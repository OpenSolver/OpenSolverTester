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6.xml" ContentType="application/vnd.openxmlformats-officedocument.drawing+xml"/>
  <Override PartName="/xl/charts/chart3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" sheetId="92" r:id="rId70"/>
    <sheet name="HighlightingExample" sheetId="5" r:id="rId71"/>
    <sheet name="TestNewAutomodel" sheetId="40" r:id="rId72"/>
  </sheets>
  <functionGroups builtInGroupCount="18"/>
  <externalReferences>
    <externalReference r:id="rId73"/>
  </externalReferences>
  <definedNames>
    <definedName name="b">[1]InventoryStep!$B$4</definedName>
    <definedName name="CBCDualsNewSheet" hidden="1">FALSE</definedName>
    <definedName name="dffd" localSheetId="69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6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69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69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CBC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NOMAD</definedName>
    <definedName name="OpenSolver_ChosenSolver" localSheetId="31" hidden="1">Couenne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CBC</definedName>
    <definedName name="OpenSolver_ChosenSolver" localSheetId="53" hidden="1">CBC</definedName>
    <definedName name="OpenSolver_ChosenSolver" localSheetId="55" hidden="1">Bonmin</definedName>
    <definedName name="OpenSolver_ChosenSolver" localSheetId="56" hidden="1">NeosBon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NOMAD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Couenne</definedName>
    <definedName name="OpenSolver_ChosenSolver" localSheetId="67" hidden="1">Bonmin</definedName>
    <definedName name="OpenSolver_ChosenSolver" localSheetId="68" hidden="1">NeosBon</definedName>
    <definedName name="OpenSolver_ChosenSolver" localSheetId="69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1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1" hidden="1">FALSE</definedName>
    <definedName name="OpenSolver_ModelParameters" localSheetId="70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69">#REF!</definedName>
    <definedName name="p">#REF!</definedName>
    <definedName name="q" localSheetId="69">#REF!</definedName>
    <definedName name="q">#REF!</definedName>
    <definedName name="s" localSheetId="69">#REF!</definedName>
    <definedName name="s">#REF!</definedName>
    <definedName name="Scale" localSheetId="70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0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69" hidden="1">CBC (default)</definedName>
    <definedName name="Solver" hidden="1">CBC (default)</definedName>
    <definedName name="solver_adj" localSheetId="70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69" hidden="1">Test44_Seek!$D$2:$F$2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1" hidden="1">TestNewAutomodel!$B$28:$D$28,TestNewAutomodel!$C$3:$C$5</definedName>
    <definedName name="solver_cvg" localSheetId="70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9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1" hidden="1">0.0001</definedName>
    <definedName name="solver_drv" localSheetId="70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9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1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1" hidden="1">2</definedName>
    <definedName name="solver_est" localSheetId="70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9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1" hidden="1">1</definedName>
    <definedName name="solver_itr" localSheetId="70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</definedName>
    <definedName name="solver_itr" localSheetId="18" hidden="1">100</definedName>
    <definedName name="solver_itr" localSheetId="52" hidden="1">100</definedName>
    <definedName name="solver_itr" localSheetId="54" hidden="1">100</definedName>
    <definedName name="solver_itr" localSheetId="53" hidden="1">100</definedName>
    <definedName name="solver_itr" localSheetId="55" hidden="1">100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</definedName>
    <definedName name="solver_itr" localSheetId="19" hidden="1">100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</definedName>
    <definedName name="solver_itr" localSheetId="69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1" hidden="1">100</definedName>
    <definedName name="solver_lhs1" localSheetId="70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69" hidden="1">Test44_Seek!$G$6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1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0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69" hidden="1">Test44_Seek!$G$7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1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0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69" hidden="1">Test44_Seek!$G$8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1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0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69" hidden="1">Test44_Seek!$G$9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1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0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1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0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1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0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1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0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0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0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9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1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0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69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1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0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69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1" hidden="1">7</definedName>
    <definedName name="solver_nwt" localSheetId="70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9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1" hidden="1">1</definedName>
    <definedName name="solver_opt" localSheetId="70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69" hidden="1">Test44_Seek!$G$4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1" hidden="1">TestNewAutomodel!$C$9</definedName>
    <definedName name="solver_pre" localSheetId="70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9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1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0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69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1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0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69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1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0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69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1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0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69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1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0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1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0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1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0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1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0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0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0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69" hidden="1">Test44_Seek!$I$6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1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0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69" hidden="1">Test44_Seek!$I$7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1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0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69" hidden="1">Test44_Seek!$I$8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1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0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69" hidden="1">Test44_Seek!$I$9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1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0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1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0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1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0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1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0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0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0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9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1" hidden="1">2</definedName>
    <definedName name="solver_sho" localSheetId="70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9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1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0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69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1" hidden="1">100</definedName>
    <definedName name="solver_tol" localSheetId="70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9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1" hidden="1">0.05</definedName>
    <definedName name="solver_typ" localSheetId="70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9" hidden="1">3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1" hidden="1">2</definedName>
    <definedName name="solver_val" localSheetId="70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9" hidden="1">50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1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69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69">#REF!</definedName>
    <definedName name="xstep">#REF!</definedName>
    <definedName name="y" localSheetId="62">'Test38_(Data)'!$A$5:$A$45</definedName>
    <definedName name="y" localSheetId="67">Test42!$E$7</definedName>
    <definedName name="y" localSheetId="69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69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H5" i="38" l="1"/>
  <c r="H6" i="67" l="1"/>
  <c r="H6" i="1"/>
  <c r="H5" i="20"/>
  <c r="G4" i="90"/>
  <c r="I6" i="71"/>
  <c r="G6" i="65"/>
  <c r="G6" i="70"/>
  <c r="G4" i="92"/>
  <c r="D20" i="77"/>
  <c r="S13" i="75"/>
  <c r="F6" i="69"/>
  <c r="F4" i="68"/>
  <c r="I6" i="66"/>
  <c r="K6" i="63"/>
  <c r="H6" i="62"/>
  <c r="H15" i="2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4"/>
  <c r="G13" i="92" l="1"/>
  <c r="G12" i="70"/>
  <c r="E12" i="70"/>
  <c r="E13" i="92"/>
  <c r="D13" i="92"/>
  <c r="F13" i="92"/>
  <c r="G9" i="92"/>
  <c r="A9" i="92"/>
  <c r="G8" i="92"/>
  <c r="G7" i="92"/>
  <c r="G6" i="92"/>
  <c r="D12" i="70" l="1"/>
  <c r="A6" i="70" s="1"/>
  <c r="A6" i="92"/>
  <c r="C11" i="68" l="1"/>
  <c r="D11" i="68"/>
  <c r="F24" i="87" l="1"/>
  <c r="G24" i="87"/>
  <c r="H24" i="87"/>
  <c r="I24" i="87"/>
  <c r="K37" i="3" l="1"/>
  <c r="G39" i="3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l="1"/>
  <c r="D17" i="85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7" i="87" s="1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6" i="76"/>
  <c r="C7" i="76"/>
  <c r="C6" i="76"/>
  <c r="B9" i="76"/>
  <c r="G8" i="70"/>
  <c r="C9" i="76" l="1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F15" i="76" s="1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I18" i="76" s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K20" i="76" s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 l="1"/>
  <c r="J42" i="3" s="1"/>
  <c r="O42" i="3" s="1"/>
  <c r="A6" i="20"/>
  <c r="A6" i="19"/>
  <c r="A22" i="76"/>
  <c r="M22" i="76" s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 l="1"/>
  <c r="O44" i="3" s="1"/>
  <c r="J41" i="3"/>
  <c r="O41" i="3" s="1"/>
  <c r="J43" i="3"/>
  <c r="O43" i="3" s="1"/>
  <c r="J40" i="3"/>
  <c r="O40" i="3" s="1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P25" i="76" s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R27" i="76" s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V31" i="76" s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X33" i="76" s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AD39" i="76" s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<sst xmlns="http://schemas.openxmlformats.org/spreadsheetml/2006/main" count="2115" uniqueCount="462">
  <si>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</si>
  <si>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</si>
  <si>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</si>
  <si>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</si>
  <si>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</si>
  <si>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</si>
  <si>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</si>
  <si>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</si>
  <si>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</si>
  <si>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</si>
  <si>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</si>
  <si>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</si>
  <si>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</si>
  <si>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</si>
  <si>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</si>
  <si>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</si>
  <si>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</si>
  <si>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</si>
  <si>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</si>
  <si>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</si>
  <si>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</si>
  <si>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</si>
  <si>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</si>
  <si>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</si>
  <si>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</si>
  <si>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</si>
  <si>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</si>
  <si>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</si>
  <si>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</si>
  <si>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</si>
  <si>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</si>
  <si>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</si>
  <si>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</si>
  <si>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</si>
  <si>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</si>
  <si>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</si>
  <si>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</si>
  <si>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</si>
  <si>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</si>
  <si>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</si>
  <si>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</si>
  <si>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</si>
  <si>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</si>
  <si>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</si>
  <si>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</si>
  <si>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</si>
  <si>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</si>
  <si>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</si>
  <si>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</si>
  <si>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</si>
  <si>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</si>
  <si>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</si>
  <si>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</si>
  <si>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</si>
  <si>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</si>
  <si>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</si>
  <si>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</si>
  <si>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</si>
  <si>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</si>
  <si>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</si>
  <si>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</si>
  <si>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</si>
  <si>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</si>
  <si>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</si>
  <si>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</si>
  <si>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</si>
  <si>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</si>
  <si>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</si>
  <si>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</si>
  <si>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</si>
  <si>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</si>
  <si>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</si>
  <si>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</si>
  <si>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</si>
  <si>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</si>
  <si>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</si>
  <si>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</si>
  <si>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</si>
  <si>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</si>
  <si>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</si>
  <si>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</si>
  <si>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</si>
  <si>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</si>
  <si>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</si>
  <si>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</si>
  <si>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</si>
  <si>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</si>
  <si>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</si>
  <si>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</si>
  <si>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</si>
  <si>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</si>
  <si>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</si>
  <si>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</si>
  <si>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</si>
  <si>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</si>
  <si>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</si>
  <si>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</si>
  <si>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</si>
  <si>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</si>
  <si>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</si>
  <si>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</si>
  <si>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</si>
  <si>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</si>
  <si>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</si>
  <si>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</si>
  <si>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</si>
  <si>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</si>
  <si>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</si>
  <si>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</si>
  <si>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</si>
  <si>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</si>
  <si>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</si>
  <si>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</si>
  <si>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</si>
  <si>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</si>
  <si>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</si>
  <si>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</si>
  <si>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</si>
  <si>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</si>
  <si>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</si>
  <si>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</si>
  <si>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</si>
  <si>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</si>
  <si>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</si>
  <si>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</si>
  <si>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</si>
  <si>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</si>
  <si>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</si>
  <si>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</si>
  <si>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</si>
  <si>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</si>
  <si>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</si>
  <si>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</si>
  <si>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</si>
  <si>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</si>
  <si>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</si>
  <si>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</si>
  <si>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</si>
  <si>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</si>
  <si>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</si>
  <si>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</si>
  <si>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</si>
  <si>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</si>
  <si>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</si>
  <si>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</si>
  <si>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</si>
  <si>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</si>
  <si>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</si>
  <si>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</si>
  <si>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</si>
  <si>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</si>
  <si>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</si>
  <si>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</si>
  <si>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</si>
  <si>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</si>
  <si>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</si>
  <si>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</si>
  <si>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</si>
  <si>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</si>
  <si>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</si>
  <si>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</si>
  <si>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</si>
  <si>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</si>
  <si>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</si>
  <si>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</si>
  <si>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</si>
  <si>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</si>
  <si>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</si>
  <si>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</si>
  <si>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</si>
  <si>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</si>
  <si>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</si>
  <si>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</si>
  <si>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</si>
  <si>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</si>
  <si>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</si>
  <si>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</si>
  <si>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</si>
  <si>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</si>
  <si>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</si>
  <si>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</si>
  <si>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</si>
  <si>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</si>
  <si>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</si>
  <si>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</si>
  <si>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</si>
  <si>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</si>
  <si>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</si>
  <si>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</si>
  <si>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</si>
  <si>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</si>
  <si>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</si>
  <si>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</si>
  <si>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</si>
  <si>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</si>
  <si>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</si>
  <si>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</si>
  <si>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</si>
  <si>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</si>
  <si>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</si>
  <si>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</si>
  <si>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</si>
  <si>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</si>
  <si>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</si>
  <si>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</si>
  <si>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</si>
  <si>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</si>
  <si>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</si>
  <si>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</si>
  <si>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</si>
  <si>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</si>
  <si>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</si>
  <si>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</si>
  <si>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</si>
  <si>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</si>
  <si>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</si>
  <si>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</si>
  <si>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</si>
  <si>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</si>
  <si>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</si>
  <si>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</si>
  <si>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</si>
  <si>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</si>
  <si>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</si>
  <si>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</si>
  <si>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</si>
  <si>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</si>
  <si>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</si>
  <si>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</si>
  <si>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</si>
  <si>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</si>
  <si>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</si>
  <si>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</si>
  <si>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</si>
  <si>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</si>
  <si>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</si>
  <si>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</si>
  <si>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</si>
  <si>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</si>
  <si>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</si>
  <si>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</si>
  <si>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</si>
  <si>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</si>
  <si>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</si>
  <si>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</si>
  <si>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</si>
  <si>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</si>
  <si>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</si>
  <si>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</si>
  <si>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</si>
  <si>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</si>
  <si>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</si>
  <si>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</si>
  <si>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</si>
  <si>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</si>
  <si>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</si>
  <si>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</si>
  <si>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</si>
  <si>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</si>
  <si>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</si>
  <si>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</si>
  <si>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</si>
  <si>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</si>
  <si>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</si>
  <si>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</si>
  <si>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</si>
  <si>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</si>
  <si>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</si>
  <si>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</si>
  <si>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</si>
  <si>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</si>
  <si>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</si>
  <si>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</si>
  <si>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</si>
  <si>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</si>
  <si>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</si>
  <si>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</si>
  <si>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</si>
  <si>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</si>
  <si>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</si>
  <si>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</si>
  <si>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</si>
  <si>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</si>
  <si>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</si>
  <si>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</si>
  <si>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</si>
  <si>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</si>
  <si>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</si>
  <si>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</si>
  <si>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</si>
  <si>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</si>
  <si>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</si>
  <si>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</si>
  <si>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</si>
  <si>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</si>
  <si>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</si>
  <si>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</si>
  <si>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</si>
  <si>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</si>
  <si>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</si>
  <si>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</si>
  <si>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</si>
  <si>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</si>
  <si>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</si>
  <si>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</si>
  <si>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</si>
  <si>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</si>
  <si>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</si>
  <si>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</si>
  <si>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</si>
  <si>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</si>
  <si>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</si>
  <si>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</si>
  <si>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</si>
  <si>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</si>
  <si>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</si>
  <si>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</si>
  <si>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</si>
  <si>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</si>
  <si>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</si>
  <si>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</si>
  <si>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</si>
  <si>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</si>
  <si>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</si>
  <si>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</si>
  <si>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</si>
  <si>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</si>
  <si>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</si>
  <si>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</si>
  <si>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</si>
  <si>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</si>
  <si>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</si>
  <si>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</si>
  <si>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</si>
  <si>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</si>
  <si>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</si>
  <si>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</si>
  <si>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</si>
  <si>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</si>
  <si>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</si>
  <si>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</si>
  <si>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</si>
  <si>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</si>
  <si>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</si>
  <si>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</si>
  <si>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</si>
  <si>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</si>
  <si>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</si>
  <si>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</si>
  <si>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</si>
  <si>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</si>
  <si>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</si>
  <si>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</si>
  <si>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</si>
  <si>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</si>
  <si>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</si>
  <si>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</si>
  <si>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</si>
  <si>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</si>
  <si>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</si>
  <si>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</si>
  <si>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</si>
  <si>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</si>
  <si>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</si>
  <si>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</si>
  <si>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</si>
  <si>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</si>
  <si>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</si>
  <si>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</si>
  <si>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</si>
  <si>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</si>
  <si>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</si>
  <si>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</si>
  <si>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</si>
  <si>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</si>
  <si>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</si>
  <si>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</si>
  <si>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</si>
  <si>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</si>
  <si>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</si>
  <si>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</si>
  <si>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</si>
  <si>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</si>
  <si>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</si>
  <si>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</si>
  <si>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</si>
  <si>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</si>
  <si>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</si>
  <si>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</si>
  <si>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</si>
  <si>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</si>
  <si>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Test9A</t>
  </si>
  <si>
    <t>OpenSolver Sensitivity Report - Gurobi</t>
  </si>
  <si>
    <t>Test1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</si>
  <si>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</si>
  <si>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</si>
  <si>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</si>
  <si>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</si>
  <si>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</si>
  <si>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</si>
  <si>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</si>
  <si>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</si>
  <si>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</si>
  <si>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</si>
  <si>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</si>
  <si>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</si>
  <si>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</si>
  <si>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</si>
  <si>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</si>
  <si>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</si>
  <si>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</si>
  <si>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</si>
  <si>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</si>
  <si>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</si>
  <si>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</si>
  <si>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</si>
  <si>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</si>
  <si>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</si>
  <si>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</si>
  <si>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</si>
  <si>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</si>
  <si>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</si>
  <si>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</si>
  <si>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</si>
  <si>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</si>
  <si>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</si>
  <si>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</si>
  <si>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</si>
  <si>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</si>
  <si>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</si>
  <si>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</si>
  <si>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</si>
  <si>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</si>
  <si>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</si>
  <si>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</si>
  <si>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</si>
  <si>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</si>
  <si>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</si>
  <si>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</si>
  <si>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FAIL</t>
  </si>
  <si>
    <t>Test27_Parameters</t>
  </si>
  <si>
    <t>N/A</t>
  </si>
  <si>
    <t>Test28_CBCOptions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</si>
  <si>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</si>
  <si>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</si>
  <si>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</si>
  <si>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</si>
  <si>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</si>
  <si>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</si>
  <si>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</si>
  <si>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</si>
  <si>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</si>
  <si>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</si>
  <si>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Test39_SensNames</t>
  </si>
  <si>
    <t>Test40</t>
  </si>
  <si>
    <t>Test41</t>
  </si>
  <si>
    <t>Test42</t>
  </si>
  <si>
    <t>Test43</t>
  </si>
  <si>
    <t>Test44_Seek</t>
  </si>
  <si>
    <t>OpenSolver Sensitivity Report - CBC</t>
  </si>
  <si>
    <t>Report Created: 13/08/2014 11:57:28 a.m.</t>
  </si>
  <si>
    <t>Report Created: 13/08/2014 12:03:28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</si>
</sst>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1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885754928"/>
        <c:axId val="885758192"/>
        <c:axId val="838429264"/>
      </c:surface3DChart>
      <c:catAx>
        <c:axId val="88575492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75819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88575819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754928"/>
        <c:crosses val="min"/>
        <c:crossBetween val="between"/>
        <c:majorUnit val="0.1"/>
      </c:valAx>
      <c:serAx>
        <c:axId val="83842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75819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0.28761885519746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0.50297082572652496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1.7113029682710099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0.50270377956726697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0.28761885519746</c:v>
                </c:pt>
                <c:pt idx="3">
                  <c:v>0</c:v>
                </c:pt>
                <c:pt idx="4">
                  <c:v>0.28761885519746</c:v>
                </c:pt>
                <c:pt idx="6">
                  <c:v>2</c:v>
                </c:pt>
                <c:pt idx="7">
                  <c:v>1.7113029682710099</c:v>
                </c:pt>
                <c:pt idx="9">
                  <c:v>2</c:v>
                </c:pt>
                <c:pt idx="10">
                  <c:v>1.7113029682710099</c:v>
                </c:pt>
                <c:pt idx="12">
                  <c:v>0.28761885519746</c:v>
                </c:pt>
                <c:pt idx="13">
                  <c:v>1.7113029682710099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0.50297082572652496</c:v>
                </c:pt>
                <c:pt idx="3">
                  <c:v>1</c:v>
                </c:pt>
                <c:pt idx="4">
                  <c:v>0.50297082572652496</c:v>
                </c:pt>
                <c:pt idx="6">
                  <c:v>1</c:v>
                </c:pt>
                <c:pt idx="7">
                  <c:v>0.50270377956726697</c:v>
                </c:pt>
                <c:pt idx="9">
                  <c:v>0</c:v>
                </c:pt>
                <c:pt idx="10">
                  <c:v>0.50270377956726697</c:v>
                </c:pt>
                <c:pt idx="12">
                  <c:v>0.50297082572652496</c:v>
                </c:pt>
                <c:pt idx="13">
                  <c:v>0.50270377956726697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762000"/>
        <c:axId val="885760368"/>
      </c:scatterChart>
      <c:valAx>
        <c:axId val="88576200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760368"/>
        <c:crosses val="autoZero"/>
        <c:crossBetween val="midCat"/>
        <c:majorUnit val="0.5"/>
      </c:valAx>
      <c:valAx>
        <c:axId val="88576036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76200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2.3571428571440802</c:v>
                </c:pt>
                <c:pt idx="2">
                  <c:v>7.0000000000000195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1.8557687223936723</c:v>
                </c:pt>
                <c:pt idx="2">
                  <c:v>-4.5630166312093934E-12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2781424"/>
        <c:axId val="892771632"/>
      </c:scatterChart>
      <c:valAx>
        <c:axId val="89278142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2771632"/>
        <c:crosses val="autoZero"/>
        <c:crossBetween val="midCat"/>
        <c:majorUnit val="1"/>
      </c:valAx>
      <c:valAx>
        <c:axId val="89277163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278142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15</xdr:row>
          <xdr:rowOff>63500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188819</xdr:rowOff>
        </xdr:from>
        <xdr:to>
          <xdr:col>0</xdr:col>
          <xdr:colOff>1666875</xdr:colOff>
          <xdr:row>29</xdr:row>
          <xdr:rowOff>141194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3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4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25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6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7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28" name="OpenSolver 6"/>
        <xdr:cNvCxnSpPr>
          <a:stCxn id="26" idx="3"/>
          <a:endCxn id="27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29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8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9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80" name="OpenSolver3"/>
        <xdr:cNvSpPr/>
      </xdr:nvSpPr>
      <xdr:spPr>
        <a:xfrm>
          <a:off x="36322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81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82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83" name="OpenSolver 6"/>
        <xdr:cNvCxnSpPr>
          <a:stCxn id="81" idx="3"/>
          <a:endCxn id="82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84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85" name="OpenSolver8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6" name="OpenSolver9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7" name="OpenSolver 10"/>
        <xdr:cNvCxnSpPr>
          <a:stCxn id="85" idx="3"/>
          <a:endCxn id="86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88" name="OpenSolver 11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9" name="OpenSolver12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0" name="OpenSolver13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91" name="OpenSolver 14"/>
        <xdr:cNvCxnSpPr>
          <a:stCxn id="89" idx="3"/>
          <a:endCxn id="90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92" name="OpenSolver 15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3" name="OpenSolver16"/>
        <xdr:cNvSpPr/>
      </xdr:nvSpPr>
      <xdr:spPr>
        <a:xfrm>
          <a:off x="36385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4" name="OpenSolver17"/>
        <xdr:cNvSpPr/>
      </xdr:nvSpPr>
      <xdr:spPr>
        <a:xfrm>
          <a:off x="48577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95" name="OpenSolver 18"/>
        <xdr:cNvCxnSpPr>
          <a:stCxn id="93" idx="3"/>
          <a:endCxn id="94" idx="1"/>
        </xdr:cNvCxnSpPr>
      </xdr:nvCxnSpPr>
      <xdr:spPr>
        <a:xfrm>
          <a:off x="42481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96" name="OpenSolver 19"/>
        <xdr:cNvSpPr/>
      </xdr:nvSpPr>
      <xdr:spPr>
        <a:xfrm>
          <a:off x="4362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E66"/>
  <sheetViews>
    <sheetView tabSelected="1" topLeftCell="A4" zoomScale="85" zoomScaleNormal="85" workbookViewId="0">
      <selection activeCell="G53" sqref="G53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5" s="62" customFormat="1" ht="15.75" thickBot="1" x14ac:dyDescent="0.3">
      <c r="A1" s="83"/>
      <c r="B1" s="87" t="s">
        <v>194</v>
      </c>
      <c r="C1" s="86" t="s">
        <v>197</v>
      </c>
      <c r="D1" s="62" t="s">
        <v>369</v>
      </c>
      <c r="E1" s="62" t="s">
        <v>375</v>
      </c>
    </row>
    <row r="2" spans="1:5" x14ac:dyDescent="0.25">
      <c r="B2" s="82" t="s">
        <v>393</v>
      </c>
      <c r="C2" s="60" t="s">
        <v>216</v>
      </c>
      <c r="D2" s="60" t="s">
        <v>216</v>
      </c>
      <c r="E2" s="60" t="s">
        <v>216</v>
      </c>
    </row>
    <row r="3" spans="1:5" x14ac:dyDescent="0.25">
      <c r="B3" s="82" t="s">
        <v>394</v>
      </c>
      <c r="C3" s="60" t="s">
        <v>216</v>
      </c>
      <c r="D3" s="60" t="s">
        <v>216</v>
      </c>
      <c r="E3" s="60" t="s">
        <v>216</v>
      </c>
    </row>
    <row r="4" spans="1:5" x14ac:dyDescent="0.25">
      <c r="B4" s="82" t="s">
        <v>395</v>
      </c>
      <c r="C4" s="60" t="s">
        <v>216</v>
      </c>
      <c r="D4" s="60" t="s">
        <v>216</v>
      </c>
      <c r="E4" s="60" t="s">
        <v>216</v>
      </c>
    </row>
    <row r="5" spans="1:5" x14ac:dyDescent="0.25">
      <c r="B5" s="82" t="s">
        <v>396</v>
      </c>
      <c r="C5" s="60" t="s">
        <v>216</v>
      </c>
      <c r="D5" s="60" t="s">
        <v>216</v>
      </c>
      <c r="E5" s="60" t="s">
        <v>216</v>
      </c>
    </row>
    <row r="6" spans="1:5" x14ac:dyDescent="0.25">
      <c r="B6" s="82" t="s">
        <v>397</v>
      </c>
      <c r="C6" s="60" t="s">
        <v>216</v>
      </c>
      <c r="D6" s="60" t="s">
        <v>216</v>
      </c>
      <c r="E6" s="60" t="s">
        <v>216</v>
      </c>
    </row>
    <row r="7" spans="1:5" x14ac:dyDescent="0.25">
      <c r="B7" s="82" t="s">
        <v>398</v>
      </c>
      <c r="C7" s="60" t="s">
        <v>216</v>
      </c>
      <c r="D7" s="60" t="s">
        <v>216</v>
      </c>
      <c r="E7" s="60" t="s">
        <v>216</v>
      </c>
    </row>
    <row r="8" spans="1:5" x14ac:dyDescent="0.25">
      <c r="B8" s="82" t="s">
        <v>399</v>
      </c>
      <c r="C8" s="60" t="s">
        <v>216</v>
      </c>
      <c r="D8" s="60" t="s">
        <v>216</v>
      </c>
      <c r="E8" s="60" t="s">
        <v>216</v>
      </c>
    </row>
    <row r="9" spans="1:5" x14ac:dyDescent="0.25">
      <c r="B9" s="82" t="s">
        <v>400</v>
      </c>
      <c r="C9" s="60" t="s">
        <v>216</v>
      </c>
      <c r="D9" s="60" t="s">
        <v>216</v>
      </c>
      <c r="E9" s="60" t="s">
        <v>216</v>
      </c>
    </row>
    <row r="10" spans="1:5" x14ac:dyDescent="0.25">
      <c r="B10" s="82" t="s">
        <v>401</v>
      </c>
      <c r="C10" s="60" t="s">
        <v>216</v>
      </c>
      <c r="D10" s="60" t="s">
        <v>216</v>
      </c>
      <c r="E10" s="60" t="s">
        <v>216</v>
      </c>
    </row>
    <row r="11" spans="1:5" x14ac:dyDescent="0.25">
      <c r="B11" s="82" t="s">
        <v>402</v>
      </c>
      <c r="C11" s="60" t="s">
        <v>216</v>
      </c>
      <c r="D11" s="60" t="s">
        <v>216</v>
      </c>
      <c r="E11" s="60" t="s">
        <v>216</v>
      </c>
    </row>
    <row r="12" spans="1:5" x14ac:dyDescent="0.25">
      <c r="B12" s="82" t="s">
        <v>403</v>
      </c>
      <c r="C12" s="60" t="s">
        <v>216</v>
      </c>
      <c r="D12" s="60" t="s">
        <v>216</v>
      </c>
      <c r="E12" s="60" t="s">
        <v>216</v>
      </c>
    </row>
    <row r="13" spans="1:5" x14ac:dyDescent="0.25">
      <c r="B13" s="82" t="s">
        <v>404</v>
      </c>
      <c r="C13" s="60" t="s">
        <v>216</v>
      </c>
      <c r="D13" s="60" t="s">
        <v>216</v>
      </c>
      <c r="E13" s="60" t="s">
        <v>216</v>
      </c>
    </row>
    <row r="14" spans="1:5" x14ac:dyDescent="0.25">
      <c r="B14" s="82" t="s">
        <v>405</v>
      </c>
      <c r="C14" s="60" t="s">
        <v>216</v>
      </c>
      <c r="D14" s="60" t="s">
        <v>216</v>
      </c>
      <c r="E14" s="60" t="s">
        <v>216</v>
      </c>
    </row>
    <row r="15" spans="1:5" x14ac:dyDescent="0.25">
      <c r="B15" s="82" t="s">
        <v>406</v>
      </c>
      <c r="C15" s="60" t="s">
        <v>216</v>
      </c>
      <c r="D15" s="60" t="s">
        <v>216</v>
      </c>
      <c r="E15" s="60" t="s">
        <v>216</v>
      </c>
    </row>
    <row r="16" spans="1:5" x14ac:dyDescent="0.25">
      <c r="B16" s="82" t="s">
        <v>407</v>
      </c>
      <c r="C16" s="60" t="s">
        <v>216</v>
      </c>
      <c r="D16" s="60" t="s">
        <v>216</v>
      </c>
      <c r="E16" s="60" t="s">
        <v>216</v>
      </c>
    </row>
    <row r="17" spans="2:5" x14ac:dyDescent="0.25">
      <c r="B17" s="82" t="s">
        <v>408</v>
      </c>
      <c r="C17" s="60" t="s">
        <v>216</v>
      </c>
      <c r="D17" s="60" t="s">
        <v>216</v>
      </c>
      <c r="E17" s="60" t="s">
        <v>216</v>
      </c>
    </row>
    <row r="18" spans="2:5" x14ac:dyDescent="0.25">
      <c r="B18" s="82" t="s">
        <v>409</v>
      </c>
      <c r="C18" s="60" t="s">
        <v>216</v>
      </c>
      <c r="D18" s="60" t="s">
        <v>439</v>
      </c>
      <c r="E18" s="60" t="s">
        <v>216</v>
      </c>
    </row>
    <row r="19" spans="2:5" x14ac:dyDescent="0.25">
      <c r="B19" s="82" t="s">
        <v>410</v>
      </c>
      <c r="C19" s="60" t="s">
        <v>216</v>
      </c>
      <c r="D19" s="60" t="s">
        <v>216</v>
      </c>
      <c r="E19" s="60" t="s">
        <v>216</v>
      </c>
    </row>
    <row r="20" spans="2:5" x14ac:dyDescent="0.25">
      <c r="B20" s="82" t="s">
        <v>411</v>
      </c>
      <c r="C20" s="60" t="s">
        <v>216</v>
      </c>
      <c r="D20" s="60" t="s">
        <v>216</v>
      </c>
      <c r="E20" s="60" t="s">
        <v>216</v>
      </c>
    </row>
    <row r="21" spans="2:5" x14ac:dyDescent="0.25">
      <c r="B21" s="82" t="s">
        <v>412</v>
      </c>
      <c r="C21" s="60" t="s">
        <v>216</v>
      </c>
      <c r="D21" s="60" t="s">
        <v>216</v>
      </c>
      <c r="E21" s="60" t="s">
        <v>216</v>
      </c>
    </row>
    <row r="22" spans="2:5" x14ac:dyDescent="0.25">
      <c r="B22" s="82" t="s">
        <v>413</v>
      </c>
      <c r="C22" s="60" t="s">
        <v>216</v>
      </c>
      <c r="D22" s="60" t="s">
        <v>216</v>
      </c>
      <c r="E22" s="60" t="s">
        <v>216</v>
      </c>
    </row>
    <row r="23" spans="2:5" x14ac:dyDescent="0.25">
      <c r="B23" s="82" t="s">
        <v>414</v>
      </c>
      <c r="C23" s="60" t="s">
        <v>216</v>
      </c>
      <c r="D23" s="60" t="s">
        <v>216</v>
      </c>
      <c r="E23" s="60" t="s">
        <v>216</v>
      </c>
    </row>
    <row r="24" spans="2:5" x14ac:dyDescent="0.25">
      <c r="B24" s="82" t="s">
        <v>415</v>
      </c>
      <c r="C24" s="60" t="s">
        <v>216</v>
      </c>
      <c r="D24" s="60" t="s">
        <v>216</v>
      </c>
      <c r="E24" s="60" t="s">
        <v>216</v>
      </c>
    </row>
    <row r="25" spans="2:5" x14ac:dyDescent="0.25">
      <c r="B25" s="82" t="s">
        <v>391</v>
      </c>
      <c r="C25" s="60" t="s">
        <v>216</v>
      </c>
      <c r="D25" s="60" t="s">
        <v>439</v>
      </c>
      <c r="E25" s="60" t="s">
        <v>216</v>
      </c>
    </row>
    <row r="26" spans="2:5" x14ac:dyDescent="0.25">
      <c r="B26" s="82" t="s">
        <v>416</v>
      </c>
      <c r="C26" s="60" t="s">
        <v>216</v>
      </c>
      <c r="D26" s="60" t="s">
        <v>216</v>
      </c>
      <c r="E26" s="60" t="s">
        <v>216</v>
      </c>
    </row>
    <row r="27" spans="2:5" x14ac:dyDescent="0.25">
      <c r="B27" s="82" t="s">
        <v>417</v>
      </c>
      <c r="C27" s="60" t="s">
        <v>216</v>
      </c>
      <c r="D27" s="60" t="s">
        <v>216</v>
      </c>
      <c r="E27" s="60" t="s">
        <v>216</v>
      </c>
    </row>
    <row r="28" spans="2:5" x14ac:dyDescent="0.25">
      <c r="B28" s="82" t="s">
        <v>418</v>
      </c>
      <c r="C28" s="60" t="s">
        <v>439</v>
      </c>
      <c r="D28" s="60" t="s">
        <v>216</v>
      </c>
      <c r="E28" s="60" t="s">
        <v>216</v>
      </c>
    </row>
    <row r="29" spans="2:5" x14ac:dyDescent="0.25">
      <c r="B29" s="82" t="s">
        <v>419</v>
      </c>
      <c r="C29" s="60" t="s">
        <v>439</v>
      </c>
      <c r="D29" s="60" t="s">
        <v>216</v>
      </c>
      <c r="E29" s="60" t="s">
        <v>216</v>
      </c>
    </row>
    <row r="30" spans="2:5" x14ac:dyDescent="0.25">
      <c r="B30" s="82" t="s">
        <v>420</v>
      </c>
      <c r="C30" s="60" t="s">
        <v>439</v>
      </c>
      <c r="D30" s="60" t="s">
        <v>216</v>
      </c>
      <c r="E30" s="60" t="s">
        <v>216</v>
      </c>
    </row>
    <row r="31" spans="2:5" x14ac:dyDescent="0.25">
      <c r="B31" s="82" t="s">
        <v>421</v>
      </c>
      <c r="C31" s="60" t="s">
        <v>439</v>
      </c>
      <c r="D31" s="60" t="s">
        <v>216</v>
      </c>
      <c r="E31" s="60" t="s">
        <v>216</v>
      </c>
    </row>
    <row r="32" spans="2:5" x14ac:dyDescent="0.25">
      <c r="B32" s="82" t="s">
        <v>422</v>
      </c>
      <c r="C32" s="60" t="s">
        <v>216</v>
      </c>
      <c r="D32" s="60" t="s">
        <v>216</v>
      </c>
      <c r="E32" s="60" t="s">
        <v>216</v>
      </c>
    </row>
    <row r="33" spans="2:5" x14ac:dyDescent="0.25">
      <c r="B33" s="82" t="s">
        <v>423</v>
      </c>
      <c r="C33" s="60" t="s">
        <v>216</v>
      </c>
      <c r="D33" s="60" t="s">
        <v>216</v>
      </c>
      <c r="E33" s="60" t="s">
        <v>216</v>
      </c>
    </row>
    <row r="34" spans="2:5" x14ac:dyDescent="0.25">
      <c r="B34" s="82" t="s">
        <v>424</v>
      </c>
      <c r="C34" s="60" t="s">
        <v>216</v>
      </c>
      <c r="D34" s="60" t="s">
        <v>216</v>
      </c>
      <c r="E34" s="60" t="s">
        <v>216</v>
      </c>
    </row>
    <row r="35" spans="2:5" x14ac:dyDescent="0.25">
      <c r="B35" s="82" t="s">
        <v>425</v>
      </c>
      <c r="C35" s="60" t="s">
        <v>216</v>
      </c>
      <c r="D35" s="60" t="s">
        <v>439</v>
      </c>
      <c r="E35" s="60" t="s">
        <v>216</v>
      </c>
    </row>
    <row r="36" spans="2:5" x14ac:dyDescent="0.25">
      <c r="B36" s="82" t="s">
        <v>426</v>
      </c>
      <c r="C36" s="60" t="s">
        <v>216</v>
      </c>
      <c r="D36" s="60" t="s">
        <v>439</v>
      </c>
      <c r="E36" s="60" t="s">
        <v>216</v>
      </c>
    </row>
    <row r="37" spans="2:5" x14ac:dyDescent="0.25">
      <c r="B37" s="82" t="s">
        <v>427</v>
      </c>
      <c r="C37" s="60" t="s">
        <v>216</v>
      </c>
      <c r="D37" s="60" t="s">
        <v>216</v>
      </c>
      <c r="E37" s="60" t="s">
        <v>216</v>
      </c>
    </row>
    <row r="38" spans="2:5" x14ac:dyDescent="0.25">
      <c r="B38" s="82" t="s">
        <v>428</v>
      </c>
      <c r="C38" s="60" t="s">
        <v>216</v>
      </c>
      <c r="D38" s="60" t="s">
        <v>216</v>
      </c>
      <c r="E38" s="60" t="s">
        <v>216</v>
      </c>
    </row>
    <row r="39" spans="2:5" x14ac:dyDescent="0.25">
      <c r="B39" s="82" t="s">
        <v>429</v>
      </c>
      <c r="C39" s="60" t="s">
        <v>216</v>
      </c>
      <c r="D39" s="60" t="s">
        <v>216</v>
      </c>
      <c r="E39" s="60" t="s">
        <v>216</v>
      </c>
    </row>
    <row r="40" spans="2:5" x14ac:dyDescent="0.25">
      <c r="B40" s="82" t="s">
        <v>430</v>
      </c>
      <c r="C40" s="60" t="s">
        <v>216</v>
      </c>
      <c r="D40" s="60" t="s">
        <v>216</v>
      </c>
      <c r="E40" s="60" t="s">
        <v>216</v>
      </c>
    </row>
    <row r="41" spans="2:5" x14ac:dyDescent="0.25">
      <c r="B41" s="82" t="s">
        <v>431</v>
      </c>
      <c r="C41" s="60" t="s">
        <v>216</v>
      </c>
      <c r="D41" s="60" t="s">
        <v>216</v>
      </c>
      <c r="E41" s="60" t="s">
        <v>216</v>
      </c>
    </row>
    <row r="42" spans="2:5" x14ac:dyDescent="0.25">
      <c r="B42" s="82" t="s">
        <v>432</v>
      </c>
      <c r="C42" s="60" t="s">
        <v>216</v>
      </c>
      <c r="D42" s="60" t="s">
        <v>216</v>
      </c>
      <c r="E42" s="60" t="s">
        <v>216</v>
      </c>
    </row>
    <row r="43" spans="2:5" x14ac:dyDescent="0.25">
      <c r="B43" s="82" t="s">
        <v>433</v>
      </c>
      <c r="C43" s="60" t="s">
        <v>216</v>
      </c>
      <c r="D43" s="60" t="s">
        <v>216</v>
      </c>
      <c r="E43" s="60" t="s">
        <v>216</v>
      </c>
    </row>
    <row r="44" spans="2:5" x14ac:dyDescent="0.25">
      <c r="B44" s="82" t="s">
        <v>434</v>
      </c>
      <c r="C44" s="60" t="s">
        <v>216</v>
      </c>
      <c r="D44" s="60" t="s">
        <v>439</v>
      </c>
      <c r="E44" s="60" t="s">
        <v>216</v>
      </c>
    </row>
    <row r="45" spans="2:5" x14ac:dyDescent="0.25">
      <c r="B45" s="82" t="s">
        <v>435</v>
      </c>
      <c r="C45" s="60" t="s">
        <v>216</v>
      </c>
      <c r="D45" s="60" t="s">
        <v>439</v>
      </c>
      <c r="E45" s="60" t="s">
        <v>216</v>
      </c>
    </row>
    <row r="46" spans="2:5" x14ac:dyDescent="0.25">
      <c r="B46" s="82" t="s">
        <v>436</v>
      </c>
      <c r="C46" s="60" t="s">
        <v>216</v>
      </c>
      <c r="D46" s="60" t="s">
        <v>216</v>
      </c>
      <c r="E46" s="60" t="s">
        <v>216</v>
      </c>
    </row>
    <row r="47" spans="2:5" x14ac:dyDescent="0.25">
      <c r="B47" s="82" t="s">
        <v>437</v>
      </c>
      <c r="C47" s="60" t="s">
        <v>216</v>
      </c>
      <c r="D47" s="60" t="s">
        <v>216</v>
      </c>
      <c r="E47" s="60" t="s">
        <v>216</v>
      </c>
    </row>
    <row r="48" spans="2:5" x14ac:dyDescent="0.25">
      <c r="B48" s="82" t="s">
        <v>438</v>
      </c>
      <c r="C48" s="60" t="s">
        <v>216</v>
      </c>
      <c r="D48" s="60" t="s">
        <v>216</v>
      </c>
      <c r="E48" s="60" t="s">
        <v>216</v>
      </c>
    </row>
    <row r="49" spans="2:5" x14ac:dyDescent="0.25">
      <c r="B49" s="82" t="s">
        <v>440</v>
      </c>
      <c r="C49" s="60" t="s">
        <v>441</v>
      </c>
      <c r="D49" s="60" t="s">
        <v>441</v>
      </c>
      <c r="E49" s="60" t="s">
        <v>441</v>
      </c>
    </row>
    <row r="50" spans="2:5" x14ac:dyDescent="0.25">
      <c r="B50" s="82" t="s">
        <v>442</v>
      </c>
      <c r="C50" s="60" t="s">
        <v>439</v>
      </c>
      <c r="D50" s="60" t="s">
        <v>439</v>
      </c>
      <c r="E50" s="60" t="s">
        <v>216</v>
      </c>
    </row>
    <row r="51" spans="2:5" x14ac:dyDescent="0.25">
      <c r="B51" s="84" t="s">
        <v>443</v>
      </c>
      <c r="C51" s="60" t="s">
        <v>216</v>
      </c>
      <c r="D51" s="60" t="s">
        <v>216</v>
      </c>
      <c r="E51" s="60" t="s">
        <v>216</v>
      </c>
    </row>
    <row r="52" spans="2:5" x14ac:dyDescent="0.25">
      <c r="B52" s="84" t="s">
        <v>444</v>
      </c>
      <c r="C52" s="60" t="s">
        <v>216</v>
      </c>
      <c r="D52" s="60" t="s">
        <v>216</v>
      </c>
      <c r="E52" s="60" t="s">
        <v>216</v>
      </c>
    </row>
    <row r="53" spans="2:5" x14ac:dyDescent="0.25">
      <c r="B53" s="84" t="s">
        <v>445</v>
      </c>
      <c r="C53" s="60" t="s">
        <v>216</v>
      </c>
      <c r="D53" s="60" t="s">
        <v>216</v>
      </c>
      <c r="E53" s="60" t="s">
        <v>216</v>
      </c>
    </row>
    <row r="54" spans="2:5" x14ac:dyDescent="0.25">
      <c r="B54" s="84" t="s">
        <v>446</v>
      </c>
      <c r="C54" s="60" t="s">
        <v>216</v>
      </c>
      <c r="D54" s="60" t="s">
        <v>216</v>
      </c>
      <c r="E54" s="60" t="s">
        <v>216</v>
      </c>
    </row>
    <row r="55" spans="2:5" x14ac:dyDescent="0.25">
      <c r="B55" s="84" t="s">
        <v>447</v>
      </c>
      <c r="C55" s="60" t="s">
        <v>216</v>
      </c>
      <c r="D55" s="60" t="s">
        <v>216</v>
      </c>
      <c r="E55" s="60" t="s">
        <v>216</v>
      </c>
    </row>
    <row r="56" spans="2:5" x14ac:dyDescent="0.25">
      <c r="B56" s="84" t="s">
        <v>448</v>
      </c>
      <c r="C56" s="60" t="s">
        <v>216</v>
      </c>
      <c r="D56" s="60" t="s">
        <v>216</v>
      </c>
      <c r="E56" s="60" t="s">
        <v>216</v>
      </c>
    </row>
    <row r="57" spans="2:5" x14ac:dyDescent="0.25">
      <c r="B57" s="84" t="s">
        <v>449</v>
      </c>
      <c r="C57" s="60" t="s">
        <v>439</v>
      </c>
      <c r="D57" s="60" t="s">
        <v>216</v>
      </c>
      <c r="E57" s="60" t="s">
        <v>216</v>
      </c>
    </row>
    <row r="58" spans="2:5" x14ac:dyDescent="0.25">
      <c r="B58" s="84" t="s">
        <v>450</v>
      </c>
      <c r="C58" s="60" t="s">
        <v>216</v>
      </c>
      <c r="D58" s="60" t="s">
        <v>439</v>
      </c>
      <c r="E58" s="60" t="s">
        <v>439</v>
      </c>
    </row>
    <row r="59" spans="2:5" x14ac:dyDescent="0.25">
      <c r="B59" s="84" t="s">
        <v>451</v>
      </c>
      <c r="C59" s="60" t="s">
        <v>216</v>
      </c>
      <c r="D59" s="60" t="s">
        <v>216</v>
      </c>
      <c r="E59" s="60" t="s">
        <v>216</v>
      </c>
    </row>
    <row r="60" spans="2:5" x14ac:dyDescent="0.25">
      <c r="B60" s="84" t="s">
        <v>452</v>
      </c>
      <c r="C60" s="60" t="s">
        <v>216</v>
      </c>
      <c r="D60" s="60" t="s">
        <v>216</v>
      </c>
      <c r="E60" s="60" t="s">
        <v>216</v>
      </c>
    </row>
    <row r="61" spans="2:5" x14ac:dyDescent="0.25">
      <c r="B61" s="84" t="s">
        <v>453</v>
      </c>
      <c r="C61" s="60" t="s">
        <v>216</v>
      </c>
      <c r="D61" s="60" t="s">
        <v>216</v>
      </c>
      <c r="E61" s="60" t="s">
        <v>216</v>
      </c>
    </row>
    <row r="62" spans="2:5" x14ac:dyDescent="0.25">
      <c r="B62" s="84" t="s">
        <v>454</v>
      </c>
      <c r="C62" s="60" t="s">
        <v>216</v>
      </c>
      <c r="D62" s="60" t="s">
        <v>216</v>
      </c>
      <c r="E62" s="60" t="s">
        <v>216</v>
      </c>
    </row>
    <row r="63" spans="2:5" x14ac:dyDescent="0.25">
      <c r="B63" s="84" t="s">
        <v>455</v>
      </c>
      <c r="C63" s="60" t="s">
        <v>216</v>
      </c>
      <c r="D63" s="60" t="s">
        <v>216</v>
      </c>
      <c r="E63" s="60" t="s">
        <v>439</v>
      </c>
    </row>
    <row r="64" spans="2:5" x14ac:dyDescent="0.25">
      <c r="B64" s="84" t="s">
        <v>456</v>
      </c>
      <c r="C64" s="60" t="s">
        <v>216</v>
      </c>
      <c r="D64" s="60" t="s">
        <v>216</v>
      </c>
      <c r="E64" s="60" t="s">
        <v>216</v>
      </c>
    </row>
    <row r="65" spans="2:5" x14ac:dyDescent="0.25">
      <c r="B65" s="84" t="s">
        <v>457</v>
      </c>
      <c r="C65" s="60" t="s">
        <v>216</v>
      </c>
      <c r="D65" s="60" t="s">
        <v>216</v>
      </c>
      <c r="E65" s="60" t="s">
        <v>216</v>
      </c>
    </row>
    <row r="66" spans="2:5" x14ac:dyDescent="0.25">
      <c r="B66" s="84" t="s">
        <v>458</v>
      </c>
      <c r="C66" s="60" t="s">
        <v>216</v>
      </c>
      <c r="D66" s="60" t="s">
        <v>216</v>
      </c>
      <c r="E66" s="60" t="s">
        <v>216</v>
      </c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1933575</xdr:colOff>
                <xdr:row>15</xdr:row>
                <xdr:rowOff>57150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disabled="1" autoLine="0" r:id="rId9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1666875</xdr:colOff>
                <xdr:row>29</xdr:row>
                <xdr:rowOff>142875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K26" sqref="K26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Q15" sqref="Q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I20" sqref="I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2">
        <v>5.2941175999999999</v>
      </c>
      <c r="F5" s="172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2">
        <v>5.2941176526297902</v>
      </c>
      <c r="F5" s="172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2">
        <v>2</v>
      </c>
      <c r="D5" s="172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2">
        <v>150</v>
      </c>
      <c r="K10" s="172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2">
        <f>SUMPRODUCT($D$5:$F$5,D10:F10)</f>
        <v>116.47058835785538</v>
      </c>
      <c r="H10" s="172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K36" sqref="K3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254.69876815259474</v>
      </c>
      <c r="E5" s="1">
        <v>393.53483037400662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1690.0020274272094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6875.8708156400207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3">
        <v>5</v>
      </c>
      <c r="H10" s="173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3"/>
      <c r="H11" s="173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18219.460827615527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I22" sqref="I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9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20" sqref="I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7019042968.75</v>
      </c>
      <c r="Q4" s="169">
        <v>0</v>
      </c>
      <c r="R4" s="10">
        <v>1220703125</v>
      </c>
      <c r="S4" s="9">
        <f>SUM(Q4:R4)</f>
        <v>1220703125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732421875</v>
      </c>
      <c r="Q5" s="4">
        <v>244140625</v>
      </c>
      <c r="R5" s="5">
        <v>0</v>
      </c>
      <c r="S5" s="4">
        <f>SUM(Q5:R5)</f>
        <v>244140625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244140625</v>
      </c>
      <c r="R6" s="10">
        <f>SUM(R4:R5)</f>
        <v>1220703125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57922363281.25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15899658264.359566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7407.3394085161226</v>
      </c>
      <c r="E5" s="1">
        <v>7086.7827162146568</v>
      </c>
      <c r="F5" s="1">
        <v>6659.917062279419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62714.695214793894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231947.00871087547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464641.4397679877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158285.25490313442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168572.71512016328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L18" sqref="L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38" sqref="F38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2.6182822537944399</v>
      </c>
      <c r="E3" s="31">
        <v>0</v>
      </c>
      <c r="F3" s="31">
        <v>0</v>
      </c>
      <c r="G3" s="31"/>
      <c r="I3" s="165" t="b">
        <f>ABS(D3-I2)/(1+ABS(I2))&lt;=0.000001</f>
        <v>1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1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P17" sqref="P1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-1.0000000099949999</v>
      </c>
      <c r="E4" s="54">
        <v>-2.0000000199966701</v>
      </c>
      <c r="F4" s="157">
        <v>-9.9975000000010297E-9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F5" sqref="F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-1.0000000099949999</v>
      </c>
      <c r="E6" s="54">
        <v>-2.0000000199966701</v>
      </c>
      <c r="F6" s="157">
        <v>-9.9975000000010297E-9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-2.0000000199966701</v>
      </c>
      <c r="F6" s="157">
        <v>-9.9975000000010198E-9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-1.0000000099949999</v>
      </c>
      <c r="E6" s="54">
        <v>-2.0000000199966701</v>
      </c>
      <c r="F6" s="157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M19" sqref="M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-2.0000000099949999</v>
      </c>
      <c r="E4" s="157">
        <v>-2.0000000099966702</v>
      </c>
      <c r="F4" s="54">
        <v>-2.0000000099975002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-2.0000000099101101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L23" sqref="L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389</v>
      </c>
    </row>
    <row r="2" spans="1:13" ht="15.75" thickBot="1" x14ac:dyDescent="0.3">
      <c r="A2" s="65" t="s">
        <v>205</v>
      </c>
      <c r="D2" s="18" t="s">
        <v>390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H28" sqref="H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178199</v>
      </c>
      <c r="N9" s="58">
        <f ca="1">M9+1</f>
        <v>178200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H32" sqref="H32"/>
    </sheetView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259.12427759067214</v>
      </c>
      <c r="F7" s="57">
        <v>370.78251580169308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2260.5028959787887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7299.7572431177105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14228.731970433728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-2827.2637564441538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-3054.8150675713259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M18" sqref="M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0.16387950916791499</v>
      </c>
      <c r="E5" s="59">
        <v>5.2261757755666496</v>
      </c>
      <c r="F5" s="59">
        <v>2.51152201080149E-2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59.428111264208475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118.99498681747684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117.83968669250817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179.99999999999997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H32" sqref="H32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1782678.7370722741</v>
      </c>
      <c r="E13" s="30">
        <v>-172651.19822695851</v>
      </c>
      <c r="F13" s="30">
        <v>655198.16416781396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5668196.5361349285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23790002.160239965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48707484.89338439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18568369.341664948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7034414.0112865716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0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459</v>
      </c>
    </row>
    <row r="2" spans="1:8" x14ac:dyDescent="0.25">
      <c r="A2" s="17" t="s">
        <v>244</v>
      </c>
      <c r="B2" s="171"/>
      <c r="C2" s="171"/>
      <c r="D2" s="171"/>
      <c r="E2" s="171"/>
      <c r="F2" s="171"/>
      <c r="G2" s="171"/>
      <c r="H2" s="171"/>
    </row>
    <row r="3" spans="1:8" x14ac:dyDescent="0.25">
      <c r="A3" s="17" t="s">
        <v>461</v>
      </c>
      <c r="B3" s="171"/>
      <c r="C3" s="171"/>
      <c r="D3" s="171"/>
      <c r="E3" s="171"/>
      <c r="F3" s="171"/>
      <c r="G3" s="171"/>
      <c r="H3" s="171"/>
    </row>
    <row r="4" spans="1:8" x14ac:dyDescent="0.25">
      <c r="B4" s="171"/>
      <c r="C4" s="171"/>
      <c r="D4" s="171"/>
      <c r="E4" s="171"/>
      <c r="F4" s="171"/>
      <c r="G4" s="171"/>
      <c r="H4" s="171"/>
    </row>
    <row r="5" spans="1:8" ht="15.75" thickBot="1" x14ac:dyDescent="0.3">
      <c r="A5" s="17" t="s">
        <v>229</v>
      </c>
      <c r="B5" s="171"/>
      <c r="C5" s="171"/>
      <c r="D5" s="171"/>
      <c r="E5" s="171"/>
      <c r="F5" s="171"/>
      <c r="G5" s="171"/>
      <c r="H5" s="171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378</v>
      </c>
      <c r="C7" s="76" t="s">
        <v>379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380</v>
      </c>
      <c r="C8" s="76" t="s">
        <v>381</v>
      </c>
      <c r="D8" s="76">
        <v>4</v>
      </c>
      <c r="E8" s="76">
        <v>0</v>
      </c>
      <c r="F8" s="76">
        <v>1</v>
      </c>
      <c r="G8" s="76">
        <v>1.0000001000000001</v>
      </c>
      <c r="H8" s="114">
        <v>1E+100</v>
      </c>
    </row>
    <row r="9" spans="1:8" ht="15.75" thickBot="1" x14ac:dyDescent="0.3">
      <c r="B9" s="117" t="s">
        <v>382</v>
      </c>
      <c r="C9" s="118" t="s">
        <v>383</v>
      </c>
      <c r="D9" s="118">
        <v>3</v>
      </c>
      <c r="E9" s="118">
        <v>0</v>
      </c>
      <c r="F9" s="118">
        <v>2</v>
      </c>
      <c r="G9" s="168">
        <v>1E+100</v>
      </c>
      <c r="H9" s="120">
        <v>1.0000001000000001</v>
      </c>
    </row>
    <row r="10" spans="1:8" x14ac:dyDescent="0.25">
      <c r="B10" s="171"/>
      <c r="C10" s="171"/>
      <c r="D10" s="171"/>
      <c r="E10" s="171"/>
      <c r="F10" s="171"/>
      <c r="G10" s="171"/>
      <c r="H10" s="171"/>
    </row>
    <row r="11" spans="1:8" ht="15.75" thickBot="1" x14ac:dyDescent="0.3">
      <c r="A11" s="17" t="s">
        <v>134</v>
      </c>
      <c r="B11" s="171"/>
      <c r="C11" s="171"/>
      <c r="D11" s="171"/>
      <c r="E11" s="171"/>
      <c r="F11" s="171"/>
      <c r="G11" s="171"/>
      <c r="H11" s="171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384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385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386</v>
      </c>
      <c r="C15" s="76" t="s">
        <v>387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388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71"/>
      <c r="C17" s="171"/>
      <c r="D17" s="171"/>
      <c r="E17" s="171"/>
      <c r="F17" s="171"/>
      <c r="G17" s="171"/>
      <c r="H17" s="171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4</v>
      </c>
      <c r="F4">
        <v>3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37723.502543940398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37723.502543940398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37723.502543940398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37723.502543940398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37723.502543940398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C9" sqref="C9:F11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ABS(C4-C10)/(1+ABS(C10))&lt;=0.0001</f>
        <v>1</v>
      </c>
      <c r="D11" s="8" t="b">
        <f>ABS(D4-D10)/(1+ABS(D10))&lt;=0.0001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I5" sqref="I5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34.000293452716001</v>
      </c>
      <c r="E5">
        <v>0.588230223007153</v>
      </c>
    </row>
    <row r="6" spans="1:15" ht="15.75" thickBot="1" x14ac:dyDescent="0.3">
      <c r="A6" s="65" t="b">
        <f>AND(F21)</f>
        <v>1</v>
      </c>
      <c r="F6">
        <f>D5^2*E5^2</f>
        <v>400.00000799999111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20.000000199999779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34.588523675723152</v>
      </c>
      <c r="H9">
        <v>40</v>
      </c>
    </row>
    <row r="10" spans="1:15" x14ac:dyDescent="0.25">
      <c r="F10">
        <f>D5</f>
        <v>34.000293452716001</v>
      </c>
      <c r="G10" t="s">
        <v>9</v>
      </c>
      <c r="H10">
        <v>0</v>
      </c>
    </row>
    <row r="11" spans="1:15" x14ac:dyDescent="0.25">
      <c r="F11">
        <f>E5</f>
        <v>0.588230223007153</v>
      </c>
      <c r="H11">
        <v>0</v>
      </c>
    </row>
    <row r="12" spans="1:15" x14ac:dyDescent="0.25">
      <c r="F12">
        <f>E5*D5+E5+D5</f>
        <v>54.588523875722927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54.588523875722927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54.588523875722927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-14.588523475723374</v>
      </c>
      <c r="G15" t="s">
        <v>8</v>
      </c>
      <c r="H15">
        <v>0</v>
      </c>
      <c r="O15" s="90"/>
    </row>
    <row r="16" spans="1:15" x14ac:dyDescent="0.25">
      <c r="F16">
        <f>E5-D5*E5+D5</f>
        <v>14.588523475723374</v>
      </c>
      <c r="G16" t="s">
        <v>8</v>
      </c>
      <c r="H16">
        <v>60</v>
      </c>
      <c r="O16" s="90"/>
    </row>
    <row r="17" spans="6:15" x14ac:dyDescent="0.25">
      <c r="F17">
        <f>E5-D5+E5*D5</f>
        <v>-13.412063029709071</v>
      </c>
      <c r="G17" t="s">
        <v>8</v>
      </c>
      <c r="H17">
        <v>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H17" sqref="H17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2</v>
      </c>
      <c r="E4">
        <v>0</v>
      </c>
      <c r="F4">
        <v>27</v>
      </c>
    </row>
    <row r="5" spans="1:9" x14ac:dyDescent="0.25">
      <c r="A5" s="64" t="s">
        <v>210</v>
      </c>
    </row>
    <row r="6" spans="1:9" ht="15.75" thickBot="1" x14ac:dyDescent="0.3">
      <c r="A6" s="65" t="b">
        <f>AND(D12,E12,G12)</f>
        <v>1</v>
      </c>
      <c r="C6" t="s">
        <v>223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D10" s="170" t="s">
        <v>1</v>
      </c>
      <c r="E10" s="170" t="s">
        <v>2</v>
      </c>
      <c r="F10" s="170"/>
      <c r="G10" t="s">
        <v>243</v>
      </c>
    </row>
    <row r="11" spans="1:9" x14ac:dyDescent="0.25">
      <c r="D11" s="170">
        <v>2</v>
      </c>
      <c r="E11" s="170">
        <v>0</v>
      </c>
      <c r="F11" s="170"/>
      <c r="G11" s="170">
        <v>16</v>
      </c>
    </row>
    <row r="12" spans="1:9" x14ac:dyDescent="0.25">
      <c r="C12" s="88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7" sqref="I7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0.97701274154315954</v>
      </c>
      <c r="E5">
        <v>5.3962770737807286</v>
      </c>
      <c r="F5">
        <v>1.3020222598784112</v>
      </c>
      <c r="G5">
        <v>0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-3.581002031036526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-27.120246269772665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-19.444934194570365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1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1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1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0.94240514092647998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0.41277404754628999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285</v>
      </c>
      <c r="B2" s="171"/>
      <c r="C2" s="171"/>
      <c r="D2" s="171"/>
      <c r="E2" s="171"/>
      <c r="F2" s="171"/>
      <c r="G2" s="171"/>
      <c r="H2" s="171"/>
    </row>
    <row r="3" spans="1:8" x14ac:dyDescent="0.25">
      <c r="A3" s="17" t="s">
        <v>460</v>
      </c>
      <c r="B3" s="171"/>
      <c r="C3" s="171"/>
      <c r="D3" s="171"/>
      <c r="E3" s="171"/>
      <c r="F3" s="171"/>
      <c r="G3" s="171"/>
      <c r="H3" s="171"/>
    </row>
    <row r="4" spans="1:8" x14ac:dyDescent="0.25">
      <c r="B4" s="171"/>
      <c r="C4" s="171"/>
      <c r="D4" s="171"/>
      <c r="E4" s="171"/>
      <c r="F4" s="171"/>
      <c r="G4" s="171"/>
      <c r="H4" s="171"/>
    </row>
    <row r="5" spans="1:8" ht="15.75" thickBot="1" x14ac:dyDescent="0.3">
      <c r="A5" s="17" t="s">
        <v>229</v>
      </c>
      <c r="B5" s="171"/>
      <c r="C5" s="171"/>
      <c r="D5" s="171"/>
      <c r="E5" s="171"/>
      <c r="F5" s="171"/>
      <c r="G5" s="171"/>
      <c r="H5" s="171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71"/>
      <c r="C22" s="171"/>
      <c r="D22" s="171"/>
      <c r="E22" s="171"/>
      <c r="F22" s="171"/>
      <c r="G22" s="171"/>
      <c r="H22" s="171"/>
    </row>
    <row r="23" spans="1:8" ht="15.75" thickBot="1" x14ac:dyDescent="0.3">
      <c r="A23" s="17" t="s">
        <v>134</v>
      </c>
      <c r="B23" s="171"/>
      <c r="C23" s="171"/>
      <c r="D23" s="171"/>
      <c r="E23" s="171"/>
      <c r="F23" s="171"/>
      <c r="G23" s="171"/>
      <c r="H23" s="171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71"/>
      <c r="C33" s="171"/>
      <c r="D33" s="171"/>
      <c r="E33" s="171"/>
      <c r="F33" s="171"/>
      <c r="G33" s="171"/>
      <c r="H33" s="171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J10" sqref="J10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100.00000002</v>
      </c>
      <c r="E14">
        <v>99.999993509999996</v>
      </c>
      <c r="F14">
        <v>0</v>
      </c>
      <c r="G14">
        <v>0</v>
      </c>
      <c r="H14">
        <v>0</v>
      </c>
      <c r="I14">
        <f>SUM(D14:H14)</f>
        <v>199.99999352999998</v>
      </c>
      <c r="J14">
        <v>200</v>
      </c>
    </row>
    <row r="15" spans="1:10" x14ac:dyDescent="0.25">
      <c r="C15" t="s">
        <v>264</v>
      </c>
      <c r="D15">
        <v>0</v>
      </c>
      <c r="E15" s="88">
        <v>2.98000236491798E-6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265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13249.999901199892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D33" sqref="D33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135.092560863312</v>
      </c>
      <c r="E11" s="130"/>
    </row>
    <row r="12" spans="1:5" x14ac:dyDescent="0.25">
      <c r="C12" s="128" t="s">
        <v>329</v>
      </c>
      <c r="D12" s="129">
        <f>D11/D4</f>
        <v>27.018512172662401</v>
      </c>
      <c r="E12" s="130"/>
    </row>
    <row r="13" spans="1:5" x14ac:dyDescent="0.25">
      <c r="C13" s="128" t="s">
        <v>330</v>
      </c>
      <c r="D13" s="131">
        <f>D8*D11/2</f>
        <v>0.37011660510496441</v>
      </c>
      <c r="E13" s="130"/>
    </row>
    <row r="14" spans="1:5" x14ac:dyDescent="0.25">
      <c r="C14" s="128" t="s">
        <v>331</v>
      </c>
      <c r="D14" s="133">
        <f>D5/D12</f>
        <v>0.37011660509264088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L39" sqref="L39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206</v>
      </c>
      <c r="B2" s="94"/>
      <c r="C2" s="129" t="s">
        <v>340</v>
      </c>
      <c r="D2" s="129">
        <v>0</v>
      </c>
      <c r="E2" s="129">
        <v>0</v>
      </c>
      <c r="F2" s="137">
        <v>0.28761885519746</v>
      </c>
      <c r="G2" s="137">
        <v>0.50297082572652496</v>
      </c>
      <c r="H2" s="137">
        <v>1.7113029682710099</v>
      </c>
      <c r="I2" s="137">
        <v>0.50270377956726697</v>
      </c>
      <c r="J2" s="135">
        <f>SQRT(($F$2-D2)^2+($G$2-E2)^2)</f>
        <v>0.57939991145763892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0.57424960247619661</v>
      </c>
      <c r="K3" s="107"/>
      <c r="N3" s="97" t="s">
        <v>344</v>
      </c>
      <c r="O3" s="97">
        <f>$F$2</f>
        <v>0.28761885519746</v>
      </c>
      <c r="P3" s="97">
        <f>$G$2</f>
        <v>0.50297082572652496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0.57502131002755963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0.57970429196301865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1.4236841381190111</v>
      </c>
      <c r="K6" s="107"/>
      <c r="N6" s="97" t="s">
        <v>344</v>
      </c>
      <c r="O6" s="97">
        <f>$F$2</f>
        <v>0.28761885519746</v>
      </c>
      <c r="P6" s="97">
        <f>$G$2</f>
        <v>0.50297082572652496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3.732059254043425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1.7113029682710099</v>
      </c>
      <c r="P9" s="97">
        <f>$I$2</f>
        <v>0.50270377956726697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1.7113029682710099</v>
      </c>
      <c r="P12" s="97">
        <f>$I$2</f>
        <v>0.50270377956726697</v>
      </c>
    </row>
    <row r="14" spans="1:16" x14ac:dyDescent="0.25">
      <c r="N14" s="97" t="s">
        <v>344</v>
      </c>
      <c r="O14" s="97">
        <f>$F$2</f>
        <v>0.28761885519746</v>
      </c>
      <c r="P14" s="97">
        <f>$G$2</f>
        <v>0.50297082572652496</v>
      </c>
    </row>
    <row r="15" spans="1:16" x14ac:dyDescent="0.25">
      <c r="N15" s="97" t="s">
        <v>346</v>
      </c>
      <c r="O15" s="97">
        <f>$H$2</f>
        <v>1.7113029682710099</v>
      </c>
      <c r="P15" s="97">
        <f>$I$2</f>
        <v>0.50270377956726697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 t="shared" ref="F24:H24" si="0">ABS(F2-F23)/(1+ABS(F23))&lt;=0.001</f>
        <v>1</v>
      </c>
      <c r="G24" s="8" t="b">
        <f t="shared" si="0"/>
        <v>0</v>
      </c>
      <c r="H24" s="8" t="b">
        <f t="shared" si="0"/>
        <v>1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4" t="s">
        <v>348</v>
      </c>
      <c r="D1" s="174"/>
      <c r="E1" s="174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2.3571428571440802</v>
      </c>
      <c r="I4" s="148">
        <f>SIN(RADIANS(D7))*D2</f>
        <v>1.8557687223936723</v>
      </c>
    </row>
    <row r="5" spans="1:9" x14ac:dyDescent="0.25">
      <c r="A5" s="64" t="s">
        <v>210</v>
      </c>
      <c r="H5" s="148">
        <f>H4+COS(RADIANS(D8))*D3</f>
        <v>7.0000000000000195</v>
      </c>
      <c r="I5" s="148">
        <f>I4+SIN(RADIANS(D8))*D3</f>
        <v>-4.5630166312093934E-12</v>
      </c>
    </row>
    <row r="6" spans="1:9" ht="15.75" thickBot="1" x14ac:dyDescent="0.3">
      <c r="A6" s="65" t="b">
        <f>AND(F16)</f>
        <v>1</v>
      </c>
      <c r="C6" s="174" t="s">
        <v>229</v>
      </c>
      <c r="D6" s="174"/>
      <c r="E6" s="174"/>
    </row>
    <row r="7" spans="1:9" x14ac:dyDescent="0.25">
      <c r="A7" s="64" t="s">
        <v>211</v>
      </c>
      <c r="C7" s="150" t="s">
        <v>353</v>
      </c>
      <c r="D7" s="151">
        <v>-13281.786789298299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56138.213210701702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4" t="s">
        <v>356</v>
      </c>
      <c r="D10" s="174"/>
      <c r="E10" s="174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7.0000000000000195</v>
      </c>
      <c r="D12" s="153">
        <f>D4</f>
        <v>7</v>
      </c>
      <c r="E12" s="153">
        <f>D12-C12</f>
        <v>-1.9539925233402755E-14</v>
      </c>
      <c r="F12" s="153">
        <f>E12^2</f>
        <v>3.8180867812696971E-28</v>
      </c>
    </row>
    <row r="13" spans="1:9" x14ac:dyDescent="0.25">
      <c r="C13" s="153">
        <f>D2*SIN(RADIANS(D7))+D3*SIN(RADIANS(D8))</f>
        <v>-4.5630166312093934E-12</v>
      </c>
      <c r="D13" s="153">
        <v>0</v>
      </c>
      <c r="E13" s="153">
        <f>C13-D13</f>
        <v>-4.5630166312093934E-12</v>
      </c>
      <c r="F13" s="153">
        <f>E13^2</f>
        <v>2.0821120776693521E-23</v>
      </c>
    </row>
    <row r="15" spans="1:9" x14ac:dyDescent="0.25">
      <c r="C15" s="174" t="s">
        <v>361</v>
      </c>
      <c r="D15" s="174"/>
      <c r="E15" s="174"/>
      <c r="F15" s="154">
        <f>SUM(F12:F13)</f>
        <v>2.0821502585371648E-23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250.00000100758501</v>
      </c>
      <c r="E2">
        <v>99.999999000305607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49.999999850834904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350.00000000789061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99.999999000305607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-500.00000201517003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13"/>
  <sheetViews>
    <sheetView workbookViewId="0">
      <selection activeCell="F36" sqref="F36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249.99999999014099</v>
      </c>
      <c r="E2">
        <v>100.000000019719</v>
      </c>
      <c r="F2" s="88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70" t="s">
        <v>1</v>
      </c>
      <c r="E11" s="170" t="s">
        <v>2</v>
      </c>
      <c r="F11" s="170" t="s">
        <v>3</v>
      </c>
      <c r="G11" s="170" t="s">
        <v>243</v>
      </c>
    </row>
    <row r="12" spans="1:9" x14ac:dyDescent="0.25">
      <c r="D12" s="170">
        <v>250</v>
      </c>
      <c r="E12" s="170">
        <v>100</v>
      </c>
      <c r="F12" s="170">
        <v>0</v>
      </c>
      <c r="G12" s="170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5" t="s">
        <v>157</v>
      </c>
      <c r="C33" s="176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72</vt:i4>
      </vt:variant>
      <vt:variant>
        <vt:lpstr>Named Ranges</vt:lpstr>
      </vt:variant>
      <vt:variant>
        <vt:i4>159</vt:i4>
      </vt:variant>
    </vt:vector>
  </HeadingPairs>
  <TitlesOfParts>
    <vt:vector size="231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2014-08-13T04:02:16Z</dcterms:modified>
</cp:coreProperties>
</file>