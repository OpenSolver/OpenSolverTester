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8480" windowHeight="20460" firstSheet="54" activeTab="56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>
    <functionGroup name="PSI Distribution"/>
    <functionGroup name="PSI Statistics"/>
    <functionGroup name="PSI Property"/>
    <functionGroup name="PSI Dimension"/>
    <functionGroup name="PSI Optimization"/>
    <functionGroup name="PSI Data Mining"/>
  </functionGroups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NOMAD</definedName>
    <definedName name="OpenSolver_ChosenSolver" localSheetId="18" hidden="1">NOMAD</definedName>
    <definedName name="OpenSolver_ChosenSolver" localSheetId="32" hidden="1">NOMAD</definedName>
    <definedName name="OpenSolver_ChosenSolver" localSheetId="6" hidden="1">NOMAD</definedName>
    <definedName name="OpenSolver_ChosenSolver" localSheetId="5" hidden="1">NOMAD</definedName>
    <definedName name="OpenSolver_ChosenSolver" localSheetId="45" hidden="1">NOMAD</definedName>
    <definedName name="OpenSolver_ChosenSolver" localSheetId="19" hidden="1">NOMAD</definedName>
    <definedName name="OpenSolver_ChosenSolver" localSheetId="20" hidden="1">NOMAD</definedName>
    <definedName name="OpenSolver_ChosenSolver" localSheetId="41" hidden="1">NOMAD</definedName>
    <definedName name="OpenSolver_ChosenSolver" localSheetId="38" hidden="1">NOMAD</definedName>
    <definedName name="OpenSolver_ChosenSolver" localSheetId="40" hidden="1">NOMAD</definedName>
    <definedName name="OpenSolver_ChosenSolver" localSheetId="23" hidden="1">NOMAD</definedName>
    <definedName name="OpenSolver_ChosenSolver" localSheetId="24" hidden="1">NOMAD</definedName>
    <definedName name="OpenSolver_ChosenSolver" localSheetId="50" hidden="1">NOMAD</definedName>
    <definedName name="OpenSolver_ChosenSolver" localSheetId="30" hidden="1">NOMAD</definedName>
    <definedName name="OpenSolver_ChosenSolver" localSheetId="9" hidden="1">NOMAD</definedName>
    <definedName name="OpenSolver_ChosenSolver" localSheetId="10" hidden="1">NOMAD</definedName>
    <definedName name="OpenSolver_ChosenSolver" localSheetId="8" hidden="1">NOMAD</definedName>
    <definedName name="OpenSolver_ChosenSolver" localSheetId="22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44" hidden="1">NOMAD</definedName>
    <definedName name="OpenSolver_ChosenSolver" localSheetId="29" hidden="1">NOMAD</definedName>
    <definedName name="OpenSolver_ChosenSolver" localSheetId="25" hidden="1">NOMAD</definedName>
    <definedName name="OpenSolver_ChosenSolver" localSheetId="46" hidden="1">NOMAD</definedName>
    <definedName name="OpenSolver_ChosenSolver" localSheetId="47" hidden="1">NOMAD</definedName>
    <definedName name="OpenSolver_ChosenSolver" localSheetId="35" hidden="1">NOMAD</definedName>
    <definedName name="OpenSolver_ChosenSolver" localSheetId="16" hidden="1">NOMAD</definedName>
    <definedName name="OpenSolver_ChosenSolver" localSheetId="17" hidden="1">NOMAD</definedName>
    <definedName name="OpenSolver_ChosenSolver" localSheetId="15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51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7" hidden="1">NOMAD</definedName>
    <definedName name="OpenSolver_ChosenSolver" localSheetId="68" hidden="1">NOMAD</definedName>
    <definedName name="OpenSolver_ChosenSolver" localSheetId="62" hidden="1">NOMAD</definedName>
    <definedName name="OpenSolver_ChosenSolver" localSheetId="61" hidden="1">NOMAD</definedName>
    <definedName name="OpenSolver_ChosenSolver" localSheetId="57" hidden="1">CBC</definedName>
    <definedName name="OpenSolver_ChosenSolver" localSheetId="60" hidden="1">NOMAD</definedName>
    <definedName name="OpenSolver_ChosenSolver" localSheetId="58" hidden="1">NOMAD</definedName>
    <definedName name="OpenSolver_ChosenSolver" localSheetId="59" hidden="1">NOMAD</definedName>
    <definedName name="OpenSolver_ChosenSolver" localSheetId="56" hidden="1">CBC</definedName>
    <definedName name="OpenSolver_ChosenSolver" localSheetId="48" hidden="1">NOMAD</definedName>
    <definedName name="OpenSolver_ChosenSolver" localSheetId="4" hidden="1">NOMAD</definedName>
    <definedName name="OpenSolver_ChosenSolver" localSheetId="36" hidden="1">NOMAD</definedName>
    <definedName name="OpenSolver_ChosenSolver" localSheetId="37" hidden="1">NOMAD</definedName>
    <definedName name="OpenSolver_ChosenSolver" localSheetId="28" hidden="1">NOMAD</definedName>
    <definedName name="OpenSolver_ChosenSolver" localSheetId="52" hidden="1">NOMAD</definedName>
    <definedName name="OpenSolver_ChosenSolver" localSheetId="34" hidden="1">NOMAD</definedName>
    <definedName name="OpenSolver_ChosenSolver" localSheetId="1" hidden="1">CBC</definedName>
    <definedName name="OpenSolver_ChosenSolver" localSheetId="49" hidden="1">NOMAD</definedName>
    <definedName name="OpenSolver_ChosenSolver" localSheetId="54" hidden="1">NOMAD</definedName>
    <definedName name="OpenSolver_ChosenSolver" localSheetId="55" hidden="1">NOMAD</definedName>
    <definedName name="OpenSolver_ChosenSolver" localSheetId="3" hidden="1">NOMAD</definedName>
    <definedName name="OpenSolver_ChosenSolver" localSheetId="2" hidden="1">NOMAD</definedName>
    <definedName name="OpenSolver_ChosenSolver" localSheetId="31" hidden="1">NOMAD</definedName>
    <definedName name="OpenSolver_ChosenSolver" localSheetId="53" hidden="1">NOMAD</definedName>
    <definedName name="OpenSolver_ChosenSolver" localSheetId="11" hidden="1">NOMAD</definedName>
    <definedName name="OpenSolver_ChosenSolver" localSheetId="7" hidden="1">NOMAD</definedName>
    <definedName name="OpenSolver_ChosenSolver" localSheetId="27" hidden="1">NOMAD</definedName>
    <definedName name="OpenSolver_ChosenSolver" localSheetId="43" hidden="1">NOMAD</definedName>
    <definedName name="OpenSolver_ChosenSolver" localSheetId="39" hidden="1">NOMAD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57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GurobiParameters" localSheetId="53" hidden="1">SolverParameters!$F$5:$G$5</definedName>
    <definedName name="OpenSolver_LinearityCheck" localSheetId="21" hidden="1">1</definedName>
    <definedName name="OpenSolver_LinearityCheck" localSheetId="33" hidden="1">1</definedName>
    <definedName name="OpenSolver_LinearityCheck" localSheetId="18" hidden="1">1</definedName>
    <definedName name="OpenSolver_LinearityCheck" localSheetId="32" hidden="1">1</definedName>
    <definedName name="OpenSolver_LinearityCheck" localSheetId="6" hidden="1">1</definedName>
    <definedName name="OpenSolver_LinearityCheck" localSheetId="5" hidden="1">1</definedName>
    <definedName name="OpenSolver_LinearityCheck" localSheetId="45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41" hidden="1">1</definedName>
    <definedName name="OpenSolver_LinearityCheck" localSheetId="38" hidden="1">1</definedName>
    <definedName name="OpenSolver_LinearityCheck" localSheetId="40" hidden="1">1</definedName>
    <definedName name="OpenSolver_LinearityCheck" localSheetId="23" hidden="1">1</definedName>
    <definedName name="OpenSolver_LinearityCheck" localSheetId="24" hidden="1">1</definedName>
    <definedName name="OpenSolver_LinearityCheck" localSheetId="50" hidden="1">1</definedName>
    <definedName name="OpenSolver_LinearityCheck" localSheetId="30" hidden="1">1</definedName>
    <definedName name="OpenSolver_LinearityCheck" localSheetId="9" hidden="1">1</definedName>
    <definedName name="OpenSolver_LinearityCheck" localSheetId="10" hidden="1">1</definedName>
    <definedName name="OpenSolver_LinearityCheck" localSheetId="8" hidden="1">1</definedName>
    <definedName name="OpenSolver_LinearityCheck" localSheetId="22" hidden="1">1</definedName>
    <definedName name="OpenSolver_LinearityCheck" localSheetId="26" hidden="1">1</definedName>
    <definedName name="OpenSolver_LinearityCheck" localSheetId="42" hidden="1">1</definedName>
    <definedName name="OpenSolver_LinearityCheck" localSheetId="44" hidden="1">1</definedName>
    <definedName name="OpenSolver_LinearityCheck" localSheetId="29" hidden="1">1</definedName>
    <definedName name="OpenSolver_LinearityCheck" localSheetId="2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3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13" hidden="1">1</definedName>
    <definedName name="OpenSolver_LinearityCheck" localSheetId="12" hidden="1">1</definedName>
    <definedName name="OpenSolver_LinearityCheck" localSheetId="51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5" hidden="1">1</definedName>
    <definedName name="OpenSolver_LinearityCheck" localSheetId="66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2" hidden="1">1</definedName>
    <definedName name="OpenSolver_LinearityCheck" localSheetId="61" hidden="1">1</definedName>
    <definedName name="OpenSolver_LinearityCheck" localSheetId="57" hidden="1">1</definedName>
    <definedName name="OpenSolver_LinearityCheck" localSheetId="60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56" hidden="1">1</definedName>
    <definedName name="OpenSolver_LinearityCheck" localSheetId="48" hidden="1">1</definedName>
    <definedName name="OpenSolver_LinearityCheck" localSheetId="4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28" hidden="1">1</definedName>
    <definedName name="OpenSolver_LinearityCheck" localSheetId="34" hidden="1">1</definedName>
    <definedName name="OpenSolver_LinearityCheck" localSheetId="1" hidden="1">1</definedName>
    <definedName name="OpenSolver_LinearityCheck" localSheetId="49" hidden="1">1</definedName>
    <definedName name="OpenSolver_LinearityCheck" localSheetId="54" hidden="1">1</definedName>
    <definedName name="OpenSolver_LinearityCheck" localSheetId="55" hidden="1">1</definedName>
    <definedName name="OpenSolver_LinearityCheck" localSheetId="3" hidden="1">1</definedName>
    <definedName name="OpenSolver_LinearityCheck" localSheetId="2" hidden="1">1</definedName>
    <definedName name="OpenSolver_LinearityCheck" localSheetId="31" hidden="1">1</definedName>
    <definedName name="OpenSolver_LinearityCheck" localSheetId="53" hidden="1">1</definedName>
    <definedName name="OpenSolver_LinearityCheck" localSheetId="11" hidden="1">1</definedName>
    <definedName name="OpenSolver_LinearityCheck" localSheetId="7" hidden="1">1</definedName>
    <definedName name="OpenSolver_LinearityCheck" localSheetId="27" hidden="1">1</definedName>
    <definedName name="OpenSolver_LinearityCheck" localSheetId="43" hidden="1">1</definedName>
    <definedName name="OpenSolver_LinearityCheck" localSheetId="39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57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SensitivityNames!$J$21,SensitivityNames!$D$14:$H$16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20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8" hidden="1">NonLin6!$D$7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8" hidden="1">NonLin6!$D$7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68" hidden="1">NonLin6!$D$8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68" hidden="1">NonLin6!$D$8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8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8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68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68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8" hidden="1">0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8" hidden="1">90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68" hidden="1">-180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68" hidden="1">0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69" hidden="1">0.05</definedName>
    <definedName name="solver_tol" localSheetId="63" hidden="1">0.01</definedName>
    <definedName name="solver_tol" localSheetId="57" hidden="1">0.05</definedName>
    <definedName name="solver_tol" localSheetId="56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9" i="60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/>
  <c r="S4" i="9"/>
  <c r="I7" i="9"/>
  <c r="D20" i="77"/>
  <c r="C12" i="88"/>
  <c r="D12" i="88"/>
  <c r="E12" i="88"/>
  <c r="F12" i="88"/>
  <c r="C13" i="88"/>
  <c r="E13" i="88"/>
  <c r="F13" i="88"/>
  <c r="F15" i="88"/>
  <c r="J2" i="87"/>
  <c r="J3" i="87"/>
  <c r="J6" i="87"/>
  <c r="J4" i="87"/>
  <c r="J5" i="87"/>
  <c r="J7" i="87"/>
  <c r="P3" i="75"/>
  <c r="P4" i="75"/>
  <c r="S13" i="75"/>
  <c r="F4" i="68"/>
  <c r="I39" i="3"/>
  <c r="C6" i="95"/>
  <c r="I6" i="71"/>
  <c r="G6" i="70"/>
  <c r="F6" i="69"/>
  <c r="H5" i="19"/>
  <c r="H5" i="38"/>
  <c r="H5" i="20"/>
  <c r="G6" i="65"/>
  <c r="H15" i="2"/>
  <c r="H6" i="4"/>
  <c r="I6" i="66"/>
  <c r="G17" i="92"/>
  <c r="G4" i="92"/>
  <c r="H7" i="57"/>
  <c r="H7" i="11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J6" i="41"/>
  <c r="J6" i="14"/>
  <c r="H7" i="12"/>
  <c r="H6" i="94"/>
  <c r="S4" i="8"/>
  <c r="I7" i="8"/>
  <c r="I6" i="6"/>
  <c r="H7" i="35"/>
  <c r="H7" i="34"/>
  <c r="H7" i="33"/>
  <c r="H7" i="31"/>
  <c r="H6" i="27"/>
  <c r="H6" i="26"/>
  <c r="H6" i="25"/>
  <c r="H6" i="32"/>
  <c r="H6" i="24"/>
  <c r="H6" i="22"/>
  <c r="E10" i="113"/>
  <c r="D8" i="85"/>
  <c r="D13" i="85"/>
  <c r="D12" i="85"/>
  <c r="D14" i="85"/>
  <c r="D16" i="85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<sst xmlns="http://schemas.openxmlformats.org/spreadsheetml/2006/main" count="2187" uniqueCount="365">
  <si>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</si>
  <si>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</si>
  <si>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</si>
  <si>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</si>
  <si>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</si>
  <si>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</si>
  <si>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</si>
  <si>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</si>
  <si>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</si>
  <si>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</si>
  <si>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</si>
  <si>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</si>
  <si>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</si>
  <si>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</si>
  <si>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</si>
  <si>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</si>
  <si>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</si>
  <si>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</si>
  <si>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</si>
  <si>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</si>
  <si>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</si>
  <si>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</si>
  <si>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</si>
  <si>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</si>
  <si>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</si>
  <si>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</si>
  <si>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</si>
  <si>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</si>
  <si>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</si>
  <si>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</si>
  <si>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</si>
  <si>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</si>
  <si>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</si>
  <si>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</si>
  <si>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</si>
  <si>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</si>
  <si>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</si>
  <si>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</si>
  <si>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</si>
  <si>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</si>
  <si>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</si>
  <si>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</si>
  <si>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</si>
  <si>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</si>
  <si>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</si>
  <si>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</si>
  <si>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</si>
  <si>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</si>
  <si>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</si>
  <si>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</si>
  <si>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</si>
  <si>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</si>
  <si>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</si>
  <si>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</si>
  <si>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</si>
  <si>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</si>
  <si>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</si>
  <si>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</si>
  <si>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</si>
  <si>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</si>
  <si>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</si>
  <si>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</si>
  <si>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</si>
  <si>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</si>
  <si>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</si>
  <si>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</si>
  <si>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</si>
  <si>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</si>
  <si>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</si>
  <si>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</si>
  <si>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</si>
  <si>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</si>
  <si>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</si>
  <si>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</si>
  <si>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</si>
  <si>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</si>
  <si>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</si>
  <si>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</si>
  <si>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</si>
  <si>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</si>
  <si>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</si>
  <si>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</si>
  <si>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</si>
  <si>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</si>
  <si>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</si>
  <si>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</si>
  <si>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</si>
  <si>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</si>
  <si>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</si>
  <si>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</si>
  <si>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</si>
  <si>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</si>
  <si>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</si>
  <si>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</si>
  <si>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</si>
  <si>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</si>
  <si>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</si>
  <si>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</si>
  <si>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</si>
  <si>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</si>
  <si>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</si>
  <si>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</si>
  <si>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</si>
  <si>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</si>
  <si>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</si>
  <si>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</si>
  <si>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</si>
  <si>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</si>
  <si>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</si>
  <si>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</si>
  <si>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</si>
  <si>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</si>
  <si>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</si>
  <si>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</si>
  <si>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</si>
  <si>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</si>
  <si>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</si>
  <si>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</si>
  <si>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</si>
  <si>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</si>
  <si>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</si>
  <si>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</si>
  <si>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</si>
  <si>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</si>
  <si>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</si>
  <si>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</si>
  <si>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</si>
  <si>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</si>
  <si>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</si>
  <si>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</si>
  <si>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</si>
  <si>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</si>
  <si>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</si>
  <si>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</si>
  <si>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</si>
  <si>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</si>
  <si>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</si>
  <si>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</si>
  <si>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</si>
  <si>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</si>
  <si>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</si>
  <si>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</si>
  <si>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</si>
  <si>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</si>
  <si>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</si>
  <si>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</si>
  <si>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</si>
  <si>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</si>
  <si>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</si>
  <si>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</si>
  <si>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</si>
  <si>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</si>
  <si>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</si>
  <si>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</si>
  <si>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</si>
  <si>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</si>
  <si>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</si>
  <si>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</si>
  <si>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</si>
  <si>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</si>
  <si>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</si>
  <si>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</si>
  <si>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</si>
  <si>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</si>
  <si>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</si>
  <si>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</si>
  <si>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</si>
  <si>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</si>
  <si>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</si>
  <si>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</si>
  <si>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</si>
  <si>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</si>
  <si>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</si>
  <si>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</si>
  <si>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</si>
  <si>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</si>
  <si>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</si>
  <si>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</si>
  <si>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</si>
  <si>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</si>
  <si>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</si>
  <si>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</si>
  <si>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</si>
  <si>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</si>
  <si>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</si>
  <si>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</si>
  <si>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</si>
  <si>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</si>
  <si>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</si>
  <si>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</si>
  <si>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</si>
  <si>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</si>
  <si>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</si>
  <si>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</si>
  <si>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</si>
  <si>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</si>
  <si>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</si>
  <si>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</si>
  <si>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</si>
  <si>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</si>
  <si>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</si>
  <si>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</si>
  <si>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</si>
  <si>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</si>
  <si>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</si>
  <si>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</si>
  <si>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</si>
  <si>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</si>
  <si>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</si>
  <si>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</si>
  <si>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</si>
  <si>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</si>
  <si>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</si>
  <si>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</si>
  <si>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</si>
  <si>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</si>
  <si>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</si>
  <si>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</si>
  <si>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</si>
  <si>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</si>
  <si>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</si>
  <si>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</si>
  <si>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</si>
  <si>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</si>
  <si>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</si>
  <si>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</si>
  <si>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</si>
  <si>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</si>
  <si>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</si>
  <si>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</si>
  <si>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</si>
  <si>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</si>
  <si>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</si>
  <si>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</si>
  <si>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</si>
  <si>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</si>
  <si>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</si>
  <si>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</si>
  <si>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</si>
  <si>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</si>
  <si>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</si>
  <si>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</si>
  <si>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</si>
  <si>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</si>
  <si>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</si>
  <si>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</si>
  <si>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</si>
  <si>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</si>
  <si>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</si>
  <si>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</si>
  <si>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</si>
  <si>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</si>
  <si>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</si>
  <si>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</si>
  <si>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</si>
  <si>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</si>
  <si>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</si>
  <si>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</si>
  <si>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</si>
  <si>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</si>
  <si>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</si>
  <si>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</si>
  <si>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</si>
  <si>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</si>
  <si>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</si>
  <si>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</si>
  <si>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</si>
  <si>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</si>
  <si>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</si>
  <si>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</si>
  <si>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</si>
  <si>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</si>
  <si>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</si>
  <si>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</si>
  <si>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</si>
  <si>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</si>
  <si>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</si>
  <si>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</si>
  <si>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</si>
  <si>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</si>
  <si>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</si>
  <si>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</si>
  <si>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</si>
  <si>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</si>
  <si>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</si>
  <si>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</si>
  <si>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</si>
  <si>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</si>
  <si>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</si>
  <si>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</si>
  <si>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</si>
  <si>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</si>
  <si>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</si>
  <si>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</si>
  <si>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</si>
  <si>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</si>
  <si>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</si>
  <si>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</si>
  <si>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</si>
  <si>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</si>
  <si>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</si>
  <si>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</si>
  <si>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</si>
  <si>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</si>
  <si>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</si>
  <si>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</si>
  <si>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</si>
  <si>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</si>
  <si>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</si>
  <si>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</si>
  <si>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</si>
  <si>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</si>
  <si>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</si>
  <si>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</si>
  <si>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</si>
  <si>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</si>
  <si>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</si>
  <si>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</si>
  <si>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</si>
  <si>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</si>
  <si>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</si>
  <si>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</si>
  <si>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</si>
  <si>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</si>
  <si>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</si>
  <si>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</si>
  <si>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</si>
  <si>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</si>
  <si>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</si>
  <si>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</si>
  <si>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</si>
  <si>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</si>
  <si>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</si>
  <si>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</si>
  <si>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</si>
  <si>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</si>
  <si>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</si>
  <si>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</si>
  <si>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</si>
  <si>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</si>
  <si>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</si>
  <si>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</si>
  <si>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</si>
  <si>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</si>
  <si>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</si>
  <si>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</si>
  <si>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</si>
  <si>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</si>
  <si>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</si>
  <si>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</si>
  <si>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</si>
  <si>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</si>
  <si>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</si>
  <si>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</si>
  <si>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</si>
  <si>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</si>
  <si>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</si>
  <si>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</si>
  <si>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</si>
  <si>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</si>
  <si>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</si>
  <si>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FAIL</t>
  </si>
  <si>
    <t>G12&lt;=I12</t>
  </si>
  <si>
    <t>FAIL*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</si>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</sst>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84116320"/>
        <c:axId val="584133568"/>
        <c:axId val="661017680"/>
      </c:surface3DChart>
      <c:catAx>
        <c:axId val="58411632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3356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8413356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16320"/>
        <c:crosses val="min"/>
        <c:crossBetween val="between"/>
        <c:majorUnit val="0.1"/>
      </c:valAx>
      <c:serAx>
        <c:axId val="66101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3356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131216"/>
        <c:axId val="584133176"/>
      </c:scatterChart>
      <c:valAx>
        <c:axId val="58413121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33176"/>
        <c:crosses val="autoZero"/>
        <c:crossBetween val="midCat"/>
        <c:majorUnit val="0.5"/>
      </c:valAx>
      <c:valAx>
        <c:axId val="58413317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3121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2.3571428571428554</c:v>
                </c:pt>
                <c:pt idx="2">
                  <c:v>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1.8557687223952275</c:v>
                </c:pt>
                <c:pt idx="2">
                  <c:v>5.3290705182007514E-15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129256"/>
        <c:axId val="584129648"/>
      </c:scatterChart>
      <c:valAx>
        <c:axId val="58412925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29648"/>
        <c:crosses val="autoZero"/>
        <c:crossBetween val="midCat"/>
        <c:majorUnit val="1"/>
      </c:valAx>
      <c:valAx>
        <c:axId val="58412964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1292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6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6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67" name="OpenSolver6"/>
        <xdr:cNvCxnSpPr>
          <a:stCxn id="65" idx="3"/>
          <a:endCxn id="6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6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71" name="OpenSolver10"/>
        <xdr:cNvCxnSpPr>
          <a:stCxn id="69" idx="3"/>
          <a:endCxn id="7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7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5" name="OpenSolver14"/>
        <xdr:cNvCxnSpPr>
          <a:stCxn id="73" idx="3"/>
          <a:endCxn id="7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8768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69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8770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771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772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8773" name="OpenSolver6"/>
        <xdr:cNvCxnSpPr>
          <a:stCxn id="8771" idx="3"/>
          <a:endCxn id="8772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774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775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776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8777" name="OpenSolver10"/>
        <xdr:cNvCxnSpPr>
          <a:stCxn id="8775" idx="3"/>
          <a:endCxn id="8776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8778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779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780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781" name="OpenSolver14"/>
        <xdr:cNvCxnSpPr>
          <a:stCxn id="8779" idx="3"/>
          <a:endCxn id="8780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8782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783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784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785" name="OpenSolver18"/>
        <xdr:cNvCxnSpPr>
          <a:stCxn id="8783" idx="3"/>
          <a:endCxn id="8784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8786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87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26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8263" name="OpenSolver22"/>
        <xdr:cNvCxnSpPr>
          <a:stCxn id="8787" idx="3"/>
          <a:endCxn id="826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826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26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26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267" name="OpenSolver26"/>
        <xdr:cNvCxnSpPr>
          <a:stCxn id="8265" idx="3"/>
          <a:endCxn id="826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826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4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4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3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90≥,0≤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4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0≥,-180≤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opLeftCell="A31" zoomScale="85" zoomScaleNormal="85" zoomScalePageLayoutView="85" workbookViewId="0">
      <selection activeCell="A57" sqref="A57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E3" s="59" t="s">
        <v>332</v>
      </c>
      <c r="F3" s="59" t="s">
        <v>332</v>
      </c>
      <c r="G3" s="59" t="s">
        <v>332</v>
      </c>
    </row>
    <row r="4" spans="1: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  <c r="E4" s="59" t="s">
        <v>332</v>
      </c>
      <c r="F4" s="59" t="s">
        <v>332</v>
      </c>
      <c r="G4" s="59" t="s">
        <v>332</v>
      </c>
    </row>
    <row r="5" spans="1:9" x14ac:dyDescent="0.25">
      <c r="A5" s="155" t="str">
        <f>HYPERLINK("[OpenSolver Tester.xlsm]'OverlappingVars'!A1", "OverlappingVars")</f>
        <v>OverlappingVars</v>
      </c>
      <c r="B5" s="59" t="s">
        <v>332</v>
      </c>
      <c r="C5" s="59" t="s">
        <v>332</v>
      </c>
      <c r="E5" s="59" t="s">
        <v>332</v>
      </c>
      <c r="F5" s="59" t="s">
        <v>332</v>
      </c>
      <c r="G5" s="59" t="s">
        <v>332</v>
      </c>
      <c r="H5"/>
    </row>
    <row r="6" spans="1:9" x14ac:dyDescent="0.25">
      <c r="A6" s="155" t="str">
        <f>HYPERLINK("[OpenSolver Tester.xlsm]'BlankRHS'!A1", "BlankRHS")</f>
        <v>BlankRHS</v>
      </c>
      <c r="B6" s="59" t="s">
        <v>332</v>
      </c>
      <c r="C6" s="59" t="s">
        <v>332</v>
      </c>
      <c r="E6" s="59" t="s">
        <v>332</v>
      </c>
      <c r="F6" s="59" t="s">
        <v>332</v>
      </c>
      <c r="G6" s="59" t="s">
        <v>332</v>
      </c>
      <c r="H6"/>
    </row>
    <row r="7" spans="1:9" x14ac:dyDescent="0.25">
      <c r="A7" s="155" t="str">
        <f>HYPERLINK("[OpenSolver Tester.xlsm]'BlankLHS'!A1", "BlankLHS")</f>
        <v>BlankLHS</v>
      </c>
      <c r="B7" s="59" t="s">
        <v>332</v>
      </c>
      <c r="C7" s="59" t="s">
        <v>332</v>
      </c>
      <c r="E7" s="59" t="s">
        <v>332</v>
      </c>
      <c r="F7" s="59" t="s">
        <v>332</v>
      </c>
      <c r="G7" s="59" t="s">
        <v>332</v>
      </c>
      <c r="H7"/>
    </row>
    <row r="8" spans="1:9" x14ac:dyDescent="0.25">
      <c r="A8" s="155" t="str">
        <f>HYPERLINK("[OpenSolver Tester.xlsm]'TextRHS'!A1", "TextRHS")</f>
        <v>TextRHS</v>
      </c>
      <c r="B8" s="59" t="s">
        <v>332</v>
      </c>
      <c r="C8" s="59" t="s">
        <v>332</v>
      </c>
      <c r="E8" s="59" t="s">
        <v>332</v>
      </c>
      <c r="F8" s="59" t="s">
        <v>332</v>
      </c>
      <c r="G8" s="59" t="s">
        <v>332</v>
      </c>
      <c r="H8"/>
    </row>
    <row r="9" spans="1:9" x14ac:dyDescent="0.25">
      <c r="A9" s="155" t="str">
        <f>HYPERLINK("[OpenSolver Tester.xlsm]'ErrorRHS'!A1", "ErrorRHS")</f>
        <v>ErrorRHS</v>
      </c>
      <c r="B9" s="59" t="s">
        <v>332</v>
      </c>
      <c r="C9" s="59" t="s">
        <v>332</v>
      </c>
      <c r="E9" s="59" t="s">
        <v>332</v>
      </c>
      <c r="F9" s="59" t="s">
        <v>332</v>
      </c>
      <c r="G9" s="59" t="s">
        <v>332</v>
      </c>
      <c r="H9"/>
    </row>
    <row r="10" spans="1:9" x14ac:dyDescent="0.25">
      <c r="A10" s="155" t="str">
        <f>HYPERLINK("[OpenSolver Tester.xlsm]'ErrorLHS'!A1", "ErrorLHS")</f>
        <v>ErrorLHS</v>
      </c>
      <c r="B10" s="59" t="s">
        <v>332</v>
      </c>
      <c r="C10" s="59" t="s">
        <v>332</v>
      </c>
      <c r="E10" s="59" t="s">
        <v>332</v>
      </c>
      <c r="F10" s="59" t="s">
        <v>332</v>
      </c>
      <c r="G10" s="59" t="s">
        <v>332</v>
      </c>
    </row>
    <row r="11" spans="1:9" x14ac:dyDescent="0.25">
      <c r="A11" s="155" t="str">
        <f>HYPERLINK("[OpenSolver Tester.xlsm]'ErrorObj'!A1", "ErrorObj")</f>
        <v>ErrorObj</v>
      </c>
      <c r="B11" s="59" t="s">
        <v>332</v>
      </c>
      <c r="C11" s="59" t="s">
        <v>332</v>
      </c>
      <c r="E11" s="59" t="s">
        <v>332</v>
      </c>
      <c r="F11" s="59" t="s">
        <v>332</v>
      </c>
      <c r="G11" s="59" t="s">
        <v>332</v>
      </c>
    </row>
    <row r="12" spans="1:9" x14ac:dyDescent="0.25">
      <c r="A12" s="155" t="str">
        <f>HYPERLINK("[OpenSolver Tester.xlsm]'TextObj'!A1", "TextObj")</f>
        <v>TextObj</v>
      </c>
      <c r="B12" s="59" t="s">
        <v>332</v>
      </c>
      <c r="C12" s="59" t="s">
        <v>332</v>
      </c>
      <c r="E12" s="59" t="s">
        <v>332</v>
      </c>
      <c r="F12" s="59" t="s">
        <v>332</v>
      </c>
      <c r="G12" s="59" t="s">
        <v>332</v>
      </c>
    </row>
    <row r="13" spans="1:9" x14ac:dyDescent="0.25">
      <c r="A13" s="155" t="str">
        <f>HYPERLINK("[OpenSolver Tester.xlsm]'MergedVarsSubset'!A1", "MergedVarsSubset")</f>
        <v>MergedVarsSubset</v>
      </c>
      <c r="B13" s="59" t="s">
        <v>332</v>
      </c>
      <c r="C13" s="59" t="s">
        <v>332</v>
      </c>
      <c r="E13" s="59" t="s">
        <v>332</v>
      </c>
      <c r="F13" s="59" t="s">
        <v>332</v>
      </c>
      <c r="G13" s="59" t="s">
        <v>332</v>
      </c>
    </row>
    <row r="14" spans="1:9" x14ac:dyDescent="0.25">
      <c r="A14" s="155" t="str">
        <f>HYPERLINK("[OpenSolver Tester.xlsm]'MergedVarsOK'!A1", "MergedVarsOK")</f>
        <v>MergedVarsOK</v>
      </c>
      <c r="B14" s="59" t="s">
        <v>332</v>
      </c>
      <c r="C14" s="59" t="s">
        <v>332</v>
      </c>
      <c r="E14" s="59" t="s">
        <v>332</v>
      </c>
      <c r="F14" s="59" t="s">
        <v>332</v>
      </c>
      <c r="G14" s="59" t="s">
        <v>332</v>
      </c>
    </row>
    <row r="15" spans="1:9" x14ac:dyDescent="0.25">
      <c r="A15" s="155" t="str">
        <f>HYPERLINK("[OpenSolver Tester.xlsm]'MergedVarsBad'!A1", "MergedVarsBad")</f>
        <v>MergedVarsBad</v>
      </c>
      <c r="B15" s="59" t="s">
        <v>332</v>
      </c>
      <c r="C15" s="59" t="s">
        <v>332</v>
      </c>
      <c r="E15" s="59" t="s">
        <v>332</v>
      </c>
      <c r="F15" s="59" t="s">
        <v>332</v>
      </c>
      <c r="G15" s="59" t="s">
        <v>332</v>
      </c>
    </row>
    <row r="16" spans="1:9" x14ac:dyDescent="0.25">
      <c r="A16" s="155" t="str">
        <f>HYPERLINK("[OpenSolver Tester.xlsm]'MergedRHS_OK'!A1", "MergedRHS_OK")</f>
        <v>MergedRHS_OK</v>
      </c>
      <c r="B16" s="59" t="s">
        <v>332</v>
      </c>
      <c r="C16" s="59" t="s">
        <v>332</v>
      </c>
      <c r="E16" s="59" t="s">
        <v>332</v>
      </c>
      <c r="F16" s="59" t="s">
        <v>332</v>
      </c>
      <c r="G16" s="59" t="s">
        <v>332</v>
      </c>
    </row>
    <row r="17" spans="1:7" x14ac:dyDescent="0.25">
      <c r="A17" s="155" t="str">
        <f>HYPERLINK("[OpenSolver Tester.xlsm]'MergedLHS_OK'!A1", "MergedLHS_OK")</f>
        <v>MergedLHS_OK</v>
      </c>
      <c r="B17" s="59" t="s">
        <v>332</v>
      </c>
      <c r="C17" s="59" t="s">
        <v>332</v>
      </c>
      <c r="E17" s="59" t="s">
        <v>332</v>
      </c>
      <c r="F17" s="59" t="s">
        <v>332</v>
      </c>
      <c r="G17" s="59" t="s">
        <v>332</v>
      </c>
    </row>
    <row r="18" spans="1:7" x14ac:dyDescent="0.25">
      <c r="A18" s="155" t="str">
        <f>HYPERLINK("[OpenSolver Tester.xlsm]'MergedLHSMultiple_OK'!A1", "MergedLHSMultiple_OK")</f>
        <v>MergedLHSMultiple_OK</v>
      </c>
      <c r="B18" s="59" t="s">
        <v>332</v>
      </c>
      <c r="C18" s="59" t="s">
        <v>332</v>
      </c>
      <c r="E18" s="59" t="s">
        <v>332</v>
      </c>
      <c r="F18" s="59" t="s">
        <v>332</v>
      </c>
      <c r="G18" s="59" t="s">
        <v>332</v>
      </c>
    </row>
    <row r="19" spans="1:7" x14ac:dyDescent="0.25">
      <c r="A19" s="155" t="str">
        <f>HYPERLINK("[OpenSolver Tester.xlsm]'BinIntOverlap'!A1", "BinIntOverlap")</f>
        <v>BinIntOverlap</v>
      </c>
      <c r="B19" s="59" t="s">
        <v>332</v>
      </c>
      <c r="C19" s="59" t="s">
        <v>332</v>
      </c>
      <c r="E19" s="59" t="s">
        <v>332</v>
      </c>
      <c r="F19" s="59" t="s">
        <v>332</v>
      </c>
      <c r="G19" s="59" t="s">
        <v>332</v>
      </c>
    </row>
    <row r="20" spans="1:7" x14ac:dyDescent="0.25">
      <c r="A20" s="155" t="str">
        <f>HYPERLINK("[OpenSolver Tester.xlsm]'ConFormula'!A1", "ConFormula")</f>
        <v>ConFormula</v>
      </c>
      <c r="B20" s="59" t="s">
        <v>332</v>
      </c>
      <c r="C20" s="59" t="s">
        <v>332</v>
      </c>
      <c r="E20" s="59" t="s">
        <v>332</v>
      </c>
      <c r="F20" s="59" t="s">
        <v>332</v>
      </c>
      <c r="G20" s="59" t="s">
        <v>332</v>
      </c>
    </row>
    <row r="21" spans="1:7" x14ac:dyDescent="0.25">
      <c r="A21" s="155" t="str">
        <f>HYPERLINK("[OpenSolver Tester.xlsm]'ConFormulaInf'!A1", "ConFormulaInf")</f>
        <v>ConFormulaInf</v>
      </c>
      <c r="B21" s="59" t="s">
        <v>332</v>
      </c>
      <c r="C21" s="59" t="s">
        <v>332</v>
      </c>
      <c r="E21" s="59" t="s">
        <v>332</v>
      </c>
      <c r="F21" s="59" t="s">
        <v>332</v>
      </c>
      <c r="G21" s="59" t="s">
        <v>332</v>
      </c>
    </row>
    <row r="22" spans="1:7" x14ac:dyDescent="0.25">
      <c r="A22" s="155" t="str">
        <f>HYPERLINK("[OpenSolver Tester.xlsm]'BadName!'!A1", "BadName!")</f>
        <v>BadName!</v>
      </c>
      <c r="B22" s="59" t="s">
        <v>332</v>
      </c>
      <c r="C22" s="59" t="s">
        <v>332</v>
      </c>
      <c r="E22" s="59" t="s">
        <v>332</v>
      </c>
      <c r="F22" s="59" t="s">
        <v>332</v>
      </c>
      <c r="G22" s="59" t="s">
        <v>332</v>
      </c>
    </row>
    <row r="23" spans="1:7" x14ac:dyDescent="0.25">
      <c r="A23" s="155" t="str">
        <f>HYPERLINK("[OpenSolver Tester.xlsm]'EscapeSheetName(1)+2-1'!A1", "EscapeSheetName(1)+2-1")</f>
        <v>EscapeSheetName(1)+2-1</v>
      </c>
      <c r="B23" s="59" t="s">
        <v>332</v>
      </c>
      <c r="C23" s="59" t="s">
        <v>332</v>
      </c>
      <c r="E23" s="59" t="s">
        <v>332</v>
      </c>
      <c r="F23" s="59" t="s">
        <v>332</v>
      </c>
      <c r="G23" s="59" t="s">
        <v>332</v>
      </c>
    </row>
    <row r="24" spans="1:7" x14ac:dyDescent="0.25">
      <c r="A24" s="155" t="str">
        <f>HYPERLINK("[OpenSolver Tester.xlsm]'DeletedConRef'!A1", "DeletedConRef")</f>
        <v>DeletedConRef</v>
      </c>
      <c r="B24" s="59" t="s">
        <v>332</v>
      </c>
      <c r="C24" s="59" t="s">
        <v>332</v>
      </c>
      <c r="E24" s="59" t="s">
        <v>332</v>
      </c>
      <c r="F24" s="59" t="s">
        <v>332</v>
      </c>
      <c r="G24" s="59" t="s">
        <v>332</v>
      </c>
    </row>
    <row r="25" spans="1:7" x14ac:dyDescent="0.25">
      <c r="A25" s="155" t="str">
        <f>HYPERLINK("[OpenSolver Tester.xlsm]'DeletedObjRef'!A1", "DeletedObjRef")</f>
        <v>DeletedObjRef</v>
      </c>
      <c r="B25" s="59" t="s">
        <v>332</v>
      </c>
      <c r="C25" s="59" t="s">
        <v>332</v>
      </c>
      <c r="E25" s="59" t="s">
        <v>332</v>
      </c>
      <c r="F25" s="59" t="s">
        <v>332</v>
      </c>
      <c r="G25" s="59" t="s">
        <v>332</v>
      </c>
    </row>
    <row r="26" spans="1:7" x14ac:dyDescent="0.25">
      <c r="A26" s="155" t="str">
        <f>HYPERLINK("[OpenSolver Tester.xlsm]'InfConstConstraint'!A1", "InfConstConstraint")</f>
        <v>InfConstConstraint</v>
      </c>
      <c r="B26" s="59" t="s">
        <v>332</v>
      </c>
      <c r="C26" s="59" t="s">
        <v>332</v>
      </c>
      <c r="E26" s="59" t="s">
        <v>361</v>
      </c>
      <c r="F26" s="59" t="s">
        <v>363</v>
      </c>
      <c r="G26" s="59" t="s">
        <v>332</v>
      </c>
    </row>
    <row r="27" spans="1:7" x14ac:dyDescent="0.25">
      <c r="A27" s="155" t="str">
        <f>HYPERLINK("[OpenSolver Tester.xlsm]'FeasConstConstraint'!A1", "FeasConstConstraint")</f>
        <v>FeasConstConstraint</v>
      </c>
      <c r="B27" s="59" t="s">
        <v>332</v>
      </c>
      <c r="C27" s="59" t="s">
        <v>332</v>
      </c>
      <c r="E27" s="59" t="s">
        <v>332</v>
      </c>
      <c r="F27" s="59" t="s">
        <v>332</v>
      </c>
      <c r="G27" s="59" t="s">
        <v>332</v>
      </c>
    </row>
    <row r="28" spans="1:7" x14ac:dyDescent="0.25">
      <c r="A28" s="155" t="str">
        <f>HYPERLINK("[OpenSolver Tester.xlsm]'Unbounded'!A1", "Unbounded")</f>
        <v>Unbounded</v>
      </c>
      <c r="B28" s="59" t="s">
        <v>332</v>
      </c>
      <c r="C28" s="59" t="s">
        <v>332</v>
      </c>
      <c r="E28" s="59" t="s">
        <v>332</v>
      </c>
      <c r="F28" s="59" t="s">
        <v>363</v>
      </c>
      <c r="G28" s="59" t="s">
        <v>363</v>
      </c>
    </row>
    <row r="29" spans="1:7" x14ac:dyDescent="0.25">
      <c r="A29" s="155" t="str">
        <f>HYPERLINK("[OpenSolver Tester.xlsm]'ProtectedSheet'!A1", "ProtectedSheet")</f>
        <v>ProtectedSheet</v>
      </c>
      <c r="B29" s="59" t="s">
        <v>332</v>
      </c>
      <c r="C29" s="59" t="s">
        <v>332</v>
      </c>
      <c r="E29" s="59" t="s">
        <v>332</v>
      </c>
      <c r="F29" s="59" t="s">
        <v>332</v>
      </c>
      <c r="G29" s="59" t="s">
        <v>332</v>
      </c>
    </row>
    <row r="30" spans="1:7" x14ac:dyDescent="0.25">
      <c r="A30" s="155" t="str">
        <f>HYPERLINK("[OpenSolver Tester.xlsm]'IndirectLBs'!A1", "IndirectLBs")</f>
        <v>IndirectLBs</v>
      </c>
      <c r="B30" s="59" t="s">
        <v>332</v>
      </c>
      <c r="C30" s="59" t="s">
        <v>332</v>
      </c>
      <c r="E30" s="59" t="s">
        <v>332</v>
      </c>
      <c r="F30" s="59" t="s">
        <v>332</v>
      </c>
      <c r="G30" s="59" t="s">
        <v>332</v>
      </c>
    </row>
    <row r="31" spans="1:7" x14ac:dyDescent="0.25">
      <c r="A31" s="155" t="str">
        <f>HYPERLINK("[OpenSolver Tester.xlsm]'DirectLBs'!A1", "DirectLBs")</f>
        <v>DirectLBs</v>
      </c>
      <c r="B31" s="59" t="s">
        <v>332</v>
      </c>
      <c r="C31" s="59" t="s">
        <v>332</v>
      </c>
      <c r="E31" s="59" t="s">
        <v>332</v>
      </c>
      <c r="F31" s="59" t="s">
        <v>332</v>
      </c>
      <c r="G31" s="59" t="s">
        <v>332</v>
      </c>
    </row>
    <row r="32" spans="1:7" x14ac:dyDescent="0.25">
      <c r="A32" s="155" t="str">
        <f>HYPERLINK("[OpenSolver Tester.xlsm]'SingleRangeLB'!A1", "SingleRangeLB")</f>
        <v>SingleRangeLB</v>
      </c>
      <c r="B32" s="59" t="s">
        <v>332</v>
      </c>
      <c r="C32" s="59" t="s">
        <v>332</v>
      </c>
      <c r="E32" s="59" t="s">
        <v>332</v>
      </c>
      <c r="F32" s="59" t="s">
        <v>332</v>
      </c>
      <c r="G32" s="59" t="s">
        <v>332</v>
      </c>
    </row>
    <row r="33" spans="1:7" x14ac:dyDescent="0.25">
      <c r="A33" s="155" t="str">
        <f>HYPERLINK("[OpenSolver Tester.xlsm]'BinLB'!A1", "BinLB")</f>
        <v>BinLB</v>
      </c>
      <c r="B33" s="59" t="s">
        <v>332</v>
      </c>
      <c r="C33" s="59" t="s">
        <v>332</v>
      </c>
      <c r="E33" s="59" t="s">
        <v>332</v>
      </c>
      <c r="F33" s="59" t="s">
        <v>363</v>
      </c>
      <c r="G33" s="59" t="s">
        <v>332</v>
      </c>
    </row>
    <row r="34" spans="1:7" x14ac:dyDescent="0.25">
      <c r="A34" s="155" t="str">
        <f>HYPERLINK("[OpenSolver Tester.xlsm]'BinIntLB'!A1", "BinIntLB")</f>
        <v>BinIntLB</v>
      </c>
      <c r="B34" s="59" t="s">
        <v>332</v>
      </c>
      <c r="C34" s="59" t="s">
        <v>332</v>
      </c>
      <c r="E34" s="59" t="s">
        <v>332</v>
      </c>
      <c r="F34" s="59" t="s">
        <v>363</v>
      </c>
      <c r="G34" s="59" t="s">
        <v>332</v>
      </c>
    </row>
    <row r="35" spans="1:7" x14ac:dyDescent="0.25">
      <c r="A35" s="155" t="str">
        <f>HYPERLINK("[OpenSolver Tester.xlsm]'Relaxation'!A1", "Relaxation")</f>
        <v>Relaxation</v>
      </c>
      <c r="B35" s="59" t="s">
        <v>332</v>
      </c>
      <c r="C35" s="59" t="s">
        <v>332</v>
      </c>
      <c r="E35" s="59" t="s">
        <v>332</v>
      </c>
      <c r="F35" s="59" t="s">
        <v>332</v>
      </c>
      <c r="G35" s="59" t="s">
        <v>332</v>
      </c>
    </row>
    <row r="36" spans="1:7" x14ac:dyDescent="0.25">
      <c r="A36" s="155" t="str">
        <f>HYPERLINK("[OpenSolver Tester.xlsm]'LargeRangeLB'!A1", "LargeRangeLB")</f>
        <v>LargeRangeLB</v>
      </c>
      <c r="B36" s="59" t="s">
        <v>332</v>
      </c>
      <c r="C36" s="59" t="s">
        <v>332</v>
      </c>
      <c r="E36" s="59" t="s">
        <v>332</v>
      </c>
      <c r="F36" s="59" t="s">
        <v>332</v>
      </c>
      <c r="G36" s="165" t="s">
        <v>332</v>
      </c>
    </row>
    <row r="37" spans="1:7" x14ac:dyDescent="0.25">
      <c r="A37" s="155" t="str">
        <f>HYPERLINK("[OpenSolver Tester.xlsm]'OverlapRangeLB'!A1", "OverlapRangeLB")</f>
        <v>OverlapRangeLB</v>
      </c>
      <c r="B37" s="59" t="s">
        <v>332</v>
      </c>
      <c r="C37" s="59" t="s">
        <v>332</v>
      </c>
      <c r="E37" s="59" t="s">
        <v>332</v>
      </c>
      <c r="F37" s="59" t="s">
        <v>332</v>
      </c>
      <c r="G37" s="165" t="s">
        <v>332</v>
      </c>
    </row>
    <row r="38" spans="1:7" x14ac:dyDescent="0.25">
      <c r="A38" s="155" t="str">
        <f>HYPERLINK("[OpenSolver Tester.xlsm]'OverlapRangeLBwithFormula'!A1", "OverlapRangeLBwithFormula")</f>
        <v>OverlapRangeLBwithFormula</v>
      </c>
      <c r="B38" s="59" t="s">
        <v>332</v>
      </c>
      <c r="C38" s="162" t="s">
        <v>332</v>
      </c>
      <c r="E38" s="59" t="s">
        <v>332</v>
      </c>
      <c r="F38" s="59" t="s">
        <v>332</v>
      </c>
      <c r="G38" s="59" t="s">
        <v>332</v>
      </c>
    </row>
    <row r="39" spans="1:7" x14ac:dyDescent="0.25">
      <c r="A39" s="155" t="str">
        <f>HYPERLINK("[OpenSolver Tester.xlsm]'ConstFormulaRangeLB'!A1", "ConstFormulaRangeLB")</f>
        <v>ConstFormulaRangeLB</v>
      </c>
      <c r="B39" s="59" t="s">
        <v>332</v>
      </c>
      <c r="C39" s="59" t="s">
        <v>332</v>
      </c>
      <c r="E39" s="59" t="s">
        <v>332</v>
      </c>
      <c r="F39" s="59" t="s">
        <v>332</v>
      </c>
      <c r="G39" s="59" t="s">
        <v>332</v>
      </c>
    </row>
    <row r="40" spans="1:7" x14ac:dyDescent="0.25">
      <c r="A40" s="155" t="str">
        <f>HYPERLINK("[OpenSolver Tester.xlsm]'VariableFormulaRangeLB'!A1", "VariableFormulaRangeLB")</f>
        <v>VariableFormulaRangeLB</v>
      </c>
      <c r="B40" s="59" t="s">
        <v>332</v>
      </c>
      <c r="C40" s="59" t="s">
        <v>332</v>
      </c>
      <c r="E40" s="59" t="s">
        <v>332</v>
      </c>
      <c r="F40" s="59" t="s">
        <v>332</v>
      </c>
      <c r="G40" s="59" t="s">
        <v>332</v>
      </c>
    </row>
    <row r="41" spans="1:7" x14ac:dyDescent="0.25">
      <c r="A41" s="155" t="str">
        <f>HYPERLINK("[OpenSolver Tester.xlsm]'ConstraintLB'!A1", "ConstraintLB")</f>
        <v>ConstraintLB</v>
      </c>
      <c r="B41" s="59" t="s">
        <v>332</v>
      </c>
      <c r="C41" s="59" t="s">
        <v>332</v>
      </c>
      <c r="E41" s="59" t="s">
        <v>332</v>
      </c>
      <c r="F41" s="59" t="s">
        <v>332</v>
      </c>
      <c r="G41" s="59" t="s">
        <v>332</v>
      </c>
    </row>
    <row r="42" spans="1:7" x14ac:dyDescent="0.25">
      <c r="A42" s="155" t="str">
        <f>HYPERLINK("[OpenSolver Tester.xlsm]'ConstantLB'!A1", "ConstantLB")</f>
        <v>ConstantLB</v>
      </c>
      <c r="B42" s="59" t="s">
        <v>332</v>
      </c>
      <c r="C42" s="59" t="s">
        <v>332</v>
      </c>
      <c r="E42" s="59" t="s">
        <v>332</v>
      </c>
      <c r="F42" s="59" t="s">
        <v>332</v>
      </c>
      <c r="G42" s="59" t="s">
        <v>332</v>
      </c>
    </row>
    <row r="43" spans="1:7" x14ac:dyDescent="0.25">
      <c r="A43" s="155" t="str">
        <f>HYPERLINK("[OpenSolver Tester.xlsm]'FormulaLB'!A1", "FormulaLB")</f>
        <v>FormulaLB</v>
      </c>
      <c r="B43" s="59" t="s">
        <v>332</v>
      </c>
      <c r="C43" s="59" t="s">
        <v>332</v>
      </c>
      <c r="E43" s="59" t="s">
        <v>332</v>
      </c>
      <c r="F43" s="59" t="s">
        <v>363</v>
      </c>
      <c r="G43" s="59" t="s">
        <v>332</v>
      </c>
    </row>
    <row r="44" spans="1:7" x14ac:dyDescent="0.25">
      <c r="A44" s="155" t="str">
        <f>HYPERLINK("[OpenSolver Tester.xlsm]'VarConstraintLB'!A1", "VarConstraintLB")</f>
        <v>VarConstraintLB</v>
      </c>
      <c r="B44" s="59" t="s">
        <v>332</v>
      </c>
      <c r="C44" s="59" t="s">
        <v>332</v>
      </c>
      <c r="E44" s="59" t="s">
        <v>332</v>
      </c>
      <c r="F44" s="59" t="s">
        <v>363</v>
      </c>
      <c r="G44" s="59" t="s">
        <v>332</v>
      </c>
    </row>
    <row r="45" spans="1:7" x14ac:dyDescent="0.25">
      <c r="A45" s="155" t="str">
        <f>HYPERLINK("[OpenSolver Tester.xlsm]'FractionalCoeffs'!A1", "FractionalCoeffs")</f>
        <v>FractionalCoeffs</v>
      </c>
      <c r="B45" s="59" t="s">
        <v>332</v>
      </c>
      <c r="C45" s="59" t="s">
        <v>332</v>
      </c>
      <c r="E45" s="59" t="s">
        <v>332</v>
      </c>
      <c r="F45" s="59" t="s">
        <v>332</v>
      </c>
      <c r="G45" s="59" t="s">
        <v>332</v>
      </c>
    </row>
    <row r="46" spans="1:7" x14ac:dyDescent="0.25">
      <c r="A46" s="155" t="str">
        <f>HYPERLINK("[OpenSolver Tester.xlsm]'ComplexLayout'!A1", "ComplexLayout")</f>
        <v>ComplexLayout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7" x14ac:dyDescent="0.25">
      <c r="A47" s="155" t="str">
        <f>HYPERLINK("[OpenSolver Tester.xlsm]'InfModel'!A1", "InfModel")</f>
        <v>InfModel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7" x14ac:dyDescent="0.25">
      <c r="A48" s="155" t="str">
        <f>HYPERLINK("[OpenSolver Tester.xlsm]'IterativeCalc'!A1", "IterativeCalc")</f>
        <v>IterativeCalc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7" x14ac:dyDescent="0.25">
      <c r="A49" s="155" t="str">
        <f>HYPERLINK("[OpenSolver Tester.xlsm]'NoObj'!A1", "NoObj")</f>
        <v>NoObj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7" x14ac:dyDescent="0.25">
      <c r="A50" s="155" t="str">
        <f>HYPERLINK("[OpenSolver Tester.xlsm]'SeekObj'!A1", "SeekObj")</f>
        <v>SeekObj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7" x14ac:dyDescent="0.25">
      <c r="A51" s="155" t="str">
        <f>HYPERLINK("[OpenSolver Tester.xlsm]'DiffSheetObj'!A1", "DiffSheetObj")</f>
        <v>DiffSheetObj</v>
      </c>
      <c r="B51" s="59" t="s">
        <v>332</v>
      </c>
      <c r="C51" s="59" t="s">
        <v>332</v>
      </c>
      <c r="E51" s="59" t="s">
        <v>332</v>
      </c>
      <c r="F51" s="59" t="s">
        <v>332</v>
      </c>
      <c r="G51" s="59" t="s">
        <v>332</v>
      </c>
    </row>
    <row r="52" spans="1:7" x14ac:dyDescent="0.25">
      <c r="A52" s="155" t="str">
        <f>HYPERLINK("[OpenSolver Tester.xlsm]'NamedRanges'!A1", "NamedRanges")</f>
        <v>NamedRanges</v>
      </c>
      <c r="B52" s="59" t="s">
        <v>332</v>
      </c>
      <c r="C52" s="59" t="s">
        <v>332</v>
      </c>
      <c r="E52" s="59" t="s">
        <v>332</v>
      </c>
      <c r="F52" s="59" t="s">
        <v>332</v>
      </c>
      <c r="G52" s="59" t="s">
        <v>332</v>
      </c>
    </row>
    <row r="53" spans="1:7" x14ac:dyDescent="0.25">
      <c r="A53" s="155" t="str">
        <f>HYPERLINK("[OpenSolver Tester.xlsm]'QuickSolve'!A1", "QuickSolve")</f>
        <v>QuickSolve</v>
      </c>
      <c r="B53" s="59" t="s">
        <v>332</v>
      </c>
      <c r="C53" s="59" t="s">
        <v>332</v>
      </c>
      <c r="E53" s="59" t="s">
        <v>364</v>
      </c>
      <c r="F53" s="59" t="s">
        <v>364</v>
      </c>
      <c r="G53" s="59" t="s">
        <v>364</v>
      </c>
    </row>
    <row r="54" spans="1:7" x14ac:dyDescent="0.25">
      <c r="A54" s="155" t="str">
        <f>HYPERLINK("[OpenSolver Tester.xlsm]'SolverParameters'!A1", "SolverParameters")</f>
        <v>SolverParameters</v>
      </c>
      <c r="B54" s="59" t="s">
        <v>332</v>
      </c>
      <c r="C54" s="59" t="s">
        <v>332</v>
      </c>
      <c r="E54" s="59" t="s">
        <v>332</v>
      </c>
      <c r="F54" s="59" t="s">
        <v>363</v>
      </c>
      <c r="G54" s="59" t="s">
        <v>332</v>
      </c>
    </row>
    <row r="55" spans="1:7" x14ac:dyDescent="0.25">
      <c r="A55" s="155" t="str">
        <f>HYPERLINK("[OpenSolver Tester.xlsm]'Sensitivity'!A1", "Sensitivity")</f>
        <v>Sensitivity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7" x14ac:dyDescent="0.25">
      <c r="A56" s="155" t="str">
        <f>HYPERLINK("[OpenSolver Tester.xlsm]'SensitivityNames'!A1", "SensitivityNames")</f>
        <v>SensitivityNames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7" x14ac:dyDescent="0.25">
      <c r="A57" s="155" t="str">
        <f>HYPERLINK("[OpenSolver Tester.xlsm]'NonLinSimple'!A1", "NonLinSimple")</f>
        <v>NonLinSimple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7" x14ac:dyDescent="0.25">
      <c r="A58" s="155" t="str">
        <f>HYPERLINK("[OpenSolver Tester.xlsm]'NonLinLarge'!A1", "NonLinLarge")</f>
        <v>NonLinLarge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7" x14ac:dyDescent="0.25">
      <c r="A59" s="155" t="str">
        <f>HYPERLINK("[OpenSolver Tester.xlsm]'NonLinObj'!A1", "NonLinObj")</f>
        <v>NonLinObj</v>
      </c>
      <c r="B59" s="59" t="s">
        <v>332</v>
      </c>
      <c r="C59" s="59" t="s">
        <v>332</v>
      </c>
      <c r="E59" s="59" t="s">
        <v>332</v>
      </c>
      <c r="F59" s="59" t="s">
        <v>332</v>
      </c>
      <c r="G59" s="59" t="s">
        <v>332</v>
      </c>
    </row>
    <row r="60" spans="1:7" x14ac:dyDescent="0.25">
      <c r="A60" s="155" t="str">
        <f>HYPERLINK("[OpenSolver Tester.xlsm]'NonLinPruning'!A1", "NonLinPruning")</f>
        <v>NonLinPruning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7" x14ac:dyDescent="0.25">
      <c r="A61" s="155" t="str">
        <f>HYPERLINK("[OpenSolver Tester.xlsm]'NonLinMinMax'!A1", "NonLinMinMax")</f>
        <v>NonLinMinMax</v>
      </c>
      <c r="B61" s="59" t="s">
        <v>332</v>
      </c>
      <c r="C61" s="59" t="s">
        <v>332</v>
      </c>
      <c r="E61" s="59" t="s">
        <v>332</v>
      </c>
      <c r="F61" s="59" t="s">
        <v>363</v>
      </c>
      <c r="G61" s="59" t="s">
        <v>332</v>
      </c>
    </row>
    <row r="62" spans="1:7" x14ac:dyDescent="0.25">
      <c r="A62" s="155" t="str">
        <f>HYPERLINK("[OpenSolver Tester.xlsm]'NonLinConstraints'!A1", "NonLinConstraints")</f>
        <v>NonLinConstraints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7" x14ac:dyDescent="0.25">
      <c r="A63" s="155" t="str">
        <f>HYPERLINK("[OpenSolver Tester.xlsm]'NonLinBinary'!A1", "NonLinBinary")</f>
        <v>NonLinBinary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7" x14ac:dyDescent="0.25">
      <c r="A64" s="155" t="str">
        <f>HYPERLINK("[OpenSolver Tester.xlsm]'NonLin'!A1", "NonLin")</f>
        <v>NonLin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Tester.xlsm]'NonLin2'!A1", "NonLin2")</f>
        <v>NonLin2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332</v>
      </c>
      <c r="H65" s="165"/>
    </row>
    <row r="66" spans="1:8" x14ac:dyDescent="0.25">
      <c r="A66" s="155" t="str">
        <f>HYPERLINK("[OpenSolver Tester.xlsm]'NonLin3'!A1", "NonLin3")</f>
        <v>NonLin3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Tester.xlsm]'NonLin4'!A1", "NonLin4")</f>
        <v>NonLin4</v>
      </c>
      <c r="B67" s="59" t="s">
        <v>332</v>
      </c>
      <c r="C67" s="59" t="s">
        <v>332</v>
      </c>
      <c r="E67" s="59" t="s">
        <v>332</v>
      </c>
      <c r="F67" s="59" t="s">
        <v>332</v>
      </c>
      <c r="G67" s="59" t="s">
        <v>361</v>
      </c>
    </row>
    <row r="68" spans="1:8" x14ac:dyDescent="0.25">
      <c r="A68" s="155" t="str">
        <f>HYPERLINK("[OpenSolver Tester.xlsm]'NonLin5'!A1", "NonLin5")</f>
        <v>NonLin5</v>
      </c>
      <c r="B68" s="59" t="s">
        <v>332</v>
      </c>
      <c r="C68" s="59" t="s">
        <v>332</v>
      </c>
      <c r="E68" s="59" t="s">
        <v>332</v>
      </c>
      <c r="F68" s="59" t="s">
        <v>332</v>
      </c>
      <c r="G68" s="59" t="s">
        <v>332</v>
      </c>
    </row>
    <row r="69" spans="1:8" x14ac:dyDescent="0.25">
      <c r="A69" s="155" t="str">
        <f>HYPERLINK("[OpenSolver Tester.xlsm]'NonLin6'!A1", "NonLin6")</f>
        <v>NonLin6</v>
      </c>
      <c r="B69" s="59" t="s">
        <v>332</v>
      </c>
      <c r="C69" s="59" t="s">
        <v>332</v>
      </c>
      <c r="E69" s="59" t="s">
        <v>332</v>
      </c>
      <c r="F69" s="59" t="s">
        <v>332</v>
      </c>
      <c r="G69" s="59" t="s">
        <v>332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5.2941176431753396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15.882352929526018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58.235294074928738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116.47058814985748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116.47058814985748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179.99999986796155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116.47058823529413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14.547826170389042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28.800000159912329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10.423</v>
      </c>
      <c r="F5" s="1">
        <v>10.423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711.29678899999999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343.959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687.91800000000001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1031.877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6.8545359783201123</v>
      </c>
      <c r="Q3" s="9">
        <v>0</v>
      </c>
      <c r="R3" s="10">
        <v>10.999998578601808</v>
      </c>
      <c r="S3" s="9">
        <f>SUM(Q3:R3)</f>
        <v>10.999998578601808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22.000001091466107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712.53566410708549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10.999999890375065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1.9999999999996381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3.9999999999992761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19.99999999999638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41.999999999992397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41.999999999992397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37.999999999993122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362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  <c r="K7" t="s">
        <v>326</v>
      </c>
      <c r="L7" t="s">
        <v>327</v>
      </c>
      <c r="M7" t="s">
        <v>321</v>
      </c>
      <c r="N7" t="s">
        <v>322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355</v>
      </c>
      <c r="L8">
        <v>-1</v>
      </c>
      <c r="M8">
        <v>1</v>
      </c>
      <c r="N8">
        <v>1E+100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356</v>
      </c>
      <c r="L9">
        <v>0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357</v>
      </c>
      <c r="L10">
        <v>0</v>
      </c>
      <c r="M10">
        <v>1E+100</v>
      </c>
      <c r="N10">
        <v>1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1.0000001000000001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99.999993509999996</v>
      </c>
      <c r="F14" s="160">
        <v>0</v>
      </c>
      <c r="G14" s="160">
        <v>0</v>
      </c>
      <c r="H14" s="160">
        <v>0</v>
      </c>
      <c r="I14">
        <f>SUM(D14:H14)</f>
        <v>199.99999352999998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2.9800023813000101E-6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13249.999901199892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tabSelected="1" workbookViewId="0">
      <selection activeCell="L15" sqref="L15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P33" sqref="P33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30.671355816734415</v>
      </c>
      <c r="E5">
        <v>0.652074453412683</v>
      </c>
    </row>
    <row r="6" spans="1:15" ht="15.75" thickBot="1" x14ac:dyDescent="0.3">
      <c r="A6" s="63" t="b">
        <f>AND(F22)</f>
        <v>1</v>
      </c>
      <c r="F6">
        <f>D5^2*E5^2</f>
        <v>400.00030318497784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20.000007579623009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31.323430270147099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30.671355816734415</v>
      </c>
      <c r="G10" t="s">
        <v>9</v>
      </c>
      <c r="H10">
        <v>0</v>
      </c>
    </row>
    <row r="11" spans="1:15" x14ac:dyDescent="0.25">
      <c r="F11">
        <f>E5</f>
        <v>0.652074453412683</v>
      </c>
      <c r="H11">
        <v>0</v>
      </c>
    </row>
    <row r="12" spans="1:15" x14ac:dyDescent="0.25">
      <c r="F12">
        <f>E5*D5+E5+D5</f>
        <v>51.323437849770109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51.323437849770109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51.323437849770109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-11.32342269052409</v>
      </c>
      <c r="G15" t="s">
        <v>8</v>
      </c>
      <c r="H15">
        <v>0</v>
      </c>
      <c r="O15" s="81"/>
    </row>
    <row r="16" spans="1:15" x14ac:dyDescent="0.25">
      <c r="F16">
        <f>E5-D5*E5+D5</f>
        <v>11.32342269052409</v>
      </c>
      <c r="G16" t="s">
        <v>8</v>
      </c>
      <c r="H16">
        <v>60</v>
      </c>
      <c r="O16" s="81"/>
    </row>
    <row r="17" spans="6:15" x14ac:dyDescent="0.25">
      <c r="F17">
        <f>E5-D5+E5*D5</f>
        <v>-10.019273783698722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2.55305837884656</v>
      </c>
      <c r="E5">
        <v>2.55305837884656</v>
      </c>
      <c r="F5">
        <v>2.55305837884656</v>
      </c>
      <c r="G5">
        <v>2.55305837884656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-14.352038687577981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-26.496895373966979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-16.284661858580741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0.94240513401253001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0.41277404464896705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2.3571428571428554</v>
      </c>
      <c r="I4" s="125">
        <f>SIN(RADIANS(D7))*D2</f>
        <v>1.8557687223952275</v>
      </c>
    </row>
    <row r="5" spans="1:9" x14ac:dyDescent="0.25">
      <c r="A5" s="62" t="s">
        <v>209</v>
      </c>
      <c r="H5" s="125">
        <f>H4+COS(RADIANS(D8))*D3</f>
        <v>7</v>
      </c>
      <c r="I5" s="125">
        <f>I4+SIN(RADIANS(D8))*D3</f>
        <v>5.3290705182007514E-15</v>
      </c>
    </row>
    <row r="6" spans="1:9" ht="15.75" thickBot="1" x14ac:dyDescent="0.3">
      <c r="A6" s="63" t="b">
        <f>AND(F16)</f>
        <v>1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38.213210701738241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-21.78678929826177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</v>
      </c>
      <c r="D12" s="130">
        <f>D4</f>
        <v>7</v>
      </c>
      <c r="E12" s="130">
        <f>D12-C12</f>
        <v>0</v>
      </c>
      <c r="F12" s="130">
        <f>E12^2</f>
        <v>0</v>
      </c>
    </row>
    <row r="13" spans="1:9" x14ac:dyDescent="0.25">
      <c r="C13" s="130">
        <f>D2*SIN(RADIANS(D7))+D3*SIN(RADIANS(D8))</f>
        <v>5.3290705182007514E-15</v>
      </c>
      <c r="D13" s="130">
        <v>0</v>
      </c>
      <c r="E13" s="130">
        <f>C13-D13</f>
        <v>5.3290705182007514E-15</v>
      </c>
      <c r="F13" s="130">
        <f>E13^2</f>
        <v>2.8398992587956425E-29</v>
      </c>
    </row>
    <row r="15" spans="1:9" x14ac:dyDescent="0.25">
      <c r="C15" s="180" t="s">
        <v>298</v>
      </c>
      <c r="D15" s="180"/>
      <c r="E15" s="180"/>
      <c r="F15" s="131">
        <f>SUM(F12:F13)</f>
        <v>2.8398992587956425E-29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2015-12-21T02:58:34Z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