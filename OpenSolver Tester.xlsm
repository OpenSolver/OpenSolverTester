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CBC</definedName>
    <definedName name="OpenSolver_ChosenSolver" localSheetId="2" hidden="1">CBC</definedName>
    <definedName name="OpenSolver_ChosenSolver" localSheetId="27" hidden="1">CBC</definedName>
    <definedName name="OpenSolver_ChosenSolver" localSheetId="28" hidden="1">CBC</definedName>
    <definedName name="OpenSolver_ChosenSolver" localSheetId="29" hidden="1">CBC</definedName>
    <definedName name="OpenSolver_ChosenSolver" localSheetId="30" hidden="1">CBC</definedName>
    <definedName name="OpenSolver_ChosenSolver" localSheetId="31" hidden="1">CBC</definedName>
    <definedName name="OpenSolver_ChosenSolver" localSheetId="32" hidden="1">CBC</definedName>
    <definedName name="OpenSolver_ChosenSolver" localSheetId="33" hidden="1">CBC</definedName>
    <definedName name="OpenSolver_ChosenSolver" localSheetId="34" hidden="1">CBC</definedName>
    <definedName name="OpenSolver_ChosenSolver" localSheetId="35" hidden="1">CBC</definedName>
    <definedName name="OpenSolver_ChosenSolver" localSheetId="36" hidden="1">CBC</definedName>
    <definedName name="OpenSolver_ChosenSolver" localSheetId="37" hidden="1">CBC</definedName>
    <definedName name="OpenSolver_ChosenSolver" localSheetId="38" hidden="1">CBC</definedName>
    <definedName name="OpenSolver_ChosenSolver" localSheetId="39" hidden="1">CBC</definedName>
    <definedName name="OpenSolver_ChosenSolver" localSheetId="40" hidden="1">CBC</definedName>
    <definedName name="OpenSolver_ChosenSolver" localSheetId="41" hidden="1">CBC</definedName>
    <definedName name="OpenSolver_ChosenSolver" localSheetId="3" hidden="1">CBC</definedName>
    <definedName name="OpenSolver_ChosenSolver" localSheetId="4" hidden="1">CBC</definedName>
    <definedName name="OpenSolver_ChosenSolver" localSheetId="5" hidden="1">CBC</definedName>
    <definedName name="OpenSolver_ChosenSolver" localSheetId="6" hidden="1">CBC</definedName>
    <definedName name="OpenSolver_ChosenSolver" localSheetId="7" hidden="1">CBC</definedName>
    <definedName name="OpenSolver_ChosenSolver" localSheetId="8" hidden="1">CBC</definedName>
    <definedName name="OpenSolver_ChosenSolver" localSheetId="9" hidden="1">CBC</definedName>
    <definedName name="OpenSolver_ChosenSolver" localSheetId="10" hidden="1">CBC</definedName>
    <definedName name="OpenSolver_ChosenSolver" localSheetId="11" hidden="1">CBC</definedName>
    <definedName name="OpenSolver_ChosenSolver" localSheetId="12" hidden="1">CBC</definedName>
    <definedName name="OpenSolver_ChosenSolver" localSheetId="13" hidden="1">CBC</definedName>
    <definedName name="OpenSolver_ChosenSolver" localSheetId="14" hidden="1">CBC</definedName>
    <definedName name="OpenSolver_ChosenSolver" localSheetId="15" hidden="1">CBC</definedName>
    <definedName name="OpenSolver_ChosenSolver" localSheetId="16" hidden="1">CBC</definedName>
    <definedName name="OpenSolver_ChosenSolver" localSheetId="17" hidden="1">CBC</definedName>
    <definedName name="OpenSolver_ChosenSolver" localSheetId="42" hidden="1">CBC</definedName>
    <definedName name="OpenSolver_ChosenSolver" localSheetId="43" hidden="1">CBC</definedName>
    <definedName name="OpenSolver_ChosenSolver" localSheetId="44" hidden="1">CBC</definedName>
    <definedName name="OpenSolver_ChosenSolver" localSheetId="45" hidden="1">CBC</definedName>
    <definedName name="OpenSolver_ChosenSolver" localSheetId="46" hidden="1">CBC</definedName>
    <definedName name="OpenSolver_ChosenSolver" localSheetId="47" hidden="1">CBC</definedName>
    <definedName name="OpenSolver_ChosenSolver" localSheetId="48" hidden="1">CBC</definedName>
    <definedName name="OpenSolver_ChosenSolver" localSheetId="49" hidden="1">CBC</definedName>
    <definedName name="OpenSolver_ChosenSolver" localSheetId="50" hidden="1">CBC</definedName>
    <definedName name="OpenSolver_ChosenSolver" localSheetId="51" hidden="1">CBC</definedName>
    <definedName name="OpenSolver_ChosenSolver" localSheetId="18" hidden="1">CBC</definedName>
    <definedName name="OpenSolver_ChosenSolver" localSheetId="52" hidden="1">CBC</definedName>
    <definedName name="OpenSolver_ChosenSolver" localSheetId="54" hidden="1">CBC</definedName>
    <definedName name="OpenSolver_ChosenSolver" localSheetId="53" hidden="1">CBC</definedName>
    <definedName name="OpenSolver_ChosenSolver" localSheetId="55" hidden="1">CBC</definedName>
    <definedName name="OpenSolver_ChosenSolver" localSheetId="56" hidden="1">CBC</definedName>
    <definedName name="OpenSolver_ChosenSolver" localSheetId="57" hidden="1">CBC</definedName>
    <definedName name="OpenSolver_ChosenSolver" localSheetId="58" hidden="1">CBC</definedName>
    <definedName name="OpenSolver_ChosenSolver" localSheetId="59" hidden="1">CBC</definedName>
    <definedName name="OpenSolver_ChosenSolver" localSheetId="60" hidden="1">CBC</definedName>
    <definedName name="OpenSolver_ChosenSolver" localSheetId="61" hidden="1">CBC</definedName>
    <definedName name="OpenSolver_ChosenSolver" localSheetId="62" hidden="1">CBC</definedName>
    <definedName name="OpenSolver_ChosenSolver" localSheetId="64" hidden="1">CBC</definedName>
    <definedName name="OpenSolver_ChosenSolver" localSheetId="19" hidden="1">CBC</definedName>
    <definedName name="OpenSolver_ChosenSolver" localSheetId="65" hidden="1">CBC</definedName>
    <definedName name="OpenSolver_ChosenSolver" localSheetId="66" hidden="1">CBC</definedName>
    <definedName name="OpenSolver_ChosenSolver" localSheetId="67" hidden="1">CBC</definedName>
    <definedName name="OpenSolver_ChosenSolver" localSheetId="68" hidden="1">CBC</definedName>
    <definedName name="OpenSolver_ChosenSolver" localSheetId="70" hidden="1">CBC</definedName>
    <definedName name="OpenSolver_ChosenSolver" localSheetId="71" hidden="1">CBC</definedName>
    <definedName name="OpenSolver_ChosenSolver" localSheetId="20" hidden="1">CBC</definedName>
    <definedName name="OpenSolver_ChosenSolver" localSheetId="22" hidden="1">CBC</definedName>
    <definedName name="OpenSolver_ChosenSolver" localSheetId="23" hidden="1">CBC</definedName>
    <definedName name="OpenSolver_ChosenSolver" localSheetId="24" hidden="1">CBC</definedName>
    <definedName name="OpenSolver_ChosenSolver" localSheetId="25" hidden="1">CBC</definedName>
    <definedName name="OpenSolver_ChosenSolver" localSheetId="26" hidden="1">CBC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94" l="1"/>
  <c r="A10" i="94"/>
  <c r="A68" i="60"/>
  <c r="G4" i="92"/>
  <c r="A10" i="92"/>
  <c r="A67" i="60"/>
  <c r="G4" i="90"/>
  <c r="A10" i="90"/>
  <c r="A66" i="60"/>
  <c r="A10" i="88"/>
  <c r="A65" i="60"/>
  <c r="J7" i="87"/>
  <c r="A10" i="87"/>
  <c r="A64" i="60"/>
  <c r="A10" i="85"/>
  <c r="A63" i="60"/>
  <c r="D20" i="77"/>
  <c r="A10" i="77"/>
  <c r="A62" i="60"/>
  <c r="S13" i="75"/>
  <c r="A10" i="75"/>
  <c r="A61" i="60"/>
  <c r="I6" i="71"/>
  <c r="A10" i="71"/>
  <c r="A60" i="60"/>
  <c r="G6" i="70"/>
  <c r="A10" i="70"/>
  <c r="A59" i="60"/>
  <c r="F6" i="69"/>
  <c r="A10" i="69"/>
  <c r="A58" i="60"/>
  <c r="F4" i="68"/>
  <c r="A10" i="68"/>
  <c r="A57" i="60"/>
  <c r="H6" i="67"/>
  <c r="A10" i="67"/>
  <c r="A56" i="60"/>
  <c r="I6" i="66"/>
  <c r="A10" i="66"/>
  <c r="A55" i="60"/>
  <c r="G6" i="65"/>
  <c r="A10" i="65"/>
  <c r="A54" i="60"/>
  <c r="K6" i="63"/>
  <c r="A10" i="63"/>
  <c r="A53" i="60"/>
  <c r="H6" i="62"/>
  <c r="A10" i="62"/>
  <c r="A52" i="60"/>
  <c r="H15" i="2"/>
  <c r="A10" i="2"/>
  <c r="A51" i="60"/>
  <c r="H6" i="4"/>
  <c r="A10" i="4"/>
  <c r="A50" i="60"/>
  <c r="A10" i="59"/>
  <c r="A49" i="60"/>
  <c r="H9" i="58"/>
  <c r="A10" i="58"/>
  <c r="A48" i="60"/>
  <c r="H7" i="57"/>
  <c r="A10" i="57"/>
  <c r="A47" i="60"/>
  <c r="H9" i="54"/>
  <c r="A10" i="54"/>
  <c r="A46" i="60"/>
  <c r="H9" i="53"/>
  <c r="A10" i="53"/>
  <c r="A45" i="60"/>
  <c r="H9" i="52"/>
  <c r="A10" i="52"/>
  <c r="A44" i="60"/>
  <c r="H9" i="51"/>
  <c r="A10" i="51"/>
  <c r="A43" i="60"/>
  <c r="H9" i="50"/>
  <c r="A10" i="50"/>
  <c r="A42" i="60"/>
  <c r="H8" i="49"/>
  <c r="A10" i="49"/>
  <c r="A41" i="60"/>
  <c r="H10" i="48"/>
  <c r="A10" i="48"/>
  <c r="A40" i="60"/>
  <c r="H10" i="47"/>
  <c r="A10" i="47"/>
  <c r="A39" i="60"/>
  <c r="H10" i="46"/>
  <c r="A10" i="46"/>
  <c r="A38" i="60"/>
  <c r="H9" i="45"/>
  <c r="A10" i="45"/>
  <c r="A37" i="60"/>
  <c r="H9" i="44"/>
  <c r="A10" i="44"/>
  <c r="A36" i="60"/>
  <c r="H8" i="43"/>
  <c r="A10" i="43"/>
  <c r="A35" i="60"/>
  <c r="H8" i="42"/>
  <c r="A10" i="42"/>
  <c r="A34" i="60"/>
  <c r="H8" i="23"/>
  <c r="A10" i="23"/>
  <c r="A33" i="60"/>
  <c r="H5" i="38"/>
  <c r="A10" i="38"/>
  <c r="A32" i="60"/>
  <c r="H5" i="20"/>
  <c r="A10" i="20"/>
  <c r="A31" i="60"/>
  <c r="H5" i="19"/>
  <c r="A10" i="19"/>
  <c r="A30" i="60"/>
  <c r="I39" i="3"/>
  <c r="A10" i="3"/>
  <c r="A29" i="60"/>
  <c r="A10" i="18"/>
  <c r="A28" i="60"/>
  <c r="J6" i="41"/>
  <c r="A10" i="41"/>
  <c r="A27" i="60"/>
  <c r="J6" i="14"/>
  <c r="A10" i="14"/>
  <c r="A26" i="60"/>
  <c r="A10" i="55"/>
  <c r="A25" i="60"/>
  <c r="H7" i="12"/>
  <c r="A10" i="12"/>
  <c r="A24" i="60"/>
  <c r="H7" i="11"/>
  <c r="A10" i="11"/>
  <c r="A23" i="60"/>
  <c r="A10" i="10"/>
  <c r="A22" i="60"/>
  <c r="A10" i="9"/>
  <c r="A21" i="60"/>
  <c r="A10" i="8"/>
  <c r="A20" i="60"/>
  <c r="A10" i="7"/>
  <c r="A19" i="60"/>
  <c r="I6" i="6"/>
  <c r="A10" i="6"/>
  <c r="A18" i="60"/>
  <c r="H7" i="35"/>
  <c r="A10" i="35"/>
  <c r="A17" i="60"/>
  <c r="H7" i="34"/>
  <c r="A10" i="34"/>
  <c r="A16" i="60"/>
  <c r="H7" i="33"/>
  <c r="A10" i="33"/>
  <c r="A15" i="60"/>
  <c r="A10" i="36"/>
  <c r="A14" i="60"/>
  <c r="H7" i="31"/>
  <c r="A10" i="31"/>
  <c r="A13" i="60"/>
  <c r="A10" i="30"/>
  <c r="A12" i="60"/>
  <c r="A10" i="29"/>
  <c r="A11" i="60"/>
  <c r="A10" i="28"/>
  <c r="A10" i="60"/>
  <c r="H6" i="27"/>
  <c r="A10" i="27"/>
  <c r="A9" i="60"/>
  <c r="H6" i="26"/>
  <c r="A10" i="26"/>
  <c r="A8" i="60"/>
  <c r="H6" i="25"/>
  <c r="A10" i="25"/>
  <c r="A7" i="60"/>
  <c r="H6" i="32"/>
  <c r="A10" i="32"/>
  <c r="A6" i="60"/>
  <c r="H6" i="24"/>
  <c r="A10" i="24"/>
  <c r="A5" i="60"/>
  <c r="H6" i="22"/>
  <c r="A10" i="22"/>
  <c r="A4" i="60"/>
  <c r="H6" i="1"/>
  <c r="A10" i="1"/>
  <c r="A3" i="60"/>
  <c r="F18" i="69" l="1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I7" i="9" s="1"/>
  <c r="S4" i="8"/>
  <c r="I7" i="8" s="1"/>
  <c r="S3" i="7"/>
  <c r="I6" i="7" s="1"/>
  <c r="D22" i="35"/>
  <c r="D22" i="33"/>
  <c r="D12" i="88"/>
  <c r="E12" i="88" s="1"/>
  <c r="F12" i="88" s="1"/>
  <c r="F15" i="88" s="1"/>
  <c r="P3" i="75"/>
  <c r="P4" i="75"/>
  <c r="H6" i="18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A7" i="76"/>
  <c r="C4" i="76"/>
  <c r="D4" i="76"/>
  <c r="D6" i="76" s="1"/>
  <c r="B7" i="76"/>
  <c r="C6" i="76"/>
  <c r="G8" i="70"/>
  <c r="I7" i="71"/>
  <c r="F9" i="69"/>
  <c r="F22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A6" i="90" l="1"/>
  <c r="J24" i="87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D16" i="85"/>
  <c r="D17" i="85" s="1"/>
  <c r="A6" i="85" s="1"/>
  <c r="F16" i="88"/>
  <c r="A6" i="88" s="1"/>
  <c r="C7" i="76"/>
  <c r="E7" i="76"/>
  <c r="A8" i="76"/>
  <c r="D7" i="76"/>
  <c r="E6" i="76"/>
  <c r="F4" i="76"/>
  <c r="E8" i="76"/>
  <c r="C8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D22" i="9"/>
  <c r="F16" i="9"/>
  <c r="D22" i="8"/>
  <c r="A6" i="8" s="1"/>
  <c r="F16" i="8"/>
  <c r="D21" i="7"/>
  <c r="A6" i="7" s="1"/>
  <c r="F15" i="7"/>
  <c r="A6" i="6"/>
  <c r="A6" i="34"/>
  <c r="A6" i="33"/>
  <c r="A6" i="31"/>
  <c r="A6" i="22"/>
  <c r="A9" i="76" l="1"/>
  <c r="D8" i="76"/>
  <c r="B8" i="76"/>
  <c r="F8" i="76"/>
  <c r="F6" i="76"/>
  <c r="G4" i="76"/>
  <c r="F7" i="76"/>
  <c r="F5" i="76"/>
  <c r="G5" i="76" l="1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AG48" i="76" l="1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 s="1"/>
  <c r="M3" i="75" s="1"/>
  <c r="B51" i="76" l="1"/>
  <c r="L2" i="75" s="1"/>
  <c r="M2" i="75" s="1"/>
  <c r="A6" i="75" s="1"/>
  <c r="M9" i="57"/>
  <c r="N9" i="57"/>
</calcChain>
</file>

<file path=xl/sharedStrings.xml><?xml version="1.0" encoding="utf-8"?>
<sst xmlns="http://schemas.openxmlformats.org/spreadsheetml/2006/main" count="1989" uniqueCount="415">
  <si>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</si>
  <si>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</si>
  <si>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</si>
  <si>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</si>
  <si>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</si>
  <si>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</si>
  <si>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</si>
  <si>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</si>
  <si>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</si>
  <si>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</si>
  <si>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</si>
  <si>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</si>
  <si>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</si>
  <si>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</si>
  <si>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</si>
  <si>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</si>
  <si>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</si>
  <si>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</si>
  <si>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</si>
  <si>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</si>
  <si>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</si>
  <si>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</si>
  <si>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</si>
  <si>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</si>
  <si>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</si>
  <si>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</si>
  <si>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</si>
  <si>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</si>
  <si>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</si>
  <si>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</si>
  <si>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</si>
  <si>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</si>
  <si>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</si>
  <si>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</si>
  <si>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</si>
  <si>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</si>
  <si>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</si>
  <si>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</si>
  <si>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</si>
  <si>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</si>
  <si>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</si>
  <si>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</si>
  <si>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</si>
  <si>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</si>
  <si>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</si>
  <si>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</si>
  <si>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</si>
  <si>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</si>
  <si>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</si>
  <si>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</si>
  <si>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</si>
  <si>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</si>
  <si>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</si>
  <si>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</si>
  <si>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</si>
  <si>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</si>
  <si>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</si>
  <si>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</si>
  <si>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</si>
  <si>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</si>
  <si>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</si>
  <si>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</si>
  <si>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</si>
  <si>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</si>
  <si>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</si>
  <si>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</si>
  <si>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</si>
  <si>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</si>
  <si>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</si>
  <si>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</si>
  <si>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</si>
  <si>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</si>
  <si>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</si>
  <si>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</si>
  <si>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</si>
  <si>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</si>
  <si>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</si>
  <si>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</si>
  <si>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</si>
  <si>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</si>
  <si>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</si>
  <si>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</si>
  <si>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</si>
  <si>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</si>
  <si>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</si>
  <si>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</si>
  <si>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</si>
  <si>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</si>
  <si>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</si>
  <si>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</si>
  <si>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</si>
  <si>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</si>
  <si>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</si>
  <si>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</si>
  <si>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</si>
  <si>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</si>
  <si>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</si>
  <si>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</si>
  <si>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</si>
  <si>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</si>
  <si>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</si>
  <si>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</si>
  <si>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</si>
  <si>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</si>
  <si>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</si>
  <si>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</si>
  <si>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</si>
  <si>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</si>
  <si>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</si>
  <si>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</si>
  <si>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</si>
  <si>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</si>
  <si>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</si>
  <si>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</si>
  <si>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</si>
  <si>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</si>
  <si>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</si>
  <si>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</si>
  <si>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</si>
  <si>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</si>
  <si>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</si>
  <si>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</si>
  <si>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</si>
  <si>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</si>
  <si>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</si>
  <si>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</si>
  <si>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</si>
  <si>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</si>
  <si>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</si>
  <si>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</si>
  <si>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</si>
  <si>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</si>
  <si>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</si>
  <si>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</si>
  <si>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</si>
  <si>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</si>
  <si>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</si>
  <si>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</si>
  <si>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</si>
  <si>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</si>
  <si>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</si>
  <si>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</si>
  <si>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</si>
  <si>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</si>
  <si>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</si>
  <si>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</si>
  <si>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</si>
  <si>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</si>
  <si>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</si>
  <si>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</si>
  <si>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</si>
  <si>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</si>
  <si>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</si>
  <si>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</si>
  <si>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</si>
  <si>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</si>
  <si>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</si>
  <si>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</si>
  <si>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</si>
  <si>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</si>
  <si>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</si>
  <si>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</si>
  <si>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</si>
  <si>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</si>
  <si>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</si>
  <si>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</si>
  <si>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</si>
  <si>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</si>
  <si>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</si>
  <si>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</si>
  <si>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</si>
  <si>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</si>
  <si>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</si>
  <si>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</si>
  <si>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</si>
  <si>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</si>
  <si>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</si>
  <si>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</si>
  <si>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</si>
  <si>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</si>
  <si>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</si>
  <si>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</si>
  <si>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</si>
  <si>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</si>
  <si>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</si>
  <si>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</si>
  <si>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</si>
  <si>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</si>
  <si>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</si>
  <si>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</si>
  <si>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</si>
  <si>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</si>
  <si>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</si>
  <si>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</si>
  <si>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</si>
  <si>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</si>
  <si>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</si>
  <si>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</si>
  <si>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</si>
  <si>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</si>
  <si>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</si>
  <si>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</si>
  <si>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</si>
  <si>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</si>
  <si>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</si>
  <si>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</si>
  <si>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</si>
  <si>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</si>
  <si>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</si>
  <si>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</si>
  <si>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</si>
  <si>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</si>
  <si>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</si>
  <si>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</si>
  <si>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</si>
  <si>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</si>
  <si>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</si>
  <si>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</si>
  <si>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</si>
  <si>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</si>
  <si>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</si>
  <si>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</si>
  <si>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</si>
  <si>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</si>
  <si>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</si>
  <si>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</si>
  <si>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</si>
  <si>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</si>
  <si>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</si>
  <si>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</si>
  <si>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</si>
  <si>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</si>
  <si>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</si>
  <si>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</si>
  <si>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</si>
  <si>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</si>
  <si>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</si>
  <si>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</si>
  <si>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</si>
  <si>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</si>
  <si>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</si>
  <si>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</si>
  <si>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</si>
  <si>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</si>
  <si>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</si>
  <si>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</si>
  <si>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</si>
  <si>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</si>
  <si>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</si>
  <si>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</si>
  <si>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</si>
  <si>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</si>
  <si>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</si>
  <si>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</si>
  <si>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</si>
  <si>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</si>
  <si>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</si>
  <si>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</si>
  <si>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</si>
  <si>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</si>
  <si>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</si>
  <si>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</si>
  <si>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</si>
  <si>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</si>
  <si>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</si>
  <si>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</si>
  <si>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</si>
  <si>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</si>
  <si>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</si>
  <si>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</si>
  <si>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</si>
  <si>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</si>
  <si>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</si>
  <si>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</si>
  <si>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</si>
  <si>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</si>
  <si>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</si>
  <si>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</si>
  <si>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</si>
  <si>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</si>
  <si>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</si>
  <si>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</si>
  <si>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</si>
  <si>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</si>
  <si>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</si>
  <si>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</si>
  <si>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</si>
  <si>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</si>
  <si>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</si>
  <si>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</si>
  <si>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</si>
  <si>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</si>
  <si>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</si>
  <si>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</si>
  <si>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</si>
  <si>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</si>
  <si>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</si>
  <si>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</si>
  <si>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</si>
  <si>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</si>
  <si>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</si>
  <si>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</si>
  <si>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</si>
  <si>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</si>
  <si>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</si>
  <si>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</si>
  <si>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</si>
  <si>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</si>
  <si>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</si>
  <si>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</si>
  <si>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</si>
  <si>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</si>
  <si>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</si>
  <si>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</si>
  <si>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</si>
  <si>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</si>
  <si>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</si>
  <si>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</si>
  <si>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</si>
  <si>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</si>
  <si>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</si>
  <si>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</si>
  <si>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</si>
  <si>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</si>
  <si>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</si>
  <si>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</si>
  <si>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</si>
  <si>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</si>
  <si>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</si>
  <si>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</si>
  <si>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</si>
  <si>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</si>
  <si>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</si>
  <si>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</si>
  <si>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</si>
  <si>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</si>
  <si>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</si>
  <si>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</si>
  <si>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</si>
  <si>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</si>
  <si>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</si>
  <si>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</si>
  <si>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</si>
  <si>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</si>
  <si>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</si>
  <si>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</si>
  <si>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</si>
  <si>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</si>
  <si>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</si>
  <si>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</si>
  <si>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</si>
  <si>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</si>
  <si>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</si>
  <si>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</si>
  <si>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</si>
  <si>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</si>
  <si>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</si>
  <si>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</si>
  <si>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</si>
  <si>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</si>
  <si>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</si>
  <si>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</si>
  <si>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</si>
  <si>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</si>
  <si>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</si>
  <si>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</si>
  <si>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</si>
  <si>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</si>
  <si>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</si>
  <si>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</si>
  <si>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</si>
  <si>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</si>
  <si>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</si>
  <si>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</si>
  <si>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</si>
  <si>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</si>
  <si>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</si>
  <si>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</si>
  <si>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</si>
  <si>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</si>
  <si>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</si>
  <si>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</si>
  <si>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</si>
  <si>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</si>
  <si>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</si>
  <si>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</si>
  <si>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</si>
  <si>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</si>
  <si>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</si>
  <si>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</si>
  <si>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</si>
  <si>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</si>
  <si>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</si>
  <si>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</si>
  <si>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</si>
  <si>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</si>
  <si>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</si>
  <si>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</si>
  <si>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</si>
  <si>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</si>
  <si>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</si>
  <si>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</si>
  <si>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</si>
  <si>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</si>
  <si>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</si>
  <si>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</si>
  <si>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</si>
  <si>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</si>
  <si>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FAIL</t>
  </si>
  <si>
    <t>This block of constraints tests the parser on certain formulae</t>
  </si>
  <si>
    <t>OpenSolver Sensitivity Report - CBC</t>
  </si>
  <si>
    <t>Report Created: 19/12/2014 12:12:27 p.m.</t>
  </si>
  <si>
    <t>&lt;- Results</t>
  </si>
  <si>
    <t>Report Created: 19/12/2014 12:12:37 p.m.</t>
  </si>
  <si>
    <t>Report Created: 19/12/2014 12:12:42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</si>
</sst>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0" fillId="0" borderId="0" xfId="0" applyAlignment="1">
      <alignment horizontal="center"/>
    </xf>
    <xf numFmtId="0" fontId="26" fillId="15" borderId="44" xfId="11" applyFill="1" applyBorder="1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7892600"/>
        <c:axId val="387897304"/>
        <c:axId val="450073016"/>
      </c:surface3DChart>
      <c:catAx>
        <c:axId val="38789260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89730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789730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892600"/>
        <c:crosses val="min"/>
        <c:crossBetween val="between"/>
        <c:majorUnit val="0.1"/>
      </c:valAx>
      <c:serAx>
        <c:axId val="450073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89730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899656"/>
        <c:axId val="387904752"/>
      </c:scatterChart>
      <c:valAx>
        <c:axId val="38789965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904752"/>
        <c:crosses val="autoZero"/>
        <c:crossBetween val="midCat"/>
        <c:majorUnit val="0.5"/>
      </c:valAx>
      <c:valAx>
        <c:axId val="387904752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89965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902400"/>
        <c:axId val="387902792"/>
      </c:scatterChart>
      <c:valAx>
        <c:axId val="38790240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902792"/>
        <c:crosses val="autoZero"/>
        <c:crossBetween val="midCat"/>
        <c:majorUnit val="1"/>
      </c:valAx>
      <c:valAx>
        <c:axId val="38790279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90240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68"/>
  <sheetViews>
    <sheetView tabSelected="1" zoomScale="85" zoomScaleNormal="85" zoomScalePageLayoutView="85" workbookViewId="0">
      <selection activeCell="J30" sqref="J30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6" s="167" customFormat="1" ht="63" customHeight="1" thickBot="1" x14ac:dyDescent="0.3">
      <c r="A1" s="169"/>
      <c r="C1" s="175" t="s">
        <v>391</v>
      </c>
      <c r="D1" s="175"/>
      <c r="E1" s="175"/>
      <c r="F1" s="175"/>
    </row>
    <row r="2" spans="1:6" s="166" customFormat="1" ht="15.75" thickBot="1" x14ac:dyDescent="0.3">
      <c r="A2" s="170" t="s">
        <v>194</v>
      </c>
      <c r="B2" s="165" t="s">
        <v>195</v>
      </c>
    </row>
    <row r="3" spans="1:6" x14ac:dyDescent="0.25">
      <c r="A3" s="172" t="str">
        <f>HYPERLINK("[OpenSolver Tester.xlsm]Test1!A1", "Test1")</f>
        <v>Test1</v>
      </c>
      <c r="B3" s="60" t="s">
        <v>390</v>
      </c>
    </row>
    <row r="4" spans="1:6" x14ac:dyDescent="0.25">
      <c r="A4" s="172" t="str">
        <f>HYPERLINK("[OpenSolver Tester.xlsm]Test1b!A1", "Test1b")</f>
        <v>Test1b</v>
      </c>
      <c r="B4" s="60" t="s">
        <v>390</v>
      </c>
    </row>
    <row r="5" spans="1:6" x14ac:dyDescent="0.25">
      <c r="A5" s="172" t="str">
        <f>HYPERLINK("[OpenSolver Tester.xlsm]Test1c!A1", "Test1c")</f>
        <v>Test1c</v>
      </c>
      <c r="B5" s="60" t="s">
        <v>390</v>
      </c>
    </row>
    <row r="6" spans="1:6" x14ac:dyDescent="0.25">
      <c r="A6" s="172" t="str">
        <f>HYPERLINK("[OpenSolver Tester.xlsm]Test1c2!A1", "Test1c2")</f>
        <v>Test1c2</v>
      </c>
      <c r="B6" s="60" t="s">
        <v>390</v>
      </c>
    </row>
    <row r="7" spans="1:6" x14ac:dyDescent="0.25">
      <c r="A7" s="172" t="str">
        <f>HYPERLINK("[OpenSolver Tester.xlsm]Test1d!A1", "Test1d")</f>
        <v>Test1d</v>
      </c>
      <c r="B7" s="60" t="s">
        <v>390</v>
      </c>
    </row>
    <row r="8" spans="1:6" x14ac:dyDescent="0.25">
      <c r="A8" s="172" t="str">
        <f>HYPERLINK("[OpenSolver Tester.xlsm]Test1e!A1", "Test1e")</f>
        <v>Test1e</v>
      </c>
      <c r="B8" s="60" t="s">
        <v>390</v>
      </c>
    </row>
    <row r="9" spans="1:6" x14ac:dyDescent="0.25">
      <c r="A9" s="172" t="str">
        <f>HYPERLINK("[OpenSolver Tester.xlsm]Test1f!A1", "Test1f")</f>
        <v>Test1f</v>
      </c>
      <c r="B9" s="60" t="s">
        <v>390</v>
      </c>
    </row>
    <row r="10" spans="1:6" x14ac:dyDescent="0.25">
      <c r="A10" s="172" t="str">
        <f>HYPERLINK("[OpenSolver Tester.xlsm]Test1g!A1", "Test1g")</f>
        <v>Test1g</v>
      </c>
      <c r="B10" s="60" t="s">
        <v>390</v>
      </c>
    </row>
    <row r="11" spans="1:6" x14ac:dyDescent="0.25">
      <c r="A11" s="172" t="str">
        <f>HYPERLINK("[OpenSolver Tester.xlsm]Test1h!A1", "Test1h")</f>
        <v>Test1h</v>
      </c>
      <c r="B11" s="60" t="s">
        <v>390</v>
      </c>
    </row>
    <row r="12" spans="1:6" x14ac:dyDescent="0.25">
      <c r="A12" s="172" t="str">
        <f>HYPERLINK("[OpenSolver Tester.xlsm]Test1i!A1", "Test1i")</f>
        <v>Test1i</v>
      </c>
      <c r="B12" s="60" t="s">
        <v>390</v>
      </c>
    </row>
    <row r="13" spans="1:6" x14ac:dyDescent="0.25">
      <c r="A13" s="172" t="str">
        <f>HYPERLINK("[OpenSolver Tester.xlsm]Test1j!A1", "Test1j")</f>
        <v>Test1j</v>
      </c>
      <c r="B13" s="60" t="s">
        <v>390</v>
      </c>
    </row>
    <row r="14" spans="1:6" x14ac:dyDescent="0.25">
      <c r="A14" s="172" t="str">
        <f>HYPERLINK("[OpenSolver Tester.xlsm]Test1j2!A1", "Test1j2")</f>
        <v>Test1j2</v>
      </c>
      <c r="B14" s="60" t="s">
        <v>390</v>
      </c>
    </row>
    <row r="15" spans="1:6" x14ac:dyDescent="0.25">
      <c r="A15" s="172" t="str">
        <f>HYPERLINK("[OpenSolver Tester.xlsm]Test1k!A1", "Test1k")</f>
        <v>Test1k</v>
      </c>
      <c r="B15" s="60" t="s">
        <v>390</v>
      </c>
    </row>
    <row r="16" spans="1:6" x14ac:dyDescent="0.25">
      <c r="A16" s="172" t="str">
        <f>HYPERLINK("[OpenSolver Tester.xlsm]Test1l!A1", "Test1l")</f>
        <v>Test1l</v>
      </c>
      <c r="B16" s="60" t="s">
        <v>390</v>
      </c>
    </row>
    <row r="17" spans="1:2" x14ac:dyDescent="0.25">
      <c r="A17" s="172" t="str">
        <f>HYPERLINK("[OpenSolver Tester.xlsm]Test1m!A1", "Test1m")</f>
        <v>Test1m</v>
      </c>
      <c r="B17" s="60" t="s">
        <v>390</v>
      </c>
    </row>
    <row r="18" spans="1:2" x14ac:dyDescent="0.25">
      <c r="A18" s="172" t="str">
        <f>HYPERLINK("[OpenSolver Tester.xlsm]Test2!A1", "Test2")</f>
        <v>Test2</v>
      </c>
      <c r="B18" s="60" t="s">
        <v>390</v>
      </c>
    </row>
    <row r="19" spans="1:2" x14ac:dyDescent="0.25">
      <c r="A19" s="172" t="str">
        <f>HYPERLINK("[OpenSolver Tester.xlsm]Test3!A1", "Test3")</f>
        <v>Test3</v>
      </c>
      <c r="B19" s="60" t="s">
        <v>390</v>
      </c>
    </row>
    <row r="20" spans="1:2" x14ac:dyDescent="0.25">
      <c r="A20" s="172" t="str">
        <f>HYPERLINK("[OpenSolver Tester.xlsm]Test4!A1", "Test4")</f>
        <v>Test4</v>
      </c>
      <c r="B20" s="60" t="s">
        <v>390</v>
      </c>
    </row>
    <row r="21" spans="1:2" x14ac:dyDescent="0.25">
      <c r="A21" s="172" t="str">
        <f>HYPERLINK("[OpenSolver Tester.xlsm]Test5!A1", "Test5")</f>
        <v>Test5</v>
      </c>
      <c r="B21" s="60" t="s">
        <v>390</v>
      </c>
    </row>
    <row r="22" spans="1:2" x14ac:dyDescent="0.25">
      <c r="A22" s="172" t="str">
        <f>HYPERLINK("[OpenSolver Tester.xlsm]Test!6!A1", "Test!6")</f>
        <v>Test!6</v>
      </c>
      <c r="B22" s="60" t="s">
        <v>390</v>
      </c>
    </row>
    <row r="23" spans="1:2" x14ac:dyDescent="0.25">
      <c r="A23" s="172" t="str">
        <f>HYPERLINK("[OpenSolver Tester.xlsm]Test7!A1", "Test7")</f>
        <v>Test7</v>
      </c>
      <c r="B23" s="60" t="s">
        <v>390</v>
      </c>
    </row>
    <row r="24" spans="1:2" x14ac:dyDescent="0.25">
      <c r="A24" s="172" t="str">
        <f>HYPERLINK("[OpenSolver Tester.xlsm]Test8!A1", "Test8")</f>
        <v>Test8</v>
      </c>
      <c r="B24" s="60" t="s">
        <v>390</v>
      </c>
    </row>
    <row r="25" spans="1:2" x14ac:dyDescent="0.25">
      <c r="A25" s="172" t="str">
        <f>HYPERLINK("[OpenSolver Tester.xlsm]Test8B!A1", "Test8B")</f>
        <v>Test8B</v>
      </c>
      <c r="B25" s="60" t="s">
        <v>390</v>
      </c>
    </row>
    <row r="26" spans="1:2" x14ac:dyDescent="0.25">
      <c r="A26" s="172" t="str">
        <f>HYPERLINK("[OpenSolver Tester.xlsm]Test9A!A1", "Test9A")</f>
        <v>Test9A</v>
      </c>
      <c r="B26" s="60" t="s">
        <v>390</v>
      </c>
    </row>
    <row r="27" spans="1:2" x14ac:dyDescent="0.25">
      <c r="A27" s="172" t="str">
        <f>HYPERLINK("[OpenSolver Tester.xlsm]Test9B!A1", "Test9B")</f>
        <v>Test9B</v>
      </c>
      <c r="B27" s="60" t="s">
        <v>390</v>
      </c>
    </row>
    <row r="28" spans="1:2" x14ac:dyDescent="0.25">
      <c r="A28" s="172" t="str">
        <f>HYPERLINK("[OpenSolver Tester.xlsm]Test10!A1", "Test10")</f>
        <v>Test10</v>
      </c>
      <c r="B28" s="60" t="s">
        <v>390</v>
      </c>
    </row>
    <row r="29" spans="1:2" x14ac:dyDescent="0.25">
      <c r="A29" s="172" t="str">
        <f>HYPERLINK("[OpenSolver Tester.xlsm]Test11!A1", "Test11")</f>
        <v>Test11</v>
      </c>
      <c r="B29" s="60" t="s">
        <v>390</v>
      </c>
    </row>
    <row r="30" spans="1:2" x14ac:dyDescent="0.25">
      <c r="A30" s="172" t="str">
        <f>HYPERLINK("[OpenSolver Tester.xlsm]Test12!A1", "Test12")</f>
        <v>Test12</v>
      </c>
      <c r="B30" s="60" t="s">
        <v>390</v>
      </c>
    </row>
    <row r="31" spans="1:2" x14ac:dyDescent="0.25">
      <c r="A31" s="172" t="str">
        <f>HYPERLINK("[OpenSolver Tester.xlsm]Test13!A1", "Test13")</f>
        <v>Test13</v>
      </c>
      <c r="B31" s="60" t="s">
        <v>390</v>
      </c>
    </row>
    <row r="32" spans="1:2" x14ac:dyDescent="0.25">
      <c r="A32" s="172" t="str">
        <f>HYPERLINK("[OpenSolver Tester.xlsm]Test13b!A1", "Test13b")</f>
        <v>Test13b</v>
      </c>
      <c r="B32" s="60" t="s">
        <v>390</v>
      </c>
    </row>
    <row r="33" spans="1:2" x14ac:dyDescent="0.25">
      <c r="A33" s="172" t="str">
        <f>HYPERLINK("[OpenSolver Tester.xlsm]Test14!A1", "Test14")</f>
        <v>Test14</v>
      </c>
      <c r="B33" s="60" t="s">
        <v>390</v>
      </c>
    </row>
    <row r="34" spans="1:2" x14ac:dyDescent="0.25">
      <c r="A34" s="172" t="str">
        <f>HYPERLINK("[OpenSolver Tester.xlsm]Test15!A1", "Test15")</f>
        <v>Test15</v>
      </c>
      <c r="B34" s="60" t="s">
        <v>390</v>
      </c>
    </row>
    <row r="35" spans="1:2" x14ac:dyDescent="0.25">
      <c r="A35" s="172" t="str">
        <f>HYPERLINK("[OpenSolver Tester.xlsm]Test15b!A1", "Test15b")</f>
        <v>Test15b</v>
      </c>
      <c r="B35" s="60" t="s">
        <v>408</v>
      </c>
    </row>
    <row r="36" spans="1:2" x14ac:dyDescent="0.25">
      <c r="A36" s="172" t="str">
        <f>HYPERLINK("[OpenSolver Tester.xlsm]Test15c!A1", "Test15c")</f>
        <v>Test15c</v>
      </c>
      <c r="B36" s="60" t="s">
        <v>390</v>
      </c>
    </row>
    <row r="37" spans="1:2" x14ac:dyDescent="0.25">
      <c r="A37" s="172" t="str">
        <f>HYPERLINK("[OpenSolver Tester.xlsm]Test15d!A1", "Test15d")</f>
        <v>Test15d</v>
      </c>
      <c r="B37" s="60" t="s">
        <v>390</v>
      </c>
    </row>
    <row r="38" spans="1:2" x14ac:dyDescent="0.25">
      <c r="A38" s="172" t="str">
        <f>HYPERLINK("[OpenSolver Tester.xlsm]Test16!A1", "Test16")</f>
        <v>Test16</v>
      </c>
      <c r="B38" s="60" t="s">
        <v>390</v>
      </c>
    </row>
    <row r="39" spans="1:2" x14ac:dyDescent="0.25">
      <c r="A39" s="172" t="str">
        <f>HYPERLINK("[OpenSolver Tester.xlsm]Test16b!A1", "Test16b")</f>
        <v>Test16b</v>
      </c>
      <c r="B39" s="60" t="s">
        <v>408</v>
      </c>
    </row>
    <row r="40" spans="1:2" x14ac:dyDescent="0.25">
      <c r="A40" s="172" t="str">
        <f>HYPERLINK("[OpenSolver Tester.xlsm]Test17!A1", "Test17")</f>
        <v>Test17</v>
      </c>
      <c r="B40" s="60" t="s">
        <v>408</v>
      </c>
    </row>
    <row r="41" spans="1:2" x14ac:dyDescent="0.25">
      <c r="A41" s="172" t="str">
        <f>HYPERLINK("[OpenSolver Tester.xlsm]Test18!A1", "Test18")</f>
        <v>Test18</v>
      </c>
      <c r="B41" s="60" t="s">
        <v>408</v>
      </c>
    </row>
    <row r="42" spans="1:2" x14ac:dyDescent="0.25">
      <c r="A42" s="172" t="str">
        <f>HYPERLINK("[OpenSolver Tester.xlsm]Test19!A1", "Test19")</f>
        <v>Test19</v>
      </c>
      <c r="B42" s="60" t="s">
        <v>408</v>
      </c>
    </row>
    <row r="43" spans="1:2" x14ac:dyDescent="0.25">
      <c r="A43" s="172" t="str">
        <f>HYPERLINK("[OpenSolver Tester.xlsm]Test20!A1", "Test20")</f>
        <v>Test20</v>
      </c>
      <c r="B43" s="60" t="s">
        <v>390</v>
      </c>
    </row>
    <row r="44" spans="1:2" x14ac:dyDescent="0.25">
      <c r="A44" s="172" t="str">
        <f>HYPERLINK("[OpenSolver Tester.xlsm]Test21!A1", "Test21")</f>
        <v>Test21</v>
      </c>
      <c r="B44" s="60" t="s">
        <v>408</v>
      </c>
    </row>
    <row r="45" spans="1:2" x14ac:dyDescent="0.25">
      <c r="A45" s="172" t="str">
        <f>HYPERLINK("[OpenSolver Tester.xlsm]Test22!A1", "Test22")</f>
        <v>Test22</v>
      </c>
      <c r="B45" s="60" t="s">
        <v>408</v>
      </c>
    </row>
    <row r="46" spans="1:2" x14ac:dyDescent="0.25">
      <c r="A46" s="172" t="str">
        <f>HYPERLINK("[OpenSolver Tester.xlsm]Test23!A1", "Test23")</f>
        <v>Test23</v>
      </c>
      <c r="B46" s="60" t="s">
        <v>408</v>
      </c>
    </row>
    <row r="47" spans="1:2" x14ac:dyDescent="0.25">
      <c r="A47" s="172" t="str">
        <f>HYPERLINK("[OpenSolver Tester.xlsm]Test24_IterativeCalc!A1", "Test24_IterativeCalc")</f>
        <v>Test24_IterativeCalc</v>
      </c>
      <c r="B47" s="60" t="s">
        <v>390</v>
      </c>
    </row>
    <row r="48" spans="1:2" x14ac:dyDescent="0.25">
      <c r="A48" s="172" t="str">
        <f>HYPERLINK("[OpenSolver Tester.xlsm]Test25!A1", "Test25")</f>
        <v>Test25</v>
      </c>
      <c r="B48" s="60" t="s">
        <v>390</v>
      </c>
    </row>
    <row r="49" spans="1:2" x14ac:dyDescent="0.25">
      <c r="A49" s="172" t="str">
        <f>HYPERLINK("[OpenSolver Tester.xlsm]Test26!A1", "Test26")</f>
        <v>Test26</v>
      </c>
      <c r="B49" s="60" t="s">
        <v>390</v>
      </c>
    </row>
    <row r="50" spans="1:2" x14ac:dyDescent="0.25">
      <c r="A50" s="172" t="str">
        <f>HYPERLINK("[OpenSolver Tester.xlsm]Test27_Parameters!A1", "Test27_Parameters")</f>
        <v>Test27_Parameters</v>
      </c>
      <c r="B50" s="60" t="s">
        <v>390</v>
      </c>
    </row>
    <row r="51" spans="1:2" x14ac:dyDescent="0.25">
      <c r="A51" s="172" t="str">
        <f>HYPERLINK("[OpenSolver Tester.xlsm]Test28_CBCOptions!A1", "Test28_CBCOptions")</f>
        <v>Test28_CBCOptions</v>
      </c>
      <c r="B51" s="60" t="s">
        <v>390</v>
      </c>
    </row>
    <row r="52" spans="1:2" x14ac:dyDescent="0.25">
      <c r="A52" s="172" t="str">
        <f>HYPERLINK("[OpenSolver Tester.xlsm]Test29!A1", "Test29")</f>
        <v>Test29</v>
      </c>
      <c r="B52" s="60" t="s">
        <v>390</v>
      </c>
    </row>
    <row r="53" spans="1:2" x14ac:dyDescent="0.25">
      <c r="A53" s="172" t="str">
        <f>HYPERLINK("[OpenSolver Tester.xlsm]Test30!A1", "Test30")</f>
        <v>Test30</v>
      </c>
      <c r="B53" s="60" t="s">
        <v>390</v>
      </c>
    </row>
    <row r="54" spans="1:2" x14ac:dyDescent="0.25">
      <c r="A54" s="172" t="str">
        <f>HYPERLINK("[OpenSolver Tester.xlsm]Test31!A1", "Test31")</f>
        <v>Test31</v>
      </c>
      <c r="B54" s="60" t="s">
        <v>390</v>
      </c>
    </row>
    <row r="55" spans="1:2" x14ac:dyDescent="0.25">
      <c r="A55" s="172" t="str">
        <f>HYPERLINK("[OpenSolver Tester.xlsm]Test32!A1", "Test32")</f>
        <v>Test32</v>
      </c>
      <c r="B55" s="60" t="s">
        <v>390</v>
      </c>
    </row>
    <row r="56" spans="1:2" x14ac:dyDescent="0.25">
      <c r="A56" s="172" t="str">
        <f>HYPERLINK("[OpenSolver Tester.xlsm]Test33!A1", "Test33")</f>
        <v>Test33</v>
      </c>
      <c r="B56" s="60" t="s">
        <v>390</v>
      </c>
    </row>
    <row r="57" spans="1:2" x14ac:dyDescent="0.25">
      <c r="A57" s="172" t="str">
        <f>HYPERLINK("[OpenSolver Tester.xlsm]Test34!A1", "Test34")</f>
        <v>Test34</v>
      </c>
      <c r="B57" s="60" t="s">
        <v>390</v>
      </c>
    </row>
    <row r="58" spans="1:2" x14ac:dyDescent="0.25">
      <c r="A58" s="172" t="str">
        <f>HYPERLINK("[OpenSolver Tester.xlsm]Test35!A1", "Test35")</f>
        <v>Test35</v>
      </c>
      <c r="B58" s="60" t="s">
        <v>390</v>
      </c>
    </row>
    <row r="59" spans="1:2" x14ac:dyDescent="0.25">
      <c r="A59" s="172" t="str">
        <f>HYPERLINK("[OpenSolver Tester.xlsm]Test36!A1", "Test36")</f>
        <v>Test36</v>
      </c>
      <c r="B59" s="60" t="s">
        <v>390</v>
      </c>
    </row>
    <row r="60" spans="1:2" x14ac:dyDescent="0.25">
      <c r="A60" s="172" t="str">
        <f>HYPERLINK("[OpenSolver Tester.xlsm]Test37!A1", "Test37")</f>
        <v>Test37</v>
      </c>
      <c r="B60" s="60" t="s">
        <v>390</v>
      </c>
    </row>
    <row r="61" spans="1:2" x14ac:dyDescent="0.25">
      <c r="A61" s="172" t="str">
        <f>HYPERLINK("[OpenSolver Tester.xlsm]Test38!A1", "Test38")</f>
        <v>Test38</v>
      </c>
      <c r="B61" s="60" t="s">
        <v>390</v>
      </c>
    </row>
    <row r="62" spans="1:2" x14ac:dyDescent="0.25">
      <c r="A62" s="172" t="str">
        <f>HYPERLINK("[OpenSolver Tester.xlsm]Test39_SensNames!A1", "Test39_SensNames")</f>
        <v>Test39_SensNames</v>
      </c>
      <c r="B62" s="60" t="s">
        <v>390</v>
      </c>
    </row>
    <row r="63" spans="1:2" x14ac:dyDescent="0.25">
      <c r="A63" s="172" t="str">
        <f>HYPERLINK("[OpenSolver Tester.xlsm]Test40!A1", "Test40")</f>
        <v>Test40</v>
      </c>
      <c r="B63" s="60" t="s">
        <v>390</v>
      </c>
    </row>
    <row r="64" spans="1:2" x14ac:dyDescent="0.25">
      <c r="A64" s="172" t="str">
        <f>HYPERLINK("[OpenSolver Tester.xlsm]Test41!A1", "Test41")</f>
        <v>Test41</v>
      </c>
      <c r="B64" s="60" t="s">
        <v>408</v>
      </c>
    </row>
    <row r="65" spans="1:2" x14ac:dyDescent="0.25">
      <c r="A65" s="172" t="str">
        <f>HYPERLINK("[OpenSolver Tester.xlsm]Test42!A1", "Test42")</f>
        <v>Test42</v>
      </c>
      <c r="B65" s="60" t="s">
        <v>390</v>
      </c>
    </row>
    <row r="66" spans="1:2" x14ac:dyDescent="0.25">
      <c r="A66" s="172" t="str">
        <f>HYPERLINK("[OpenSolver Tester.xlsm]Test43!A1", "Test43")</f>
        <v>Test43</v>
      </c>
      <c r="B66" s="60" t="s">
        <v>390</v>
      </c>
    </row>
    <row r="67" spans="1:2" x14ac:dyDescent="0.25">
      <c r="A67" s="172" t="str">
        <f>HYPERLINK("[OpenSolver Tester.xlsm]Test44_Seek!A1", "Test44_Seek")</f>
        <v>Test44_Seek</v>
      </c>
      <c r="B67" s="60" t="s">
        <v>390</v>
      </c>
    </row>
    <row r="68" spans="1:2" x14ac:dyDescent="0.25">
      <c r="A68" s="172" t="str">
        <f>HYPERLINK("[OpenSolver Tester.xlsm]Test45_SheetName(1)+2-1!A1", "Test45_SheetName(1)+2-1")</f>
        <v>Test45_SheetName(1)+2-1</v>
      </c>
      <c r="B68" s="60" t="s">
        <v>390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6">
        <v>5.2941175999999999</v>
      </c>
      <c r="F5" s="176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6">
        <v>5.2941175999999999</v>
      </c>
      <c r="F5" s="176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6">
        <v>2</v>
      </c>
      <c r="D5" s="176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5.2941175999999999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76">
        <v>150</v>
      </c>
      <c r="K10" s="17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5.2941175999999999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G10" s="176">
        <f>SUMPRODUCT($D$5:$F$5,D10:F10)</f>
        <v>116.4705872</v>
      </c>
      <c r="H10" s="176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G10" s="177">
        <v>5</v>
      </c>
      <c r="H10" s="17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7"/>
      <c r="H11" s="17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4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4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8.3970687999999996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28.800000022500001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4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4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4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4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0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74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0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74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0</v>
      </c>
      <c r="E3" s="31">
        <v>0</v>
      </c>
      <c r="F3" s="31">
        <v>6.0511363999999999</v>
      </c>
      <c r="G3" s="31"/>
      <c r="I3" s="158" t="b">
        <f>ABS(D3-I2)/(1+ABS(I2))&lt;=0.000001</f>
        <v>0</v>
      </c>
      <c r="J3" s="159" t="b">
        <f>ABS(E3-J2)/(1+ABS(J2))&lt;=0.000001</f>
        <v>1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585.86002770247933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72.613636799999995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842.17378982231401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-139.1761372</v>
      </c>
      <c r="I9" s="31" t="s">
        <v>9</v>
      </c>
      <c r="J9" s="31">
        <v>110</v>
      </c>
    </row>
    <row r="10" spans="1:15" ht="15.75" thickBot="1" x14ac:dyDescent="0.3">
      <c r="A10" s="174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-139.1761372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-139.1761372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-139.1761372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-139.1761372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-139.1761372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-139.1761372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-139.1761372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-139.1761372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-139.1761372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-139.1761372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-139.1761372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-139.1761372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-139.1761372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-139.1761372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-139.1761372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-139.1761372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-139.1761372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-139.1761372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-139.1761372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-139.1761372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-139.1761372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-139.1761372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-139.1761372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-139.1761372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-139.1761372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-139.1761372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-139.1761372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-139.1761372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-139.1761372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-139.1761372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-139.1761372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-139.1761372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-139.1761372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-139.1761372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-139.1761372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-139.1761372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-139.1761372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-139.1761372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-139.1761372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-139.1761372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-139.1761372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-139.1761372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-139.1761372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-139.1761372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-139.1761372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-139.1761372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-139.1761372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-139.1761372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-139.1761372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-139.1761372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-139.1761372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-139.1761372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-139.1761372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-139.1761372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-139.1761372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-139.1761372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-139.1761372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-139.1761372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-139.1761372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-139.1761372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-139.1761372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-139.1761372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-139.1761372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-193.6363648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-3201.0511556000001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-139.1761372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-139.1761372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-139.1761372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-139.1761372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-139.1761372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-139.1761372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-139.1761372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-139.1761372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-139.1761372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-139.1761372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-139.1761372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-139.1761372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-139.1761372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-139.1761372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-139.1761372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-139.1761372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-139.1761372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-139.1761372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-139.1761372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-139.1761372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-139.1761372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-139.1761372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-139.1761372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-139.1761372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-139.1761372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-139.1761372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-139.1761372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-139.1761372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-139.1761372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-139.1761372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-139.1761372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-139.1761372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-139.1761372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-139.1761372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-139.1761372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-139.1761372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-139.1761372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-139.1761372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-139.1761372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-139.1761372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-139.1761372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-139.1761372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-139.1761372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-139.1761372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-139.1761372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-139.1761372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-139.1761372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-139.1761372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-139.1761372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-139.1761372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-139.1761372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-139.1761372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-139.1761372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-139.1761372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-139.1761372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-139.1761372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-139.1761372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-139.1761372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-139.1761372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-139.1761372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-139.1761372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-139.1761372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-139.1761372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-139.1761372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-193.6363648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7.5294118000000001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14.588235400000002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4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42.823529800000003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81.647059600000006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180.00000119999999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4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0</v>
      </c>
      <c r="E4" s="54">
        <v>0</v>
      </c>
      <c r="F4" s="54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0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4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74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4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4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0</v>
      </c>
      <c r="D6" s="54">
        <v>0</v>
      </c>
      <c r="E6" s="54">
        <v>0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4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0</v>
      </c>
      <c r="D6" s="54">
        <v>0</v>
      </c>
      <c r="E6" s="54">
        <v>0</v>
      </c>
      <c r="F6" s="150">
        <v>0</v>
      </c>
      <c r="G6" s="54">
        <v>0</v>
      </c>
      <c r="H6">
        <f>SUM(D6:F6)</f>
        <v>0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4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0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0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0</v>
      </c>
      <c r="E20" s="8" t="b">
        <f>ABS(E6-E19)/(1+ABS(E19))&lt;=0.000001</f>
        <v>0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0</v>
      </c>
      <c r="E4" s="150">
        <v>0</v>
      </c>
      <c r="F4" s="54">
        <v>0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0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0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4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0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0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0</v>
      </c>
      <c r="E18" s="8" t="b">
        <f>ABS(E4-E17)/(1+ABS(E17))&lt;=0.000001</f>
        <v>0</v>
      </c>
      <c r="F18" s="8" t="b">
        <f>ABS(F4-F17)/(1+ABS(F17))&lt;=0.000001</f>
        <v>0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0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4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4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4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4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4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5.2941175999999999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58.235293599999999</v>
      </c>
      <c r="I9" s="55" t="s">
        <v>8</v>
      </c>
      <c r="J9" s="55">
        <v>60</v>
      </c>
      <c r="M9" s="58">
        <f ca="1">N9+1</f>
        <v>246799</v>
      </c>
      <c r="N9" s="58">
        <f ca="1">M9+1</f>
        <v>246800</v>
      </c>
    </row>
    <row r="10" spans="1:14" ht="15.75" thickBot="1" x14ac:dyDescent="0.3">
      <c r="A10" s="174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179.99999839999998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9.5238095000000005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19.047619000000001</v>
      </c>
      <c r="I9" s="57"/>
      <c r="J9" s="57"/>
    </row>
    <row r="10" spans="1:10" ht="15.75" thickBot="1" x14ac:dyDescent="0.3">
      <c r="A10" s="174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95.238095000000001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199.9999995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199.9999995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180.9523805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</v>
      </c>
      <c r="E5" s="59">
        <v>5.2941175999999999</v>
      </c>
      <c r="F5" s="59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58.235293599999999</v>
      </c>
      <c r="I9" s="59" t="s">
        <v>8</v>
      </c>
      <c r="J9" s="59">
        <v>60</v>
      </c>
    </row>
    <row r="10" spans="1:10" ht="15.75" thickBot="1" x14ac:dyDescent="0.3">
      <c r="A10" s="174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116.4705872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116.4705872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179.99999839999998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4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1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4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-0.74324323999999997</v>
      </c>
      <c r="E13" s="30">
        <v>5.7094595000000004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15.64189202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55.37162210000001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110.00000096000001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110.00000096000001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180.00000144000001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1</v>
      </c>
      <c r="E24" s="76" t="b">
        <f>ABS(E13-E23)/(1+ABS(E23))&lt;=0.000001</f>
        <v>1</v>
      </c>
      <c r="F24" s="72" t="b">
        <f>ABS(F13-F23)/(1+ABS(F23))&lt;=0.000001</f>
        <v>1</v>
      </c>
      <c r="G24" s="79"/>
      <c r="H24" s="73" t="b">
        <f>ABS(H15-H23)/(1+ABS(H23))&lt;=0.000001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ht="15.75" thickBot="1" x14ac:dyDescent="0.3">
      <c r="A10" s="174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3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4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7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243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411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1.0000001000000001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1.0000001000000001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412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ht="15.75" thickBot="1" x14ac:dyDescent="0.3">
      <c r="A10" s="174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74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8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8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8</v>
      </c>
      <c r="I9" t="s">
        <v>9</v>
      </c>
      <c r="J9">
        <v>4</v>
      </c>
    </row>
    <row r="10" spans="1:11" ht="15.75" thickBot="1" x14ac:dyDescent="0.3">
      <c r="A10" s="174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8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8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4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C14" sqref="C14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0</v>
      </c>
      <c r="E5">
        <v>0</v>
      </c>
    </row>
    <row r="6" spans="1:15" ht="15.75" thickBot="1" x14ac:dyDescent="0.3">
      <c r="A6" s="64" t="b">
        <f>AND(F22)</f>
        <v>0</v>
      </c>
      <c r="F6">
        <f>D5^2*E5^2</f>
        <v>0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74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3"/>
    </row>
    <row r="16" spans="1:15" x14ac:dyDescent="0.25">
      <c r="F16">
        <f>E5-D5*E5+D5</f>
        <v>0</v>
      </c>
      <c r="G16" t="s">
        <v>8</v>
      </c>
      <c r="H16">
        <v>60</v>
      </c>
      <c r="O16" s="83"/>
    </row>
    <row r="17" spans="6:15" x14ac:dyDescent="0.25">
      <c r="F17">
        <f>E5-D5+E5*D5</f>
        <v>0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409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0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0</v>
      </c>
      <c r="E4">
        <v>0</v>
      </c>
      <c r="F4">
        <v>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0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4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74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4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284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413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35.000000100000001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10.000000099999999</v>
      </c>
      <c r="H8" s="108">
        <v>10.000000099999999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15</v>
      </c>
      <c r="F9" s="75">
        <v>40</v>
      </c>
      <c r="G9" s="109">
        <v>1E+100</v>
      </c>
      <c r="H9" s="108">
        <v>15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10</v>
      </c>
      <c r="F10" s="75">
        <v>40</v>
      </c>
      <c r="G10" s="109">
        <v>1E+100</v>
      </c>
      <c r="H10" s="108">
        <v>10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35</v>
      </c>
      <c r="F12" s="75">
        <v>35</v>
      </c>
      <c r="G12" s="109">
        <v>1E+100</v>
      </c>
      <c r="H12" s="108">
        <v>35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0</v>
      </c>
      <c r="F13" s="75">
        <v>20</v>
      </c>
      <c r="G13" s="75">
        <v>5.0000001000000003</v>
      </c>
      <c r="H13" s="108">
        <v>5.0000001000000003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5.0000001000000003</v>
      </c>
      <c r="H14" s="107">
        <v>1E+100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5.0000001000000003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5</v>
      </c>
      <c r="F16" s="75">
        <v>30</v>
      </c>
      <c r="G16" s="109">
        <v>1E+100</v>
      </c>
      <c r="H16" s="108">
        <v>5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5.0000001000000003</v>
      </c>
      <c r="H18" s="108">
        <v>5.0000001000000003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5</v>
      </c>
      <c r="F19" s="75">
        <v>10</v>
      </c>
      <c r="G19" s="109">
        <v>1E+100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5</v>
      </c>
      <c r="F20" s="75">
        <v>15</v>
      </c>
      <c r="G20" s="109">
        <v>1E+100</v>
      </c>
      <c r="H20" s="108">
        <v>5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5.0000001000000003</v>
      </c>
      <c r="H21" s="112">
        <v>1E+100</v>
      </c>
    </row>
    <row r="22" spans="1:8" x14ac:dyDescent="0.25">
      <c r="B22" s="173"/>
      <c r="C22" s="173"/>
      <c r="D22" s="173"/>
      <c r="E22" s="173"/>
      <c r="F22" s="173"/>
      <c r="G22" s="173"/>
      <c r="H22" s="173"/>
    </row>
    <row r="23" spans="1:8" ht="15.75" thickBot="1" x14ac:dyDescent="0.3">
      <c r="A23" s="17" t="s">
        <v>134</v>
      </c>
      <c r="B23" s="173"/>
      <c r="C23" s="173"/>
      <c r="D23" s="173"/>
      <c r="E23" s="173"/>
      <c r="F23" s="173"/>
      <c r="G23" s="173"/>
      <c r="H23" s="173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-10</v>
      </c>
      <c r="F26" s="75">
        <v>300</v>
      </c>
      <c r="G26" s="75">
        <v>100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25</v>
      </c>
      <c r="F30" s="75">
        <v>200</v>
      </c>
      <c r="G30" s="75">
        <v>0</v>
      </c>
      <c r="H30" s="108">
        <v>100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30</v>
      </c>
      <c r="F31" s="75">
        <v>100</v>
      </c>
      <c r="G31" s="75">
        <v>0</v>
      </c>
      <c r="H31" s="108">
        <v>100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3"/>
      <c r="C33" s="173"/>
      <c r="D33" s="173"/>
      <c r="E33" s="173"/>
      <c r="F33" s="173"/>
      <c r="G33" s="173"/>
      <c r="H33" s="17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4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e">
        <f>AND(D17)</f>
        <v>#DIV/0!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4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0</v>
      </c>
      <c r="E11" s="123"/>
    </row>
    <row r="12" spans="1:5" x14ac:dyDescent="0.25">
      <c r="C12" s="121" t="s">
        <v>328</v>
      </c>
      <c r="D12" s="122">
        <f>D11/D4</f>
        <v>0</v>
      </c>
      <c r="E12" s="123"/>
    </row>
    <row r="13" spans="1:5" x14ac:dyDescent="0.25">
      <c r="C13" s="121" t="s">
        <v>329</v>
      </c>
      <c r="D13" s="124">
        <f>D8*D11/2</f>
        <v>0</v>
      </c>
      <c r="E13" s="123"/>
    </row>
    <row r="14" spans="1:5" x14ac:dyDescent="0.25">
      <c r="C14" s="121" t="s">
        <v>330</v>
      </c>
      <c r="D14" s="126" t="e">
        <f>D5/D12</f>
        <v>#DIV/0!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 t="e">
        <f>D13+D14</f>
        <v>#DIV/0!</v>
      </c>
      <c r="E16" s="123"/>
    </row>
    <row r="17" spans="3:4" x14ac:dyDescent="0.25">
      <c r="D17" s="87" t="e">
        <f>D16&lt;0.75</f>
        <v>#DIV/0!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0" spans="1:16" ht="15.75" thickBot="1" x14ac:dyDescent="0.3">
      <c r="A10" s="174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10</v>
      </c>
      <c r="P12" s="90">
        <f>$I$2</f>
        <v>10</v>
      </c>
    </row>
    <row r="14" spans="1:16" x14ac:dyDescent="0.25">
      <c r="N14" s="90" t="s">
        <v>343</v>
      </c>
      <c r="O14" s="90">
        <f>$F$2</f>
        <v>10</v>
      </c>
      <c r="P14" s="90">
        <f>$G$2</f>
        <v>10</v>
      </c>
    </row>
    <row r="15" spans="1:16" x14ac:dyDescent="0.25">
      <c r="N15" s="90" t="s">
        <v>345</v>
      </c>
      <c r="O15" s="90">
        <f>$H$2</f>
        <v>10</v>
      </c>
      <c r="P15" s="90">
        <f>$I$2</f>
        <v>10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8" t="s">
        <v>347</v>
      </c>
      <c r="D1" s="178"/>
      <c r="E1" s="178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2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5.75" thickBot="1" x14ac:dyDescent="0.3">
      <c r="A6" s="64" t="b">
        <f>AND(F16)</f>
        <v>0</v>
      </c>
      <c r="C6" s="178" t="s">
        <v>228</v>
      </c>
      <c r="D6" s="178"/>
      <c r="E6" s="178"/>
    </row>
    <row r="7" spans="1:9" x14ac:dyDescent="0.25">
      <c r="A7" s="63" t="s">
        <v>211</v>
      </c>
      <c r="C7" s="143" t="s">
        <v>352</v>
      </c>
      <c r="D7" s="144">
        <v>10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4" t="str">
        <f>HYPERLINK("[OpenSolver Tester.xlsm]Results!A1", "&lt;- Results")</f>
        <v>&lt;- Results</v>
      </c>
      <c r="C10" s="178" t="s">
        <v>355</v>
      </c>
      <c r="D10" s="178"/>
      <c r="E10" s="178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2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25">
      <c r="C15" s="178" t="s">
        <v>360</v>
      </c>
      <c r="D15" s="178"/>
      <c r="E15" s="178"/>
      <c r="F15" s="147">
        <f>SUM(F12:F13)</f>
        <v>2.7015316626326951</v>
      </c>
    </row>
    <row r="16" spans="1:9" x14ac:dyDescent="0.25">
      <c r="C16" s="148"/>
      <c r="F16" s="141" t="b">
        <f>ABS(F15)&lt;=0.000001</f>
        <v>0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</v>
      </c>
      <c r="E2">
        <v>100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4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404</v>
      </c>
      <c r="B2" s="173"/>
      <c r="C2" s="173"/>
      <c r="D2" s="173"/>
      <c r="E2" s="173"/>
      <c r="F2" s="173"/>
      <c r="G2" s="173"/>
      <c r="H2" s="173"/>
    </row>
    <row r="3" spans="1:8" x14ac:dyDescent="0.25">
      <c r="A3" s="17" t="s">
        <v>414</v>
      </c>
      <c r="B3" s="173"/>
      <c r="C3" s="173"/>
      <c r="D3" s="173"/>
      <c r="E3" s="173"/>
      <c r="F3" s="173"/>
      <c r="G3" s="173"/>
      <c r="H3" s="173"/>
    </row>
    <row r="4" spans="1:8" x14ac:dyDescent="0.25">
      <c r="B4" s="173"/>
      <c r="C4" s="173"/>
      <c r="D4" s="173"/>
      <c r="E4" s="173"/>
      <c r="F4" s="173"/>
      <c r="G4" s="173"/>
      <c r="H4" s="173"/>
    </row>
    <row r="5" spans="1:8" ht="15.75" thickBot="1" x14ac:dyDescent="0.3">
      <c r="A5" s="17" t="s">
        <v>228</v>
      </c>
      <c r="B5" s="173"/>
      <c r="C5" s="173"/>
      <c r="D5" s="173"/>
      <c r="E5" s="173"/>
      <c r="F5" s="173"/>
      <c r="G5" s="173"/>
      <c r="H5" s="173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401</v>
      </c>
      <c r="C7" s="75" t="s">
        <v>405</v>
      </c>
      <c r="D7" s="75">
        <v>250</v>
      </c>
      <c r="E7" s="75">
        <v>0</v>
      </c>
      <c r="F7" s="75">
        <v>0.1</v>
      </c>
      <c r="G7" s="109">
        <v>1.9999999999999999E-7</v>
      </c>
      <c r="H7" s="107">
        <v>1E+100</v>
      </c>
    </row>
    <row r="8" spans="1:8" x14ac:dyDescent="0.25">
      <c r="B8" s="106" t="s">
        <v>402</v>
      </c>
      <c r="C8" s="75" t="s">
        <v>406</v>
      </c>
      <c r="D8" s="75">
        <v>100</v>
      </c>
      <c r="E8" s="75">
        <v>0</v>
      </c>
      <c r="F8" s="75">
        <v>0.25</v>
      </c>
      <c r="G8" s="109">
        <v>1E+100</v>
      </c>
      <c r="H8" s="108">
        <v>0</v>
      </c>
    </row>
    <row r="9" spans="1:8" ht="15.75" thickBot="1" x14ac:dyDescent="0.3">
      <c r="B9" s="110" t="s">
        <v>403</v>
      </c>
      <c r="C9" s="111" t="s">
        <v>407</v>
      </c>
      <c r="D9" s="111">
        <v>0</v>
      </c>
      <c r="E9" s="111">
        <v>0</v>
      </c>
      <c r="F9" s="111">
        <v>0.4</v>
      </c>
      <c r="G9" s="161">
        <v>1.9999999999999999E-7</v>
      </c>
      <c r="H9" s="112">
        <v>1E+100</v>
      </c>
    </row>
    <row r="10" spans="1:8" x14ac:dyDescent="0.25">
      <c r="B10" s="173"/>
      <c r="C10" s="173"/>
      <c r="D10" s="173"/>
      <c r="E10" s="173"/>
      <c r="F10" s="173"/>
      <c r="G10" s="173"/>
      <c r="H10" s="173"/>
    </row>
    <row r="11" spans="1:8" ht="15.75" thickBot="1" x14ac:dyDescent="0.3">
      <c r="A11" s="17" t="s">
        <v>134</v>
      </c>
      <c r="B11" s="173"/>
      <c r="C11" s="173"/>
      <c r="D11" s="173"/>
      <c r="E11" s="173"/>
      <c r="F11" s="173"/>
      <c r="G11" s="173"/>
      <c r="H11" s="173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396</v>
      </c>
      <c r="C13" s="75" t="s">
        <v>4</v>
      </c>
      <c r="D13" s="75">
        <v>350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397</v>
      </c>
      <c r="C14" s="75" t="s">
        <v>211</v>
      </c>
      <c r="D14" s="75">
        <v>100</v>
      </c>
      <c r="E14" s="75">
        <v>0</v>
      </c>
      <c r="F14" s="75">
        <v>100</v>
      </c>
      <c r="G14" s="75">
        <v>0</v>
      </c>
      <c r="H14" s="108">
        <v>166.66666670000001</v>
      </c>
    </row>
    <row r="15" spans="1:8" x14ac:dyDescent="0.25">
      <c r="B15" s="106" t="s">
        <v>383</v>
      </c>
      <c r="C15" s="75" t="s">
        <v>201</v>
      </c>
      <c r="D15" s="75">
        <v>-500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398</v>
      </c>
      <c r="C16" s="111">
        <v>0</v>
      </c>
      <c r="D16" s="111">
        <v>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3"/>
      <c r="C17" s="173"/>
      <c r="D17" s="173"/>
      <c r="E17" s="173"/>
      <c r="F17" s="173"/>
      <c r="G17" s="173"/>
      <c r="H17" s="17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250</v>
      </c>
      <c r="E2">
        <v>100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166.66666670000001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1">
        <v>1.9999999999999999E-7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</v>
      </c>
    </row>
    <row r="10" spans="1:15" ht="15.75" thickBot="1" x14ac:dyDescent="0.3">
      <c r="A10" s="174" t="str">
        <f>HYPERLINK("[OpenSolver Tester.xlsm]Results!A1", "&lt;- Results")</f>
        <v>&lt;- Results</v>
      </c>
      <c r="L10" t="s">
        <v>403</v>
      </c>
      <c r="M10">
        <v>0</v>
      </c>
      <c r="N10" s="81">
        <v>1.9999999999999999E-7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5.2941175999999999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58.235293599999999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116.4705872</v>
      </c>
      <c r="I9" s="168" t="s">
        <v>8</v>
      </c>
      <c r="J9" s="168">
        <v>150</v>
      </c>
    </row>
    <row r="10" spans="1:10" ht="15.75" thickBot="1" x14ac:dyDescent="0.3">
      <c r="A10" s="174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116.4705872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179.99999839999998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9" t="s">
        <v>157</v>
      </c>
      <c r="C33" s="18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2014-12-19T17:13:35Z</dcterms:modified>
</cp:coreProperties>
</file>