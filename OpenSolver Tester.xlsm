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6.xml" ContentType="application/vnd.openxmlformats-officedocument.drawing+xml"/>
  <Override PartName="/xl/charts/chart3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  <workbookView xWindow="0" yWindow="0" windowWidth="12765" windowHeight="17760" firstSheet="1" activeTab="1"/>
    <workbookView xWindow="0" yWindow="0" windowWidth="12765" windowHeight="17760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CBC</definedName>
    <definedName name="OpenSolver_ChosenSolver" localSheetId="2" hidden="1">CBC</definedName>
    <definedName name="OpenSolver_ChosenSolver" localSheetId="27" hidden="1">CBC</definedName>
    <definedName name="OpenSolver_ChosenSolver" localSheetId="28" hidden="1">CBC</definedName>
    <definedName name="OpenSolver_ChosenSolver" localSheetId="29" hidden="1">CBC</definedName>
    <definedName name="OpenSolver_ChosenSolver" localSheetId="30" hidden="1">CBC</definedName>
    <definedName name="OpenSolver_ChosenSolver" localSheetId="31" hidden="1">CBC</definedName>
    <definedName name="OpenSolver_ChosenSolver" localSheetId="32" hidden="1">CBC</definedName>
    <definedName name="OpenSolver_ChosenSolver" localSheetId="33" hidden="1">CBC</definedName>
    <definedName name="OpenSolver_ChosenSolver" localSheetId="34" hidden="1">CBC</definedName>
    <definedName name="OpenSolver_ChosenSolver" localSheetId="35" hidden="1">CBC</definedName>
    <definedName name="OpenSolver_ChosenSolver" localSheetId="36" hidden="1">CBC</definedName>
    <definedName name="OpenSolver_ChosenSolver" localSheetId="37" hidden="1">CBC</definedName>
    <definedName name="OpenSolver_ChosenSolver" localSheetId="38" hidden="1">CBC</definedName>
    <definedName name="OpenSolver_ChosenSolver" localSheetId="39" hidden="1">CBC</definedName>
    <definedName name="OpenSolver_ChosenSolver" localSheetId="40" hidden="1">CBC</definedName>
    <definedName name="OpenSolver_ChosenSolver" localSheetId="41" hidden="1">CBC</definedName>
    <definedName name="OpenSolver_ChosenSolver" localSheetId="3" hidden="1">CBC</definedName>
    <definedName name="OpenSolver_ChosenSolver" localSheetId="4" hidden="1">CBC</definedName>
    <definedName name="OpenSolver_ChosenSolver" localSheetId="5" hidden="1">CBC</definedName>
    <definedName name="OpenSolver_ChosenSolver" localSheetId="6" hidden="1">CBC</definedName>
    <definedName name="OpenSolver_ChosenSolver" localSheetId="7" hidden="1">CBC</definedName>
    <definedName name="OpenSolver_ChosenSolver" localSheetId="8" hidden="1">CBC</definedName>
    <definedName name="OpenSolver_ChosenSolver" localSheetId="9" hidden="1">CBC</definedName>
    <definedName name="OpenSolver_ChosenSolver" localSheetId="10" hidden="1">CBC</definedName>
    <definedName name="OpenSolver_ChosenSolver" localSheetId="11" hidden="1">CBC</definedName>
    <definedName name="OpenSolver_ChosenSolver" localSheetId="12" hidden="1">CBC</definedName>
    <definedName name="OpenSolver_ChosenSolver" localSheetId="13" hidden="1">CBC</definedName>
    <definedName name="OpenSolver_ChosenSolver" localSheetId="14" hidden="1">CBC</definedName>
    <definedName name="OpenSolver_ChosenSolver" localSheetId="15" hidden="1">CBC</definedName>
    <definedName name="OpenSolver_ChosenSolver" localSheetId="16" hidden="1">CBC</definedName>
    <definedName name="OpenSolver_ChosenSolver" localSheetId="17" hidden="1">CBC</definedName>
    <definedName name="OpenSolver_ChosenSolver" localSheetId="42" hidden="1">CBC</definedName>
    <definedName name="OpenSolver_ChosenSolver" localSheetId="43" hidden="1">CBC</definedName>
    <definedName name="OpenSolver_ChosenSolver" localSheetId="44" hidden="1">CBC</definedName>
    <definedName name="OpenSolver_ChosenSolver" localSheetId="45" hidden="1">CBC</definedName>
    <definedName name="OpenSolver_ChosenSolver" localSheetId="46" hidden="1">CBC</definedName>
    <definedName name="OpenSolver_ChosenSolver" localSheetId="47" hidden="1">CBC</definedName>
    <definedName name="OpenSolver_ChosenSolver" localSheetId="48" hidden="1">CBC</definedName>
    <definedName name="OpenSolver_ChosenSolver" localSheetId="49" hidden="1">CBC</definedName>
    <definedName name="OpenSolver_ChosenSolver" localSheetId="50" hidden="1">CBC</definedName>
    <definedName name="OpenSolver_ChosenSolver" localSheetId="51" hidden="1">CBC</definedName>
    <definedName name="OpenSolver_ChosenSolver" localSheetId="18" hidden="1">CBC</definedName>
    <definedName name="OpenSolver_ChosenSolver" localSheetId="52" hidden="1">CBC</definedName>
    <definedName name="OpenSolver_ChosenSolver" localSheetId="54" hidden="1">CBC</definedName>
    <definedName name="OpenSolver_ChosenSolver" localSheetId="55" hidden="1">CBC</definedName>
    <definedName name="OpenSolver_ChosenSolver" localSheetId="56" hidden="1">CBC</definedName>
    <definedName name="OpenSolver_ChosenSolver" localSheetId="57" hidden="1">Gurobi</definedName>
    <definedName name="OpenSolver_ChosenSolver" localSheetId="58" hidden="1">CBC</definedName>
    <definedName name="OpenSolver_ChosenSolver" localSheetId="59" hidden="1">CBC</definedName>
    <definedName name="OpenSolver_ChosenSolver" localSheetId="60" hidden="1">CBC</definedName>
    <definedName name="OpenSolver_ChosenSolver" localSheetId="61" hidden="1">CBC</definedName>
    <definedName name="OpenSolver_ChosenSolver" localSheetId="62" hidden="1">CBC</definedName>
    <definedName name="OpenSolver_ChosenSolver" localSheetId="64" hidden="1">CBC</definedName>
    <definedName name="OpenSolver_ChosenSolver" localSheetId="19" hidden="1">CBC</definedName>
    <definedName name="OpenSolver_ChosenSolver" localSheetId="65" hidden="1">Bonmin</definedName>
    <definedName name="OpenSolver_ChosenSolver" localSheetId="66" hidden="1">CBC</definedName>
    <definedName name="OpenSolver_ChosenSolver" localSheetId="67" hidden="1">CBC</definedName>
    <definedName name="OpenSolver_ChosenSolver" localSheetId="68" hidden="1">CBC</definedName>
    <definedName name="OpenSolver_ChosenSolver" localSheetId="20" hidden="1">CBC</definedName>
    <definedName name="OpenSolver_ChosenSolver" localSheetId="22" hidden="1">CBC</definedName>
    <definedName name="OpenSolver_ChosenSolver" localSheetId="23" hidden="1">CBC</definedName>
    <definedName name="OpenSolver_ChosenSolver" localSheetId="24" hidden="1">CBC</definedName>
    <definedName name="OpenSolver_ChosenSolver" localSheetId="25" hidden="1">CBC</definedName>
    <definedName name="OpenSolver_ChosenSolver" localSheetId="26" hidden="1">CBC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1000</definedName>
    <definedName name="solver_itr" localSheetId="2" hidden="1">1000</definedName>
    <definedName name="solver_itr" localSheetId="27" hidden="1">100</definedName>
    <definedName name="solver_itr" localSheetId="28" hidden="1">1000</definedName>
    <definedName name="solver_itr" localSheetId="29" hidden="1">1000</definedName>
    <definedName name="solver_itr" localSheetId="30" hidden="1">1000</definedName>
    <definedName name="solver_itr" localSheetId="31" hidden="1">1000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1000</definedName>
    <definedName name="solver_itr" localSheetId="7" hidden="1">1000</definedName>
    <definedName name="solver_itr" localSheetId="8" hidden="1">1000</definedName>
    <definedName name="solver_itr" localSheetId="9" hidden="1">1000</definedName>
    <definedName name="solver_itr" localSheetId="10" hidden="1">1000</definedName>
    <definedName name="solver_itr" localSheetId="11" hidden="1">1000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1000</definedName>
    <definedName name="solver_itr" localSheetId="49" hidden="1">1000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5" hidden="1">1000</definedName>
    <definedName name="solver_itr" localSheetId="56" hidden="1">1000</definedName>
    <definedName name="solver_itr" localSheetId="57" hidden="1">1000</definedName>
    <definedName name="solver_itr" localSheetId="58" hidden="1">1000</definedName>
    <definedName name="solver_itr" localSheetId="59" hidden="1">1000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20" hidden="1">1000</definedName>
    <definedName name="solver_itr" localSheetId="22" hidden="1">1000</definedName>
    <definedName name="solver_itr" localSheetId="23" hidden="1">1000</definedName>
    <definedName name="solver_itr" localSheetId="24" hidden="1">1000</definedName>
    <definedName name="solver_itr" localSheetId="25" hidden="1">1000</definedName>
    <definedName name="solver_itr" localSheetId="26" hidden="1">1000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F6" i="69" l="1"/>
  <c r="F4" i="68"/>
  <c r="G4" i="90"/>
  <c r="D20" i="77"/>
  <c r="S13" i="75"/>
  <c r="I6" i="71"/>
  <c r="G6" i="70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K37" i="3" s="1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G39" i="3"/>
  <c r="H6" i="18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7" i="87" l="1"/>
  <c r="J24" i="87" s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11" i="76"/>
  <c r="B6" i="76"/>
  <c r="C7" i="76"/>
  <c r="B10" i="76"/>
  <c r="C9" i="76"/>
  <c r="C6" i="76"/>
  <c r="B9" i="76"/>
  <c r="G8" i="70"/>
  <c r="C10" i="76" l="1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6" i="20" l="1"/>
  <c r="A6" i="19"/>
  <c r="A22" i="76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<sst xmlns="http://schemas.openxmlformats.org/spreadsheetml/2006/main" count="1840" uniqueCount="395">
  <si>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</si>
  <si>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</si>
  <si>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</si>
  <si>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</si>
  <si>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</si>
  <si>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</si>
  <si>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</si>
  <si>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</si>
  <si>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</si>
  <si>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</si>
  <si>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</si>
  <si>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</si>
  <si>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</si>
  <si>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</si>
  <si>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</si>
  <si>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</si>
  <si>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</si>
  <si>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</si>
  <si>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</si>
  <si>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</si>
  <si>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</si>
  <si>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</si>
  <si>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</si>
  <si>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</si>
  <si>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</si>
  <si>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</si>
  <si>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</si>
  <si>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</si>
  <si>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</si>
  <si>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</si>
  <si>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</si>
  <si>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</si>
  <si>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</si>
  <si>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</si>
  <si>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</si>
  <si>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</si>
  <si>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</si>
  <si>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</si>
  <si>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</si>
  <si>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</si>
  <si>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</si>
  <si>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</si>
  <si>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</si>
  <si>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</si>
  <si>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</si>
  <si>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</si>
  <si>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</si>
  <si>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</si>
  <si>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</si>
  <si>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</si>
  <si>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</si>
  <si>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</si>
  <si>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</si>
  <si>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</si>
  <si>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</si>
  <si>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</si>
  <si>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</si>
  <si>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</si>
  <si>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</si>
  <si>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</si>
  <si>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</si>
  <si>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</si>
  <si>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</si>
  <si>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</si>
  <si>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</si>
  <si>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</si>
  <si>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</si>
  <si>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</si>
  <si>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</si>
  <si>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</si>
  <si>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</si>
  <si>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</si>
  <si>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</si>
  <si>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</si>
  <si>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</si>
  <si>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</si>
  <si>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</si>
  <si>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</si>
  <si>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</si>
  <si>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</si>
  <si>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</si>
  <si>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</si>
  <si>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</si>
  <si>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</si>
  <si>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</si>
  <si>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</si>
  <si>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</si>
  <si>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</si>
  <si>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</si>
  <si>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</si>
  <si>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</si>
  <si>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</si>
  <si>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</si>
  <si>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</si>
  <si>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</si>
  <si>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</si>
  <si>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</si>
  <si>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</si>
  <si>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</si>
  <si>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</si>
  <si>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</si>
  <si>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</si>
  <si>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</si>
  <si>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</si>
  <si>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</si>
  <si>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</si>
  <si>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</si>
  <si>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</si>
  <si>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</si>
  <si>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</si>
  <si>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</si>
  <si>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</si>
  <si>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</si>
  <si>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</si>
  <si>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</si>
  <si>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</si>
  <si>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</si>
  <si>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</si>
  <si>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</si>
  <si>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</si>
  <si>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</si>
  <si>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</si>
  <si>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</si>
  <si>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</si>
  <si>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</si>
  <si>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</si>
  <si>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</si>
  <si>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</si>
  <si>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</si>
  <si>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</si>
  <si>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</si>
  <si>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</si>
  <si>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</si>
  <si>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</si>
  <si>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</si>
  <si>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</si>
  <si>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</si>
  <si>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</si>
  <si>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</si>
  <si>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</si>
  <si>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</si>
  <si>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</si>
  <si>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</si>
  <si>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</si>
  <si>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</si>
  <si>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</si>
  <si>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</si>
  <si>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</si>
  <si>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</si>
  <si>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</si>
  <si>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</si>
  <si>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</si>
  <si>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</si>
  <si>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</si>
  <si>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</si>
  <si>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</si>
  <si>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</si>
  <si>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</si>
  <si>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</si>
  <si>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</si>
  <si>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</si>
  <si>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</si>
  <si>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</si>
  <si>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</si>
  <si>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</si>
  <si>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</si>
  <si>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</si>
  <si>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</si>
  <si>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</si>
  <si>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</si>
  <si>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</si>
  <si>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</si>
  <si>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</si>
  <si>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</si>
  <si>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</si>
  <si>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</si>
  <si>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</si>
  <si>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</si>
  <si>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</si>
  <si>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</si>
  <si>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</si>
  <si>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</si>
  <si>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</si>
  <si>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</si>
  <si>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</si>
  <si>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</si>
  <si>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</si>
  <si>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</si>
  <si>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</si>
  <si>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</si>
  <si>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</si>
  <si>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</si>
  <si>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</si>
  <si>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</si>
  <si>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</si>
  <si>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</si>
  <si>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</si>
  <si>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</si>
  <si>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</si>
  <si>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</si>
  <si>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</si>
  <si>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</si>
  <si>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</si>
  <si>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</si>
  <si>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</si>
  <si>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</si>
  <si>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</si>
  <si>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</si>
  <si>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</si>
  <si>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</si>
  <si>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</si>
  <si>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</si>
  <si>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</si>
  <si>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</si>
  <si>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</si>
  <si>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</si>
  <si>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</si>
  <si>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</si>
  <si>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</si>
  <si>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</si>
  <si>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</si>
  <si>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</si>
  <si>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</si>
  <si>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</si>
  <si>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</si>
  <si>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</si>
  <si>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</si>
  <si>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</si>
  <si>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</si>
  <si>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</si>
  <si>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</si>
  <si>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</si>
  <si>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</si>
  <si>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</si>
  <si>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</si>
  <si>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</si>
  <si>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</si>
  <si>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</si>
  <si>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</si>
  <si>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</si>
  <si>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</si>
  <si>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</si>
  <si>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</si>
  <si>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</si>
  <si>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</si>
  <si>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</si>
  <si>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</si>
  <si>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</si>
  <si>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</si>
  <si>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</si>
  <si>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</si>
  <si>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</si>
  <si>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</si>
  <si>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</si>
  <si>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</si>
  <si>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</si>
  <si>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</si>
  <si>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</si>
  <si>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</si>
  <si>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</si>
  <si>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</si>
  <si>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</si>
  <si>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</si>
  <si>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</si>
  <si>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</si>
  <si>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</si>
  <si>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</si>
  <si>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</si>
  <si>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</si>
  <si>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</si>
  <si>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</si>
  <si>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</si>
  <si>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</si>
  <si>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</si>
  <si>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</si>
  <si>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</si>
  <si>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</si>
  <si>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</si>
  <si>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</si>
  <si>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</si>
  <si>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</si>
  <si>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</si>
  <si>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</si>
  <si>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</si>
  <si>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</si>
  <si>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</si>
  <si>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</si>
  <si>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</si>
  <si>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</si>
  <si>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</si>
  <si>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</si>
  <si>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</si>
  <si>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</si>
  <si>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</si>
  <si>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</si>
  <si>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</si>
  <si>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</si>
  <si>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</si>
  <si>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</si>
  <si>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</si>
  <si>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</si>
  <si>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</si>
  <si>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</si>
  <si>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</si>
  <si>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</si>
  <si>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</si>
  <si>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</si>
  <si>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</si>
  <si>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</si>
  <si>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</si>
  <si>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</si>
  <si>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</si>
  <si>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</si>
  <si>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</si>
  <si>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</si>
  <si>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</si>
  <si>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</si>
  <si>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</si>
  <si>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</si>
  <si>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</si>
  <si>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</si>
  <si>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</si>
  <si>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</si>
  <si>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</si>
  <si>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</si>
  <si>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</si>
  <si>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</si>
  <si>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</si>
  <si>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</si>
  <si>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</si>
  <si>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</si>
  <si>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</si>
  <si>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</si>
  <si>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</si>
  <si>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</si>
  <si>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</si>
  <si>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</si>
  <si>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</si>
  <si>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</si>
  <si>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</si>
  <si>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</si>
  <si>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</si>
  <si>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</si>
  <si>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</si>
  <si>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</si>
  <si>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</si>
  <si>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</si>
  <si>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</si>
  <si>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</si>
  <si>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</si>
  <si>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</si>
  <si>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</si>
  <si>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</si>
  <si>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</si>
  <si>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</si>
  <si>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</si>
  <si>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</si>
  <si>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</si>
  <si>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</si>
  <si>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</si>
  <si>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</si>
  <si>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</si>
  <si>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</si>
  <si>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</si>
  <si>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</si>
  <si>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</si>
  <si>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</si>
  <si>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</si>
  <si>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</si>
  <si>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</si>
  <si>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</si>
  <si>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</si>
  <si>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</si>
  <si>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</si>
  <si>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</si>
  <si>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</si>
  <si>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</si>
  <si>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</si>
  <si>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OpenSolver Sensitivity Report - CBC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</si>
  <si>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</si>
  <si>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</si>
  <si>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</si>
  <si>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</si>
  <si>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</si>
  <si>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</si>
  <si>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</si>
  <si>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</si>
  <si>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</si>
  <si>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</si>
  <si>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</si>
  <si>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Test40</t>
  </si>
  <si>
    <t>Lowerbound applied by constraint with decision variable as the RHS</t>
  </si>
  <si>
    <t>Solver doesn't count this as applying a bound</t>
  </si>
  <si>
    <t>Report Created: 8/08/2014 3:11:05 p.m.</t>
  </si>
  <si>
    <t>Report Created: 8/08/2014 3:11:09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</si>
</sst>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11" fontId="0" fillId="0" borderId="7" xfId="0" applyNumberFormat="1" applyBorder="1"/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01815712"/>
        <c:axId val="201816256"/>
        <c:axId val="78507600"/>
      </c:surface3DChart>
      <c:catAx>
        <c:axId val="20181571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162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018162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15712"/>
        <c:crosses val="min"/>
        <c:crossBetween val="between"/>
        <c:majorUnit val="0.1"/>
      </c:valAx>
      <c:serAx>
        <c:axId val="7850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162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5920"/>
        <c:axId val="201806464"/>
      </c:scatterChart>
      <c:valAx>
        <c:axId val="20180592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6464"/>
        <c:crosses val="autoZero"/>
        <c:crossBetween val="midCat"/>
        <c:majorUnit val="0.5"/>
      </c:valAx>
      <c:valAx>
        <c:axId val="201806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592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9184"/>
        <c:axId val="201809728"/>
      </c:scatterChart>
      <c:valAx>
        <c:axId val="2018091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9728"/>
        <c:crosses val="autoZero"/>
        <c:crossBetween val="midCat"/>
        <c:majorUnit val="1"/>
      </c:valAx>
      <c:valAx>
        <c:axId val="20180972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918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0</xdr:rowOff>
        </xdr:from>
        <xdr:to>
          <xdr:col>0</xdr:col>
          <xdr:colOff>1943100</xdr:colOff>
          <xdr:row>32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2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5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  <sheetView workbookViewId="1"/>
    <sheetView workbookViewId="2"/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G50"/>
  <sheetViews>
    <sheetView tabSelected="1" workbookViewId="0">
      <selection activeCell="E41" sqref="E41"/>
    </sheetView>
    <sheetView tabSelected="1" workbookViewId="1"/>
    <sheetView tabSelected="1" workbookViewId="2"/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7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  <c r="E1" s="62" t="s">
        <v>197</v>
      </c>
      <c r="F1" s="62" t="s">
        <v>369</v>
      </c>
      <c r="G1" s="62" t="s">
        <v>375</v>
      </c>
    </row>
    <row r="2" spans="1:7" x14ac:dyDescent="0.25">
      <c r="B2" s="82" t="s">
        <v>390</v>
      </c>
      <c r="C2" s="60" t="s">
        <v>216</v>
      </c>
      <c r="D2" s="60" t="s">
        <v>216</v>
      </c>
      <c r="E2" s="60" t="s">
        <v>216</v>
      </c>
      <c r="F2" s="60" t="s">
        <v>216</v>
      </c>
      <c r="G2" s="60" t="s">
        <v>216</v>
      </c>
    </row>
    <row r="3" spans="1:7" x14ac:dyDescent="0.25">
      <c r="B3" s="82"/>
    </row>
    <row r="4" spans="1:7" x14ac:dyDescent="0.25">
      <c r="B4" s="82"/>
    </row>
    <row r="5" spans="1:7" x14ac:dyDescent="0.25">
      <c r="B5" s="82"/>
    </row>
    <row r="6" spans="1:7" x14ac:dyDescent="0.25">
      <c r="B6" s="82"/>
    </row>
    <row r="7" spans="1:7" x14ac:dyDescent="0.25">
      <c r="B7" s="82"/>
    </row>
    <row r="8" spans="1:7" x14ac:dyDescent="0.25">
      <c r="B8" s="82"/>
    </row>
    <row r="9" spans="1:7" x14ac:dyDescent="0.25">
      <c r="B9" s="82"/>
    </row>
    <row r="10" spans="1:7" x14ac:dyDescent="0.25">
      <c r="B10" s="82"/>
    </row>
    <row r="11" spans="1:7" x14ac:dyDescent="0.25">
      <c r="B11" s="82"/>
    </row>
    <row r="12" spans="1:7" x14ac:dyDescent="0.25">
      <c r="B12" s="82"/>
    </row>
    <row r="13" spans="1:7" x14ac:dyDescent="0.25">
      <c r="B13" s="82"/>
    </row>
    <row r="14" spans="1:7" x14ac:dyDescent="0.25">
      <c r="B14" s="82"/>
    </row>
    <row r="15" spans="1:7" x14ac:dyDescent="0.25">
      <c r="B15" s="82"/>
    </row>
    <row r="16" spans="1:7" x14ac:dyDescent="0.25">
      <c r="B16" s="82"/>
    </row>
    <row r="17" spans="2:2" x14ac:dyDescent="0.25">
      <c r="B17" s="82"/>
    </row>
    <row r="18" spans="2:2" x14ac:dyDescent="0.25">
      <c r="B18" s="82"/>
    </row>
    <row r="19" spans="2:2" x14ac:dyDescent="0.25">
      <c r="B19" s="82"/>
    </row>
    <row r="20" spans="2:2" x14ac:dyDescent="0.25">
      <c r="B20" s="82"/>
    </row>
    <row r="21" spans="2:2" x14ac:dyDescent="0.25">
      <c r="B21" s="82"/>
    </row>
    <row r="22" spans="2:2" x14ac:dyDescent="0.25">
      <c r="B22" s="82"/>
    </row>
    <row r="23" spans="2:2" x14ac:dyDescent="0.25">
      <c r="B23" s="82"/>
    </row>
    <row r="24" spans="2:2" x14ac:dyDescent="0.25">
      <c r="B24" s="82"/>
    </row>
    <row r="25" spans="2:2" x14ac:dyDescent="0.25">
      <c r="B25" s="82"/>
    </row>
    <row r="26" spans="2:2" x14ac:dyDescent="0.25">
      <c r="B26" s="82"/>
    </row>
    <row r="27" spans="2:2" x14ac:dyDescent="0.25">
      <c r="B27" s="82"/>
    </row>
    <row r="28" spans="2:2" x14ac:dyDescent="0.25">
      <c r="B28" s="82"/>
    </row>
    <row r="29" spans="2:2" x14ac:dyDescent="0.25">
      <c r="B29" s="82"/>
    </row>
    <row r="30" spans="2:2" x14ac:dyDescent="0.25">
      <c r="B30" s="82"/>
    </row>
    <row r="31" spans="2:2" x14ac:dyDescent="0.25">
      <c r="B31" s="82"/>
    </row>
    <row r="32" spans="2:2" x14ac:dyDescent="0.25">
      <c r="B32" s="82"/>
    </row>
    <row r="33" spans="2:2" x14ac:dyDescent="0.25">
      <c r="B33" s="82"/>
    </row>
    <row r="34" spans="2:2" x14ac:dyDescent="0.25">
      <c r="B34" s="82"/>
    </row>
    <row r="35" spans="2:2" x14ac:dyDescent="0.25">
      <c r="B35" s="82"/>
    </row>
    <row r="36" spans="2:2" x14ac:dyDescent="0.25">
      <c r="B36" s="82"/>
    </row>
    <row r="37" spans="2:2" x14ac:dyDescent="0.25">
      <c r="B37" s="82"/>
    </row>
    <row r="38" spans="2:2" x14ac:dyDescent="0.25">
      <c r="B38" s="82"/>
    </row>
    <row r="39" spans="2:2" x14ac:dyDescent="0.25">
      <c r="B39" s="82"/>
    </row>
    <row r="40" spans="2:2" x14ac:dyDescent="0.25">
      <c r="B40" s="82"/>
    </row>
    <row r="41" spans="2:2" x14ac:dyDescent="0.25">
      <c r="B41" s="82"/>
    </row>
    <row r="42" spans="2:2" x14ac:dyDescent="0.25">
      <c r="B42" s="82"/>
    </row>
    <row r="43" spans="2:2" x14ac:dyDescent="0.25">
      <c r="B43" s="82"/>
    </row>
    <row r="44" spans="2:2" x14ac:dyDescent="0.25">
      <c r="B44" s="82"/>
    </row>
    <row r="45" spans="2:2" x14ac:dyDescent="0.25">
      <c r="B45" s="82"/>
    </row>
    <row r="46" spans="2:2" x14ac:dyDescent="0.25">
      <c r="B46" s="82"/>
    </row>
    <row r="47" spans="2:2" x14ac:dyDescent="0.25">
      <c r="B47" s="82"/>
    </row>
    <row r="48" spans="2:2" x14ac:dyDescent="0.25">
      <c r="B48" s="82"/>
    </row>
    <row r="49" spans="2:2" x14ac:dyDescent="0.25">
      <c r="B49" s="82"/>
    </row>
    <row r="50" spans="2:2" x14ac:dyDescent="0.25">
      <c r="B50" s="82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1943100</xdr:colOff>
                <xdr:row>32</xdr:row>
                <xdr:rowOff>76200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E49" sqref="E49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0">
        <v>5.2941175999999999</v>
      </c>
      <c r="F5" s="170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0">
        <v>5.2941175999999999</v>
      </c>
      <c r="F5" s="170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0">
        <v>2</v>
      </c>
      <c r="D5" s="170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5.2941175999999999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70">
        <v>150</v>
      </c>
      <c r="K10" s="17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5.2941175999999999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0">
        <f>SUMPRODUCT($D$5:$F$5,D10:F10)</f>
        <v>116.4705872</v>
      </c>
      <c r="H10" s="170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v>5</v>
      </c>
      <c r="H10" s="17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1"/>
      <c r="H11" s="17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8.3970687999999996</v>
      </c>
      <c r="Q4" s="175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0.29565216999999999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721.43095268000002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14.54782604</v>
      </c>
      <c r="J9" s="1" t="s">
        <v>8</v>
      </c>
      <c r="K9" s="1">
        <f>61.2345678+2.3*N4-S5</f>
        <v>14.54782603999999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-9.4608694399999997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28.800000022500001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14" sqref="I1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9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0</v>
      </c>
      <c r="R6" s="10">
        <f>SUM(R4:R5)</f>
        <v>0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E49" sqref="E49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I31" sqref="I31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5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5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1</v>
      </c>
    </row>
    <row r="18" spans="3:15" x14ac:dyDescent="0.25">
      <c r="C18" s="21" t="s">
        <v>57</v>
      </c>
      <c r="D18" s="22">
        <v>3</v>
      </c>
      <c r="E18" s="28">
        <f>46*D18</f>
        <v>138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1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2221</v>
      </c>
      <c r="F39">
        <f>SUMPRODUCT($D$3:$D$35,F3:F35)</f>
        <v>28</v>
      </c>
      <c r="G39">
        <f>SUMPRODUCT($D$3:$D$35,G3:G35)</f>
        <v>59</v>
      </c>
      <c r="H39">
        <f>SUMPRODUCT($D$3:$D$35,H3:H35)</f>
        <v>3177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2221</v>
      </c>
      <c r="K40" s="16" t="s">
        <v>9</v>
      </c>
      <c r="L40" s="16">
        <v>1900</v>
      </c>
      <c r="N40">
        <v>2221</v>
      </c>
      <c r="O40" t="b">
        <f>IF(N40=J40,TRUE,FALSE)</f>
        <v>1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2221</v>
      </c>
      <c r="K41" s="16" t="s">
        <v>8</v>
      </c>
      <c r="L41" s="16">
        <v>2100</v>
      </c>
      <c r="N41">
        <v>2221</v>
      </c>
      <c r="O41" t="b">
        <f>IF(N41=J41,TRUE,FALSE)</f>
        <v>1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-525.34999999999991</v>
      </c>
      <c r="K42" s="16" t="s">
        <v>8</v>
      </c>
      <c r="L42" s="16">
        <v>0</v>
      </c>
      <c r="N42">
        <v>-525.34999999999991</v>
      </c>
      <c r="O42" t="b">
        <f>IF(N42=J42,TRUE,FALSE)</f>
        <v>1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59</v>
      </c>
      <c r="K43" s="16" t="s">
        <v>9</v>
      </c>
      <c r="L43" s="16">
        <v>55</v>
      </c>
      <c r="N43">
        <v>59</v>
      </c>
      <c r="O43" t="b">
        <f>IF(N43=J43,TRUE,FALSE)</f>
        <v>1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3177</v>
      </c>
      <c r="K44" s="16" t="s">
        <v>8</v>
      </c>
      <c r="L44" s="16">
        <v>3220</v>
      </c>
      <c r="N44">
        <v>3177</v>
      </c>
      <c r="O44" t="b">
        <f>IF(N44=J44,TRUE,FALSE)</f>
        <v>1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20" sqref="F20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0.45801526999999997</v>
      </c>
      <c r="E3" s="1">
        <v>5.0381679000000004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256.97802801981243</v>
      </c>
      <c r="I5" s="1"/>
      <c r="J5" s="1"/>
    </row>
    <row r="6" spans="1:10" ht="15.75" thickBot="1" x14ac:dyDescent="0.3">
      <c r="A6" s="65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59.999999600000002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120.45801447000001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120.45801447000001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179.99999873000002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0.45801526999999997</v>
      </c>
      <c r="E3" s="1">
        <v>5.0381679000000004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256.97802801981243</v>
      </c>
      <c r="I5" s="1"/>
      <c r="J5" s="1"/>
    </row>
    <row r="6" spans="1:12" ht="15.75" thickBot="1" x14ac:dyDescent="0.3">
      <c r="A6" s="65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59.999999600000002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120.45801447000001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179.99999873000002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4" sqref="A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4.7368420999999996</v>
      </c>
      <c r="E3" s="31">
        <v>0</v>
      </c>
      <c r="F3" s="31">
        <v>0</v>
      </c>
      <c r="G3" s="31"/>
      <c r="I3" s="165" t="b">
        <f>ABS(D3-I2)/(1+ABS(I2))&lt;=0.000001</f>
        <v>0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0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89.750692321329623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47.368420999999998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570.6648187869805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570.6648187869805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570.6648187869805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570.6648187869805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570.6648187869805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570.6648187869805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570.6648187869805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570.6648187869805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570.6648187869805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570.6648187869805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570.6648187869805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570.6648187869805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570.6648187869805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570.6648187869805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570.6648187869805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570.6648187869805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570.6648187869805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570.6648187869805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570.6648187869805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570.6648187869805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570.6648187869805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570.6648187869805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570.6648187869805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570.6648187869805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570.6648187869805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570.6648187869805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570.6648187869805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570.6648187869805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570.6648187869805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570.6648187869805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570.6648187869805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570.6648187869805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570.6648187869805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570.6648187869805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570.6648187869805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570.6648187869805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570.6648187869805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570.6648187869805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570.6648187869805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570.6648187869805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570.6648187869805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570.6648187869805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570.6648187869805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570.6648187869805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570.6648187869805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570.6648187869805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570.6648187869805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570.6648187869805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570.6648187869805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570.6648187869805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570.6648187869805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570.6648187869805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570.6648187869805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570.6648187869805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570.6648187869805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570.6648187869805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570.6648187869805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570.6648187869805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570.6648187869805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570.6648187869805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570.6648187869805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570.6648187869805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570.6648187869805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570.6648187869805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516.31578842631575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-2287.8947342999995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570.6648187869805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570.6648187869805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570.6648187869805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570.6648187869805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570.6648187869805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570.6648187869805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570.6648187869805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570.6648187869805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570.6648187869805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570.6648187869805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570.6648187869805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570.6648187869805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570.6648187869805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570.6648187869805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570.6648187869805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570.6648187869805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570.6648187869805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570.6648187869805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570.6648187869805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570.6648187869805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570.6648187869805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570.6648187869805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570.6648187869805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570.6648187869805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570.6648187869805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570.6648187869805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570.6648187869805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570.6648187869805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570.6648187869805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570.6648187869805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570.6648187869805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570.6648187869805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570.6648187869805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570.6648187869805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570.6648187869805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570.6648187869805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570.6648187869805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570.6648187869805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570.6648187869805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570.6648187869805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570.6648187869805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570.6648187869805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570.6648187869805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570.6648187869805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570.6648187869805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570.6648187869805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570.6648187869805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570.6648187869805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570.6648187869805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570.6648187869805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570.6648187869805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570.6648187869805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570.6648187869805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570.6648187869805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570.6648187869805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570.6648187869805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570.6648187869805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570.6648187869805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570.6648187869805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570.6648187869805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570.6648187869805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570.6648187869805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570.6648187869805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570.6648187869805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516.31578842631575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L19" sqref="L19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</v>
      </c>
      <c r="E5" s="1">
        <v>7.5294118000000001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14.588235400000002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42.823529800000003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81.647059600000006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180.00000119999999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</v>
      </c>
      <c r="E4" s="54">
        <v>-2</v>
      </c>
      <c r="F4" s="157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</v>
      </c>
      <c r="E4" s="54">
        <v>-2</v>
      </c>
      <c r="F4" s="54">
        <v>-2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8" sqref="K8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J22" sqref="J22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F6" sqref="F6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</v>
      </c>
      <c r="E4" s="157">
        <v>-2</v>
      </c>
      <c r="F4" s="54">
        <v>-2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K28" sqref="K28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391</v>
      </c>
    </row>
    <row r="2" spans="1:13" ht="15.75" thickBot="1" x14ac:dyDescent="0.3">
      <c r="A2" s="65" t="s">
        <v>205</v>
      </c>
      <c r="D2" s="18" t="s">
        <v>392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O28" sqref="O28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5.2941175999999999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58.235293599999999</v>
      </c>
      <c r="I9" s="55" t="s">
        <v>8</v>
      </c>
      <c r="J9" s="55">
        <v>60</v>
      </c>
      <c r="M9" s="58">
        <f ca="1">N9+1</f>
        <v>83399</v>
      </c>
      <c r="N9" s="58">
        <f ca="1">M9+1</f>
        <v>83400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116.4705872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179.99999839999998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  <sheetView workbookViewId="1"/>
    <sheetView workbookViewId="2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9.5238095000000005</v>
      </c>
      <c r="E7" s="57">
        <v>0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19.047619000000001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95.238095000000001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199.9999995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199.9999995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180.9523805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5.2941175999999999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58.235293599999999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116.4705872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116.4705872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179.99999839999998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9" sqref="M9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E26" sqref="E26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1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-0.74324323999999997</v>
      </c>
      <c r="E13" s="30">
        <v>5.7094595000000004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15.64189202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55.37162210000001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110.00000096000001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110.00000096000001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180.00000144000001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1</v>
      </c>
      <c r="E24" s="77" t="b">
        <f t="shared" ref="E24:F24" si="0">ABS(E13-E23)/(1+ABS(E23))&lt;=0.000001</f>
        <v>1</v>
      </c>
      <c r="F24" s="73" t="b">
        <f t="shared" si="0"/>
        <v>1</v>
      </c>
      <c r="G24" s="80"/>
      <c r="H24" s="74" t="b">
        <f>ABS(H15-H23)/(1+ABS(H23))&lt;=0.000001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5</v>
      </c>
      <c r="F4">
        <v>4</v>
      </c>
      <c r="G4">
        <v>5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3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7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  <sheetView workbookViewId="1"/>
    <sheetView workbookViewId="2"/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378</v>
      </c>
    </row>
    <row r="2" spans="1:8" x14ac:dyDescent="0.25">
      <c r="A2" s="17" t="s">
        <v>244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393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379</v>
      </c>
      <c r="C7" s="76" t="s">
        <v>380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381</v>
      </c>
      <c r="C8" s="76" t="s">
        <v>382</v>
      </c>
      <c r="D8" s="76">
        <v>4</v>
      </c>
      <c r="E8" s="76">
        <v>0</v>
      </c>
      <c r="F8" s="76">
        <v>1</v>
      </c>
      <c r="G8" s="76">
        <v>1.0000001000000001</v>
      </c>
      <c r="H8" s="114">
        <v>1E+100</v>
      </c>
    </row>
    <row r="9" spans="1:8" ht="15.75" thickBot="1" x14ac:dyDescent="0.3">
      <c r="B9" s="117" t="s">
        <v>383</v>
      </c>
      <c r="C9" s="118" t="s">
        <v>384</v>
      </c>
      <c r="D9" s="118">
        <v>3</v>
      </c>
      <c r="E9" s="118">
        <v>0</v>
      </c>
      <c r="F9" s="118">
        <v>2</v>
      </c>
      <c r="G9" s="168">
        <v>1E+100</v>
      </c>
      <c r="H9" s="120">
        <v>1.0000001000000001</v>
      </c>
    </row>
    <row r="10" spans="1:8" x14ac:dyDescent="0.25">
      <c r="B10" s="169"/>
      <c r="C10" s="169"/>
      <c r="D10" s="169"/>
      <c r="E10" s="169"/>
      <c r="F10" s="169"/>
      <c r="G10" s="169"/>
      <c r="H10" s="169"/>
    </row>
    <row r="11" spans="1:8" ht="15.75" thickBot="1" x14ac:dyDescent="0.3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385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386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387</v>
      </c>
      <c r="C15" s="76" t="s">
        <v>388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389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4</v>
      </c>
      <c r="F4">
        <v>3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8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8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8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8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8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6" sqref="F16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0</v>
      </c>
      <c r="D4" s="88">
        <v>0</v>
      </c>
      <c r="F4">
        <f>100*(D4-C4^2)^2+(1-C4)^2</f>
        <v>1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0</v>
      </c>
      <c r="C6">
        <v>1</v>
      </c>
      <c r="D6">
        <v>0</v>
      </c>
      <c r="E6">
        <f>SUMPRODUCT(C6:D6,$C$4:$D$4)</f>
        <v>0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0</v>
      </c>
      <c r="D11" s="8" t="b">
        <f>ABS(D4-D10)/(1+ABS(D10))&lt;=0.000001</f>
        <v>0</v>
      </c>
      <c r="E11" s="8"/>
      <c r="F11" s="8" t="b">
        <f>ABS(F4-F10)/(1+ABS(F10))&lt;=0.000001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E8" sqref="E8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13</v>
      </c>
      <c r="E5">
        <v>0</v>
      </c>
    </row>
    <row r="6" spans="1:15" ht="15.75" thickBot="1" x14ac:dyDescent="0.3">
      <c r="A6" s="65" t="b">
        <f>AND(F21)</f>
        <v>0</v>
      </c>
      <c r="F6">
        <f>D5^2*E5^2</f>
        <v>0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13</v>
      </c>
      <c r="H9">
        <v>40</v>
      </c>
    </row>
    <row r="10" spans="1:15" x14ac:dyDescent="0.25">
      <c r="F10">
        <f>D5</f>
        <v>13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13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13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13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-13</v>
      </c>
      <c r="G15" t="s">
        <v>8</v>
      </c>
      <c r="H15">
        <v>-10</v>
      </c>
      <c r="O15" s="90"/>
    </row>
    <row r="16" spans="1:15" x14ac:dyDescent="0.25">
      <c r="F16">
        <f>E5-D5*E5+D5</f>
        <v>13</v>
      </c>
      <c r="G16" t="s">
        <v>8</v>
      </c>
      <c r="H16">
        <v>13</v>
      </c>
      <c r="O16" s="90"/>
    </row>
    <row r="17" spans="6:15" x14ac:dyDescent="0.25">
      <c r="F17">
        <f>E5-D5+E5*D5</f>
        <v>-13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0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5</v>
      </c>
      <c r="E4">
        <v>0</v>
      </c>
      <c r="F4">
        <v>0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55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25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10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60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-100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-90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0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0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0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2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5.93606797749979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  <sheetView workbookViewId="1"/>
    <sheetView workbookViewId="2"/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  <sheetView workbookViewId="1"/>
    <sheetView workbookViewId="2"/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378</v>
      </c>
    </row>
    <row r="2" spans="1:8" x14ac:dyDescent="0.25">
      <c r="A2" s="17" t="s">
        <v>285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394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35.000000100000001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10.000000099999999</v>
      </c>
      <c r="H8" s="115">
        <v>10.000000099999999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15</v>
      </c>
      <c r="F9" s="76">
        <v>40</v>
      </c>
      <c r="G9" s="116">
        <v>1E+100</v>
      </c>
      <c r="H9" s="115">
        <v>15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10</v>
      </c>
      <c r="F10" s="76">
        <v>40</v>
      </c>
      <c r="G10" s="116">
        <v>1E+100</v>
      </c>
      <c r="H10" s="115">
        <v>10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35</v>
      </c>
      <c r="F12" s="76">
        <v>35</v>
      </c>
      <c r="G12" s="116">
        <v>1E+100</v>
      </c>
      <c r="H12" s="115">
        <v>35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0</v>
      </c>
      <c r="F13" s="76">
        <v>20</v>
      </c>
      <c r="G13" s="76">
        <v>5.0000001000000003</v>
      </c>
      <c r="H13" s="115">
        <v>5.0000001000000003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5.0000001000000003</v>
      </c>
      <c r="H14" s="114">
        <v>1E+100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5.0000001000000003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5</v>
      </c>
      <c r="F16" s="76">
        <v>30</v>
      </c>
      <c r="G16" s="116">
        <v>1E+100</v>
      </c>
      <c r="H16" s="115">
        <v>5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5.0000001000000003</v>
      </c>
      <c r="H18" s="115">
        <v>5.0000001000000003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5</v>
      </c>
      <c r="F19" s="76">
        <v>10</v>
      </c>
      <c r="G19" s="116">
        <v>1E+100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5</v>
      </c>
      <c r="F20" s="76">
        <v>15</v>
      </c>
      <c r="G20" s="116">
        <v>1E+100</v>
      </c>
      <c r="H20" s="115">
        <v>5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5.0000001000000003</v>
      </c>
      <c r="H21" s="119">
        <v>1E+100</v>
      </c>
    </row>
    <row r="22" spans="1:8" x14ac:dyDescent="0.25">
      <c r="B22" s="169"/>
      <c r="C22" s="169"/>
      <c r="D22" s="169"/>
      <c r="E22" s="169"/>
      <c r="F22" s="169"/>
      <c r="G22" s="169"/>
      <c r="H22" s="169"/>
    </row>
    <row r="23" spans="1:8" ht="15.75" thickBot="1" x14ac:dyDescent="0.3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-10</v>
      </c>
      <c r="F26" s="76">
        <v>300</v>
      </c>
      <c r="G26" s="76">
        <v>100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25</v>
      </c>
      <c r="F30" s="76">
        <v>200</v>
      </c>
      <c r="G30" s="76">
        <v>0</v>
      </c>
      <c r="H30" s="115">
        <v>100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30</v>
      </c>
      <c r="F31" s="76">
        <v>100</v>
      </c>
      <c r="G31" s="76">
        <v>0</v>
      </c>
      <c r="H31" s="115">
        <v>100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264</v>
      </c>
      <c r="D15">
        <v>0</v>
      </c>
      <c r="E15" s="88">
        <v>0</v>
      </c>
      <c r="F15">
        <v>200</v>
      </c>
      <c r="G15" s="88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265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3" sqref="I3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205</v>
      </c>
      <c r="B2" s="94"/>
      <c r="C2" s="129" t="s">
        <v>340</v>
      </c>
      <c r="D2" s="129">
        <v>0</v>
      </c>
      <c r="E2" s="129">
        <v>0</v>
      </c>
      <c r="F2" s="137">
        <v>0</v>
      </c>
      <c r="G2" s="137">
        <v>0</v>
      </c>
      <c r="H2" s="137">
        <v>0</v>
      </c>
      <c r="I2" s="137">
        <v>0</v>
      </c>
      <c r="J2" s="135">
        <f>SQRT(($F$2-D2)^2+($G$2-E2)^2)</f>
        <v>0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</v>
      </c>
      <c r="K3" s="107"/>
      <c r="N3" s="97" t="s">
        <v>344</v>
      </c>
      <c r="O3" s="97">
        <f>$F$2</f>
        <v>0</v>
      </c>
      <c r="P3" s="97">
        <f>$G$2</f>
        <v>0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2.2360679774997898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2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0</v>
      </c>
      <c r="K6" s="107"/>
      <c r="N6" s="97" t="s">
        <v>344</v>
      </c>
      <c r="O6" s="97">
        <f>$F$2</f>
        <v>0</v>
      </c>
      <c r="P6" s="97">
        <f>$G$2</f>
        <v>0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5.2360679774997898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0</v>
      </c>
      <c r="P9" s="97">
        <f>$I$2</f>
        <v>0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0</v>
      </c>
      <c r="P12" s="97">
        <f>$I$2</f>
        <v>0</v>
      </c>
    </row>
    <row r="14" spans="1:16" x14ac:dyDescent="0.25">
      <c r="N14" s="97" t="s">
        <v>344</v>
      </c>
      <c r="O14" s="97">
        <f>$F$2</f>
        <v>0</v>
      </c>
      <c r="P14" s="97">
        <f>$G$2</f>
        <v>0</v>
      </c>
    </row>
    <row r="15" spans="1:16" x14ac:dyDescent="0.25">
      <c r="N15" s="97" t="s">
        <v>346</v>
      </c>
      <c r="O15" s="97">
        <f>$H$2</f>
        <v>0</v>
      </c>
      <c r="P15" s="97">
        <f>$I$2</f>
        <v>0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>ABS(F2-F23)/(1+ABS(F23))&lt;=0.000001</f>
        <v>0</v>
      </c>
      <c r="G24" s="8" t="b">
        <f t="shared" ref="G24:I24" si="0">ABS(G2-G23)/(1+ABS(G23))&lt;=0.000001</f>
        <v>0</v>
      </c>
      <c r="H24" s="8" t="b">
        <f t="shared" si="0"/>
        <v>0</v>
      </c>
      <c r="I24" s="8" t="b">
        <f t="shared" si="0"/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1" sqref="I21"/>
    </sheetView>
    <sheetView workbookViewId="1"/>
    <sheetView workbookViewId="2"/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2" t="s">
        <v>348</v>
      </c>
      <c r="D1" s="172"/>
      <c r="E1" s="172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3</v>
      </c>
      <c r="I4" s="148">
        <f>SIN(RADIANS(D7))*D2</f>
        <v>0</v>
      </c>
    </row>
    <row r="5" spans="1:9" x14ac:dyDescent="0.25">
      <c r="A5" s="64" t="s">
        <v>210</v>
      </c>
      <c r="H5" s="148">
        <f>H4+COS(RADIANS(D8))*D3</f>
        <v>8</v>
      </c>
      <c r="I5" s="148">
        <f>I4+SIN(RADIANS(D8))*D3</f>
        <v>0</v>
      </c>
    </row>
    <row r="6" spans="1:9" ht="15.75" thickBot="1" x14ac:dyDescent="0.3">
      <c r="A6" s="65" t="b">
        <f>AND(F16)</f>
        <v>0</v>
      </c>
      <c r="C6" s="172" t="s">
        <v>229</v>
      </c>
      <c r="D6" s="172"/>
      <c r="E6" s="172"/>
    </row>
    <row r="7" spans="1:9" x14ac:dyDescent="0.25">
      <c r="A7" s="64" t="s">
        <v>211</v>
      </c>
      <c r="C7" s="150" t="s">
        <v>353</v>
      </c>
      <c r="D7" s="151">
        <v>0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0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2" t="s">
        <v>356</v>
      </c>
      <c r="D10" s="172"/>
      <c r="E10" s="172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8</v>
      </c>
      <c r="D12" s="153">
        <f>D4</f>
        <v>7</v>
      </c>
      <c r="E12" s="153">
        <f>D12-C12</f>
        <v>-1</v>
      </c>
      <c r="F12" s="153">
        <f>E12^2</f>
        <v>1</v>
      </c>
    </row>
    <row r="13" spans="1:9" x14ac:dyDescent="0.25">
      <c r="C13" s="153">
        <f>D2*SIN(RADIANS(D7))+D3*SIN(RADIANS(D8))</f>
        <v>0</v>
      </c>
      <c r="D13" s="153">
        <v>0</v>
      </c>
      <c r="E13" s="153">
        <f>C13-D13</f>
        <v>0</v>
      </c>
      <c r="F13" s="153">
        <f>E13^2</f>
        <v>0</v>
      </c>
    </row>
    <row r="15" spans="1:9" x14ac:dyDescent="0.25">
      <c r="C15" s="172" t="s">
        <v>361</v>
      </c>
      <c r="D15" s="172"/>
      <c r="E15" s="172"/>
      <c r="F15" s="154">
        <f>SUM(F12:F13)</f>
        <v>1</v>
      </c>
    </row>
    <row r="16" spans="1:9" x14ac:dyDescent="0.25">
      <c r="C16" s="155"/>
      <c r="F16" s="148" t="b">
        <f>ABS(F15)&lt;=0.000001</f>
        <v>0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  <sheetView workbookViewId="1"/>
    <sheetView workbookViewId="2"/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</v>
      </c>
      <c r="E2">
        <v>100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  <sheetView workbookViewId="1"/>
    <sheetView workbookViewId="2"/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  <sheetView workbookViewId="1"/>
    <sheetView workbookViewId="2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3" t="s">
        <v>157</v>
      </c>
      <c r="C33" s="17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2014-08-08T03:22:44Z</dcterms:modified>
</cp:coreProperties>
</file>