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charts/chart1.xml" ContentType="application/vnd.openxmlformats-officedocument.drawingml.chart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charts/chart2.xml" ContentType="application/vnd.openxmlformats-officedocument.drawingml.chart+xml"/>
  <Override PartName="/xl/drawings/drawing50.xml" ContentType="application/vnd.openxmlformats-officedocument.drawing+xml"/>
  <Override PartName="/xl/charts/chart3.xml" ContentType="application/vnd.openxmlformats-officedocument.drawingml.chart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827" codeName="{37B6ACAC-4A07-160E-37E0-EFA003358AD4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Jack\Dropbox (Personal)\Scratch\OpenSolver\OpenSolverTester\"/>
    </mc:Choice>
  </mc:AlternateContent>
  <bookViews>
    <workbookView xWindow="18480" yWindow="6825" windowWidth="15120" windowHeight="6825" tabRatio="884" firstSheet="2" activeTab="2" xr2:uid="{00000000-000D-0000-FFFF-FFFF00000000}"/>
  </bookViews>
  <sheets>
    <sheet name="Data" sheetId="61" r:id="rId1"/>
    <sheet name="__OpenSolver__" sheetId="114" state="hidden" r:id="rId2"/>
    <sheet name="Results" sheetId="60" r:id="rId3"/>
    <sheet name="SimpleLP" sheetId="1" r:id="rId4"/>
    <sheet name="SimpleIP" sheetId="113" r:id="rId5"/>
    <sheet name="IP_SUMIF" sheetId="135" r:id="rId6"/>
    <sheet name="OverlappingVars" sheetId="22" r:id="rId7"/>
    <sheet name="BlankRHS" sheetId="24" r:id="rId8"/>
    <sheet name="BlankLHS" sheetId="32" r:id="rId9"/>
    <sheet name="TextRHS" sheetId="25" r:id="rId10"/>
    <sheet name="ErrorRHS" sheetId="26" r:id="rId11"/>
    <sheet name="ErrorLHS" sheetId="27" r:id="rId12"/>
    <sheet name="ErrorObj" sheetId="28" r:id="rId13"/>
    <sheet name="TextObj" sheetId="29" r:id="rId14"/>
    <sheet name="MergedVarsSubset" sheetId="30" r:id="rId15"/>
    <sheet name="MergedVarsOK" sheetId="31" r:id="rId16"/>
    <sheet name="MergedVarsBad" sheetId="36" r:id="rId17"/>
    <sheet name="MergedRHS_OK" sheetId="33" r:id="rId18"/>
    <sheet name="MergedLHS_OK" sheetId="34" r:id="rId19"/>
    <sheet name="MergedLHSMultiple_OK" sheetId="35" r:id="rId20"/>
    <sheet name="BinIntOverlap" sheetId="6" r:id="rId21"/>
    <sheet name="ConFormula" sheetId="8" r:id="rId22"/>
    <sheet name="ConFormulaInf" sheetId="9" r:id="rId23"/>
    <sheet name="BadName!" sheetId="10" r:id="rId24"/>
    <sheet name="EscapeSheetName(1)+2-1" sheetId="94" r:id="rId25"/>
    <sheet name="DeletedConRef" sheetId="12" r:id="rId26"/>
    <sheet name="DeletedObjRef" sheetId="55" r:id="rId27"/>
    <sheet name="InfConstConstraint" sheetId="14" r:id="rId28"/>
    <sheet name="FeasConstConstraint" sheetId="41" r:id="rId29"/>
    <sheet name="Unbounded" sheetId="111" r:id="rId30"/>
    <sheet name="ProtectedSheet" sheetId="18" r:id="rId31"/>
    <sheet name="IndirectLBs" sheetId="23" r:id="rId32"/>
    <sheet name="DirectLBs" sheetId="42" r:id="rId33"/>
    <sheet name="SingleRangeLB" sheetId="43" r:id="rId34"/>
    <sheet name="BinLB" sheetId="44" r:id="rId35"/>
    <sheet name="BinIntLB" sheetId="45" r:id="rId36"/>
    <sheet name="Relaxation" sheetId="98" r:id="rId37"/>
    <sheet name="LargeRangeLB" sheetId="46" r:id="rId38"/>
    <sheet name="OverlapRangeLB" sheetId="47" r:id="rId39"/>
    <sheet name="OverlapRangeLBwithFormula" sheetId="48" r:id="rId40"/>
    <sheet name="ConstFormulaRangeLB" sheetId="49" r:id="rId41"/>
    <sheet name="VariableFormulaRangeLB" sheetId="50" r:id="rId42"/>
    <sheet name="ConstraintLB" sheetId="51" r:id="rId43"/>
    <sheet name="ConstantLB" sheetId="52" r:id="rId44"/>
    <sheet name="FormulaLB" sheetId="53" r:id="rId45"/>
    <sheet name="VarConstraintLB" sheetId="54" r:id="rId46"/>
    <sheet name="FractionalCoeffs" sheetId="90" r:id="rId47"/>
    <sheet name="ComplexLayout" sheetId="7" r:id="rId48"/>
    <sheet name="InfModel" sheetId="11" r:id="rId49"/>
    <sheet name="IterativeCalc" sheetId="57" r:id="rId50"/>
    <sheet name="NoObj" sheetId="59" r:id="rId51"/>
    <sheet name="SeekObj" sheetId="92" r:id="rId52"/>
    <sheet name="SeekObjInf" sheetId="144" r:id="rId53"/>
    <sheet name="DiffSheetObj" sheetId="112" r:id="rId54"/>
    <sheet name="NamedRanges" sheetId="66" r:id="rId55"/>
    <sheet name="QuickSolve" sheetId="4" r:id="rId56"/>
    <sheet name="SolverParameters" sheetId="2" r:id="rId57"/>
    <sheet name="Warmstart" sheetId="155" r:id="rId58"/>
    <sheet name="Sensitivity" sheetId="65" r:id="rId59"/>
    <sheet name="SensitivityNames" sheetId="77" r:id="rId60"/>
    <sheet name="NonLinSimple" sheetId="20" r:id="rId61"/>
    <sheet name="NonLinLarge" sheetId="38" r:id="rId62"/>
    <sheet name="NonLinObj" sheetId="19" r:id="rId63"/>
    <sheet name="NonLinPruning" sheetId="69" r:id="rId64"/>
    <sheet name="NonLinMinMax" sheetId="70" r:id="rId65"/>
    <sheet name="NonLinConstraints" sheetId="71" r:id="rId66"/>
    <sheet name="NonLinBinary" sheetId="95" r:id="rId67"/>
    <sheet name="NonLin" sheetId="3" r:id="rId68"/>
    <sheet name="NonLin2" sheetId="68" r:id="rId69"/>
    <sheet name="NonLin3" sheetId="75" r:id="rId70"/>
    <sheet name="NonLin4" sheetId="85" r:id="rId71"/>
    <sheet name="NonLin5" sheetId="87" r:id="rId72"/>
    <sheet name="NonLin6" sheetId="88" r:id="rId73"/>
    <sheet name="NOMADCallback" sheetId="156" r:id="rId74"/>
    <sheet name="Highlighting" sheetId="5" r:id="rId75"/>
    <sheet name="AutoModel" sheetId="40" r:id="rId76"/>
  </sheets>
  <functionGroups builtInGroupCount="19"/>
  <externalReferences>
    <externalReference r:id="rId77"/>
  </externalReferences>
  <definedNames>
    <definedName name="anscount" hidden="1">1</definedName>
    <definedName name="asdsad" localSheetId="53">#REF!</definedName>
    <definedName name="asdsad" localSheetId="5">#REF!</definedName>
    <definedName name="asdsad" localSheetId="36">#REF!</definedName>
    <definedName name="asdsad" localSheetId="52">#REF!</definedName>
    <definedName name="asdsad" localSheetId="4">#REF!</definedName>
    <definedName name="asdsad" localSheetId="29">#REF!</definedName>
    <definedName name="asdsad">#REF!</definedName>
    <definedName name="b">[1]InventoryStep!$B$4</definedName>
    <definedName name="CBCDualsNewSheet" hidden="1">FALSE</definedName>
    <definedName name="dffd" localSheetId="53">#REF!</definedName>
    <definedName name="dffd" localSheetId="24">#REF!</definedName>
    <definedName name="dffd" localSheetId="5">#REF!</definedName>
    <definedName name="dffd" localSheetId="36">#REF!</definedName>
    <definedName name="dffd" localSheetId="51">#REF!</definedName>
    <definedName name="dffd" localSheetId="52">#REF!</definedName>
    <definedName name="dffd" localSheetId="4">#REF!</definedName>
    <definedName name="dffd" localSheetId="29">#REF!</definedName>
    <definedName name="dffd">#REF!</definedName>
    <definedName name="DualsNewSheet" hidden="1">FALSE</definedName>
    <definedName name="feasibilitySolve" localSheetId="53" hidden="1">CBC (default)</definedName>
    <definedName name="feasibilitySolve" localSheetId="24" hidden="1">CBC (default)</definedName>
    <definedName name="feasibilitySolve" localSheetId="5" hidden="1">CBC (default)</definedName>
    <definedName name="feasibilitySolve" localSheetId="66" hidden="1">CBC (default)</definedName>
    <definedName name="feasibilitySolve" localSheetId="36" hidden="1">CBC (default)</definedName>
    <definedName name="feasibilitySolve" localSheetId="51" hidden="1">CBC (default)</definedName>
    <definedName name="feasibilitySolve" localSheetId="52" hidden="1">CBC (default)</definedName>
    <definedName name="feasibilitySolve" localSheetId="4" hidden="1">CBC (default)</definedName>
    <definedName name="feasibilitySolve" localSheetId="29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ey" localSheetId="63">NonLinPruning!$H$15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 localSheetId="53">#REF!</definedName>
    <definedName name="Hey" localSheetId="24">#REF!</definedName>
    <definedName name="Hey" localSheetId="5">#REF!</definedName>
    <definedName name="Hey" localSheetId="66">#REF!</definedName>
    <definedName name="Hey" localSheetId="36">#REF!</definedName>
    <definedName name="Hey" localSheetId="51">#REF!</definedName>
    <definedName name="Hey" localSheetId="52">#REF!</definedName>
    <definedName name="Hey" localSheetId="4">#REF!</definedName>
    <definedName name="Hey" localSheetId="29">#REF!</definedName>
    <definedName name="Hey">#REF!</definedName>
    <definedName name="hhh">Sensitivity!$G$8</definedName>
    <definedName name="hhtgfh">NamedRanges!$K$8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NamedRanges!$D$4:$H$4</definedName>
    <definedName name="junk" localSheetId="53">#REF!</definedName>
    <definedName name="junk" localSheetId="5">#REF!</definedName>
    <definedName name="junk" localSheetId="36">#REF!</definedName>
    <definedName name="junk" localSheetId="52">#REF!</definedName>
    <definedName name="junk" localSheetId="4">#REF!</definedName>
    <definedName name="junk" localSheetId="29">#REF!</definedName>
    <definedName name="junk">#REF!</definedName>
    <definedName name="K">[1]InventoryStep!$B$5</definedName>
    <definedName name="lll">Sensitivity!$I$9</definedName>
    <definedName name="MaximumCost" localSheetId="53">#REF!</definedName>
    <definedName name="MaximumCost" localSheetId="24">#REF!</definedName>
    <definedName name="MaximumCost" localSheetId="5">#REF!</definedName>
    <definedName name="MaximumCost" localSheetId="36">#REF!</definedName>
    <definedName name="MaximumCost" localSheetId="51">#REF!</definedName>
    <definedName name="MaximumCost" localSheetId="52">#REF!</definedName>
    <definedName name="MaximumCost" localSheetId="4">#REF!</definedName>
    <definedName name="MaximumCost" localSheetId="29">#REF!</definedName>
    <definedName name="MaximumCost">#REF!</definedName>
    <definedName name="me">2</definedName>
    <definedName name="MinValue" localSheetId="69">NonLin3!$C$77</definedName>
    <definedName name="MinValue">NonLin3!$C$77</definedName>
    <definedName name="ModelType">Data!$G$1:$G$2</definedName>
    <definedName name="myNamedRange">NamedRanges!$I$8</definedName>
    <definedName name="Offset">QuickSolve!$P$7</definedName>
    <definedName name="OpenSolver_BonminParameters" localSheetId="56" hidden="1">SolverParameters!$L$5:$M$5</definedName>
    <definedName name="OpenSolver_CBCParameters" localSheetId="56" hidden="1">SolverParameters!$C$5:$D$7</definedName>
    <definedName name="OpenSolver_ChosenSolver" localSheetId="23" hidden="1">NeosCplex</definedName>
    <definedName name="OpenSolver_ChosenSolver" localSheetId="35" hidden="1">NeosCplex</definedName>
    <definedName name="OpenSolver_ChosenSolver" localSheetId="20" hidden="1">NeosCplex</definedName>
    <definedName name="OpenSolver_ChosenSolver" localSheetId="34" hidden="1">NeosCplex</definedName>
    <definedName name="OpenSolver_ChosenSolver" localSheetId="8" hidden="1">NeosCplex</definedName>
    <definedName name="OpenSolver_ChosenSolver" localSheetId="7" hidden="1">NeosCplex</definedName>
    <definedName name="OpenSolver_ChosenSolver" localSheetId="47" hidden="1">NeosCplex</definedName>
    <definedName name="OpenSolver_ChosenSolver" localSheetId="21" hidden="1">NeosCplex</definedName>
    <definedName name="OpenSolver_ChosenSolver" localSheetId="22" hidden="1">NeosCplex</definedName>
    <definedName name="OpenSolver_ChosenSolver" localSheetId="43" hidden="1">NeosCplex</definedName>
    <definedName name="OpenSolver_ChosenSolver" localSheetId="40" hidden="1">NeosCplex</definedName>
    <definedName name="OpenSolver_ChosenSolver" localSheetId="42" hidden="1">NeosCplex</definedName>
    <definedName name="OpenSolver_ChosenSolver" localSheetId="25" hidden="1">NeosCplex</definedName>
    <definedName name="OpenSolver_ChosenSolver" localSheetId="26" hidden="1">NeosCplex</definedName>
    <definedName name="OpenSolver_ChosenSolver" localSheetId="53" hidden="1">NeosCplex</definedName>
    <definedName name="OpenSolver_ChosenSolver" localSheetId="32" hidden="1">NeosCplex</definedName>
    <definedName name="OpenSolver_ChosenSolver" localSheetId="11" hidden="1">NeosCplex</definedName>
    <definedName name="OpenSolver_ChosenSolver" localSheetId="12" hidden="1">NeosCplex</definedName>
    <definedName name="OpenSolver_ChosenSolver" localSheetId="10" hidden="1">NeosCplex</definedName>
    <definedName name="OpenSolver_ChosenSolver" localSheetId="24" hidden="1">NeosCplex</definedName>
    <definedName name="OpenSolver_ChosenSolver" localSheetId="28" hidden="1">NeosCplex</definedName>
    <definedName name="OpenSolver_ChosenSolver" localSheetId="44" hidden="1">NeosCplex</definedName>
    <definedName name="OpenSolver_ChosenSolver" localSheetId="46" hidden="1">NeosCplex</definedName>
    <definedName name="OpenSolver_ChosenSolver" localSheetId="74" hidden="1">CBC</definedName>
    <definedName name="OpenSolver_ChosenSolver" localSheetId="31" hidden="1">NeosCplex</definedName>
    <definedName name="OpenSolver_ChosenSolver" localSheetId="27" hidden="1">NeosCplex</definedName>
    <definedName name="OpenSolver_ChosenSolver" localSheetId="48" hidden="1">NeosCplex</definedName>
    <definedName name="OpenSolver_ChosenSolver" localSheetId="5" hidden="1">NeosCplex</definedName>
    <definedName name="OpenSolver_ChosenSolver" localSheetId="49" hidden="1">NeosCplex</definedName>
    <definedName name="OpenSolver_ChosenSolver" localSheetId="37" hidden="1">NeosCplex</definedName>
    <definedName name="OpenSolver_ChosenSolver" localSheetId="18" hidden="1">NeosCplex</definedName>
    <definedName name="OpenSolver_ChosenSolver" localSheetId="19" hidden="1">NeosCplex</definedName>
    <definedName name="OpenSolver_ChosenSolver" localSheetId="17" hidden="1">NeosCplex</definedName>
    <definedName name="OpenSolver_ChosenSolver" localSheetId="16" hidden="1">NeosCplex</definedName>
    <definedName name="OpenSolver_ChosenSolver" localSheetId="15" hidden="1">NeosCplex</definedName>
    <definedName name="OpenSolver_ChosenSolver" localSheetId="14" hidden="1">NeosCplex</definedName>
    <definedName name="OpenSolver_ChosenSolver" localSheetId="54" hidden="1">NeosCplex</definedName>
    <definedName name="OpenSolver_ChosenSolver" localSheetId="73" hidden="1">NOMAD</definedName>
    <definedName name="OpenSolver_ChosenSolver" localSheetId="67" hidden="1">NeosCplex</definedName>
    <definedName name="OpenSolver_ChosenSolver" localSheetId="68" hidden="1">NeosCplex</definedName>
    <definedName name="OpenSolver_ChosenSolver" localSheetId="69" hidden="1">NeosCplex</definedName>
    <definedName name="OpenSolver_ChosenSolver" localSheetId="70" hidden="1">NeosCplex</definedName>
    <definedName name="OpenSolver_ChosenSolver" localSheetId="71" hidden="1">NeosCplex</definedName>
    <definedName name="OpenSolver_ChosenSolver" localSheetId="72" hidden="1">NeosCplex</definedName>
    <definedName name="OpenSolver_ChosenSolver" localSheetId="66" hidden="1">NeosCplex</definedName>
    <definedName name="OpenSolver_ChosenSolver" localSheetId="65" hidden="1">NeosCplex</definedName>
    <definedName name="OpenSolver_ChosenSolver" localSheetId="61" hidden="1">NeosCplex</definedName>
    <definedName name="OpenSolver_ChosenSolver" localSheetId="64" hidden="1">NeosCplex</definedName>
    <definedName name="OpenSolver_ChosenSolver" localSheetId="62" hidden="1">NeosCplex</definedName>
    <definedName name="OpenSolver_ChosenSolver" localSheetId="63" hidden="1">NeosCplex</definedName>
    <definedName name="OpenSolver_ChosenSolver" localSheetId="60" hidden="1">NeosCplex</definedName>
    <definedName name="OpenSolver_ChosenSolver" localSheetId="50" hidden="1">NeosCplex</definedName>
    <definedName name="OpenSolver_ChosenSolver" localSheetId="6" hidden="1">NeosCplex</definedName>
    <definedName name="OpenSolver_ChosenSolver" localSheetId="38" hidden="1">NeosCplex</definedName>
    <definedName name="OpenSolver_ChosenSolver" localSheetId="39" hidden="1">NeosCplex</definedName>
    <definedName name="OpenSolver_ChosenSolver" localSheetId="30" hidden="1">NeosCplex</definedName>
    <definedName name="OpenSolver_ChosenSolver" localSheetId="55" hidden="1">NeosCplex</definedName>
    <definedName name="OpenSolver_ChosenSolver" localSheetId="36" hidden="1">NeosCplex</definedName>
    <definedName name="OpenSolver_ChosenSolver" localSheetId="2" hidden="1">CBC</definedName>
    <definedName name="OpenSolver_ChosenSolver" localSheetId="51" hidden="1">NeosCplex</definedName>
    <definedName name="OpenSolver_ChosenSolver" localSheetId="52" hidden="1">NeosCplex</definedName>
    <definedName name="OpenSolver_ChosenSolver" localSheetId="58" hidden="1">NeosCplex</definedName>
    <definedName name="OpenSolver_ChosenSolver" localSheetId="59" hidden="1">NeosCplex</definedName>
    <definedName name="OpenSolver_ChosenSolver" localSheetId="4" hidden="1">NeosCplex</definedName>
    <definedName name="OpenSolver_ChosenSolver" localSheetId="3" hidden="1">NeosCplex</definedName>
    <definedName name="OpenSolver_ChosenSolver" localSheetId="33" hidden="1">NeosCplex</definedName>
    <definedName name="OpenSolver_ChosenSolver" localSheetId="56" hidden="1">NeosCplex</definedName>
    <definedName name="OpenSolver_ChosenSolver" localSheetId="13" hidden="1">NeosCplex</definedName>
    <definedName name="OpenSolver_ChosenSolver" localSheetId="9" hidden="1">NeosCplex</definedName>
    <definedName name="OpenSolver_ChosenSolver" localSheetId="29" hidden="1">NeosCplex</definedName>
    <definedName name="OpenSolver_ChosenSolver" localSheetId="45" hidden="1">NeosCplex</definedName>
    <definedName name="OpenSolver_ChosenSolver" localSheetId="41" hidden="1">NeosCplex</definedName>
    <definedName name="OpenSolver_ChosenSolver" localSheetId="57" hidden="1">Gurobi</definedName>
    <definedName name="OpenSolver_ConstraintList" localSheetId="5">#REF!</definedName>
    <definedName name="OpenSolver_ConstraintList" localSheetId="52">#REF!</definedName>
    <definedName name="OpenSolver_ConstraintList">#REF!</definedName>
    <definedName name="OpenSolver_CouenneParameters" localSheetId="56" hidden="1">SolverParameters!$O$5:$P$5</definedName>
    <definedName name="OpenSolver_Duals" localSheetId="58" hidden="1">Sensitivity!$K$1</definedName>
    <definedName name="OpenSolver_DualsNewSheet" localSheetId="23" hidden="1">0</definedName>
    <definedName name="OpenSolver_DualsNewSheet" localSheetId="35" hidden="1">0</definedName>
    <definedName name="OpenSolver_DualsNewSheet" localSheetId="20" hidden="1">0</definedName>
    <definedName name="OpenSolver_DualsNewSheet" localSheetId="34" hidden="1">0</definedName>
    <definedName name="OpenSolver_DualsNewSheet" localSheetId="8" hidden="1">0</definedName>
    <definedName name="OpenSolver_DualsNewSheet" localSheetId="7" hidden="1">0</definedName>
    <definedName name="OpenSolver_DualsNewSheet" localSheetId="47" hidden="1">0</definedName>
    <definedName name="OpenSolver_DualsNewSheet" localSheetId="21" hidden="1">0</definedName>
    <definedName name="OpenSolver_DualsNewSheet" localSheetId="43" hidden="1">0</definedName>
    <definedName name="OpenSolver_DualsNewSheet" localSheetId="40" hidden="1">0</definedName>
    <definedName name="OpenSolver_DualsNewSheet" localSheetId="42" hidden="1">0</definedName>
    <definedName name="OpenSolver_DualsNewSheet" localSheetId="53" hidden="1">0</definedName>
    <definedName name="OpenSolver_DualsNewSheet" localSheetId="32" hidden="1">0</definedName>
    <definedName name="OpenSolver_DualsNewSheet" localSheetId="24" hidden="1">0</definedName>
    <definedName name="OpenSolver_DualsNewSheet" localSheetId="28" hidden="1">0</definedName>
    <definedName name="OpenSolver_DualsNewSheet" localSheetId="44" hidden="1">0</definedName>
    <definedName name="OpenSolver_DualsNewSheet" localSheetId="46" hidden="1">0</definedName>
    <definedName name="OpenSolver_DualsNewSheet" localSheetId="74" hidden="1">0</definedName>
    <definedName name="OpenSolver_DualsNewSheet" localSheetId="31" hidden="1">0</definedName>
    <definedName name="OpenSolver_DualsNewSheet" localSheetId="27" hidden="1">0</definedName>
    <definedName name="OpenSolver_DualsNewSheet" localSheetId="48" hidden="1">0</definedName>
    <definedName name="OpenSolver_DualsNewSheet" localSheetId="5" hidden="1">0</definedName>
    <definedName name="OpenSolver_DualsNewSheet" localSheetId="49" hidden="1">0</definedName>
    <definedName name="OpenSolver_DualsNewSheet" localSheetId="37" hidden="1">0</definedName>
    <definedName name="OpenSolver_DualsNewSheet" localSheetId="18" hidden="1">0</definedName>
    <definedName name="OpenSolver_DualsNewSheet" localSheetId="17" hidden="1">0</definedName>
    <definedName name="OpenSolver_DualsNewSheet" localSheetId="15" hidden="1">0</definedName>
    <definedName name="OpenSolver_DualsNewSheet" localSheetId="54" hidden="1">0</definedName>
    <definedName name="OpenSolver_DualsNewSheet" localSheetId="67" hidden="1">0</definedName>
    <definedName name="OpenSolver_DualsNewSheet" localSheetId="68" hidden="1">0</definedName>
    <definedName name="OpenSolver_DualsNewSheet" localSheetId="69" hidden="1">0</definedName>
    <definedName name="OpenSolver_DualsNewSheet" localSheetId="71" hidden="1">0</definedName>
    <definedName name="OpenSolver_DualsNewSheet" localSheetId="72" hidden="1">0</definedName>
    <definedName name="OpenSolver_DualsNewSheet" localSheetId="66" hidden="1">0</definedName>
    <definedName name="OpenSolver_DualsNewSheet" localSheetId="65" hidden="1">0</definedName>
    <definedName name="OpenSolver_DualsNewSheet" localSheetId="61" hidden="1">0</definedName>
    <definedName name="OpenSolver_DualsNewSheet" localSheetId="64" hidden="1">0</definedName>
    <definedName name="OpenSolver_DualsNewSheet" localSheetId="62" hidden="1">0</definedName>
    <definedName name="OpenSolver_DualsNewSheet" localSheetId="63" hidden="1">0</definedName>
    <definedName name="OpenSolver_DualsNewSheet" localSheetId="60" hidden="1">0</definedName>
    <definedName name="OpenSolver_DualsNewSheet" localSheetId="50" hidden="1">0</definedName>
    <definedName name="OpenSolver_DualsNewSheet" localSheetId="6" hidden="1">0</definedName>
    <definedName name="OpenSolver_DualsNewSheet" localSheetId="38" hidden="1">0</definedName>
    <definedName name="OpenSolver_DualsNewSheet" localSheetId="39" hidden="1">0</definedName>
    <definedName name="OpenSolver_DualsNewSheet" localSheetId="36" hidden="1">0</definedName>
    <definedName name="OpenSolver_DualsNewSheet" localSheetId="2" hidden="1">0</definedName>
    <definedName name="OpenSolver_DualsNewSheet" localSheetId="51" hidden="1">1</definedName>
    <definedName name="OpenSolver_DualsNewSheet" localSheetId="52" hidden="1">0</definedName>
    <definedName name="OpenSolver_DualsNewSheet" localSheetId="58" hidden="1">1</definedName>
    <definedName name="OpenSolver_DualsNewSheet" localSheetId="59" hidden="1">1</definedName>
    <definedName name="OpenSolver_DualsNewSheet" localSheetId="4" hidden="1">0</definedName>
    <definedName name="OpenSolver_DualsNewSheet" localSheetId="3" hidden="1">0</definedName>
    <definedName name="OpenSolver_DualsNewSheet" localSheetId="33" hidden="1">0</definedName>
    <definedName name="OpenSolver_DualsNewSheet" localSheetId="29" hidden="1">0</definedName>
    <definedName name="OpenSolver_DualsNewSheet" localSheetId="45" hidden="1">0</definedName>
    <definedName name="OpenSolver_DualsNewSheet" localSheetId="41" hidden="1">0</definedName>
    <definedName name="OpenSolver_DualsNewSheet" localSheetId="57" hidden="1">0</definedName>
    <definedName name="OpenSolver_GurobiParameters" localSheetId="56" hidden="1">SolverParameters!$F$5:$G$5</definedName>
    <definedName name="OpenSolver_GurobiParameters" localSheetId="57" hidden="1">Warmstart!$C$20:$D$20</definedName>
    <definedName name="OpenSolver_LinearityCheck" localSheetId="23" hidden="1">1</definedName>
    <definedName name="OpenSolver_LinearityCheck" localSheetId="35" hidden="1">1</definedName>
    <definedName name="OpenSolver_LinearityCheck" localSheetId="20" hidden="1">1</definedName>
    <definedName name="OpenSolver_LinearityCheck" localSheetId="34" hidden="1">1</definedName>
    <definedName name="OpenSolver_LinearityCheck" localSheetId="8" hidden="1">1</definedName>
    <definedName name="OpenSolver_LinearityCheck" localSheetId="7" hidden="1">1</definedName>
    <definedName name="OpenSolver_LinearityCheck" localSheetId="47" hidden="1">1</definedName>
    <definedName name="OpenSolver_LinearityCheck" localSheetId="21" hidden="1">1</definedName>
    <definedName name="OpenSolver_LinearityCheck" localSheetId="22" hidden="1">1</definedName>
    <definedName name="OpenSolver_LinearityCheck" localSheetId="43" hidden="1">1</definedName>
    <definedName name="OpenSolver_LinearityCheck" localSheetId="40" hidden="1">1</definedName>
    <definedName name="OpenSolver_LinearityCheck" localSheetId="42" hidden="1">1</definedName>
    <definedName name="OpenSolver_LinearityCheck" localSheetId="25" hidden="1">1</definedName>
    <definedName name="OpenSolver_LinearityCheck" localSheetId="26" hidden="1">1</definedName>
    <definedName name="OpenSolver_LinearityCheck" localSheetId="53" hidden="1">1</definedName>
    <definedName name="OpenSolver_LinearityCheck" localSheetId="32" hidden="1">1</definedName>
    <definedName name="OpenSolver_LinearityCheck" localSheetId="11" hidden="1">1</definedName>
    <definedName name="OpenSolver_LinearityCheck" localSheetId="12" hidden="1">1</definedName>
    <definedName name="OpenSolver_LinearityCheck" localSheetId="10" hidden="1">1</definedName>
    <definedName name="OpenSolver_LinearityCheck" localSheetId="24" hidden="1">1</definedName>
    <definedName name="OpenSolver_LinearityCheck" localSheetId="28" hidden="1">1</definedName>
    <definedName name="OpenSolver_LinearityCheck" localSheetId="44" hidden="1">1</definedName>
    <definedName name="OpenSolver_LinearityCheck" localSheetId="46" hidden="1">1</definedName>
    <definedName name="OpenSolver_LinearityCheck" localSheetId="31" hidden="1">1</definedName>
    <definedName name="OpenSolver_LinearityCheck" localSheetId="27" hidden="1">1</definedName>
    <definedName name="OpenSolver_LinearityCheck" localSheetId="48" hidden="1">1</definedName>
    <definedName name="OpenSolver_LinearityCheck" localSheetId="5" hidden="1">1</definedName>
    <definedName name="OpenSolver_LinearityCheck" localSheetId="49" hidden="1">1</definedName>
    <definedName name="OpenSolver_LinearityCheck" localSheetId="37" hidden="1">1</definedName>
    <definedName name="OpenSolver_LinearityCheck" localSheetId="18" hidden="1">1</definedName>
    <definedName name="OpenSolver_LinearityCheck" localSheetId="19" hidden="1">1</definedName>
    <definedName name="OpenSolver_LinearityCheck" localSheetId="17" hidden="1">1</definedName>
    <definedName name="OpenSolver_LinearityCheck" localSheetId="16" hidden="1">1</definedName>
    <definedName name="OpenSolver_LinearityCheck" localSheetId="15" hidden="1">1</definedName>
    <definedName name="OpenSolver_LinearityCheck" localSheetId="14" hidden="1">1</definedName>
    <definedName name="OpenSolver_LinearityCheck" localSheetId="54" hidden="1">1</definedName>
    <definedName name="OpenSolver_LinearityCheck" localSheetId="73" hidden="1">1</definedName>
    <definedName name="OpenSolver_LinearityCheck" localSheetId="67" hidden="1">1</definedName>
    <definedName name="OpenSolver_LinearityCheck" localSheetId="68" hidden="1">1</definedName>
    <definedName name="OpenSolver_LinearityCheck" localSheetId="69" hidden="1">1</definedName>
    <definedName name="OpenSolver_LinearityCheck" localSheetId="71" hidden="1">1</definedName>
    <definedName name="OpenSolver_LinearityCheck" localSheetId="72" hidden="1">1</definedName>
    <definedName name="OpenSolver_LinearityCheck" localSheetId="66" hidden="1">1</definedName>
    <definedName name="OpenSolver_LinearityCheck" localSheetId="65" hidden="1">1</definedName>
    <definedName name="OpenSolver_LinearityCheck" localSheetId="61" hidden="1">1</definedName>
    <definedName name="OpenSolver_LinearityCheck" localSheetId="64" hidden="1">1</definedName>
    <definedName name="OpenSolver_LinearityCheck" localSheetId="62" hidden="1">1</definedName>
    <definedName name="OpenSolver_LinearityCheck" localSheetId="63" hidden="1">1</definedName>
    <definedName name="OpenSolver_LinearityCheck" localSheetId="60" hidden="1">1</definedName>
    <definedName name="OpenSolver_LinearityCheck" localSheetId="50" hidden="1">1</definedName>
    <definedName name="OpenSolver_LinearityCheck" localSheetId="6" hidden="1">1</definedName>
    <definedName name="OpenSolver_LinearityCheck" localSheetId="38" hidden="1">1</definedName>
    <definedName name="OpenSolver_LinearityCheck" localSheetId="39" hidden="1">1</definedName>
    <definedName name="OpenSolver_LinearityCheck" localSheetId="30" hidden="1">1</definedName>
    <definedName name="OpenSolver_LinearityCheck" localSheetId="36" hidden="1">1</definedName>
    <definedName name="OpenSolver_LinearityCheck" localSheetId="2" hidden="1">1</definedName>
    <definedName name="OpenSolver_LinearityCheck" localSheetId="51" hidden="1">1</definedName>
    <definedName name="OpenSolver_LinearityCheck" localSheetId="52" hidden="1">1</definedName>
    <definedName name="OpenSolver_LinearityCheck" localSheetId="58" hidden="1">1</definedName>
    <definedName name="OpenSolver_LinearityCheck" localSheetId="59" hidden="1">1</definedName>
    <definedName name="OpenSolver_LinearityCheck" localSheetId="4" hidden="1">1</definedName>
    <definedName name="OpenSolver_LinearityCheck" localSheetId="3" hidden="1">1</definedName>
    <definedName name="OpenSolver_LinearityCheck" localSheetId="33" hidden="1">1</definedName>
    <definedName name="OpenSolver_LinearityCheck" localSheetId="13" hidden="1">1</definedName>
    <definedName name="OpenSolver_LinearityCheck" localSheetId="9" hidden="1">1</definedName>
    <definedName name="OpenSolver_LinearityCheck" localSheetId="29" hidden="1">1</definedName>
    <definedName name="OpenSolver_LinearityCheck" localSheetId="45" hidden="1">1</definedName>
    <definedName name="OpenSolver_LinearityCheck" localSheetId="41" hidden="1">1</definedName>
    <definedName name="OpenSolver_LinearityCheck" localSheetId="57" hidden="1">1</definedName>
    <definedName name="OpenSolver_ModelParameters">SimpleLP!$O$7:$P$7</definedName>
    <definedName name="OpenSolver_NeosBonParameters" localSheetId="56" hidden="1">SolverParameters!$U$5:$V$5</definedName>
    <definedName name="OpenSolver_NeosCBCParameters" localSheetId="56" hidden="1">SolverParameters!$I$5:$J$7</definedName>
    <definedName name="OpenSolver_NeosCouParameters" localSheetId="56" hidden="1">SolverParameters!$X$5:$Y$5</definedName>
    <definedName name="OpenSolver_NOMADParameters" localSheetId="73" hidden="1">NOMADCallback!$C$10:$D$10</definedName>
    <definedName name="OpenSolver_NOMADParameters" localSheetId="56" hidden="1">SolverParameters!$R$5:$S$5</definedName>
    <definedName name="OpenSolver_UpdateSensitivity" localSheetId="74" hidden="1">1</definedName>
    <definedName name="OpenSolver_UpdateSensitivity" localSheetId="2" hidden="1">1</definedName>
    <definedName name="OpenSolver_UpdateSensitivity" localSheetId="51" hidden="1">1</definedName>
    <definedName name="OpenSolver_UpdateSensitivity" localSheetId="58" hidden="1">1</definedName>
    <definedName name="OpenSolver_UpdateSensitivity" localSheetId="59" hidden="1">1</definedName>
    <definedName name="OpenSolverModelParameters" localSheetId="55" hidden="1">QuickSolve!$O$7:$P$7</definedName>
    <definedName name="OpenSolverResult">Data!$A$1:$A$7</definedName>
    <definedName name="OpenSolverResultCodes">Data!$A$1:$B$7</definedName>
    <definedName name="p" localSheetId="53">#REF!</definedName>
    <definedName name="p" localSheetId="24">#REF!</definedName>
    <definedName name="p" localSheetId="5">#REF!</definedName>
    <definedName name="p" localSheetId="36">#REF!</definedName>
    <definedName name="p" localSheetId="51">#REF!</definedName>
    <definedName name="p" localSheetId="52">#REF!</definedName>
    <definedName name="p" localSheetId="4">#REF!</definedName>
    <definedName name="p" localSheetId="29">#REF!</definedName>
    <definedName name="p">#REF!</definedName>
    <definedName name="q" localSheetId="53">#REF!</definedName>
    <definedName name="q" localSheetId="24">#REF!</definedName>
    <definedName name="q" localSheetId="5">#REF!</definedName>
    <definedName name="q" localSheetId="36">#REF!</definedName>
    <definedName name="q" localSheetId="51">#REF!</definedName>
    <definedName name="q" localSheetId="52">#REF!</definedName>
    <definedName name="q" localSheetId="4">#REF!</definedName>
    <definedName name="q" localSheetId="29">#REF!</definedName>
    <definedName name="q">#REF!</definedName>
    <definedName name="s" localSheetId="53">#REF!</definedName>
    <definedName name="s" localSheetId="24">#REF!</definedName>
    <definedName name="s" localSheetId="5">#REF!</definedName>
    <definedName name="s" localSheetId="36">#REF!</definedName>
    <definedName name="s" localSheetId="51">#REF!</definedName>
    <definedName name="s" localSheetId="52">#REF!</definedName>
    <definedName name="s" localSheetId="4">#REF!</definedName>
    <definedName name="s" localSheetId="29">#REF!</definedName>
    <definedName name="s">#REF!</definedName>
    <definedName name="Scale" localSheetId="23">'BadName!'!$O$8</definedName>
    <definedName name="Scale" localSheetId="35">BinIntLB!$O$10</definedName>
    <definedName name="Scale" localSheetId="20">BinIntOverlap!$P$7</definedName>
    <definedName name="Scale" localSheetId="34">BinLB!$O$10</definedName>
    <definedName name="Scale" localSheetId="8">BlankLHS!$O$7</definedName>
    <definedName name="Scale" localSheetId="7">BlankRHS!$O$7</definedName>
    <definedName name="Scale" localSheetId="47">ComplexLayout!$O$7</definedName>
    <definedName name="Scale" localSheetId="21">ConFormula!$O$8</definedName>
    <definedName name="Scale" localSheetId="22">ConFormulaInf!$O$8</definedName>
    <definedName name="Scale" localSheetId="43">ConstantLB!$O$10</definedName>
    <definedName name="Scale" localSheetId="40">ConstFormulaRangeLB!$O$9</definedName>
    <definedName name="Scale" localSheetId="42">ConstraintLB!$O$10</definedName>
    <definedName name="Scale" localSheetId="25">DeletedConRef!$O$8</definedName>
    <definedName name="Scale" localSheetId="26">DeletedObjRef!$O$8</definedName>
    <definedName name="Scale" localSheetId="11">ErrorLHS!$O$7</definedName>
    <definedName name="Scale" localSheetId="12">ErrorObj!$O$7</definedName>
    <definedName name="Scale" localSheetId="10">ErrorRHS!$O$7</definedName>
    <definedName name="Scale" localSheetId="24">'EscapeSheetName(1)+2-1'!$O$7</definedName>
    <definedName name="Scale" localSheetId="28">FeasConstConstraint!$Q$7</definedName>
    <definedName name="Scale" localSheetId="44">FormulaLB!$O$10</definedName>
    <definedName name="Scale" localSheetId="74">Highlighting!$P$6</definedName>
    <definedName name="Scale" localSheetId="31">IndirectLBs!$O$9</definedName>
    <definedName name="Scale" localSheetId="27">InfConstConstraint!$Q$7</definedName>
    <definedName name="Scale" localSheetId="48">InfModel!$O$8</definedName>
    <definedName name="Scale" localSheetId="5">IP_SUMIF!$O$7</definedName>
    <definedName name="Scale" localSheetId="49">IterativeCalc!$O$8</definedName>
    <definedName name="Scale" localSheetId="37">LargeRangeLB!$O$11</definedName>
    <definedName name="Scale" localSheetId="18">MergedLHS_OK!$O$8</definedName>
    <definedName name="Scale" localSheetId="19">MergedLHSMultiple_OK!$O$8</definedName>
    <definedName name="Scale" localSheetId="17">MergedRHS_OK!$O$8</definedName>
    <definedName name="Scale" localSheetId="16">MergedVarsBad!$O$8</definedName>
    <definedName name="Scale" localSheetId="15">MergedVarsOK!$O$8</definedName>
    <definedName name="Scale" localSheetId="14">MergedVarsSubset!$O$8</definedName>
    <definedName name="Scale" localSheetId="66">#REF!</definedName>
    <definedName name="Scale" localSheetId="50">NoObj!#REF!</definedName>
    <definedName name="Scale" localSheetId="6">OverlappingVars!$O$7</definedName>
    <definedName name="Scale" localSheetId="38">OverlapRangeLB!$O$11</definedName>
    <definedName name="Scale" localSheetId="39">OverlapRangeLBwithFormula!$O$11</definedName>
    <definedName name="Scale" localSheetId="30">ProtectedSheet!$O$7</definedName>
    <definedName name="Scale" localSheetId="55">QuickSolve!$O$7</definedName>
    <definedName name="Scale" localSheetId="36">Relaxation!$O$10</definedName>
    <definedName name="Scale" localSheetId="4">SimpleIP!$O$7</definedName>
    <definedName name="Scale" localSheetId="33">SingleRangeLB!$O$9</definedName>
    <definedName name="Scale" localSheetId="13">TextObj!$O$7</definedName>
    <definedName name="Scale" localSheetId="9">TextRHS!$O$7</definedName>
    <definedName name="Scale" localSheetId="29">Unbounded!$O$7</definedName>
    <definedName name="Scale" localSheetId="45">VarConstraintLB!$O$10</definedName>
    <definedName name="Scale" localSheetId="41">VariableFormulaRangeLB!$O$10</definedName>
    <definedName name="Scale">SimpleLP!$O$7</definedName>
    <definedName name="scale2" localSheetId="53">#REF!</definedName>
    <definedName name="scale2" localSheetId="5">#REF!</definedName>
    <definedName name="scale2" localSheetId="36">#REF!</definedName>
    <definedName name="scale2" localSheetId="52">#REF!</definedName>
    <definedName name="scale2" localSheetId="4">#REF!</definedName>
    <definedName name="scale2" localSheetId="29">#REF!</definedName>
    <definedName name="scale2">#REF!</definedName>
    <definedName name="sencount" hidden="1">1</definedName>
    <definedName name="Sheet1OpenSolverModelParameters" localSheetId="23">'BadName!'!$K$6:$K$6</definedName>
    <definedName name="Sheet1OpenSolverModelParameters" localSheetId="35">BinIntLB!$K$8:$K$8</definedName>
    <definedName name="Sheet1OpenSolverModelParameters" localSheetId="20">BinIntOverlap!$L$5:$L$5</definedName>
    <definedName name="Sheet1OpenSolverModelParameters" localSheetId="34">BinLB!$K$8:$K$8</definedName>
    <definedName name="Sheet1OpenSolverModelParameters" localSheetId="8">BlankLHS!$K$5:$K$5</definedName>
    <definedName name="Sheet1OpenSolverModelParameters" localSheetId="7">BlankRHS!$K$5:$K$5</definedName>
    <definedName name="Sheet1OpenSolverModelParameters" localSheetId="47">ComplexLayout!#REF!</definedName>
    <definedName name="Sheet1OpenSolverModelParameters" localSheetId="21">ConFormula!#REF!</definedName>
    <definedName name="Sheet1OpenSolverModelParameters" localSheetId="22">ConFormulaInf!#REF!</definedName>
    <definedName name="Sheet1OpenSolverModelParameters" localSheetId="43">ConstantLB!$K$8:$K$8</definedName>
    <definedName name="Sheet1OpenSolverModelParameters" localSheetId="40">ConstFormulaRangeLB!$K$7:$K$7</definedName>
    <definedName name="Sheet1OpenSolverModelParameters" localSheetId="42">ConstraintLB!$K$8:$K$8</definedName>
    <definedName name="Sheet1OpenSolverModelParameters" localSheetId="25">DeletedConRef!$K$6:$K$6</definedName>
    <definedName name="Sheet1OpenSolverModelParameters" localSheetId="26">DeletedObjRef!$K$6:$K$6</definedName>
    <definedName name="Sheet1OpenSolverModelParameters" localSheetId="11">ErrorLHS!$K$5:$K$5</definedName>
    <definedName name="Sheet1OpenSolverModelParameters" localSheetId="12">ErrorObj!$K$5:$K$5</definedName>
    <definedName name="Sheet1OpenSolverModelParameters" localSheetId="10">ErrorRHS!$K$5:$K$5</definedName>
    <definedName name="Sheet1OpenSolverModelParameters" localSheetId="24">'EscapeSheetName(1)+2-1'!$K$5:$K$5</definedName>
    <definedName name="Sheet1OpenSolverModelParameters" localSheetId="28">FeasConstConstraint!$M$5:$M$5</definedName>
    <definedName name="Sheet1OpenSolverModelParameters" localSheetId="44">FormulaLB!$K$8:$K$8</definedName>
    <definedName name="Sheet1OpenSolverModelParameters" localSheetId="74">Highlighting!$L$4:$L$4</definedName>
    <definedName name="Sheet1OpenSolverModelParameters" localSheetId="31">IndirectLBs!$K$7:$K$7</definedName>
    <definedName name="Sheet1OpenSolverModelParameters" localSheetId="27">InfConstConstraint!$M$5:$M$5</definedName>
    <definedName name="Sheet1OpenSolverModelParameters" localSheetId="48">InfModel!$K$6:$K$6</definedName>
    <definedName name="Sheet1OpenSolverModelParameters" localSheetId="5">IP_SUMIF!$K$5:$K$5</definedName>
    <definedName name="Sheet1OpenSolverModelParameters" localSheetId="49">IterativeCalc!$K$6:$K$6</definedName>
    <definedName name="Sheet1OpenSolverModelParameters" localSheetId="37">LargeRangeLB!$K$9:$K$9</definedName>
    <definedName name="Sheet1OpenSolverModelParameters" localSheetId="18">MergedLHS_OK!$K$6:$K$6</definedName>
    <definedName name="Sheet1OpenSolverModelParameters" localSheetId="19">MergedLHSMultiple_OK!$K$6:$K$6</definedName>
    <definedName name="Sheet1OpenSolverModelParameters" localSheetId="17">MergedRHS_OK!$K$6:$K$6</definedName>
    <definedName name="Sheet1OpenSolverModelParameters" localSheetId="16">MergedVarsBad!$K$6:$K$6</definedName>
    <definedName name="Sheet1OpenSolverModelParameters" localSheetId="15">MergedVarsOK!$K$6:$K$6</definedName>
    <definedName name="Sheet1OpenSolverModelParameters" localSheetId="14">MergedVarsSubset!$K$6:$K$6</definedName>
    <definedName name="Sheet1OpenSolverModelParameters" localSheetId="66">#REF!</definedName>
    <definedName name="Sheet1OpenSolverModelParameters" localSheetId="50">NoObj!$K$6:$K$6</definedName>
    <definedName name="Sheet1OpenSolverModelParameters" localSheetId="6">OverlappingVars!$K$5:$K$5</definedName>
    <definedName name="Sheet1OpenSolverModelParameters" localSheetId="38">OverlapRangeLB!$K$9:$K$9</definedName>
    <definedName name="Sheet1OpenSolverModelParameters" localSheetId="39">OverlapRangeLBwithFormula!$K$9:$K$9</definedName>
    <definedName name="Sheet1OpenSolverModelParameters" localSheetId="30">ProtectedSheet!$K$5:$K$5</definedName>
    <definedName name="Sheet1OpenSolverModelParameters" localSheetId="55">QuickSolve!$K$5:$K$5</definedName>
    <definedName name="Sheet1OpenSolverModelParameters" localSheetId="36">Relaxation!$K$8:$K$8</definedName>
    <definedName name="Sheet1OpenSolverModelParameters" localSheetId="4">SimpleIP!$K$5:$K$5</definedName>
    <definedName name="Sheet1OpenSolverModelParameters" localSheetId="33">SingleRangeLB!$K$7:$K$7</definedName>
    <definedName name="Sheet1OpenSolverModelParameters" localSheetId="13">TextObj!$K$5:$K$5</definedName>
    <definedName name="Sheet1OpenSolverModelParameters" localSheetId="9">TextRHS!$K$5:$K$5</definedName>
    <definedName name="Sheet1OpenSolverModelParameters" localSheetId="29">Unbounded!$K$5:$K$5</definedName>
    <definedName name="Sheet1OpenSolverModelParameters" localSheetId="45">VarConstraintLB!$K$8:$K$8</definedName>
    <definedName name="Sheet1OpenSolverModelParameters" localSheetId="41">VariableFormulaRangeLB!$K$8:$K$8</definedName>
    <definedName name="Sheet1OpenSolverModelParameters">SimpleLP!$K$5:$K$5</definedName>
    <definedName name="Solver" localSheetId="53" hidden="1">CBC (default)</definedName>
    <definedName name="Solver" localSheetId="24" hidden="1">CBC (default)</definedName>
    <definedName name="Solver" localSheetId="5" hidden="1">CBC (default)</definedName>
    <definedName name="Solver" localSheetId="66" hidden="1">CBC (default)</definedName>
    <definedName name="Solver" localSheetId="36" hidden="1">CBC (default)</definedName>
    <definedName name="Solver" localSheetId="51" hidden="1">CBC (default)</definedName>
    <definedName name="Solver" localSheetId="52" hidden="1">CBC (default)</definedName>
    <definedName name="Solver" localSheetId="4" hidden="1">CBC (default)</definedName>
    <definedName name="Solver" localSheetId="29" hidden="1">CBC (default)</definedName>
    <definedName name="Solver" hidden="1">CBC (default)</definedName>
    <definedName name="solver_adj" localSheetId="75" hidden="1">AutoModel!$B$28:$D$28,AutoModel!$C$3:$C$5</definedName>
    <definedName name="solver_adj" localSheetId="23" hidden="1">'BadName!'!$D$5:$F$5</definedName>
    <definedName name="solver_adj" localSheetId="35" hidden="1">BinIntLB!$D$5:$F$5</definedName>
    <definedName name="solver_adj" localSheetId="20" hidden="1">BinIntOverlap!$D$4:$G$4</definedName>
    <definedName name="solver_adj" localSheetId="34" hidden="1">BinLB!$D$5:$F$5</definedName>
    <definedName name="solver_adj" localSheetId="8" hidden="1">BlankLHS!$D$4:$F$4</definedName>
    <definedName name="solver_adj" localSheetId="7" hidden="1">BlankRHS!$D$4:$F$4</definedName>
    <definedName name="solver_adj" localSheetId="47" hidden="1">ComplexLayout!$D$4:$G$4,ComplexLayout!$Q$3:$R$4,ComplexLayout!$N$3:$N$4</definedName>
    <definedName name="solver_adj" localSheetId="21" hidden="1">ConFormula!$D$5:$G$5,ConFormula!$Q$4:$R$5,ConFormula!$N$4:$N$5</definedName>
    <definedName name="solver_adj" localSheetId="22" hidden="1">ConFormulaInf!$D$5:$G$5,ConFormulaInf!$Q$4:$R$5,ConFormulaInf!$N$4:$N$5</definedName>
    <definedName name="solver_adj" localSheetId="43" hidden="1">ConstantLB!$D$5:$F$5</definedName>
    <definedName name="solver_adj" localSheetId="40" hidden="1">ConstFormulaRangeLB!$D$4:$F$4</definedName>
    <definedName name="solver_adj" localSheetId="42" hidden="1">ConstraintLB!$D$5:$F$5</definedName>
    <definedName name="solver_adj" localSheetId="25" hidden="1">DeletedConRef!$D$5:$F$5</definedName>
    <definedName name="solver_adj" localSheetId="26" hidden="1">DeletedObjRef!$D$5:$F$5</definedName>
    <definedName name="solver_adj" localSheetId="53" hidden="1">DiffSheetObj!$D$2:$F$2</definedName>
    <definedName name="solver_adj" localSheetId="32" hidden="1">DirectLBs!$D$4:$F$4</definedName>
    <definedName name="solver_adj" localSheetId="11" hidden="1">ErrorLHS!$D$4:$F$4</definedName>
    <definedName name="solver_adj" localSheetId="12" hidden="1">ErrorObj!$D$4:$F$4</definedName>
    <definedName name="solver_adj" localSheetId="10" hidden="1">ErrorRHS!$D$4:$F$4</definedName>
    <definedName name="solver_adj" localSheetId="24" hidden="1">'EscapeSheetName(1)+2-1'!$D$4:$F$4</definedName>
    <definedName name="solver_adj" localSheetId="28" hidden="1">FeasConstConstraint!$D$4:$F$4</definedName>
    <definedName name="solver_adj" localSheetId="44" hidden="1">FormulaLB!$D$5:$F$5</definedName>
    <definedName name="solver_adj" localSheetId="46" hidden="1">FractionalCoeffs!$D$2:$F$2</definedName>
    <definedName name="solver_adj" localSheetId="74" hidden="1">Highlighting!$L$9:$N$9</definedName>
    <definedName name="solver_adj" localSheetId="31" hidden="1">IndirectLBs!$D$5:$F$5</definedName>
    <definedName name="solver_adj" localSheetId="27" hidden="1">InfConstConstraint!$D$4:$F$4</definedName>
    <definedName name="solver_adj" localSheetId="48" hidden="1">InfModel!$D$5:$F$5</definedName>
    <definedName name="solver_adj" localSheetId="5" hidden="1">IP_SUMIF!$E$5:$E$7</definedName>
    <definedName name="solver_adj" localSheetId="49" hidden="1">IterativeCalc!$D$5:$F$5</definedName>
    <definedName name="solver_adj" localSheetId="37" hidden="1">LargeRangeLB!$D$6:$F$6</definedName>
    <definedName name="solver_adj" localSheetId="18" hidden="1">MergedLHS_OK!$D$5:$E$5</definedName>
    <definedName name="solver_adj" localSheetId="19" hidden="1">MergedLHSMultiple_OK!$D$5:$F$5</definedName>
    <definedName name="solver_adj" localSheetId="17" hidden="1">MergedRHS_OK!$D$5:$E$5</definedName>
    <definedName name="solver_adj" localSheetId="16" hidden="1">MergedVarsBad!$D$5:$F$5</definedName>
    <definedName name="solver_adj" localSheetId="15" hidden="1">MergedVarsOK!$D$5:$E$5</definedName>
    <definedName name="solver_adj" localSheetId="14" hidden="1">MergedVarsSubset!$D$5:$F$5</definedName>
    <definedName name="solver_adj" localSheetId="54" hidden="1">NamedRanges!$D$4:$H$4</definedName>
    <definedName name="solver_adj" localSheetId="73" hidden="1">NOMADCallback!$D$6</definedName>
    <definedName name="solver_adj" localSheetId="67" hidden="1">NonLin!$D$3:$D$35</definedName>
    <definedName name="solver_adj" localSheetId="68" hidden="1">NonLin2!$C$4:$D$4</definedName>
    <definedName name="solver_adj" localSheetId="69" hidden="1">NonLin3!$S$10:$S$11</definedName>
    <definedName name="solver_adj" localSheetId="70" hidden="1">NonLin4!$D$11</definedName>
    <definedName name="solver_adj" localSheetId="71" hidden="1">NonLin5!$F$2:$I$2</definedName>
    <definedName name="solver_adj" localSheetId="72" hidden="1">NonLin6!$D$7:$D$8</definedName>
    <definedName name="solver_adj" localSheetId="66" hidden="1">NonLinBinary!$C$4:$D$4</definedName>
    <definedName name="solver_adj" localSheetId="65" hidden="1">NonLinConstraints!$D$5:$H$5</definedName>
    <definedName name="solver_adj" localSheetId="61" hidden="1">NonLinLarge!$D$3:$F$3</definedName>
    <definedName name="solver_adj" localSheetId="64" hidden="1">NonLinMinMax!$D$4:$F$4</definedName>
    <definedName name="solver_adj" localSheetId="62" hidden="1">NonLinObj!$D$3:$F$3</definedName>
    <definedName name="solver_adj" localSheetId="63" hidden="1">NonLinPruning!$D$5:$E$5</definedName>
    <definedName name="solver_adj" localSheetId="60" hidden="1">NonLinSimple!$D$3:$F$3</definedName>
    <definedName name="solver_adj" localSheetId="50" hidden="1">NoObj!$D$5:$F$5</definedName>
    <definedName name="solver_adj" localSheetId="6" hidden="1">OverlappingVars!$D$4:$E$4,OverlappingVars!$E$4:$F$4</definedName>
    <definedName name="solver_adj" localSheetId="38" hidden="1">OverlapRangeLB!$D$6:$F$6</definedName>
    <definedName name="solver_adj" localSheetId="39" hidden="1">OverlapRangeLBwithFormula!$D$6:$F$6</definedName>
    <definedName name="solver_adj" localSheetId="30" hidden="1">ProtectedSheet!$D$4:$F$4</definedName>
    <definedName name="solver_adj" localSheetId="55" hidden="1">QuickSolve!$D$4:$F$4</definedName>
    <definedName name="solver_adj" localSheetId="36" hidden="1">Relaxation!$D$5:$F$5</definedName>
    <definedName name="solver_adj" localSheetId="51" hidden="1">SeekObj!$D$2:$F$2</definedName>
    <definedName name="solver_adj" localSheetId="52" hidden="1">SeekObjInf!$D$2:$F$2</definedName>
    <definedName name="solver_adj" localSheetId="58" hidden="1">Sensitivity!$D$4:$F$4</definedName>
    <definedName name="solver_adj" localSheetId="59" hidden="1">SensitivityNames!$J$21,SensitivityNames!$D$14:$H$16</definedName>
    <definedName name="solver_adj" localSheetId="4" hidden="1">SimpleIP!$E$5:$E$7</definedName>
    <definedName name="solver_adj" localSheetId="3" hidden="1">SimpleLP!$D$4:$F$4</definedName>
    <definedName name="solver_adj" localSheetId="33" hidden="1">SingleRangeLB!$D$4:$F$4</definedName>
    <definedName name="solver_adj" localSheetId="56" hidden="1">SolverParameters!$D$13:$F$13</definedName>
    <definedName name="solver_adj" localSheetId="13" hidden="1">TextObj!$D$4:$F$4</definedName>
    <definedName name="solver_adj" localSheetId="9" hidden="1">TextRHS!$D$4:$F$4</definedName>
    <definedName name="solver_adj" localSheetId="29" hidden="1">Unbounded!$D$4:$F$4</definedName>
    <definedName name="solver_adj" localSheetId="45" hidden="1">VarConstraintLB!$D$5:$F$5</definedName>
    <definedName name="solver_adj" localSheetId="41" hidden="1">VariableFormulaRangeLB!$D$5:$F$5</definedName>
    <definedName name="solver_adj" localSheetId="57" hidden="1">Warmstart!$D$1:$UE$1,Warmstart!$C$23:$C$24</definedName>
    <definedName name="solver_cvg" localSheetId="23" hidden="1">0.0001</definedName>
    <definedName name="solver_cvg" localSheetId="74" hidden="1">0.0001</definedName>
    <definedName name="solver_cvg" localSheetId="5" hidden="1">0.0001</definedName>
    <definedName name="solver_cvg" localSheetId="73" hidden="1">0.0001</definedName>
    <definedName name="solver_cvg" localSheetId="70" hidden="1">0.0001</definedName>
    <definedName name="solver_cvg" localSheetId="72" hidden="1">0.0001</definedName>
    <definedName name="solver_cvg" localSheetId="61" hidden="1">0.0001</definedName>
    <definedName name="solver_cvg" localSheetId="2" hidden="1">0.0001</definedName>
    <definedName name="solver_cvg" localSheetId="52" hidden="1">0.0001</definedName>
    <definedName name="solver_cvg" localSheetId="59" hidden="1">0.0001</definedName>
    <definedName name="solver_cvg" localSheetId="3" hidden="1">0.0001</definedName>
    <definedName name="solver_cvg" localSheetId="57" hidden="1">0.001</definedName>
    <definedName name="solver_drv" localSheetId="23" hidden="1">1</definedName>
    <definedName name="solver_drv" localSheetId="74" hidden="1">1</definedName>
    <definedName name="solver_drv" localSheetId="5" hidden="1">1</definedName>
    <definedName name="solver_drv" localSheetId="73" hidden="1">1</definedName>
    <definedName name="solver_drv" localSheetId="70" hidden="1">1</definedName>
    <definedName name="solver_drv" localSheetId="72" hidden="1">1</definedName>
    <definedName name="solver_drv" localSheetId="61" hidden="1">1</definedName>
    <definedName name="solver_drv" localSheetId="2" hidden="1">1</definedName>
    <definedName name="solver_drv" localSheetId="52" hidden="1">1</definedName>
    <definedName name="solver_drv" localSheetId="59" hidden="1">1</definedName>
    <definedName name="solver_drv" localSheetId="3" hidden="1">1</definedName>
    <definedName name="solver_drv" localSheetId="57" hidden="1">1</definedName>
    <definedName name="solver_est" localSheetId="23" hidden="1">1</definedName>
    <definedName name="solver_est" localSheetId="74" hidden="1">1</definedName>
    <definedName name="solver_est" localSheetId="5" hidden="1">1</definedName>
    <definedName name="solver_est" localSheetId="73" hidden="1">1</definedName>
    <definedName name="solver_est" localSheetId="70" hidden="1">1</definedName>
    <definedName name="solver_est" localSheetId="72" hidden="1">1</definedName>
    <definedName name="solver_est" localSheetId="61" hidden="1">1</definedName>
    <definedName name="solver_est" localSheetId="2" hidden="1">1</definedName>
    <definedName name="solver_est" localSheetId="52" hidden="1">1</definedName>
    <definedName name="solver_est" localSheetId="59" hidden="1">1</definedName>
    <definedName name="solver_est" localSheetId="3" hidden="1">1</definedName>
    <definedName name="solver_est" localSheetId="57" hidden="1">1</definedName>
    <definedName name="solver_itr" localSheetId="73" hidden="1">2147483647</definedName>
    <definedName name="solver_itr" localSheetId="2" hidden="1">999999999</definedName>
    <definedName name="solver_itr" localSheetId="3" hidden="1">1E+25</definedName>
    <definedName name="solver_itr" localSheetId="57" hidden="1">999999999</definedName>
    <definedName name="solver_lhs1" localSheetId="75" hidden="1">AutoModel!$B$20</definedName>
    <definedName name="solver_lhs1" localSheetId="23" hidden="1">'BadName!'!$H$9:$H$10</definedName>
    <definedName name="solver_lhs1" localSheetId="35" hidden="1">BinIntLB!$H$11:$H$13</definedName>
    <definedName name="solver_lhs1" localSheetId="20" hidden="1">BinIntOverlap!$I$8:$I$9</definedName>
    <definedName name="solver_lhs1" localSheetId="34" hidden="1">BinLB!$H$11:$H$13</definedName>
    <definedName name="solver_lhs1" localSheetId="8" hidden="1">BlankLHS!$H$8:$H$9</definedName>
    <definedName name="solver_lhs1" localSheetId="7" hidden="1">BlankRHS!$H$8:$H$9</definedName>
    <definedName name="solver_lhs1" localSheetId="47" hidden="1">ComplexLayout!$I$8:$I$9</definedName>
    <definedName name="solver_lhs1" localSheetId="21" hidden="1">ConFormula!$I$9:$I$10</definedName>
    <definedName name="solver_lhs1" localSheetId="22" hidden="1">ConFormulaInf!$I$9:$I$10</definedName>
    <definedName name="solver_lhs1" localSheetId="43" hidden="1">ConstantLB!$H$11:$H$13</definedName>
    <definedName name="solver_lhs1" localSheetId="40" hidden="1">ConstFormulaRangeLB!$H$10:$H$12</definedName>
    <definedName name="solver_lhs1" localSheetId="42" hidden="1">ConstraintLB!$H$11:$H$13</definedName>
    <definedName name="solver_lhs1" localSheetId="25" hidden="1">DeletedConRef!$H$9:$H$10</definedName>
    <definedName name="solver_lhs1" localSheetId="26" hidden="1">DeletedObjRef!$H$9:$H$10</definedName>
    <definedName name="solver_lhs1" localSheetId="53" hidden="1">DiffSheetObj!$G$6</definedName>
    <definedName name="solver_lhs1" localSheetId="32" hidden="1">DirectLBs!$H$10:$H$12</definedName>
    <definedName name="solver_lhs1" localSheetId="11" hidden="1">ErrorLHS!$H$8:$H$9</definedName>
    <definedName name="solver_lhs1" localSheetId="12" hidden="1">ErrorObj!$H$8:$H$9</definedName>
    <definedName name="solver_lhs1" localSheetId="10" hidden="1">ErrorRHS!$H$8:$H$9</definedName>
    <definedName name="solver_lhs1" localSheetId="24" hidden="1">'EscapeSheetName(1)+2-1'!$H$8:$H$9</definedName>
    <definedName name="solver_lhs1" localSheetId="28" hidden="1">FeasConstConstraint!$J$8:$J$9</definedName>
    <definedName name="solver_lhs1" localSheetId="44" hidden="1">FormulaLB!$H$11:$H$13</definedName>
    <definedName name="solver_lhs1" localSheetId="46" hidden="1">FractionalCoeffs!$G$6</definedName>
    <definedName name="solver_lhs1" localSheetId="74" hidden="1">Highlighting!$G$7:$G$8</definedName>
    <definedName name="solver_lhs1" localSheetId="31" hidden="1">IndirectLBs!$H$10:$H$11</definedName>
    <definedName name="solver_lhs1" localSheetId="27" hidden="1">InfConstConstraint!$J$8:$J$9</definedName>
    <definedName name="solver_lhs1" localSheetId="48" hidden="1">InfModel!$H$9:$H$10</definedName>
    <definedName name="solver_lhs1" localSheetId="5" hidden="1">IP_SUMIF!$D$10</definedName>
    <definedName name="solver_lhs1" localSheetId="49" hidden="1">IterativeCalc!$H$9:$H$10</definedName>
    <definedName name="solver_lhs1" localSheetId="37" hidden="1">LargeRangeLB!$H$12:$H$14</definedName>
    <definedName name="solver_lhs1" localSheetId="18" hidden="1">MergedLHS_OK!$H$9:$H$10</definedName>
    <definedName name="solver_lhs1" localSheetId="19" hidden="1">MergedLHSMultiple_OK!$H$9:$H$10</definedName>
    <definedName name="solver_lhs1" localSheetId="17" hidden="1">MergedRHS_OK!$H$9:$H$10</definedName>
    <definedName name="solver_lhs1" localSheetId="16" hidden="1">MergedVarsBad!$H$9:$H$10</definedName>
    <definedName name="solver_lhs1" localSheetId="15" hidden="1">MergedVarsOK!$H$9:$H$10</definedName>
    <definedName name="solver_lhs1" localSheetId="14" hidden="1">MergedVarsSubset!$H$9:$H$10</definedName>
    <definedName name="solver_lhs1" localSheetId="54" hidden="1">NamedRanges!$I$8</definedName>
    <definedName name="solver_lhs1" localSheetId="73" hidden="1">NOMADCallback!$D$6</definedName>
    <definedName name="solver_lhs1" localSheetId="67" hidden="1">NonLin!$J$40</definedName>
    <definedName name="solver_lhs1" localSheetId="68" hidden="1">NonLin2!$E$6:$E$7</definedName>
    <definedName name="solver_lhs1" localSheetId="69" hidden="1">NonLin3!$S$10:$S$11</definedName>
    <definedName name="solver_lhs1" localSheetId="70" hidden="1">NonLin4!$D$11</definedName>
    <definedName name="solver_lhs1" localSheetId="72" hidden="1">NonLin6!$D$7</definedName>
    <definedName name="solver_lhs1" localSheetId="66" hidden="1">NonLinBinary!$E$8:$E$9</definedName>
    <definedName name="solver_lhs1" localSheetId="65" hidden="1">NonLinConstraints!$I$7:$I$9</definedName>
    <definedName name="solver_lhs1" localSheetId="61" hidden="1">NonLinLarge!$H$7:$H$8</definedName>
    <definedName name="solver_lhs1" localSheetId="64" hidden="1">NonLinMinMax!$G$8</definedName>
    <definedName name="solver_lhs1" localSheetId="62" hidden="1">NonLinObj!$H$7:$H$8</definedName>
    <definedName name="solver_lhs1" localSheetId="63" hidden="1">NonLinPruning!$F$8:$F$9</definedName>
    <definedName name="solver_lhs1" localSheetId="60" hidden="1">NonLinSimple!$H$7:$H$8</definedName>
    <definedName name="solver_lhs1" localSheetId="50" hidden="1">NoObj!$H$9:$H$10</definedName>
    <definedName name="solver_lhs1" localSheetId="6" hidden="1">OverlappingVars!$H$8:$H$9</definedName>
    <definedName name="solver_lhs1" localSheetId="38" hidden="1">OverlapRangeLB!$H$12:$H$14</definedName>
    <definedName name="solver_lhs1" localSheetId="39" hidden="1">OverlapRangeLBwithFormula!$H$12:$H$14</definedName>
    <definedName name="solver_lhs1" localSheetId="30" hidden="1">ProtectedSheet!$H$8:$H$9</definedName>
    <definedName name="solver_lhs1" localSheetId="55" hidden="1">QuickSolve!$H$8</definedName>
    <definedName name="solver_lhs1" localSheetId="36" hidden="1">Relaxation!$H$11:$H$13</definedName>
    <definedName name="solver_lhs1" localSheetId="51" hidden="1">SeekObj!$G$6</definedName>
    <definedName name="solver_lhs1" localSheetId="52" hidden="1">SeekObjInf!$G$6</definedName>
    <definedName name="solver_lhs1" localSheetId="58" hidden="1">Sensitivity!$G$8</definedName>
    <definedName name="solver_lhs1" localSheetId="59" hidden="1">SensitivityNames!$I$14:$I$16</definedName>
    <definedName name="solver_lhs1" localSheetId="4" hidden="1">SimpleIP!$D$10</definedName>
    <definedName name="solver_lhs1" localSheetId="3" hidden="1">SimpleLP!$H$8:$H$9</definedName>
    <definedName name="solver_lhs1" localSheetId="33" hidden="1">SingleRangeLB!$H$10:$H$12</definedName>
    <definedName name="solver_lhs1" localSheetId="56" hidden="1">SolverParameters!$H$17:$H$18</definedName>
    <definedName name="solver_lhs1" localSheetId="13" hidden="1">TextObj!$H$8:$H$9</definedName>
    <definedName name="solver_lhs1" localSheetId="9" hidden="1">TextRHS!$H$8:$H$9</definedName>
    <definedName name="solver_lhs1" localSheetId="29" hidden="1">Unbounded!$H$8:$H$9</definedName>
    <definedName name="solver_lhs1" localSheetId="45" hidden="1">VarConstraintLB!$H$11:$H$13</definedName>
    <definedName name="solver_lhs1" localSheetId="41" hidden="1">VariableFormulaRangeLB!$H$11:$H$13</definedName>
    <definedName name="solver_lhs1" localSheetId="57" hidden="1">Warmstart!$UF$4</definedName>
    <definedName name="solver_lhs10" localSheetId="61" hidden="1">NonLinLarge!$H$74</definedName>
    <definedName name="solver_lhs100" localSheetId="61" hidden="1">NonLinLarge!$H$74</definedName>
    <definedName name="solver_lhs101" localSheetId="61" hidden="1">NonLinLarge!$H$75:$H$138</definedName>
    <definedName name="solver_lhs102" localSheetId="61" hidden="1">NonLinLarge!$H$139</definedName>
    <definedName name="solver_lhs103" localSheetId="61" hidden="1">NonLinLarge!$H$7:$H$8</definedName>
    <definedName name="solver_lhs104" localSheetId="61" hidden="1">NonLinLarge!$H$9:$H$72</definedName>
    <definedName name="solver_lhs105" localSheetId="61" hidden="1">NonLinLarge!$H$73</definedName>
    <definedName name="solver_lhs106" localSheetId="61" hidden="1">NonLinLarge!$H$74</definedName>
    <definedName name="solver_lhs107" localSheetId="61" hidden="1">NonLinLarge!$H$75:$H$138</definedName>
    <definedName name="solver_lhs108" localSheetId="61" hidden="1">NonLinLarge!$H$139</definedName>
    <definedName name="solver_lhs109" localSheetId="61" hidden="1">NonLinLarge!$H$7:$H$8</definedName>
    <definedName name="solver_lhs11" localSheetId="61" hidden="1">NonLinLarge!$H$75:$H$138</definedName>
    <definedName name="solver_lhs110" localSheetId="61" hidden="1">NonLinLarge!$H$9:$H$72</definedName>
    <definedName name="solver_lhs111" localSheetId="61" hidden="1">NonLinLarge!$H$73</definedName>
    <definedName name="solver_lhs112" localSheetId="61" hidden="1">NonLinLarge!$H$74</definedName>
    <definedName name="solver_lhs113" localSheetId="61" hidden="1">NonLinLarge!$H$75:$H$138</definedName>
    <definedName name="solver_lhs114" localSheetId="61" hidden="1">NonLinLarge!$H$139</definedName>
    <definedName name="solver_lhs115" localSheetId="61" hidden="1">NonLinLarge!$H$7:$H$8</definedName>
    <definedName name="solver_lhs116" localSheetId="61" hidden="1">NonLinLarge!$H$9:$H$72</definedName>
    <definedName name="solver_lhs117" localSheetId="61" hidden="1">NonLinLarge!$H$73</definedName>
    <definedName name="solver_lhs118" localSheetId="61" hidden="1">NonLinLarge!$H$74</definedName>
    <definedName name="solver_lhs119" localSheetId="61" hidden="1">NonLinLarge!$H$75:$H$138</definedName>
    <definedName name="solver_lhs12" localSheetId="61" hidden="1">NonLinLarge!$H$139</definedName>
    <definedName name="solver_lhs120" localSheetId="61" hidden="1">NonLinLarge!$H$139</definedName>
    <definedName name="solver_lhs121" localSheetId="61" hidden="1">NonLinLarge!$H$7:$H$8</definedName>
    <definedName name="solver_lhs122" localSheetId="61" hidden="1">NonLinLarge!$H$9:$H$72</definedName>
    <definedName name="solver_lhs123" localSheetId="61" hidden="1">NonLinLarge!$H$73</definedName>
    <definedName name="solver_lhs124" localSheetId="61" hidden="1">NonLinLarge!$H$74</definedName>
    <definedName name="solver_lhs125" localSheetId="61" hidden="1">NonLinLarge!$H$75:$H$138</definedName>
    <definedName name="solver_lhs126" localSheetId="61" hidden="1">NonLinLarge!$H$139</definedName>
    <definedName name="solver_lhs127" localSheetId="61" hidden="1">NonLinLarge!$H$7:$H$8</definedName>
    <definedName name="solver_lhs128" localSheetId="61" hidden="1">NonLinLarge!$H$9:$H$72</definedName>
    <definedName name="solver_lhs129" localSheetId="61" hidden="1">NonLinLarge!$H$73</definedName>
    <definedName name="solver_lhs13" localSheetId="61" hidden="1">NonLinLarge!$H$7:$H$8</definedName>
    <definedName name="solver_lhs130" localSheetId="61" hidden="1">NonLinLarge!$H$74</definedName>
    <definedName name="solver_lhs131" localSheetId="61" hidden="1">NonLinLarge!$H$75:$H$138</definedName>
    <definedName name="solver_lhs132" localSheetId="61" hidden="1">NonLinLarge!$H$139</definedName>
    <definedName name="solver_lhs133" localSheetId="61" hidden="1">NonLinLarge!$H$7:$H$8</definedName>
    <definedName name="solver_lhs134" localSheetId="61" hidden="1">NonLinLarge!$H$9:$H$72</definedName>
    <definedName name="solver_lhs135" localSheetId="61" hidden="1">NonLinLarge!$H$73</definedName>
    <definedName name="solver_lhs136" localSheetId="61" hidden="1">NonLinLarge!$H$74</definedName>
    <definedName name="solver_lhs137" localSheetId="61" hidden="1">NonLinLarge!$H$75:$H$138</definedName>
    <definedName name="solver_lhs138" localSheetId="61" hidden="1">NonLinLarge!$H$139</definedName>
    <definedName name="solver_lhs139" localSheetId="61" hidden="1">NonLinLarge!$H$7:$H$8</definedName>
    <definedName name="solver_lhs14" localSheetId="61" hidden="1">NonLinLarge!$H$9:$H$72</definedName>
    <definedName name="solver_lhs140" localSheetId="61" hidden="1">NonLinLarge!$H$9:$H$72</definedName>
    <definedName name="solver_lhs141" localSheetId="61" hidden="1">NonLinLarge!$H$73</definedName>
    <definedName name="solver_lhs142" localSheetId="61" hidden="1">NonLinLarge!$H$74</definedName>
    <definedName name="solver_lhs143" localSheetId="61" hidden="1">NonLinLarge!$H$75:$H$138</definedName>
    <definedName name="solver_lhs144" localSheetId="61" hidden="1">NonLinLarge!$H$139</definedName>
    <definedName name="solver_lhs145" localSheetId="61" hidden="1">NonLinLarge!$H$7:$H$8</definedName>
    <definedName name="solver_lhs146" localSheetId="61" hidden="1">NonLinLarge!$H$9:$H$72</definedName>
    <definedName name="solver_lhs147" localSheetId="61" hidden="1">NonLinLarge!$H$73</definedName>
    <definedName name="solver_lhs148" localSheetId="61" hidden="1">NonLinLarge!$H$74</definedName>
    <definedName name="solver_lhs149" localSheetId="61" hidden="1">NonLinLarge!$H$75:$H$138</definedName>
    <definedName name="solver_lhs15" localSheetId="61" hidden="1">NonLinLarge!$H$73</definedName>
    <definedName name="solver_lhs150" localSheetId="61" hidden="1">NonLinLarge!$H$139</definedName>
    <definedName name="solver_lhs151" localSheetId="61" hidden="1">NonLinLarge!$H$7:$H$8</definedName>
    <definedName name="solver_lhs152" localSheetId="61" hidden="1">NonLinLarge!$H$9:$H$72</definedName>
    <definedName name="solver_lhs153" localSheetId="61" hidden="1">NonLinLarge!$H$73</definedName>
    <definedName name="solver_lhs154" localSheetId="61" hidden="1">NonLinLarge!$H$74</definedName>
    <definedName name="solver_lhs155" localSheetId="61" hidden="1">NonLinLarge!$H$75:$H$138</definedName>
    <definedName name="solver_lhs156" localSheetId="61" hidden="1">NonLinLarge!$H$139</definedName>
    <definedName name="solver_lhs157" localSheetId="61" hidden="1">NonLinLarge!$H$7:$H$8</definedName>
    <definedName name="solver_lhs158" localSheetId="61" hidden="1">NonLinLarge!$H$9:$H$72</definedName>
    <definedName name="solver_lhs159" localSheetId="61" hidden="1">NonLinLarge!$H$73</definedName>
    <definedName name="solver_lhs16" localSheetId="61" hidden="1">NonLinLarge!$H$74</definedName>
    <definedName name="solver_lhs160" localSheetId="61" hidden="1">NonLinLarge!$H$74</definedName>
    <definedName name="solver_lhs161" localSheetId="61" hidden="1">NonLinLarge!$H$75:$H$138</definedName>
    <definedName name="solver_lhs162" localSheetId="61" hidden="1">NonLinLarge!$H$139</definedName>
    <definedName name="solver_lhs163" localSheetId="61" hidden="1">NonLinLarge!$H$7:$H$8</definedName>
    <definedName name="solver_lhs164" localSheetId="61" hidden="1">NonLinLarge!$H$9:$H$72</definedName>
    <definedName name="solver_lhs165" localSheetId="61" hidden="1">NonLinLarge!$H$73</definedName>
    <definedName name="solver_lhs166" localSheetId="61" hidden="1">NonLinLarge!$H$74</definedName>
    <definedName name="solver_lhs167" localSheetId="61" hidden="1">NonLinLarge!$H$75:$H$138</definedName>
    <definedName name="solver_lhs168" localSheetId="61" hidden="1">NonLinLarge!$H$139</definedName>
    <definedName name="solver_lhs169" localSheetId="61" hidden="1">NonLinLarge!$H$7:$H$8</definedName>
    <definedName name="solver_lhs17" localSheetId="61" hidden="1">NonLinLarge!$H$75:$H$138</definedName>
    <definedName name="solver_lhs170" localSheetId="61" hidden="1">NonLinLarge!$H$9:$H$72</definedName>
    <definedName name="solver_lhs171" localSheetId="61" hidden="1">NonLinLarge!$H$73</definedName>
    <definedName name="solver_lhs172" localSheetId="61" hidden="1">NonLinLarge!$H$74</definedName>
    <definedName name="solver_lhs173" localSheetId="61" hidden="1">NonLinLarge!$H$75:$H$138</definedName>
    <definedName name="solver_lhs174" localSheetId="61" hidden="1">NonLinLarge!$H$139</definedName>
    <definedName name="solver_lhs175" localSheetId="61" hidden="1">NonLinLarge!$H$7:$H$8</definedName>
    <definedName name="solver_lhs176" localSheetId="61" hidden="1">NonLinLarge!$H$9:$H$72</definedName>
    <definedName name="solver_lhs177" localSheetId="61" hidden="1">NonLinLarge!$H$73</definedName>
    <definedName name="solver_lhs178" localSheetId="61" hidden="1">NonLinLarge!$H$74</definedName>
    <definedName name="solver_lhs179" localSheetId="61" hidden="1">NonLinLarge!$H$75:$H$138</definedName>
    <definedName name="solver_lhs18" localSheetId="61" hidden="1">NonLinLarge!$H$139</definedName>
    <definedName name="solver_lhs180" localSheetId="61" hidden="1">NonLinLarge!$H$139</definedName>
    <definedName name="solver_lhs181" localSheetId="61" hidden="1">NonLinLarge!$H$7:$H$8</definedName>
    <definedName name="solver_lhs182" localSheetId="61" hidden="1">NonLinLarge!$H$9:$H$72</definedName>
    <definedName name="solver_lhs183" localSheetId="61" hidden="1">NonLinLarge!$H$73</definedName>
    <definedName name="solver_lhs184" localSheetId="61" hidden="1">NonLinLarge!$H$74</definedName>
    <definedName name="solver_lhs185" localSheetId="61" hidden="1">NonLinLarge!$H$75:$H$138</definedName>
    <definedName name="solver_lhs186" localSheetId="61" hidden="1">NonLinLarge!$H$139</definedName>
    <definedName name="solver_lhs187" localSheetId="61" hidden="1">NonLinLarge!$H$7:$H$8</definedName>
    <definedName name="solver_lhs188" localSheetId="61" hidden="1">NonLinLarge!$H$9:$H$72</definedName>
    <definedName name="solver_lhs189" localSheetId="61" hidden="1">NonLinLarge!$H$73</definedName>
    <definedName name="solver_lhs19" localSheetId="61" hidden="1">NonLinLarge!$H$7:$H$8</definedName>
    <definedName name="solver_lhs190" localSheetId="61" hidden="1">NonLinLarge!$H$74</definedName>
    <definedName name="solver_lhs191" localSheetId="61" hidden="1">NonLinLarge!$H$75:$H$138</definedName>
    <definedName name="solver_lhs192" localSheetId="61" hidden="1">NonLinLarge!$H$139</definedName>
    <definedName name="solver_lhs193" localSheetId="61" hidden="1">NonLinLarge!$H$7:$H$8</definedName>
    <definedName name="solver_lhs194" localSheetId="61" hidden="1">NonLinLarge!$H$9:$H$72</definedName>
    <definedName name="solver_lhs195" localSheetId="61" hidden="1">NonLinLarge!$H$73</definedName>
    <definedName name="solver_lhs196" localSheetId="61" hidden="1">NonLinLarge!$H$74</definedName>
    <definedName name="solver_lhs197" localSheetId="61" hidden="1">NonLinLarge!$H$75:$H$138</definedName>
    <definedName name="solver_lhs198" localSheetId="61" hidden="1">NonLinLarge!$H$139</definedName>
    <definedName name="solver_lhs199" localSheetId="61" hidden="1">NonLinLarge!$H$7:$H$8</definedName>
    <definedName name="solver_lhs2" localSheetId="75" hidden="1">AutoModel!$B$14</definedName>
    <definedName name="solver_lhs2" localSheetId="23" hidden="1">'BadName!'!$H$11</definedName>
    <definedName name="solver_lhs2" localSheetId="35" hidden="1">BinIntLB!$D$5:$F$5</definedName>
    <definedName name="solver_lhs2" localSheetId="20" hidden="1">BinIntOverlap!$I$10</definedName>
    <definedName name="solver_lhs2" localSheetId="34" hidden="1">BinLB!$D$5:$F$5</definedName>
    <definedName name="solver_lhs2" localSheetId="8" hidden="1">BlankLHS!$H$10</definedName>
    <definedName name="solver_lhs2" localSheetId="7" hidden="1">BlankRHS!$H$10</definedName>
    <definedName name="solver_lhs2" localSheetId="47" hidden="1">ComplexLayout!$I$10</definedName>
    <definedName name="solver_lhs2" localSheetId="21" hidden="1">ConFormula!$I$11</definedName>
    <definedName name="solver_lhs2" localSheetId="22" hidden="1">ConFormulaInf!$K$11</definedName>
    <definedName name="solver_lhs2" localSheetId="43" hidden="1">ConstantLB!$D$5</definedName>
    <definedName name="solver_lhs2" localSheetId="40" hidden="1">ConstFormulaRangeLB!$D$4:$F$4</definedName>
    <definedName name="solver_lhs2" localSheetId="25" hidden="1">DeletedConRef!$H$11</definedName>
    <definedName name="solver_lhs2" localSheetId="26" hidden="1">DeletedObjRef!$H$11</definedName>
    <definedName name="solver_lhs2" localSheetId="53" hidden="1">DiffSheetObj!$G$7</definedName>
    <definedName name="solver_lhs2" localSheetId="32" hidden="1">DirectLBs!$D$4:$F$4</definedName>
    <definedName name="solver_lhs2" localSheetId="11" hidden="1">ErrorLHS!$H$10</definedName>
    <definedName name="solver_lhs2" localSheetId="12" hidden="1">ErrorObj!$H$10</definedName>
    <definedName name="solver_lhs2" localSheetId="10" hidden="1">ErrorRHS!$H$10</definedName>
    <definedName name="solver_lhs2" localSheetId="24" hidden="1">'EscapeSheetName(1)+2-1'!$H$10</definedName>
    <definedName name="solver_lhs2" localSheetId="28" hidden="1">FeasConstConstraint!$J$10</definedName>
    <definedName name="solver_lhs2" localSheetId="44" hidden="1">FormulaLB!$D$5</definedName>
    <definedName name="solver_lhs2" localSheetId="46" hidden="1">FractionalCoeffs!$G$7</definedName>
    <definedName name="solver_lhs2" localSheetId="74" hidden="1">Highlighting!$G$10</definedName>
    <definedName name="solver_lhs2" localSheetId="31" hidden="1">IndirectLBs!$H$12</definedName>
    <definedName name="solver_lhs2" localSheetId="27" hidden="1">InfConstConstraint!$J$10</definedName>
    <definedName name="solver_lhs2" localSheetId="48" hidden="1">InfModel!$H$11</definedName>
    <definedName name="solver_lhs2" localSheetId="5" hidden="1">IP_SUMIF!$E$5:$E$7</definedName>
    <definedName name="solver_lhs2" localSheetId="49" hidden="1">IterativeCalc!$H$11</definedName>
    <definedName name="solver_lhs2" localSheetId="37" hidden="1">LargeRangeLB!$D$6:$H$6</definedName>
    <definedName name="solver_lhs2" localSheetId="18" hidden="1">MergedLHS_OK!$H$11</definedName>
    <definedName name="solver_lhs2" localSheetId="19" hidden="1">MergedLHSMultiple_OK!$H$11</definedName>
    <definedName name="solver_lhs2" localSheetId="17" hidden="1">MergedRHS_OK!$H$11</definedName>
    <definedName name="solver_lhs2" localSheetId="16" hidden="1">MergedVarsBad!$H$11</definedName>
    <definedName name="solver_lhs2" localSheetId="15" hidden="1">MergedVarsOK!$H$11</definedName>
    <definedName name="solver_lhs2" localSheetId="14" hidden="1">MergedVarsSubset!$H$11</definedName>
    <definedName name="solver_lhs2" localSheetId="54" hidden="1">NamedRanges!$I$9</definedName>
    <definedName name="solver_lhs2" localSheetId="73" hidden="1">NOMADCallback!$D$6</definedName>
    <definedName name="solver_lhs2" localSheetId="67" hidden="1">NonLin!$J$41:$J$42</definedName>
    <definedName name="solver_lhs2" localSheetId="69" hidden="1">NonLin3!$S$10:$S$11</definedName>
    <definedName name="solver_lhs2" localSheetId="72" hidden="1">NonLin6!$D$7</definedName>
    <definedName name="solver_lhs2" localSheetId="66" hidden="1">NonLinBinary!$C$4:$D$4</definedName>
    <definedName name="solver_lhs2" localSheetId="61" hidden="1">NonLinLarge!$H$9:$H$72</definedName>
    <definedName name="solver_lhs2" localSheetId="64" hidden="1">NonLinMinMax!$D$4:$F$4</definedName>
    <definedName name="solver_lhs2" localSheetId="62" hidden="1">NonLinObj!$H$9</definedName>
    <definedName name="solver_lhs2" localSheetId="63" hidden="1">NonLinPruning!$F$10:$F$11</definedName>
    <definedName name="solver_lhs2" localSheetId="60" hidden="1">NonLinSimple!$H$9</definedName>
    <definedName name="solver_lhs2" localSheetId="50" hidden="1">NoObj!$H$11</definedName>
    <definedName name="solver_lhs2" localSheetId="6" hidden="1">OverlappingVars!$H$10</definedName>
    <definedName name="solver_lhs2" localSheetId="38" hidden="1">OverlapRangeLB!$E$6:$H$6</definedName>
    <definedName name="solver_lhs2" localSheetId="39" hidden="1">OverlapRangeLBwithFormula!$D$6:$H$6</definedName>
    <definedName name="solver_lhs2" localSheetId="30" hidden="1">ProtectedSheet!$H$10</definedName>
    <definedName name="solver_lhs2" localSheetId="55" hidden="1">QuickSolve!$H$9:$H$10</definedName>
    <definedName name="solver_lhs2" localSheetId="36" hidden="1">Relaxation!$D$5:$F$5</definedName>
    <definedName name="solver_lhs2" localSheetId="51" hidden="1">SeekObj!$G$7</definedName>
    <definedName name="solver_lhs2" localSheetId="52" hidden="1">SeekObjInf!$G$7</definedName>
    <definedName name="solver_lhs2" localSheetId="58" hidden="1">Sensitivity!$G$9</definedName>
    <definedName name="solver_lhs2" localSheetId="59" hidden="1">SensitivityNames!$D$17:$H$17</definedName>
    <definedName name="solver_lhs2" localSheetId="4" hidden="1">SimpleIP!$E$5:$E$7</definedName>
    <definedName name="solver_lhs2" localSheetId="3" hidden="1">SimpleLP!$H$10</definedName>
    <definedName name="solver_lhs2" localSheetId="33" hidden="1">SingleRangeLB!$D$4:$F$4</definedName>
    <definedName name="solver_lhs2" localSheetId="56" hidden="1">SolverParameters!$H$19</definedName>
    <definedName name="solver_lhs2" localSheetId="13" hidden="1">TextObj!$H$10</definedName>
    <definedName name="solver_lhs2" localSheetId="9" hidden="1">TextRHS!$H$10</definedName>
    <definedName name="solver_lhs2" localSheetId="29" hidden="1">Unbounded!$H$10</definedName>
    <definedName name="solver_lhs2" localSheetId="45" hidden="1">VarConstraintLB!$D$7</definedName>
    <definedName name="solver_lhs2" localSheetId="41" hidden="1">VariableFormulaRangeLB!$D$5:$F$5</definedName>
    <definedName name="solver_lhs2" localSheetId="57" hidden="1">Warmstart!$D$1:$UE$1</definedName>
    <definedName name="solver_lhs20" localSheetId="61" hidden="1">NonLinLarge!$H$9:$H$72</definedName>
    <definedName name="solver_lhs200" localSheetId="61" hidden="1">NonLinLarge!$H$9:$H$72</definedName>
    <definedName name="solver_lhs201" localSheetId="61" hidden="1">NonLinLarge!$H$73</definedName>
    <definedName name="solver_lhs202" localSheetId="61" hidden="1">NonLinLarge!$H$74</definedName>
    <definedName name="solver_lhs203" localSheetId="61" hidden="1">NonLinLarge!$H$75:$H$138</definedName>
    <definedName name="solver_lhs204" localSheetId="61" hidden="1">NonLinLarge!$H$139</definedName>
    <definedName name="solver_lhs205" localSheetId="61" hidden="1">NonLinLarge!$H$7:$H$8</definedName>
    <definedName name="solver_lhs206" localSheetId="61" hidden="1">NonLinLarge!$H$9:$H$72</definedName>
    <definedName name="solver_lhs207" localSheetId="61" hidden="1">NonLinLarge!$H$73</definedName>
    <definedName name="solver_lhs208" localSheetId="61" hidden="1">NonLinLarge!$H$74</definedName>
    <definedName name="solver_lhs209" localSheetId="61" hidden="1">NonLinLarge!$H$75:$H$138</definedName>
    <definedName name="solver_lhs21" localSheetId="61" hidden="1">NonLinLarge!$H$73</definedName>
    <definedName name="solver_lhs210" localSheetId="61" hidden="1">NonLinLarge!$H$139</definedName>
    <definedName name="solver_lhs211" localSheetId="61" hidden="1">NonLinLarge!$H$7:$H$8</definedName>
    <definedName name="solver_lhs212" localSheetId="61" hidden="1">NonLinLarge!$H$9:$H$72</definedName>
    <definedName name="solver_lhs213" localSheetId="61" hidden="1">NonLinLarge!$H$73</definedName>
    <definedName name="solver_lhs214" localSheetId="61" hidden="1">NonLinLarge!$H$74</definedName>
    <definedName name="solver_lhs215" localSheetId="61" hidden="1">NonLinLarge!$H$75:$H$138</definedName>
    <definedName name="solver_lhs216" localSheetId="61" hidden="1">NonLinLarge!$H$139</definedName>
    <definedName name="solver_lhs217" localSheetId="61" hidden="1">NonLinLarge!$H$7:$H$8</definedName>
    <definedName name="solver_lhs218" localSheetId="61" hidden="1">NonLinLarge!$H$9:$H$72</definedName>
    <definedName name="solver_lhs219" localSheetId="61" hidden="1">NonLinLarge!$H$73</definedName>
    <definedName name="solver_lhs22" localSheetId="61" hidden="1">NonLinLarge!$H$74</definedName>
    <definedName name="solver_lhs220" localSheetId="61" hidden="1">NonLinLarge!$H$74</definedName>
    <definedName name="solver_lhs221" localSheetId="61" hidden="1">NonLinLarge!$H$75:$H$138</definedName>
    <definedName name="solver_lhs222" localSheetId="61" hidden="1">NonLinLarge!$H$139</definedName>
    <definedName name="solver_lhs223" localSheetId="61" hidden="1">NonLinLarge!$H$7:$H$8</definedName>
    <definedName name="solver_lhs224" localSheetId="61" hidden="1">NonLinLarge!$H$9:$H$72</definedName>
    <definedName name="solver_lhs225" localSheetId="61" hidden="1">NonLinLarge!$H$73</definedName>
    <definedName name="solver_lhs226" localSheetId="61" hidden="1">NonLinLarge!$H$74</definedName>
    <definedName name="solver_lhs227" localSheetId="61" hidden="1">NonLinLarge!$H$75:$H$138</definedName>
    <definedName name="solver_lhs228" localSheetId="61" hidden="1">NonLinLarge!$H$139</definedName>
    <definedName name="solver_lhs229" localSheetId="61" hidden="1">NonLinLarge!$H$7:$H$8</definedName>
    <definedName name="solver_lhs23" localSheetId="61" hidden="1">NonLinLarge!$H$75:$H$138</definedName>
    <definedName name="solver_lhs230" localSheetId="61" hidden="1">NonLinLarge!$H$9:$H$72</definedName>
    <definedName name="solver_lhs231" localSheetId="61" hidden="1">NonLinLarge!$H$73</definedName>
    <definedName name="solver_lhs232" localSheetId="61" hidden="1">NonLinLarge!$H$74</definedName>
    <definedName name="solver_lhs233" localSheetId="61" hidden="1">NonLinLarge!$H$75:$H$138</definedName>
    <definedName name="solver_lhs234" localSheetId="61" hidden="1">NonLinLarge!$H$139</definedName>
    <definedName name="solver_lhs235" localSheetId="61" hidden="1">NonLinLarge!$H$7:$H$8</definedName>
    <definedName name="solver_lhs236" localSheetId="61" hidden="1">NonLinLarge!$H$9:$H$72</definedName>
    <definedName name="solver_lhs237" localSheetId="61" hidden="1">NonLinLarge!$H$73</definedName>
    <definedName name="solver_lhs238" localSheetId="61" hidden="1">NonLinLarge!$H$74</definedName>
    <definedName name="solver_lhs239" localSheetId="61" hidden="1">NonLinLarge!$H$75:$H$138</definedName>
    <definedName name="solver_lhs24" localSheetId="61" hidden="1">NonLinLarge!$H$139</definedName>
    <definedName name="solver_lhs240" localSheetId="61" hidden="1">NonLinLarge!$H$139</definedName>
    <definedName name="solver_lhs241" localSheetId="61" hidden="1">NonLinLarge!$H$7:$H$8</definedName>
    <definedName name="solver_lhs242" localSheetId="61" hidden="1">NonLinLarge!$H$9:$H$72</definedName>
    <definedName name="solver_lhs243" localSheetId="61" hidden="1">NonLinLarge!$H$73</definedName>
    <definedName name="solver_lhs244" localSheetId="61" hidden="1">NonLinLarge!$H$74</definedName>
    <definedName name="solver_lhs245" localSheetId="61" hidden="1">NonLinLarge!$H$75:$H$138</definedName>
    <definedName name="solver_lhs246" localSheetId="61" hidden="1">NonLinLarge!$H$139</definedName>
    <definedName name="solver_lhs247" localSheetId="61" hidden="1">NonLinLarge!$H$7:$H$8</definedName>
    <definedName name="solver_lhs248" localSheetId="61" hidden="1">NonLinLarge!$H$9:$H$72</definedName>
    <definedName name="solver_lhs249" localSheetId="61" hidden="1">NonLinLarge!$H$73</definedName>
    <definedName name="solver_lhs25" localSheetId="61" hidden="1">NonLinLarge!$H$7:$H$8</definedName>
    <definedName name="solver_lhs250" localSheetId="61" hidden="1">NonLinLarge!$H$74</definedName>
    <definedName name="solver_lhs251" localSheetId="61" hidden="1">NonLinLarge!$H$75:$H$138</definedName>
    <definedName name="solver_lhs252" localSheetId="61" hidden="1">NonLinLarge!$H$139</definedName>
    <definedName name="solver_lhs253" localSheetId="61" hidden="1">NonLinLarge!$H$7:$H$8</definedName>
    <definedName name="solver_lhs254" localSheetId="61" hidden="1">NonLinLarge!$H$9:$H$72</definedName>
    <definedName name="solver_lhs255" localSheetId="61" hidden="1">NonLinLarge!$H$73</definedName>
    <definedName name="solver_lhs256" localSheetId="61" hidden="1">NonLinLarge!$H$74</definedName>
    <definedName name="solver_lhs257" localSheetId="61" hidden="1">NonLinLarge!$H$75:$H$138</definedName>
    <definedName name="solver_lhs258" localSheetId="61" hidden="1">NonLinLarge!$H$139</definedName>
    <definedName name="solver_lhs259" localSheetId="61" hidden="1">NonLinLarge!$H$7:$H$8</definedName>
    <definedName name="solver_lhs26" localSheetId="61" hidden="1">NonLinLarge!$H$9:$H$72</definedName>
    <definedName name="solver_lhs260" localSheetId="61" hidden="1">NonLinLarge!$H$9:$H$72</definedName>
    <definedName name="solver_lhs261" localSheetId="61" hidden="1">NonLinLarge!$H$73</definedName>
    <definedName name="solver_lhs262" localSheetId="61" hidden="1">NonLinLarge!$H$74</definedName>
    <definedName name="solver_lhs263" localSheetId="61" hidden="1">NonLinLarge!$H$75:$H$138</definedName>
    <definedName name="solver_lhs264" localSheetId="61" hidden="1">NonLinLarge!$H$139</definedName>
    <definedName name="solver_lhs265" localSheetId="61" hidden="1">NonLinLarge!$H$7:$H$8</definedName>
    <definedName name="solver_lhs266" localSheetId="61" hidden="1">NonLinLarge!$H$9:$H$72</definedName>
    <definedName name="solver_lhs267" localSheetId="61" hidden="1">NonLinLarge!$H$73</definedName>
    <definedName name="solver_lhs268" localSheetId="61" hidden="1">NonLinLarge!$H$74</definedName>
    <definedName name="solver_lhs269" localSheetId="61" hidden="1">NonLinLarge!$H$75:$H$138</definedName>
    <definedName name="solver_lhs27" localSheetId="61" hidden="1">NonLinLarge!$H$73</definedName>
    <definedName name="solver_lhs270" localSheetId="61" hidden="1">NonLinLarge!$H$139</definedName>
    <definedName name="solver_lhs271" localSheetId="61" hidden="1">NonLinLarge!$H$7:$H$8</definedName>
    <definedName name="solver_lhs272" localSheetId="61" hidden="1">NonLinLarge!$H$9:$H$72</definedName>
    <definedName name="solver_lhs273" localSheetId="61" hidden="1">NonLinLarge!$H$73</definedName>
    <definedName name="solver_lhs274" localSheetId="61" hidden="1">NonLinLarge!$H$74</definedName>
    <definedName name="solver_lhs275" localSheetId="61" hidden="1">NonLinLarge!$H$75:$H$138</definedName>
    <definedName name="solver_lhs276" localSheetId="61" hidden="1">NonLinLarge!$H$139</definedName>
    <definedName name="solver_lhs277" localSheetId="61" hidden="1">NonLinLarge!$H$7:$H$8</definedName>
    <definedName name="solver_lhs278" localSheetId="61" hidden="1">NonLinLarge!$H$9:$H$72</definedName>
    <definedName name="solver_lhs279" localSheetId="61" hidden="1">NonLinLarge!$H$73</definedName>
    <definedName name="solver_lhs28" localSheetId="61" hidden="1">NonLinLarge!$H$74</definedName>
    <definedName name="solver_lhs280" localSheetId="61" hidden="1">NonLinLarge!$H$74</definedName>
    <definedName name="solver_lhs281" localSheetId="61" hidden="1">NonLinLarge!$H$75:$H$138</definedName>
    <definedName name="solver_lhs282" localSheetId="61" hidden="1">NonLinLarge!$H$139</definedName>
    <definedName name="solver_lhs283" localSheetId="61" hidden="1">NonLinLarge!$H$7:$H$8</definedName>
    <definedName name="solver_lhs284" localSheetId="61" hidden="1">NonLinLarge!$H$9:$H$72</definedName>
    <definedName name="solver_lhs285" localSheetId="61" hidden="1">NonLinLarge!$H$73</definedName>
    <definedName name="solver_lhs286" localSheetId="61" hidden="1">NonLinLarge!$H$74</definedName>
    <definedName name="solver_lhs287" localSheetId="61" hidden="1">NonLinLarge!$H$75:$H$138</definedName>
    <definedName name="solver_lhs288" localSheetId="61" hidden="1">NonLinLarge!$H$139</definedName>
    <definedName name="solver_lhs289" localSheetId="61" hidden="1">NonLinLarge!$H$7:$H$8</definedName>
    <definedName name="solver_lhs29" localSheetId="61" hidden="1">NonLinLarge!$H$75:$H$138</definedName>
    <definedName name="solver_lhs290" localSheetId="61" hidden="1">NonLinLarge!$H$9:$H$72</definedName>
    <definedName name="solver_lhs291" localSheetId="61" hidden="1">NonLinLarge!$H$73</definedName>
    <definedName name="solver_lhs292" localSheetId="61" hidden="1">NonLinLarge!$H$74</definedName>
    <definedName name="solver_lhs293" localSheetId="61" hidden="1">NonLinLarge!$H$75:$H$138</definedName>
    <definedName name="solver_lhs294" localSheetId="61" hidden="1">NonLinLarge!$H$139</definedName>
    <definedName name="solver_lhs295" localSheetId="61" hidden="1">NonLinLarge!$H$7:$H$8</definedName>
    <definedName name="solver_lhs296" localSheetId="61" hidden="1">NonLinLarge!$H$9:$H$72</definedName>
    <definedName name="solver_lhs297" localSheetId="61" hidden="1">NonLinLarge!$H$73</definedName>
    <definedName name="solver_lhs298" localSheetId="61" hidden="1">NonLinLarge!$H$74</definedName>
    <definedName name="solver_lhs299" localSheetId="61" hidden="1">NonLinLarge!$H$75:$H$138</definedName>
    <definedName name="solver_lhs3" localSheetId="75" hidden="1">AutoModel!$B$17</definedName>
    <definedName name="solver_lhs3" localSheetId="23" hidden="1">'BadName!'!$H$12</definedName>
    <definedName name="solver_lhs3" localSheetId="35" hidden="1">BinIntLB!$F$5</definedName>
    <definedName name="solver_lhs3" localSheetId="20" hidden="1">BinIntOverlap!$I$11</definedName>
    <definedName name="solver_lhs3" localSheetId="34" hidden="1">BinLB!$F$5</definedName>
    <definedName name="solver_lhs3" localSheetId="8" hidden="1">BlankLHS!$H$11</definedName>
    <definedName name="solver_lhs3" localSheetId="7" hidden="1">BlankRHS!$H$11</definedName>
    <definedName name="solver_lhs3" localSheetId="47" hidden="1">ComplexLayout!$I$11</definedName>
    <definedName name="solver_lhs3" localSheetId="21" hidden="1">ConFormula!$I$12</definedName>
    <definedName name="solver_lhs3" localSheetId="22" hidden="1">ConFormulaInf!$I$12</definedName>
    <definedName name="solver_lhs3" localSheetId="25" hidden="1">DeletedConRef!$H$12</definedName>
    <definedName name="solver_lhs3" localSheetId="26" hidden="1">DeletedObjRef!$H$12</definedName>
    <definedName name="solver_lhs3" localSheetId="53" hidden="1">DiffSheetObj!$G$8:$G$9</definedName>
    <definedName name="solver_lhs3" localSheetId="11" hidden="1">ErrorLHS!$H$11</definedName>
    <definedName name="solver_lhs3" localSheetId="12" hidden="1">ErrorObj!$H$11</definedName>
    <definedName name="solver_lhs3" localSheetId="10" hidden="1">ErrorRHS!$H$11</definedName>
    <definedName name="solver_lhs3" localSheetId="24" hidden="1">'EscapeSheetName(1)+2-1'!$H$11</definedName>
    <definedName name="solver_lhs3" localSheetId="28" hidden="1">FeasConstConstraint!$J$11</definedName>
    <definedName name="solver_lhs3" localSheetId="46" hidden="1">FractionalCoeffs!$G$8:$G$9</definedName>
    <definedName name="solver_lhs3" localSheetId="74" hidden="1">Highlighting!$G$9</definedName>
    <definedName name="solver_lhs3" localSheetId="31" hidden="1">IndirectLBs!$H$13</definedName>
    <definedName name="solver_lhs3" localSheetId="27" hidden="1">InfConstConstraint!$J$11</definedName>
    <definedName name="solver_lhs3" localSheetId="48" hidden="1">InfModel!$H$12</definedName>
    <definedName name="solver_lhs3" localSheetId="49" hidden="1">IterativeCalc!$H$12</definedName>
    <definedName name="solver_lhs3" localSheetId="18" hidden="1">MergedLHS_OK!$H$12</definedName>
    <definedName name="solver_lhs3" localSheetId="19" hidden="1">MergedLHSMultiple_OK!$H$12</definedName>
    <definedName name="solver_lhs3" localSheetId="17" hidden="1">MergedRHS_OK!$H$12</definedName>
    <definedName name="solver_lhs3" localSheetId="16" hidden="1">MergedVarsBad!$H$12</definedName>
    <definedName name="solver_lhs3" localSheetId="15" hidden="1">MergedVarsOK!$H$12</definedName>
    <definedName name="solver_lhs3" localSheetId="14" hidden="1">MergedVarsSubset!$H$12</definedName>
    <definedName name="solver_lhs3" localSheetId="54" hidden="1">NamedRanges!$I$10:$I$11</definedName>
    <definedName name="solver_lhs3" localSheetId="67" hidden="1">NonLin!$J$43</definedName>
    <definedName name="solver_lhs3" localSheetId="72" hidden="1">NonLin6!$D$8</definedName>
    <definedName name="solver_lhs3" localSheetId="61" hidden="1">NonLinLarge!$H$73</definedName>
    <definedName name="solver_lhs3" localSheetId="62" hidden="1">NonLinObj!$H$10</definedName>
    <definedName name="solver_lhs3" localSheetId="63" hidden="1">NonLinPruning!$F$12:$F$18</definedName>
    <definedName name="solver_lhs3" localSheetId="60" hidden="1">NonLinSimple!$H$10</definedName>
    <definedName name="solver_lhs3" localSheetId="50" hidden="1">NoObj!$H$12</definedName>
    <definedName name="solver_lhs3" localSheetId="6" hidden="1">OverlappingVars!$H$11</definedName>
    <definedName name="solver_lhs3" localSheetId="30" hidden="1">ProtectedSheet!$H$11</definedName>
    <definedName name="solver_lhs3" localSheetId="36" hidden="1">Relaxation!$F$5</definedName>
    <definedName name="solver_lhs3" localSheetId="51" hidden="1">SeekObj!$G$8:$G$9</definedName>
    <definedName name="solver_lhs3" localSheetId="52" hidden="1">SeekObjInf!$G$8:$G$9</definedName>
    <definedName name="solver_lhs3" localSheetId="58" hidden="1">Sensitivity!$G$10:$G$11</definedName>
    <definedName name="solver_lhs3" localSheetId="59" hidden="1">SensitivityNames!$J$24</definedName>
    <definedName name="solver_lhs3" localSheetId="3" hidden="1">SimpleLP!$H$11</definedName>
    <definedName name="solver_lhs3" localSheetId="56" hidden="1">SolverParameters!$H$20</definedName>
    <definedName name="solver_lhs3" localSheetId="13" hidden="1">TextObj!$H$11</definedName>
    <definedName name="solver_lhs3" localSheetId="9" hidden="1">TextRHS!$H$11</definedName>
    <definedName name="solver_lhs3" localSheetId="29" hidden="1">Unbounded!$H$11</definedName>
    <definedName name="solver_lhs30" localSheetId="61" hidden="1">NonLinLarge!$H$139</definedName>
    <definedName name="solver_lhs300" localSheetId="61" hidden="1">NonLinLarge!$H$139</definedName>
    <definedName name="solver_lhs301" localSheetId="61" hidden="1">NonLinLarge!$H$7:$H$8</definedName>
    <definedName name="solver_lhs302" localSheetId="61" hidden="1">NonLinLarge!$H$9:$H$72</definedName>
    <definedName name="solver_lhs303" localSheetId="61" hidden="1">NonLinLarge!$H$73</definedName>
    <definedName name="solver_lhs304" localSheetId="61" hidden="1">NonLinLarge!$H$74</definedName>
    <definedName name="solver_lhs305" localSheetId="61" hidden="1">NonLinLarge!$H$75:$H$138</definedName>
    <definedName name="solver_lhs306" localSheetId="61" hidden="1">NonLinLarge!$H$139</definedName>
    <definedName name="solver_lhs307" localSheetId="61" hidden="1">NonLinLarge!$H$7:$H$8</definedName>
    <definedName name="solver_lhs308" localSheetId="61" hidden="1">NonLinLarge!$H$9:$H$72</definedName>
    <definedName name="solver_lhs309" localSheetId="61" hidden="1">NonLinLarge!$H$73</definedName>
    <definedName name="solver_lhs31" localSheetId="61" hidden="1">NonLinLarge!$H$7:$H$8</definedName>
    <definedName name="solver_lhs310" localSheetId="61" hidden="1">NonLinLarge!$H$74</definedName>
    <definedName name="solver_lhs311" localSheetId="61" hidden="1">NonLinLarge!$H$75:$H$138</definedName>
    <definedName name="solver_lhs312" localSheetId="61" hidden="1">NonLinLarge!$H$139</definedName>
    <definedName name="solver_lhs313" localSheetId="61" hidden="1">NonLinLarge!$H$7:$H$8</definedName>
    <definedName name="solver_lhs314" localSheetId="61" hidden="1">NonLinLarge!$H$9:$H$72</definedName>
    <definedName name="solver_lhs315" localSheetId="61" hidden="1">NonLinLarge!$H$73</definedName>
    <definedName name="solver_lhs316" localSheetId="61" hidden="1">NonLinLarge!$H$74</definedName>
    <definedName name="solver_lhs317" localSheetId="61" hidden="1">NonLinLarge!$H$75:$H$138</definedName>
    <definedName name="solver_lhs318" localSheetId="61" hidden="1">NonLinLarge!$H$139</definedName>
    <definedName name="solver_lhs319" localSheetId="61" hidden="1">NonLinLarge!$H$7:$H$8</definedName>
    <definedName name="solver_lhs32" localSheetId="61" hidden="1">NonLinLarge!$H$9:$H$72</definedName>
    <definedName name="solver_lhs320" localSheetId="61" hidden="1">NonLinLarge!$H$9:$H$72</definedName>
    <definedName name="solver_lhs321" localSheetId="61" hidden="1">NonLinLarge!$H$73</definedName>
    <definedName name="solver_lhs322" localSheetId="61" hidden="1">NonLinLarge!$H$74</definedName>
    <definedName name="solver_lhs323" localSheetId="61" hidden="1">NonLinLarge!$H$75:$H$138</definedName>
    <definedName name="solver_lhs324" localSheetId="61" hidden="1">NonLinLarge!$H$139</definedName>
    <definedName name="solver_lhs325" localSheetId="61" hidden="1">NonLinLarge!$H$7:$H$8</definedName>
    <definedName name="solver_lhs326" localSheetId="61" hidden="1">NonLinLarge!$H$9:$H$72</definedName>
    <definedName name="solver_lhs327" localSheetId="61" hidden="1">NonLinLarge!$H$73</definedName>
    <definedName name="solver_lhs328" localSheetId="61" hidden="1">NonLinLarge!$H$74</definedName>
    <definedName name="solver_lhs329" localSheetId="61" hidden="1">NonLinLarge!$H$75:$H$138</definedName>
    <definedName name="solver_lhs33" localSheetId="61" hidden="1">NonLinLarge!$H$73</definedName>
    <definedName name="solver_lhs330" localSheetId="61" hidden="1">NonLinLarge!$H$139</definedName>
    <definedName name="solver_lhs331" localSheetId="61" hidden="1">NonLinLarge!$H$7:$H$8</definedName>
    <definedName name="solver_lhs332" localSheetId="61" hidden="1">NonLinLarge!$H$9:$H$72</definedName>
    <definedName name="solver_lhs333" localSheetId="61" hidden="1">NonLinLarge!$H$73</definedName>
    <definedName name="solver_lhs334" localSheetId="61" hidden="1">NonLinLarge!$H$74</definedName>
    <definedName name="solver_lhs335" localSheetId="61" hidden="1">NonLinLarge!$H$75:$H$138</definedName>
    <definedName name="solver_lhs336" localSheetId="61" hidden="1">NonLinLarge!$H$139</definedName>
    <definedName name="solver_lhs337" localSheetId="61" hidden="1">NonLinLarge!$H$7:$H$8</definedName>
    <definedName name="solver_lhs338" localSheetId="61" hidden="1">NonLinLarge!$H$9:$H$72</definedName>
    <definedName name="solver_lhs339" localSheetId="61" hidden="1">NonLinLarge!$H$73</definedName>
    <definedName name="solver_lhs34" localSheetId="61" hidden="1">NonLinLarge!$H$74</definedName>
    <definedName name="solver_lhs340" localSheetId="61" hidden="1">NonLinLarge!$H$74</definedName>
    <definedName name="solver_lhs341" localSheetId="61" hidden="1">NonLinLarge!$H$75:$H$138</definedName>
    <definedName name="solver_lhs342" localSheetId="61" hidden="1">NonLinLarge!$H$139</definedName>
    <definedName name="solver_lhs343" localSheetId="61" hidden="1">NonLinLarge!$H$7:$H$8</definedName>
    <definedName name="solver_lhs344" localSheetId="61" hidden="1">NonLinLarge!$H$9:$H$72</definedName>
    <definedName name="solver_lhs345" localSheetId="61" hidden="1">NonLinLarge!$H$73</definedName>
    <definedName name="solver_lhs346" localSheetId="61" hidden="1">NonLinLarge!$H$74</definedName>
    <definedName name="solver_lhs347" localSheetId="61" hidden="1">NonLinLarge!$H$75:$H$138</definedName>
    <definedName name="solver_lhs348" localSheetId="61" hidden="1">NonLinLarge!$H$139</definedName>
    <definedName name="solver_lhs349" localSheetId="61" hidden="1">NonLinLarge!$H$7:$H$8</definedName>
    <definedName name="solver_lhs35" localSheetId="61" hidden="1">NonLinLarge!$H$75:$H$138</definedName>
    <definedName name="solver_lhs350" localSheetId="61" hidden="1">NonLinLarge!$H$9:$H$72</definedName>
    <definedName name="solver_lhs351" localSheetId="61" hidden="1">NonLinLarge!$H$73</definedName>
    <definedName name="solver_lhs352" localSheetId="61" hidden="1">NonLinLarge!$H$74</definedName>
    <definedName name="solver_lhs353" localSheetId="61" hidden="1">NonLinLarge!$H$75:$H$138</definedName>
    <definedName name="solver_lhs354" localSheetId="61" hidden="1">NonLinLarge!$H$139</definedName>
    <definedName name="solver_lhs355" localSheetId="61" hidden="1">NonLinLarge!$H$7:$H$8</definedName>
    <definedName name="solver_lhs356" localSheetId="61" hidden="1">NonLinLarge!$H$9:$H$72</definedName>
    <definedName name="solver_lhs357" localSheetId="61" hidden="1">NonLinLarge!$H$73</definedName>
    <definedName name="solver_lhs358" localSheetId="61" hidden="1">NonLinLarge!$H$74</definedName>
    <definedName name="solver_lhs359" localSheetId="61" hidden="1">NonLinLarge!$H$75:$H$138</definedName>
    <definedName name="solver_lhs36" localSheetId="61" hidden="1">NonLinLarge!$H$139</definedName>
    <definedName name="solver_lhs360" localSheetId="61" hidden="1">NonLinLarge!$H$139</definedName>
    <definedName name="solver_lhs361" localSheetId="61" hidden="1">NonLinLarge!$H$7:$H$8</definedName>
    <definedName name="solver_lhs362" localSheetId="61" hidden="1">NonLinLarge!$H$9:$H$72</definedName>
    <definedName name="solver_lhs363" localSheetId="61" hidden="1">NonLinLarge!$H$73</definedName>
    <definedName name="solver_lhs364" localSheetId="61" hidden="1">NonLinLarge!$H$74</definedName>
    <definedName name="solver_lhs365" localSheetId="61" hidden="1">NonLinLarge!$H$75:$H$138</definedName>
    <definedName name="solver_lhs366" localSheetId="61" hidden="1">NonLinLarge!$H$139</definedName>
    <definedName name="solver_lhs367" localSheetId="61" hidden="1">NonLinLarge!$H$7:$H$8</definedName>
    <definedName name="solver_lhs368" localSheetId="61" hidden="1">NonLinLarge!$H$9:$H$72</definedName>
    <definedName name="solver_lhs369" localSheetId="61" hidden="1">NonLinLarge!$H$73</definedName>
    <definedName name="solver_lhs37" localSheetId="61" hidden="1">NonLinLarge!$H$7:$H$8</definedName>
    <definedName name="solver_lhs370" localSheetId="61" hidden="1">NonLinLarge!$H$74</definedName>
    <definedName name="solver_lhs371" localSheetId="61" hidden="1">NonLinLarge!$H$75:$H$138</definedName>
    <definedName name="solver_lhs372" localSheetId="61" hidden="1">NonLinLarge!$H$139</definedName>
    <definedName name="solver_lhs373" localSheetId="61" hidden="1">NonLinLarge!$H$7:$H$8</definedName>
    <definedName name="solver_lhs374" localSheetId="61" hidden="1">NonLinLarge!$H$9:$H$72</definedName>
    <definedName name="solver_lhs375" localSheetId="61" hidden="1">NonLinLarge!$H$73</definedName>
    <definedName name="solver_lhs376" localSheetId="61" hidden="1">NonLinLarge!$H$74</definedName>
    <definedName name="solver_lhs377" localSheetId="61" hidden="1">NonLinLarge!$H$75:$H$138</definedName>
    <definedName name="solver_lhs378" localSheetId="61" hidden="1">NonLinLarge!$H$139</definedName>
    <definedName name="solver_lhs379" localSheetId="61" hidden="1">NonLinLarge!$H$7:$H$8</definedName>
    <definedName name="solver_lhs38" localSheetId="61" hidden="1">NonLinLarge!$H$9:$H$72</definedName>
    <definedName name="solver_lhs380" localSheetId="61" hidden="1">NonLinLarge!$H$9:$H$72</definedName>
    <definedName name="solver_lhs381" localSheetId="61" hidden="1">NonLinLarge!$H$73</definedName>
    <definedName name="solver_lhs382" localSheetId="61" hidden="1">NonLinLarge!$H$74</definedName>
    <definedName name="solver_lhs383" localSheetId="61" hidden="1">NonLinLarge!$H$75:$H$138</definedName>
    <definedName name="solver_lhs384" localSheetId="61" hidden="1">NonLinLarge!$H$139</definedName>
    <definedName name="solver_lhs385" localSheetId="61" hidden="1">NonLinLarge!$H$7:$H$8</definedName>
    <definedName name="solver_lhs386" localSheetId="61" hidden="1">NonLinLarge!$H$9:$H$72</definedName>
    <definedName name="solver_lhs387" localSheetId="61" hidden="1">NonLinLarge!$H$73</definedName>
    <definedName name="solver_lhs388" localSheetId="61" hidden="1">NonLinLarge!$H$74</definedName>
    <definedName name="solver_lhs389" localSheetId="61" hidden="1">NonLinLarge!$H$75:$H$138</definedName>
    <definedName name="solver_lhs39" localSheetId="61" hidden="1">NonLinLarge!$H$73</definedName>
    <definedName name="solver_lhs390" localSheetId="61" hidden="1">NonLinLarge!$H$139</definedName>
    <definedName name="solver_lhs391" localSheetId="61" hidden="1">NonLinLarge!$H$7:$H$8</definedName>
    <definedName name="solver_lhs392" localSheetId="61" hidden="1">NonLinLarge!$H$9:$H$72</definedName>
    <definedName name="solver_lhs393" localSheetId="61" hidden="1">NonLinLarge!$H$73</definedName>
    <definedName name="solver_lhs394" localSheetId="61" hidden="1">NonLinLarge!$H$74</definedName>
    <definedName name="solver_lhs395" localSheetId="61" hidden="1">NonLinLarge!$H$75:$H$138</definedName>
    <definedName name="solver_lhs396" localSheetId="61" hidden="1">NonLinLarge!$H$139</definedName>
    <definedName name="solver_lhs397" localSheetId="61" hidden="1">NonLinLarge!$H$7:$H$8</definedName>
    <definedName name="solver_lhs398" localSheetId="61" hidden="1">NonLinLarge!$H$9:$H$72</definedName>
    <definedName name="solver_lhs399" localSheetId="61" hidden="1">NonLinLarge!$H$73</definedName>
    <definedName name="solver_lhs4" localSheetId="75" hidden="1">AutoModel!$D$33</definedName>
    <definedName name="solver_lhs4" localSheetId="35" hidden="1">BinIntLB!$E$5:$F$5</definedName>
    <definedName name="solver_lhs4" localSheetId="20" hidden="1">BinIntOverlap!$E$4:$F$4</definedName>
    <definedName name="solver_lhs4" localSheetId="47" hidden="1">ComplexLayout!$E$4:$F$4</definedName>
    <definedName name="solver_lhs4" localSheetId="21" hidden="1">ConFormula!$E$5:$F$5</definedName>
    <definedName name="solver_lhs4" localSheetId="22" hidden="1">ConFormulaInf!$E$5:$F$5</definedName>
    <definedName name="solver_lhs4" localSheetId="25" hidden="1">DeletedConRef!$K$1</definedName>
    <definedName name="solver_lhs4" localSheetId="31" hidden="1">IndirectLBs!$D$5:$E$5</definedName>
    <definedName name="solver_lhs4" localSheetId="48" hidden="1">InfModel!$D$5</definedName>
    <definedName name="solver_lhs4" localSheetId="54" hidden="1">NamedRanges!$I$12</definedName>
    <definedName name="solver_lhs4" localSheetId="67" hidden="1">NonLin!$J$44</definedName>
    <definedName name="solver_lhs4" localSheetId="72" hidden="1">NonLin6!$D$8</definedName>
    <definedName name="solver_lhs4" localSheetId="61" hidden="1">NonLinLarge!$H$74</definedName>
    <definedName name="solver_lhs4" localSheetId="36" hidden="1">Relaxation!$E$5:$F$5</definedName>
    <definedName name="solver_lhs4" localSheetId="58" hidden="1">Sensitivity!$G$20</definedName>
    <definedName name="solver_lhs4" localSheetId="59" hidden="1">SensitivityNames!$D$14:$H$16</definedName>
    <definedName name="solver_lhs4" localSheetId="57" hidden="1">Warmstart!$D$1:$UE$1</definedName>
    <definedName name="solver_lhs40" localSheetId="61" hidden="1">NonLinLarge!$H$74</definedName>
    <definedName name="solver_lhs400" localSheetId="61" hidden="1">NonLinLarge!$H$74</definedName>
    <definedName name="solver_lhs401" localSheetId="61" hidden="1">NonLinLarge!$H$75:$H$138</definedName>
    <definedName name="solver_lhs402" localSheetId="61" hidden="1">NonLinLarge!$H$139</definedName>
    <definedName name="solver_lhs403" localSheetId="61" hidden="1">NonLinLarge!$H$7:$H$8</definedName>
    <definedName name="solver_lhs404" localSheetId="61" hidden="1">NonLinLarge!$H$9:$H$72</definedName>
    <definedName name="solver_lhs405" localSheetId="61" hidden="1">NonLinLarge!$H$73</definedName>
    <definedName name="solver_lhs406" localSheetId="61" hidden="1">NonLinLarge!$H$74</definedName>
    <definedName name="solver_lhs407" localSheetId="61" hidden="1">NonLinLarge!$H$75:$H$138</definedName>
    <definedName name="solver_lhs408" localSheetId="61" hidden="1">NonLinLarge!$H$139</definedName>
    <definedName name="solver_lhs409" localSheetId="61" hidden="1">NonLinLarge!$H$7:$H$8</definedName>
    <definedName name="solver_lhs41" localSheetId="61" hidden="1">NonLinLarge!$H$75:$H$138</definedName>
    <definedName name="solver_lhs410" localSheetId="61" hidden="1">NonLinLarge!$H$9:$H$72</definedName>
    <definedName name="solver_lhs411" localSheetId="61" hidden="1">NonLinLarge!$H$73</definedName>
    <definedName name="solver_lhs412" localSheetId="61" hidden="1">NonLinLarge!$H$74</definedName>
    <definedName name="solver_lhs413" localSheetId="61" hidden="1">NonLinLarge!$H$75:$H$138</definedName>
    <definedName name="solver_lhs414" localSheetId="61" hidden="1">NonLinLarge!$H$139</definedName>
    <definedName name="solver_lhs415" localSheetId="61" hidden="1">NonLinLarge!$H$7:$H$8</definedName>
    <definedName name="solver_lhs416" localSheetId="61" hidden="1">NonLinLarge!$H$9:$H$72</definedName>
    <definedName name="solver_lhs417" localSheetId="61" hidden="1">NonLinLarge!$H$73</definedName>
    <definedName name="solver_lhs418" localSheetId="61" hidden="1">NonLinLarge!$H$74</definedName>
    <definedName name="solver_lhs419" localSheetId="61" hidden="1">NonLinLarge!$H$75:$H$138</definedName>
    <definedName name="solver_lhs42" localSheetId="61" hidden="1">NonLinLarge!$H$139</definedName>
    <definedName name="solver_lhs420" localSheetId="61" hidden="1">NonLinLarge!$H$139</definedName>
    <definedName name="solver_lhs421" localSheetId="61" hidden="1">NonLinLarge!$H$7:$H$8</definedName>
    <definedName name="solver_lhs422" localSheetId="61" hidden="1">NonLinLarge!$H$9:$H$72</definedName>
    <definedName name="solver_lhs423" localSheetId="61" hidden="1">NonLinLarge!$H$73</definedName>
    <definedName name="solver_lhs424" localSheetId="61" hidden="1">NonLinLarge!$H$74</definedName>
    <definedName name="solver_lhs425" localSheetId="61" hidden="1">NonLinLarge!$H$75:$H$138</definedName>
    <definedName name="solver_lhs426" localSheetId="61" hidden="1">NonLinLarge!$H$139</definedName>
    <definedName name="solver_lhs427" localSheetId="61" hidden="1">NonLinLarge!$H$7:$H$8</definedName>
    <definedName name="solver_lhs428" localSheetId="61" hidden="1">NonLinLarge!$H$9:$H$72</definedName>
    <definedName name="solver_lhs429" localSheetId="61" hidden="1">NonLinLarge!$H$73</definedName>
    <definedName name="solver_lhs43" localSheetId="61" hidden="1">NonLinLarge!$H$7:$H$8</definedName>
    <definedName name="solver_lhs430" localSheetId="61" hidden="1">NonLinLarge!$H$74</definedName>
    <definedName name="solver_lhs431" localSheetId="61" hidden="1">NonLinLarge!$H$75:$H$138</definedName>
    <definedName name="solver_lhs432" localSheetId="61" hidden="1">NonLinLarge!$H$139</definedName>
    <definedName name="solver_lhs433" localSheetId="61" hidden="1">NonLinLarge!$H$7:$H$8</definedName>
    <definedName name="solver_lhs434" localSheetId="61" hidden="1">NonLinLarge!$H$9:$H$72</definedName>
    <definedName name="solver_lhs435" localSheetId="61" hidden="1">NonLinLarge!$H$73</definedName>
    <definedName name="solver_lhs436" localSheetId="61" hidden="1">NonLinLarge!$H$74</definedName>
    <definedName name="solver_lhs437" localSheetId="61" hidden="1">NonLinLarge!$H$75:$H$138</definedName>
    <definedName name="solver_lhs438" localSheetId="61" hidden="1">NonLinLarge!$H$139</definedName>
    <definedName name="solver_lhs439" localSheetId="61" hidden="1">NonLinLarge!$H$7:$H$8</definedName>
    <definedName name="solver_lhs44" localSheetId="61" hidden="1">NonLinLarge!$H$9:$H$72</definedName>
    <definedName name="solver_lhs440" localSheetId="61" hidden="1">NonLinLarge!$H$9:$H$72</definedName>
    <definedName name="solver_lhs441" localSheetId="61" hidden="1">NonLinLarge!$H$73</definedName>
    <definedName name="solver_lhs442" localSheetId="61" hidden="1">NonLinLarge!$H$74</definedName>
    <definedName name="solver_lhs443" localSheetId="61" hidden="1">NonLinLarge!$H$75:$H$138</definedName>
    <definedName name="solver_lhs444" localSheetId="61" hidden="1">NonLinLarge!$H$139</definedName>
    <definedName name="solver_lhs445" localSheetId="61" hidden="1">NonLinLarge!$H$7:$H$8</definedName>
    <definedName name="solver_lhs446" localSheetId="61" hidden="1">NonLinLarge!$H$9:$H$72</definedName>
    <definedName name="solver_lhs447" localSheetId="61" hidden="1">NonLinLarge!$H$73</definedName>
    <definedName name="solver_lhs448" localSheetId="61" hidden="1">NonLinLarge!$H$74</definedName>
    <definedName name="solver_lhs449" localSheetId="61" hidden="1">NonLinLarge!$H$75:$H$138</definedName>
    <definedName name="solver_lhs45" localSheetId="61" hidden="1">NonLinLarge!$H$73</definedName>
    <definedName name="solver_lhs450" localSheetId="61" hidden="1">NonLinLarge!$H$139</definedName>
    <definedName name="solver_lhs451" localSheetId="61" hidden="1">NonLinLarge!$H$7:$H$8</definedName>
    <definedName name="solver_lhs452" localSheetId="61" hidden="1">NonLinLarge!$H$9:$H$72</definedName>
    <definedName name="solver_lhs453" localSheetId="61" hidden="1">NonLinLarge!$H$73</definedName>
    <definedName name="solver_lhs454" localSheetId="61" hidden="1">NonLinLarge!$H$74</definedName>
    <definedName name="solver_lhs455" localSheetId="61" hidden="1">NonLinLarge!$H$75:$H$138</definedName>
    <definedName name="solver_lhs456" localSheetId="61" hidden="1">NonLinLarge!$H$139</definedName>
    <definedName name="solver_lhs457" localSheetId="61" hidden="1">NonLinLarge!$H$7:$H$8</definedName>
    <definedName name="solver_lhs458" localSheetId="61" hidden="1">NonLinLarge!$H$9:$H$72</definedName>
    <definedName name="solver_lhs459" localSheetId="61" hidden="1">NonLinLarge!$H$73</definedName>
    <definedName name="solver_lhs46" localSheetId="61" hidden="1">NonLinLarge!$H$74</definedName>
    <definedName name="solver_lhs460" localSheetId="61" hidden="1">NonLinLarge!$H$74</definedName>
    <definedName name="solver_lhs461" localSheetId="61" hidden="1">NonLinLarge!$H$75:$H$138</definedName>
    <definedName name="solver_lhs462" localSheetId="61" hidden="1">NonLinLarge!$H$139</definedName>
    <definedName name="solver_lhs463" localSheetId="61" hidden="1">NonLinLarge!$H$7:$H$8</definedName>
    <definedName name="solver_lhs464" localSheetId="61" hidden="1">NonLinLarge!$H$9:$H$72</definedName>
    <definedName name="solver_lhs465" localSheetId="61" hidden="1">NonLinLarge!$H$73</definedName>
    <definedName name="solver_lhs466" localSheetId="61" hidden="1">NonLinLarge!$H$74</definedName>
    <definedName name="solver_lhs467" localSheetId="61" hidden="1">NonLinLarge!$H$75:$H$138</definedName>
    <definedName name="solver_lhs468" localSheetId="61" hidden="1">NonLinLarge!$H$139</definedName>
    <definedName name="solver_lhs469" localSheetId="61" hidden="1">NonLinLarge!$H$7:$H$8</definedName>
    <definedName name="solver_lhs47" localSheetId="61" hidden="1">NonLinLarge!$H$75:$H$138</definedName>
    <definedName name="solver_lhs470" localSheetId="61" hidden="1">NonLinLarge!$H$9:$H$72</definedName>
    <definedName name="solver_lhs471" localSheetId="61" hidden="1">NonLinLarge!$H$73</definedName>
    <definedName name="solver_lhs472" localSheetId="61" hidden="1">NonLinLarge!$H$74</definedName>
    <definedName name="solver_lhs473" localSheetId="61" hidden="1">NonLinLarge!$H$75:$H$138</definedName>
    <definedName name="solver_lhs474" localSheetId="61" hidden="1">NonLinLarge!$H$139</definedName>
    <definedName name="solver_lhs475" localSheetId="61" hidden="1">NonLinLarge!$H$7:$H$8</definedName>
    <definedName name="solver_lhs476" localSheetId="61" hidden="1">NonLinLarge!$H$9:$H$72</definedName>
    <definedName name="solver_lhs477" localSheetId="61" hidden="1">NonLinLarge!$H$73</definedName>
    <definedName name="solver_lhs478" localSheetId="61" hidden="1">NonLinLarge!$H$74</definedName>
    <definedName name="solver_lhs479" localSheetId="61" hidden="1">NonLinLarge!$H$75:$H$138</definedName>
    <definedName name="solver_lhs48" localSheetId="61" hidden="1">NonLinLarge!$H$139</definedName>
    <definedName name="solver_lhs480" localSheetId="61" hidden="1">NonLinLarge!$H$139</definedName>
    <definedName name="solver_lhs481" localSheetId="61" hidden="1">NonLinLarge!$H$7:$H$8</definedName>
    <definedName name="solver_lhs482" localSheetId="61" hidden="1">NonLinLarge!$H$9:$H$72</definedName>
    <definedName name="solver_lhs483" localSheetId="61" hidden="1">NonLinLarge!$H$73</definedName>
    <definedName name="solver_lhs484" localSheetId="61" hidden="1">NonLinLarge!$H$74</definedName>
    <definedName name="solver_lhs485" localSheetId="61" hidden="1">NonLinLarge!$H$75:$H$138</definedName>
    <definedName name="solver_lhs486" localSheetId="61" hidden="1">NonLinLarge!$H$139</definedName>
    <definedName name="solver_lhs487" localSheetId="61" hidden="1">NonLinLarge!$H$7:$H$8</definedName>
    <definedName name="solver_lhs488" localSheetId="61" hidden="1">NonLinLarge!$H$9:$H$72</definedName>
    <definedName name="solver_lhs489" localSheetId="61" hidden="1">NonLinLarge!$H$73</definedName>
    <definedName name="solver_lhs49" localSheetId="61" hidden="1">NonLinLarge!$H$7:$H$8</definedName>
    <definedName name="solver_lhs490" localSheetId="61" hidden="1">NonLinLarge!$H$74</definedName>
    <definedName name="solver_lhs491" localSheetId="61" hidden="1">NonLinLarge!$H$75:$H$138</definedName>
    <definedName name="solver_lhs492" localSheetId="61" hidden="1">NonLinLarge!$H$139</definedName>
    <definedName name="solver_lhs493" localSheetId="61" hidden="1">NonLinLarge!$H$7:$H$8</definedName>
    <definedName name="solver_lhs494" localSheetId="61" hidden="1">NonLinLarge!$H$9:$H$72</definedName>
    <definedName name="solver_lhs495" localSheetId="61" hidden="1">NonLinLarge!$H$73</definedName>
    <definedName name="solver_lhs496" localSheetId="61" hidden="1">NonLinLarge!$H$74</definedName>
    <definedName name="solver_lhs497" localSheetId="61" hidden="1">NonLinLarge!$H$75:$H$138</definedName>
    <definedName name="solver_lhs498" localSheetId="61" hidden="1">NonLinLarge!$H$139</definedName>
    <definedName name="solver_lhs499" localSheetId="61" hidden="1">NonLinLarge!$H$7:$H$8</definedName>
    <definedName name="solver_lhs5" localSheetId="75" hidden="1">AutoModel!$B$28:$D$28</definedName>
    <definedName name="solver_lhs5" localSheetId="20" hidden="1">BinIntOverlap!$D$4:$F$4</definedName>
    <definedName name="solver_lhs5" localSheetId="47" hidden="1">ComplexLayout!$D$4:$F$4</definedName>
    <definedName name="solver_lhs5" localSheetId="21" hidden="1">ConFormula!$D$5:$F$5</definedName>
    <definedName name="solver_lhs5" localSheetId="22" hidden="1">ConFormulaInf!$D$5:$F$5</definedName>
    <definedName name="solver_lhs5" localSheetId="31" hidden="1">IndirectLBs!$D$5</definedName>
    <definedName name="solver_lhs5" localSheetId="67" hidden="1">NonLin!$D$3:$D$35</definedName>
    <definedName name="solver_lhs5" localSheetId="61" hidden="1">NonLinLarge!$H$75:$H$138</definedName>
    <definedName name="solver_lhs5" localSheetId="57" hidden="1">Warmstart!#REF!</definedName>
    <definedName name="solver_lhs50" localSheetId="61" hidden="1">NonLinLarge!$H$9:$H$72</definedName>
    <definedName name="solver_lhs500" localSheetId="61" hidden="1">NonLinLarge!$H$9:$H$72</definedName>
    <definedName name="solver_lhs501" localSheetId="61" hidden="1">NonLinLarge!$H$73</definedName>
    <definedName name="solver_lhs502" localSheetId="61" hidden="1">NonLinLarge!$H$74</definedName>
    <definedName name="solver_lhs503" localSheetId="61" hidden="1">NonLinLarge!$H$75:$H$138</definedName>
    <definedName name="solver_lhs504" localSheetId="61" hidden="1">NonLinLarge!$H$139</definedName>
    <definedName name="solver_lhs505" localSheetId="61" hidden="1">NonLinLarge!$H$7:$H$8</definedName>
    <definedName name="solver_lhs506" localSheetId="61" hidden="1">NonLinLarge!$H$9:$H$72</definedName>
    <definedName name="solver_lhs507" localSheetId="61" hidden="1">NonLinLarge!$H$73</definedName>
    <definedName name="solver_lhs508" localSheetId="61" hidden="1">NonLinLarge!$H$74</definedName>
    <definedName name="solver_lhs509" localSheetId="61" hidden="1">NonLinLarge!$H$75:$H$138</definedName>
    <definedName name="solver_lhs51" localSheetId="61" hidden="1">NonLinLarge!$H$73</definedName>
    <definedName name="solver_lhs510" localSheetId="61" hidden="1">NonLinLarge!$H$139</definedName>
    <definedName name="solver_lhs511" localSheetId="61" hidden="1">NonLinLarge!$H$7:$H$8</definedName>
    <definedName name="solver_lhs512" localSheetId="61" hidden="1">NonLinLarge!$H$9:$H$72</definedName>
    <definedName name="solver_lhs513" localSheetId="61" hidden="1">NonLinLarge!$H$73</definedName>
    <definedName name="solver_lhs514" localSheetId="61" hidden="1">NonLinLarge!$H$74</definedName>
    <definedName name="solver_lhs515" localSheetId="61" hidden="1">NonLinLarge!$H$75:$H$138</definedName>
    <definedName name="solver_lhs516" localSheetId="61" hidden="1">NonLinLarge!$H$139</definedName>
    <definedName name="solver_lhs517" localSheetId="61" hidden="1">NonLinLarge!$H$7:$H$8</definedName>
    <definedName name="solver_lhs518" localSheetId="61" hidden="1">NonLinLarge!$H$9:$H$72</definedName>
    <definedName name="solver_lhs519" localSheetId="61" hidden="1">NonLinLarge!$H$73</definedName>
    <definedName name="solver_lhs52" localSheetId="61" hidden="1">NonLinLarge!$H$74</definedName>
    <definedName name="solver_lhs520" localSheetId="61" hidden="1">NonLinLarge!$H$74</definedName>
    <definedName name="solver_lhs521" localSheetId="61" hidden="1">NonLinLarge!$H$75:$H$138</definedName>
    <definedName name="solver_lhs522" localSheetId="61" hidden="1">NonLinLarge!$H$139</definedName>
    <definedName name="solver_lhs523" localSheetId="61" hidden="1">NonLinLarge!$H$7:$H$8</definedName>
    <definedName name="solver_lhs524" localSheetId="61" hidden="1">NonLinLarge!$H$9:$H$72</definedName>
    <definedName name="solver_lhs525" localSheetId="61" hidden="1">NonLinLarge!$H$73</definedName>
    <definedName name="solver_lhs526" localSheetId="61" hidden="1">NonLinLarge!$H$74</definedName>
    <definedName name="solver_lhs527" localSheetId="61" hidden="1">NonLinLarge!$H$75:$H$138</definedName>
    <definedName name="solver_lhs528" localSheetId="61" hidden="1">NonLinLarge!$H$139</definedName>
    <definedName name="solver_lhs529" localSheetId="61" hidden="1">NonLinLarge!$H$7:$H$8</definedName>
    <definedName name="solver_lhs53" localSheetId="61" hidden="1">NonLinLarge!$H$75:$H$138</definedName>
    <definedName name="solver_lhs530" localSheetId="61" hidden="1">NonLinLarge!$H$9:$H$72</definedName>
    <definedName name="solver_lhs531" localSheetId="61" hidden="1">NonLinLarge!$H$73</definedName>
    <definedName name="solver_lhs532" localSheetId="61" hidden="1">NonLinLarge!$H$74</definedName>
    <definedName name="solver_lhs533" localSheetId="61" hidden="1">NonLinLarge!$H$75:$H$138</definedName>
    <definedName name="solver_lhs534" localSheetId="61" hidden="1">NonLinLarge!$H$139</definedName>
    <definedName name="solver_lhs535" localSheetId="61" hidden="1">NonLinLarge!$H$7:$H$8</definedName>
    <definedName name="solver_lhs536" localSheetId="61" hidden="1">NonLinLarge!$H$9:$H$72</definedName>
    <definedName name="solver_lhs537" localSheetId="61" hidden="1">NonLinLarge!$H$73</definedName>
    <definedName name="solver_lhs538" localSheetId="61" hidden="1">NonLinLarge!$H$74</definedName>
    <definedName name="solver_lhs539" localSheetId="61" hidden="1">NonLinLarge!$H$75:$H$138</definedName>
    <definedName name="solver_lhs54" localSheetId="61" hidden="1">NonLinLarge!$H$139</definedName>
    <definedName name="solver_lhs540" localSheetId="61" hidden="1">NonLinLarge!$H$139</definedName>
    <definedName name="solver_lhs541" localSheetId="61" hidden="1">NonLinLarge!$H$7:$H$8</definedName>
    <definedName name="solver_lhs542" localSheetId="61" hidden="1">NonLinLarge!$H$9:$H$72</definedName>
    <definedName name="solver_lhs543" localSheetId="61" hidden="1">NonLinLarge!$H$73</definedName>
    <definedName name="solver_lhs544" localSheetId="61" hidden="1">NonLinLarge!$H$74</definedName>
    <definedName name="solver_lhs545" localSheetId="61" hidden="1">NonLinLarge!$H$75:$H$138</definedName>
    <definedName name="solver_lhs546" localSheetId="61" hidden="1">NonLinLarge!$H$139</definedName>
    <definedName name="solver_lhs547" localSheetId="61" hidden="1">NonLinLarge!$H$7:$H$8</definedName>
    <definedName name="solver_lhs548" localSheetId="61" hidden="1">NonLinLarge!$H$9:$H$72</definedName>
    <definedName name="solver_lhs549" localSheetId="61" hidden="1">NonLinLarge!$H$73</definedName>
    <definedName name="solver_lhs55" localSheetId="61" hidden="1">NonLinLarge!$H$7:$H$8</definedName>
    <definedName name="solver_lhs550" localSheetId="61" hidden="1">NonLinLarge!$H$74</definedName>
    <definedName name="solver_lhs551" localSheetId="61" hidden="1">NonLinLarge!$H$75:$H$138</definedName>
    <definedName name="solver_lhs552" localSheetId="61" hidden="1">NonLinLarge!$H$139</definedName>
    <definedName name="solver_lhs553" localSheetId="61" hidden="1">NonLinLarge!$H$7:$H$8</definedName>
    <definedName name="solver_lhs554" localSheetId="61" hidden="1">NonLinLarge!$H$9:$H$72</definedName>
    <definedName name="solver_lhs555" localSheetId="61" hidden="1">NonLinLarge!$H$73</definedName>
    <definedName name="solver_lhs556" localSheetId="61" hidden="1">NonLinLarge!$H$74</definedName>
    <definedName name="solver_lhs557" localSheetId="61" hidden="1">NonLinLarge!$H$75:$H$138</definedName>
    <definedName name="solver_lhs558" localSheetId="61" hidden="1">NonLinLarge!$H$139</definedName>
    <definedName name="solver_lhs559" localSheetId="61" hidden="1">NonLinLarge!$H$7:$H$8</definedName>
    <definedName name="solver_lhs56" localSheetId="61" hidden="1">NonLinLarge!$H$9:$H$72</definedName>
    <definedName name="solver_lhs560" localSheetId="61" hidden="1">NonLinLarge!$H$9:$H$72</definedName>
    <definedName name="solver_lhs561" localSheetId="61" hidden="1">NonLinLarge!$H$73</definedName>
    <definedName name="solver_lhs562" localSheetId="61" hidden="1">NonLinLarge!$H$74</definedName>
    <definedName name="solver_lhs563" localSheetId="61" hidden="1">NonLinLarge!$H$75:$H$138</definedName>
    <definedName name="solver_lhs564" localSheetId="61" hidden="1">NonLinLarge!$H$139</definedName>
    <definedName name="solver_lhs565" localSheetId="61" hidden="1">NonLinLarge!$H$7:$H$8</definedName>
    <definedName name="solver_lhs566" localSheetId="61" hidden="1">NonLinLarge!$H$9:$H$72</definedName>
    <definedName name="solver_lhs567" localSheetId="61" hidden="1">NonLinLarge!$H$73</definedName>
    <definedName name="solver_lhs568" localSheetId="61" hidden="1">NonLinLarge!$H$74</definedName>
    <definedName name="solver_lhs569" localSheetId="61" hidden="1">NonLinLarge!$H$75:$H$138</definedName>
    <definedName name="solver_lhs57" localSheetId="61" hidden="1">NonLinLarge!$H$73</definedName>
    <definedName name="solver_lhs570" localSheetId="61" hidden="1">NonLinLarge!$H$139</definedName>
    <definedName name="solver_lhs571" localSheetId="61" hidden="1">NonLinLarge!$H$7:$H$8</definedName>
    <definedName name="solver_lhs572" localSheetId="61" hidden="1">NonLinLarge!$H$9:$H$72</definedName>
    <definedName name="solver_lhs573" localSheetId="61" hidden="1">NonLinLarge!$H$73</definedName>
    <definedName name="solver_lhs574" localSheetId="61" hidden="1">NonLinLarge!$H$74</definedName>
    <definedName name="solver_lhs575" localSheetId="61" hidden="1">NonLinLarge!$H$75:$H$138</definedName>
    <definedName name="solver_lhs576" localSheetId="61" hidden="1">NonLinLarge!$H$139</definedName>
    <definedName name="solver_lhs577" localSheetId="61" hidden="1">NonLinLarge!$H$7:$H$8</definedName>
    <definedName name="solver_lhs578" localSheetId="61" hidden="1">NonLinLarge!$H$9:$H$72</definedName>
    <definedName name="solver_lhs579" localSheetId="61" hidden="1">NonLinLarge!$H$73</definedName>
    <definedName name="solver_lhs58" localSheetId="61" hidden="1">NonLinLarge!$H$74</definedName>
    <definedName name="solver_lhs580" localSheetId="61" hidden="1">NonLinLarge!$H$74</definedName>
    <definedName name="solver_lhs581" localSheetId="61" hidden="1">NonLinLarge!$H$75:$H$138</definedName>
    <definedName name="solver_lhs582" localSheetId="61" hidden="1">NonLinLarge!$H$139</definedName>
    <definedName name="solver_lhs583" localSheetId="61" hidden="1">NonLinLarge!$H$7:$H$8</definedName>
    <definedName name="solver_lhs584" localSheetId="61" hidden="1">NonLinLarge!$H$9:$H$72</definedName>
    <definedName name="solver_lhs585" localSheetId="61" hidden="1">NonLinLarge!$H$73</definedName>
    <definedName name="solver_lhs586" localSheetId="61" hidden="1">NonLinLarge!$H$74</definedName>
    <definedName name="solver_lhs587" localSheetId="61" hidden="1">NonLinLarge!$H$75:$H$138</definedName>
    <definedName name="solver_lhs588" localSheetId="61" hidden="1">NonLinLarge!$H$139</definedName>
    <definedName name="solver_lhs589" localSheetId="61" hidden="1">NonLinLarge!$H$7:$H$8</definedName>
    <definedName name="solver_lhs59" localSheetId="61" hidden="1">NonLinLarge!$H$75:$H$138</definedName>
    <definedName name="solver_lhs590" localSheetId="61" hidden="1">NonLinLarge!$H$9:$H$72</definedName>
    <definedName name="solver_lhs591" localSheetId="61" hidden="1">NonLinLarge!$H$73</definedName>
    <definedName name="solver_lhs592" localSheetId="61" hidden="1">NonLinLarge!$H$74</definedName>
    <definedName name="solver_lhs593" localSheetId="61" hidden="1">NonLinLarge!$H$75:$H$138</definedName>
    <definedName name="solver_lhs594" localSheetId="61" hidden="1">NonLinLarge!$H$139</definedName>
    <definedName name="solver_lhs595" localSheetId="61" hidden="1">NonLinLarge!$H$7:$H$8</definedName>
    <definedName name="solver_lhs596" localSheetId="61" hidden="1">NonLinLarge!$H$9:$H$72</definedName>
    <definedName name="solver_lhs597" localSheetId="61" hidden="1">NonLinLarge!$H$73</definedName>
    <definedName name="solver_lhs598" localSheetId="61" hidden="1">NonLinLarge!$H$74</definedName>
    <definedName name="solver_lhs599" localSheetId="61" hidden="1">NonLinLarge!$H$75:$H$138</definedName>
    <definedName name="solver_lhs6" localSheetId="47" hidden="1">ComplexLayout!$S$3:$S$4</definedName>
    <definedName name="solver_lhs6" localSheetId="21" hidden="1">ConFormula!$S$4:$S$5</definedName>
    <definedName name="solver_lhs6" localSheetId="22" hidden="1">ConFormulaInf!$S$4:$S$5</definedName>
    <definedName name="solver_lhs6" localSheetId="61" hidden="1">NonLinLarge!$H$139</definedName>
    <definedName name="solver_lhs60" localSheetId="61" hidden="1">NonLinLarge!$H$139</definedName>
    <definedName name="solver_lhs600" localSheetId="61" hidden="1">NonLinLarge!$H$139</definedName>
    <definedName name="solver_lhs61" localSheetId="61" hidden="1">NonLinLarge!$H$7:$H$8</definedName>
    <definedName name="solver_lhs62" localSheetId="61" hidden="1">NonLinLarge!$H$9:$H$72</definedName>
    <definedName name="solver_lhs63" localSheetId="61" hidden="1">NonLinLarge!$H$73</definedName>
    <definedName name="solver_lhs64" localSheetId="61" hidden="1">NonLinLarge!$H$74</definedName>
    <definedName name="solver_lhs65" localSheetId="61" hidden="1">NonLinLarge!$H$75:$H$138</definedName>
    <definedName name="solver_lhs66" localSheetId="61" hidden="1">NonLinLarge!$H$139</definedName>
    <definedName name="solver_lhs67" localSheetId="61" hidden="1">NonLinLarge!$H$7:$H$8</definedName>
    <definedName name="solver_lhs68" localSheetId="61" hidden="1">NonLinLarge!$H$9:$H$72</definedName>
    <definedName name="solver_lhs69" localSheetId="61" hidden="1">NonLinLarge!$H$73</definedName>
    <definedName name="solver_lhs7" localSheetId="47" hidden="1">ComplexLayout!$Q$5:$R$5</definedName>
    <definedName name="solver_lhs7" localSheetId="21" hidden="1">ConFormula!$Q$6:$R$6</definedName>
    <definedName name="solver_lhs7" localSheetId="22" hidden="1">ConFormulaInf!$Q$6:$R$6</definedName>
    <definedName name="solver_lhs7" localSheetId="61" hidden="1">NonLinLarge!$H$7:$H$8</definedName>
    <definedName name="solver_lhs70" localSheetId="61" hidden="1">NonLinLarge!$H$74</definedName>
    <definedName name="solver_lhs71" localSheetId="61" hidden="1">NonLinLarge!$H$75:$H$138</definedName>
    <definedName name="solver_lhs72" localSheetId="61" hidden="1">NonLinLarge!$H$139</definedName>
    <definedName name="solver_lhs73" localSheetId="61" hidden="1">NonLinLarge!$H$7:$H$8</definedName>
    <definedName name="solver_lhs74" localSheetId="61" hidden="1">NonLinLarge!$H$9:$H$72</definedName>
    <definedName name="solver_lhs75" localSheetId="61" hidden="1">NonLinLarge!$H$73</definedName>
    <definedName name="solver_lhs76" localSheetId="61" hidden="1">NonLinLarge!$H$74</definedName>
    <definedName name="solver_lhs77" localSheetId="61" hidden="1">NonLinLarge!$H$75:$H$138</definedName>
    <definedName name="solver_lhs78" localSheetId="61" hidden="1">NonLinLarge!$H$139</definedName>
    <definedName name="solver_lhs79" localSheetId="61" hidden="1">NonLinLarge!$H$7:$H$8</definedName>
    <definedName name="solver_lhs8" localSheetId="21" hidden="1">ConFormula!$I$10</definedName>
    <definedName name="solver_lhs8" localSheetId="22" hidden="1">ConFormulaInf!$I$10</definedName>
    <definedName name="solver_lhs8" localSheetId="61" hidden="1">NonLinLarge!$H$9:$H$72</definedName>
    <definedName name="solver_lhs80" localSheetId="61" hidden="1">NonLinLarge!$H$9:$H$72</definedName>
    <definedName name="solver_lhs81" localSheetId="61" hidden="1">NonLinLarge!$H$73</definedName>
    <definedName name="solver_lhs82" localSheetId="61" hidden="1">NonLinLarge!$H$74</definedName>
    <definedName name="solver_lhs83" localSheetId="61" hidden="1">NonLinLarge!$H$75:$H$138</definedName>
    <definedName name="solver_lhs84" localSheetId="61" hidden="1">NonLinLarge!$H$139</definedName>
    <definedName name="solver_lhs85" localSheetId="61" hidden="1">NonLinLarge!$H$7:$H$8</definedName>
    <definedName name="solver_lhs86" localSheetId="61" hidden="1">NonLinLarge!$H$9:$H$72</definedName>
    <definedName name="solver_lhs87" localSheetId="61" hidden="1">NonLinLarge!$H$73</definedName>
    <definedName name="solver_lhs88" localSheetId="61" hidden="1">NonLinLarge!$H$74</definedName>
    <definedName name="solver_lhs89" localSheetId="61" hidden="1">NonLinLarge!$H$75:$H$138</definedName>
    <definedName name="solver_lhs9" localSheetId="22" hidden="1">ConFormulaInf!$I$14</definedName>
    <definedName name="solver_lhs9" localSheetId="61" hidden="1">NonLinLarge!$H$73</definedName>
    <definedName name="solver_lhs90" localSheetId="61" hidden="1">NonLinLarge!$H$139</definedName>
    <definedName name="solver_lhs91" localSheetId="61" hidden="1">NonLinLarge!$H$7:$H$8</definedName>
    <definedName name="solver_lhs92" localSheetId="61" hidden="1">NonLinLarge!$H$9:$H$72</definedName>
    <definedName name="solver_lhs93" localSheetId="61" hidden="1">NonLinLarge!$H$73</definedName>
    <definedName name="solver_lhs94" localSheetId="61" hidden="1">NonLinLarge!$H$74</definedName>
    <definedName name="solver_lhs95" localSheetId="61" hidden="1">NonLinLarge!$H$75:$H$138</definedName>
    <definedName name="solver_lhs96" localSheetId="61" hidden="1">NonLinLarge!$H$139</definedName>
    <definedName name="solver_lhs97" localSheetId="61" hidden="1">NonLinLarge!$H$7:$H$8</definedName>
    <definedName name="solver_lhs98" localSheetId="61" hidden="1">NonLinLarge!$H$9:$H$72</definedName>
    <definedName name="solver_lhs99" localSheetId="61" hidden="1">NonLinLarge!$H$73</definedName>
    <definedName name="solver_lin" localSheetId="57" hidden="1">1</definedName>
    <definedName name="solver_neg" localSheetId="23" hidden="1">1</definedName>
    <definedName name="solver_neg" localSheetId="35" hidden="1">1</definedName>
    <definedName name="solver_neg" localSheetId="20" hidden="1">1</definedName>
    <definedName name="solver_neg" localSheetId="34" hidden="1">1</definedName>
    <definedName name="solver_neg" localSheetId="8" hidden="1">1</definedName>
    <definedName name="solver_neg" localSheetId="7" hidden="1">1</definedName>
    <definedName name="solver_neg" localSheetId="47" hidden="1">1</definedName>
    <definedName name="solver_neg" localSheetId="21" hidden="1">1</definedName>
    <definedName name="solver_neg" localSheetId="22" hidden="1">1</definedName>
    <definedName name="solver_neg" localSheetId="43" hidden="1">1</definedName>
    <definedName name="solver_neg" localSheetId="40" hidden="1">1</definedName>
    <definedName name="solver_neg" localSheetId="42" hidden="1">1</definedName>
    <definedName name="solver_neg" localSheetId="25" hidden="1">1</definedName>
    <definedName name="solver_neg" localSheetId="53" hidden="1">1</definedName>
    <definedName name="solver_neg" localSheetId="32" hidden="1">1</definedName>
    <definedName name="solver_neg" localSheetId="11" hidden="1">1</definedName>
    <definedName name="solver_neg" localSheetId="10" hidden="1">1</definedName>
    <definedName name="solver_neg" localSheetId="24" hidden="1">1</definedName>
    <definedName name="solver_neg" localSheetId="28" hidden="1">1</definedName>
    <definedName name="solver_neg" localSheetId="44" hidden="1">1</definedName>
    <definedName name="solver_neg" localSheetId="46" hidden="1">1</definedName>
    <definedName name="solver_neg" localSheetId="74" hidden="1">1</definedName>
    <definedName name="solver_neg" localSheetId="31" hidden="1">1</definedName>
    <definedName name="solver_neg" localSheetId="27" hidden="1">1</definedName>
    <definedName name="solver_neg" localSheetId="48" hidden="1">1</definedName>
    <definedName name="solver_neg" localSheetId="5" hidden="1">1</definedName>
    <definedName name="solver_neg" localSheetId="49" hidden="1">1</definedName>
    <definedName name="solver_neg" localSheetId="37" hidden="1">1</definedName>
    <definedName name="solver_neg" localSheetId="18" hidden="1">1</definedName>
    <definedName name="solver_neg" localSheetId="19" hidden="1">1</definedName>
    <definedName name="solver_neg" localSheetId="17" hidden="1">1</definedName>
    <definedName name="solver_neg" localSheetId="15" hidden="1">1</definedName>
    <definedName name="solver_neg" localSheetId="54" hidden="1">1</definedName>
    <definedName name="solver_neg" localSheetId="73" hidden="1">1</definedName>
    <definedName name="solver_neg" localSheetId="67" hidden="1">1</definedName>
    <definedName name="solver_neg" localSheetId="68" hidden="1">1</definedName>
    <definedName name="solver_neg" localSheetId="69" hidden="1">1</definedName>
    <definedName name="solver_neg" localSheetId="71" hidden="1">1</definedName>
    <definedName name="solver_neg" localSheetId="72" hidden="1">1</definedName>
    <definedName name="solver_neg" localSheetId="66" hidden="1">1</definedName>
    <definedName name="solver_neg" localSheetId="65" hidden="1">1</definedName>
    <definedName name="solver_neg" localSheetId="61" hidden="1">1</definedName>
    <definedName name="solver_neg" localSheetId="64" hidden="1">1</definedName>
    <definedName name="solver_neg" localSheetId="62" hidden="1">1</definedName>
    <definedName name="solver_neg" localSheetId="63" hidden="1">1</definedName>
    <definedName name="solver_neg" localSheetId="60" hidden="1">1</definedName>
    <definedName name="solver_neg" localSheetId="50" hidden="1">1</definedName>
    <definedName name="solver_neg" localSheetId="6" hidden="1">1</definedName>
    <definedName name="solver_neg" localSheetId="38" hidden="1">1</definedName>
    <definedName name="solver_neg" localSheetId="39" hidden="1">1</definedName>
    <definedName name="solver_neg" localSheetId="36" hidden="1">1</definedName>
    <definedName name="solver_neg" localSheetId="2" hidden="1">1</definedName>
    <definedName name="solver_neg" localSheetId="51" hidden="1">1</definedName>
    <definedName name="solver_neg" localSheetId="52" hidden="1">1</definedName>
    <definedName name="solver_neg" localSheetId="58" hidden="1">1</definedName>
    <definedName name="solver_neg" localSheetId="59" hidden="1">0</definedName>
    <definedName name="solver_neg" localSheetId="4" hidden="1">1</definedName>
    <definedName name="solver_neg" localSheetId="3" hidden="1">1</definedName>
    <definedName name="solver_neg" localSheetId="33" hidden="1">1</definedName>
    <definedName name="solver_neg" localSheetId="56" hidden="1">0</definedName>
    <definedName name="solver_neg" localSheetId="9" hidden="1">1</definedName>
    <definedName name="solver_neg" localSheetId="29" hidden="1">0</definedName>
    <definedName name="solver_neg" localSheetId="45" hidden="1">1</definedName>
    <definedName name="solver_neg" localSheetId="41" hidden="1">1</definedName>
    <definedName name="solver_neg" localSheetId="57" hidden="1">1</definedName>
    <definedName name="solver_num" localSheetId="75" hidden="1">5</definedName>
    <definedName name="solver_num" localSheetId="23" hidden="1">3</definedName>
    <definedName name="solver_num" localSheetId="35" hidden="1">4</definedName>
    <definedName name="solver_num" localSheetId="20" hidden="1">5</definedName>
    <definedName name="solver_num" localSheetId="34" hidden="1">3</definedName>
    <definedName name="solver_num" localSheetId="8" hidden="1">3</definedName>
    <definedName name="solver_num" localSheetId="7" hidden="1">3</definedName>
    <definedName name="solver_num" localSheetId="47" hidden="1">7</definedName>
    <definedName name="solver_num" localSheetId="21" hidden="1">8</definedName>
    <definedName name="solver_num" localSheetId="22" hidden="1">9</definedName>
    <definedName name="solver_num" localSheetId="43" hidden="1">2</definedName>
    <definedName name="solver_num" localSheetId="40" hidden="1">2</definedName>
    <definedName name="solver_num" localSheetId="42" hidden="1">1</definedName>
    <definedName name="solver_num" localSheetId="25" hidden="1">4</definedName>
    <definedName name="solver_num" localSheetId="26" hidden="1">3</definedName>
    <definedName name="solver_num" localSheetId="53" hidden="1">3</definedName>
    <definedName name="solver_num" localSheetId="32" hidden="1">2</definedName>
    <definedName name="solver_num" localSheetId="11" hidden="1">3</definedName>
    <definedName name="solver_num" localSheetId="12" hidden="1">3</definedName>
    <definedName name="solver_num" localSheetId="10" hidden="1">3</definedName>
    <definedName name="solver_num" localSheetId="24" hidden="1">3</definedName>
    <definedName name="solver_num" localSheetId="28" hidden="1">3</definedName>
    <definedName name="solver_num" localSheetId="44" hidden="1">2</definedName>
    <definedName name="solver_num" localSheetId="46" hidden="1">3</definedName>
    <definedName name="solver_num" localSheetId="74" hidden="1">3</definedName>
    <definedName name="solver_num" localSheetId="31" hidden="1">5</definedName>
    <definedName name="solver_num" localSheetId="27" hidden="1">3</definedName>
    <definedName name="solver_num" localSheetId="48" hidden="1">4</definedName>
    <definedName name="solver_num" localSheetId="5" hidden="1">2</definedName>
    <definedName name="solver_num" localSheetId="49" hidden="1">3</definedName>
    <definedName name="solver_num" localSheetId="37" hidden="1">2</definedName>
    <definedName name="solver_num" localSheetId="18" hidden="1">3</definedName>
    <definedName name="solver_num" localSheetId="19" hidden="1">3</definedName>
    <definedName name="solver_num" localSheetId="17" hidden="1">3</definedName>
    <definedName name="solver_num" localSheetId="16" hidden="1">3</definedName>
    <definedName name="solver_num" localSheetId="15" hidden="1">3</definedName>
    <definedName name="solver_num" localSheetId="14" hidden="1">3</definedName>
    <definedName name="solver_num" localSheetId="54" hidden="1">4</definedName>
    <definedName name="solver_num" localSheetId="73" hidden="1">2</definedName>
    <definedName name="solver_num" localSheetId="67" hidden="1">5</definedName>
    <definedName name="solver_num" localSheetId="68" hidden="1">1</definedName>
    <definedName name="solver_num" localSheetId="69" hidden="1">2</definedName>
    <definedName name="solver_num" localSheetId="70" hidden="1">1</definedName>
    <definedName name="solver_num" localSheetId="71" hidden="1">0</definedName>
    <definedName name="solver_num" localSheetId="72" hidden="1">4</definedName>
    <definedName name="solver_num" localSheetId="66" hidden="1">2</definedName>
    <definedName name="solver_num" localSheetId="65" hidden="1">1</definedName>
    <definedName name="solver_num" localSheetId="61" hidden="1">6</definedName>
    <definedName name="solver_num" localSheetId="64" hidden="1">2</definedName>
    <definedName name="solver_num" localSheetId="62" hidden="1">3</definedName>
    <definedName name="solver_num" localSheetId="63" hidden="1">3</definedName>
    <definedName name="solver_num" localSheetId="60" hidden="1">3</definedName>
    <definedName name="solver_num" localSheetId="50" hidden="1">3</definedName>
    <definedName name="solver_num" localSheetId="6" hidden="1">3</definedName>
    <definedName name="solver_num" localSheetId="38" hidden="1">2</definedName>
    <definedName name="solver_num" localSheetId="39" hidden="1">2</definedName>
    <definedName name="solver_num" localSheetId="30" hidden="1">3</definedName>
    <definedName name="solver_num" localSheetId="55" hidden="1">2</definedName>
    <definedName name="solver_num" localSheetId="36" hidden="1">4</definedName>
    <definedName name="solver_num" localSheetId="2" hidden="1">0</definedName>
    <definedName name="solver_num" localSheetId="51" hidden="1">3</definedName>
    <definedName name="solver_num" localSheetId="52" hidden="1">3</definedName>
    <definedName name="solver_num" localSheetId="58" hidden="1">4</definedName>
    <definedName name="solver_num" localSheetId="59" hidden="1">4</definedName>
    <definedName name="solver_num" localSheetId="4" hidden="1">2</definedName>
    <definedName name="solver_num" localSheetId="3" hidden="1">3</definedName>
    <definedName name="solver_num" localSheetId="33" hidden="1">2</definedName>
    <definedName name="solver_num" localSheetId="56" hidden="1">3</definedName>
    <definedName name="solver_num" localSheetId="13" hidden="1">3</definedName>
    <definedName name="solver_num" localSheetId="9" hidden="1">3</definedName>
    <definedName name="solver_num" localSheetId="29" hidden="1">3</definedName>
    <definedName name="solver_num" localSheetId="45" hidden="1">2</definedName>
    <definedName name="solver_num" localSheetId="41" hidden="1">2</definedName>
    <definedName name="solver_num" localSheetId="57" hidden="1">2</definedName>
    <definedName name="solver_nwt" localSheetId="23" hidden="1">1</definedName>
    <definedName name="solver_nwt" localSheetId="74" hidden="1">1</definedName>
    <definedName name="solver_nwt" localSheetId="5" hidden="1">1</definedName>
    <definedName name="solver_nwt" localSheetId="73" hidden="1">1</definedName>
    <definedName name="solver_nwt" localSheetId="70" hidden="1">1</definedName>
    <definedName name="solver_nwt" localSheetId="72" hidden="1">1</definedName>
    <definedName name="solver_nwt" localSheetId="61" hidden="1">1</definedName>
    <definedName name="solver_nwt" localSheetId="2" hidden="1">1</definedName>
    <definedName name="solver_nwt" localSheetId="52" hidden="1">1</definedName>
    <definedName name="solver_nwt" localSheetId="59" hidden="1">1</definedName>
    <definedName name="solver_nwt" localSheetId="3" hidden="1">1</definedName>
    <definedName name="solver_nwt" localSheetId="57" hidden="1">1</definedName>
    <definedName name="solver_opt" localSheetId="75" hidden="1">AutoModel!$C$9</definedName>
    <definedName name="solver_opt" localSheetId="23" hidden="1">'BadName!'!$H$7</definedName>
    <definedName name="solver_opt" localSheetId="35" hidden="1">BinIntLB!$H$9</definedName>
    <definedName name="solver_opt" localSheetId="20" hidden="1">BinIntOverlap!$I$6</definedName>
    <definedName name="solver_opt" localSheetId="34" hidden="1">BinLB!$H$9</definedName>
    <definedName name="solver_opt" localSheetId="8" hidden="1">BlankLHS!$H$6</definedName>
    <definedName name="solver_opt" localSheetId="7" hidden="1">BlankRHS!$H$6</definedName>
    <definedName name="solver_opt" localSheetId="47" hidden="1">ComplexLayout!$I$6</definedName>
    <definedName name="solver_opt" localSheetId="21" hidden="1">ConFormula!$I$7</definedName>
    <definedName name="solver_opt" localSheetId="22" hidden="1">ConFormulaInf!$I$7</definedName>
    <definedName name="solver_opt" localSheetId="43" hidden="1">ConstantLB!$H$9</definedName>
    <definedName name="solver_opt" localSheetId="40" hidden="1">ConstFormulaRangeLB!$H$8</definedName>
    <definedName name="solver_opt" localSheetId="42" hidden="1">ConstraintLB!$H$9</definedName>
    <definedName name="solver_opt" localSheetId="25" hidden="1">DeletedConRef!$H$7</definedName>
    <definedName name="solver_opt" localSheetId="26" hidden="1">DeletedObjRef!#REF!</definedName>
    <definedName name="solver_opt" localSheetId="53" hidden="1">SeekObj!$G$17</definedName>
    <definedName name="solver_opt" localSheetId="32" hidden="1">DirectLBs!$H$8</definedName>
    <definedName name="solver_opt" localSheetId="11" hidden="1">ErrorLHS!$H$6</definedName>
    <definedName name="solver_opt" localSheetId="12" hidden="1">ErrorObj!$H$6</definedName>
    <definedName name="solver_opt" localSheetId="10" hidden="1">ErrorRHS!$H$6</definedName>
    <definedName name="solver_opt" localSheetId="24" hidden="1">'EscapeSheetName(1)+2-1'!$H$6</definedName>
    <definedName name="solver_opt" localSheetId="28" hidden="1">FeasConstConstraint!$J$6</definedName>
    <definedName name="solver_opt" localSheetId="44" hidden="1">FormulaLB!$H$9</definedName>
    <definedName name="solver_opt" localSheetId="46" hidden="1">FractionalCoeffs!$G$4</definedName>
    <definedName name="solver_opt" localSheetId="74" hidden="1">Highlighting!$G$5</definedName>
    <definedName name="solver_opt" localSheetId="31" hidden="1">IndirectLBs!$H$8</definedName>
    <definedName name="solver_opt" localSheetId="27" hidden="1">InfConstConstraint!$J$6</definedName>
    <definedName name="solver_opt" localSheetId="48" hidden="1">InfModel!$H$7</definedName>
    <definedName name="solver_opt" localSheetId="5" hidden="1">IP_SUMIF!$E$10</definedName>
    <definedName name="solver_opt" localSheetId="49" hidden="1">IterativeCalc!$H$7</definedName>
    <definedName name="solver_opt" localSheetId="37" hidden="1">LargeRangeLB!$H$10</definedName>
    <definedName name="solver_opt" localSheetId="18" hidden="1">MergedLHS_OK!$H$7</definedName>
    <definedName name="solver_opt" localSheetId="19" hidden="1">MergedLHSMultiple_OK!$H$7</definedName>
    <definedName name="solver_opt" localSheetId="17" hidden="1">MergedRHS_OK!$H$7</definedName>
    <definedName name="solver_opt" localSheetId="16" hidden="1">MergedVarsBad!$H$7</definedName>
    <definedName name="solver_opt" localSheetId="15" hidden="1">MergedVarsOK!$H$7</definedName>
    <definedName name="solver_opt" localSheetId="14" hidden="1">MergedVarsSubset!$H$7</definedName>
    <definedName name="solver_opt" localSheetId="54" hidden="1">NamedRanges!$I$6</definedName>
    <definedName name="solver_opt" localSheetId="73" hidden="1">NOMADCallback!$D$4</definedName>
    <definedName name="solver_opt" localSheetId="67" hidden="1">NonLin!$I$39</definedName>
    <definedName name="solver_opt" localSheetId="68" hidden="1">NonLin2!$F$4</definedName>
    <definedName name="solver_opt" localSheetId="69" hidden="1">NonLin3!$S$13</definedName>
    <definedName name="solver_opt" localSheetId="70" hidden="1">NonLin4!$D$16</definedName>
    <definedName name="solver_opt" localSheetId="71" hidden="1">NonLin5!$J$7</definedName>
    <definedName name="solver_opt" localSheetId="72" hidden="1">NonLin6!$F$15</definedName>
    <definedName name="solver_opt" localSheetId="66" hidden="1">NonLinBinary!$C$6</definedName>
    <definedName name="solver_opt" localSheetId="65" hidden="1">NonLinConstraints!$I$6</definedName>
    <definedName name="solver_opt" localSheetId="61" hidden="1">NonLinLarge!$H$5</definedName>
    <definedName name="solver_opt" localSheetId="64" hidden="1">NonLinMinMax!$G$6</definedName>
    <definedName name="solver_opt" localSheetId="62" hidden="1">NonLinObj!$H$5</definedName>
    <definedName name="solver_opt" localSheetId="63" hidden="1">NonLinPruning!$F$6</definedName>
    <definedName name="solver_opt" localSheetId="60" hidden="1">NonLinSimple!$H$5</definedName>
    <definedName name="solver_opt" localSheetId="6" hidden="1">OverlappingVars!$H$6</definedName>
    <definedName name="solver_opt" localSheetId="38" hidden="1">OverlapRangeLB!$H$10</definedName>
    <definedName name="solver_opt" localSheetId="39" hidden="1">OverlapRangeLBwithFormula!$H$10</definedName>
    <definedName name="solver_opt" localSheetId="30" hidden="1">ProtectedSheet!$H$6</definedName>
    <definedName name="solver_opt" localSheetId="55" hidden="1">QuickSolve!$H$6</definedName>
    <definedName name="solver_opt" localSheetId="36" hidden="1">Relaxation!$H$9</definedName>
    <definedName name="solver_opt" localSheetId="51" hidden="1">SeekObj!$G$4</definedName>
    <definedName name="solver_opt" localSheetId="52" hidden="1">SeekObjInf!$G$4</definedName>
    <definedName name="solver_opt" localSheetId="58" hidden="1">Sensitivity!$G$6</definedName>
    <definedName name="solver_opt" localSheetId="59" hidden="1">SensitivityNames!$D$20</definedName>
    <definedName name="solver_opt" localSheetId="4" hidden="1">SimpleIP!$E$10</definedName>
    <definedName name="solver_opt" localSheetId="3" hidden="1">SimpleLP!$H$6</definedName>
    <definedName name="solver_opt" localSheetId="33" hidden="1">SingleRangeLB!$H$8</definedName>
    <definedName name="solver_opt" localSheetId="56" hidden="1">SolverParameters!$H$15</definedName>
    <definedName name="solver_opt" localSheetId="13" hidden="1">TextObj!$H$6</definedName>
    <definedName name="solver_opt" localSheetId="9" hidden="1">TextRHS!$H$6</definedName>
    <definedName name="solver_opt" localSheetId="29" hidden="1">Unbounded!$H$6</definedName>
    <definedName name="solver_opt" localSheetId="45" hidden="1">VarConstraintLB!$H$9</definedName>
    <definedName name="solver_opt" localSheetId="41" hidden="1">VariableFormulaRangeLB!$H$9</definedName>
    <definedName name="solver_opt" localSheetId="57" hidden="1">Warmstart!$UF$2</definedName>
    <definedName name="solver_pre" localSheetId="73" hidden="1">0.000001</definedName>
    <definedName name="solver_pre" localSheetId="63" hidden="1">0.001</definedName>
    <definedName name="solver_pre" localSheetId="2" hidden="1">0.000001</definedName>
    <definedName name="solver_pre" localSheetId="59" hidden="1">0.0001</definedName>
    <definedName name="solver_rel1" localSheetId="75" hidden="1">1</definedName>
    <definedName name="solver_rel1" localSheetId="23" hidden="1">1</definedName>
    <definedName name="solver_rel1" localSheetId="35" hidden="1">3</definedName>
    <definedName name="solver_rel1" localSheetId="20" hidden="1">1</definedName>
    <definedName name="solver_rel1" localSheetId="34" hidden="1">3</definedName>
    <definedName name="solver_rel1" localSheetId="8" hidden="1">1</definedName>
    <definedName name="solver_rel1" localSheetId="7" hidden="1">1</definedName>
    <definedName name="solver_rel1" localSheetId="47" hidden="1">1</definedName>
    <definedName name="solver_rel1" localSheetId="21" hidden="1">1</definedName>
    <definedName name="solver_rel1" localSheetId="22" hidden="1">1</definedName>
    <definedName name="solver_rel1" localSheetId="43" hidden="1">3</definedName>
    <definedName name="solver_rel1" localSheetId="40" hidden="1">3</definedName>
    <definedName name="solver_rel1" localSheetId="42" hidden="1">3</definedName>
    <definedName name="solver_rel1" localSheetId="25" hidden="1">1</definedName>
    <definedName name="solver_rel1" localSheetId="26" hidden="1">1</definedName>
    <definedName name="solver_rel1" localSheetId="53" hidden="1">2</definedName>
    <definedName name="solver_rel1" localSheetId="32" hidden="1">3</definedName>
    <definedName name="solver_rel1" localSheetId="11" hidden="1">1</definedName>
    <definedName name="solver_rel1" localSheetId="12" hidden="1">1</definedName>
    <definedName name="solver_rel1" localSheetId="10" hidden="1">1</definedName>
    <definedName name="solver_rel1" localSheetId="24" hidden="1">1</definedName>
    <definedName name="solver_rel1" localSheetId="28" hidden="1">1</definedName>
    <definedName name="solver_rel1" localSheetId="44" hidden="1">3</definedName>
    <definedName name="solver_rel1" localSheetId="46" hidden="1">2</definedName>
    <definedName name="solver_rel1" localSheetId="74" hidden="1">1</definedName>
    <definedName name="solver_rel1" localSheetId="31" hidden="1">1</definedName>
    <definedName name="solver_rel1" localSheetId="27" hidden="1">1</definedName>
    <definedName name="solver_rel1" localSheetId="48" hidden="1">1</definedName>
    <definedName name="solver_rel1" localSheetId="5" hidden="1">1</definedName>
    <definedName name="solver_rel1" localSheetId="49" hidden="1">1</definedName>
    <definedName name="solver_rel1" localSheetId="37" hidden="1">3</definedName>
    <definedName name="solver_rel1" localSheetId="18" hidden="1">1</definedName>
    <definedName name="solver_rel1" localSheetId="19" hidden="1">1</definedName>
    <definedName name="solver_rel1" localSheetId="17" hidden="1">1</definedName>
    <definedName name="solver_rel1" localSheetId="16" hidden="1">1</definedName>
    <definedName name="solver_rel1" localSheetId="15" hidden="1">1</definedName>
    <definedName name="solver_rel1" localSheetId="14" hidden="1">1</definedName>
    <definedName name="solver_rel1" localSheetId="54" hidden="1">1</definedName>
    <definedName name="solver_rel1" localSheetId="73" hidden="1">3</definedName>
    <definedName name="solver_rel1" localSheetId="67" hidden="1">3</definedName>
    <definedName name="solver_rel1" localSheetId="68" hidden="1">3</definedName>
    <definedName name="solver_rel1" localSheetId="69" hidden="1">3</definedName>
    <definedName name="solver_rel1" localSheetId="70" hidden="1">1</definedName>
    <definedName name="solver_rel1" localSheetId="72" hidden="1">3</definedName>
    <definedName name="solver_rel1" localSheetId="66" hidden="1">3</definedName>
    <definedName name="solver_rel1" localSheetId="65" hidden="1">1</definedName>
    <definedName name="solver_rel1" localSheetId="61" hidden="1">1</definedName>
    <definedName name="solver_rel1" localSheetId="64" hidden="1">1</definedName>
    <definedName name="solver_rel1" localSheetId="62" hidden="1">1</definedName>
    <definedName name="solver_rel1" localSheetId="63" hidden="1">1</definedName>
    <definedName name="solver_rel1" localSheetId="60" hidden="1">1</definedName>
    <definedName name="solver_rel1" localSheetId="50" hidden="1">1</definedName>
    <definedName name="solver_rel1" localSheetId="6" hidden="1">1</definedName>
    <definedName name="solver_rel1" localSheetId="38" hidden="1">3</definedName>
    <definedName name="solver_rel1" localSheetId="39" hidden="1">3</definedName>
    <definedName name="solver_rel1" localSheetId="30" hidden="1">1</definedName>
    <definedName name="solver_rel1" localSheetId="55" hidden="1">1</definedName>
    <definedName name="solver_rel1" localSheetId="36" hidden="1">3</definedName>
    <definedName name="solver_rel1" localSheetId="51" hidden="1">2</definedName>
    <definedName name="solver_rel1" localSheetId="52" hidden="1">2</definedName>
    <definedName name="solver_rel1" localSheetId="58" hidden="1">1</definedName>
    <definedName name="solver_rel1" localSheetId="59" hidden="1">1</definedName>
    <definedName name="solver_rel1" localSheetId="4" hidden="1">1</definedName>
    <definedName name="solver_rel1" localSheetId="3" hidden="1">1</definedName>
    <definedName name="solver_rel1" localSheetId="33" hidden="1">3</definedName>
    <definedName name="solver_rel1" localSheetId="56" hidden="1">1</definedName>
    <definedName name="solver_rel1" localSheetId="13" hidden="1">1</definedName>
    <definedName name="solver_rel1" localSheetId="9" hidden="1">1</definedName>
    <definedName name="solver_rel1" localSheetId="29" hidden="1">1</definedName>
    <definedName name="solver_rel1" localSheetId="45" hidden="1">3</definedName>
    <definedName name="solver_rel1" localSheetId="41" hidden="1">3</definedName>
    <definedName name="solver_rel1" localSheetId="57" hidden="1">1</definedName>
    <definedName name="solver_rel10" localSheetId="61" hidden="1">1</definedName>
    <definedName name="solver_rel100" localSheetId="61" hidden="1">1</definedName>
    <definedName name="solver_rel101" localSheetId="61" hidden="1">3</definedName>
    <definedName name="solver_rel102" localSheetId="61" hidden="1">2</definedName>
    <definedName name="solver_rel103" localSheetId="61" hidden="1">1</definedName>
    <definedName name="solver_rel104" localSheetId="61" hidden="1">3</definedName>
    <definedName name="solver_rel105" localSheetId="61" hidden="1">2</definedName>
    <definedName name="solver_rel106" localSheetId="61" hidden="1">1</definedName>
    <definedName name="solver_rel107" localSheetId="61" hidden="1">3</definedName>
    <definedName name="solver_rel108" localSheetId="61" hidden="1">2</definedName>
    <definedName name="solver_rel109" localSheetId="61" hidden="1">1</definedName>
    <definedName name="solver_rel11" localSheetId="61" hidden="1">3</definedName>
    <definedName name="solver_rel110" localSheetId="61" hidden="1">3</definedName>
    <definedName name="solver_rel111" localSheetId="61" hidden="1">2</definedName>
    <definedName name="solver_rel112" localSheetId="61" hidden="1">1</definedName>
    <definedName name="solver_rel113" localSheetId="61" hidden="1">3</definedName>
    <definedName name="solver_rel114" localSheetId="61" hidden="1">2</definedName>
    <definedName name="solver_rel115" localSheetId="61" hidden="1">1</definedName>
    <definedName name="solver_rel116" localSheetId="61" hidden="1">3</definedName>
    <definedName name="solver_rel117" localSheetId="61" hidden="1">2</definedName>
    <definedName name="solver_rel118" localSheetId="61" hidden="1">1</definedName>
    <definedName name="solver_rel119" localSheetId="61" hidden="1">3</definedName>
    <definedName name="solver_rel12" localSheetId="61" hidden="1">2</definedName>
    <definedName name="solver_rel120" localSheetId="61" hidden="1">2</definedName>
    <definedName name="solver_rel121" localSheetId="61" hidden="1">1</definedName>
    <definedName name="solver_rel122" localSheetId="61" hidden="1">3</definedName>
    <definedName name="solver_rel123" localSheetId="61" hidden="1">2</definedName>
    <definedName name="solver_rel124" localSheetId="61" hidden="1">1</definedName>
    <definedName name="solver_rel125" localSheetId="61" hidden="1">3</definedName>
    <definedName name="solver_rel126" localSheetId="61" hidden="1">2</definedName>
    <definedName name="solver_rel127" localSheetId="61" hidden="1">1</definedName>
    <definedName name="solver_rel128" localSheetId="61" hidden="1">3</definedName>
    <definedName name="solver_rel129" localSheetId="61" hidden="1">2</definedName>
    <definedName name="solver_rel13" localSheetId="61" hidden="1">1</definedName>
    <definedName name="solver_rel130" localSheetId="61" hidden="1">1</definedName>
    <definedName name="solver_rel131" localSheetId="61" hidden="1">3</definedName>
    <definedName name="solver_rel132" localSheetId="61" hidden="1">2</definedName>
    <definedName name="solver_rel133" localSheetId="61" hidden="1">1</definedName>
    <definedName name="solver_rel134" localSheetId="61" hidden="1">3</definedName>
    <definedName name="solver_rel135" localSheetId="61" hidden="1">2</definedName>
    <definedName name="solver_rel136" localSheetId="61" hidden="1">1</definedName>
    <definedName name="solver_rel137" localSheetId="61" hidden="1">3</definedName>
    <definedName name="solver_rel138" localSheetId="61" hidden="1">2</definedName>
    <definedName name="solver_rel139" localSheetId="61" hidden="1">1</definedName>
    <definedName name="solver_rel14" localSheetId="61" hidden="1">3</definedName>
    <definedName name="solver_rel140" localSheetId="61" hidden="1">3</definedName>
    <definedName name="solver_rel141" localSheetId="61" hidden="1">2</definedName>
    <definedName name="solver_rel142" localSheetId="61" hidden="1">1</definedName>
    <definedName name="solver_rel143" localSheetId="61" hidden="1">3</definedName>
    <definedName name="solver_rel144" localSheetId="61" hidden="1">2</definedName>
    <definedName name="solver_rel145" localSheetId="61" hidden="1">1</definedName>
    <definedName name="solver_rel146" localSheetId="61" hidden="1">3</definedName>
    <definedName name="solver_rel147" localSheetId="61" hidden="1">2</definedName>
    <definedName name="solver_rel148" localSheetId="61" hidden="1">1</definedName>
    <definedName name="solver_rel149" localSheetId="61" hidden="1">3</definedName>
    <definedName name="solver_rel15" localSheetId="61" hidden="1">2</definedName>
    <definedName name="solver_rel150" localSheetId="61" hidden="1">2</definedName>
    <definedName name="solver_rel151" localSheetId="61" hidden="1">1</definedName>
    <definedName name="solver_rel152" localSheetId="61" hidden="1">3</definedName>
    <definedName name="solver_rel153" localSheetId="61" hidden="1">2</definedName>
    <definedName name="solver_rel154" localSheetId="61" hidden="1">1</definedName>
    <definedName name="solver_rel155" localSheetId="61" hidden="1">3</definedName>
    <definedName name="solver_rel156" localSheetId="61" hidden="1">2</definedName>
    <definedName name="solver_rel157" localSheetId="61" hidden="1">1</definedName>
    <definedName name="solver_rel158" localSheetId="61" hidden="1">3</definedName>
    <definedName name="solver_rel159" localSheetId="61" hidden="1">2</definedName>
    <definedName name="solver_rel16" localSheetId="61" hidden="1">1</definedName>
    <definedName name="solver_rel160" localSheetId="61" hidden="1">1</definedName>
    <definedName name="solver_rel161" localSheetId="61" hidden="1">3</definedName>
    <definedName name="solver_rel162" localSheetId="61" hidden="1">2</definedName>
    <definedName name="solver_rel163" localSheetId="61" hidden="1">1</definedName>
    <definedName name="solver_rel164" localSheetId="61" hidden="1">3</definedName>
    <definedName name="solver_rel165" localSheetId="61" hidden="1">2</definedName>
    <definedName name="solver_rel166" localSheetId="61" hidden="1">1</definedName>
    <definedName name="solver_rel167" localSheetId="61" hidden="1">3</definedName>
    <definedName name="solver_rel168" localSheetId="61" hidden="1">2</definedName>
    <definedName name="solver_rel169" localSheetId="61" hidden="1">1</definedName>
    <definedName name="solver_rel17" localSheetId="61" hidden="1">3</definedName>
    <definedName name="solver_rel170" localSheetId="61" hidden="1">3</definedName>
    <definedName name="solver_rel171" localSheetId="61" hidden="1">2</definedName>
    <definedName name="solver_rel172" localSheetId="61" hidden="1">1</definedName>
    <definedName name="solver_rel173" localSheetId="61" hidden="1">3</definedName>
    <definedName name="solver_rel174" localSheetId="61" hidden="1">2</definedName>
    <definedName name="solver_rel175" localSheetId="61" hidden="1">1</definedName>
    <definedName name="solver_rel176" localSheetId="61" hidden="1">3</definedName>
    <definedName name="solver_rel177" localSheetId="61" hidden="1">2</definedName>
    <definedName name="solver_rel178" localSheetId="61" hidden="1">1</definedName>
    <definedName name="solver_rel179" localSheetId="61" hidden="1">3</definedName>
    <definedName name="solver_rel18" localSheetId="61" hidden="1">2</definedName>
    <definedName name="solver_rel180" localSheetId="61" hidden="1">2</definedName>
    <definedName name="solver_rel181" localSheetId="61" hidden="1">1</definedName>
    <definedName name="solver_rel182" localSheetId="61" hidden="1">3</definedName>
    <definedName name="solver_rel183" localSheetId="61" hidden="1">2</definedName>
    <definedName name="solver_rel184" localSheetId="61" hidden="1">1</definedName>
    <definedName name="solver_rel185" localSheetId="61" hidden="1">3</definedName>
    <definedName name="solver_rel186" localSheetId="61" hidden="1">2</definedName>
    <definedName name="solver_rel187" localSheetId="61" hidden="1">1</definedName>
    <definedName name="solver_rel188" localSheetId="61" hidden="1">3</definedName>
    <definedName name="solver_rel189" localSheetId="61" hidden="1">2</definedName>
    <definedName name="solver_rel19" localSheetId="61" hidden="1">1</definedName>
    <definedName name="solver_rel190" localSheetId="61" hidden="1">1</definedName>
    <definedName name="solver_rel191" localSheetId="61" hidden="1">3</definedName>
    <definedName name="solver_rel192" localSheetId="61" hidden="1">2</definedName>
    <definedName name="solver_rel193" localSheetId="61" hidden="1">1</definedName>
    <definedName name="solver_rel194" localSheetId="61" hidden="1">3</definedName>
    <definedName name="solver_rel195" localSheetId="61" hidden="1">2</definedName>
    <definedName name="solver_rel196" localSheetId="61" hidden="1">1</definedName>
    <definedName name="solver_rel197" localSheetId="61" hidden="1">3</definedName>
    <definedName name="solver_rel198" localSheetId="61" hidden="1">2</definedName>
    <definedName name="solver_rel199" localSheetId="61" hidden="1">1</definedName>
    <definedName name="solver_rel2" localSheetId="75" hidden="1">3</definedName>
    <definedName name="solver_rel2" localSheetId="23" hidden="1">3</definedName>
    <definedName name="solver_rel2" localSheetId="35" hidden="1">3</definedName>
    <definedName name="solver_rel2" localSheetId="20" hidden="1">3</definedName>
    <definedName name="solver_rel2" localSheetId="34" hidden="1">3</definedName>
    <definedName name="solver_rel2" localSheetId="8" hidden="1">3</definedName>
    <definedName name="solver_rel2" localSheetId="7" hidden="1">3</definedName>
    <definedName name="solver_rel2" localSheetId="47" hidden="1">3</definedName>
    <definedName name="solver_rel2" localSheetId="21" hidden="1">3</definedName>
    <definedName name="solver_rel2" localSheetId="22" hidden="1">1</definedName>
    <definedName name="solver_rel2" localSheetId="43" hidden="1">3</definedName>
    <definedName name="solver_rel2" localSheetId="40" hidden="1">3</definedName>
    <definedName name="solver_rel2" localSheetId="25" hidden="1">3</definedName>
    <definedName name="solver_rel2" localSheetId="26" hidden="1">3</definedName>
    <definedName name="solver_rel2" localSheetId="53" hidden="1">3</definedName>
    <definedName name="solver_rel2" localSheetId="32" hidden="1">3</definedName>
    <definedName name="solver_rel2" localSheetId="11" hidden="1">3</definedName>
    <definedName name="solver_rel2" localSheetId="12" hidden="1">3</definedName>
    <definedName name="solver_rel2" localSheetId="10" hidden="1">3</definedName>
    <definedName name="solver_rel2" localSheetId="24" hidden="1">3</definedName>
    <definedName name="solver_rel2" localSheetId="28" hidden="1">3</definedName>
    <definedName name="solver_rel2" localSheetId="44" hidden="1">3</definedName>
    <definedName name="solver_rel2" localSheetId="46" hidden="1">3</definedName>
    <definedName name="solver_rel2" localSheetId="74" hidden="1">2</definedName>
    <definedName name="solver_rel2" localSheetId="31" hidden="1">3</definedName>
    <definedName name="solver_rel2" localSheetId="27" hidden="1">3</definedName>
    <definedName name="solver_rel2" localSheetId="48" hidden="1">3</definedName>
    <definedName name="solver_rel2" localSheetId="5" hidden="1">5</definedName>
    <definedName name="solver_rel2" localSheetId="49" hidden="1">3</definedName>
    <definedName name="solver_rel2" localSheetId="37" hidden="1">3</definedName>
    <definedName name="solver_rel2" localSheetId="18" hidden="1">3</definedName>
    <definedName name="solver_rel2" localSheetId="19" hidden="1">3</definedName>
    <definedName name="solver_rel2" localSheetId="17" hidden="1">3</definedName>
    <definedName name="solver_rel2" localSheetId="16" hidden="1">3</definedName>
    <definedName name="solver_rel2" localSheetId="15" hidden="1">3</definedName>
    <definedName name="solver_rel2" localSheetId="14" hidden="1">3</definedName>
    <definedName name="solver_rel2" localSheetId="54" hidden="1">3</definedName>
    <definedName name="solver_rel2" localSheetId="73" hidden="1">1</definedName>
    <definedName name="solver_rel2" localSheetId="67" hidden="1">1</definedName>
    <definedName name="solver_rel2" localSheetId="69" hidden="1">1</definedName>
    <definedName name="solver_rel2" localSheetId="72" hidden="1">1</definedName>
    <definedName name="solver_rel2" localSheetId="66" hidden="1">5</definedName>
    <definedName name="solver_rel2" localSheetId="61" hidden="1">3</definedName>
    <definedName name="solver_rel2" localSheetId="64" hidden="1">4</definedName>
    <definedName name="solver_rel2" localSheetId="62" hidden="1">3</definedName>
    <definedName name="solver_rel2" localSheetId="63" hidden="1">3</definedName>
    <definedName name="solver_rel2" localSheetId="60" hidden="1">3</definedName>
    <definedName name="solver_rel2" localSheetId="50" hidden="1">3</definedName>
    <definedName name="solver_rel2" localSheetId="6" hidden="1">3</definedName>
    <definedName name="solver_rel2" localSheetId="38" hidden="1">3</definedName>
    <definedName name="solver_rel2" localSheetId="39" hidden="1">3</definedName>
    <definedName name="solver_rel2" localSheetId="30" hidden="1">3</definedName>
    <definedName name="solver_rel2" localSheetId="55" hidden="1">3</definedName>
    <definedName name="solver_rel2" localSheetId="36" hidden="1">3</definedName>
    <definedName name="solver_rel2" localSheetId="51" hidden="1">3</definedName>
    <definedName name="solver_rel2" localSheetId="52" hidden="1">3</definedName>
    <definedName name="solver_rel2" localSheetId="58" hidden="1">3</definedName>
    <definedName name="solver_rel2" localSheetId="59" hidden="1">2</definedName>
    <definedName name="solver_rel2" localSheetId="4" hidden="1">5</definedName>
    <definedName name="solver_rel2" localSheetId="3" hidden="1">3</definedName>
    <definedName name="solver_rel2" localSheetId="33" hidden="1">3</definedName>
    <definedName name="solver_rel2" localSheetId="56" hidden="1">3</definedName>
    <definedName name="solver_rel2" localSheetId="13" hidden="1">3</definedName>
    <definedName name="solver_rel2" localSheetId="9" hidden="1">3</definedName>
    <definedName name="solver_rel2" localSheetId="29" hidden="1">3</definedName>
    <definedName name="solver_rel2" localSheetId="45" hidden="1">1</definedName>
    <definedName name="solver_rel2" localSheetId="41" hidden="1">3</definedName>
    <definedName name="solver_rel2" localSheetId="57" hidden="1">5</definedName>
    <definedName name="solver_rel20" localSheetId="61" hidden="1">3</definedName>
    <definedName name="solver_rel200" localSheetId="61" hidden="1">3</definedName>
    <definedName name="solver_rel201" localSheetId="61" hidden="1">2</definedName>
    <definedName name="solver_rel202" localSheetId="61" hidden="1">1</definedName>
    <definedName name="solver_rel203" localSheetId="61" hidden="1">3</definedName>
    <definedName name="solver_rel204" localSheetId="61" hidden="1">2</definedName>
    <definedName name="solver_rel205" localSheetId="61" hidden="1">1</definedName>
    <definedName name="solver_rel206" localSheetId="61" hidden="1">3</definedName>
    <definedName name="solver_rel207" localSheetId="61" hidden="1">2</definedName>
    <definedName name="solver_rel208" localSheetId="61" hidden="1">1</definedName>
    <definedName name="solver_rel209" localSheetId="61" hidden="1">3</definedName>
    <definedName name="solver_rel21" localSheetId="61" hidden="1">2</definedName>
    <definedName name="solver_rel210" localSheetId="61" hidden="1">2</definedName>
    <definedName name="solver_rel211" localSheetId="61" hidden="1">1</definedName>
    <definedName name="solver_rel212" localSheetId="61" hidden="1">3</definedName>
    <definedName name="solver_rel213" localSheetId="61" hidden="1">2</definedName>
    <definedName name="solver_rel214" localSheetId="61" hidden="1">1</definedName>
    <definedName name="solver_rel215" localSheetId="61" hidden="1">3</definedName>
    <definedName name="solver_rel216" localSheetId="61" hidden="1">2</definedName>
    <definedName name="solver_rel217" localSheetId="61" hidden="1">1</definedName>
    <definedName name="solver_rel218" localSheetId="61" hidden="1">3</definedName>
    <definedName name="solver_rel219" localSheetId="61" hidden="1">2</definedName>
    <definedName name="solver_rel22" localSheetId="61" hidden="1">1</definedName>
    <definedName name="solver_rel220" localSheetId="61" hidden="1">1</definedName>
    <definedName name="solver_rel221" localSheetId="61" hidden="1">3</definedName>
    <definedName name="solver_rel222" localSheetId="61" hidden="1">2</definedName>
    <definedName name="solver_rel223" localSheetId="61" hidden="1">1</definedName>
    <definedName name="solver_rel224" localSheetId="61" hidden="1">3</definedName>
    <definedName name="solver_rel225" localSheetId="61" hidden="1">2</definedName>
    <definedName name="solver_rel226" localSheetId="61" hidden="1">1</definedName>
    <definedName name="solver_rel227" localSheetId="61" hidden="1">3</definedName>
    <definedName name="solver_rel228" localSheetId="61" hidden="1">2</definedName>
    <definedName name="solver_rel229" localSheetId="61" hidden="1">1</definedName>
    <definedName name="solver_rel23" localSheetId="61" hidden="1">3</definedName>
    <definedName name="solver_rel230" localSheetId="61" hidden="1">3</definedName>
    <definedName name="solver_rel231" localSheetId="61" hidden="1">2</definedName>
    <definedName name="solver_rel232" localSheetId="61" hidden="1">1</definedName>
    <definedName name="solver_rel233" localSheetId="61" hidden="1">3</definedName>
    <definedName name="solver_rel234" localSheetId="61" hidden="1">2</definedName>
    <definedName name="solver_rel235" localSheetId="61" hidden="1">1</definedName>
    <definedName name="solver_rel236" localSheetId="61" hidden="1">3</definedName>
    <definedName name="solver_rel237" localSheetId="61" hidden="1">2</definedName>
    <definedName name="solver_rel238" localSheetId="61" hidden="1">1</definedName>
    <definedName name="solver_rel239" localSheetId="61" hidden="1">3</definedName>
    <definedName name="solver_rel24" localSheetId="61" hidden="1">2</definedName>
    <definedName name="solver_rel240" localSheetId="61" hidden="1">2</definedName>
    <definedName name="solver_rel241" localSheetId="61" hidden="1">1</definedName>
    <definedName name="solver_rel242" localSheetId="61" hidden="1">3</definedName>
    <definedName name="solver_rel243" localSheetId="61" hidden="1">2</definedName>
    <definedName name="solver_rel244" localSheetId="61" hidden="1">1</definedName>
    <definedName name="solver_rel245" localSheetId="61" hidden="1">3</definedName>
    <definedName name="solver_rel246" localSheetId="61" hidden="1">2</definedName>
    <definedName name="solver_rel247" localSheetId="61" hidden="1">1</definedName>
    <definedName name="solver_rel248" localSheetId="61" hidden="1">3</definedName>
    <definedName name="solver_rel249" localSheetId="61" hidden="1">2</definedName>
    <definedName name="solver_rel25" localSheetId="61" hidden="1">1</definedName>
    <definedName name="solver_rel250" localSheetId="61" hidden="1">1</definedName>
    <definedName name="solver_rel251" localSheetId="61" hidden="1">3</definedName>
    <definedName name="solver_rel252" localSheetId="61" hidden="1">2</definedName>
    <definedName name="solver_rel253" localSheetId="61" hidden="1">1</definedName>
    <definedName name="solver_rel254" localSheetId="61" hidden="1">3</definedName>
    <definedName name="solver_rel255" localSheetId="61" hidden="1">2</definedName>
    <definedName name="solver_rel256" localSheetId="61" hidden="1">1</definedName>
    <definedName name="solver_rel257" localSheetId="61" hidden="1">3</definedName>
    <definedName name="solver_rel258" localSheetId="61" hidden="1">2</definedName>
    <definedName name="solver_rel259" localSheetId="61" hidden="1">1</definedName>
    <definedName name="solver_rel26" localSheetId="61" hidden="1">3</definedName>
    <definedName name="solver_rel260" localSheetId="61" hidden="1">3</definedName>
    <definedName name="solver_rel261" localSheetId="61" hidden="1">2</definedName>
    <definedName name="solver_rel262" localSheetId="61" hidden="1">1</definedName>
    <definedName name="solver_rel263" localSheetId="61" hidden="1">3</definedName>
    <definedName name="solver_rel264" localSheetId="61" hidden="1">2</definedName>
    <definedName name="solver_rel265" localSheetId="61" hidden="1">1</definedName>
    <definedName name="solver_rel266" localSheetId="61" hidden="1">3</definedName>
    <definedName name="solver_rel267" localSheetId="61" hidden="1">2</definedName>
    <definedName name="solver_rel268" localSheetId="61" hidden="1">1</definedName>
    <definedName name="solver_rel269" localSheetId="61" hidden="1">3</definedName>
    <definedName name="solver_rel27" localSheetId="61" hidden="1">2</definedName>
    <definedName name="solver_rel270" localSheetId="61" hidden="1">2</definedName>
    <definedName name="solver_rel271" localSheetId="61" hidden="1">1</definedName>
    <definedName name="solver_rel272" localSheetId="61" hidden="1">3</definedName>
    <definedName name="solver_rel273" localSheetId="61" hidden="1">2</definedName>
    <definedName name="solver_rel274" localSheetId="61" hidden="1">1</definedName>
    <definedName name="solver_rel275" localSheetId="61" hidden="1">3</definedName>
    <definedName name="solver_rel276" localSheetId="61" hidden="1">2</definedName>
    <definedName name="solver_rel277" localSheetId="61" hidden="1">1</definedName>
    <definedName name="solver_rel278" localSheetId="61" hidden="1">3</definedName>
    <definedName name="solver_rel279" localSheetId="61" hidden="1">2</definedName>
    <definedName name="solver_rel28" localSheetId="61" hidden="1">1</definedName>
    <definedName name="solver_rel280" localSheetId="61" hidden="1">1</definedName>
    <definedName name="solver_rel281" localSheetId="61" hidden="1">3</definedName>
    <definedName name="solver_rel282" localSheetId="61" hidden="1">2</definedName>
    <definedName name="solver_rel283" localSheetId="61" hidden="1">1</definedName>
    <definedName name="solver_rel284" localSheetId="61" hidden="1">3</definedName>
    <definedName name="solver_rel285" localSheetId="61" hidden="1">2</definedName>
    <definedName name="solver_rel286" localSheetId="61" hidden="1">1</definedName>
    <definedName name="solver_rel287" localSheetId="61" hidden="1">3</definedName>
    <definedName name="solver_rel288" localSheetId="61" hidden="1">2</definedName>
    <definedName name="solver_rel289" localSheetId="61" hidden="1">1</definedName>
    <definedName name="solver_rel29" localSheetId="61" hidden="1">3</definedName>
    <definedName name="solver_rel290" localSheetId="61" hidden="1">3</definedName>
    <definedName name="solver_rel291" localSheetId="61" hidden="1">2</definedName>
    <definedName name="solver_rel292" localSheetId="61" hidden="1">1</definedName>
    <definedName name="solver_rel293" localSheetId="61" hidden="1">3</definedName>
    <definedName name="solver_rel294" localSheetId="61" hidden="1">2</definedName>
    <definedName name="solver_rel295" localSheetId="61" hidden="1">1</definedName>
    <definedName name="solver_rel296" localSheetId="61" hidden="1">3</definedName>
    <definedName name="solver_rel297" localSheetId="61" hidden="1">2</definedName>
    <definedName name="solver_rel298" localSheetId="61" hidden="1">1</definedName>
    <definedName name="solver_rel299" localSheetId="61" hidden="1">3</definedName>
    <definedName name="solver_rel3" localSheetId="75" hidden="1">3</definedName>
    <definedName name="solver_rel3" localSheetId="23" hidden="1">1</definedName>
    <definedName name="solver_rel3" localSheetId="35" hidden="1">5</definedName>
    <definedName name="solver_rel3" localSheetId="20" hidden="1">1</definedName>
    <definedName name="solver_rel3" localSheetId="34" hidden="1">5</definedName>
    <definedName name="solver_rel3" localSheetId="8" hidden="1">2</definedName>
    <definedName name="solver_rel3" localSheetId="7" hidden="1">2</definedName>
    <definedName name="solver_rel3" localSheetId="47" hidden="1">1</definedName>
    <definedName name="solver_rel3" localSheetId="21" hidden="1">1</definedName>
    <definedName name="solver_rel3" localSheetId="22" hidden="1">1</definedName>
    <definedName name="solver_rel3" localSheetId="25" hidden="1">1</definedName>
    <definedName name="solver_rel3" localSheetId="26" hidden="1">1</definedName>
    <definedName name="solver_rel3" localSheetId="53" hidden="1">1</definedName>
    <definedName name="solver_rel3" localSheetId="11" hidden="1">2</definedName>
    <definedName name="solver_rel3" localSheetId="12" hidden="1">2</definedName>
    <definedName name="solver_rel3" localSheetId="10" hidden="1">2</definedName>
    <definedName name="solver_rel3" localSheetId="24" hidden="1">2</definedName>
    <definedName name="solver_rel3" localSheetId="28" hidden="1">3</definedName>
    <definedName name="solver_rel3" localSheetId="46" hidden="1">1</definedName>
    <definedName name="solver_rel3" localSheetId="74" hidden="1">3</definedName>
    <definedName name="solver_rel3" localSheetId="31" hidden="1">2</definedName>
    <definedName name="solver_rel3" localSheetId="27" hidden="1">2</definedName>
    <definedName name="solver_rel3" localSheetId="48" hidden="1">1</definedName>
    <definedName name="solver_rel3" localSheetId="49" hidden="1">2</definedName>
    <definedName name="solver_rel3" localSheetId="18" hidden="1">2</definedName>
    <definedName name="solver_rel3" localSheetId="19" hidden="1">2</definedName>
    <definedName name="solver_rel3" localSheetId="17" hidden="1">2</definedName>
    <definedName name="solver_rel3" localSheetId="16" hidden="1">2</definedName>
    <definedName name="solver_rel3" localSheetId="15" hidden="1">2</definedName>
    <definedName name="solver_rel3" localSheetId="14" hidden="1">2</definedName>
    <definedName name="solver_rel3" localSheetId="54" hidden="1">1</definedName>
    <definedName name="solver_rel3" localSheetId="67" hidden="1">3</definedName>
    <definedName name="solver_rel3" localSheetId="72" hidden="1">3</definedName>
    <definedName name="solver_rel3" localSheetId="61" hidden="1">2</definedName>
    <definedName name="solver_rel3" localSheetId="62" hidden="1">2</definedName>
    <definedName name="solver_rel3" localSheetId="63" hidden="1">1</definedName>
    <definedName name="solver_rel3" localSheetId="60" hidden="1">2</definedName>
    <definedName name="solver_rel3" localSheetId="50" hidden="1">2</definedName>
    <definedName name="solver_rel3" localSheetId="6" hidden="1">2</definedName>
    <definedName name="solver_rel3" localSheetId="30" hidden="1">2</definedName>
    <definedName name="solver_rel3" localSheetId="36" hidden="1">5</definedName>
    <definedName name="solver_rel3" localSheetId="51" hidden="1">1</definedName>
    <definedName name="solver_rel3" localSheetId="52" hidden="1">1</definedName>
    <definedName name="solver_rel3" localSheetId="58" hidden="1">1</definedName>
    <definedName name="solver_rel3" localSheetId="59" hidden="1">2</definedName>
    <definedName name="solver_rel3" localSheetId="3" hidden="1">2</definedName>
    <definedName name="solver_rel3" localSheetId="56" hidden="1">2</definedName>
    <definedName name="solver_rel3" localSheetId="13" hidden="1">2</definedName>
    <definedName name="solver_rel3" localSheetId="9" hidden="1">2</definedName>
    <definedName name="solver_rel3" localSheetId="29" hidden="1">2</definedName>
    <definedName name="solver_rel30" localSheetId="61" hidden="1">2</definedName>
    <definedName name="solver_rel300" localSheetId="61" hidden="1">2</definedName>
    <definedName name="solver_rel301" localSheetId="61" hidden="1">1</definedName>
    <definedName name="solver_rel302" localSheetId="61" hidden="1">3</definedName>
    <definedName name="solver_rel303" localSheetId="61" hidden="1">2</definedName>
    <definedName name="solver_rel304" localSheetId="61" hidden="1">1</definedName>
    <definedName name="solver_rel305" localSheetId="61" hidden="1">3</definedName>
    <definedName name="solver_rel306" localSheetId="61" hidden="1">2</definedName>
    <definedName name="solver_rel307" localSheetId="61" hidden="1">1</definedName>
    <definedName name="solver_rel308" localSheetId="61" hidden="1">3</definedName>
    <definedName name="solver_rel309" localSheetId="61" hidden="1">2</definedName>
    <definedName name="solver_rel31" localSheetId="61" hidden="1">1</definedName>
    <definedName name="solver_rel310" localSheetId="61" hidden="1">1</definedName>
    <definedName name="solver_rel311" localSheetId="61" hidden="1">3</definedName>
    <definedName name="solver_rel312" localSheetId="61" hidden="1">2</definedName>
    <definedName name="solver_rel313" localSheetId="61" hidden="1">1</definedName>
    <definedName name="solver_rel314" localSheetId="61" hidden="1">3</definedName>
    <definedName name="solver_rel315" localSheetId="61" hidden="1">2</definedName>
    <definedName name="solver_rel316" localSheetId="61" hidden="1">1</definedName>
    <definedName name="solver_rel317" localSheetId="61" hidden="1">3</definedName>
    <definedName name="solver_rel318" localSheetId="61" hidden="1">2</definedName>
    <definedName name="solver_rel319" localSheetId="61" hidden="1">1</definedName>
    <definedName name="solver_rel32" localSheetId="61" hidden="1">3</definedName>
    <definedName name="solver_rel320" localSheetId="61" hidden="1">3</definedName>
    <definedName name="solver_rel321" localSheetId="61" hidden="1">2</definedName>
    <definedName name="solver_rel322" localSheetId="61" hidden="1">1</definedName>
    <definedName name="solver_rel323" localSheetId="61" hidden="1">3</definedName>
    <definedName name="solver_rel324" localSheetId="61" hidden="1">2</definedName>
    <definedName name="solver_rel325" localSheetId="61" hidden="1">1</definedName>
    <definedName name="solver_rel326" localSheetId="61" hidden="1">3</definedName>
    <definedName name="solver_rel327" localSheetId="61" hidden="1">2</definedName>
    <definedName name="solver_rel328" localSheetId="61" hidden="1">1</definedName>
    <definedName name="solver_rel329" localSheetId="61" hidden="1">3</definedName>
    <definedName name="solver_rel33" localSheetId="61" hidden="1">2</definedName>
    <definedName name="solver_rel330" localSheetId="61" hidden="1">2</definedName>
    <definedName name="solver_rel331" localSheetId="61" hidden="1">1</definedName>
    <definedName name="solver_rel332" localSheetId="61" hidden="1">3</definedName>
    <definedName name="solver_rel333" localSheetId="61" hidden="1">2</definedName>
    <definedName name="solver_rel334" localSheetId="61" hidden="1">1</definedName>
    <definedName name="solver_rel335" localSheetId="61" hidden="1">3</definedName>
    <definedName name="solver_rel336" localSheetId="61" hidden="1">2</definedName>
    <definedName name="solver_rel337" localSheetId="61" hidden="1">1</definedName>
    <definedName name="solver_rel338" localSheetId="61" hidden="1">3</definedName>
    <definedName name="solver_rel339" localSheetId="61" hidden="1">2</definedName>
    <definedName name="solver_rel34" localSheetId="61" hidden="1">1</definedName>
    <definedName name="solver_rel340" localSheetId="61" hidden="1">1</definedName>
    <definedName name="solver_rel341" localSheetId="61" hidden="1">3</definedName>
    <definedName name="solver_rel342" localSheetId="61" hidden="1">2</definedName>
    <definedName name="solver_rel343" localSheetId="61" hidden="1">1</definedName>
    <definedName name="solver_rel344" localSheetId="61" hidden="1">3</definedName>
    <definedName name="solver_rel345" localSheetId="61" hidden="1">2</definedName>
    <definedName name="solver_rel346" localSheetId="61" hidden="1">1</definedName>
    <definedName name="solver_rel347" localSheetId="61" hidden="1">3</definedName>
    <definedName name="solver_rel348" localSheetId="61" hidden="1">2</definedName>
    <definedName name="solver_rel349" localSheetId="61" hidden="1">1</definedName>
    <definedName name="solver_rel35" localSheetId="61" hidden="1">3</definedName>
    <definedName name="solver_rel350" localSheetId="61" hidden="1">3</definedName>
    <definedName name="solver_rel351" localSheetId="61" hidden="1">2</definedName>
    <definedName name="solver_rel352" localSheetId="61" hidden="1">1</definedName>
    <definedName name="solver_rel353" localSheetId="61" hidden="1">3</definedName>
    <definedName name="solver_rel354" localSheetId="61" hidden="1">2</definedName>
    <definedName name="solver_rel355" localSheetId="61" hidden="1">1</definedName>
    <definedName name="solver_rel356" localSheetId="61" hidden="1">3</definedName>
    <definedName name="solver_rel357" localSheetId="61" hidden="1">2</definedName>
    <definedName name="solver_rel358" localSheetId="61" hidden="1">1</definedName>
    <definedName name="solver_rel359" localSheetId="61" hidden="1">3</definedName>
    <definedName name="solver_rel36" localSheetId="61" hidden="1">2</definedName>
    <definedName name="solver_rel360" localSheetId="61" hidden="1">2</definedName>
    <definedName name="solver_rel361" localSheetId="61" hidden="1">1</definedName>
    <definedName name="solver_rel362" localSheetId="61" hidden="1">3</definedName>
    <definedName name="solver_rel363" localSheetId="61" hidden="1">2</definedName>
    <definedName name="solver_rel364" localSheetId="61" hidden="1">1</definedName>
    <definedName name="solver_rel365" localSheetId="61" hidden="1">3</definedName>
    <definedName name="solver_rel366" localSheetId="61" hidden="1">2</definedName>
    <definedName name="solver_rel367" localSheetId="61" hidden="1">1</definedName>
    <definedName name="solver_rel368" localSheetId="61" hidden="1">3</definedName>
    <definedName name="solver_rel369" localSheetId="61" hidden="1">2</definedName>
    <definedName name="solver_rel37" localSheetId="61" hidden="1">1</definedName>
    <definedName name="solver_rel370" localSheetId="61" hidden="1">1</definedName>
    <definedName name="solver_rel371" localSheetId="61" hidden="1">3</definedName>
    <definedName name="solver_rel372" localSheetId="61" hidden="1">2</definedName>
    <definedName name="solver_rel373" localSheetId="61" hidden="1">1</definedName>
    <definedName name="solver_rel374" localSheetId="61" hidden="1">3</definedName>
    <definedName name="solver_rel375" localSheetId="61" hidden="1">2</definedName>
    <definedName name="solver_rel376" localSheetId="61" hidden="1">1</definedName>
    <definedName name="solver_rel377" localSheetId="61" hidden="1">3</definedName>
    <definedName name="solver_rel378" localSheetId="61" hidden="1">2</definedName>
    <definedName name="solver_rel379" localSheetId="61" hidden="1">1</definedName>
    <definedName name="solver_rel38" localSheetId="61" hidden="1">3</definedName>
    <definedName name="solver_rel380" localSheetId="61" hidden="1">3</definedName>
    <definedName name="solver_rel381" localSheetId="61" hidden="1">2</definedName>
    <definedName name="solver_rel382" localSheetId="61" hidden="1">1</definedName>
    <definedName name="solver_rel383" localSheetId="61" hidden="1">3</definedName>
    <definedName name="solver_rel384" localSheetId="61" hidden="1">2</definedName>
    <definedName name="solver_rel385" localSheetId="61" hidden="1">1</definedName>
    <definedName name="solver_rel386" localSheetId="61" hidden="1">3</definedName>
    <definedName name="solver_rel387" localSheetId="61" hidden="1">2</definedName>
    <definedName name="solver_rel388" localSheetId="61" hidden="1">1</definedName>
    <definedName name="solver_rel389" localSheetId="61" hidden="1">3</definedName>
    <definedName name="solver_rel39" localSheetId="61" hidden="1">2</definedName>
    <definedName name="solver_rel390" localSheetId="61" hidden="1">2</definedName>
    <definedName name="solver_rel391" localSheetId="61" hidden="1">1</definedName>
    <definedName name="solver_rel392" localSheetId="61" hidden="1">3</definedName>
    <definedName name="solver_rel393" localSheetId="61" hidden="1">2</definedName>
    <definedName name="solver_rel394" localSheetId="61" hidden="1">1</definedName>
    <definedName name="solver_rel395" localSheetId="61" hidden="1">3</definedName>
    <definedName name="solver_rel396" localSheetId="61" hidden="1">2</definedName>
    <definedName name="solver_rel397" localSheetId="61" hidden="1">1</definedName>
    <definedName name="solver_rel398" localSheetId="61" hidden="1">3</definedName>
    <definedName name="solver_rel399" localSheetId="61" hidden="1">2</definedName>
    <definedName name="solver_rel4" localSheetId="75" hidden="1">3</definedName>
    <definedName name="solver_rel4" localSheetId="35" hidden="1">4</definedName>
    <definedName name="solver_rel4" localSheetId="20" hidden="1">5</definedName>
    <definedName name="solver_rel4" localSheetId="47" hidden="1">5</definedName>
    <definedName name="solver_rel4" localSheetId="21" hidden="1">5</definedName>
    <definedName name="solver_rel4" localSheetId="22" hidden="1">5</definedName>
    <definedName name="solver_rel4" localSheetId="25" hidden="1">1</definedName>
    <definedName name="solver_rel4" localSheetId="31" hidden="1">3</definedName>
    <definedName name="solver_rel4" localSheetId="48" hidden="1">1</definedName>
    <definedName name="solver_rel4" localSheetId="54" hidden="1">2</definedName>
    <definedName name="solver_rel4" localSheetId="67" hidden="1">1</definedName>
    <definedName name="solver_rel4" localSheetId="72" hidden="1">1</definedName>
    <definedName name="solver_rel4" localSheetId="61" hidden="1">1</definedName>
    <definedName name="solver_rel4" localSheetId="36" hidden="1">4</definedName>
    <definedName name="solver_rel4" localSheetId="58" hidden="1">2</definedName>
    <definedName name="solver_rel4" localSheetId="59" hidden="1">3</definedName>
    <definedName name="solver_rel4" localSheetId="57" hidden="1">4</definedName>
    <definedName name="solver_rel40" localSheetId="61" hidden="1">1</definedName>
    <definedName name="solver_rel400" localSheetId="61" hidden="1">1</definedName>
    <definedName name="solver_rel401" localSheetId="61" hidden="1">3</definedName>
    <definedName name="solver_rel402" localSheetId="61" hidden="1">2</definedName>
    <definedName name="solver_rel403" localSheetId="61" hidden="1">1</definedName>
    <definedName name="solver_rel404" localSheetId="61" hidden="1">3</definedName>
    <definedName name="solver_rel405" localSheetId="61" hidden="1">2</definedName>
    <definedName name="solver_rel406" localSheetId="61" hidden="1">1</definedName>
    <definedName name="solver_rel407" localSheetId="61" hidden="1">3</definedName>
    <definedName name="solver_rel408" localSheetId="61" hidden="1">2</definedName>
    <definedName name="solver_rel409" localSheetId="61" hidden="1">1</definedName>
    <definedName name="solver_rel41" localSheetId="61" hidden="1">3</definedName>
    <definedName name="solver_rel410" localSheetId="61" hidden="1">3</definedName>
    <definedName name="solver_rel411" localSheetId="61" hidden="1">2</definedName>
    <definedName name="solver_rel412" localSheetId="61" hidden="1">1</definedName>
    <definedName name="solver_rel413" localSheetId="61" hidden="1">3</definedName>
    <definedName name="solver_rel414" localSheetId="61" hidden="1">2</definedName>
    <definedName name="solver_rel415" localSheetId="61" hidden="1">1</definedName>
    <definedName name="solver_rel416" localSheetId="61" hidden="1">3</definedName>
    <definedName name="solver_rel417" localSheetId="61" hidden="1">2</definedName>
    <definedName name="solver_rel418" localSheetId="61" hidden="1">1</definedName>
    <definedName name="solver_rel419" localSheetId="61" hidden="1">3</definedName>
    <definedName name="solver_rel42" localSheetId="61" hidden="1">2</definedName>
    <definedName name="solver_rel420" localSheetId="61" hidden="1">2</definedName>
    <definedName name="solver_rel421" localSheetId="61" hidden="1">1</definedName>
    <definedName name="solver_rel422" localSheetId="61" hidden="1">3</definedName>
    <definedName name="solver_rel423" localSheetId="61" hidden="1">2</definedName>
    <definedName name="solver_rel424" localSheetId="61" hidden="1">1</definedName>
    <definedName name="solver_rel425" localSheetId="61" hidden="1">3</definedName>
    <definedName name="solver_rel426" localSheetId="61" hidden="1">2</definedName>
    <definedName name="solver_rel427" localSheetId="61" hidden="1">1</definedName>
    <definedName name="solver_rel428" localSheetId="61" hidden="1">3</definedName>
    <definedName name="solver_rel429" localSheetId="61" hidden="1">2</definedName>
    <definedName name="solver_rel43" localSheetId="61" hidden="1">1</definedName>
    <definedName name="solver_rel430" localSheetId="61" hidden="1">1</definedName>
    <definedName name="solver_rel431" localSheetId="61" hidden="1">3</definedName>
    <definedName name="solver_rel432" localSheetId="61" hidden="1">2</definedName>
    <definedName name="solver_rel433" localSheetId="61" hidden="1">1</definedName>
    <definedName name="solver_rel434" localSheetId="61" hidden="1">3</definedName>
    <definedName name="solver_rel435" localSheetId="61" hidden="1">2</definedName>
    <definedName name="solver_rel436" localSheetId="61" hidden="1">1</definedName>
    <definedName name="solver_rel437" localSheetId="61" hidden="1">3</definedName>
    <definedName name="solver_rel438" localSheetId="61" hidden="1">2</definedName>
    <definedName name="solver_rel439" localSheetId="61" hidden="1">1</definedName>
    <definedName name="solver_rel44" localSheetId="61" hidden="1">3</definedName>
    <definedName name="solver_rel440" localSheetId="61" hidden="1">3</definedName>
    <definedName name="solver_rel441" localSheetId="61" hidden="1">2</definedName>
    <definedName name="solver_rel442" localSheetId="61" hidden="1">1</definedName>
    <definedName name="solver_rel443" localSheetId="61" hidden="1">3</definedName>
    <definedName name="solver_rel444" localSheetId="61" hidden="1">2</definedName>
    <definedName name="solver_rel445" localSheetId="61" hidden="1">1</definedName>
    <definedName name="solver_rel446" localSheetId="61" hidden="1">3</definedName>
    <definedName name="solver_rel447" localSheetId="61" hidden="1">2</definedName>
    <definedName name="solver_rel448" localSheetId="61" hidden="1">1</definedName>
    <definedName name="solver_rel449" localSheetId="61" hidden="1">3</definedName>
    <definedName name="solver_rel45" localSheetId="61" hidden="1">2</definedName>
    <definedName name="solver_rel450" localSheetId="61" hidden="1">2</definedName>
    <definedName name="solver_rel451" localSheetId="61" hidden="1">1</definedName>
    <definedName name="solver_rel452" localSheetId="61" hidden="1">3</definedName>
    <definedName name="solver_rel453" localSheetId="61" hidden="1">2</definedName>
    <definedName name="solver_rel454" localSheetId="61" hidden="1">1</definedName>
    <definedName name="solver_rel455" localSheetId="61" hidden="1">3</definedName>
    <definedName name="solver_rel456" localSheetId="61" hidden="1">2</definedName>
    <definedName name="solver_rel457" localSheetId="61" hidden="1">1</definedName>
    <definedName name="solver_rel458" localSheetId="61" hidden="1">3</definedName>
    <definedName name="solver_rel459" localSheetId="61" hidden="1">2</definedName>
    <definedName name="solver_rel46" localSheetId="61" hidden="1">1</definedName>
    <definedName name="solver_rel460" localSheetId="61" hidden="1">1</definedName>
    <definedName name="solver_rel461" localSheetId="61" hidden="1">3</definedName>
    <definedName name="solver_rel462" localSheetId="61" hidden="1">2</definedName>
    <definedName name="solver_rel463" localSheetId="61" hidden="1">1</definedName>
    <definedName name="solver_rel464" localSheetId="61" hidden="1">3</definedName>
    <definedName name="solver_rel465" localSheetId="61" hidden="1">2</definedName>
    <definedName name="solver_rel466" localSheetId="61" hidden="1">1</definedName>
    <definedName name="solver_rel467" localSheetId="61" hidden="1">3</definedName>
    <definedName name="solver_rel468" localSheetId="61" hidden="1">2</definedName>
    <definedName name="solver_rel469" localSheetId="61" hidden="1">1</definedName>
    <definedName name="solver_rel47" localSheetId="61" hidden="1">3</definedName>
    <definedName name="solver_rel470" localSheetId="61" hidden="1">3</definedName>
    <definedName name="solver_rel471" localSheetId="61" hidden="1">2</definedName>
    <definedName name="solver_rel472" localSheetId="61" hidden="1">1</definedName>
    <definedName name="solver_rel473" localSheetId="61" hidden="1">3</definedName>
    <definedName name="solver_rel474" localSheetId="61" hidden="1">2</definedName>
    <definedName name="solver_rel475" localSheetId="61" hidden="1">1</definedName>
    <definedName name="solver_rel476" localSheetId="61" hidden="1">3</definedName>
    <definedName name="solver_rel477" localSheetId="61" hidden="1">2</definedName>
    <definedName name="solver_rel478" localSheetId="61" hidden="1">1</definedName>
    <definedName name="solver_rel479" localSheetId="61" hidden="1">3</definedName>
    <definedName name="solver_rel48" localSheetId="61" hidden="1">2</definedName>
    <definedName name="solver_rel480" localSheetId="61" hidden="1">2</definedName>
    <definedName name="solver_rel481" localSheetId="61" hidden="1">1</definedName>
    <definedName name="solver_rel482" localSheetId="61" hidden="1">3</definedName>
    <definedName name="solver_rel483" localSheetId="61" hidden="1">2</definedName>
    <definedName name="solver_rel484" localSheetId="61" hidden="1">1</definedName>
    <definedName name="solver_rel485" localSheetId="61" hidden="1">3</definedName>
    <definedName name="solver_rel486" localSheetId="61" hidden="1">2</definedName>
    <definedName name="solver_rel487" localSheetId="61" hidden="1">1</definedName>
    <definedName name="solver_rel488" localSheetId="61" hidden="1">3</definedName>
    <definedName name="solver_rel489" localSheetId="61" hidden="1">2</definedName>
    <definedName name="solver_rel49" localSheetId="61" hidden="1">1</definedName>
    <definedName name="solver_rel490" localSheetId="61" hidden="1">1</definedName>
    <definedName name="solver_rel491" localSheetId="61" hidden="1">3</definedName>
    <definedName name="solver_rel492" localSheetId="61" hidden="1">2</definedName>
    <definedName name="solver_rel493" localSheetId="61" hidden="1">1</definedName>
    <definedName name="solver_rel494" localSheetId="61" hidden="1">3</definedName>
    <definedName name="solver_rel495" localSheetId="61" hidden="1">2</definedName>
    <definedName name="solver_rel496" localSheetId="61" hidden="1">1</definedName>
    <definedName name="solver_rel497" localSheetId="61" hidden="1">3</definedName>
    <definedName name="solver_rel498" localSheetId="61" hidden="1">2</definedName>
    <definedName name="solver_rel499" localSheetId="61" hidden="1">1</definedName>
    <definedName name="solver_rel5" localSheetId="75" hidden="1">4</definedName>
    <definedName name="solver_rel5" localSheetId="20" hidden="1">4</definedName>
    <definedName name="solver_rel5" localSheetId="47" hidden="1">4</definedName>
    <definedName name="solver_rel5" localSheetId="21" hidden="1">4</definedName>
    <definedName name="solver_rel5" localSheetId="22" hidden="1">4</definedName>
    <definedName name="solver_rel5" localSheetId="31" hidden="1">1</definedName>
    <definedName name="solver_rel5" localSheetId="67" hidden="1">4</definedName>
    <definedName name="solver_rel5" localSheetId="61" hidden="1">3</definedName>
    <definedName name="solver_rel5" localSheetId="57" hidden="1">1</definedName>
    <definedName name="solver_rel50" localSheetId="61" hidden="1">3</definedName>
    <definedName name="solver_rel500" localSheetId="61" hidden="1">3</definedName>
    <definedName name="solver_rel501" localSheetId="61" hidden="1">2</definedName>
    <definedName name="solver_rel502" localSheetId="61" hidden="1">1</definedName>
    <definedName name="solver_rel503" localSheetId="61" hidden="1">3</definedName>
    <definedName name="solver_rel504" localSheetId="61" hidden="1">2</definedName>
    <definedName name="solver_rel505" localSheetId="61" hidden="1">1</definedName>
    <definedName name="solver_rel506" localSheetId="61" hidden="1">3</definedName>
    <definedName name="solver_rel507" localSheetId="61" hidden="1">2</definedName>
    <definedName name="solver_rel508" localSheetId="61" hidden="1">1</definedName>
    <definedName name="solver_rel509" localSheetId="61" hidden="1">3</definedName>
    <definedName name="solver_rel51" localSheetId="61" hidden="1">2</definedName>
    <definedName name="solver_rel510" localSheetId="61" hidden="1">2</definedName>
    <definedName name="solver_rel511" localSheetId="61" hidden="1">1</definedName>
    <definedName name="solver_rel512" localSheetId="61" hidden="1">3</definedName>
    <definedName name="solver_rel513" localSheetId="61" hidden="1">2</definedName>
    <definedName name="solver_rel514" localSheetId="61" hidden="1">1</definedName>
    <definedName name="solver_rel515" localSheetId="61" hidden="1">3</definedName>
    <definedName name="solver_rel516" localSheetId="61" hidden="1">2</definedName>
    <definedName name="solver_rel517" localSheetId="61" hidden="1">1</definedName>
    <definedName name="solver_rel518" localSheetId="61" hidden="1">3</definedName>
    <definedName name="solver_rel519" localSheetId="61" hidden="1">2</definedName>
    <definedName name="solver_rel52" localSheetId="61" hidden="1">1</definedName>
    <definedName name="solver_rel520" localSheetId="61" hidden="1">1</definedName>
    <definedName name="solver_rel521" localSheetId="61" hidden="1">3</definedName>
    <definedName name="solver_rel522" localSheetId="61" hidden="1">2</definedName>
    <definedName name="solver_rel523" localSheetId="61" hidden="1">1</definedName>
    <definedName name="solver_rel524" localSheetId="61" hidden="1">3</definedName>
    <definedName name="solver_rel525" localSheetId="61" hidden="1">2</definedName>
    <definedName name="solver_rel526" localSheetId="61" hidden="1">1</definedName>
    <definedName name="solver_rel527" localSheetId="61" hidden="1">3</definedName>
    <definedName name="solver_rel528" localSheetId="61" hidden="1">2</definedName>
    <definedName name="solver_rel529" localSheetId="61" hidden="1">1</definedName>
    <definedName name="solver_rel53" localSheetId="61" hidden="1">3</definedName>
    <definedName name="solver_rel530" localSheetId="61" hidden="1">3</definedName>
    <definedName name="solver_rel531" localSheetId="61" hidden="1">2</definedName>
    <definedName name="solver_rel532" localSheetId="61" hidden="1">1</definedName>
    <definedName name="solver_rel533" localSheetId="61" hidden="1">3</definedName>
    <definedName name="solver_rel534" localSheetId="61" hidden="1">2</definedName>
    <definedName name="solver_rel535" localSheetId="61" hidden="1">1</definedName>
    <definedName name="solver_rel536" localSheetId="61" hidden="1">3</definedName>
    <definedName name="solver_rel537" localSheetId="61" hidden="1">2</definedName>
    <definedName name="solver_rel538" localSheetId="61" hidden="1">1</definedName>
    <definedName name="solver_rel539" localSheetId="61" hidden="1">3</definedName>
    <definedName name="solver_rel54" localSheetId="61" hidden="1">2</definedName>
    <definedName name="solver_rel540" localSheetId="61" hidden="1">2</definedName>
    <definedName name="solver_rel541" localSheetId="61" hidden="1">1</definedName>
    <definedName name="solver_rel542" localSheetId="61" hidden="1">3</definedName>
    <definedName name="solver_rel543" localSheetId="61" hidden="1">2</definedName>
    <definedName name="solver_rel544" localSheetId="61" hidden="1">1</definedName>
    <definedName name="solver_rel545" localSheetId="61" hidden="1">3</definedName>
    <definedName name="solver_rel546" localSheetId="61" hidden="1">2</definedName>
    <definedName name="solver_rel547" localSheetId="61" hidden="1">1</definedName>
    <definedName name="solver_rel548" localSheetId="61" hidden="1">3</definedName>
    <definedName name="solver_rel549" localSheetId="61" hidden="1">2</definedName>
    <definedName name="solver_rel55" localSheetId="61" hidden="1">1</definedName>
    <definedName name="solver_rel550" localSheetId="61" hidden="1">1</definedName>
    <definedName name="solver_rel551" localSheetId="61" hidden="1">3</definedName>
    <definedName name="solver_rel552" localSheetId="61" hidden="1">2</definedName>
    <definedName name="solver_rel553" localSheetId="61" hidden="1">1</definedName>
    <definedName name="solver_rel554" localSheetId="61" hidden="1">3</definedName>
    <definedName name="solver_rel555" localSheetId="61" hidden="1">2</definedName>
    <definedName name="solver_rel556" localSheetId="61" hidden="1">1</definedName>
    <definedName name="solver_rel557" localSheetId="61" hidden="1">3</definedName>
    <definedName name="solver_rel558" localSheetId="61" hidden="1">2</definedName>
    <definedName name="solver_rel559" localSheetId="61" hidden="1">1</definedName>
    <definedName name="solver_rel56" localSheetId="61" hidden="1">3</definedName>
    <definedName name="solver_rel560" localSheetId="61" hidden="1">3</definedName>
    <definedName name="solver_rel561" localSheetId="61" hidden="1">2</definedName>
    <definedName name="solver_rel562" localSheetId="61" hidden="1">1</definedName>
    <definedName name="solver_rel563" localSheetId="61" hidden="1">3</definedName>
    <definedName name="solver_rel564" localSheetId="61" hidden="1">2</definedName>
    <definedName name="solver_rel565" localSheetId="61" hidden="1">1</definedName>
    <definedName name="solver_rel566" localSheetId="61" hidden="1">3</definedName>
    <definedName name="solver_rel567" localSheetId="61" hidden="1">2</definedName>
    <definedName name="solver_rel568" localSheetId="61" hidden="1">1</definedName>
    <definedName name="solver_rel569" localSheetId="61" hidden="1">3</definedName>
    <definedName name="solver_rel57" localSheetId="61" hidden="1">2</definedName>
    <definedName name="solver_rel570" localSheetId="61" hidden="1">2</definedName>
    <definedName name="solver_rel571" localSheetId="61" hidden="1">1</definedName>
    <definedName name="solver_rel572" localSheetId="61" hidden="1">3</definedName>
    <definedName name="solver_rel573" localSheetId="61" hidden="1">2</definedName>
    <definedName name="solver_rel574" localSheetId="61" hidden="1">1</definedName>
    <definedName name="solver_rel575" localSheetId="61" hidden="1">3</definedName>
    <definedName name="solver_rel576" localSheetId="61" hidden="1">2</definedName>
    <definedName name="solver_rel577" localSheetId="61" hidden="1">1</definedName>
    <definedName name="solver_rel578" localSheetId="61" hidden="1">3</definedName>
    <definedName name="solver_rel579" localSheetId="61" hidden="1">2</definedName>
    <definedName name="solver_rel58" localSheetId="61" hidden="1">1</definedName>
    <definedName name="solver_rel580" localSheetId="61" hidden="1">1</definedName>
    <definedName name="solver_rel581" localSheetId="61" hidden="1">3</definedName>
    <definedName name="solver_rel582" localSheetId="61" hidden="1">2</definedName>
    <definedName name="solver_rel583" localSheetId="61" hidden="1">1</definedName>
    <definedName name="solver_rel584" localSheetId="61" hidden="1">3</definedName>
    <definedName name="solver_rel585" localSheetId="61" hidden="1">2</definedName>
    <definedName name="solver_rel586" localSheetId="61" hidden="1">1</definedName>
    <definedName name="solver_rel587" localSheetId="61" hidden="1">3</definedName>
    <definedName name="solver_rel588" localSheetId="61" hidden="1">2</definedName>
    <definedName name="solver_rel589" localSheetId="61" hidden="1">1</definedName>
    <definedName name="solver_rel59" localSheetId="61" hidden="1">3</definedName>
    <definedName name="solver_rel590" localSheetId="61" hidden="1">3</definedName>
    <definedName name="solver_rel591" localSheetId="61" hidden="1">2</definedName>
    <definedName name="solver_rel592" localSheetId="61" hidden="1">1</definedName>
    <definedName name="solver_rel593" localSheetId="61" hidden="1">3</definedName>
    <definedName name="solver_rel594" localSheetId="61" hidden="1">2</definedName>
    <definedName name="solver_rel595" localSheetId="61" hidden="1">1</definedName>
    <definedName name="solver_rel596" localSheetId="61" hidden="1">3</definedName>
    <definedName name="solver_rel597" localSheetId="61" hidden="1">2</definedName>
    <definedName name="solver_rel598" localSheetId="61" hidden="1">1</definedName>
    <definedName name="solver_rel599" localSheetId="61" hidden="1">3</definedName>
    <definedName name="solver_rel6" localSheetId="47" hidden="1">1</definedName>
    <definedName name="solver_rel6" localSheetId="21" hidden="1">1</definedName>
    <definedName name="solver_rel6" localSheetId="22" hidden="1">1</definedName>
    <definedName name="solver_rel6" localSheetId="61" hidden="1">2</definedName>
    <definedName name="solver_rel60" localSheetId="61" hidden="1">2</definedName>
    <definedName name="solver_rel600" localSheetId="61" hidden="1">2</definedName>
    <definedName name="solver_rel61" localSheetId="61" hidden="1">1</definedName>
    <definedName name="solver_rel62" localSheetId="61" hidden="1">3</definedName>
    <definedName name="solver_rel63" localSheetId="61" hidden="1">2</definedName>
    <definedName name="solver_rel64" localSheetId="61" hidden="1">1</definedName>
    <definedName name="solver_rel65" localSheetId="61" hidden="1">3</definedName>
    <definedName name="solver_rel66" localSheetId="61" hidden="1">2</definedName>
    <definedName name="solver_rel67" localSheetId="61" hidden="1">1</definedName>
    <definedName name="solver_rel68" localSheetId="61" hidden="1">3</definedName>
    <definedName name="solver_rel69" localSheetId="61" hidden="1">2</definedName>
    <definedName name="solver_rel7" localSheetId="47" hidden="1">3</definedName>
    <definedName name="solver_rel7" localSheetId="21" hidden="1">3</definedName>
    <definedName name="solver_rel7" localSheetId="22" hidden="1">3</definedName>
    <definedName name="solver_rel7" localSheetId="61" hidden="1">1</definedName>
    <definedName name="solver_rel70" localSheetId="61" hidden="1">1</definedName>
    <definedName name="solver_rel71" localSheetId="61" hidden="1">3</definedName>
    <definedName name="solver_rel72" localSheetId="61" hidden="1">2</definedName>
    <definedName name="solver_rel73" localSheetId="61" hidden="1">1</definedName>
    <definedName name="solver_rel74" localSheetId="61" hidden="1">3</definedName>
    <definedName name="solver_rel75" localSheetId="61" hidden="1">2</definedName>
    <definedName name="solver_rel76" localSheetId="61" hidden="1">1</definedName>
    <definedName name="solver_rel77" localSheetId="61" hidden="1">3</definedName>
    <definedName name="solver_rel78" localSheetId="61" hidden="1">2</definedName>
    <definedName name="solver_rel79" localSheetId="61" hidden="1">1</definedName>
    <definedName name="solver_rel8" localSheetId="21" hidden="1">3</definedName>
    <definedName name="solver_rel8" localSheetId="22" hidden="1">3</definedName>
    <definedName name="solver_rel8" localSheetId="61" hidden="1">3</definedName>
    <definedName name="solver_rel80" localSheetId="61" hidden="1">3</definedName>
    <definedName name="solver_rel81" localSheetId="61" hidden="1">2</definedName>
    <definedName name="solver_rel82" localSheetId="61" hidden="1">1</definedName>
    <definedName name="solver_rel83" localSheetId="61" hidden="1">3</definedName>
    <definedName name="solver_rel84" localSheetId="61" hidden="1">2</definedName>
    <definedName name="solver_rel85" localSheetId="61" hidden="1">1</definedName>
    <definedName name="solver_rel86" localSheetId="61" hidden="1">3</definedName>
    <definedName name="solver_rel87" localSheetId="61" hidden="1">2</definedName>
    <definedName name="solver_rel88" localSheetId="61" hidden="1">1</definedName>
    <definedName name="solver_rel89" localSheetId="61" hidden="1">3</definedName>
    <definedName name="solver_rel9" localSheetId="22" hidden="1">1</definedName>
    <definedName name="solver_rel9" localSheetId="61" hidden="1">2</definedName>
    <definedName name="solver_rel90" localSheetId="61" hidden="1">2</definedName>
    <definedName name="solver_rel91" localSheetId="61" hidden="1">1</definedName>
    <definedName name="solver_rel92" localSheetId="61" hidden="1">3</definedName>
    <definedName name="solver_rel93" localSheetId="61" hidden="1">2</definedName>
    <definedName name="solver_rel94" localSheetId="61" hidden="1">1</definedName>
    <definedName name="solver_rel95" localSheetId="61" hidden="1">3</definedName>
    <definedName name="solver_rel96" localSheetId="61" hidden="1">2</definedName>
    <definedName name="solver_rel97" localSheetId="61" hidden="1">1</definedName>
    <definedName name="solver_rel98" localSheetId="61" hidden="1">3</definedName>
    <definedName name="solver_rel99" localSheetId="61" hidden="1">2</definedName>
    <definedName name="solver_rhs1" localSheetId="75" hidden="1">AutoModel!$D$20</definedName>
    <definedName name="solver_rhs1" localSheetId="23" hidden="1">'BadName!'!$J$9:$J$10</definedName>
    <definedName name="solver_rhs1" localSheetId="35" hidden="1">BinIntLB!$J$11:$J$13</definedName>
    <definedName name="solver_rhs1" localSheetId="20" hidden="1">BinIntOverlap!$K$8:$K$9</definedName>
    <definedName name="solver_rhs1" localSheetId="34" hidden="1">BinLB!$J$11:$J$13</definedName>
    <definedName name="solver_rhs1" localSheetId="8" hidden="1">BlankLHS!$J$8:$J$9</definedName>
    <definedName name="solver_rhs1" localSheetId="7" hidden="1">BlankRHS!$J$8:$J$9</definedName>
    <definedName name="solver_rhs1" localSheetId="47" hidden="1">ComplexLayout!$K$8:$K$9</definedName>
    <definedName name="solver_rhs1" localSheetId="21" hidden="1">ConFormula!$K$9:$K$10</definedName>
    <definedName name="solver_rhs1" localSheetId="22" hidden="1">ConFormulaInf!$K$9:$K$10</definedName>
    <definedName name="solver_rhs1" localSheetId="43" hidden="1">ConstantLB!$J$11:$J$13</definedName>
    <definedName name="solver_rhs1" localSheetId="40" hidden="1">ConstFormulaRangeLB!$J$10:$J$12</definedName>
    <definedName name="solver_rhs1" localSheetId="42" hidden="1">ConstraintLB!$J$11:$J$13</definedName>
    <definedName name="solver_rhs1" localSheetId="25" hidden="1">DeletedConRef!$J$9:$J$10</definedName>
    <definedName name="solver_rhs1" localSheetId="26" hidden="1">DeletedObjRef!$J$9:$J$10</definedName>
    <definedName name="solver_rhs1" localSheetId="53" hidden="1">DiffSheetObj!$I$6</definedName>
    <definedName name="solver_rhs1" localSheetId="32" hidden="1">DirectLBs!$J$10:$J$12</definedName>
    <definedName name="solver_rhs1" localSheetId="11" hidden="1">ErrorLHS!$J$8:$J$9</definedName>
    <definedName name="solver_rhs1" localSheetId="12" hidden="1">ErrorObj!$J$8:$J$9</definedName>
    <definedName name="solver_rhs1" localSheetId="10" hidden="1">ErrorRHS!$J$8:$J$9</definedName>
    <definedName name="solver_rhs1" localSheetId="24" hidden="1">'EscapeSheetName(1)+2-1'!$J$8:$J$9</definedName>
    <definedName name="solver_rhs1" localSheetId="28" hidden="1">FeasConstConstraint!$L$8:$L$9</definedName>
    <definedName name="solver_rhs1" localSheetId="44" hidden="1">FormulaLB!$J$11:$J$13</definedName>
    <definedName name="solver_rhs1" localSheetId="46" hidden="1">FractionalCoeffs!$I$6</definedName>
    <definedName name="solver_rhs1" localSheetId="74" hidden="1">Highlighting!$I$7:$I$8</definedName>
    <definedName name="solver_rhs1" localSheetId="31" hidden="1">IndirectLBs!$J$10:$J$11</definedName>
    <definedName name="solver_rhs1" localSheetId="27" hidden="1">InfConstConstraint!$L$8:$L$9</definedName>
    <definedName name="solver_rhs1" localSheetId="48" hidden="1">InfModel!$J$9:$J$10</definedName>
    <definedName name="solver_rhs1" localSheetId="5" hidden="1">IP_SUMIF!$C$10</definedName>
    <definedName name="solver_rhs1" localSheetId="49" hidden="1">IterativeCalc!$J$9:$J$10</definedName>
    <definedName name="solver_rhs1" localSheetId="37" hidden="1">LargeRangeLB!$J$12:$J$14</definedName>
    <definedName name="solver_rhs1" localSheetId="18" hidden="1">MergedLHS_OK!$J$9:$J$10</definedName>
    <definedName name="solver_rhs1" localSheetId="19" hidden="1">MergedLHSMultiple_OK!$J$9:$J$10</definedName>
    <definedName name="solver_rhs1" localSheetId="17" hidden="1">MergedRHS_OK!$J$9:$J$10</definedName>
    <definedName name="solver_rhs1" localSheetId="16" hidden="1">MergedVarsBad!$J$9:$J$10</definedName>
    <definedName name="solver_rhs1" localSheetId="15" hidden="1">MergedVarsOK!$J$9:$J$10</definedName>
    <definedName name="solver_rhs1" localSheetId="14" hidden="1">MergedVarsSubset!$J$9:$J$10</definedName>
    <definedName name="solver_rhs1" localSheetId="54" hidden="1">NamedRanges!$K$8</definedName>
    <definedName name="solver_rhs1" localSheetId="73" hidden="1">-10</definedName>
    <definedName name="solver_rhs1" localSheetId="67" hidden="1">NonLin!$L$40</definedName>
    <definedName name="solver_rhs1" localSheetId="68" hidden="1">NonLin2!$G$6:$G$7</definedName>
    <definedName name="solver_rhs1" localSheetId="69" hidden="1">NonLin3!$Q$10:$Q$11</definedName>
    <definedName name="solver_rhs1" localSheetId="70" hidden="1">1000</definedName>
    <definedName name="solver_rhs1" localSheetId="72" hidden="1">0</definedName>
    <definedName name="solver_rhs1" localSheetId="66" hidden="1">NonLinBinary!$G$8:$G$9</definedName>
    <definedName name="solver_rhs1" localSheetId="65" hidden="1">NonLinConstraints!$K$7:$K$9</definedName>
    <definedName name="solver_rhs1" localSheetId="61" hidden="1">NonLinLarge!$J$7:$J$8</definedName>
    <definedName name="solver_rhs1" localSheetId="64" hidden="1">NonLinMinMax!$I$8</definedName>
    <definedName name="solver_rhs1" localSheetId="62" hidden="1">NonLinObj!$J$7:$J$8</definedName>
    <definedName name="solver_rhs1" localSheetId="63" hidden="1">NonLinPruning!$H$8:$H$9</definedName>
    <definedName name="solver_rhs1" localSheetId="60" hidden="1">NonLinSimple!$J$7:$J$8</definedName>
    <definedName name="solver_rhs1" localSheetId="50" hidden="1">NoObj!$J$9:$J$10</definedName>
    <definedName name="solver_rhs1" localSheetId="6" hidden="1">OverlappingVars!$J$8:$J$9</definedName>
    <definedName name="solver_rhs1" localSheetId="38" hidden="1">OverlapRangeLB!$J$12:$J$14</definedName>
    <definedName name="solver_rhs1" localSheetId="39" hidden="1">OverlapRangeLBwithFormula!$J$12:$J$14</definedName>
    <definedName name="solver_rhs1" localSheetId="30" hidden="1">ProtectedSheet!$J$8:$J$9</definedName>
    <definedName name="solver_rhs1" localSheetId="55" hidden="1">QuickSolve!$J$8</definedName>
    <definedName name="solver_rhs1" localSheetId="36" hidden="1">Relaxation!$J$11:$J$13</definedName>
    <definedName name="solver_rhs1" localSheetId="51" hidden="1">SeekObj!$I$6</definedName>
    <definedName name="solver_rhs1" localSheetId="52" hidden="1">SeekObjInf!$I$6</definedName>
    <definedName name="solver_rhs1" localSheetId="58" hidden="1">Sensitivity!$I$8</definedName>
    <definedName name="solver_rhs1" localSheetId="59" hidden="1">SensitivityNames!$J$14:$J$16</definedName>
    <definedName name="solver_rhs1" localSheetId="4" hidden="1">SimpleIP!$C$10</definedName>
    <definedName name="solver_rhs1" localSheetId="3" hidden="1">SimpleLP!$J$8:$J$9</definedName>
    <definedName name="solver_rhs1" localSheetId="33" hidden="1">SingleRangeLB!$J$10:$J$12</definedName>
    <definedName name="solver_rhs1" localSheetId="56" hidden="1">SolverParameters!$J$17:$J$18</definedName>
    <definedName name="solver_rhs1" localSheetId="13" hidden="1">TextObj!$J$8:$J$9</definedName>
    <definedName name="solver_rhs1" localSheetId="9" hidden="1">TextRHS!$J$8:$J$9</definedName>
    <definedName name="solver_rhs1" localSheetId="29" hidden="1">Unbounded!$J$8:$J$9</definedName>
    <definedName name="solver_rhs1" localSheetId="45" hidden="1">VarConstraintLB!$J$11:$J$13</definedName>
    <definedName name="solver_rhs1" localSheetId="41" hidden="1">VariableFormulaRangeLB!$J$11:$J$13</definedName>
    <definedName name="solver_rhs1" localSheetId="57" hidden="1">Warmstart!$UH$4</definedName>
    <definedName name="solver_rhs10" localSheetId="61" hidden="1">NonLinLarge!$J$74</definedName>
    <definedName name="solver_rhs100" localSheetId="61" hidden="1">NonLinLarge!$J$74</definedName>
    <definedName name="solver_rhs101" localSheetId="61" hidden="1">NonLinLarge!$J$75:$J$138</definedName>
    <definedName name="solver_rhs102" localSheetId="61" hidden="1">NonLinLarge!$J$139</definedName>
    <definedName name="solver_rhs103" localSheetId="61" hidden="1">NonLinLarge!$J$7:$J$8</definedName>
    <definedName name="solver_rhs104" localSheetId="61" hidden="1">NonLinLarge!$J$9:$J$72</definedName>
    <definedName name="solver_rhs105" localSheetId="61" hidden="1">NonLinLarge!$J$73</definedName>
    <definedName name="solver_rhs106" localSheetId="61" hidden="1">NonLinLarge!$J$74</definedName>
    <definedName name="solver_rhs107" localSheetId="61" hidden="1">NonLinLarge!$J$75:$J$138</definedName>
    <definedName name="solver_rhs108" localSheetId="61" hidden="1">NonLinLarge!$J$139</definedName>
    <definedName name="solver_rhs109" localSheetId="61" hidden="1">NonLinLarge!$J$7:$J$8</definedName>
    <definedName name="solver_rhs11" localSheetId="61" hidden="1">NonLinLarge!$J$75:$J$138</definedName>
    <definedName name="solver_rhs110" localSheetId="61" hidden="1">NonLinLarge!$J$9:$J$72</definedName>
    <definedName name="solver_rhs111" localSheetId="61" hidden="1">NonLinLarge!$J$73</definedName>
    <definedName name="solver_rhs112" localSheetId="61" hidden="1">NonLinLarge!$J$74</definedName>
    <definedName name="solver_rhs113" localSheetId="61" hidden="1">NonLinLarge!$J$75:$J$138</definedName>
    <definedName name="solver_rhs114" localSheetId="61" hidden="1">NonLinLarge!$J$139</definedName>
    <definedName name="solver_rhs115" localSheetId="61" hidden="1">NonLinLarge!$J$7:$J$8</definedName>
    <definedName name="solver_rhs116" localSheetId="61" hidden="1">NonLinLarge!$J$9:$J$72</definedName>
    <definedName name="solver_rhs117" localSheetId="61" hidden="1">NonLinLarge!$J$73</definedName>
    <definedName name="solver_rhs118" localSheetId="61" hidden="1">NonLinLarge!$J$74</definedName>
    <definedName name="solver_rhs119" localSheetId="61" hidden="1">NonLinLarge!$J$75:$J$138</definedName>
    <definedName name="solver_rhs12" localSheetId="61" hidden="1">NonLinLarge!$J$139</definedName>
    <definedName name="solver_rhs120" localSheetId="61" hidden="1">NonLinLarge!$J$139</definedName>
    <definedName name="solver_rhs121" localSheetId="61" hidden="1">NonLinLarge!$J$7:$J$8</definedName>
    <definedName name="solver_rhs122" localSheetId="61" hidden="1">NonLinLarge!$J$9:$J$72</definedName>
    <definedName name="solver_rhs123" localSheetId="61" hidden="1">NonLinLarge!$J$73</definedName>
    <definedName name="solver_rhs124" localSheetId="61" hidden="1">NonLinLarge!$J$74</definedName>
    <definedName name="solver_rhs125" localSheetId="61" hidden="1">NonLinLarge!$J$75:$J$138</definedName>
    <definedName name="solver_rhs126" localSheetId="61" hidden="1">NonLinLarge!$J$139</definedName>
    <definedName name="solver_rhs127" localSheetId="61" hidden="1">NonLinLarge!$J$7:$J$8</definedName>
    <definedName name="solver_rhs128" localSheetId="61" hidden="1">NonLinLarge!$J$9:$J$72</definedName>
    <definedName name="solver_rhs129" localSheetId="61" hidden="1">NonLinLarge!$J$73</definedName>
    <definedName name="solver_rhs13" localSheetId="61" hidden="1">NonLinLarge!$J$7:$J$8</definedName>
    <definedName name="solver_rhs130" localSheetId="61" hidden="1">NonLinLarge!$J$74</definedName>
    <definedName name="solver_rhs131" localSheetId="61" hidden="1">NonLinLarge!$J$75:$J$138</definedName>
    <definedName name="solver_rhs132" localSheetId="61" hidden="1">NonLinLarge!$J$139</definedName>
    <definedName name="solver_rhs133" localSheetId="61" hidden="1">NonLinLarge!$J$7:$J$8</definedName>
    <definedName name="solver_rhs134" localSheetId="61" hidden="1">NonLinLarge!$J$9:$J$72</definedName>
    <definedName name="solver_rhs135" localSheetId="61" hidden="1">NonLinLarge!$J$73</definedName>
    <definedName name="solver_rhs136" localSheetId="61" hidden="1">NonLinLarge!$J$74</definedName>
    <definedName name="solver_rhs137" localSheetId="61" hidden="1">NonLinLarge!$J$75:$J$138</definedName>
    <definedName name="solver_rhs138" localSheetId="61" hidden="1">NonLinLarge!$J$139</definedName>
    <definedName name="solver_rhs139" localSheetId="61" hidden="1">NonLinLarge!$J$7:$J$8</definedName>
    <definedName name="solver_rhs14" localSheetId="61" hidden="1">NonLinLarge!$J$9:$J$72</definedName>
    <definedName name="solver_rhs140" localSheetId="61" hidden="1">NonLinLarge!$J$9:$J$72</definedName>
    <definedName name="solver_rhs141" localSheetId="61" hidden="1">NonLinLarge!$J$73</definedName>
    <definedName name="solver_rhs142" localSheetId="61" hidden="1">NonLinLarge!$J$74</definedName>
    <definedName name="solver_rhs143" localSheetId="61" hidden="1">NonLinLarge!$J$75:$J$138</definedName>
    <definedName name="solver_rhs144" localSheetId="61" hidden="1">NonLinLarge!$J$139</definedName>
    <definedName name="solver_rhs145" localSheetId="61" hidden="1">NonLinLarge!$J$7:$J$8</definedName>
    <definedName name="solver_rhs146" localSheetId="61" hidden="1">NonLinLarge!$J$9:$J$72</definedName>
    <definedName name="solver_rhs147" localSheetId="61" hidden="1">NonLinLarge!$J$73</definedName>
    <definedName name="solver_rhs148" localSheetId="61" hidden="1">NonLinLarge!$J$74</definedName>
    <definedName name="solver_rhs149" localSheetId="61" hidden="1">NonLinLarge!$J$75:$J$138</definedName>
    <definedName name="solver_rhs15" localSheetId="61" hidden="1">NonLinLarge!$J$73</definedName>
    <definedName name="solver_rhs150" localSheetId="61" hidden="1">NonLinLarge!$J$139</definedName>
    <definedName name="solver_rhs151" localSheetId="61" hidden="1">NonLinLarge!$J$7:$J$8</definedName>
    <definedName name="solver_rhs152" localSheetId="61" hidden="1">NonLinLarge!$J$9:$J$72</definedName>
    <definedName name="solver_rhs153" localSheetId="61" hidden="1">NonLinLarge!$J$73</definedName>
    <definedName name="solver_rhs154" localSheetId="61" hidden="1">NonLinLarge!$J$74</definedName>
    <definedName name="solver_rhs155" localSheetId="61" hidden="1">NonLinLarge!$J$75:$J$138</definedName>
    <definedName name="solver_rhs156" localSheetId="61" hidden="1">NonLinLarge!$J$139</definedName>
    <definedName name="solver_rhs157" localSheetId="61" hidden="1">NonLinLarge!$J$7:$J$8</definedName>
    <definedName name="solver_rhs158" localSheetId="61" hidden="1">NonLinLarge!$J$9:$J$72</definedName>
    <definedName name="solver_rhs159" localSheetId="61" hidden="1">NonLinLarge!$J$73</definedName>
    <definedName name="solver_rhs16" localSheetId="61" hidden="1">NonLinLarge!$J$74</definedName>
    <definedName name="solver_rhs160" localSheetId="61" hidden="1">NonLinLarge!$J$74</definedName>
    <definedName name="solver_rhs161" localSheetId="61" hidden="1">NonLinLarge!$J$75:$J$138</definedName>
    <definedName name="solver_rhs162" localSheetId="61" hidden="1">NonLinLarge!$J$139</definedName>
    <definedName name="solver_rhs163" localSheetId="61" hidden="1">NonLinLarge!$J$7:$J$8</definedName>
    <definedName name="solver_rhs164" localSheetId="61" hidden="1">NonLinLarge!$J$9:$J$72</definedName>
    <definedName name="solver_rhs165" localSheetId="61" hidden="1">NonLinLarge!$J$73</definedName>
    <definedName name="solver_rhs166" localSheetId="61" hidden="1">NonLinLarge!$J$74</definedName>
    <definedName name="solver_rhs167" localSheetId="61" hidden="1">NonLinLarge!$J$75:$J$138</definedName>
    <definedName name="solver_rhs168" localSheetId="61" hidden="1">NonLinLarge!$J$139</definedName>
    <definedName name="solver_rhs169" localSheetId="61" hidden="1">NonLinLarge!$J$7:$J$8</definedName>
    <definedName name="solver_rhs17" localSheetId="61" hidden="1">NonLinLarge!$J$75:$J$138</definedName>
    <definedName name="solver_rhs170" localSheetId="61" hidden="1">NonLinLarge!$J$9:$J$72</definedName>
    <definedName name="solver_rhs171" localSheetId="61" hidden="1">NonLinLarge!$J$73</definedName>
    <definedName name="solver_rhs172" localSheetId="61" hidden="1">NonLinLarge!$J$74</definedName>
    <definedName name="solver_rhs173" localSheetId="61" hidden="1">NonLinLarge!$J$75:$J$138</definedName>
    <definedName name="solver_rhs174" localSheetId="61" hidden="1">NonLinLarge!$J$139</definedName>
    <definedName name="solver_rhs175" localSheetId="61" hidden="1">NonLinLarge!$J$7:$J$8</definedName>
    <definedName name="solver_rhs176" localSheetId="61" hidden="1">NonLinLarge!$J$9:$J$72</definedName>
    <definedName name="solver_rhs177" localSheetId="61" hidden="1">NonLinLarge!$J$73</definedName>
    <definedName name="solver_rhs178" localSheetId="61" hidden="1">NonLinLarge!$J$74</definedName>
    <definedName name="solver_rhs179" localSheetId="61" hidden="1">NonLinLarge!$J$75:$J$138</definedName>
    <definedName name="solver_rhs18" localSheetId="61" hidden="1">NonLinLarge!$J$139</definedName>
    <definedName name="solver_rhs180" localSheetId="61" hidden="1">NonLinLarge!$J$139</definedName>
    <definedName name="solver_rhs181" localSheetId="61" hidden="1">NonLinLarge!$J$7:$J$8</definedName>
    <definedName name="solver_rhs182" localSheetId="61" hidden="1">NonLinLarge!$J$9:$J$72</definedName>
    <definedName name="solver_rhs183" localSheetId="61" hidden="1">NonLinLarge!$J$73</definedName>
    <definedName name="solver_rhs184" localSheetId="61" hidden="1">NonLinLarge!$J$74</definedName>
    <definedName name="solver_rhs185" localSheetId="61" hidden="1">NonLinLarge!$J$75:$J$138</definedName>
    <definedName name="solver_rhs186" localSheetId="61" hidden="1">NonLinLarge!$J$139</definedName>
    <definedName name="solver_rhs187" localSheetId="61" hidden="1">NonLinLarge!$J$7:$J$8</definedName>
    <definedName name="solver_rhs188" localSheetId="61" hidden="1">NonLinLarge!$J$9:$J$72</definedName>
    <definedName name="solver_rhs189" localSheetId="61" hidden="1">NonLinLarge!$J$73</definedName>
    <definedName name="solver_rhs19" localSheetId="61" hidden="1">NonLinLarge!$J$7:$J$8</definedName>
    <definedName name="solver_rhs190" localSheetId="61" hidden="1">NonLinLarge!$J$74</definedName>
    <definedName name="solver_rhs191" localSheetId="61" hidden="1">NonLinLarge!$J$75:$J$138</definedName>
    <definedName name="solver_rhs192" localSheetId="61" hidden="1">NonLinLarge!$J$139</definedName>
    <definedName name="solver_rhs193" localSheetId="61" hidden="1">NonLinLarge!$J$7:$J$8</definedName>
    <definedName name="solver_rhs194" localSheetId="61" hidden="1">NonLinLarge!$J$9:$J$72</definedName>
    <definedName name="solver_rhs195" localSheetId="61" hidden="1">NonLinLarge!$J$73</definedName>
    <definedName name="solver_rhs196" localSheetId="61" hidden="1">NonLinLarge!$J$74</definedName>
    <definedName name="solver_rhs197" localSheetId="61" hidden="1">NonLinLarge!$J$75:$J$138</definedName>
    <definedName name="solver_rhs198" localSheetId="61" hidden="1">NonLinLarge!$J$139</definedName>
    <definedName name="solver_rhs199" localSheetId="61" hidden="1">NonLinLarge!$J$7:$J$8</definedName>
    <definedName name="solver_rhs2" localSheetId="75" hidden="1">AutoModel!$D$14</definedName>
    <definedName name="solver_rhs2" localSheetId="23" hidden="1">'BadName!'!$J$11</definedName>
    <definedName name="solver_rhs2" localSheetId="35" hidden="1">BinIntLB!$E$7</definedName>
    <definedName name="solver_rhs2" localSheetId="20" hidden="1">BinIntOverlap!$K$10</definedName>
    <definedName name="solver_rhs2" localSheetId="34" hidden="1">BinLB!$E$7</definedName>
    <definedName name="solver_rhs2" localSheetId="8" hidden="1">BlankLHS!$J$10</definedName>
    <definedName name="solver_rhs2" localSheetId="7" hidden="1">BlankRHS!$J$10</definedName>
    <definedName name="solver_rhs2" localSheetId="47" hidden="1">ComplexLayout!$K$10</definedName>
    <definedName name="solver_rhs2" localSheetId="21" hidden="1">ConFormula!$K$11</definedName>
    <definedName name="solver_rhs2" localSheetId="22" hidden="1">ConFormulaInf!$N$11</definedName>
    <definedName name="solver_rhs2" localSheetId="43" hidden="1">-10</definedName>
    <definedName name="solver_rhs2" localSheetId="40" hidden="1">ConstFormulaRangeLB!$D$6:$F$6</definedName>
    <definedName name="solver_rhs2" localSheetId="25" hidden="1">DeletedConRef!$J$11</definedName>
    <definedName name="solver_rhs2" localSheetId="26" hidden="1">DeletedObjRef!$J$11</definedName>
    <definedName name="solver_rhs2" localSheetId="53" hidden="1">DiffSheetObj!$I$7</definedName>
    <definedName name="solver_rhs2" localSheetId="32" hidden="1">DirectLBs!$D$6:$F$6</definedName>
    <definedName name="solver_rhs2" localSheetId="11" hidden="1">ErrorLHS!$J$10</definedName>
    <definedName name="solver_rhs2" localSheetId="12" hidden="1">ErrorObj!$J$10</definedName>
    <definedName name="solver_rhs2" localSheetId="10" hidden="1">ErrorRHS!$J$10</definedName>
    <definedName name="solver_rhs2" localSheetId="24" hidden="1">'EscapeSheetName(1)+2-1'!$J$10</definedName>
    <definedName name="solver_rhs2" localSheetId="28" hidden="1">FeasConstConstraint!$L$10</definedName>
    <definedName name="solver_rhs2" localSheetId="44" hidden="1">-10*2</definedName>
    <definedName name="solver_rhs2" localSheetId="46" hidden="1">FractionalCoeffs!$I$7</definedName>
    <definedName name="solver_rhs2" localSheetId="74" hidden="1">Highlighting!$I$10</definedName>
    <definedName name="solver_rhs2" localSheetId="31" hidden="1">IndirectLBs!$J$12</definedName>
    <definedName name="solver_rhs2" localSheetId="27" hidden="1">InfConstConstraint!$L$10</definedName>
    <definedName name="solver_rhs2" localSheetId="48" hidden="1">InfModel!$J$11</definedName>
    <definedName name="solver_rhs2" localSheetId="5" hidden="1">binary</definedName>
    <definedName name="solver_rhs2" localSheetId="49" hidden="1">IterativeCalc!$J$11</definedName>
    <definedName name="solver_rhs2" localSheetId="37" hidden="1">LargeRangeLB!$D$8:$H$8</definedName>
    <definedName name="solver_rhs2" localSheetId="18" hidden="1">MergedLHS_OK!$J$11</definedName>
    <definedName name="solver_rhs2" localSheetId="19" hidden="1">MergedLHSMultiple_OK!$J$11</definedName>
    <definedName name="solver_rhs2" localSheetId="17" hidden="1">MergedRHS_OK!$J$11</definedName>
    <definedName name="solver_rhs2" localSheetId="16" hidden="1">MergedVarsBad!$J$11</definedName>
    <definedName name="solver_rhs2" localSheetId="15" hidden="1">MergedVarsOK!$J$11</definedName>
    <definedName name="solver_rhs2" localSheetId="14" hidden="1">MergedVarsSubset!$J$11</definedName>
    <definedName name="solver_rhs2" localSheetId="54" hidden="1">NamedRanges!$K$9</definedName>
    <definedName name="solver_rhs2" localSheetId="73" hidden="1">10</definedName>
    <definedName name="solver_rhs2" localSheetId="67" hidden="1">NonLin!$L$41:$L$42</definedName>
    <definedName name="solver_rhs2" localSheetId="69" hidden="1">NonLin3!$U$10:$U$11</definedName>
    <definedName name="solver_rhs2" localSheetId="72" hidden="1">90</definedName>
    <definedName name="solver_rhs2" localSheetId="66" hidden="1">binary</definedName>
    <definedName name="solver_rhs2" localSheetId="61" hidden="1">NonLinLarge!$J$9:$J$72</definedName>
    <definedName name="solver_rhs2" localSheetId="64" hidden="1">integer</definedName>
    <definedName name="solver_rhs2" localSheetId="62" hidden="1">NonLinObj!$J$9</definedName>
    <definedName name="solver_rhs2" localSheetId="63" hidden="1">NonLinPruning!$H$10:$H$11</definedName>
    <definedName name="solver_rhs2" localSheetId="60" hidden="1">NonLinSimple!$J$9</definedName>
    <definedName name="solver_rhs2" localSheetId="50" hidden="1">NoObj!$J$11</definedName>
    <definedName name="solver_rhs2" localSheetId="6" hidden="1">OverlappingVars!$J$10</definedName>
    <definedName name="solver_rhs2" localSheetId="38" hidden="1">OverlapRangeLB!$E$8:$H$8</definedName>
    <definedName name="solver_rhs2" localSheetId="39" hidden="1">OverlapRangeLBwithFormula!$D$8:$H$8</definedName>
    <definedName name="solver_rhs2" localSheetId="30" hidden="1">ProtectedSheet!$J$10</definedName>
    <definedName name="solver_rhs2" localSheetId="55" hidden="1">QuickSolve!$J$9:$J$10</definedName>
    <definedName name="solver_rhs2" localSheetId="36" hidden="1">Relaxation!$E$7</definedName>
    <definedName name="solver_rhs2" localSheetId="51" hidden="1">SeekObj!$I$7</definedName>
    <definedName name="solver_rhs2" localSheetId="52" hidden="1">SeekObjInf!$I$7</definedName>
    <definedName name="solver_rhs2" localSheetId="58" hidden="1">Sensitivity!$I$9</definedName>
    <definedName name="solver_rhs2" localSheetId="59" hidden="1">SensitivityNames!$D$18:$H$18</definedName>
    <definedName name="solver_rhs2" localSheetId="4" hidden="1">binary</definedName>
    <definedName name="solver_rhs2" localSheetId="3" hidden="1">SimpleLP!$J$10</definedName>
    <definedName name="solver_rhs2" localSheetId="33" hidden="1">-2</definedName>
    <definedName name="solver_rhs2" localSheetId="56" hidden="1">SolverParameters!$J$19</definedName>
    <definedName name="solver_rhs2" localSheetId="13" hidden="1">TextObj!$J$10</definedName>
    <definedName name="solver_rhs2" localSheetId="9" hidden="1">TextRHS!$J$10</definedName>
    <definedName name="solver_rhs2" localSheetId="29" hidden="1">Unbounded!$J$10</definedName>
    <definedName name="solver_rhs2" localSheetId="45" hidden="1">VarConstraintLB!$D$5</definedName>
    <definedName name="solver_rhs2" localSheetId="41" hidden="1">VariableFormulaRangeLB!$D$7:$F$7</definedName>
    <definedName name="solver_rhs2" localSheetId="57" hidden="1">binary</definedName>
    <definedName name="solver_rhs20" localSheetId="61" hidden="1">NonLinLarge!$J$9:$J$72</definedName>
    <definedName name="solver_rhs200" localSheetId="61" hidden="1">NonLinLarge!$J$9:$J$72</definedName>
    <definedName name="solver_rhs201" localSheetId="61" hidden="1">NonLinLarge!$J$73</definedName>
    <definedName name="solver_rhs202" localSheetId="61" hidden="1">NonLinLarge!$J$74</definedName>
    <definedName name="solver_rhs203" localSheetId="61" hidden="1">NonLinLarge!$J$75:$J$138</definedName>
    <definedName name="solver_rhs204" localSheetId="61" hidden="1">NonLinLarge!$J$139</definedName>
    <definedName name="solver_rhs205" localSheetId="61" hidden="1">NonLinLarge!$J$7:$J$8</definedName>
    <definedName name="solver_rhs206" localSheetId="61" hidden="1">NonLinLarge!$J$9:$J$72</definedName>
    <definedName name="solver_rhs207" localSheetId="61" hidden="1">NonLinLarge!$J$73</definedName>
    <definedName name="solver_rhs208" localSheetId="61" hidden="1">NonLinLarge!$J$74</definedName>
    <definedName name="solver_rhs209" localSheetId="61" hidden="1">NonLinLarge!$J$75:$J$138</definedName>
    <definedName name="solver_rhs21" localSheetId="61" hidden="1">NonLinLarge!$J$73</definedName>
    <definedName name="solver_rhs210" localSheetId="61" hidden="1">NonLinLarge!$J$139</definedName>
    <definedName name="solver_rhs211" localSheetId="61" hidden="1">NonLinLarge!$J$7:$J$8</definedName>
    <definedName name="solver_rhs212" localSheetId="61" hidden="1">NonLinLarge!$J$9:$J$72</definedName>
    <definedName name="solver_rhs213" localSheetId="61" hidden="1">NonLinLarge!$J$73</definedName>
    <definedName name="solver_rhs214" localSheetId="61" hidden="1">NonLinLarge!$J$74</definedName>
    <definedName name="solver_rhs215" localSheetId="61" hidden="1">NonLinLarge!$J$75:$J$138</definedName>
    <definedName name="solver_rhs216" localSheetId="61" hidden="1">NonLinLarge!$J$139</definedName>
    <definedName name="solver_rhs217" localSheetId="61" hidden="1">NonLinLarge!$J$7:$J$8</definedName>
    <definedName name="solver_rhs218" localSheetId="61" hidden="1">NonLinLarge!$J$9:$J$72</definedName>
    <definedName name="solver_rhs219" localSheetId="61" hidden="1">NonLinLarge!$J$73</definedName>
    <definedName name="solver_rhs22" localSheetId="61" hidden="1">NonLinLarge!$J$74</definedName>
    <definedName name="solver_rhs220" localSheetId="61" hidden="1">NonLinLarge!$J$74</definedName>
    <definedName name="solver_rhs221" localSheetId="61" hidden="1">NonLinLarge!$J$75:$J$138</definedName>
    <definedName name="solver_rhs222" localSheetId="61" hidden="1">NonLinLarge!$J$139</definedName>
    <definedName name="solver_rhs223" localSheetId="61" hidden="1">NonLinLarge!$J$7:$J$8</definedName>
    <definedName name="solver_rhs224" localSheetId="61" hidden="1">NonLinLarge!$J$9:$J$72</definedName>
    <definedName name="solver_rhs225" localSheetId="61" hidden="1">NonLinLarge!$J$73</definedName>
    <definedName name="solver_rhs226" localSheetId="61" hidden="1">NonLinLarge!$J$74</definedName>
    <definedName name="solver_rhs227" localSheetId="61" hidden="1">NonLinLarge!$J$75:$J$138</definedName>
    <definedName name="solver_rhs228" localSheetId="61" hidden="1">NonLinLarge!$J$139</definedName>
    <definedName name="solver_rhs229" localSheetId="61" hidden="1">NonLinLarge!$J$7:$J$8</definedName>
    <definedName name="solver_rhs23" localSheetId="61" hidden="1">NonLinLarge!$J$75:$J$138</definedName>
    <definedName name="solver_rhs230" localSheetId="61" hidden="1">NonLinLarge!$J$9:$J$72</definedName>
    <definedName name="solver_rhs231" localSheetId="61" hidden="1">NonLinLarge!$J$73</definedName>
    <definedName name="solver_rhs232" localSheetId="61" hidden="1">NonLinLarge!$J$74</definedName>
    <definedName name="solver_rhs233" localSheetId="61" hidden="1">NonLinLarge!$J$75:$J$138</definedName>
    <definedName name="solver_rhs234" localSheetId="61" hidden="1">NonLinLarge!$J$139</definedName>
    <definedName name="solver_rhs235" localSheetId="61" hidden="1">NonLinLarge!$J$7:$J$8</definedName>
    <definedName name="solver_rhs236" localSheetId="61" hidden="1">NonLinLarge!$J$9:$J$72</definedName>
    <definedName name="solver_rhs237" localSheetId="61" hidden="1">NonLinLarge!$J$73</definedName>
    <definedName name="solver_rhs238" localSheetId="61" hidden="1">NonLinLarge!$J$74</definedName>
    <definedName name="solver_rhs239" localSheetId="61" hidden="1">NonLinLarge!$J$75:$J$138</definedName>
    <definedName name="solver_rhs24" localSheetId="61" hidden="1">NonLinLarge!$J$139</definedName>
    <definedName name="solver_rhs240" localSheetId="61" hidden="1">NonLinLarge!$J$139</definedName>
    <definedName name="solver_rhs241" localSheetId="61" hidden="1">NonLinLarge!$J$7:$J$8</definedName>
    <definedName name="solver_rhs242" localSheetId="61" hidden="1">NonLinLarge!$J$9:$J$72</definedName>
    <definedName name="solver_rhs243" localSheetId="61" hidden="1">NonLinLarge!$J$73</definedName>
    <definedName name="solver_rhs244" localSheetId="61" hidden="1">NonLinLarge!$J$74</definedName>
    <definedName name="solver_rhs245" localSheetId="61" hidden="1">NonLinLarge!$J$75:$J$138</definedName>
    <definedName name="solver_rhs246" localSheetId="61" hidden="1">NonLinLarge!$J$139</definedName>
    <definedName name="solver_rhs247" localSheetId="61" hidden="1">NonLinLarge!$J$7:$J$8</definedName>
    <definedName name="solver_rhs248" localSheetId="61" hidden="1">NonLinLarge!$J$9:$J$72</definedName>
    <definedName name="solver_rhs249" localSheetId="61" hidden="1">NonLinLarge!$J$73</definedName>
    <definedName name="solver_rhs25" localSheetId="61" hidden="1">NonLinLarge!$J$7:$J$8</definedName>
    <definedName name="solver_rhs250" localSheetId="61" hidden="1">NonLinLarge!$J$74</definedName>
    <definedName name="solver_rhs251" localSheetId="61" hidden="1">NonLinLarge!$J$75:$J$138</definedName>
    <definedName name="solver_rhs252" localSheetId="61" hidden="1">NonLinLarge!$J$139</definedName>
    <definedName name="solver_rhs253" localSheetId="61" hidden="1">NonLinLarge!$J$7:$J$8</definedName>
    <definedName name="solver_rhs254" localSheetId="61" hidden="1">NonLinLarge!$J$9:$J$72</definedName>
    <definedName name="solver_rhs255" localSheetId="61" hidden="1">NonLinLarge!$J$73</definedName>
    <definedName name="solver_rhs256" localSheetId="61" hidden="1">NonLinLarge!$J$74</definedName>
    <definedName name="solver_rhs257" localSheetId="61" hidden="1">NonLinLarge!$J$75:$J$138</definedName>
    <definedName name="solver_rhs258" localSheetId="61" hidden="1">NonLinLarge!$J$139</definedName>
    <definedName name="solver_rhs259" localSheetId="61" hidden="1">NonLinLarge!$J$7:$J$8</definedName>
    <definedName name="solver_rhs26" localSheetId="61" hidden="1">NonLinLarge!$J$9:$J$72</definedName>
    <definedName name="solver_rhs260" localSheetId="61" hidden="1">NonLinLarge!$J$9:$J$72</definedName>
    <definedName name="solver_rhs261" localSheetId="61" hidden="1">NonLinLarge!$J$73</definedName>
    <definedName name="solver_rhs262" localSheetId="61" hidden="1">NonLinLarge!$J$74</definedName>
    <definedName name="solver_rhs263" localSheetId="61" hidden="1">NonLinLarge!$J$75:$J$138</definedName>
    <definedName name="solver_rhs264" localSheetId="61" hidden="1">NonLinLarge!$J$139</definedName>
    <definedName name="solver_rhs265" localSheetId="61" hidden="1">NonLinLarge!$J$7:$J$8</definedName>
    <definedName name="solver_rhs266" localSheetId="61" hidden="1">NonLinLarge!$J$9:$J$72</definedName>
    <definedName name="solver_rhs267" localSheetId="61" hidden="1">NonLinLarge!$J$73</definedName>
    <definedName name="solver_rhs268" localSheetId="61" hidden="1">NonLinLarge!$J$74</definedName>
    <definedName name="solver_rhs269" localSheetId="61" hidden="1">NonLinLarge!$J$75:$J$138</definedName>
    <definedName name="solver_rhs27" localSheetId="61" hidden="1">NonLinLarge!$J$73</definedName>
    <definedName name="solver_rhs270" localSheetId="61" hidden="1">NonLinLarge!$J$139</definedName>
    <definedName name="solver_rhs271" localSheetId="61" hidden="1">NonLinLarge!$J$7:$J$8</definedName>
    <definedName name="solver_rhs272" localSheetId="61" hidden="1">NonLinLarge!$J$9:$J$72</definedName>
    <definedName name="solver_rhs273" localSheetId="61" hidden="1">NonLinLarge!$J$73</definedName>
    <definedName name="solver_rhs274" localSheetId="61" hidden="1">NonLinLarge!$J$74</definedName>
    <definedName name="solver_rhs275" localSheetId="61" hidden="1">NonLinLarge!$J$75:$J$138</definedName>
    <definedName name="solver_rhs276" localSheetId="61" hidden="1">NonLinLarge!$J$139</definedName>
    <definedName name="solver_rhs277" localSheetId="61" hidden="1">NonLinLarge!$J$7:$J$8</definedName>
    <definedName name="solver_rhs278" localSheetId="61" hidden="1">NonLinLarge!$J$9:$J$72</definedName>
    <definedName name="solver_rhs279" localSheetId="61" hidden="1">NonLinLarge!$J$73</definedName>
    <definedName name="solver_rhs28" localSheetId="61" hidden="1">NonLinLarge!$J$74</definedName>
    <definedName name="solver_rhs280" localSheetId="61" hidden="1">NonLinLarge!$J$74</definedName>
    <definedName name="solver_rhs281" localSheetId="61" hidden="1">NonLinLarge!$J$75:$J$138</definedName>
    <definedName name="solver_rhs282" localSheetId="61" hidden="1">NonLinLarge!$J$139</definedName>
    <definedName name="solver_rhs283" localSheetId="61" hidden="1">NonLinLarge!$J$7:$J$8</definedName>
    <definedName name="solver_rhs284" localSheetId="61" hidden="1">NonLinLarge!$J$9:$J$72</definedName>
    <definedName name="solver_rhs285" localSheetId="61" hidden="1">NonLinLarge!$J$73</definedName>
    <definedName name="solver_rhs286" localSheetId="61" hidden="1">NonLinLarge!$J$74</definedName>
    <definedName name="solver_rhs287" localSheetId="61" hidden="1">NonLinLarge!$J$75:$J$138</definedName>
    <definedName name="solver_rhs288" localSheetId="61" hidden="1">NonLinLarge!$J$139</definedName>
    <definedName name="solver_rhs289" localSheetId="61" hidden="1">NonLinLarge!$J$7:$J$8</definedName>
    <definedName name="solver_rhs29" localSheetId="61" hidden="1">NonLinLarge!$J$75:$J$138</definedName>
    <definedName name="solver_rhs290" localSheetId="61" hidden="1">NonLinLarge!$J$9:$J$72</definedName>
    <definedName name="solver_rhs291" localSheetId="61" hidden="1">NonLinLarge!$J$73</definedName>
    <definedName name="solver_rhs292" localSheetId="61" hidden="1">NonLinLarge!$J$74</definedName>
    <definedName name="solver_rhs293" localSheetId="61" hidden="1">NonLinLarge!$J$75:$J$138</definedName>
    <definedName name="solver_rhs294" localSheetId="61" hidden="1">NonLinLarge!$J$139</definedName>
    <definedName name="solver_rhs295" localSheetId="61" hidden="1">NonLinLarge!$J$7:$J$8</definedName>
    <definedName name="solver_rhs296" localSheetId="61" hidden="1">NonLinLarge!$J$9:$J$72</definedName>
    <definedName name="solver_rhs297" localSheetId="61" hidden="1">NonLinLarge!$J$73</definedName>
    <definedName name="solver_rhs298" localSheetId="61" hidden="1">NonLinLarge!$J$74</definedName>
    <definedName name="solver_rhs299" localSheetId="61" hidden="1">NonLinLarge!$J$75:$J$138</definedName>
    <definedName name="solver_rhs3" localSheetId="75" hidden="1">AutoModel!$D$17</definedName>
    <definedName name="solver_rhs3" localSheetId="23" hidden="1">'BadName!'!$J$12</definedName>
    <definedName name="solver_rhs3" localSheetId="35" hidden="1">binary</definedName>
    <definedName name="solver_rhs3" localSheetId="20" hidden="1">BinIntOverlap!$K$11</definedName>
    <definedName name="solver_rhs3" localSheetId="34" hidden="1">binary</definedName>
    <definedName name="solver_rhs3" localSheetId="8" hidden="1">BlankLHS!$J$11</definedName>
    <definedName name="solver_rhs3" localSheetId="7" hidden="1">BlankRHS!$J$11</definedName>
    <definedName name="solver_rhs3" localSheetId="47" hidden="1">ComplexLayout!$K$11</definedName>
    <definedName name="solver_rhs3" localSheetId="21" hidden="1">ConFormula!$K$12</definedName>
    <definedName name="solver_rhs3" localSheetId="22" hidden="1">ConFormulaInf!$K$12</definedName>
    <definedName name="solver_rhs3" localSheetId="25" hidden="1">DeletedConRef!$J$12</definedName>
    <definedName name="solver_rhs3" localSheetId="26" hidden="1">DeletedObjRef!$J$12</definedName>
    <definedName name="solver_rhs3" localSheetId="53" hidden="1">DiffSheetObj!$I$8:$I$9</definedName>
    <definedName name="solver_rhs3" localSheetId="11" hidden="1">ErrorLHS!$J$11</definedName>
    <definedName name="solver_rhs3" localSheetId="12" hidden="1">ErrorObj!$J$11</definedName>
    <definedName name="solver_rhs3" localSheetId="10" hidden="1">ErrorRHS!$J$11</definedName>
    <definedName name="solver_rhs3" localSheetId="24" hidden="1">'EscapeSheetName(1)+2-1'!$J$11</definedName>
    <definedName name="solver_rhs3" localSheetId="28" hidden="1">FeasConstConstraint!$L$11</definedName>
    <definedName name="solver_rhs3" localSheetId="46" hidden="1">FractionalCoeffs!$I$8:$I$9</definedName>
    <definedName name="solver_rhs3" localSheetId="74" hidden="1">Highlighting!$I$9</definedName>
    <definedName name="solver_rhs3" localSheetId="31" hidden="1">IndirectLBs!$J$13</definedName>
    <definedName name="solver_rhs3" localSheetId="27" hidden="1">InfConstConstraint!$L$11</definedName>
    <definedName name="solver_rhs3" localSheetId="48" hidden="1">InfModel!$J$12</definedName>
    <definedName name="solver_rhs3" localSheetId="49" hidden="1">IterativeCalc!$J$12</definedName>
    <definedName name="solver_rhs3" localSheetId="18" hidden="1">MergedLHS_OK!$J$12</definedName>
    <definedName name="solver_rhs3" localSheetId="19" hidden="1">MergedLHSMultiple_OK!$J$12</definedName>
    <definedName name="solver_rhs3" localSheetId="17" hidden="1">MergedRHS_OK!$J$12</definedName>
    <definedName name="solver_rhs3" localSheetId="16" hidden="1">MergedVarsBad!$J$12</definedName>
    <definedName name="solver_rhs3" localSheetId="15" hidden="1">MergedVarsOK!$J$12</definedName>
    <definedName name="solver_rhs3" localSheetId="14" hidden="1">MergedVarsSubset!$J$12</definedName>
    <definedName name="solver_rhs3" localSheetId="54" hidden="1">NamedRanges!$K$10:$K$11</definedName>
    <definedName name="solver_rhs3" localSheetId="67" hidden="1">NonLin!$L$43</definedName>
    <definedName name="solver_rhs3" localSheetId="72" hidden="1">-180</definedName>
    <definedName name="solver_rhs3" localSheetId="61" hidden="1">NonLinLarge!$J$73</definedName>
    <definedName name="solver_rhs3" localSheetId="62" hidden="1">NonLinObj!$J$10</definedName>
    <definedName name="solver_rhs3" localSheetId="63" hidden="1">NonLinPruning!$H$12:$H$18</definedName>
    <definedName name="solver_rhs3" localSheetId="60" hidden="1">NonLinSimple!$J$10</definedName>
    <definedName name="solver_rhs3" localSheetId="50" hidden="1">NoObj!$J$12</definedName>
    <definedName name="solver_rhs3" localSheetId="6" hidden="1">OverlappingVars!$J$11</definedName>
    <definedName name="solver_rhs3" localSheetId="30" hidden="1">ProtectedSheet!$J$11</definedName>
    <definedName name="solver_rhs3" localSheetId="36" hidden="1">binary</definedName>
    <definedName name="solver_rhs3" localSheetId="51" hidden="1">SeekObj!$I$8:$I$9</definedName>
    <definedName name="solver_rhs3" localSheetId="52" hidden="1">SeekObjInf!$I$8:$I$9</definedName>
    <definedName name="solver_rhs3" localSheetId="58" hidden="1">Sensitivity!$I$10:$I$11</definedName>
    <definedName name="solver_rhs3" localSheetId="59" hidden="1">SensitivityNames!$J$24</definedName>
    <definedName name="solver_rhs3" localSheetId="3" hidden="1">SimpleLP!$J$11</definedName>
    <definedName name="solver_rhs3" localSheetId="56" hidden="1">SolverParameters!$J$20</definedName>
    <definedName name="solver_rhs3" localSheetId="13" hidden="1">TextObj!$J$11</definedName>
    <definedName name="solver_rhs3" localSheetId="9" hidden="1">TextRHS!$J$11</definedName>
    <definedName name="solver_rhs3" localSheetId="29" hidden="1">Unbounded!$J$11</definedName>
    <definedName name="solver_rhs30" localSheetId="61" hidden="1">NonLinLarge!$J$139</definedName>
    <definedName name="solver_rhs300" localSheetId="61" hidden="1">NonLinLarge!$J$139</definedName>
    <definedName name="solver_rhs301" localSheetId="61" hidden="1">NonLinLarge!$J$7:$J$8</definedName>
    <definedName name="solver_rhs302" localSheetId="61" hidden="1">NonLinLarge!$J$9:$J$72</definedName>
    <definedName name="solver_rhs303" localSheetId="61" hidden="1">NonLinLarge!$J$73</definedName>
    <definedName name="solver_rhs304" localSheetId="61" hidden="1">NonLinLarge!$J$74</definedName>
    <definedName name="solver_rhs305" localSheetId="61" hidden="1">NonLinLarge!$J$75:$J$138</definedName>
    <definedName name="solver_rhs306" localSheetId="61" hidden="1">NonLinLarge!$J$139</definedName>
    <definedName name="solver_rhs307" localSheetId="61" hidden="1">NonLinLarge!$J$7:$J$8</definedName>
    <definedName name="solver_rhs308" localSheetId="61" hidden="1">NonLinLarge!$J$9:$J$72</definedName>
    <definedName name="solver_rhs309" localSheetId="61" hidden="1">NonLinLarge!$J$73</definedName>
    <definedName name="solver_rhs31" localSheetId="61" hidden="1">NonLinLarge!$J$7:$J$8</definedName>
    <definedName name="solver_rhs310" localSheetId="61" hidden="1">NonLinLarge!$J$74</definedName>
    <definedName name="solver_rhs311" localSheetId="61" hidden="1">NonLinLarge!$J$75:$J$138</definedName>
    <definedName name="solver_rhs312" localSheetId="61" hidden="1">NonLinLarge!$J$139</definedName>
    <definedName name="solver_rhs313" localSheetId="61" hidden="1">NonLinLarge!$J$7:$J$8</definedName>
    <definedName name="solver_rhs314" localSheetId="61" hidden="1">NonLinLarge!$J$9:$J$72</definedName>
    <definedName name="solver_rhs315" localSheetId="61" hidden="1">NonLinLarge!$J$73</definedName>
    <definedName name="solver_rhs316" localSheetId="61" hidden="1">NonLinLarge!$J$74</definedName>
    <definedName name="solver_rhs317" localSheetId="61" hidden="1">NonLinLarge!$J$75:$J$138</definedName>
    <definedName name="solver_rhs318" localSheetId="61" hidden="1">NonLinLarge!$J$139</definedName>
    <definedName name="solver_rhs319" localSheetId="61" hidden="1">NonLinLarge!$J$7:$J$8</definedName>
    <definedName name="solver_rhs32" localSheetId="61" hidden="1">NonLinLarge!$J$9:$J$72</definedName>
    <definedName name="solver_rhs320" localSheetId="61" hidden="1">NonLinLarge!$J$9:$J$72</definedName>
    <definedName name="solver_rhs321" localSheetId="61" hidden="1">NonLinLarge!$J$73</definedName>
    <definedName name="solver_rhs322" localSheetId="61" hidden="1">NonLinLarge!$J$74</definedName>
    <definedName name="solver_rhs323" localSheetId="61" hidden="1">NonLinLarge!$J$75:$J$138</definedName>
    <definedName name="solver_rhs324" localSheetId="61" hidden="1">NonLinLarge!$J$139</definedName>
    <definedName name="solver_rhs325" localSheetId="61" hidden="1">NonLinLarge!$J$7:$J$8</definedName>
    <definedName name="solver_rhs326" localSheetId="61" hidden="1">NonLinLarge!$J$9:$J$72</definedName>
    <definedName name="solver_rhs327" localSheetId="61" hidden="1">NonLinLarge!$J$73</definedName>
    <definedName name="solver_rhs328" localSheetId="61" hidden="1">NonLinLarge!$J$74</definedName>
    <definedName name="solver_rhs329" localSheetId="61" hidden="1">NonLinLarge!$J$75:$J$138</definedName>
    <definedName name="solver_rhs33" localSheetId="61" hidden="1">NonLinLarge!$J$73</definedName>
    <definedName name="solver_rhs330" localSheetId="61" hidden="1">NonLinLarge!$J$139</definedName>
    <definedName name="solver_rhs331" localSheetId="61" hidden="1">NonLinLarge!$J$7:$J$8</definedName>
    <definedName name="solver_rhs332" localSheetId="61" hidden="1">NonLinLarge!$J$9:$J$72</definedName>
    <definedName name="solver_rhs333" localSheetId="61" hidden="1">NonLinLarge!$J$73</definedName>
    <definedName name="solver_rhs334" localSheetId="61" hidden="1">NonLinLarge!$J$74</definedName>
    <definedName name="solver_rhs335" localSheetId="61" hidden="1">NonLinLarge!$J$75:$J$138</definedName>
    <definedName name="solver_rhs336" localSheetId="61" hidden="1">NonLinLarge!$J$139</definedName>
    <definedName name="solver_rhs337" localSheetId="61" hidden="1">NonLinLarge!$J$7:$J$8</definedName>
    <definedName name="solver_rhs338" localSheetId="61" hidden="1">NonLinLarge!$J$9:$J$72</definedName>
    <definedName name="solver_rhs339" localSheetId="61" hidden="1">NonLinLarge!$J$73</definedName>
    <definedName name="solver_rhs34" localSheetId="61" hidden="1">NonLinLarge!$J$74</definedName>
    <definedName name="solver_rhs340" localSheetId="61" hidden="1">NonLinLarge!$J$74</definedName>
    <definedName name="solver_rhs341" localSheetId="61" hidden="1">NonLinLarge!$J$75:$J$138</definedName>
    <definedName name="solver_rhs342" localSheetId="61" hidden="1">NonLinLarge!$J$139</definedName>
    <definedName name="solver_rhs343" localSheetId="61" hidden="1">NonLinLarge!$J$7:$J$8</definedName>
    <definedName name="solver_rhs344" localSheetId="61" hidden="1">NonLinLarge!$J$9:$J$72</definedName>
    <definedName name="solver_rhs345" localSheetId="61" hidden="1">NonLinLarge!$J$73</definedName>
    <definedName name="solver_rhs346" localSheetId="61" hidden="1">NonLinLarge!$J$74</definedName>
    <definedName name="solver_rhs347" localSheetId="61" hidden="1">NonLinLarge!$J$75:$J$138</definedName>
    <definedName name="solver_rhs348" localSheetId="61" hidden="1">NonLinLarge!$J$139</definedName>
    <definedName name="solver_rhs349" localSheetId="61" hidden="1">NonLinLarge!$J$7:$J$8</definedName>
    <definedName name="solver_rhs35" localSheetId="61" hidden="1">NonLinLarge!$J$75:$J$138</definedName>
    <definedName name="solver_rhs350" localSheetId="61" hidden="1">NonLinLarge!$J$9:$J$72</definedName>
    <definedName name="solver_rhs351" localSheetId="61" hidden="1">NonLinLarge!$J$73</definedName>
    <definedName name="solver_rhs352" localSheetId="61" hidden="1">NonLinLarge!$J$74</definedName>
    <definedName name="solver_rhs353" localSheetId="61" hidden="1">NonLinLarge!$J$75:$J$138</definedName>
    <definedName name="solver_rhs354" localSheetId="61" hidden="1">NonLinLarge!$J$139</definedName>
    <definedName name="solver_rhs355" localSheetId="61" hidden="1">NonLinLarge!$J$7:$J$8</definedName>
    <definedName name="solver_rhs356" localSheetId="61" hidden="1">NonLinLarge!$J$9:$J$72</definedName>
    <definedName name="solver_rhs357" localSheetId="61" hidden="1">NonLinLarge!$J$73</definedName>
    <definedName name="solver_rhs358" localSheetId="61" hidden="1">NonLinLarge!$J$74</definedName>
    <definedName name="solver_rhs359" localSheetId="61" hidden="1">NonLinLarge!$J$75:$J$138</definedName>
    <definedName name="solver_rhs36" localSheetId="61" hidden="1">NonLinLarge!$J$139</definedName>
    <definedName name="solver_rhs360" localSheetId="61" hidden="1">NonLinLarge!$J$139</definedName>
    <definedName name="solver_rhs361" localSheetId="61" hidden="1">NonLinLarge!$J$7:$J$8</definedName>
    <definedName name="solver_rhs362" localSheetId="61" hidden="1">NonLinLarge!$J$9:$J$72</definedName>
    <definedName name="solver_rhs363" localSheetId="61" hidden="1">NonLinLarge!$J$73</definedName>
    <definedName name="solver_rhs364" localSheetId="61" hidden="1">NonLinLarge!$J$74</definedName>
    <definedName name="solver_rhs365" localSheetId="61" hidden="1">NonLinLarge!$J$75:$J$138</definedName>
    <definedName name="solver_rhs366" localSheetId="61" hidden="1">NonLinLarge!$J$139</definedName>
    <definedName name="solver_rhs367" localSheetId="61" hidden="1">NonLinLarge!$J$7:$J$8</definedName>
    <definedName name="solver_rhs368" localSheetId="61" hidden="1">NonLinLarge!$J$9:$J$72</definedName>
    <definedName name="solver_rhs369" localSheetId="61" hidden="1">NonLinLarge!$J$73</definedName>
    <definedName name="solver_rhs37" localSheetId="61" hidden="1">NonLinLarge!$J$7:$J$8</definedName>
    <definedName name="solver_rhs370" localSheetId="61" hidden="1">NonLinLarge!$J$74</definedName>
    <definedName name="solver_rhs371" localSheetId="61" hidden="1">NonLinLarge!$J$75:$J$138</definedName>
    <definedName name="solver_rhs372" localSheetId="61" hidden="1">NonLinLarge!$J$139</definedName>
    <definedName name="solver_rhs373" localSheetId="61" hidden="1">NonLinLarge!$J$7:$J$8</definedName>
    <definedName name="solver_rhs374" localSheetId="61" hidden="1">NonLinLarge!$J$9:$J$72</definedName>
    <definedName name="solver_rhs375" localSheetId="61" hidden="1">NonLinLarge!$J$73</definedName>
    <definedName name="solver_rhs376" localSheetId="61" hidden="1">NonLinLarge!$J$74</definedName>
    <definedName name="solver_rhs377" localSheetId="61" hidden="1">NonLinLarge!$J$75:$J$138</definedName>
    <definedName name="solver_rhs378" localSheetId="61" hidden="1">NonLinLarge!$J$139</definedName>
    <definedName name="solver_rhs379" localSheetId="61" hidden="1">NonLinLarge!$J$7:$J$8</definedName>
    <definedName name="solver_rhs38" localSheetId="61" hidden="1">NonLinLarge!$J$9:$J$72</definedName>
    <definedName name="solver_rhs380" localSheetId="61" hidden="1">NonLinLarge!$J$9:$J$72</definedName>
    <definedName name="solver_rhs381" localSheetId="61" hidden="1">NonLinLarge!$J$73</definedName>
    <definedName name="solver_rhs382" localSheetId="61" hidden="1">NonLinLarge!$J$74</definedName>
    <definedName name="solver_rhs383" localSheetId="61" hidden="1">NonLinLarge!$J$75:$J$138</definedName>
    <definedName name="solver_rhs384" localSheetId="61" hidden="1">NonLinLarge!$J$139</definedName>
    <definedName name="solver_rhs385" localSheetId="61" hidden="1">NonLinLarge!$J$7:$J$8</definedName>
    <definedName name="solver_rhs386" localSheetId="61" hidden="1">NonLinLarge!$J$9:$J$72</definedName>
    <definedName name="solver_rhs387" localSheetId="61" hidden="1">NonLinLarge!$J$73</definedName>
    <definedName name="solver_rhs388" localSheetId="61" hidden="1">NonLinLarge!$J$74</definedName>
    <definedName name="solver_rhs389" localSheetId="61" hidden="1">NonLinLarge!$J$75:$J$138</definedName>
    <definedName name="solver_rhs39" localSheetId="61" hidden="1">NonLinLarge!$J$73</definedName>
    <definedName name="solver_rhs390" localSheetId="61" hidden="1">NonLinLarge!$J$139</definedName>
    <definedName name="solver_rhs391" localSheetId="61" hidden="1">NonLinLarge!$J$7:$J$8</definedName>
    <definedName name="solver_rhs392" localSheetId="61" hidden="1">NonLinLarge!$J$9:$J$72</definedName>
    <definedName name="solver_rhs393" localSheetId="61" hidden="1">NonLinLarge!$J$73</definedName>
    <definedName name="solver_rhs394" localSheetId="61" hidden="1">NonLinLarge!$J$74</definedName>
    <definedName name="solver_rhs395" localSheetId="61" hidden="1">NonLinLarge!$J$75:$J$138</definedName>
    <definedName name="solver_rhs396" localSheetId="61" hidden="1">NonLinLarge!$J$139</definedName>
    <definedName name="solver_rhs397" localSheetId="61" hidden="1">NonLinLarge!$J$7:$J$8</definedName>
    <definedName name="solver_rhs398" localSheetId="61" hidden="1">NonLinLarge!$J$9:$J$72</definedName>
    <definedName name="solver_rhs399" localSheetId="61" hidden="1">NonLinLarge!$J$73</definedName>
    <definedName name="solver_rhs4" localSheetId="75" hidden="1">AutoModel!$D$35</definedName>
    <definedName name="solver_rhs4" localSheetId="35" hidden="1">integer</definedName>
    <definedName name="solver_rhs4" localSheetId="20" hidden="1">binary</definedName>
    <definedName name="solver_rhs4" localSheetId="47" hidden="1">binary</definedName>
    <definedName name="solver_rhs4" localSheetId="21" hidden="1">binary</definedName>
    <definedName name="solver_rhs4" localSheetId="22" hidden="1">binary</definedName>
    <definedName name="solver_rhs4" localSheetId="25" hidden="1">DeletedConRef!#REF!</definedName>
    <definedName name="solver_rhs4" localSheetId="31" hidden="1">IndirectLBs!$D$6:$E$6</definedName>
    <definedName name="solver_rhs4" localSheetId="48" hidden="1">2</definedName>
    <definedName name="solver_rhs4" localSheetId="54" hidden="1">NamedRanges!$K$12</definedName>
    <definedName name="solver_rhs4" localSheetId="67" hidden="1">NonLin!$L$44</definedName>
    <definedName name="solver_rhs4" localSheetId="72" hidden="1">0</definedName>
    <definedName name="solver_rhs4" localSheetId="61" hidden="1">NonLinLarge!$J$74</definedName>
    <definedName name="solver_rhs4" localSheetId="36" hidden="1">integer</definedName>
    <definedName name="solver_rhs4" localSheetId="58" hidden="1">Sensitivity!$G$20</definedName>
    <definedName name="solver_rhs4" localSheetId="59" hidden="1">0</definedName>
    <definedName name="solver_rhs4" localSheetId="57" hidden="1">integer</definedName>
    <definedName name="solver_rhs40" localSheetId="61" hidden="1">NonLinLarge!$J$74</definedName>
    <definedName name="solver_rhs400" localSheetId="61" hidden="1">NonLinLarge!$J$74</definedName>
    <definedName name="solver_rhs401" localSheetId="61" hidden="1">NonLinLarge!$J$75:$J$138</definedName>
    <definedName name="solver_rhs402" localSheetId="61" hidden="1">NonLinLarge!$J$139</definedName>
    <definedName name="solver_rhs403" localSheetId="61" hidden="1">NonLinLarge!$J$7:$J$8</definedName>
    <definedName name="solver_rhs404" localSheetId="61" hidden="1">NonLinLarge!$J$9:$J$72</definedName>
    <definedName name="solver_rhs405" localSheetId="61" hidden="1">NonLinLarge!$J$73</definedName>
    <definedName name="solver_rhs406" localSheetId="61" hidden="1">NonLinLarge!$J$74</definedName>
    <definedName name="solver_rhs407" localSheetId="61" hidden="1">NonLinLarge!$J$75:$J$138</definedName>
    <definedName name="solver_rhs408" localSheetId="61" hidden="1">NonLinLarge!$J$139</definedName>
    <definedName name="solver_rhs409" localSheetId="61" hidden="1">NonLinLarge!$J$7:$J$8</definedName>
    <definedName name="solver_rhs41" localSheetId="61" hidden="1">NonLinLarge!$J$75:$J$138</definedName>
    <definedName name="solver_rhs410" localSheetId="61" hidden="1">NonLinLarge!$J$9:$J$72</definedName>
    <definedName name="solver_rhs411" localSheetId="61" hidden="1">NonLinLarge!$J$73</definedName>
    <definedName name="solver_rhs412" localSheetId="61" hidden="1">NonLinLarge!$J$74</definedName>
    <definedName name="solver_rhs413" localSheetId="61" hidden="1">NonLinLarge!$J$75:$J$138</definedName>
    <definedName name="solver_rhs414" localSheetId="61" hidden="1">NonLinLarge!$J$139</definedName>
    <definedName name="solver_rhs415" localSheetId="61" hidden="1">NonLinLarge!$J$7:$J$8</definedName>
    <definedName name="solver_rhs416" localSheetId="61" hidden="1">NonLinLarge!$J$9:$J$72</definedName>
    <definedName name="solver_rhs417" localSheetId="61" hidden="1">NonLinLarge!$J$73</definedName>
    <definedName name="solver_rhs418" localSheetId="61" hidden="1">NonLinLarge!$J$74</definedName>
    <definedName name="solver_rhs419" localSheetId="61" hidden="1">NonLinLarge!$J$75:$J$138</definedName>
    <definedName name="solver_rhs42" localSheetId="61" hidden="1">NonLinLarge!$J$139</definedName>
    <definedName name="solver_rhs420" localSheetId="61" hidden="1">NonLinLarge!$J$139</definedName>
    <definedName name="solver_rhs421" localSheetId="61" hidden="1">NonLinLarge!$J$7:$J$8</definedName>
    <definedName name="solver_rhs422" localSheetId="61" hidden="1">NonLinLarge!$J$9:$J$72</definedName>
    <definedName name="solver_rhs423" localSheetId="61" hidden="1">NonLinLarge!$J$73</definedName>
    <definedName name="solver_rhs424" localSheetId="61" hidden="1">NonLinLarge!$J$74</definedName>
    <definedName name="solver_rhs425" localSheetId="61" hidden="1">NonLinLarge!$J$75:$J$138</definedName>
    <definedName name="solver_rhs426" localSheetId="61" hidden="1">NonLinLarge!$J$139</definedName>
    <definedName name="solver_rhs427" localSheetId="61" hidden="1">NonLinLarge!$J$7:$J$8</definedName>
    <definedName name="solver_rhs428" localSheetId="61" hidden="1">NonLinLarge!$J$9:$J$72</definedName>
    <definedName name="solver_rhs429" localSheetId="61" hidden="1">NonLinLarge!$J$73</definedName>
    <definedName name="solver_rhs43" localSheetId="61" hidden="1">NonLinLarge!$J$7:$J$8</definedName>
    <definedName name="solver_rhs430" localSheetId="61" hidden="1">NonLinLarge!$J$74</definedName>
    <definedName name="solver_rhs431" localSheetId="61" hidden="1">NonLinLarge!$J$75:$J$138</definedName>
    <definedName name="solver_rhs432" localSheetId="61" hidden="1">NonLinLarge!$J$139</definedName>
    <definedName name="solver_rhs433" localSheetId="61" hidden="1">NonLinLarge!$J$7:$J$8</definedName>
    <definedName name="solver_rhs434" localSheetId="61" hidden="1">NonLinLarge!$J$9:$J$72</definedName>
    <definedName name="solver_rhs435" localSheetId="61" hidden="1">NonLinLarge!$J$73</definedName>
    <definedName name="solver_rhs436" localSheetId="61" hidden="1">NonLinLarge!$J$74</definedName>
    <definedName name="solver_rhs437" localSheetId="61" hidden="1">NonLinLarge!$J$75:$J$138</definedName>
    <definedName name="solver_rhs438" localSheetId="61" hidden="1">NonLinLarge!$J$139</definedName>
    <definedName name="solver_rhs439" localSheetId="61" hidden="1">NonLinLarge!$J$7:$J$8</definedName>
    <definedName name="solver_rhs44" localSheetId="61" hidden="1">NonLinLarge!$J$9:$J$72</definedName>
    <definedName name="solver_rhs440" localSheetId="61" hidden="1">NonLinLarge!$J$9:$J$72</definedName>
    <definedName name="solver_rhs441" localSheetId="61" hidden="1">NonLinLarge!$J$73</definedName>
    <definedName name="solver_rhs442" localSheetId="61" hidden="1">NonLinLarge!$J$74</definedName>
    <definedName name="solver_rhs443" localSheetId="61" hidden="1">NonLinLarge!$J$75:$J$138</definedName>
    <definedName name="solver_rhs444" localSheetId="61" hidden="1">NonLinLarge!$J$139</definedName>
    <definedName name="solver_rhs445" localSheetId="61" hidden="1">NonLinLarge!$J$7:$J$8</definedName>
    <definedName name="solver_rhs446" localSheetId="61" hidden="1">NonLinLarge!$J$9:$J$72</definedName>
    <definedName name="solver_rhs447" localSheetId="61" hidden="1">NonLinLarge!$J$73</definedName>
    <definedName name="solver_rhs448" localSheetId="61" hidden="1">NonLinLarge!$J$74</definedName>
    <definedName name="solver_rhs449" localSheetId="61" hidden="1">NonLinLarge!$J$75:$J$138</definedName>
    <definedName name="solver_rhs45" localSheetId="61" hidden="1">NonLinLarge!$J$73</definedName>
    <definedName name="solver_rhs450" localSheetId="61" hidden="1">NonLinLarge!$J$139</definedName>
    <definedName name="solver_rhs451" localSheetId="61" hidden="1">NonLinLarge!$J$7:$J$8</definedName>
    <definedName name="solver_rhs452" localSheetId="61" hidden="1">NonLinLarge!$J$9:$J$72</definedName>
    <definedName name="solver_rhs453" localSheetId="61" hidden="1">NonLinLarge!$J$73</definedName>
    <definedName name="solver_rhs454" localSheetId="61" hidden="1">NonLinLarge!$J$74</definedName>
    <definedName name="solver_rhs455" localSheetId="61" hidden="1">NonLinLarge!$J$75:$J$138</definedName>
    <definedName name="solver_rhs456" localSheetId="61" hidden="1">NonLinLarge!$J$139</definedName>
    <definedName name="solver_rhs457" localSheetId="61" hidden="1">NonLinLarge!$J$7:$J$8</definedName>
    <definedName name="solver_rhs458" localSheetId="61" hidden="1">NonLinLarge!$J$9:$J$72</definedName>
    <definedName name="solver_rhs459" localSheetId="61" hidden="1">NonLinLarge!$J$73</definedName>
    <definedName name="solver_rhs46" localSheetId="61" hidden="1">NonLinLarge!$J$74</definedName>
    <definedName name="solver_rhs460" localSheetId="61" hidden="1">NonLinLarge!$J$74</definedName>
    <definedName name="solver_rhs461" localSheetId="61" hidden="1">NonLinLarge!$J$75:$J$138</definedName>
    <definedName name="solver_rhs462" localSheetId="61" hidden="1">NonLinLarge!$J$139</definedName>
    <definedName name="solver_rhs463" localSheetId="61" hidden="1">NonLinLarge!$J$7:$J$8</definedName>
    <definedName name="solver_rhs464" localSheetId="61" hidden="1">NonLinLarge!$J$9:$J$72</definedName>
    <definedName name="solver_rhs465" localSheetId="61" hidden="1">NonLinLarge!$J$73</definedName>
    <definedName name="solver_rhs466" localSheetId="61" hidden="1">NonLinLarge!$J$74</definedName>
    <definedName name="solver_rhs467" localSheetId="61" hidden="1">NonLinLarge!$J$75:$J$138</definedName>
    <definedName name="solver_rhs468" localSheetId="61" hidden="1">NonLinLarge!$J$139</definedName>
    <definedName name="solver_rhs469" localSheetId="61" hidden="1">NonLinLarge!$J$7:$J$8</definedName>
    <definedName name="solver_rhs47" localSheetId="61" hidden="1">NonLinLarge!$J$75:$J$138</definedName>
    <definedName name="solver_rhs470" localSheetId="61" hidden="1">NonLinLarge!$J$9:$J$72</definedName>
    <definedName name="solver_rhs471" localSheetId="61" hidden="1">NonLinLarge!$J$73</definedName>
    <definedName name="solver_rhs472" localSheetId="61" hidden="1">NonLinLarge!$J$74</definedName>
    <definedName name="solver_rhs473" localSheetId="61" hidden="1">NonLinLarge!$J$75:$J$138</definedName>
    <definedName name="solver_rhs474" localSheetId="61" hidden="1">NonLinLarge!$J$139</definedName>
    <definedName name="solver_rhs475" localSheetId="61" hidden="1">NonLinLarge!$J$7:$J$8</definedName>
    <definedName name="solver_rhs476" localSheetId="61" hidden="1">NonLinLarge!$J$9:$J$72</definedName>
    <definedName name="solver_rhs477" localSheetId="61" hidden="1">NonLinLarge!$J$73</definedName>
    <definedName name="solver_rhs478" localSheetId="61" hidden="1">NonLinLarge!$J$74</definedName>
    <definedName name="solver_rhs479" localSheetId="61" hidden="1">NonLinLarge!$J$75:$J$138</definedName>
    <definedName name="solver_rhs48" localSheetId="61" hidden="1">NonLinLarge!$J$139</definedName>
    <definedName name="solver_rhs480" localSheetId="61" hidden="1">NonLinLarge!$J$139</definedName>
    <definedName name="solver_rhs481" localSheetId="61" hidden="1">NonLinLarge!$J$7:$J$8</definedName>
    <definedName name="solver_rhs482" localSheetId="61" hidden="1">NonLinLarge!$J$9:$J$72</definedName>
    <definedName name="solver_rhs483" localSheetId="61" hidden="1">NonLinLarge!$J$73</definedName>
    <definedName name="solver_rhs484" localSheetId="61" hidden="1">NonLinLarge!$J$74</definedName>
    <definedName name="solver_rhs485" localSheetId="61" hidden="1">NonLinLarge!$J$75:$J$138</definedName>
    <definedName name="solver_rhs486" localSheetId="61" hidden="1">NonLinLarge!$J$139</definedName>
    <definedName name="solver_rhs487" localSheetId="61" hidden="1">NonLinLarge!$J$7:$J$8</definedName>
    <definedName name="solver_rhs488" localSheetId="61" hidden="1">NonLinLarge!$J$9:$J$72</definedName>
    <definedName name="solver_rhs489" localSheetId="61" hidden="1">NonLinLarge!$J$73</definedName>
    <definedName name="solver_rhs49" localSheetId="61" hidden="1">NonLinLarge!$J$7:$J$8</definedName>
    <definedName name="solver_rhs490" localSheetId="61" hidden="1">NonLinLarge!$J$74</definedName>
    <definedName name="solver_rhs491" localSheetId="61" hidden="1">NonLinLarge!$J$75:$J$138</definedName>
    <definedName name="solver_rhs492" localSheetId="61" hidden="1">NonLinLarge!$J$139</definedName>
    <definedName name="solver_rhs493" localSheetId="61" hidden="1">NonLinLarge!$J$7:$J$8</definedName>
    <definedName name="solver_rhs494" localSheetId="61" hidden="1">NonLinLarge!$J$9:$J$72</definedName>
    <definedName name="solver_rhs495" localSheetId="61" hidden="1">NonLinLarge!$J$73</definedName>
    <definedName name="solver_rhs496" localSheetId="61" hidden="1">NonLinLarge!$J$74</definedName>
    <definedName name="solver_rhs497" localSheetId="61" hidden="1">NonLinLarge!$J$75:$J$138</definedName>
    <definedName name="solver_rhs498" localSheetId="61" hidden="1">NonLinLarge!$J$139</definedName>
    <definedName name="solver_rhs499" localSheetId="61" hidden="1">NonLinLarge!$J$7:$J$8</definedName>
    <definedName name="solver_rhs5" localSheetId="75" hidden="1">integer</definedName>
    <definedName name="solver_rhs5" localSheetId="20" hidden="1">integer</definedName>
    <definedName name="solver_rhs5" localSheetId="47" hidden="1">integer</definedName>
    <definedName name="solver_rhs5" localSheetId="21" hidden="1">integer</definedName>
    <definedName name="solver_rhs5" localSheetId="22" hidden="1">integer</definedName>
    <definedName name="solver_rhs5" localSheetId="31" hidden="1">2</definedName>
    <definedName name="solver_rhs5" localSheetId="67" hidden="1">integer</definedName>
    <definedName name="solver_rhs5" localSheetId="61" hidden="1">NonLinLarge!$J$75:$J$138</definedName>
    <definedName name="solver_rhs5" localSheetId="57" hidden="1">1.5</definedName>
    <definedName name="solver_rhs50" localSheetId="61" hidden="1">NonLinLarge!$J$9:$J$72</definedName>
    <definedName name="solver_rhs500" localSheetId="61" hidden="1">NonLinLarge!$J$9:$J$72</definedName>
    <definedName name="solver_rhs501" localSheetId="61" hidden="1">NonLinLarge!$J$73</definedName>
    <definedName name="solver_rhs502" localSheetId="61" hidden="1">NonLinLarge!$J$74</definedName>
    <definedName name="solver_rhs503" localSheetId="61" hidden="1">NonLinLarge!$J$75:$J$138</definedName>
    <definedName name="solver_rhs504" localSheetId="61" hidden="1">NonLinLarge!$J$139</definedName>
    <definedName name="solver_rhs505" localSheetId="61" hidden="1">NonLinLarge!$J$7:$J$8</definedName>
    <definedName name="solver_rhs506" localSheetId="61" hidden="1">NonLinLarge!$J$9:$J$72</definedName>
    <definedName name="solver_rhs507" localSheetId="61" hidden="1">NonLinLarge!$J$73</definedName>
    <definedName name="solver_rhs508" localSheetId="61" hidden="1">NonLinLarge!$J$74</definedName>
    <definedName name="solver_rhs509" localSheetId="61" hidden="1">NonLinLarge!$J$75:$J$138</definedName>
    <definedName name="solver_rhs51" localSheetId="61" hidden="1">NonLinLarge!$J$73</definedName>
    <definedName name="solver_rhs510" localSheetId="61" hidden="1">NonLinLarge!$J$139</definedName>
    <definedName name="solver_rhs511" localSheetId="61" hidden="1">NonLinLarge!$J$7:$J$8</definedName>
    <definedName name="solver_rhs512" localSheetId="61" hidden="1">NonLinLarge!$J$9:$J$72</definedName>
    <definedName name="solver_rhs513" localSheetId="61" hidden="1">NonLinLarge!$J$73</definedName>
    <definedName name="solver_rhs514" localSheetId="61" hidden="1">NonLinLarge!$J$74</definedName>
    <definedName name="solver_rhs515" localSheetId="61" hidden="1">NonLinLarge!$J$75:$J$138</definedName>
    <definedName name="solver_rhs516" localSheetId="61" hidden="1">NonLinLarge!$J$139</definedName>
    <definedName name="solver_rhs517" localSheetId="61" hidden="1">NonLinLarge!$J$7:$J$8</definedName>
    <definedName name="solver_rhs518" localSheetId="61" hidden="1">NonLinLarge!$J$9:$J$72</definedName>
    <definedName name="solver_rhs519" localSheetId="61" hidden="1">NonLinLarge!$J$73</definedName>
    <definedName name="solver_rhs52" localSheetId="61" hidden="1">NonLinLarge!$J$74</definedName>
    <definedName name="solver_rhs520" localSheetId="61" hidden="1">NonLinLarge!$J$74</definedName>
    <definedName name="solver_rhs521" localSheetId="61" hidden="1">NonLinLarge!$J$75:$J$138</definedName>
    <definedName name="solver_rhs522" localSheetId="61" hidden="1">NonLinLarge!$J$139</definedName>
    <definedName name="solver_rhs523" localSheetId="61" hidden="1">NonLinLarge!$J$7:$J$8</definedName>
    <definedName name="solver_rhs524" localSheetId="61" hidden="1">NonLinLarge!$J$9:$J$72</definedName>
    <definedName name="solver_rhs525" localSheetId="61" hidden="1">NonLinLarge!$J$73</definedName>
    <definedName name="solver_rhs526" localSheetId="61" hidden="1">NonLinLarge!$J$74</definedName>
    <definedName name="solver_rhs527" localSheetId="61" hidden="1">NonLinLarge!$J$75:$J$138</definedName>
    <definedName name="solver_rhs528" localSheetId="61" hidden="1">NonLinLarge!$J$139</definedName>
    <definedName name="solver_rhs529" localSheetId="61" hidden="1">NonLinLarge!$J$7:$J$8</definedName>
    <definedName name="solver_rhs53" localSheetId="61" hidden="1">NonLinLarge!$J$75:$J$138</definedName>
    <definedName name="solver_rhs530" localSheetId="61" hidden="1">NonLinLarge!$J$9:$J$72</definedName>
    <definedName name="solver_rhs531" localSheetId="61" hidden="1">NonLinLarge!$J$73</definedName>
    <definedName name="solver_rhs532" localSheetId="61" hidden="1">NonLinLarge!$J$74</definedName>
    <definedName name="solver_rhs533" localSheetId="61" hidden="1">NonLinLarge!$J$75:$J$138</definedName>
    <definedName name="solver_rhs534" localSheetId="61" hidden="1">NonLinLarge!$J$139</definedName>
    <definedName name="solver_rhs535" localSheetId="61" hidden="1">NonLinLarge!$J$7:$J$8</definedName>
    <definedName name="solver_rhs536" localSheetId="61" hidden="1">NonLinLarge!$J$9:$J$72</definedName>
    <definedName name="solver_rhs537" localSheetId="61" hidden="1">NonLinLarge!$J$73</definedName>
    <definedName name="solver_rhs538" localSheetId="61" hidden="1">NonLinLarge!$J$74</definedName>
    <definedName name="solver_rhs539" localSheetId="61" hidden="1">NonLinLarge!$J$75:$J$138</definedName>
    <definedName name="solver_rhs54" localSheetId="61" hidden="1">NonLinLarge!$J$139</definedName>
    <definedName name="solver_rhs540" localSheetId="61" hidden="1">NonLinLarge!$J$139</definedName>
    <definedName name="solver_rhs541" localSheetId="61" hidden="1">NonLinLarge!$J$7:$J$8</definedName>
    <definedName name="solver_rhs542" localSheetId="61" hidden="1">NonLinLarge!$J$9:$J$72</definedName>
    <definedName name="solver_rhs543" localSheetId="61" hidden="1">NonLinLarge!$J$73</definedName>
    <definedName name="solver_rhs544" localSheetId="61" hidden="1">NonLinLarge!$J$74</definedName>
    <definedName name="solver_rhs545" localSheetId="61" hidden="1">NonLinLarge!$J$75:$J$138</definedName>
    <definedName name="solver_rhs546" localSheetId="61" hidden="1">NonLinLarge!$J$139</definedName>
    <definedName name="solver_rhs547" localSheetId="61" hidden="1">NonLinLarge!$J$7:$J$8</definedName>
    <definedName name="solver_rhs548" localSheetId="61" hidden="1">NonLinLarge!$J$9:$J$72</definedName>
    <definedName name="solver_rhs549" localSheetId="61" hidden="1">NonLinLarge!$J$73</definedName>
    <definedName name="solver_rhs55" localSheetId="61" hidden="1">NonLinLarge!$J$7:$J$8</definedName>
    <definedName name="solver_rhs550" localSheetId="61" hidden="1">NonLinLarge!$J$74</definedName>
    <definedName name="solver_rhs551" localSheetId="61" hidden="1">NonLinLarge!$J$75:$J$138</definedName>
    <definedName name="solver_rhs552" localSheetId="61" hidden="1">NonLinLarge!$J$139</definedName>
    <definedName name="solver_rhs553" localSheetId="61" hidden="1">NonLinLarge!$J$7:$J$8</definedName>
    <definedName name="solver_rhs554" localSheetId="61" hidden="1">NonLinLarge!$J$9:$J$72</definedName>
    <definedName name="solver_rhs555" localSheetId="61" hidden="1">NonLinLarge!$J$73</definedName>
    <definedName name="solver_rhs556" localSheetId="61" hidden="1">NonLinLarge!$J$74</definedName>
    <definedName name="solver_rhs557" localSheetId="61" hidden="1">NonLinLarge!$J$75:$J$138</definedName>
    <definedName name="solver_rhs558" localSheetId="61" hidden="1">NonLinLarge!$J$139</definedName>
    <definedName name="solver_rhs559" localSheetId="61" hidden="1">NonLinLarge!$J$7:$J$8</definedName>
    <definedName name="solver_rhs56" localSheetId="61" hidden="1">NonLinLarge!$J$9:$J$72</definedName>
    <definedName name="solver_rhs560" localSheetId="61" hidden="1">NonLinLarge!$J$9:$J$72</definedName>
    <definedName name="solver_rhs561" localSheetId="61" hidden="1">NonLinLarge!$J$73</definedName>
    <definedName name="solver_rhs562" localSheetId="61" hidden="1">NonLinLarge!$J$74</definedName>
    <definedName name="solver_rhs563" localSheetId="61" hidden="1">NonLinLarge!$J$75:$J$138</definedName>
    <definedName name="solver_rhs564" localSheetId="61" hidden="1">NonLinLarge!$J$139</definedName>
    <definedName name="solver_rhs565" localSheetId="61" hidden="1">NonLinLarge!$J$7:$J$8</definedName>
    <definedName name="solver_rhs566" localSheetId="61" hidden="1">NonLinLarge!$J$9:$J$72</definedName>
    <definedName name="solver_rhs567" localSheetId="61" hidden="1">NonLinLarge!$J$73</definedName>
    <definedName name="solver_rhs568" localSheetId="61" hidden="1">NonLinLarge!$J$74</definedName>
    <definedName name="solver_rhs569" localSheetId="61" hidden="1">NonLinLarge!$J$75:$J$138</definedName>
    <definedName name="solver_rhs57" localSheetId="61" hidden="1">NonLinLarge!$J$73</definedName>
    <definedName name="solver_rhs570" localSheetId="61" hidden="1">NonLinLarge!$J$139</definedName>
    <definedName name="solver_rhs571" localSheetId="61" hidden="1">NonLinLarge!$J$7:$J$8</definedName>
    <definedName name="solver_rhs572" localSheetId="61" hidden="1">NonLinLarge!$J$9:$J$72</definedName>
    <definedName name="solver_rhs573" localSheetId="61" hidden="1">NonLinLarge!$J$73</definedName>
    <definedName name="solver_rhs574" localSheetId="61" hidden="1">NonLinLarge!$J$74</definedName>
    <definedName name="solver_rhs575" localSheetId="61" hidden="1">NonLinLarge!$J$75:$J$138</definedName>
    <definedName name="solver_rhs576" localSheetId="61" hidden="1">NonLinLarge!$J$139</definedName>
    <definedName name="solver_rhs577" localSheetId="61" hidden="1">NonLinLarge!$J$7:$J$8</definedName>
    <definedName name="solver_rhs578" localSheetId="61" hidden="1">NonLinLarge!$J$9:$J$72</definedName>
    <definedName name="solver_rhs579" localSheetId="61" hidden="1">NonLinLarge!$J$73</definedName>
    <definedName name="solver_rhs58" localSheetId="61" hidden="1">NonLinLarge!$J$74</definedName>
    <definedName name="solver_rhs580" localSheetId="61" hidden="1">NonLinLarge!$J$74</definedName>
    <definedName name="solver_rhs581" localSheetId="61" hidden="1">NonLinLarge!$J$75:$J$138</definedName>
    <definedName name="solver_rhs582" localSheetId="61" hidden="1">NonLinLarge!$J$139</definedName>
    <definedName name="solver_rhs583" localSheetId="61" hidden="1">NonLinLarge!$J$7:$J$8</definedName>
    <definedName name="solver_rhs584" localSheetId="61" hidden="1">NonLinLarge!$J$9:$J$72</definedName>
    <definedName name="solver_rhs585" localSheetId="61" hidden="1">NonLinLarge!$J$73</definedName>
    <definedName name="solver_rhs586" localSheetId="61" hidden="1">NonLinLarge!$J$74</definedName>
    <definedName name="solver_rhs587" localSheetId="61" hidden="1">NonLinLarge!$J$75:$J$138</definedName>
    <definedName name="solver_rhs588" localSheetId="61" hidden="1">NonLinLarge!$J$139</definedName>
    <definedName name="solver_rhs589" localSheetId="61" hidden="1">NonLinLarge!$J$7:$J$8</definedName>
    <definedName name="solver_rhs59" localSheetId="61" hidden="1">NonLinLarge!$J$75:$J$138</definedName>
    <definedName name="solver_rhs590" localSheetId="61" hidden="1">NonLinLarge!$J$9:$J$72</definedName>
    <definedName name="solver_rhs591" localSheetId="61" hidden="1">NonLinLarge!$J$73</definedName>
    <definedName name="solver_rhs592" localSheetId="61" hidden="1">NonLinLarge!$J$74</definedName>
    <definedName name="solver_rhs593" localSheetId="61" hidden="1">NonLinLarge!$J$75:$J$138</definedName>
    <definedName name="solver_rhs594" localSheetId="61" hidden="1">NonLinLarge!$J$139</definedName>
    <definedName name="solver_rhs595" localSheetId="61" hidden="1">NonLinLarge!$J$7:$J$8</definedName>
    <definedName name="solver_rhs596" localSheetId="61" hidden="1">NonLinLarge!$J$9:$J$72</definedName>
    <definedName name="solver_rhs597" localSheetId="61" hidden="1">NonLinLarge!$J$73</definedName>
    <definedName name="solver_rhs598" localSheetId="61" hidden="1">NonLinLarge!$J$74</definedName>
    <definedName name="solver_rhs599" localSheetId="61" hidden="1">NonLinLarge!$J$75:$J$138</definedName>
    <definedName name="solver_rhs6" localSheetId="47" hidden="1">ComplexLayout!$U$3:$U$4</definedName>
    <definedName name="solver_rhs6" localSheetId="21" hidden="1">ConFormula!$U$4:$U$5</definedName>
    <definedName name="solver_rhs6" localSheetId="22" hidden="1">ConFormulaInf!$U$4:$U$5</definedName>
    <definedName name="solver_rhs6" localSheetId="61" hidden="1">NonLinLarge!$J$139</definedName>
    <definedName name="solver_rhs60" localSheetId="61" hidden="1">NonLinLarge!$J$139</definedName>
    <definedName name="solver_rhs600" localSheetId="61" hidden="1">NonLinLarge!$J$139</definedName>
    <definedName name="solver_rhs61" localSheetId="61" hidden="1">NonLinLarge!$J$7:$J$8</definedName>
    <definedName name="solver_rhs62" localSheetId="61" hidden="1">NonLinLarge!$J$9:$J$72</definedName>
    <definedName name="solver_rhs63" localSheetId="61" hidden="1">NonLinLarge!$J$73</definedName>
    <definedName name="solver_rhs64" localSheetId="61" hidden="1">NonLinLarge!$J$74</definedName>
    <definedName name="solver_rhs65" localSheetId="61" hidden="1">NonLinLarge!$J$75:$J$138</definedName>
    <definedName name="solver_rhs66" localSheetId="61" hidden="1">NonLinLarge!$J$139</definedName>
    <definedName name="solver_rhs67" localSheetId="61" hidden="1">NonLinLarge!$J$7:$J$8</definedName>
    <definedName name="solver_rhs68" localSheetId="61" hidden="1">NonLinLarge!$J$9:$J$72</definedName>
    <definedName name="solver_rhs69" localSheetId="61" hidden="1">NonLinLarge!$J$73</definedName>
    <definedName name="solver_rhs7" localSheetId="47" hidden="1">ComplexLayout!$Q$7:$R$7</definedName>
    <definedName name="solver_rhs7" localSheetId="21" hidden="1">ConFormula!$Q$8:$R$8</definedName>
    <definedName name="solver_rhs7" localSheetId="22" hidden="1">ConFormulaInf!$Q$8:$R$8</definedName>
    <definedName name="solver_rhs7" localSheetId="61" hidden="1">NonLinLarge!$J$7:$J$8</definedName>
    <definedName name="solver_rhs70" localSheetId="61" hidden="1">NonLinLarge!$J$74</definedName>
    <definedName name="solver_rhs71" localSheetId="61" hidden="1">NonLinLarge!$J$75:$J$138</definedName>
    <definedName name="solver_rhs72" localSheetId="61" hidden="1">NonLinLarge!$J$139</definedName>
    <definedName name="solver_rhs73" localSheetId="61" hidden="1">NonLinLarge!$J$7:$J$8</definedName>
    <definedName name="solver_rhs74" localSheetId="61" hidden="1">NonLinLarge!$J$9:$J$72</definedName>
    <definedName name="solver_rhs75" localSheetId="61" hidden="1">NonLinLarge!$J$73</definedName>
    <definedName name="solver_rhs76" localSheetId="61" hidden="1">NonLinLarge!$J$74</definedName>
    <definedName name="solver_rhs77" localSheetId="61" hidden="1">NonLinLarge!$J$75:$J$138</definedName>
    <definedName name="solver_rhs78" localSheetId="61" hidden="1">NonLinLarge!$J$139</definedName>
    <definedName name="solver_rhs79" localSheetId="61" hidden="1">NonLinLarge!$J$7:$J$8</definedName>
    <definedName name="solver_rhs8" localSheetId="21" hidden="1">ConFormula!$I$11/4+ConFormula!$B$3</definedName>
    <definedName name="solver_rhs8" localSheetId="22" hidden="1">ConFormulaInf!$I$11/4+ConFormulaInf!$B$3</definedName>
    <definedName name="solver_rhs8" localSheetId="61" hidden="1">NonLinLarge!$J$9:$J$72</definedName>
    <definedName name="solver_rhs80" localSheetId="61" hidden="1">NonLinLarge!$J$9:$J$72</definedName>
    <definedName name="solver_rhs81" localSheetId="61" hidden="1">NonLinLarge!$J$73</definedName>
    <definedName name="solver_rhs82" localSheetId="61" hidden="1">NonLinLarge!$J$74</definedName>
    <definedName name="solver_rhs83" localSheetId="61" hidden="1">NonLinLarge!$J$75:$J$138</definedName>
    <definedName name="solver_rhs84" localSheetId="61" hidden="1">NonLinLarge!$J$139</definedName>
    <definedName name="solver_rhs85" localSheetId="61" hidden="1">NonLinLarge!$J$7:$J$8</definedName>
    <definedName name="solver_rhs86" localSheetId="61" hidden="1">NonLinLarge!$J$9:$J$72</definedName>
    <definedName name="solver_rhs87" localSheetId="61" hidden="1">NonLinLarge!$J$73</definedName>
    <definedName name="solver_rhs88" localSheetId="61" hidden="1">NonLinLarge!$J$74</definedName>
    <definedName name="solver_rhs89" localSheetId="61" hidden="1">NonLinLarge!$J$75:$J$138</definedName>
    <definedName name="solver_rhs9" localSheetId="22" hidden="1">5*ConFormulaInf!$I$15-1</definedName>
    <definedName name="solver_rhs9" localSheetId="61" hidden="1">NonLinLarge!$J$73</definedName>
    <definedName name="solver_rhs90" localSheetId="61" hidden="1">NonLinLarge!$J$139</definedName>
    <definedName name="solver_rhs91" localSheetId="61" hidden="1">NonLinLarge!$J$7:$J$8</definedName>
    <definedName name="solver_rhs92" localSheetId="61" hidden="1">NonLinLarge!$J$9:$J$72</definedName>
    <definedName name="solver_rhs93" localSheetId="61" hidden="1">NonLinLarge!$J$73</definedName>
    <definedName name="solver_rhs94" localSheetId="61" hidden="1">NonLinLarge!$J$74</definedName>
    <definedName name="solver_rhs95" localSheetId="61" hidden="1">NonLinLarge!$J$75:$J$138</definedName>
    <definedName name="solver_rhs96" localSheetId="61" hidden="1">NonLinLarge!$J$139</definedName>
    <definedName name="solver_rhs97" localSheetId="61" hidden="1">NonLinLarge!$J$7:$J$8</definedName>
    <definedName name="solver_rhs98" localSheetId="61" hidden="1">NonLinLarge!$J$9:$J$72</definedName>
    <definedName name="solver_rhs99" localSheetId="61" hidden="1">NonLinLarge!$J$73</definedName>
    <definedName name="solver_rlx" localSheetId="23" hidden="1">0</definedName>
    <definedName name="solver_rlx" localSheetId="35" hidden="1">0</definedName>
    <definedName name="solver_rlx" localSheetId="20" hidden="1">0</definedName>
    <definedName name="solver_rlx" localSheetId="34" hidden="1">0</definedName>
    <definedName name="solver_rlx" localSheetId="8" hidden="1">0</definedName>
    <definedName name="solver_rlx" localSheetId="7" hidden="1">0</definedName>
    <definedName name="solver_rlx" localSheetId="47" hidden="1">0</definedName>
    <definedName name="solver_rlx" localSheetId="21" hidden="1">0</definedName>
    <definedName name="solver_rlx" localSheetId="22" hidden="1">0</definedName>
    <definedName name="solver_rlx" localSheetId="43" hidden="1">0</definedName>
    <definedName name="solver_rlx" localSheetId="40" hidden="1">0</definedName>
    <definedName name="solver_rlx" localSheetId="42" hidden="1">0</definedName>
    <definedName name="solver_rlx" localSheetId="25" hidden="1">0</definedName>
    <definedName name="solver_rlx" localSheetId="53" hidden="1">0</definedName>
    <definedName name="solver_rlx" localSheetId="32" hidden="1">0</definedName>
    <definedName name="solver_rlx" localSheetId="11" hidden="1">0</definedName>
    <definedName name="solver_rlx" localSheetId="10" hidden="1">0</definedName>
    <definedName name="solver_rlx" localSheetId="24" hidden="1">0</definedName>
    <definedName name="solver_rlx" localSheetId="28" hidden="1">0</definedName>
    <definedName name="solver_rlx" localSheetId="44" hidden="1">0</definedName>
    <definedName name="solver_rlx" localSheetId="46" hidden="1">0</definedName>
    <definedName name="solver_rlx" localSheetId="74" hidden="1">2</definedName>
    <definedName name="solver_rlx" localSheetId="31" hidden="1">0</definedName>
    <definedName name="solver_rlx" localSheetId="27" hidden="1">0</definedName>
    <definedName name="solver_rlx" localSheetId="48" hidden="1">0</definedName>
    <definedName name="solver_rlx" localSheetId="5" hidden="1">0</definedName>
    <definedName name="solver_rlx" localSheetId="49" hidden="1">0</definedName>
    <definedName name="solver_rlx" localSheetId="37" hidden="1">0</definedName>
    <definedName name="solver_rlx" localSheetId="18" hidden="1">0</definedName>
    <definedName name="solver_rlx" localSheetId="19" hidden="1">0</definedName>
    <definedName name="solver_rlx" localSheetId="17" hidden="1">0</definedName>
    <definedName name="solver_rlx" localSheetId="15" hidden="1">0</definedName>
    <definedName name="solver_rlx" localSheetId="54" hidden="1">0</definedName>
    <definedName name="solver_rlx" localSheetId="73" hidden="1">0</definedName>
    <definedName name="solver_rlx" localSheetId="67" hidden="1">0</definedName>
    <definedName name="solver_rlx" localSheetId="68" hidden="1">0</definedName>
    <definedName name="solver_rlx" localSheetId="69" hidden="1">0</definedName>
    <definedName name="solver_rlx" localSheetId="71" hidden="1">0</definedName>
    <definedName name="solver_rlx" localSheetId="72" hidden="1">0</definedName>
    <definedName name="solver_rlx" localSheetId="66" hidden="1">0</definedName>
    <definedName name="solver_rlx" localSheetId="65" hidden="1">0</definedName>
    <definedName name="solver_rlx" localSheetId="61" hidden="1">0</definedName>
    <definedName name="solver_rlx" localSheetId="64" hidden="1">0</definedName>
    <definedName name="solver_rlx" localSheetId="62" hidden="1">0</definedName>
    <definedName name="solver_rlx" localSheetId="63" hidden="1">0</definedName>
    <definedName name="solver_rlx" localSheetId="60" hidden="1">0</definedName>
    <definedName name="solver_rlx" localSheetId="50" hidden="1">0</definedName>
    <definedName name="solver_rlx" localSheetId="6" hidden="1">0</definedName>
    <definedName name="solver_rlx" localSheetId="38" hidden="1">0</definedName>
    <definedName name="solver_rlx" localSheetId="39" hidden="1">0</definedName>
    <definedName name="solver_rlx" localSheetId="36" hidden="1">1</definedName>
    <definedName name="solver_rlx" localSheetId="2" hidden="1">2</definedName>
    <definedName name="solver_rlx" localSheetId="51" hidden="1">0</definedName>
    <definedName name="solver_rlx" localSheetId="52" hidden="1">0</definedName>
    <definedName name="solver_rlx" localSheetId="58" hidden="1">0</definedName>
    <definedName name="solver_rlx" localSheetId="59" hidden="1">0</definedName>
    <definedName name="solver_rlx" localSheetId="4" hidden="1">0</definedName>
    <definedName name="solver_rlx" localSheetId="3" hidden="1">0</definedName>
    <definedName name="solver_rlx" localSheetId="33" hidden="1">0</definedName>
    <definedName name="solver_rlx" localSheetId="9" hidden="1">0</definedName>
    <definedName name="solver_rlx" localSheetId="29" hidden="1">0</definedName>
    <definedName name="solver_rlx" localSheetId="45" hidden="1">0</definedName>
    <definedName name="solver_rlx" localSheetId="41" hidden="1">0</definedName>
    <definedName name="solver_rlx" localSheetId="57" hidden="1">0</definedName>
    <definedName name="solver_scl" localSheetId="23" hidden="1">2</definedName>
    <definedName name="solver_scl" localSheetId="74" hidden="1">2</definedName>
    <definedName name="solver_scl" localSheetId="5" hidden="1">2</definedName>
    <definedName name="solver_scl" localSheetId="73" hidden="1">2</definedName>
    <definedName name="solver_scl" localSheetId="70" hidden="1">2</definedName>
    <definedName name="solver_scl" localSheetId="72" hidden="1">2</definedName>
    <definedName name="solver_scl" localSheetId="61" hidden="1">2</definedName>
    <definedName name="solver_scl" localSheetId="2" hidden="1">2</definedName>
    <definedName name="solver_scl" localSheetId="52" hidden="1">2</definedName>
    <definedName name="solver_scl" localSheetId="59" hidden="1">2</definedName>
    <definedName name="solver_scl" localSheetId="3" hidden="1">2</definedName>
    <definedName name="solver_scl" localSheetId="57" hidden="1">2</definedName>
    <definedName name="solver_sho" localSheetId="23" hidden="1">0</definedName>
    <definedName name="solver_sho" localSheetId="35" hidden="1">0</definedName>
    <definedName name="solver_sho" localSheetId="20" hidden="1">0</definedName>
    <definedName name="solver_sho" localSheetId="34" hidden="1">0</definedName>
    <definedName name="solver_sho" localSheetId="8" hidden="1">0</definedName>
    <definedName name="solver_sho" localSheetId="7" hidden="1">0</definedName>
    <definedName name="solver_sho" localSheetId="47" hidden="1">0</definedName>
    <definedName name="solver_sho" localSheetId="21" hidden="1">0</definedName>
    <definedName name="solver_sho" localSheetId="22" hidden="1">0</definedName>
    <definedName name="solver_sho" localSheetId="43" hidden="1">0</definedName>
    <definedName name="solver_sho" localSheetId="40" hidden="1">0</definedName>
    <definedName name="solver_sho" localSheetId="42" hidden="1">0</definedName>
    <definedName name="solver_sho" localSheetId="25" hidden="1">0</definedName>
    <definedName name="solver_sho" localSheetId="53" hidden="1">0</definedName>
    <definedName name="solver_sho" localSheetId="32" hidden="1">0</definedName>
    <definedName name="solver_sho" localSheetId="11" hidden="1">0</definedName>
    <definedName name="solver_sho" localSheetId="10" hidden="1">0</definedName>
    <definedName name="solver_sho" localSheetId="24" hidden="1">0</definedName>
    <definedName name="solver_sho" localSheetId="28" hidden="1">0</definedName>
    <definedName name="solver_sho" localSheetId="44" hidden="1">0</definedName>
    <definedName name="solver_sho" localSheetId="46" hidden="1">0</definedName>
    <definedName name="solver_sho" localSheetId="31" hidden="1">0</definedName>
    <definedName name="solver_sho" localSheetId="27" hidden="1">0</definedName>
    <definedName name="solver_sho" localSheetId="48" hidden="1">0</definedName>
    <definedName name="solver_sho" localSheetId="5" hidden="1">0</definedName>
    <definedName name="solver_sho" localSheetId="49" hidden="1">0</definedName>
    <definedName name="solver_sho" localSheetId="37" hidden="1">0</definedName>
    <definedName name="solver_sho" localSheetId="18" hidden="1">0</definedName>
    <definedName name="solver_sho" localSheetId="19" hidden="1">0</definedName>
    <definedName name="solver_sho" localSheetId="17" hidden="1">0</definedName>
    <definedName name="solver_sho" localSheetId="15" hidden="1">0</definedName>
    <definedName name="solver_sho" localSheetId="54" hidden="1">0</definedName>
    <definedName name="solver_sho" localSheetId="73" hidden="1">0</definedName>
    <definedName name="solver_sho" localSheetId="67" hidden="1">0</definedName>
    <definedName name="solver_sho" localSheetId="68" hidden="1">0</definedName>
    <definedName name="solver_sho" localSheetId="69" hidden="1">0</definedName>
    <definedName name="solver_sho" localSheetId="71" hidden="1">0</definedName>
    <definedName name="solver_sho" localSheetId="72" hidden="1">0</definedName>
    <definedName name="solver_sho" localSheetId="66" hidden="1">0</definedName>
    <definedName name="solver_sho" localSheetId="65" hidden="1">0</definedName>
    <definedName name="solver_sho" localSheetId="61" hidden="1">0</definedName>
    <definedName name="solver_sho" localSheetId="64" hidden="1">0</definedName>
    <definedName name="solver_sho" localSheetId="62" hidden="1">0</definedName>
    <definedName name="solver_sho" localSheetId="63" hidden="1">0</definedName>
    <definedName name="solver_sho" localSheetId="60" hidden="1">0</definedName>
    <definedName name="solver_sho" localSheetId="50" hidden="1">0</definedName>
    <definedName name="solver_sho" localSheetId="6" hidden="1">0</definedName>
    <definedName name="solver_sho" localSheetId="38" hidden="1">0</definedName>
    <definedName name="solver_sho" localSheetId="39" hidden="1">0</definedName>
    <definedName name="solver_sho" localSheetId="36" hidden="1">0</definedName>
    <definedName name="solver_sho" localSheetId="2" hidden="1">0</definedName>
    <definedName name="solver_sho" localSheetId="51" hidden="1">0</definedName>
    <definedName name="solver_sho" localSheetId="52" hidden="1">0</definedName>
    <definedName name="solver_sho" localSheetId="58" hidden="1">0</definedName>
    <definedName name="solver_sho" localSheetId="59" hidden="1">0</definedName>
    <definedName name="solver_sho" localSheetId="4" hidden="1">0</definedName>
    <definedName name="solver_sho" localSheetId="3" hidden="1">0</definedName>
    <definedName name="solver_sho" localSheetId="33" hidden="1">0</definedName>
    <definedName name="solver_sho" localSheetId="9" hidden="1">0</definedName>
    <definedName name="solver_sho" localSheetId="29" hidden="1">0</definedName>
    <definedName name="solver_sho" localSheetId="45" hidden="1">0</definedName>
    <definedName name="solver_sho" localSheetId="41" hidden="1">0</definedName>
    <definedName name="solver_sho" localSheetId="57" hidden="1">0</definedName>
    <definedName name="solver_tim" localSheetId="73" hidden="1">2147483647</definedName>
    <definedName name="solver_tim" localSheetId="2" hidden="1">1E+25</definedName>
    <definedName name="solver_tim" localSheetId="3" hidden="1">1E+25</definedName>
    <definedName name="solver_tim" localSheetId="57" hidden="1">2147483647</definedName>
    <definedName name="solver_tol" localSheetId="67" hidden="1">0.01</definedName>
    <definedName name="solver_tol" localSheetId="2" hidden="1">0.05</definedName>
    <definedName name="solver_tol" localSheetId="57" hidden="1">0</definedName>
    <definedName name="solver_typ" localSheetId="75" hidden="1">2</definedName>
    <definedName name="solver_typ" localSheetId="23" hidden="1">2</definedName>
    <definedName name="solver_typ" localSheetId="35" hidden="1">2</definedName>
    <definedName name="solver_typ" localSheetId="20" hidden="1">2</definedName>
    <definedName name="solver_typ" localSheetId="34" hidden="1">2</definedName>
    <definedName name="solver_typ" localSheetId="8" hidden="1">2</definedName>
    <definedName name="solver_typ" localSheetId="7" hidden="1">2</definedName>
    <definedName name="solver_typ" localSheetId="47" hidden="1">2</definedName>
    <definedName name="solver_typ" localSheetId="21" hidden="1">2</definedName>
    <definedName name="solver_typ" localSheetId="22" hidden="1">2</definedName>
    <definedName name="solver_typ" localSheetId="43" hidden="1">2</definedName>
    <definedName name="solver_typ" localSheetId="40" hidden="1">2</definedName>
    <definedName name="solver_typ" localSheetId="42" hidden="1">2</definedName>
    <definedName name="solver_typ" localSheetId="25" hidden="1">2</definedName>
    <definedName name="solver_typ" localSheetId="26" hidden="1">2</definedName>
    <definedName name="solver_typ" localSheetId="53" hidden="1">2</definedName>
    <definedName name="solver_typ" localSheetId="32" hidden="1">2</definedName>
    <definedName name="solver_typ" localSheetId="11" hidden="1">2</definedName>
    <definedName name="solver_typ" localSheetId="12" hidden="1">2</definedName>
    <definedName name="solver_typ" localSheetId="10" hidden="1">2</definedName>
    <definedName name="solver_typ" localSheetId="24" hidden="1">2</definedName>
    <definedName name="solver_typ" localSheetId="28" hidden="1">2</definedName>
    <definedName name="solver_typ" localSheetId="44" hidden="1">2</definedName>
    <definedName name="solver_typ" localSheetId="46" hidden="1">2</definedName>
    <definedName name="solver_typ" localSheetId="74" hidden="1">2</definedName>
    <definedName name="solver_typ" localSheetId="31" hidden="1">2</definedName>
    <definedName name="solver_typ" localSheetId="27" hidden="1">2</definedName>
    <definedName name="solver_typ" localSheetId="48" hidden="1">2</definedName>
    <definedName name="solver_typ" localSheetId="5" hidden="1">1</definedName>
    <definedName name="solver_typ" localSheetId="49" hidden="1">2</definedName>
    <definedName name="solver_typ" localSheetId="37" hidden="1">2</definedName>
    <definedName name="solver_typ" localSheetId="18" hidden="1">2</definedName>
    <definedName name="solver_typ" localSheetId="19" hidden="1">2</definedName>
    <definedName name="solver_typ" localSheetId="17" hidden="1">2</definedName>
    <definedName name="solver_typ" localSheetId="15" hidden="1">2</definedName>
    <definedName name="solver_typ" localSheetId="54" hidden="1">2</definedName>
    <definedName name="solver_typ" localSheetId="73" hidden="1">2</definedName>
    <definedName name="solver_typ" localSheetId="67" hidden="1">2</definedName>
    <definedName name="solver_typ" localSheetId="68" hidden="1">2</definedName>
    <definedName name="solver_typ" localSheetId="69" hidden="1">2</definedName>
    <definedName name="solver_typ" localSheetId="71" hidden="1">2</definedName>
    <definedName name="solver_typ" localSheetId="72" hidden="1">2</definedName>
    <definedName name="solver_typ" localSheetId="66" hidden="1">2</definedName>
    <definedName name="solver_typ" localSheetId="65" hidden="1">2</definedName>
    <definedName name="solver_typ" localSheetId="61" hidden="1">2</definedName>
    <definedName name="solver_typ" localSheetId="64" hidden="1">1</definedName>
    <definedName name="solver_typ" localSheetId="62" hidden="1">2</definedName>
    <definedName name="solver_typ" localSheetId="63" hidden="1">1</definedName>
    <definedName name="solver_typ" localSheetId="60" hidden="1">2</definedName>
    <definedName name="solver_typ" localSheetId="50" hidden="1">2</definedName>
    <definedName name="solver_typ" localSheetId="6" hidden="1">2</definedName>
    <definedName name="solver_typ" localSheetId="38" hidden="1">2</definedName>
    <definedName name="solver_typ" localSheetId="39" hidden="1">2</definedName>
    <definedName name="solver_typ" localSheetId="36" hidden="1">2</definedName>
    <definedName name="solver_typ" localSheetId="2" hidden="1">2</definedName>
    <definedName name="solver_typ" localSheetId="51" hidden="1">3</definedName>
    <definedName name="solver_typ" localSheetId="52" hidden="1">3</definedName>
    <definedName name="solver_typ" localSheetId="58" hidden="1">1</definedName>
    <definedName name="solver_typ" localSheetId="59" hidden="1">2</definedName>
    <definedName name="solver_typ" localSheetId="4" hidden="1">1</definedName>
    <definedName name="solver_typ" localSheetId="3" hidden="1">2</definedName>
    <definedName name="solver_typ" localSheetId="33" hidden="1">2</definedName>
    <definedName name="solver_typ" localSheetId="13" hidden="1">2</definedName>
    <definedName name="solver_typ" localSheetId="9" hidden="1">2</definedName>
    <definedName name="solver_typ" localSheetId="29" hidden="1">2</definedName>
    <definedName name="solver_typ" localSheetId="45" hidden="1">2</definedName>
    <definedName name="solver_typ" localSheetId="41" hidden="1">2</definedName>
    <definedName name="solver_typ" localSheetId="57" hidden="1">1</definedName>
    <definedName name="solver_val" localSheetId="23" hidden="1">0</definedName>
    <definedName name="solver_val" localSheetId="35" hidden="1">0</definedName>
    <definedName name="solver_val" localSheetId="20" hidden="1">0</definedName>
    <definedName name="solver_val" localSheetId="34" hidden="1">0</definedName>
    <definedName name="solver_val" localSheetId="8" hidden="1">0</definedName>
    <definedName name="solver_val" localSheetId="7" hidden="1">0</definedName>
    <definedName name="solver_val" localSheetId="47" hidden="1">0</definedName>
    <definedName name="solver_val" localSheetId="21" hidden="1">0</definedName>
    <definedName name="solver_val" localSheetId="22" hidden="1">0</definedName>
    <definedName name="solver_val" localSheetId="43" hidden="1">0</definedName>
    <definedName name="solver_val" localSheetId="40" hidden="1">0</definedName>
    <definedName name="solver_val" localSheetId="42" hidden="1">0</definedName>
    <definedName name="solver_val" localSheetId="25" hidden="1">0</definedName>
    <definedName name="solver_val" localSheetId="26" hidden="1">0</definedName>
    <definedName name="solver_val" localSheetId="53" hidden="1">0</definedName>
    <definedName name="solver_val" localSheetId="32" hidden="1">0</definedName>
    <definedName name="solver_val" localSheetId="11" hidden="1">0</definedName>
    <definedName name="solver_val" localSheetId="12" hidden="1">0</definedName>
    <definedName name="solver_val" localSheetId="10" hidden="1">0</definedName>
    <definedName name="solver_val" localSheetId="24" hidden="1">0</definedName>
    <definedName name="solver_val" localSheetId="28" hidden="1">0</definedName>
    <definedName name="solver_val" localSheetId="44" hidden="1">0</definedName>
    <definedName name="solver_val" localSheetId="46" hidden="1">0</definedName>
    <definedName name="solver_val" localSheetId="74" hidden="1">0</definedName>
    <definedName name="solver_val" localSheetId="31" hidden="1">0</definedName>
    <definedName name="solver_val" localSheetId="27" hidden="1">0</definedName>
    <definedName name="solver_val" localSheetId="48" hidden="1">0</definedName>
    <definedName name="solver_val" localSheetId="5" hidden="1">0</definedName>
    <definedName name="solver_val" localSheetId="49" hidden="1">0</definedName>
    <definedName name="solver_val" localSheetId="37" hidden="1">0</definedName>
    <definedName name="solver_val" localSheetId="18" hidden="1">0</definedName>
    <definedName name="solver_val" localSheetId="19" hidden="1">0</definedName>
    <definedName name="solver_val" localSheetId="17" hidden="1">0</definedName>
    <definedName name="solver_val" localSheetId="15" hidden="1">0</definedName>
    <definedName name="solver_val" localSheetId="54" hidden="1">0</definedName>
    <definedName name="solver_val" localSheetId="73" hidden="1">0</definedName>
    <definedName name="solver_val" localSheetId="67" hidden="1">0</definedName>
    <definedName name="solver_val" localSheetId="68" hidden="1">0</definedName>
    <definedName name="solver_val" localSheetId="69" hidden="1">0</definedName>
    <definedName name="solver_val" localSheetId="71" hidden="1">0</definedName>
    <definedName name="solver_val" localSheetId="72" hidden="1">0</definedName>
    <definedName name="solver_val" localSheetId="66" hidden="1">0</definedName>
    <definedName name="solver_val" localSheetId="65" hidden="1">0</definedName>
    <definedName name="solver_val" localSheetId="61" hidden="1">0</definedName>
    <definedName name="solver_val" localSheetId="64" hidden="1">0</definedName>
    <definedName name="solver_val" localSheetId="62" hidden="1">0</definedName>
    <definedName name="solver_val" localSheetId="63" hidden="1">0</definedName>
    <definedName name="solver_val" localSheetId="60" hidden="1">0</definedName>
    <definedName name="solver_val" localSheetId="50" hidden="1">0</definedName>
    <definedName name="solver_val" localSheetId="6" hidden="1">0</definedName>
    <definedName name="solver_val" localSheetId="38" hidden="1">0</definedName>
    <definedName name="solver_val" localSheetId="39" hidden="1">0</definedName>
    <definedName name="solver_val" localSheetId="36" hidden="1">0</definedName>
    <definedName name="solver_val" localSheetId="2" hidden="1">0</definedName>
    <definedName name="solver_val" localSheetId="51" hidden="1">50</definedName>
    <definedName name="solver_val" localSheetId="52" hidden="1">50</definedName>
    <definedName name="solver_val" localSheetId="58" hidden="1">0</definedName>
    <definedName name="solver_val" localSheetId="59" hidden="1">0</definedName>
    <definedName name="solver_val" localSheetId="4" hidden="1">0</definedName>
    <definedName name="solver_val" localSheetId="3" hidden="1">0</definedName>
    <definedName name="solver_val" localSheetId="33" hidden="1">0</definedName>
    <definedName name="solver_val" localSheetId="13" hidden="1">0</definedName>
    <definedName name="solver_val" localSheetId="9" hidden="1">0</definedName>
    <definedName name="solver_val" localSheetId="29" hidden="1">0</definedName>
    <definedName name="solver_val" localSheetId="45" hidden="1">0</definedName>
    <definedName name="solver_val" localSheetId="41" hidden="1">0</definedName>
    <definedName name="solver_val" localSheetId="57" hidden="1">0</definedName>
    <definedName name="TestType">Data!$D$1:$D$2</definedName>
    <definedName name="uhj">NonLinMinMax!$B$1</definedName>
    <definedName name="wa" localSheetId="70">#REF!</definedName>
    <definedName name="wa" localSheetId="71">#REF!</definedName>
    <definedName name="wa" localSheetId="72">#REF!</definedName>
    <definedName name="wa">NonLin3!$P$3</definedName>
    <definedName name="wb" localSheetId="70">#REF!</definedName>
    <definedName name="wb" localSheetId="71">#REF!</definedName>
    <definedName name="wb" localSheetId="72">#REF!</definedName>
    <definedName name="wb">NonLin3!$P$4</definedName>
    <definedName name="wc" localSheetId="70">#REF!</definedName>
    <definedName name="wc" localSheetId="71">#REF!</definedName>
    <definedName name="wc" localSheetId="72">#REF!</definedName>
    <definedName name="wc">NonLin3!$P$5</definedName>
    <definedName name="wd" localSheetId="70">#REF!</definedName>
    <definedName name="wd" localSheetId="71">#REF!</definedName>
    <definedName name="wd" localSheetId="72">#REF!</definedName>
    <definedName name="wd">NonLin3!$P$6</definedName>
    <definedName name="x" localSheetId="53">#REF!</definedName>
    <definedName name="x" localSheetId="24">#REF!</definedName>
    <definedName name="x" localSheetId="5">#REF!</definedName>
    <definedName name="x" localSheetId="69">NonLin3!$C$34:$AQ$34</definedName>
    <definedName name="x" localSheetId="72">NonLin6!$E$6</definedName>
    <definedName name="x" localSheetId="36">#REF!</definedName>
    <definedName name="x" localSheetId="51">#REF!</definedName>
    <definedName name="x" localSheetId="52">#REF!</definedName>
    <definedName name="x" localSheetId="4">#REF!</definedName>
    <definedName name="x" localSheetId="29">#REF!</definedName>
    <definedName name="x">#REF!</definedName>
    <definedName name="xa" localSheetId="70">#REF!</definedName>
    <definedName name="xa" localSheetId="71">#REF!</definedName>
    <definedName name="xa" localSheetId="72">#REF!</definedName>
    <definedName name="xa">NonLin3!$N$3</definedName>
    <definedName name="xb" localSheetId="70">#REF!</definedName>
    <definedName name="xb" localSheetId="71">#REF!</definedName>
    <definedName name="xb" localSheetId="72">#REF!</definedName>
    <definedName name="xb">NonLin3!$N$4</definedName>
    <definedName name="xc" localSheetId="70">#REF!</definedName>
    <definedName name="xc" localSheetId="71">#REF!</definedName>
    <definedName name="xc" localSheetId="72">#REF!</definedName>
    <definedName name="xc">NonLin3!$N$5</definedName>
    <definedName name="xd" localSheetId="70">#REF!</definedName>
    <definedName name="xd" localSheetId="71">#REF!</definedName>
    <definedName name="xd" localSheetId="72">#REF!</definedName>
    <definedName name="xd">NonLin3!$N$6</definedName>
    <definedName name="xstep" localSheetId="53">#REF!</definedName>
    <definedName name="xstep" localSheetId="24">#REF!</definedName>
    <definedName name="xstep" localSheetId="5">#REF!</definedName>
    <definedName name="xstep" localSheetId="36">#REF!</definedName>
    <definedName name="xstep" localSheetId="51">#REF!</definedName>
    <definedName name="xstep" localSheetId="52">#REF!</definedName>
    <definedName name="xstep" localSheetId="4">#REF!</definedName>
    <definedName name="xstep" localSheetId="29">#REF!</definedName>
    <definedName name="xstep">#REF!</definedName>
    <definedName name="y" localSheetId="53">#REF!</definedName>
    <definedName name="y" localSheetId="24">#REF!</definedName>
    <definedName name="y" localSheetId="5">#REF!</definedName>
    <definedName name="y" localSheetId="69">NonLin3!$B$35:$B$75</definedName>
    <definedName name="y" localSheetId="72">NonLin6!$E$7</definedName>
    <definedName name="y" localSheetId="36">#REF!</definedName>
    <definedName name="y" localSheetId="51">#REF!</definedName>
    <definedName name="y" localSheetId="52">#REF!</definedName>
    <definedName name="y" localSheetId="4">#REF!</definedName>
    <definedName name="y" localSheetId="29">#REF!</definedName>
    <definedName name="y">#REF!</definedName>
    <definedName name="ya" localSheetId="70">#REF!</definedName>
    <definedName name="ya" localSheetId="71">#REF!</definedName>
    <definedName name="ya" localSheetId="72">#REF!</definedName>
    <definedName name="ya">NonLin3!$O$3</definedName>
    <definedName name="yb" localSheetId="70">#REF!</definedName>
    <definedName name="yb" localSheetId="71">#REF!</definedName>
    <definedName name="yb" localSheetId="72">#REF!</definedName>
    <definedName name="yb">NonLin3!$O$4</definedName>
    <definedName name="yc" localSheetId="70">#REF!</definedName>
    <definedName name="yc" localSheetId="71">#REF!</definedName>
    <definedName name="yc" localSheetId="72">#REF!</definedName>
    <definedName name="yc">NonLin3!$O$5</definedName>
    <definedName name="yd" localSheetId="70">#REF!</definedName>
    <definedName name="yd" localSheetId="71">#REF!</definedName>
    <definedName name="yd" localSheetId="72">#REF!</definedName>
    <definedName name="yd">NonLin3!$O$6</definedName>
    <definedName name="ystep" localSheetId="53">#REF!</definedName>
    <definedName name="ystep" localSheetId="24">#REF!</definedName>
    <definedName name="ystep" localSheetId="5">#REF!</definedName>
    <definedName name="ystep" localSheetId="36">#REF!</definedName>
    <definedName name="ystep" localSheetId="51">#REF!</definedName>
    <definedName name="ystep" localSheetId="52">#REF!</definedName>
    <definedName name="ystep" localSheetId="4">#REF!</definedName>
    <definedName name="ystep" localSheetId="29">#REF!</definedName>
    <definedName name="ystep">#REF!</definedName>
  </definedNames>
  <calcPr calcId="17102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73" i="60" l="1"/>
  <c r="A72" i="60"/>
  <c r="A71" i="60"/>
  <c r="A70" i="60"/>
  <c r="A69" i="60"/>
  <c r="A68" i="60"/>
  <c r="A67" i="60"/>
  <c r="A66" i="60"/>
  <c r="A65" i="60"/>
  <c r="A64" i="60"/>
  <c r="A63" i="60"/>
  <c r="A62" i="60"/>
  <c r="A61" i="60"/>
  <c r="A60" i="60"/>
  <c r="A59" i="60"/>
  <c r="A58" i="60"/>
  <c r="A57" i="60"/>
  <c r="A56" i="60"/>
  <c r="A55" i="60"/>
  <c r="A54" i="60"/>
  <c r="A53" i="60"/>
  <c r="A52" i="60"/>
  <c r="A51" i="60"/>
  <c r="A50" i="60"/>
  <c r="A49" i="60"/>
  <c r="A48" i="60"/>
  <c r="A47" i="60"/>
  <c r="A46" i="60"/>
  <c r="A45" i="60"/>
  <c r="A44" i="60"/>
  <c r="A43" i="60"/>
  <c r="A42" i="60"/>
  <c r="A41" i="60"/>
  <c r="A40" i="60"/>
  <c r="A39" i="60"/>
  <c r="A38" i="60"/>
  <c r="A37" i="60"/>
  <c r="A36" i="60"/>
  <c r="A35" i="60"/>
  <c r="A34" i="60"/>
  <c r="A33" i="60"/>
  <c r="A32" i="60"/>
  <c r="A31" i="60"/>
  <c r="A30" i="60"/>
  <c r="A29" i="60"/>
  <c r="A28" i="60"/>
  <c r="A27" i="60"/>
  <c r="A26" i="60"/>
  <c r="A25" i="60"/>
  <c r="A24" i="60"/>
  <c r="A23" i="60"/>
  <c r="A22" i="60"/>
  <c r="A21" i="60"/>
  <c r="A20" i="60"/>
  <c r="A19" i="60"/>
  <c r="A18" i="60"/>
  <c r="A17" i="60"/>
  <c r="A16" i="60"/>
  <c r="A15" i="60"/>
  <c r="A14" i="60"/>
  <c r="A13" i="60"/>
  <c r="A12" i="60"/>
  <c r="A11" i="60"/>
  <c r="A10" i="60"/>
  <c r="A9" i="60"/>
  <c r="A8" i="60"/>
  <c r="A7" i="60"/>
  <c r="A6" i="60"/>
  <c r="A5" i="60"/>
  <c r="A4" i="60"/>
  <c r="A3" i="60"/>
  <c r="H8" i="1" l="1"/>
  <c r="H9" i="1"/>
  <c r="D5" i="156"/>
  <c r="A6" i="156"/>
  <c r="A10" i="156"/>
  <c r="A9" i="156"/>
  <c r="N10" i="10"/>
  <c r="A8" i="10"/>
  <c r="A9" i="10" s="1"/>
  <c r="I18" i="10"/>
  <c r="D18" i="10"/>
  <c r="E18" i="10"/>
  <c r="F18" i="10"/>
  <c r="H7" i="10"/>
  <c r="D22" i="10" s="1"/>
  <c r="I16" i="77"/>
  <c r="C25" i="155"/>
  <c r="A10" i="155"/>
  <c r="A9" i="155"/>
  <c r="UF4" i="155"/>
  <c r="UF2" i="155"/>
  <c r="C11" i="155"/>
  <c r="C13" i="155"/>
  <c r="A6" i="155"/>
  <c r="E7" i="68"/>
  <c r="F13" i="144"/>
  <c r="E13" i="144"/>
  <c r="D13" i="144"/>
  <c r="A10" i="144"/>
  <c r="G9" i="144"/>
  <c r="A9" i="144"/>
  <c r="G8" i="144"/>
  <c r="G7" i="144"/>
  <c r="G6" i="144"/>
  <c r="G4" i="144"/>
  <c r="G13" i="144" s="1"/>
  <c r="D10" i="135"/>
  <c r="E10" i="135"/>
  <c r="D21" i="135" s="1"/>
  <c r="F17" i="135"/>
  <c r="E17" i="135"/>
  <c r="D17" i="135"/>
  <c r="A10" i="135"/>
  <c r="A9" i="135"/>
  <c r="H6" i="28"/>
  <c r="BS1" i="114"/>
  <c r="BR1" i="114"/>
  <c r="BQ1" i="114"/>
  <c r="BQ2" i="114"/>
  <c r="BQ3" i="114"/>
  <c r="BQ4" i="114"/>
  <c r="BQ5" i="114"/>
  <c r="BQ6" i="114"/>
  <c r="BQ7" i="114"/>
  <c r="BQ8" i="114"/>
  <c r="BQ9" i="114"/>
  <c r="BQ10" i="114"/>
  <c r="BQ11" i="114"/>
  <c r="BQ13" i="114"/>
  <c r="BQ14" i="114"/>
  <c r="BQ15" i="114"/>
  <c r="BQ16" i="114"/>
  <c r="BQ17" i="114"/>
  <c r="BQ18" i="114"/>
  <c r="BQ19" i="114"/>
  <c r="BQ20" i="114"/>
  <c r="BQ21" i="114"/>
  <c r="BQ22" i="114"/>
  <c r="BQ23" i="114"/>
  <c r="BQ24" i="114"/>
  <c r="BQ25" i="114"/>
  <c r="BQ26" i="114"/>
  <c r="BP1" i="114"/>
  <c r="BP2" i="114"/>
  <c r="BP3" i="114"/>
  <c r="BP4" i="114"/>
  <c r="BP5" i="114"/>
  <c r="BP6" i="114"/>
  <c r="BP7" i="114"/>
  <c r="BP9" i="114"/>
  <c r="BP10" i="114"/>
  <c r="BP11" i="114"/>
  <c r="BP12" i="114"/>
  <c r="BP13" i="114"/>
  <c r="BP14" i="114"/>
  <c r="BO1" i="114"/>
  <c r="BO2" i="114"/>
  <c r="BO3" i="114"/>
  <c r="BN1" i="114"/>
  <c r="BN2" i="114"/>
  <c r="BN3" i="114"/>
  <c r="BN4" i="114"/>
  <c r="BN5" i="114"/>
  <c r="BN6" i="114"/>
  <c r="BN7" i="114"/>
  <c r="BN8" i="114"/>
  <c r="BN9" i="114"/>
  <c r="BN11" i="114"/>
  <c r="BN12" i="114"/>
  <c r="BN13" i="114"/>
  <c r="BN14" i="114"/>
  <c r="BN15" i="114"/>
  <c r="BN16" i="114"/>
  <c r="BN17" i="114"/>
  <c r="BN18" i="114"/>
  <c r="BN19" i="114"/>
  <c r="BN20" i="114"/>
  <c r="BM1" i="114"/>
  <c r="BM2" i="114"/>
  <c r="BM3" i="114"/>
  <c r="BM4" i="114"/>
  <c r="BM5" i="114"/>
  <c r="BM7" i="114"/>
  <c r="BM8" i="114"/>
  <c r="BM10" i="114"/>
  <c r="BM11" i="114"/>
  <c r="BM12" i="114"/>
  <c r="BM13" i="114"/>
  <c r="BM14" i="114"/>
  <c r="BM15" i="114"/>
  <c r="BM16" i="114"/>
  <c r="BM17" i="114"/>
  <c r="BL1" i="114"/>
  <c r="BL2" i="114"/>
  <c r="BL3" i="114"/>
  <c r="BL4" i="114"/>
  <c r="BL5" i="114"/>
  <c r="BL7" i="114"/>
  <c r="BL10" i="114"/>
  <c r="BL11" i="114"/>
  <c r="BL12" i="114"/>
  <c r="BL14" i="114"/>
  <c r="BL15" i="114"/>
  <c r="BL16" i="114"/>
  <c r="BL17" i="114"/>
  <c r="BL18" i="114"/>
  <c r="BL19" i="114"/>
  <c r="BL20" i="114"/>
  <c r="BL21" i="114"/>
  <c r="BL22" i="114"/>
  <c r="BL23" i="114"/>
  <c r="BL24" i="114"/>
  <c r="BL25" i="114"/>
  <c r="BL26" i="114"/>
  <c r="BL27" i="114"/>
  <c r="BL28" i="114"/>
  <c r="BL29" i="114"/>
  <c r="BK1" i="114"/>
  <c r="BK2" i="114"/>
  <c r="BK3" i="114"/>
  <c r="BK4" i="114"/>
  <c r="BK5" i="114"/>
  <c r="BK6" i="114"/>
  <c r="BK7" i="114"/>
  <c r="BK8" i="114"/>
  <c r="BK9" i="114"/>
  <c r="BK11" i="114"/>
  <c r="BK12" i="114"/>
  <c r="BK13" i="114"/>
  <c r="BK14" i="114"/>
  <c r="BK15" i="114"/>
  <c r="BK16" i="114"/>
  <c r="BK17" i="114"/>
  <c r="BK18" i="114"/>
  <c r="BK19" i="114"/>
  <c r="BK20" i="114"/>
  <c r="BJ1" i="114"/>
  <c r="BJ2" i="114"/>
  <c r="BJ3" i="114"/>
  <c r="BJ4" i="114"/>
  <c r="BJ5" i="114"/>
  <c r="BJ6" i="114"/>
  <c r="BJ7" i="114"/>
  <c r="BJ8" i="114"/>
  <c r="BJ10" i="114"/>
  <c r="BJ11" i="114"/>
  <c r="BJ12" i="114"/>
  <c r="BJ13" i="114"/>
  <c r="BJ14" i="114"/>
  <c r="BJ15" i="114"/>
  <c r="BJ16" i="114"/>
  <c r="BJ17" i="114"/>
  <c r="BI1" i="114"/>
  <c r="BI2" i="114"/>
  <c r="BI3" i="114"/>
  <c r="BI4" i="114"/>
  <c r="BI5" i="114"/>
  <c r="BI7" i="114"/>
  <c r="BI8" i="114"/>
  <c r="BI9" i="114"/>
  <c r="BI11" i="114"/>
  <c r="BI12" i="114"/>
  <c r="BI13" i="114"/>
  <c r="BI14" i="114"/>
  <c r="BI15" i="114"/>
  <c r="BI16" i="114"/>
  <c r="BI17" i="114"/>
  <c r="BI18" i="114"/>
  <c r="BI19" i="114"/>
  <c r="BI20" i="114"/>
  <c r="BH1" i="114"/>
  <c r="BH2" i="114"/>
  <c r="BH3" i="114"/>
  <c r="BH4" i="114"/>
  <c r="BH5" i="114"/>
  <c r="BH6" i="114"/>
  <c r="BH7" i="114"/>
  <c r="BH8" i="114"/>
  <c r="BH9" i="114"/>
  <c r="BH10" i="114"/>
  <c r="BH12" i="114"/>
  <c r="BH13" i="114"/>
  <c r="BH14" i="114"/>
  <c r="BH15" i="114"/>
  <c r="BH16" i="114"/>
  <c r="BH17" i="114"/>
  <c r="BH18" i="114"/>
  <c r="BH19" i="114"/>
  <c r="BH20" i="114"/>
  <c r="BH21" i="114"/>
  <c r="BH22" i="114"/>
  <c r="BH23" i="114"/>
  <c r="BH24" i="114"/>
  <c r="BG1" i="114"/>
  <c r="BG2" i="114"/>
  <c r="BG3" i="114"/>
  <c r="BG4" i="114"/>
  <c r="BG5" i="114"/>
  <c r="BG6" i="114"/>
  <c r="BG9" i="114"/>
  <c r="BG10" i="114"/>
  <c r="BG12" i="114"/>
  <c r="BG13" i="114"/>
  <c r="BG14" i="114"/>
  <c r="BG15" i="114"/>
  <c r="BG16" i="114"/>
  <c r="BG17" i="114"/>
  <c r="BG18" i="114"/>
  <c r="BG19" i="114"/>
  <c r="BG20" i="114"/>
  <c r="BG21" i="114"/>
  <c r="BG22" i="114"/>
  <c r="BG23" i="114"/>
  <c r="BF1" i="114"/>
  <c r="BF2" i="114"/>
  <c r="BF3" i="114"/>
  <c r="BF4" i="114"/>
  <c r="BF5" i="114"/>
  <c r="BF6" i="114"/>
  <c r="BF9" i="114"/>
  <c r="BF11" i="114"/>
  <c r="BF15" i="114"/>
  <c r="BF17" i="114"/>
  <c r="BF18" i="114"/>
  <c r="BF22" i="114"/>
  <c r="BF24" i="114"/>
  <c r="BF28" i="114"/>
  <c r="BF31" i="114"/>
  <c r="BF35" i="114"/>
  <c r="BF37" i="114"/>
  <c r="BF40" i="114"/>
  <c r="BF42" i="114"/>
  <c r="BF44" i="114"/>
  <c r="BF48" i="114"/>
  <c r="BF50" i="114"/>
  <c r="BF55" i="114"/>
  <c r="BF57" i="114"/>
  <c r="BF61" i="114"/>
  <c r="BF64" i="114"/>
  <c r="BF68" i="114"/>
  <c r="BF70" i="114"/>
  <c r="BF77" i="114"/>
  <c r="BF78" i="114"/>
  <c r="BF83" i="114"/>
  <c r="BF85" i="114"/>
  <c r="BF90" i="114"/>
  <c r="BF91" i="114"/>
  <c r="BF97" i="114"/>
  <c r="BF98" i="114"/>
  <c r="BF103" i="114"/>
  <c r="BF104" i="114"/>
  <c r="BF106" i="114"/>
  <c r="BF110" i="114"/>
  <c r="BF111" i="114"/>
  <c r="BF116" i="114"/>
  <c r="BF117" i="114"/>
  <c r="BF118" i="114"/>
  <c r="BF119" i="114"/>
  <c r="BF124" i="114"/>
  <c r="BF125" i="114"/>
  <c r="BF131" i="114"/>
  <c r="BF132" i="114"/>
  <c r="BF137" i="114"/>
  <c r="BF138" i="114"/>
  <c r="BF142" i="114"/>
  <c r="BF144" i="114"/>
  <c r="BF145" i="114"/>
  <c r="BF148" i="114"/>
  <c r="BF150" i="114"/>
  <c r="BF151" i="114"/>
  <c r="BF152" i="114"/>
  <c r="BF155" i="114"/>
  <c r="BF157" i="114"/>
  <c r="BF158" i="114"/>
  <c r="BF161" i="114"/>
  <c r="BF164" i="114"/>
  <c r="BF165" i="114"/>
  <c r="BF168" i="114"/>
  <c r="BF170" i="114"/>
  <c r="BF171" i="114"/>
  <c r="BF173" i="114"/>
  <c r="BF175" i="114"/>
  <c r="BF177" i="114"/>
  <c r="BF178" i="114"/>
  <c r="BF181" i="114"/>
  <c r="BF183" i="114"/>
  <c r="BF184" i="114"/>
  <c r="BF185" i="114"/>
  <c r="BF188" i="114"/>
  <c r="BF190" i="114"/>
  <c r="BF191" i="114"/>
  <c r="BF194" i="114"/>
  <c r="BF197" i="114"/>
  <c r="BF198" i="114"/>
  <c r="BF201" i="114"/>
  <c r="BF203" i="114"/>
  <c r="BF204" i="114"/>
  <c r="BF208" i="114"/>
  <c r="BF210" i="114"/>
  <c r="BF211" i="114"/>
  <c r="BF214" i="114"/>
  <c r="BF216" i="114"/>
  <c r="BF217" i="114"/>
  <c r="BF218" i="114"/>
  <c r="BF221" i="114"/>
  <c r="BF223" i="114"/>
  <c r="BF224" i="114"/>
  <c r="BF227" i="114"/>
  <c r="BF231" i="114"/>
  <c r="BF232" i="114"/>
  <c r="BF235" i="114"/>
  <c r="BF237" i="114"/>
  <c r="BF238" i="114"/>
  <c r="BF240" i="114"/>
  <c r="BF242" i="114"/>
  <c r="BF244" i="114"/>
  <c r="BF245" i="114"/>
  <c r="BF248" i="114"/>
  <c r="BF250" i="114"/>
  <c r="BF251" i="114"/>
  <c r="BF252" i="114"/>
  <c r="BF255" i="114"/>
  <c r="BF257" i="114"/>
  <c r="BF258" i="114"/>
  <c r="BF261" i="114"/>
  <c r="BF264" i="114"/>
  <c r="BF265" i="114"/>
  <c r="BF268" i="114"/>
  <c r="BF270" i="114"/>
  <c r="BF271" i="114"/>
  <c r="BF275" i="114"/>
  <c r="BF277" i="114"/>
  <c r="BF278" i="114"/>
  <c r="BF281" i="114"/>
  <c r="BF283" i="114"/>
  <c r="BF284" i="114"/>
  <c r="BF285" i="114"/>
  <c r="BF288" i="114"/>
  <c r="BF290" i="114"/>
  <c r="BF291" i="114"/>
  <c r="BF294" i="114"/>
  <c r="BF297" i="114"/>
  <c r="BF298" i="114"/>
  <c r="BF301" i="114"/>
  <c r="BF303" i="114"/>
  <c r="BF304" i="114"/>
  <c r="BF306" i="114"/>
  <c r="BF308" i="114"/>
  <c r="BF310" i="114"/>
  <c r="BF311" i="114"/>
  <c r="BF314" i="114"/>
  <c r="BF316" i="114"/>
  <c r="BF317" i="114"/>
  <c r="BF318" i="114"/>
  <c r="BF321" i="114"/>
  <c r="BF323" i="114"/>
  <c r="BF324" i="114"/>
  <c r="BF327" i="114"/>
  <c r="BF330" i="114"/>
  <c r="BF331" i="114"/>
  <c r="BF334" i="114"/>
  <c r="BF336" i="114"/>
  <c r="BF337" i="114"/>
  <c r="BF342" i="114"/>
  <c r="BF344" i="114"/>
  <c r="BF345" i="114"/>
  <c r="BF348" i="114"/>
  <c r="BF350" i="114"/>
  <c r="BF351" i="114"/>
  <c r="BF352" i="114"/>
  <c r="BF355" i="114"/>
  <c r="BF357" i="114"/>
  <c r="BF358" i="114"/>
  <c r="BF361" i="114"/>
  <c r="BF364" i="114"/>
  <c r="BF365" i="114"/>
  <c r="BF368" i="114"/>
  <c r="BF370" i="114"/>
  <c r="BF371" i="114"/>
  <c r="BF373" i="114"/>
  <c r="BF375" i="114"/>
  <c r="BF377" i="114"/>
  <c r="BF378" i="114"/>
  <c r="BF381" i="114"/>
  <c r="BF383" i="114"/>
  <c r="BF384" i="114"/>
  <c r="BF385" i="114"/>
  <c r="BF388" i="114"/>
  <c r="BF390" i="114"/>
  <c r="BF391" i="114"/>
  <c r="BF394" i="114"/>
  <c r="BF397" i="114"/>
  <c r="BF398" i="114"/>
  <c r="BF401" i="114"/>
  <c r="BF403" i="114"/>
  <c r="BF404" i="114"/>
  <c r="BF408" i="114"/>
  <c r="BF410" i="114"/>
  <c r="BF411" i="114"/>
  <c r="BF414" i="114"/>
  <c r="BF416" i="114"/>
  <c r="BF417" i="114"/>
  <c r="BF418" i="114"/>
  <c r="BF421" i="114"/>
  <c r="BF423" i="114"/>
  <c r="BF424" i="114"/>
  <c r="BF427" i="114"/>
  <c r="BF430" i="114"/>
  <c r="BF431" i="114"/>
  <c r="BF434" i="114"/>
  <c r="BF436" i="114"/>
  <c r="BF437" i="114"/>
  <c r="BF439" i="114"/>
  <c r="BF441" i="114"/>
  <c r="BF443" i="114"/>
  <c r="BF444" i="114"/>
  <c r="BF447" i="114"/>
  <c r="BF449" i="114"/>
  <c r="BF450" i="114"/>
  <c r="BF451" i="114"/>
  <c r="BF452" i="114"/>
  <c r="BF455" i="114"/>
  <c r="BF457" i="114"/>
  <c r="BF458" i="114"/>
  <c r="BF461" i="114"/>
  <c r="BF464" i="114"/>
  <c r="BF465" i="114"/>
  <c r="BF468" i="114"/>
  <c r="BF470" i="114"/>
  <c r="BF471" i="114"/>
  <c r="BF475" i="114"/>
  <c r="BF477" i="114"/>
  <c r="BF478" i="114"/>
  <c r="BF481" i="114"/>
  <c r="BF483" i="114"/>
  <c r="BF484" i="114"/>
  <c r="BF485" i="114"/>
  <c r="BF488" i="114"/>
  <c r="BF490" i="114"/>
  <c r="BF491" i="114"/>
  <c r="BF494" i="114"/>
  <c r="BF497" i="114"/>
  <c r="BF498" i="114"/>
  <c r="BF501" i="114"/>
  <c r="BF503" i="114"/>
  <c r="BF504" i="114"/>
  <c r="BF506" i="114"/>
  <c r="BF508" i="114"/>
  <c r="BF510" i="114"/>
  <c r="BF511" i="114"/>
  <c r="BF514" i="114"/>
  <c r="BF516" i="114"/>
  <c r="BF517" i="114"/>
  <c r="BF518" i="114"/>
  <c r="BF521" i="114"/>
  <c r="BF523" i="114"/>
  <c r="BF524" i="114"/>
  <c r="BF527" i="114"/>
  <c r="BF530" i="114"/>
  <c r="BF531" i="114"/>
  <c r="BF534" i="114"/>
  <c r="BF536" i="114"/>
  <c r="BF537" i="114"/>
  <c r="BF541" i="114"/>
  <c r="BF543" i="114"/>
  <c r="BF544" i="114"/>
  <c r="BF547" i="114"/>
  <c r="BF549" i="114"/>
  <c r="BF550" i="114"/>
  <c r="BF551" i="114"/>
  <c r="BF554" i="114"/>
  <c r="BF556" i="114"/>
  <c r="BF557" i="114"/>
  <c r="BF560" i="114"/>
  <c r="BF564" i="114"/>
  <c r="BF565" i="114"/>
  <c r="BF568" i="114"/>
  <c r="BF570" i="114"/>
  <c r="BF571" i="114"/>
  <c r="BF573" i="114"/>
  <c r="BF575" i="114"/>
  <c r="BF577" i="114"/>
  <c r="BF578" i="114"/>
  <c r="BF581" i="114"/>
  <c r="BF583" i="114"/>
  <c r="BF584" i="114"/>
  <c r="BF585" i="114"/>
  <c r="BF588" i="114"/>
  <c r="BF590" i="114"/>
  <c r="BF591" i="114"/>
  <c r="BF594" i="114"/>
  <c r="BF597" i="114"/>
  <c r="BF598" i="114"/>
  <c r="BF601" i="114"/>
  <c r="BF603" i="114"/>
  <c r="BF604" i="114"/>
  <c r="BF606" i="114"/>
  <c r="BF607" i="114"/>
  <c r="BF609" i="114"/>
  <c r="BF610" i="114"/>
  <c r="BF611" i="114"/>
  <c r="BF612" i="114"/>
  <c r="BF613" i="114"/>
  <c r="BF614" i="114"/>
  <c r="BF615" i="114"/>
  <c r="BF616" i="114"/>
  <c r="BF617" i="114"/>
  <c r="BF618" i="114"/>
  <c r="BF619" i="114"/>
  <c r="BF620" i="114"/>
  <c r="BF621" i="114"/>
  <c r="BF622" i="114"/>
  <c r="BF623" i="114"/>
  <c r="BF624" i="114"/>
  <c r="BF625" i="114"/>
  <c r="BF626" i="114"/>
  <c r="BF627" i="114"/>
  <c r="BF628" i="114"/>
  <c r="BF629" i="114"/>
  <c r="BF630" i="114"/>
  <c r="BF631" i="114"/>
  <c r="BF632" i="114"/>
  <c r="BF633" i="114"/>
  <c r="BF634" i="114"/>
  <c r="BF635" i="114"/>
  <c r="BF636" i="114"/>
  <c r="BF637" i="114"/>
  <c r="BF638" i="114"/>
  <c r="BF639" i="114"/>
  <c r="BF640" i="114"/>
  <c r="BF641" i="114"/>
  <c r="BF642" i="114"/>
  <c r="BF643" i="114"/>
  <c r="BF644" i="114"/>
  <c r="BF645" i="114"/>
  <c r="BF646" i="114"/>
  <c r="BF647" i="114"/>
  <c r="BF648" i="114"/>
  <c r="BF649" i="114"/>
  <c r="BF650" i="114"/>
  <c r="BF651" i="114"/>
  <c r="BF652" i="114"/>
  <c r="BF653" i="114"/>
  <c r="BF654" i="114"/>
  <c r="BF655" i="114"/>
  <c r="BF656" i="114"/>
  <c r="BF657" i="114"/>
  <c r="BF658" i="114"/>
  <c r="BF659" i="114"/>
  <c r="BF660" i="114"/>
  <c r="BF661" i="114"/>
  <c r="BF662" i="114"/>
  <c r="BF663" i="114"/>
  <c r="BF664" i="114"/>
  <c r="BF665" i="114"/>
  <c r="BF666" i="114"/>
  <c r="BF667" i="114"/>
  <c r="BF668" i="114"/>
  <c r="BF669" i="114"/>
  <c r="BF670" i="114"/>
  <c r="BF671" i="114"/>
  <c r="BF672" i="114"/>
  <c r="BF673" i="114"/>
  <c r="BF674" i="114"/>
  <c r="BF675" i="114"/>
  <c r="BF676" i="114"/>
  <c r="BF677" i="114"/>
  <c r="BF678" i="114"/>
  <c r="BF679" i="114"/>
  <c r="BF680" i="114"/>
  <c r="BF681" i="114"/>
  <c r="BF682" i="114"/>
  <c r="BF683" i="114"/>
  <c r="BF684" i="114"/>
  <c r="BF685" i="114"/>
  <c r="BF686" i="114"/>
  <c r="BF687" i="114"/>
  <c r="BF688" i="114"/>
  <c r="BF689" i="114"/>
  <c r="BF690" i="114"/>
  <c r="BF691" i="114"/>
  <c r="BF692" i="114"/>
  <c r="BF693" i="114"/>
  <c r="BF694" i="114"/>
  <c r="BF695" i="114"/>
  <c r="BF696" i="114"/>
  <c r="BF697" i="114"/>
  <c r="BF698" i="114"/>
  <c r="BF699" i="114"/>
  <c r="BF700" i="114"/>
  <c r="BF701" i="114"/>
  <c r="BF702" i="114"/>
  <c r="BF703" i="114"/>
  <c r="BF704" i="114"/>
  <c r="BF705" i="114"/>
  <c r="BF706" i="114"/>
  <c r="BF707" i="114"/>
  <c r="BF708" i="114"/>
  <c r="BF709" i="114"/>
  <c r="BF710" i="114"/>
  <c r="BF711" i="114"/>
  <c r="BF712" i="114"/>
  <c r="BF713" i="114"/>
  <c r="BF714" i="114"/>
  <c r="BF715" i="114"/>
  <c r="BF716" i="114"/>
  <c r="BF717" i="114"/>
  <c r="BF718" i="114"/>
  <c r="BF719" i="114"/>
  <c r="BF720" i="114"/>
  <c r="BF721" i="114"/>
  <c r="BF722" i="114"/>
  <c r="BF723" i="114"/>
  <c r="BF724" i="114"/>
  <c r="BF725" i="114"/>
  <c r="BF726" i="114"/>
  <c r="BF727" i="114"/>
  <c r="BF728" i="114"/>
  <c r="BF729" i="114"/>
  <c r="BF730" i="114"/>
  <c r="BF731" i="114"/>
  <c r="BF732" i="114"/>
  <c r="BF733" i="114"/>
  <c r="BF734" i="114"/>
  <c r="BF735" i="114"/>
  <c r="BF736" i="114"/>
  <c r="BF737" i="114"/>
  <c r="BF738" i="114"/>
  <c r="BF739" i="114"/>
  <c r="BF740" i="114"/>
  <c r="BF741" i="114"/>
  <c r="BF742" i="114"/>
  <c r="BF743" i="114"/>
  <c r="BF744" i="114"/>
  <c r="BF745" i="114"/>
  <c r="BF746" i="114"/>
  <c r="BF747" i="114"/>
  <c r="BF748" i="114"/>
  <c r="BF749" i="114"/>
  <c r="BF750" i="114"/>
  <c r="BF751" i="114"/>
  <c r="BF752" i="114"/>
  <c r="BF753" i="114"/>
  <c r="BF754" i="114"/>
  <c r="BF755" i="114"/>
  <c r="BF756" i="114"/>
  <c r="BF757" i="114"/>
  <c r="BF758" i="114"/>
  <c r="BF759" i="114"/>
  <c r="BF760" i="114"/>
  <c r="BF761" i="114"/>
  <c r="BF762" i="114"/>
  <c r="BF763" i="114"/>
  <c r="BF764" i="114"/>
  <c r="BF765" i="114"/>
  <c r="BF766" i="114"/>
  <c r="BF767" i="114"/>
  <c r="BF768" i="114"/>
  <c r="BF769" i="114"/>
  <c r="BF770" i="114"/>
  <c r="BF771" i="114"/>
  <c r="BF772" i="114"/>
  <c r="BF773" i="114"/>
  <c r="BF774" i="114"/>
  <c r="BF775" i="114"/>
  <c r="BF776" i="114"/>
  <c r="BF777" i="114"/>
  <c r="BF778" i="114"/>
  <c r="BF779" i="114"/>
  <c r="BF780" i="114"/>
  <c r="BF781" i="114"/>
  <c r="BF782" i="114"/>
  <c r="BF783" i="114"/>
  <c r="BF784" i="114"/>
  <c r="BF785" i="114"/>
  <c r="BF786" i="114"/>
  <c r="BF787" i="114"/>
  <c r="BF788" i="114"/>
  <c r="BF789" i="114"/>
  <c r="BF790" i="114"/>
  <c r="BF791" i="114"/>
  <c r="BF792" i="114"/>
  <c r="BF793" i="114"/>
  <c r="BF794" i="114"/>
  <c r="BF795" i="114"/>
  <c r="BF796" i="114"/>
  <c r="BF797" i="114"/>
  <c r="BF798" i="114"/>
  <c r="BF799" i="114"/>
  <c r="BF800" i="114"/>
  <c r="BF801" i="114"/>
  <c r="BF802" i="114"/>
  <c r="BF803" i="114"/>
  <c r="BF804" i="114"/>
  <c r="BF805" i="114"/>
  <c r="BF806" i="114"/>
  <c r="BF807" i="114"/>
  <c r="BF808" i="114"/>
  <c r="BF809" i="114"/>
  <c r="BF810" i="114"/>
  <c r="BF811" i="114"/>
  <c r="BF812" i="114"/>
  <c r="BF813" i="114"/>
  <c r="BF814" i="114"/>
  <c r="BF815" i="114"/>
  <c r="BF816" i="114"/>
  <c r="BF817" i="114"/>
  <c r="BF818" i="114"/>
  <c r="BF819" i="114"/>
  <c r="BF820" i="114"/>
  <c r="BF821" i="114"/>
  <c r="BF822" i="114"/>
  <c r="BF823" i="114"/>
  <c r="BF824" i="114"/>
  <c r="BF825" i="114"/>
  <c r="BF826" i="114"/>
  <c r="BF827" i="114"/>
  <c r="BF828" i="114"/>
  <c r="BF829" i="114"/>
  <c r="BF830" i="114"/>
  <c r="BF831" i="114"/>
  <c r="BF832" i="114"/>
  <c r="BF833" i="114"/>
  <c r="BF834" i="114"/>
  <c r="BF835" i="114"/>
  <c r="BF836" i="114"/>
  <c r="BF837" i="114"/>
  <c r="BF838" i="114"/>
  <c r="BF839" i="114"/>
  <c r="BF840" i="114"/>
  <c r="BF841" i="114"/>
  <c r="BF842" i="114"/>
  <c r="BF843" i="114"/>
  <c r="BF844" i="114"/>
  <c r="BF845" i="114"/>
  <c r="BF846" i="114"/>
  <c r="BF847" i="114"/>
  <c r="BF848" i="114"/>
  <c r="BF849" i="114"/>
  <c r="BF850" i="114"/>
  <c r="BF851" i="114"/>
  <c r="BF852" i="114"/>
  <c r="BF853" i="114"/>
  <c r="BF854" i="114"/>
  <c r="BF855" i="114"/>
  <c r="BF856" i="114"/>
  <c r="BF857" i="114"/>
  <c r="BF858" i="114"/>
  <c r="BF859" i="114"/>
  <c r="BF860" i="114"/>
  <c r="BF861" i="114"/>
  <c r="BF862" i="114"/>
  <c r="BF863" i="114"/>
  <c r="BF864" i="114"/>
  <c r="BF865" i="114"/>
  <c r="BF866" i="114"/>
  <c r="BF867" i="114"/>
  <c r="BF868" i="114"/>
  <c r="BF869" i="114"/>
  <c r="BF870" i="114"/>
  <c r="BF871" i="114"/>
  <c r="BF872" i="114"/>
  <c r="BF873" i="114"/>
  <c r="BF874" i="114"/>
  <c r="BF875" i="114"/>
  <c r="BF876" i="114"/>
  <c r="BF877" i="114"/>
  <c r="BF878" i="114"/>
  <c r="BF879" i="114"/>
  <c r="BF880" i="114"/>
  <c r="BF881" i="114"/>
  <c r="BF882" i="114"/>
  <c r="BF883" i="114"/>
  <c r="BF884" i="114"/>
  <c r="BF885" i="114"/>
  <c r="BF886" i="114"/>
  <c r="BF887" i="114"/>
  <c r="BF888" i="114"/>
  <c r="BF889" i="114"/>
  <c r="BF890" i="114"/>
  <c r="BF891" i="114"/>
  <c r="BF892" i="114"/>
  <c r="BF893" i="114"/>
  <c r="BF894" i="114"/>
  <c r="BF895" i="114"/>
  <c r="BF896" i="114"/>
  <c r="BF897" i="114"/>
  <c r="BF898" i="114"/>
  <c r="BF899" i="114"/>
  <c r="BF900" i="114"/>
  <c r="BF901" i="114"/>
  <c r="BF902" i="114"/>
  <c r="BF903" i="114"/>
  <c r="BF904" i="114"/>
  <c r="BF905" i="114"/>
  <c r="BF906" i="114"/>
  <c r="BF907" i="114"/>
  <c r="BF908" i="114"/>
  <c r="BF909" i="114"/>
  <c r="BF910" i="114"/>
  <c r="BF911" i="114"/>
  <c r="BF912" i="114"/>
  <c r="BF913" i="114"/>
  <c r="BF914" i="114"/>
  <c r="BF915" i="114"/>
  <c r="BF916" i="114"/>
  <c r="BF917" i="114"/>
  <c r="BF918" i="114"/>
  <c r="BF919" i="114"/>
  <c r="BF920" i="114"/>
  <c r="BF921" i="114"/>
  <c r="BF922" i="114"/>
  <c r="BF923" i="114"/>
  <c r="BF924" i="114"/>
  <c r="BF925" i="114"/>
  <c r="BF926" i="114"/>
  <c r="BF927" i="114"/>
  <c r="BF928" i="114"/>
  <c r="BF929" i="114"/>
  <c r="BF930" i="114"/>
  <c r="BF931" i="114"/>
  <c r="BF932" i="114"/>
  <c r="BF933" i="114"/>
  <c r="BF934" i="114"/>
  <c r="BF935" i="114"/>
  <c r="BF936" i="114"/>
  <c r="BF937" i="114"/>
  <c r="BF938" i="114"/>
  <c r="BF939" i="114"/>
  <c r="BF940" i="114"/>
  <c r="BF941" i="114"/>
  <c r="BF942" i="114"/>
  <c r="BF943" i="114"/>
  <c r="BF944" i="114"/>
  <c r="BF945" i="114"/>
  <c r="BF946" i="114"/>
  <c r="BF947" i="114"/>
  <c r="BF948" i="114"/>
  <c r="BF949" i="114"/>
  <c r="BF950" i="114"/>
  <c r="BF951" i="114"/>
  <c r="BF952" i="114"/>
  <c r="BF953" i="114"/>
  <c r="BF954" i="114"/>
  <c r="BF955" i="114"/>
  <c r="BF956" i="114"/>
  <c r="BF957" i="114"/>
  <c r="BF958" i="114"/>
  <c r="BF959" i="114"/>
  <c r="BF960" i="114"/>
  <c r="BF961" i="114"/>
  <c r="BF962" i="114"/>
  <c r="BF963" i="114"/>
  <c r="BF964" i="114"/>
  <c r="BF965" i="114"/>
  <c r="BF966" i="114"/>
  <c r="BF967" i="114"/>
  <c r="BF968" i="114"/>
  <c r="BF969" i="114"/>
  <c r="BF970" i="114"/>
  <c r="BF971" i="114"/>
  <c r="BF972" i="114"/>
  <c r="BF973" i="114"/>
  <c r="BF974" i="114"/>
  <c r="BF975" i="114"/>
  <c r="BF976" i="114"/>
  <c r="BF977" i="114"/>
  <c r="BF978" i="114"/>
  <c r="BF979" i="114"/>
  <c r="BF980" i="114"/>
  <c r="BF981" i="114"/>
  <c r="BF982" i="114"/>
  <c r="BF983" i="114"/>
  <c r="BF984" i="114"/>
  <c r="BF985" i="114"/>
  <c r="BF986" i="114"/>
  <c r="BF987" i="114"/>
  <c r="BF988" i="114"/>
  <c r="BF989" i="114"/>
  <c r="BF990" i="114"/>
  <c r="BF991" i="114"/>
  <c r="BF992" i="114"/>
  <c r="BF993" i="114"/>
  <c r="BF994" i="114"/>
  <c r="BF995" i="114"/>
  <c r="BF996" i="114"/>
  <c r="BF997" i="114"/>
  <c r="BF998" i="114"/>
  <c r="BF999" i="114"/>
  <c r="BF1000" i="114"/>
  <c r="BF1001" i="114"/>
  <c r="BF1002" i="114"/>
  <c r="BF1003" i="114"/>
  <c r="BF1004" i="114"/>
  <c r="BF1005" i="114"/>
  <c r="BF1006" i="114"/>
  <c r="BF1007" i="114"/>
  <c r="BF1008" i="114"/>
  <c r="BF1009" i="114"/>
  <c r="BF1010" i="114"/>
  <c r="BF1011" i="114"/>
  <c r="BF1012" i="114"/>
  <c r="BF1013" i="114"/>
  <c r="BF1014" i="114"/>
  <c r="BF1015" i="114"/>
  <c r="BF1016" i="114"/>
  <c r="BF1017" i="114"/>
  <c r="BF1018" i="114"/>
  <c r="BF1019" i="114"/>
  <c r="BF1020" i="114"/>
  <c r="BF1021" i="114"/>
  <c r="BF1022" i="114"/>
  <c r="BF1023" i="114"/>
  <c r="BF1024" i="114"/>
  <c r="BF1025" i="114"/>
  <c r="BF1026" i="114"/>
  <c r="BF1027" i="114"/>
  <c r="BF1028" i="114"/>
  <c r="BF1029" i="114"/>
  <c r="BF1030" i="114"/>
  <c r="BF1031" i="114"/>
  <c r="BF1032" i="114"/>
  <c r="BF1033" i="114"/>
  <c r="BF1034" i="114"/>
  <c r="BF1035" i="114"/>
  <c r="BF1036" i="114"/>
  <c r="BF1037" i="114"/>
  <c r="BF1038" i="114"/>
  <c r="BF1039" i="114"/>
  <c r="BF1040" i="114"/>
  <c r="BF1041" i="114"/>
  <c r="BF1042" i="114"/>
  <c r="BF1043" i="114"/>
  <c r="BF1044" i="114"/>
  <c r="BF1045" i="114"/>
  <c r="BF1046" i="114"/>
  <c r="BF1047" i="114"/>
  <c r="BF1048" i="114"/>
  <c r="BF1049" i="114"/>
  <c r="BF1050" i="114"/>
  <c r="BF1051" i="114"/>
  <c r="BF1052" i="114"/>
  <c r="BF1053" i="114"/>
  <c r="BF1054" i="114"/>
  <c r="BF1055" i="114"/>
  <c r="BF1056" i="114"/>
  <c r="BF1057" i="114"/>
  <c r="BF1058" i="114"/>
  <c r="BF1059" i="114"/>
  <c r="BF1060" i="114"/>
  <c r="BF1061" i="114"/>
  <c r="BF1062" i="114"/>
  <c r="BF1063" i="114"/>
  <c r="BF1064" i="114"/>
  <c r="BF1065" i="114"/>
  <c r="BF1066" i="114"/>
  <c r="BF1067" i="114"/>
  <c r="BF1068" i="114"/>
  <c r="BF1069" i="114"/>
  <c r="BF1070" i="114"/>
  <c r="BF1071" i="114"/>
  <c r="BF1072" i="114"/>
  <c r="BF1073" i="114"/>
  <c r="BF1074" i="114"/>
  <c r="BF1075" i="114"/>
  <c r="BF1076" i="114"/>
  <c r="BF1077" i="114"/>
  <c r="BF1078" i="114"/>
  <c r="BF1079" i="114"/>
  <c r="BF1080" i="114"/>
  <c r="BF1081" i="114"/>
  <c r="BF1082" i="114"/>
  <c r="BF1083" i="114"/>
  <c r="BF1084" i="114"/>
  <c r="BF1085" i="114"/>
  <c r="BF1086" i="114"/>
  <c r="BF1087" i="114"/>
  <c r="BF1088" i="114"/>
  <c r="BF1089" i="114"/>
  <c r="BF1090" i="114"/>
  <c r="BF1091" i="114"/>
  <c r="BF1092" i="114"/>
  <c r="BF1093" i="114"/>
  <c r="BF1094" i="114"/>
  <c r="BF1095" i="114"/>
  <c r="BF1096" i="114"/>
  <c r="BF1097" i="114"/>
  <c r="BF1098" i="114"/>
  <c r="BF1099" i="114"/>
  <c r="BF1100" i="114"/>
  <c r="BF1101" i="114"/>
  <c r="BF1102" i="114"/>
  <c r="BF1103" i="114"/>
  <c r="BF1104" i="114"/>
  <c r="BF1105" i="114"/>
  <c r="BF1106" i="114"/>
  <c r="BF1107" i="114"/>
  <c r="BF1108" i="114"/>
  <c r="BF1109" i="114"/>
  <c r="BF1110" i="114"/>
  <c r="BF1111" i="114"/>
  <c r="BF1112" i="114"/>
  <c r="BF1113" i="114"/>
  <c r="BF1114" i="114"/>
  <c r="BF1115" i="114"/>
  <c r="BF1116" i="114"/>
  <c r="BF1117" i="114"/>
  <c r="BF1118" i="114"/>
  <c r="BF1119" i="114"/>
  <c r="BF1120" i="114"/>
  <c r="BF1121" i="114"/>
  <c r="BF1122" i="114"/>
  <c r="BF1123" i="114"/>
  <c r="BF1124" i="114"/>
  <c r="BF1125" i="114"/>
  <c r="BF1126" i="114"/>
  <c r="BF1127" i="114"/>
  <c r="BF1128" i="114"/>
  <c r="BF1129" i="114"/>
  <c r="BF1130" i="114"/>
  <c r="BF1131" i="114"/>
  <c r="BF1132" i="114"/>
  <c r="BF1133" i="114"/>
  <c r="BF1134" i="114"/>
  <c r="BF1135" i="114"/>
  <c r="BF1136" i="114"/>
  <c r="BF1137" i="114"/>
  <c r="BF1138" i="114"/>
  <c r="BF1139" i="114"/>
  <c r="BF1140" i="114"/>
  <c r="BF1141" i="114"/>
  <c r="BF1142" i="114"/>
  <c r="BF1143" i="114"/>
  <c r="BF1144" i="114"/>
  <c r="BF1145" i="114"/>
  <c r="BF1146" i="114"/>
  <c r="BF1147" i="114"/>
  <c r="BF1148" i="114"/>
  <c r="BF1149" i="114"/>
  <c r="BF1150" i="114"/>
  <c r="BF1151" i="114"/>
  <c r="BF1152" i="114"/>
  <c r="BF1153" i="114"/>
  <c r="BF1154" i="114"/>
  <c r="BF1155" i="114"/>
  <c r="BF1156" i="114"/>
  <c r="BF1157" i="114"/>
  <c r="BF1158" i="114"/>
  <c r="BF1159" i="114"/>
  <c r="BF1160" i="114"/>
  <c r="BF1161" i="114"/>
  <c r="BF1162" i="114"/>
  <c r="BF1163" i="114"/>
  <c r="BF1164" i="114"/>
  <c r="BF1165" i="114"/>
  <c r="BF1166" i="114"/>
  <c r="BF1167" i="114"/>
  <c r="BF1168" i="114"/>
  <c r="BF1169" i="114"/>
  <c r="BF1170" i="114"/>
  <c r="BF1171" i="114"/>
  <c r="BF1172" i="114"/>
  <c r="BF1173" i="114"/>
  <c r="BF1174" i="114"/>
  <c r="BF1175" i="114"/>
  <c r="BF1176" i="114"/>
  <c r="BF1177" i="114"/>
  <c r="BF1178" i="114"/>
  <c r="BF1179" i="114"/>
  <c r="BF1180" i="114"/>
  <c r="BF1181" i="114"/>
  <c r="BF1182" i="114"/>
  <c r="BF1183" i="114"/>
  <c r="BF1184" i="114"/>
  <c r="BF1185" i="114"/>
  <c r="BF1186" i="114"/>
  <c r="BF1187" i="114"/>
  <c r="BF1188" i="114"/>
  <c r="BF1189" i="114"/>
  <c r="BF1190" i="114"/>
  <c r="BF1191" i="114"/>
  <c r="BF1192" i="114"/>
  <c r="BF1193" i="114"/>
  <c r="BF1194" i="114"/>
  <c r="BF1195" i="114"/>
  <c r="BF1196" i="114"/>
  <c r="BF1197" i="114"/>
  <c r="BF1198" i="114"/>
  <c r="BF1199" i="114"/>
  <c r="BF1200" i="114"/>
  <c r="BF1201" i="114"/>
  <c r="BF1202" i="114"/>
  <c r="BF1203" i="114"/>
  <c r="BF1204" i="114"/>
  <c r="BF1205" i="114"/>
  <c r="BF1206" i="114"/>
  <c r="BF1207" i="114"/>
  <c r="BF1208" i="114"/>
  <c r="BF1209" i="114"/>
  <c r="BF1210" i="114"/>
  <c r="BF1211" i="114"/>
  <c r="BF1212" i="114"/>
  <c r="BF1213" i="114"/>
  <c r="BF1214" i="114"/>
  <c r="BF1215" i="114"/>
  <c r="BF1216" i="114"/>
  <c r="BF1217" i="114"/>
  <c r="BF1218" i="114"/>
  <c r="BF1219" i="114"/>
  <c r="BF1220" i="114"/>
  <c r="BF1221" i="114"/>
  <c r="BF1222" i="114"/>
  <c r="BF1223" i="114"/>
  <c r="BF1224" i="114"/>
  <c r="BF1225" i="114"/>
  <c r="BF1226" i="114"/>
  <c r="BF1227" i="114"/>
  <c r="BF1228" i="114"/>
  <c r="BF1229" i="114"/>
  <c r="BF1230" i="114"/>
  <c r="BF1231" i="114"/>
  <c r="BF1232" i="114"/>
  <c r="BF1233" i="114"/>
  <c r="BF1234" i="114"/>
  <c r="BF1235" i="114"/>
  <c r="BF1236" i="114"/>
  <c r="BF1237" i="114"/>
  <c r="BF1238" i="114"/>
  <c r="BF1239" i="114"/>
  <c r="BF1240" i="114"/>
  <c r="BF1241" i="114"/>
  <c r="BF1242" i="114"/>
  <c r="BF1243" i="114"/>
  <c r="BF1244" i="114"/>
  <c r="BF1245" i="114"/>
  <c r="BF1246" i="114"/>
  <c r="BF1247" i="114"/>
  <c r="BF1248" i="114"/>
  <c r="BF1249" i="114"/>
  <c r="BF1250" i="114"/>
  <c r="BF1251" i="114"/>
  <c r="BF1252" i="114"/>
  <c r="BF1253" i="114"/>
  <c r="BF1254" i="114"/>
  <c r="BF1255" i="114"/>
  <c r="BF1256" i="114"/>
  <c r="BF1257" i="114"/>
  <c r="BF1258" i="114"/>
  <c r="BF1259" i="114"/>
  <c r="BF1260" i="114"/>
  <c r="BF1261" i="114"/>
  <c r="BF1262" i="114"/>
  <c r="BF1263" i="114"/>
  <c r="BF1264" i="114"/>
  <c r="BF1265" i="114"/>
  <c r="BF1266" i="114"/>
  <c r="BF1267" i="114"/>
  <c r="BF1268" i="114"/>
  <c r="BF1269" i="114"/>
  <c r="BF1270" i="114"/>
  <c r="BF1271" i="114"/>
  <c r="BF1272" i="114"/>
  <c r="BF1273" i="114"/>
  <c r="BF1274" i="114"/>
  <c r="BF1275" i="114"/>
  <c r="BF1276" i="114"/>
  <c r="BF1277" i="114"/>
  <c r="BF1278" i="114"/>
  <c r="BF1279" i="114"/>
  <c r="BF1280" i="114"/>
  <c r="BF1281" i="114"/>
  <c r="BF1282" i="114"/>
  <c r="BF1283" i="114"/>
  <c r="BF1284" i="114"/>
  <c r="BF1285" i="114"/>
  <c r="BF1286" i="114"/>
  <c r="BF1287" i="114"/>
  <c r="BF1288" i="114"/>
  <c r="BF1289" i="114"/>
  <c r="BF1290" i="114"/>
  <c r="BF1291" i="114"/>
  <c r="BF1292" i="114"/>
  <c r="BF1293" i="114"/>
  <c r="BF1294" i="114"/>
  <c r="BF1295" i="114"/>
  <c r="BF1296" i="114"/>
  <c r="BF1297" i="114"/>
  <c r="BF1298" i="114"/>
  <c r="BF1299" i="114"/>
  <c r="BF1300" i="114"/>
  <c r="BF1301" i="114"/>
  <c r="BF1302" i="114"/>
  <c r="BF1303" i="114"/>
  <c r="BF1304" i="114"/>
  <c r="BF1305" i="114"/>
  <c r="BF1306" i="114"/>
  <c r="BF1307" i="114"/>
  <c r="BF1308" i="114"/>
  <c r="BF1309" i="114"/>
  <c r="BF1310" i="114"/>
  <c r="BF1311" i="114"/>
  <c r="BF1312" i="114"/>
  <c r="BF1313" i="114"/>
  <c r="BF1314" i="114"/>
  <c r="BF1315" i="114"/>
  <c r="BF1316" i="114"/>
  <c r="BF1317" i="114"/>
  <c r="BF1318" i="114"/>
  <c r="BF1319" i="114"/>
  <c r="BF1320" i="114"/>
  <c r="BF1321" i="114"/>
  <c r="BF1322" i="114"/>
  <c r="BF1323" i="114"/>
  <c r="BF1324" i="114"/>
  <c r="BF1325" i="114"/>
  <c r="BF1326" i="114"/>
  <c r="BF1327" i="114"/>
  <c r="BF1328" i="114"/>
  <c r="BF1329" i="114"/>
  <c r="BF1330" i="114"/>
  <c r="BF1331" i="114"/>
  <c r="BF1332" i="114"/>
  <c r="BF1333" i="114"/>
  <c r="BF1334" i="114"/>
  <c r="BF1335" i="114"/>
  <c r="BF1336" i="114"/>
  <c r="BF1337" i="114"/>
  <c r="BF1338" i="114"/>
  <c r="BF1339" i="114"/>
  <c r="BF1340" i="114"/>
  <c r="BF1341" i="114"/>
  <c r="BF1342" i="114"/>
  <c r="BF1343" i="114"/>
  <c r="BF1344" i="114"/>
  <c r="BF1345" i="114"/>
  <c r="BF1346" i="114"/>
  <c r="BF1347" i="114"/>
  <c r="BF1348" i="114"/>
  <c r="BF1349" i="114"/>
  <c r="BF1350" i="114"/>
  <c r="BF1351" i="114"/>
  <c r="BF1352" i="114"/>
  <c r="BF1353" i="114"/>
  <c r="BF1354" i="114"/>
  <c r="BF1355" i="114"/>
  <c r="BF1356" i="114"/>
  <c r="BF1357" i="114"/>
  <c r="BF1358" i="114"/>
  <c r="BF1359" i="114"/>
  <c r="BF1360" i="114"/>
  <c r="BF1361" i="114"/>
  <c r="BF1362" i="114"/>
  <c r="BF1363" i="114"/>
  <c r="BF1364" i="114"/>
  <c r="BF1365" i="114"/>
  <c r="BF1366" i="114"/>
  <c r="BF1367" i="114"/>
  <c r="BF1368" i="114"/>
  <c r="BF1369" i="114"/>
  <c r="BF1370" i="114"/>
  <c r="BF1371" i="114"/>
  <c r="BF1372" i="114"/>
  <c r="BF1373" i="114"/>
  <c r="BF1374" i="114"/>
  <c r="BF1375" i="114"/>
  <c r="BF1376" i="114"/>
  <c r="BF1377" i="114"/>
  <c r="BF1378" i="114"/>
  <c r="BF1379" i="114"/>
  <c r="BF1380" i="114"/>
  <c r="BF1381" i="114"/>
  <c r="BF1382" i="114"/>
  <c r="BF1383" i="114"/>
  <c r="BF1384" i="114"/>
  <c r="BF1385" i="114"/>
  <c r="BF1386" i="114"/>
  <c r="BF1387" i="114"/>
  <c r="BF1388" i="114"/>
  <c r="BF1389" i="114"/>
  <c r="BF1390" i="114"/>
  <c r="BF1391" i="114"/>
  <c r="BF1392" i="114"/>
  <c r="BF1393" i="114"/>
  <c r="BF1394" i="114"/>
  <c r="BF1395" i="114"/>
  <c r="BF1396" i="114"/>
  <c r="BF1397" i="114"/>
  <c r="BF1398" i="114"/>
  <c r="BF1399" i="114"/>
  <c r="BF1400" i="114"/>
  <c r="BF1401" i="114"/>
  <c r="BF1402" i="114"/>
  <c r="BF1403" i="114"/>
  <c r="BF1404" i="114"/>
  <c r="BF1405" i="114"/>
  <c r="BF1406" i="114"/>
  <c r="BF1407" i="114"/>
  <c r="BF1408" i="114"/>
  <c r="BF1409" i="114"/>
  <c r="BF1410" i="114"/>
  <c r="BF1411" i="114"/>
  <c r="BF1412" i="114"/>
  <c r="BF1413" i="114"/>
  <c r="BF1414" i="114"/>
  <c r="BF1415" i="114"/>
  <c r="BF1416" i="114"/>
  <c r="BF1417" i="114"/>
  <c r="BF1418" i="114"/>
  <c r="BF1419" i="114"/>
  <c r="BF1420" i="114"/>
  <c r="BF1421" i="114"/>
  <c r="BF1422" i="114"/>
  <c r="BF1423" i="114"/>
  <c r="BF1424" i="114"/>
  <c r="BF1425" i="114"/>
  <c r="BF1426" i="114"/>
  <c r="BF1427" i="114"/>
  <c r="BF1428" i="114"/>
  <c r="BF1429" i="114"/>
  <c r="BF1430" i="114"/>
  <c r="BF1431" i="114"/>
  <c r="BF1432" i="114"/>
  <c r="BF1433" i="114"/>
  <c r="BF1434" i="114"/>
  <c r="BF1435" i="114"/>
  <c r="BF1436" i="114"/>
  <c r="BF1437" i="114"/>
  <c r="BF1438" i="114"/>
  <c r="BF1439" i="114"/>
  <c r="BF1440" i="114"/>
  <c r="BF1441" i="114"/>
  <c r="BF1442" i="114"/>
  <c r="BF1443" i="114"/>
  <c r="BF1444" i="114"/>
  <c r="BF1445" i="114"/>
  <c r="BF1446" i="114"/>
  <c r="BF1447" i="114"/>
  <c r="BF1448" i="114"/>
  <c r="BF1449" i="114"/>
  <c r="BF1450" i="114"/>
  <c r="BF1451" i="114"/>
  <c r="BF1452" i="114"/>
  <c r="BF1453" i="114"/>
  <c r="BF1454" i="114"/>
  <c r="BF1455" i="114"/>
  <c r="BF1456" i="114"/>
  <c r="BF1457" i="114"/>
  <c r="BF1458" i="114"/>
  <c r="BF1459" i="114"/>
  <c r="BF1460" i="114"/>
  <c r="BF1461" i="114"/>
  <c r="BF1462" i="114"/>
  <c r="BF1463" i="114"/>
  <c r="BF1464" i="114"/>
  <c r="BF1465" i="114"/>
  <c r="BF1466" i="114"/>
  <c r="BF1467" i="114"/>
  <c r="BF1468" i="114"/>
  <c r="BF1469" i="114"/>
  <c r="BF1470" i="114"/>
  <c r="BF1471" i="114"/>
  <c r="BF1472" i="114"/>
  <c r="BF1473" i="114"/>
  <c r="BF1474" i="114"/>
  <c r="BF1475" i="114"/>
  <c r="BF1476" i="114"/>
  <c r="BF1477" i="114"/>
  <c r="BF1478" i="114"/>
  <c r="BF1479" i="114"/>
  <c r="BF1480" i="114"/>
  <c r="BF1481" i="114"/>
  <c r="BF1482" i="114"/>
  <c r="BF1483" i="114"/>
  <c r="BF1484" i="114"/>
  <c r="BF1485" i="114"/>
  <c r="BF1486" i="114"/>
  <c r="BF1487" i="114"/>
  <c r="BF1488" i="114"/>
  <c r="BF1489" i="114"/>
  <c r="BF1490" i="114"/>
  <c r="BF1491" i="114"/>
  <c r="BF1492" i="114"/>
  <c r="BF1493" i="114"/>
  <c r="BF1494" i="114"/>
  <c r="BF1495" i="114"/>
  <c r="BF1496" i="114"/>
  <c r="BF1497" i="114"/>
  <c r="BF1498" i="114"/>
  <c r="BF1499" i="114"/>
  <c r="BF1500" i="114"/>
  <c r="BF1501" i="114"/>
  <c r="BF1502" i="114"/>
  <c r="BF1503" i="114"/>
  <c r="BF1504" i="114"/>
  <c r="BF1505" i="114"/>
  <c r="BF1506" i="114"/>
  <c r="BF1507" i="114"/>
  <c r="BF1508" i="114"/>
  <c r="BF1509" i="114"/>
  <c r="BF1510" i="114"/>
  <c r="BF1511" i="114"/>
  <c r="BF1512" i="114"/>
  <c r="BF1513" i="114"/>
  <c r="BF1514" i="114"/>
  <c r="BF1515" i="114"/>
  <c r="BF1516" i="114"/>
  <c r="BF1517" i="114"/>
  <c r="BF1518" i="114"/>
  <c r="BF1519" i="114"/>
  <c r="BF1520" i="114"/>
  <c r="BF1521" i="114"/>
  <c r="BF1522" i="114"/>
  <c r="BF1523" i="114"/>
  <c r="BF1524" i="114"/>
  <c r="BF1525" i="114"/>
  <c r="BF1526" i="114"/>
  <c r="BF1527" i="114"/>
  <c r="BF1528" i="114"/>
  <c r="BF1529" i="114"/>
  <c r="BF1530" i="114"/>
  <c r="BF1531" i="114"/>
  <c r="BF1532" i="114"/>
  <c r="BF1533" i="114"/>
  <c r="BF1534" i="114"/>
  <c r="BF1535" i="114"/>
  <c r="BF1536" i="114"/>
  <c r="BF1537" i="114"/>
  <c r="BF1538" i="114"/>
  <c r="BF1539" i="114"/>
  <c r="BF1540" i="114"/>
  <c r="BF1541" i="114"/>
  <c r="BF1542" i="114"/>
  <c r="BF1543" i="114"/>
  <c r="BF1544" i="114"/>
  <c r="BF1545" i="114"/>
  <c r="BF1546" i="114"/>
  <c r="BF1547" i="114"/>
  <c r="BF1548" i="114"/>
  <c r="BF1549" i="114"/>
  <c r="BF1550" i="114"/>
  <c r="BF1551" i="114"/>
  <c r="BF1552" i="114"/>
  <c r="BF1553" i="114"/>
  <c r="BF1554" i="114"/>
  <c r="BF1555" i="114"/>
  <c r="BF1556" i="114"/>
  <c r="BF1557" i="114"/>
  <c r="BF1558" i="114"/>
  <c r="BF1559" i="114"/>
  <c r="BF1560" i="114"/>
  <c r="BF1561" i="114"/>
  <c r="BF1562" i="114"/>
  <c r="BF1563" i="114"/>
  <c r="BF1564" i="114"/>
  <c r="BF1565" i="114"/>
  <c r="BF1566" i="114"/>
  <c r="BF1567" i="114"/>
  <c r="BF1568" i="114"/>
  <c r="BF1569" i="114"/>
  <c r="BF1570" i="114"/>
  <c r="BF1571" i="114"/>
  <c r="BF1572" i="114"/>
  <c r="BF1573" i="114"/>
  <c r="BF1574" i="114"/>
  <c r="BF1575" i="114"/>
  <c r="BF1576" i="114"/>
  <c r="BF1577" i="114"/>
  <c r="BF1578" i="114"/>
  <c r="BF1579" i="114"/>
  <c r="BF1580" i="114"/>
  <c r="BF1581" i="114"/>
  <c r="BF1582" i="114"/>
  <c r="BF1583" i="114"/>
  <c r="BF1584" i="114"/>
  <c r="BF1585" i="114"/>
  <c r="BF1586" i="114"/>
  <c r="BF1587" i="114"/>
  <c r="BF1588" i="114"/>
  <c r="BF1589" i="114"/>
  <c r="BF1590" i="114"/>
  <c r="BF1591" i="114"/>
  <c r="BF1592" i="114"/>
  <c r="BF1593" i="114"/>
  <c r="BF1594" i="114"/>
  <c r="BF1595" i="114"/>
  <c r="BF1596" i="114"/>
  <c r="BF1597" i="114"/>
  <c r="BF1598" i="114"/>
  <c r="BF1599" i="114"/>
  <c r="BF1600" i="114"/>
  <c r="BF1601" i="114"/>
  <c r="BF1602" i="114"/>
  <c r="BF1603" i="114"/>
  <c r="BF1604" i="114"/>
  <c r="BF1605" i="114"/>
  <c r="BF1606" i="114"/>
  <c r="BF1607" i="114"/>
  <c r="BF1608" i="114"/>
  <c r="BF1609" i="114"/>
  <c r="BF1610" i="114"/>
  <c r="BF1611" i="114"/>
  <c r="BF1612" i="114"/>
  <c r="BF1613" i="114"/>
  <c r="BF1614" i="114"/>
  <c r="BF1615" i="114"/>
  <c r="BF1616" i="114"/>
  <c r="BF1617" i="114"/>
  <c r="BF1618" i="114"/>
  <c r="BF1619" i="114"/>
  <c r="BF1620" i="114"/>
  <c r="BF1621" i="114"/>
  <c r="BF1622" i="114"/>
  <c r="BF1623" i="114"/>
  <c r="BF1624" i="114"/>
  <c r="BF1625" i="114"/>
  <c r="BF1626" i="114"/>
  <c r="BF1627" i="114"/>
  <c r="BF1628" i="114"/>
  <c r="BF1629" i="114"/>
  <c r="BF1630" i="114"/>
  <c r="BF1631" i="114"/>
  <c r="BF1632" i="114"/>
  <c r="BF1633" i="114"/>
  <c r="BF1634" i="114"/>
  <c r="BF1635" i="114"/>
  <c r="BF1636" i="114"/>
  <c r="BF1637" i="114"/>
  <c r="BF1638" i="114"/>
  <c r="BF1639" i="114"/>
  <c r="BF1640" i="114"/>
  <c r="BF1641" i="114"/>
  <c r="BF1642" i="114"/>
  <c r="BF1643" i="114"/>
  <c r="BF1644" i="114"/>
  <c r="BF1645" i="114"/>
  <c r="BF1646" i="114"/>
  <c r="BF1647" i="114"/>
  <c r="BF1648" i="114"/>
  <c r="BF1649" i="114"/>
  <c r="BF1650" i="114"/>
  <c r="BF1651" i="114"/>
  <c r="BF1652" i="114"/>
  <c r="BF1653" i="114"/>
  <c r="BF1654" i="114"/>
  <c r="BF1655" i="114"/>
  <c r="BF1656" i="114"/>
  <c r="BF1657" i="114"/>
  <c r="BF1658" i="114"/>
  <c r="BF1659" i="114"/>
  <c r="BF1660" i="114"/>
  <c r="BF1661" i="114"/>
  <c r="BF1662" i="114"/>
  <c r="BF1663" i="114"/>
  <c r="BF1664" i="114"/>
  <c r="BF1665" i="114"/>
  <c r="BF1666" i="114"/>
  <c r="BF1667" i="114"/>
  <c r="BF1668" i="114"/>
  <c r="BF1669" i="114"/>
  <c r="BF1670" i="114"/>
  <c r="BF1671" i="114"/>
  <c r="BF1672" i="114"/>
  <c r="BF1673" i="114"/>
  <c r="BF1674" i="114"/>
  <c r="BF1675" i="114"/>
  <c r="BF1676" i="114"/>
  <c r="BF1677" i="114"/>
  <c r="BF1678" i="114"/>
  <c r="BF1679" i="114"/>
  <c r="BF1680" i="114"/>
  <c r="BF1681" i="114"/>
  <c r="BF1682" i="114"/>
  <c r="BF1683" i="114"/>
  <c r="BF1684" i="114"/>
  <c r="BF1685" i="114"/>
  <c r="BF1686" i="114"/>
  <c r="BF1687" i="114"/>
  <c r="BF1688" i="114"/>
  <c r="BF1689" i="114"/>
  <c r="BF1690" i="114"/>
  <c r="BF1691" i="114"/>
  <c r="BF1692" i="114"/>
  <c r="BF1693" i="114"/>
  <c r="BF1694" i="114"/>
  <c r="BF1695" i="114"/>
  <c r="BF1696" i="114"/>
  <c r="BF1697" i="114"/>
  <c r="BF1698" i="114"/>
  <c r="BF1699" i="114"/>
  <c r="BF1700" i="114"/>
  <c r="BF1701" i="114"/>
  <c r="BF1702" i="114"/>
  <c r="BF1703" i="114"/>
  <c r="BF1704" i="114"/>
  <c r="BF1705" i="114"/>
  <c r="BF1706" i="114"/>
  <c r="BF1707" i="114"/>
  <c r="BF1708" i="114"/>
  <c r="BF1709" i="114"/>
  <c r="BF1710" i="114"/>
  <c r="BF1711" i="114"/>
  <c r="BF1712" i="114"/>
  <c r="BF1713" i="114"/>
  <c r="BF1714" i="114"/>
  <c r="BF1715" i="114"/>
  <c r="BF1716" i="114"/>
  <c r="BF1717" i="114"/>
  <c r="BF1718" i="114"/>
  <c r="BF1719" i="114"/>
  <c r="BF1720" i="114"/>
  <c r="BF1721" i="114"/>
  <c r="BF1722" i="114"/>
  <c r="BF1723" i="114"/>
  <c r="BF1724" i="114"/>
  <c r="BF1725" i="114"/>
  <c r="BF1726" i="114"/>
  <c r="BF1727" i="114"/>
  <c r="BF1728" i="114"/>
  <c r="BF1729" i="114"/>
  <c r="BF1730" i="114"/>
  <c r="BF1731" i="114"/>
  <c r="BF1732" i="114"/>
  <c r="BF1733" i="114"/>
  <c r="BF1734" i="114"/>
  <c r="BF1735" i="114"/>
  <c r="BF1736" i="114"/>
  <c r="BF1737" i="114"/>
  <c r="BF1738" i="114"/>
  <c r="BF1739" i="114"/>
  <c r="BF1740" i="114"/>
  <c r="BF1741" i="114"/>
  <c r="BF1742" i="114"/>
  <c r="BF1743" i="114"/>
  <c r="BF1744" i="114"/>
  <c r="BF1745" i="114"/>
  <c r="BF1746" i="114"/>
  <c r="BF1747" i="114"/>
  <c r="BF1748" i="114"/>
  <c r="BF1749" i="114"/>
  <c r="BF1750" i="114"/>
  <c r="BF1751" i="114"/>
  <c r="BF1752" i="114"/>
  <c r="BF1753" i="114"/>
  <c r="BF1754" i="114"/>
  <c r="BF1755" i="114"/>
  <c r="BF1756" i="114"/>
  <c r="BF1757" i="114"/>
  <c r="BF1758" i="114"/>
  <c r="BF1759" i="114"/>
  <c r="BF1760" i="114"/>
  <c r="BF1761" i="114"/>
  <c r="BF1762" i="114"/>
  <c r="BF1763" i="114"/>
  <c r="BF1764" i="114"/>
  <c r="BF1765" i="114"/>
  <c r="BF1766" i="114"/>
  <c r="BF1767" i="114"/>
  <c r="BF1768" i="114"/>
  <c r="BF1769" i="114"/>
  <c r="BF1770" i="114"/>
  <c r="BF1771" i="114"/>
  <c r="BF1772" i="114"/>
  <c r="BF1773" i="114"/>
  <c r="BF1774" i="114"/>
  <c r="BF1775" i="114"/>
  <c r="BF1776" i="114"/>
  <c r="BF1777" i="114"/>
  <c r="BF1778" i="114"/>
  <c r="BF1779" i="114"/>
  <c r="BF1780" i="114"/>
  <c r="BF1781" i="114"/>
  <c r="BF1782" i="114"/>
  <c r="BF1783" i="114"/>
  <c r="BF1784" i="114"/>
  <c r="BF1785" i="114"/>
  <c r="BF1786" i="114"/>
  <c r="BF1787" i="114"/>
  <c r="BF1788" i="114"/>
  <c r="BF1789" i="114"/>
  <c r="BF1790" i="114"/>
  <c r="BF1791" i="114"/>
  <c r="BF1792" i="114"/>
  <c r="BF1793" i="114"/>
  <c r="BF1794" i="114"/>
  <c r="BF1795" i="114"/>
  <c r="BF1796" i="114"/>
  <c r="BF1797" i="114"/>
  <c r="BF1798" i="114"/>
  <c r="BF1799" i="114"/>
  <c r="BF1800" i="114"/>
  <c r="BF1801" i="114"/>
  <c r="BF1802" i="114"/>
  <c r="BF1803" i="114"/>
  <c r="BF1804" i="114"/>
  <c r="BF1805" i="114"/>
  <c r="BF1806" i="114"/>
  <c r="BF1807" i="114"/>
  <c r="BF1808" i="114"/>
  <c r="BF1809" i="114"/>
  <c r="BF1810" i="114"/>
  <c r="BF1811" i="114"/>
  <c r="BF1812" i="114"/>
  <c r="BF1813" i="114"/>
  <c r="BF1814" i="114"/>
  <c r="BE1" i="114"/>
  <c r="BE2" i="114"/>
  <c r="BE3" i="114"/>
  <c r="BE4" i="114"/>
  <c r="BE5" i="114"/>
  <c r="BE6" i="114"/>
  <c r="BE9" i="114"/>
  <c r="BE10" i="114"/>
  <c r="BE12" i="114"/>
  <c r="BE13" i="114"/>
  <c r="BE14" i="114"/>
  <c r="BE15" i="114"/>
  <c r="BE16" i="114"/>
  <c r="BE17" i="114"/>
  <c r="BE18" i="114"/>
  <c r="BE19" i="114"/>
  <c r="BE20" i="114"/>
  <c r="BE21" i="114"/>
  <c r="BE22" i="114"/>
  <c r="BE23" i="114"/>
  <c r="BD1" i="114"/>
  <c r="BD2" i="114"/>
  <c r="BD3" i="114"/>
  <c r="BD4" i="114"/>
  <c r="BD5" i="114"/>
  <c r="BD6" i="114"/>
  <c r="BD7" i="114"/>
  <c r="BD8" i="114"/>
  <c r="BD9" i="114"/>
  <c r="BD10" i="114"/>
  <c r="BD11" i="114"/>
  <c r="BD12" i="114"/>
  <c r="BD13" i="114"/>
  <c r="BD15" i="114"/>
  <c r="BD16" i="114"/>
  <c r="BD17" i="114"/>
  <c r="BD18" i="114"/>
  <c r="BD19" i="114"/>
  <c r="BD20" i="114"/>
  <c r="BD21" i="114"/>
  <c r="BD22" i="114"/>
  <c r="BD23" i="114"/>
  <c r="BD24" i="114"/>
  <c r="BD25" i="114"/>
  <c r="BD26" i="114"/>
  <c r="BD27" i="114"/>
  <c r="BD28" i="114"/>
  <c r="BD29" i="114"/>
  <c r="BC1" i="114"/>
  <c r="BC2" i="114"/>
  <c r="BC3" i="114"/>
  <c r="BC4" i="114"/>
  <c r="BC5" i="114"/>
  <c r="BC6" i="114"/>
  <c r="BC7" i="114"/>
  <c r="BC8" i="114"/>
  <c r="BC12" i="114"/>
  <c r="BC13" i="114"/>
  <c r="BC14" i="114"/>
  <c r="BC16" i="114"/>
  <c r="BC17" i="114"/>
  <c r="BC18" i="114"/>
  <c r="BC19" i="114"/>
  <c r="BC20" i="114"/>
  <c r="BC21" i="114"/>
  <c r="BC22" i="114"/>
  <c r="BC23" i="114"/>
  <c r="BC24" i="114"/>
  <c r="BC25" i="114"/>
  <c r="BC26" i="114"/>
  <c r="BC27" i="114"/>
  <c r="BC28" i="114"/>
  <c r="BC29" i="114"/>
  <c r="BB1" i="114"/>
  <c r="BB2" i="114"/>
  <c r="BB3" i="114"/>
  <c r="BB4" i="114"/>
  <c r="BB5" i="114"/>
  <c r="BB6" i="114"/>
  <c r="BB7" i="114"/>
  <c r="BB8" i="114"/>
  <c r="BB11" i="114"/>
  <c r="BB12" i="114"/>
  <c r="BB14" i="114"/>
  <c r="BB15" i="114"/>
  <c r="BB16" i="114"/>
  <c r="BB17" i="114"/>
  <c r="BB18" i="114"/>
  <c r="BB19" i="114"/>
  <c r="BB20" i="114"/>
  <c r="BB21" i="114"/>
  <c r="BB22" i="114"/>
  <c r="BB23" i="114"/>
  <c r="BB24" i="114"/>
  <c r="BB25" i="114"/>
  <c r="BA1" i="114"/>
  <c r="BA2" i="114"/>
  <c r="BA3" i="114"/>
  <c r="BA4" i="114"/>
  <c r="BA5" i="114"/>
  <c r="BA6" i="114"/>
  <c r="BA8" i="114"/>
  <c r="BA9" i="114"/>
  <c r="BA10" i="114"/>
  <c r="BA12" i="114"/>
  <c r="BA13" i="114"/>
  <c r="BA14" i="114"/>
  <c r="BA15" i="114"/>
  <c r="BA16" i="114"/>
  <c r="BA17" i="114"/>
  <c r="BA18" i="114"/>
  <c r="BA19" i="114"/>
  <c r="BA20" i="114"/>
  <c r="BA21" i="114"/>
  <c r="AZ1" i="114"/>
  <c r="AZ2" i="114"/>
  <c r="AZ3" i="114"/>
  <c r="AZ4" i="114"/>
  <c r="AZ5" i="114"/>
  <c r="AZ6" i="114"/>
  <c r="AZ9" i="114"/>
  <c r="AZ11" i="114"/>
  <c r="AZ12" i="114"/>
  <c r="AZ14" i="114"/>
  <c r="AZ15" i="114"/>
  <c r="AZ16" i="114"/>
  <c r="AZ17" i="114"/>
  <c r="AZ18" i="114"/>
  <c r="AZ19" i="114"/>
  <c r="AZ20" i="114"/>
  <c r="AZ21" i="114"/>
  <c r="AZ22" i="114"/>
  <c r="AZ23" i="114"/>
  <c r="AZ24" i="114"/>
  <c r="AZ25" i="114"/>
  <c r="AZ26" i="114"/>
  <c r="AZ27" i="114"/>
  <c r="AY1" i="114"/>
  <c r="AY2" i="114"/>
  <c r="AY3" i="114"/>
  <c r="AY4" i="114"/>
  <c r="AY5" i="114"/>
  <c r="AY6" i="114"/>
  <c r="AY10" i="114"/>
  <c r="AY11" i="114"/>
  <c r="AY13" i="114"/>
  <c r="AY14" i="114"/>
  <c r="AY15" i="114"/>
  <c r="AY16" i="114"/>
  <c r="AY17" i="114"/>
  <c r="AY18" i="114"/>
  <c r="AY19" i="114"/>
  <c r="AY20" i="114"/>
  <c r="AY21" i="114"/>
  <c r="AY22" i="114"/>
  <c r="AY23" i="114"/>
  <c r="AY24" i="114"/>
  <c r="AX1" i="114"/>
  <c r="AX2" i="114"/>
  <c r="AX3" i="114"/>
  <c r="AX4" i="114"/>
  <c r="AX5" i="114"/>
  <c r="AX6" i="114"/>
  <c r="AX7" i="114"/>
  <c r="AX10" i="114"/>
  <c r="AX11" i="114"/>
  <c r="AX12" i="114"/>
  <c r="AX14" i="114"/>
  <c r="AX15" i="114"/>
  <c r="AX16" i="114"/>
  <c r="AX17" i="114"/>
  <c r="AX18" i="114"/>
  <c r="AX19" i="114"/>
  <c r="AX20" i="114"/>
  <c r="AX21" i="114"/>
  <c r="AX22" i="114"/>
  <c r="AX23" i="114"/>
  <c r="AX24" i="114"/>
  <c r="AX25" i="114"/>
  <c r="AW1" i="114"/>
  <c r="AW2" i="114"/>
  <c r="AW3" i="114"/>
  <c r="AW4" i="114"/>
  <c r="AW5" i="114"/>
  <c r="AW6" i="114"/>
  <c r="AW7" i="114"/>
  <c r="AW10" i="114"/>
  <c r="AW11" i="114"/>
  <c r="AW12" i="114"/>
  <c r="AW13" i="114"/>
  <c r="AW14" i="114"/>
  <c r="AW15" i="114"/>
  <c r="AW16" i="114"/>
  <c r="AW17" i="114"/>
  <c r="AW18" i="114"/>
  <c r="AW19" i="114"/>
  <c r="AW20" i="114"/>
  <c r="AW21" i="114"/>
  <c r="AW22" i="114"/>
  <c r="AW23" i="114"/>
  <c r="AV1" i="114"/>
  <c r="AV2" i="114"/>
  <c r="AV3" i="114"/>
  <c r="AV4" i="114"/>
  <c r="AV5" i="114"/>
  <c r="AV6" i="114"/>
  <c r="AV7" i="114"/>
  <c r="AV10" i="114"/>
  <c r="AV11" i="114"/>
  <c r="AV13" i="114"/>
  <c r="AV14" i="114"/>
  <c r="AV15" i="114"/>
  <c r="AV16" i="114"/>
  <c r="AV17" i="114"/>
  <c r="AV18" i="114"/>
  <c r="AV19" i="114"/>
  <c r="AV20" i="114"/>
  <c r="AV21" i="114"/>
  <c r="AV22" i="114"/>
  <c r="AV23" i="114"/>
  <c r="AV24" i="114"/>
  <c r="AU1" i="114"/>
  <c r="AU2" i="114"/>
  <c r="AU3" i="114"/>
  <c r="AU4" i="114"/>
  <c r="AU5" i="114"/>
  <c r="AU6" i="114"/>
  <c r="AU7" i="114"/>
  <c r="AU10" i="114"/>
  <c r="AU11" i="114"/>
  <c r="AU12" i="114"/>
  <c r="AU14" i="114"/>
  <c r="AU15" i="114"/>
  <c r="AU16" i="114"/>
  <c r="AU17" i="114"/>
  <c r="AU18" i="114"/>
  <c r="AU19" i="114"/>
  <c r="AU20" i="114"/>
  <c r="AU21" i="114"/>
  <c r="AU22" i="114"/>
  <c r="AU23" i="114"/>
  <c r="AU24" i="114"/>
  <c r="AU25" i="114"/>
  <c r="AU26" i="114"/>
  <c r="AU27" i="114"/>
  <c r="AT1" i="114"/>
  <c r="AT2" i="114"/>
  <c r="AT3" i="114"/>
  <c r="AT4" i="114"/>
  <c r="AT5" i="114"/>
  <c r="AT6" i="114"/>
  <c r="AT7" i="114"/>
  <c r="AT10" i="114"/>
  <c r="AT11" i="114"/>
  <c r="AT12" i="114"/>
  <c r="AT13" i="114"/>
  <c r="AT14" i="114"/>
  <c r="AT15" i="114"/>
  <c r="AT17" i="114"/>
  <c r="AT18" i="114"/>
  <c r="AT19" i="114"/>
  <c r="AT20" i="114"/>
  <c r="AT21" i="114"/>
  <c r="AT22" i="114"/>
  <c r="AT23" i="114"/>
  <c r="AT24" i="114"/>
  <c r="AT25" i="114"/>
  <c r="AT26" i="114"/>
  <c r="AT27" i="114"/>
  <c r="AT28" i="114"/>
  <c r="AT29" i="114"/>
  <c r="AT30" i="114"/>
  <c r="AT31" i="114"/>
  <c r="AT32" i="114"/>
  <c r="AT33" i="114"/>
  <c r="AT34" i="114"/>
  <c r="AT35" i="114"/>
  <c r="AT36" i="114"/>
  <c r="AS1" i="114"/>
  <c r="AS2" i="114"/>
  <c r="AS3" i="114"/>
  <c r="AS4" i="114"/>
  <c r="AS5" i="114"/>
  <c r="AS6" i="114"/>
  <c r="AS10" i="114"/>
  <c r="AS11" i="114"/>
  <c r="AS13" i="114"/>
  <c r="AS14" i="114"/>
  <c r="AS15" i="114"/>
  <c r="AS16" i="114"/>
  <c r="AS17" i="114"/>
  <c r="AS18" i="114"/>
  <c r="AS19" i="114"/>
  <c r="AS20" i="114"/>
  <c r="AS21" i="114"/>
  <c r="AS22" i="114"/>
  <c r="AS23" i="114"/>
  <c r="AS24" i="114"/>
  <c r="AR1" i="114"/>
  <c r="AR2" i="114"/>
  <c r="AR3" i="114"/>
  <c r="AR4" i="114"/>
  <c r="AR5" i="114"/>
  <c r="AR6" i="114"/>
  <c r="AR7" i="114"/>
  <c r="AR8" i="114"/>
  <c r="AR9" i="114"/>
  <c r="AR10" i="114"/>
  <c r="AR12" i="114"/>
  <c r="AR13" i="114"/>
  <c r="AR14" i="114"/>
  <c r="AR15" i="114"/>
  <c r="AR16" i="114"/>
  <c r="AR17" i="114"/>
  <c r="AR18" i="114"/>
  <c r="AR19" i="114"/>
  <c r="AR20" i="114"/>
  <c r="AR21" i="114"/>
  <c r="AQ1" i="114"/>
  <c r="AQ2" i="114"/>
  <c r="AQ3" i="114"/>
  <c r="AQ4" i="114"/>
  <c r="AQ5" i="114"/>
  <c r="AQ6" i="114"/>
  <c r="AQ7" i="114"/>
  <c r="AQ8" i="114"/>
  <c r="AQ9" i="114"/>
  <c r="AQ10" i="114"/>
  <c r="AQ12" i="114"/>
  <c r="AQ13" i="114"/>
  <c r="AQ14" i="114"/>
  <c r="AQ15" i="114"/>
  <c r="AQ16" i="114"/>
  <c r="AQ17" i="114"/>
  <c r="AQ18" i="114"/>
  <c r="AQ19" i="114"/>
  <c r="AQ20" i="114"/>
  <c r="AQ21" i="114"/>
  <c r="AP1" i="114"/>
  <c r="AP2" i="114"/>
  <c r="AP3" i="114"/>
  <c r="AP4" i="114"/>
  <c r="AP5" i="114"/>
  <c r="AP6" i="114"/>
  <c r="AP7" i="114"/>
  <c r="AP8" i="114"/>
  <c r="AP9" i="114"/>
  <c r="AP10" i="114"/>
  <c r="AP12" i="114"/>
  <c r="AP13" i="114"/>
  <c r="AP14" i="114"/>
  <c r="AP15" i="114"/>
  <c r="AP16" i="114"/>
  <c r="AP17" i="114"/>
  <c r="AP18" i="114"/>
  <c r="AP19" i="114"/>
  <c r="AP20" i="114"/>
  <c r="AP21" i="114"/>
  <c r="AO1" i="114"/>
  <c r="AO2" i="114"/>
  <c r="AO3" i="114"/>
  <c r="AO4" i="114"/>
  <c r="AO5" i="114"/>
  <c r="AO6" i="114"/>
  <c r="AO7" i="114"/>
  <c r="AO8" i="114"/>
  <c r="AO9" i="114"/>
  <c r="AO11" i="114"/>
  <c r="AO12" i="114"/>
  <c r="AO13" i="114"/>
  <c r="AO14" i="114"/>
  <c r="AO15" i="114"/>
  <c r="AO16" i="114"/>
  <c r="AO17" i="114"/>
  <c r="AO18" i="114"/>
  <c r="AN1" i="114"/>
  <c r="AN2" i="114"/>
  <c r="AN3" i="114"/>
  <c r="AN4" i="114"/>
  <c r="AN5" i="114"/>
  <c r="AN6" i="114"/>
  <c r="AN7" i="114"/>
  <c r="AN8" i="114"/>
  <c r="AN9" i="114"/>
  <c r="AN10" i="114"/>
  <c r="AN12" i="114"/>
  <c r="AN13" i="114"/>
  <c r="AN14" i="114"/>
  <c r="AN15" i="114"/>
  <c r="AN16" i="114"/>
  <c r="AN17" i="114"/>
  <c r="AN18" i="114"/>
  <c r="AN19" i="114"/>
  <c r="AN20" i="114"/>
  <c r="AN21" i="114"/>
  <c r="AM1" i="114"/>
  <c r="AM2" i="114"/>
  <c r="AM3" i="114"/>
  <c r="AM4" i="114"/>
  <c r="AM5" i="114"/>
  <c r="AM6" i="114"/>
  <c r="AM7" i="114"/>
  <c r="AM8" i="114"/>
  <c r="AM9" i="114"/>
  <c r="AM10" i="114"/>
  <c r="AM12" i="114"/>
  <c r="AM13" i="114"/>
  <c r="AM14" i="114"/>
  <c r="AM15" i="114"/>
  <c r="AM16" i="114"/>
  <c r="AM17" i="114"/>
  <c r="AM18" i="114"/>
  <c r="AM19" i="114"/>
  <c r="AM20" i="114"/>
  <c r="AM21" i="114"/>
  <c r="AL1" i="114"/>
  <c r="AL2" i="114"/>
  <c r="AL3" i="114"/>
  <c r="AL4" i="114"/>
  <c r="AL5" i="114"/>
  <c r="AL6" i="114"/>
  <c r="AL7" i="114"/>
  <c r="AL8" i="114"/>
  <c r="AL9" i="114"/>
  <c r="AL10" i="114"/>
  <c r="AL12" i="114"/>
  <c r="AL13" i="114"/>
  <c r="AL14" i="114"/>
  <c r="AL15" i="114"/>
  <c r="AL16" i="114"/>
  <c r="AL17" i="114"/>
  <c r="AL18" i="114"/>
  <c r="AL19" i="114"/>
  <c r="AL20" i="114"/>
  <c r="AL21" i="114"/>
  <c r="AK1" i="114"/>
  <c r="AK2" i="114"/>
  <c r="AK3" i="114"/>
  <c r="AK4" i="114"/>
  <c r="AK5" i="114"/>
  <c r="AK6" i="114"/>
  <c r="AK7" i="114"/>
  <c r="AK8" i="114"/>
  <c r="AK9" i="114"/>
  <c r="AK10" i="114"/>
  <c r="AK12" i="114"/>
  <c r="AK13" i="114"/>
  <c r="AK14" i="114"/>
  <c r="AK15" i="114"/>
  <c r="AK16" i="114"/>
  <c r="AK17" i="114"/>
  <c r="AK18" i="114"/>
  <c r="AK19" i="114"/>
  <c r="AK20" i="114"/>
  <c r="AK21" i="114"/>
  <c r="AJ1" i="114"/>
  <c r="AJ2" i="114"/>
  <c r="AJ3" i="114"/>
  <c r="AJ4" i="114"/>
  <c r="AJ5" i="114"/>
  <c r="AJ6" i="114"/>
  <c r="AJ7" i="114"/>
  <c r="AJ8" i="114"/>
  <c r="AJ9" i="114"/>
  <c r="AJ10" i="114"/>
  <c r="AJ12" i="114"/>
  <c r="AJ13" i="114"/>
  <c r="AJ14" i="114"/>
  <c r="AJ15" i="114"/>
  <c r="AJ16" i="114"/>
  <c r="AJ17" i="114"/>
  <c r="AJ18" i="114"/>
  <c r="AJ19" i="114"/>
  <c r="AJ20" i="114"/>
  <c r="AJ21" i="114"/>
  <c r="AI1" i="114"/>
  <c r="AI2" i="114"/>
  <c r="AI3" i="114"/>
  <c r="AI4" i="114"/>
  <c r="AI5" i="114"/>
  <c r="AI6" i="114"/>
  <c r="AI7" i="114"/>
  <c r="AI8" i="114"/>
  <c r="AI9" i="114"/>
  <c r="AI10" i="114"/>
  <c r="AI11" i="114"/>
  <c r="AI12" i="114"/>
  <c r="AI14" i="114"/>
  <c r="AI15" i="114"/>
  <c r="AI16" i="114"/>
  <c r="AI17" i="114"/>
  <c r="AI18" i="114"/>
  <c r="AI19" i="114"/>
  <c r="AI20" i="114"/>
  <c r="AI21" i="114"/>
  <c r="AI22" i="114"/>
  <c r="AI23" i="114"/>
  <c r="AI24" i="114"/>
  <c r="AI25" i="114"/>
  <c r="AI26" i="114"/>
  <c r="AI27" i="114"/>
  <c r="AH1" i="114"/>
  <c r="AH2" i="114"/>
  <c r="AH3" i="114"/>
  <c r="AH4" i="114"/>
  <c r="AH5" i="114"/>
  <c r="AH6" i="114"/>
  <c r="AH7" i="114"/>
  <c r="AH8" i="114"/>
  <c r="AH9" i="114"/>
  <c r="AH10" i="114"/>
  <c r="AH11" i="114"/>
  <c r="AH12" i="114"/>
  <c r="AH14" i="114"/>
  <c r="AH15" i="114"/>
  <c r="AH16" i="114"/>
  <c r="AH17" i="114"/>
  <c r="AH18" i="114"/>
  <c r="AH19" i="114"/>
  <c r="AH20" i="114"/>
  <c r="AH21" i="114"/>
  <c r="AH22" i="114"/>
  <c r="AH23" i="114"/>
  <c r="AH24" i="114"/>
  <c r="AH25" i="114"/>
  <c r="AH26" i="114"/>
  <c r="AH27" i="114"/>
  <c r="AG1" i="114"/>
  <c r="AG2" i="114"/>
  <c r="AG3" i="114"/>
  <c r="AG4" i="114"/>
  <c r="AG5" i="114"/>
  <c r="AG6" i="114"/>
  <c r="AG7" i="114"/>
  <c r="AG8" i="114"/>
  <c r="AG9" i="114"/>
  <c r="AG10" i="114"/>
  <c r="AG11" i="114"/>
  <c r="AG13" i="114"/>
  <c r="AG14" i="114"/>
  <c r="AG15" i="114"/>
  <c r="AG16" i="114"/>
  <c r="AG17" i="114"/>
  <c r="AG18" i="114"/>
  <c r="AG19" i="114"/>
  <c r="AG20" i="114"/>
  <c r="AG21" i="114"/>
  <c r="AG22" i="114"/>
  <c r="AG23" i="114"/>
  <c r="AG24" i="114"/>
  <c r="AF1" i="114"/>
  <c r="AF2" i="114"/>
  <c r="AF3" i="114"/>
  <c r="AF4" i="114"/>
  <c r="AF5" i="114"/>
  <c r="AF6" i="114"/>
  <c r="AF7" i="114"/>
  <c r="AF8" i="114"/>
  <c r="AF9" i="114"/>
  <c r="AF10" i="114"/>
  <c r="AF12" i="114"/>
  <c r="AF13" i="114"/>
  <c r="AF14" i="114"/>
  <c r="AF15" i="114"/>
  <c r="AF16" i="114"/>
  <c r="AF17" i="114"/>
  <c r="AF18" i="114"/>
  <c r="AF19" i="114"/>
  <c r="AF20" i="114"/>
  <c r="AF21" i="114"/>
  <c r="AE1" i="114"/>
  <c r="AE2" i="114"/>
  <c r="AE3" i="114"/>
  <c r="AE4" i="114"/>
  <c r="AE5" i="114"/>
  <c r="AE6" i="114"/>
  <c r="AE7" i="114"/>
  <c r="AE8" i="114"/>
  <c r="AE9" i="114"/>
  <c r="AE10" i="114"/>
  <c r="AE12" i="114"/>
  <c r="AE13" i="114"/>
  <c r="AE14" i="114"/>
  <c r="AE15" i="114"/>
  <c r="AE16" i="114"/>
  <c r="AE17" i="114"/>
  <c r="AE18" i="114"/>
  <c r="AE19" i="114"/>
  <c r="AE20" i="114"/>
  <c r="AE21" i="114"/>
  <c r="AD1" i="114"/>
  <c r="AD2" i="114"/>
  <c r="AD3" i="114"/>
  <c r="AD4" i="114"/>
  <c r="AD5" i="114"/>
  <c r="AD6" i="114"/>
  <c r="AD7" i="114"/>
  <c r="AD10" i="114"/>
  <c r="AD11" i="114"/>
  <c r="AD12" i="114"/>
  <c r="AD13" i="114"/>
  <c r="AD15" i="114"/>
  <c r="AD16" i="114"/>
  <c r="AD17" i="114"/>
  <c r="AD18" i="114"/>
  <c r="AD19" i="114"/>
  <c r="AD20" i="114"/>
  <c r="AD21" i="114"/>
  <c r="AD22" i="114"/>
  <c r="AD23" i="114"/>
  <c r="AD24" i="114"/>
  <c r="AD25" i="114"/>
  <c r="AD26" i="114"/>
  <c r="AD27" i="114"/>
  <c r="AD28" i="114"/>
  <c r="AD29" i="114"/>
  <c r="AD30" i="114"/>
  <c r="AC1" i="114"/>
  <c r="AC2" i="114"/>
  <c r="AC3" i="114"/>
  <c r="AC4" i="114"/>
  <c r="AC5" i="114"/>
  <c r="H10" i="18"/>
  <c r="AC6" i="114"/>
  <c r="H11" i="18"/>
  <c r="AC7" i="114"/>
  <c r="AC8" i="114"/>
  <c r="H6" i="18"/>
  <c r="AC9" i="114"/>
  <c r="AC10" i="114"/>
  <c r="AC11" i="114"/>
  <c r="AC12" i="114"/>
  <c r="AC13" i="114"/>
  <c r="AC14" i="114"/>
  <c r="AC15" i="114"/>
  <c r="AB1" i="114"/>
  <c r="AB2" i="114"/>
  <c r="AB3" i="114"/>
  <c r="AB4" i="114"/>
  <c r="AB5" i="114"/>
  <c r="AB6" i="114"/>
  <c r="AB7" i="114"/>
  <c r="AB10" i="114"/>
  <c r="AB11" i="114"/>
  <c r="AB13" i="114"/>
  <c r="AB14" i="114"/>
  <c r="AB15" i="114"/>
  <c r="AB16" i="114"/>
  <c r="AB17" i="114"/>
  <c r="AB18" i="114"/>
  <c r="AB19" i="114"/>
  <c r="AB20" i="114"/>
  <c r="AB21" i="114"/>
  <c r="AB22" i="114"/>
  <c r="AB23" i="114"/>
  <c r="AB24" i="114"/>
  <c r="AA1" i="114"/>
  <c r="AA2" i="114"/>
  <c r="AA3" i="114"/>
  <c r="AA4" i="114"/>
  <c r="AA5" i="114"/>
  <c r="AA6" i="114"/>
  <c r="AA7" i="114"/>
  <c r="AA10" i="114"/>
  <c r="AA11" i="114"/>
  <c r="AA13" i="114"/>
  <c r="AA14" i="114"/>
  <c r="AA15" i="114"/>
  <c r="AA16" i="114"/>
  <c r="AA17" i="114"/>
  <c r="AA18" i="114"/>
  <c r="AA19" i="114"/>
  <c r="AA20" i="114"/>
  <c r="AA21" i="114"/>
  <c r="AA22" i="114"/>
  <c r="AA23" i="114"/>
  <c r="AA24" i="114"/>
  <c r="Z1" i="114"/>
  <c r="Z2" i="114"/>
  <c r="Z3" i="114"/>
  <c r="Z4" i="114"/>
  <c r="Z5" i="114"/>
  <c r="Z6" i="114"/>
  <c r="Z9" i="114"/>
  <c r="Z10" i="114"/>
  <c r="Z12" i="114"/>
  <c r="Z13" i="114"/>
  <c r="Z14" i="114"/>
  <c r="Z15" i="114"/>
  <c r="Z16" i="114"/>
  <c r="Z17" i="114"/>
  <c r="Z18" i="114"/>
  <c r="Z19" i="114"/>
  <c r="Z20" i="114"/>
  <c r="Z21" i="114"/>
  <c r="Z22" i="114"/>
  <c r="Z23" i="114"/>
  <c r="Y1" i="114"/>
  <c r="Y2" i="114"/>
  <c r="Y3" i="114"/>
  <c r="Y4" i="114"/>
  <c r="Y5" i="114"/>
  <c r="Y8" i="114"/>
  <c r="Y9" i="114"/>
  <c r="Y10" i="114"/>
  <c r="Y11" i="114"/>
  <c r="Y12" i="114"/>
  <c r="Y13" i="114"/>
  <c r="Y14" i="114"/>
  <c r="Y15" i="114"/>
  <c r="Y16" i="114"/>
  <c r="Y17" i="114"/>
  <c r="X1" i="114"/>
  <c r="X2" i="114"/>
  <c r="X3" i="114"/>
  <c r="X4" i="114"/>
  <c r="X5" i="114"/>
  <c r="X6" i="114"/>
  <c r="X9" i="114"/>
  <c r="X10" i="114"/>
  <c r="X11" i="114"/>
  <c r="X13" i="114"/>
  <c r="X14" i="114"/>
  <c r="X15" i="114"/>
  <c r="X16" i="114"/>
  <c r="X17" i="114"/>
  <c r="X18" i="114"/>
  <c r="X19" i="114"/>
  <c r="X20" i="114"/>
  <c r="X21" i="114"/>
  <c r="X22" i="114"/>
  <c r="X23" i="114"/>
  <c r="X24" i="114"/>
  <c r="X25" i="114"/>
  <c r="X26" i="114"/>
  <c r="W1" i="114"/>
  <c r="W2" i="114"/>
  <c r="W3" i="114"/>
  <c r="W4" i="114"/>
  <c r="W5" i="114"/>
  <c r="W6" i="114"/>
  <c r="W7" i="114"/>
  <c r="W10" i="114"/>
  <c r="W11" i="114"/>
  <c r="W13" i="114"/>
  <c r="W14" i="114"/>
  <c r="W15" i="114"/>
  <c r="W16" i="114"/>
  <c r="W17" i="114"/>
  <c r="W18" i="114"/>
  <c r="W19" i="114"/>
  <c r="W20" i="114"/>
  <c r="W21" i="114"/>
  <c r="W22" i="114"/>
  <c r="W23" i="114"/>
  <c r="W24" i="114"/>
  <c r="V1" i="114"/>
  <c r="V2" i="114"/>
  <c r="V3" i="114"/>
  <c r="V4" i="114"/>
  <c r="H12" i="10"/>
  <c r="V5" i="114" s="1"/>
  <c r="V6" i="114"/>
  <c r="V7" i="114"/>
  <c r="V8" i="114"/>
  <c r="V9" i="114"/>
  <c r="U1" i="114"/>
  <c r="U2" i="114"/>
  <c r="U3" i="114"/>
  <c r="U4" i="114"/>
  <c r="U5" i="114"/>
  <c r="U6" i="114"/>
  <c r="U7" i="114"/>
  <c r="U9" i="114"/>
  <c r="U10" i="114"/>
  <c r="U11" i="114"/>
  <c r="U12" i="114"/>
  <c r="U14" i="114"/>
  <c r="U15" i="114"/>
  <c r="U16" i="114"/>
  <c r="U18" i="114"/>
  <c r="U19" i="114"/>
  <c r="U20" i="114"/>
  <c r="U21" i="114"/>
  <c r="U22" i="114"/>
  <c r="U23" i="114"/>
  <c r="U24" i="114"/>
  <c r="U25" i="114"/>
  <c r="U26" i="114"/>
  <c r="U27" i="114"/>
  <c r="U29" i="114"/>
  <c r="U30" i="114"/>
  <c r="U31" i="114"/>
  <c r="U32" i="114"/>
  <c r="U33" i="114"/>
  <c r="U34" i="114"/>
  <c r="U35" i="114"/>
  <c r="U36" i="114"/>
  <c r="U37" i="114"/>
  <c r="U38" i="114"/>
  <c r="U39" i="114"/>
  <c r="U40" i="114"/>
  <c r="U41" i="114"/>
  <c r="T1" i="114"/>
  <c r="T2" i="114"/>
  <c r="T3" i="114"/>
  <c r="T4" i="114"/>
  <c r="T5" i="114"/>
  <c r="T6" i="114"/>
  <c r="T7" i="114"/>
  <c r="T10" i="114"/>
  <c r="T11" i="114"/>
  <c r="T12" i="114"/>
  <c r="T13" i="114"/>
  <c r="T15" i="114"/>
  <c r="T16" i="114"/>
  <c r="T18" i="114"/>
  <c r="T19" i="114"/>
  <c r="T20" i="114"/>
  <c r="T21" i="114"/>
  <c r="T22" i="114"/>
  <c r="T23" i="114"/>
  <c r="T24" i="114"/>
  <c r="T25" i="114"/>
  <c r="T26" i="114"/>
  <c r="T27" i="114"/>
  <c r="T28" i="114"/>
  <c r="T29" i="114"/>
  <c r="T30" i="114"/>
  <c r="T31" i="114"/>
  <c r="T32" i="114"/>
  <c r="T34" i="114"/>
  <c r="T35" i="114"/>
  <c r="T36" i="114"/>
  <c r="T37" i="114"/>
  <c r="T38" i="114"/>
  <c r="T39" i="114"/>
  <c r="S1" i="114"/>
  <c r="S2" i="114"/>
  <c r="S3" i="114"/>
  <c r="S4" i="114"/>
  <c r="S5" i="114"/>
  <c r="S6" i="114"/>
  <c r="S7" i="114"/>
  <c r="S10" i="114"/>
  <c r="S11" i="114"/>
  <c r="S12" i="114"/>
  <c r="S13" i="114"/>
  <c r="S15" i="114"/>
  <c r="S16" i="114"/>
  <c r="S17" i="114"/>
  <c r="S18" i="114"/>
  <c r="S19" i="114"/>
  <c r="S20" i="114"/>
  <c r="S21" i="114"/>
  <c r="S22" i="114"/>
  <c r="S23" i="114"/>
  <c r="S24" i="114"/>
  <c r="S25" i="114"/>
  <c r="S26" i="114"/>
  <c r="S27" i="114"/>
  <c r="S28" i="114"/>
  <c r="S29" i="114"/>
  <c r="S30" i="114"/>
  <c r="R1" i="114"/>
  <c r="R2" i="114"/>
  <c r="R3" i="114"/>
  <c r="R4" i="114"/>
  <c r="R5" i="114"/>
  <c r="R6" i="114"/>
  <c r="R7" i="114"/>
  <c r="R9" i="114"/>
  <c r="R10" i="114"/>
  <c r="R12" i="114"/>
  <c r="R13" i="114"/>
  <c r="R14" i="114"/>
  <c r="R15" i="114"/>
  <c r="R16" i="114"/>
  <c r="R17" i="114"/>
  <c r="R18" i="114"/>
  <c r="R19" i="114"/>
  <c r="R20" i="114"/>
  <c r="R21" i="114"/>
  <c r="R22" i="114"/>
  <c r="R23" i="114"/>
  <c r="Q1" i="114"/>
  <c r="Q2" i="114"/>
  <c r="Q3" i="114"/>
  <c r="Q4" i="114"/>
  <c r="Q5" i="114"/>
  <c r="Q6" i="114"/>
  <c r="Q7" i="114"/>
  <c r="Q10" i="114"/>
  <c r="Q11" i="114"/>
  <c r="Q13" i="114"/>
  <c r="Q14" i="114"/>
  <c r="Q15" i="114"/>
  <c r="Q16" i="114"/>
  <c r="Q17" i="114"/>
  <c r="Q18" i="114"/>
  <c r="Q19" i="114"/>
  <c r="Q20" i="114"/>
  <c r="Q21" i="114"/>
  <c r="Q22" i="114"/>
  <c r="Q23" i="114"/>
  <c r="Q24" i="114"/>
  <c r="P1" i="114"/>
  <c r="P2" i="114"/>
  <c r="P3" i="114"/>
  <c r="P4" i="114"/>
  <c r="P5" i="114"/>
  <c r="P6" i="114"/>
  <c r="P7" i="114"/>
  <c r="P10" i="114"/>
  <c r="P11" i="114"/>
  <c r="P13" i="114"/>
  <c r="P14" i="114"/>
  <c r="P15" i="114"/>
  <c r="P16" i="114"/>
  <c r="P17" i="114"/>
  <c r="P18" i="114"/>
  <c r="P19" i="114"/>
  <c r="P20" i="114"/>
  <c r="P21" i="114"/>
  <c r="P22" i="114"/>
  <c r="P23" i="114"/>
  <c r="P24" i="114"/>
  <c r="O1" i="114"/>
  <c r="O2" i="114"/>
  <c r="O3" i="114"/>
  <c r="O4" i="114"/>
  <c r="O5" i="114"/>
  <c r="H11" i="36"/>
  <c r="O6" i="114"/>
  <c r="H12" i="36"/>
  <c r="O7" i="114"/>
  <c r="O8" i="114"/>
  <c r="H7" i="36"/>
  <c r="O9" i="114"/>
  <c r="O10" i="114"/>
  <c r="O11" i="114"/>
  <c r="O12" i="114"/>
  <c r="O13" i="114"/>
  <c r="O14" i="114"/>
  <c r="O15" i="114"/>
  <c r="N1" i="114"/>
  <c r="N2" i="114"/>
  <c r="N3" i="114"/>
  <c r="N4" i="114"/>
  <c r="N5" i="114"/>
  <c r="N6" i="114"/>
  <c r="N7" i="114"/>
  <c r="N10" i="114"/>
  <c r="N11" i="114"/>
  <c r="N13" i="114"/>
  <c r="N14" i="114"/>
  <c r="N15" i="114"/>
  <c r="N16" i="114"/>
  <c r="N17" i="114"/>
  <c r="N18" i="114"/>
  <c r="N19" i="114"/>
  <c r="N20" i="114"/>
  <c r="N21" i="114"/>
  <c r="N22" i="114"/>
  <c r="N23" i="114"/>
  <c r="N24" i="114"/>
  <c r="M1" i="114"/>
  <c r="M2" i="114"/>
  <c r="M3" i="114"/>
  <c r="M4" i="114"/>
  <c r="M5" i="114"/>
  <c r="H11" i="30"/>
  <c r="M6" i="114"/>
  <c r="H12" i="30"/>
  <c r="M7" i="114"/>
  <c r="M8" i="114"/>
  <c r="H7" i="30"/>
  <c r="M9" i="114"/>
  <c r="M10" i="114"/>
  <c r="M11" i="114"/>
  <c r="M12" i="114"/>
  <c r="M13" i="114"/>
  <c r="M14" i="114"/>
  <c r="M15" i="114"/>
  <c r="L1" i="114"/>
  <c r="L2" i="114"/>
  <c r="L3" i="114"/>
  <c r="L4" i="114"/>
  <c r="L5" i="114"/>
  <c r="L8" i="114"/>
  <c r="L9" i="114"/>
  <c r="L10" i="114"/>
  <c r="L11" i="114"/>
  <c r="L12" i="114"/>
  <c r="L13" i="114"/>
  <c r="L14" i="114"/>
  <c r="L15" i="114"/>
  <c r="L16" i="114"/>
  <c r="L17" i="114"/>
  <c r="K1" i="114"/>
  <c r="K2" i="114"/>
  <c r="K3" i="114"/>
  <c r="K4" i="114"/>
  <c r="K5" i="114"/>
  <c r="K8" i="114"/>
  <c r="K9" i="114"/>
  <c r="K10" i="114"/>
  <c r="K11" i="114"/>
  <c r="K12" i="114"/>
  <c r="K13" i="114"/>
  <c r="K14" i="114"/>
  <c r="K15" i="114"/>
  <c r="K16" i="114"/>
  <c r="K17" i="114"/>
  <c r="J1" i="114"/>
  <c r="J2" i="114"/>
  <c r="J3" i="114"/>
  <c r="J4" i="114"/>
  <c r="J5" i="114"/>
  <c r="J6" i="114"/>
  <c r="H10" i="27"/>
  <c r="J7" i="114"/>
  <c r="J9" i="114"/>
  <c r="J10" i="114"/>
  <c r="J12" i="114"/>
  <c r="J13" i="114"/>
  <c r="J14" i="114"/>
  <c r="J15" i="114"/>
  <c r="J16" i="114"/>
  <c r="J17" i="114"/>
  <c r="J18" i="114"/>
  <c r="J19" i="114"/>
  <c r="J20" i="114"/>
  <c r="J21" i="114"/>
  <c r="J22" i="114"/>
  <c r="J23" i="114"/>
  <c r="I1" i="114"/>
  <c r="I2" i="114"/>
  <c r="I3" i="114"/>
  <c r="I4" i="114"/>
  <c r="I5" i="114"/>
  <c r="I6" i="114"/>
  <c r="I9" i="114"/>
  <c r="I10" i="114"/>
  <c r="I12" i="114"/>
  <c r="I13" i="114"/>
  <c r="I14" i="114"/>
  <c r="I15" i="114"/>
  <c r="J10" i="26"/>
  <c r="I16" i="114"/>
  <c r="I17" i="114"/>
  <c r="I18" i="114"/>
  <c r="I19" i="114"/>
  <c r="I20" i="114"/>
  <c r="I21" i="114"/>
  <c r="I22" i="114"/>
  <c r="I23" i="114"/>
  <c r="H1" i="114"/>
  <c r="H2" i="114"/>
  <c r="H3" i="114"/>
  <c r="H4" i="114"/>
  <c r="H5" i="114"/>
  <c r="H6" i="114"/>
  <c r="H9" i="114"/>
  <c r="H10" i="114"/>
  <c r="H12" i="114"/>
  <c r="H13" i="114"/>
  <c r="H14" i="114"/>
  <c r="H15" i="114"/>
  <c r="H16" i="114"/>
  <c r="H17" i="114"/>
  <c r="H18" i="114"/>
  <c r="H19" i="114"/>
  <c r="H20" i="114"/>
  <c r="H21" i="114"/>
  <c r="H22" i="114"/>
  <c r="H23" i="114"/>
  <c r="G1" i="114"/>
  <c r="G2" i="114"/>
  <c r="G3" i="114"/>
  <c r="G4" i="114"/>
  <c r="G5" i="114"/>
  <c r="G6" i="114"/>
  <c r="G7" i="114"/>
  <c r="G8" i="114"/>
  <c r="G10" i="114"/>
  <c r="G11" i="114"/>
  <c r="G13" i="114"/>
  <c r="G14" i="114"/>
  <c r="G15" i="114"/>
  <c r="G16" i="114"/>
  <c r="G17" i="114"/>
  <c r="G18" i="114"/>
  <c r="G19" i="114"/>
  <c r="G20" i="114"/>
  <c r="G21" i="114"/>
  <c r="G22" i="114"/>
  <c r="G23" i="114"/>
  <c r="G24" i="114"/>
  <c r="F1" i="114"/>
  <c r="F2" i="114"/>
  <c r="F3" i="114"/>
  <c r="F4" i="114"/>
  <c r="F5" i="114"/>
  <c r="F6" i="114"/>
  <c r="F7" i="114"/>
  <c r="F10" i="114"/>
  <c r="F11" i="114"/>
  <c r="F13" i="114"/>
  <c r="F14" i="114"/>
  <c r="F15" i="114"/>
  <c r="F16" i="114"/>
  <c r="F17" i="114"/>
  <c r="F18" i="114"/>
  <c r="F19" i="114"/>
  <c r="F20" i="114"/>
  <c r="F21" i="114"/>
  <c r="F22" i="114"/>
  <c r="F23" i="114"/>
  <c r="F24" i="114"/>
  <c r="E1" i="114"/>
  <c r="E2" i="114"/>
  <c r="E3" i="114"/>
  <c r="E4" i="114"/>
  <c r="E5" i="114"/>
  <c r="E6" i="114"/>
  <c r="E7" i="114"/>
  <c r="E10" i="114"/>
  <c r="E11" i="114"/>
  <c r="E13" i="114"/>
  <c r="E14" i="114"/>
  <c r="E15" i="114"/>
  <c r="E16" i="114"/>
  <c r="E17" i="114"/>
  <c r="E18" i="114"/>
  <c r="E19" i="114"/>
  <c r="E20" i="114"/>
  <c r="E21" i="114"/>
  <c r="E22" i="114"/>
  <c r="E23" i="114"/>
  <c r="E24" i="114"/>
  <c r="D1" i="114"/>
  <c r="D2" i="114"/>
  <c r="D3" i="114"/>
  <c r="D4" i="114"/>
  <c r="D5" i="114"/>
  <c r="D6" i="114"/>
  <c r="D8" i="114"/>
  <c r="D9" i="114"/>
  <c r="D10" i="114"/>
  <c r="D12" i="114"/>
  <c r="D13" i="114"/>
  <c r="D14" i="114"/>
  <c r="D15" i="114"/>
  <c r="D16" i="114"/>
  <c r="D17" i="114"/>
  <c r="D18" i="114"/>
  <c r="D19" i="114"/>
  <c r="D20" i="114"/>
  <c r="D21" i="114"/>
  <c r="C1" i="114"/>
  <c r="C2" i="114"/>
  <c r="C3" i="114"/>
  <c r="C4" i="114"/>
  <c r="C5" i="114"/>
  <c r="C6" i="114"/>
  <c r="C7" i="114"/>
  <c r="C10" i="114"/>
  <c r="C11" i="114"/>
  <c r="C13" i="114"/>
  <c r="C14" i="114"/>
  <c r="C15" i="114"/>
  <c r="C16" i="114"/>
  <c r="C17" i="114"/>
  <c r="C18" i="114"/>
  <c r="C19" i="114"/>
  <c r="C20" i="114"/>
  <c r="C21" i="114"/>
  <c r="C22" i="114"/>
  <c r="C23" i="114"/>
  <c r="C24" i="114"/>
  <c r="B1" i="114"/>
  <c r="B2" i="114"/>
  <c r="B3" i="114"/>
  <c r="A1" i="114"/>
  <c r="H6" i="1"/>
  <c r="C12" i="114" s="1"/>
  <c r="S4" i="9"/>
  <c r="I7" i="9" s="1"/>
  <c r="D20" i="77"/>
  <c r="C12" i="88"/>
  <c r="E12" i="88" s="1"/>
  <c r="F12" i="88" s="1"/>
  <c r="D12" i="88"/>
  <c r="C13" i="88"/>
  <c r="E13" i="88" s="1"/>
  <c r="F13" i="88" s="1"/>
  <c r="J2" i="87"/>
  <c r="J3" i="87"/>
  <c r="J6" i="87"/>
  <c r="J4" i="87"/>
  <c r="J7" i="87" s="1"/>
  <c r="J24" i="87" s="1"/>
  <c r="J5" i="87"/>
  <c r="P3" i="75"/>
  <c r="D34" i="75"/>
  <c r="E34" i="75"/>
  <c r="F34" i="75"/>
  <c r="G34" i="75"/>
  <c r="H34" i="75"/>
  <c r="I34" i="75"/>
  <c r="J34" i="75"/>
  <c r="K34" i="75"/>
  <c r="L34" i="75"/>
  <c r="M34" i="75"/>
  <c r="N34" i="75"/>
  <c r="O34" i="75"/>
  <c r="P34" i="75"/>
  <c r="Q34" i="75"/>
  <c r="R34" i="75"/>
  <c r="S34" i="75"/>
  <c r="T34" i="75"/>
  <c r="U34" i="75"/>
  <c r="V34" i="75"/>
  <c r="W34" i="75"/>
  <c r="X34" i="75"/>
  <c r="Y34" i="75"/>
  <c r="Z34" i="75"/>
  <c r="AA34" i="75"/>
  <c r="AB34" i="75"/>
  <c r="AC34" i="75"/>
  <c r="AD34" i="75"/>
  <c r="AE34" i="75"/>
  <c r="AF34" i="75"/>
  <c r="AG34" i="75"/>
  <c r="AH34" i="75"/>
  <c r="AI34" i="75"/>
  <c r="AJ34" i="75"/>
  <c r="AK34" i="75"/>
  <c r="AL34" i="75"/>
  <c r="AM34" i="75"/>
  <c r="AN34" i="75"/>
  <c r="AO34" i="75"/>
  <c r="AP34" i="75"/>
  <c r="P4" i="75"/>
  <c r="AP35" i="75"/>
  <c r="F4" i="68"/>
  <c r="BM9" i="114" s="1"/>
  <c r="I39" i="3"/>
  <c r="C6" i="95"/>
  <c r="D21" i="95" s="1"/>
  <c r="I6" i="71"/>
  <c r="G6" i="70"/>
  <c r="BI10" i="114" s="1"/>
  <c r="F6" i="69"/>
  <c r="H5" i="19"/>
  <c r="BG11" i="114" s="1"/>
  <c r="H5" i="38"/>
  <c r="L3" i="38" s="1"/>
  <c r="H5" i="20"/>
  <c r="BE11" i="114" s="1"/>
  <c r="G6" i="65"/>
  <c r="H15" i="2"/>
  <c r="H6" i="4"/>
  <c r="BA11" i="114"/>
  <c r="I6" i="66"/>
  <c r="G17" i="92"/>
  <c r="AY12" i="114" s="1"/>
  <c r="G4" i="92"/>
  <c r="G13" i="92" s="1"/>
  <c r="H7" i="57"/>
  <c r="H7" i="11"/>
  <c r="AU13" i="114"/>
  <c r="S3" i="7"/>
  <c r="I6" i="7" s="1"/>
  <c r="G4" i="90"/>
  <c r="H9" i="54"/>
  <c r="AR11" i="114" s="1"/>
  <c r="H9" i="53"/>
  <c r="AQ11" i="114" s="1"/>
  <c r="H9" i="52"/>
  <c r="H9" i="51"/>
  <c r="AO10" i="114" s="1"/>
  <c r="H9" i="50"/>
  <c r="D23" i="50" s="1"/>
  <c r="H8" i="49"/>
  <c r="D22" i="49" s="1"/>
  <c r="H10" i="48"/>
  <c r="H10" i="47"/>
  <c r="AK11" i="114" s="1"/>
  <c r="H10" i="46"/>
  <c r="D24" i="46" s="1"/>
  <c r="H9" i="98"/>
  <c r="AI13" i="114" s="1"/>
  <c r="H9" i="45"/>
  <c r="H9" i="44"/>
  <c r="AG12" i="114" s="1"/>
  <c r="H8" i="43"/>
  <c r="D22" i="43" s="1"/>
  <c r="H8" i="42"/>
  <c r="D22" i="42" s="1"/>
  <c r="H8" i="23"/>
  <c r="D23" i="23" s="1"/>
  <c r="H6" i="111"/>
  <c r="AB12" i="114" s="1"/>
  <c r="J6" i="41"/>
  <c r="D21" i="41" s="1"/>
  <c r="J6" i="14"/>
  <c r="Z11" i="114" s="1"/>
  <c r="H7" i="12"/>
  <c r="X12" i="114" s="1"/>
  <c r="H6" i="94"/>
  <c r="S4" i="8"/>
  <c r="I7" i="8"/>
  <c r="D22" i="8" s="1"/>
  <c r="I6" i="6"/>
  <c r="D21" i="6" s="1"/>
  <c r="H7" i="35"/>
  <c r="R11" i="114" s="1"/>
  <c r="H7" i="34"/>
  <c r="H7" i="33"/>
  <c r="D22" i="33" s="1"/>
  <c r="H7" i="31"/>
  <c r="N12" i="114" s="1"/>
  <c r="H6" i="27"/>
  <c r="D21" i="27" s="1"/>
  <c r="H6" i="26"/>
  <c r="H6" i="25"/>
  <c r="H11" i="114" s="1"/>
  <c r="H6" i="32"/>
  <c r="D21" i="32" s="1"/>
  <c r="H6" i="24"/>
  <c r="F12" i="114" s="1"/>
  <c r="H6" i="22"/>
  <c r="E10" i="113"/>
  <c r="D8" i="85"/>
  <c r="D13" i="85"/>
  <c r="D12" i="85"/>
  <c r="D14" i="85"/>
  <c r="D17" i="113"/>
  <c r="E17" i="113"/>
  <c r="F17" i="113"/>
  <c r="D17" i="22"/>
  <c r="E17" i="22"/>
  <c r="F17" i="22"/>
  <c r="A6" i="22" s="1"/>
  <c r="D17" i="1"/>
  <c r="E17" i="1"/>
  <c r="F17" i="1"/>
  <c r="A10" i="113"/>
  <c r="D10" i="113"/>
  <c r="D7" i="114"/>
  <c r="A9" i="113"/>
  <c r="F13" i="112"/>
  <c r="E13" i="112"/>
  <c r="D13" i="112"/>
  <c r="A10" i="112"/>
  <c r="G9" i="112"/>
  <c r="AY9" i="114" s="1"/>
  <c r="A9" i="112"/>
  <c r="G8" i="112"/>
  <c r="G7" i="112"/>
  <c r="AY8" i="114" s="1"/>
  <c r="G6" i="112"/>
  <c r="AY7" i="114" s="1"/>
  <c r="A6" i="111"/>
  <c r="H11" i="111"/>
  <c r="AB9" i="114" s="1"/>
  <c r="H10" i="111"/>
  <c r="AB8" i="114" s="1"/>
  <c r="A10" i="111"/>
  <c r="H9" i="111"/>
  <c r="A9" i="111"/>
  <c r="H8" i="111"/>
  <c r="AQ34" i="75"/>
  <c r="B36" i="75"/>
  <c r="B37" i="75"/>
  <c r="B38" i="75"/>
  <c r="B39" i="75"/>
  <c r="B40" i="75"/>
  <c r="B41" i="75"/>
  <c r="B42" i="75"/>
  <c r="B43" i="75"/>
  <c r="B44" i="75"/>
  <c r="B45" i="75"/>
  <c r="B46" i="75"/>
  <c r="B47" i="75"/>
  <c r="B48" i="75"/>
  <c r="B49" i="75"/>
  <c r="B50" i="75"/>
  <c r="B51" i="75"/>
  <c r="B52" i="75"/>
  <c r="B53" i="75"/>
  <c r="B54" i="75"/>
  <c r="B55" i="75"/>
  <c r="B56" i="75"/>
  <c r="B57" i="75"/>
  <c r="B58" i="75"/>
  <c r="B59" i="75"/>
  <c r="B60" i="75"/>
  <c r="B61" i="75"/>
  <c r="B62" i="75"/>
  <c r="B63" i="75"/>
  <c r="B64" i="75"/>
  <c r="B65" i="75"/>
  <c r="B66" i="75"/>
  <c r="B67" i="75"/>
  <c r="B68" i="75"/>
  <c r="B69" i="75"/>
  <c r="B70" i="75"/>
  <c r="B71" i="75"/>
  <c r="B72" i="75"/>
  <c r="B73" i="75"/>
  <c r="B74" i="75"/>
  <c r="B75" i="75"/>
  <c r="J26" i="69"/>
  <c r="D19" i="98"/>
  <c r="A10" i="98"/>
  <c r="A9" i="98"/>
  <c r="F19" i="98"/>
  <c r="H11" i="98"/>
  <c r="E19" i="98"/>
  <c r="H12" i="98"/>
  <c r="H13" i="98"/>
  <c r="D33" i="40"/>
  <c r="B20" i="40"/>
  <c r="B17" i="40"/>
  <c r="B14" i="40"/>
  <c r="C9" i="40"/>
  <c r="M18" i="5"/>
  <c r="M17" i="5"/>
  <c r="M15" i="5"/>
  <c r="M12" i="5"/>
  <c r="G10" i="5"/>
  <c r="G9" i="5"/>
  <c r="G8" i="5"/>
  <c r="G7" i="5"/>
  <c r="G5" i="5"/>
  <c r="E17" i="95"/>
  <c r="D17" i="95"/>
  <c r="A10" i="95"/>
  <c r="E9" i="95"/>
  <c r="A9" i="95"/>
  <c r="E8" i="95"/>
  <c r="A6" i="95"/>
  <c r="F17" i="94"/>
  <c r="E17" i="94"/>
  <c r="D17" i="94"/>
  <c r="H11" i="94"/>
  <c r="W9" i="114" s="1"/>
  <c r="H10" i="94"/>
  <c r="W8" i="114" s="1"/>
  <c r="A10" i="94"/>
  <c r="H9" i="94"/>
  <c r="A9" i="94"/>
  <c r="H8" i="94"/>
  <c r="A6" i="94"/>
  <c r="F13" i="92"/>
  <c r="E13" i="92"/>
  <c r="D13" i="92"/>
  <c r="A10" i="92"/>
  <c r="G9" i="92"/>
  <c r="A9" i="92"/>
  <c r="G8" i="92"/>
  <c r="G7" i="92"/>
  <c r="AX9" i="114" s="1"/>
  <c r="G6" i="92"/>
  <c r="AX8" i="114" s="1"/>
  <c r="F13" i="90"/>
  <c r="E13" i="90"/>
  <c r="D13" i="90"/>
  <c r="A10" i="90"/>
  <c r="G9" i="90"/>
  <c r="AS9" i="114" s="1"/>
  <c r="A9" i="90"/>
  <c r="G8" i="90"/>
  <c r="G7" i="90"/>
  <c r="AS8" i="114" s="1"/>
  <c r="G6" i="90"/>
  <c r="AS7" i="114" s="1"/>
  <c r="A10" i="88"/>
  <c r="A9" i="88"/>
  <c r="H8" i="88"/>
  <c r="I4" i="88"/>
  <c r="I5" i="88" s="1"/>
  <c r="H4" i="88"/>
  <c r="H5" i="88" s="1"/>
  <c r="I24" i="87"/>
  <c r="H24" i="87"/>
  <c r="G24" i="87"/>
  <c r="F24" i="87"/>
  <c r="P15" i="87"/>
  <c r="O15" i="87"/>
  <c r="P14" i="87"/>
  <c r="O14" i="87"/>
  <c r="P12" i="87"/>
  <c r="O12" i="87"/>
  <c r="P11" i="87"/>
  <c r="O11" i="87"/>
  <c r="N11" i="87"/>
  <c r="A10" i="87"/>
  <c r="P9" i="87"/>
  <c r="O9" i="87"/>
  <c r="A9" i="87"/>
  <c r="P8" i="87"/>
  <c r="O8" i="87"/>
  <c r="N8" i="87"/>
  <c r="P6" i="87"/>
  <c r="O6" i="87"/>
  <c r="A6" i="87"/>
  <c r="P5" i="87"/>
  <c r="O5" i="87"/>
  <c r="N5" i="87"/>
  <c r="P3" i="87"/>
  <c r="O3" i="87"/>
  <c r="P2" i="87"/>
  <c r="O2" i="87"/>
  <c r="N2" i="87"/>
  <c r="A10" i="85"/>
  <c r="A9" i="85"/>
  <c r="H17" i="77"/>
  <c r="G17" i="77"/>
  <c r="F17" i="77"/>
  <c r="E17" i="77"/>
  <c r="D17" i="77"/>
  <c r="I15" i="77"/>
  <c r="I14" i="77"/>
  <c r="A10" i="77"/>
  <c r="A9" i="77"/>
  <c r="A10" i="75"/>
  <c r="A9" i="75"/>
  <c r="A10" i="71"/>
  <c r="A9" i="71"/>
  <c r="I8" i="71"/>
  <c r="I9" i="71" s="1"/>
  <c r="I7" i="71"/>
  <c r="E12" i="70"/>
  <c r="D12" i="70"/>
  <c r="A10" i="70"/>
  <c r="A9" i="70"/>
  <c r="G8" i="70"/>
  <c r="BI6" i="114" s="1"/>
  <c r="F18" i="69"/>
  <c r="F17" i="69"/>
  <c r="F16" i="69"/>
  <c r="F15" i="69"/>
  <c r="F14" i="69"/>
  <c r="F13" i="69"/>
  <c r="F12" i="69"/>
  <c r="F11" i="69"/>
  <c r="F10" i="69"/>
  <c r="A10" i="69"/>
  <c r="F9" i="69"/>
  <c r="A9" i="69"/>
  <c r="F8" i="69"/>
  <c r="D11" i="68"/>
  <c r="C11" i="68"/>
  <c r="A6" i="68" s="1"/>
  <c r="A10" i="68"/>
  <c r="A9" i="68"/>
  <c r="E6" i="68"/>
  <c r="BM6" i="114" s="1"/>
  <c r="H16" i="66"/>
  <c r="G16" i="66"/>
  <c r="F16" i="66"/>
  <c r="E16" i="66"/>
  <c r="D16" i="66"/>
  <c r="I12" i="66"/>
  <c r="AZ10" i="114" s="1"/>
  <c r="I11" i="66"/>
  <c r="I10" i="66"/>
  <c r="A10" i="66"/>
  <c r="I9" i="66"/>
  <c r="AZ8" i="114"/>
  <c r="A9" i="66"/>
  <c r="I8" i="66"/>
  <c r="AZ7" i="114" s="1"/>
  <c r="F15" i="65"/>
  <c r="E15" i="65"/>
  <c r="D15" i="65"/>
  <c r="G11" i="65"/>
  <c r="BC11" i="114" s="1"/>
  <c r="C11" i="65"/>
  <c r="G10" i="65"/>
  <c r="A10" i="65"/>
  <c r="G9" i="65"/>
  <c r="BC10" i="114" s="1"/>
  <c r="A9" i="65"/>
  <c r="G8" i="65"/>
  <c r="BC9" i="114"/>
  <c r="F24" i="2"/>
  <c r="E24" i="2"/>
  <c r="D24" i="2"/>
  <c r="H20" i="2"/>
  <c r="BB10" i="114"/>
  <c r="H19" i="2"/>
  <c r="BB9" i="114"/>
  <c r="H18" i="2"/>
  <c r="H17" i="2"/>
  <c r="A10" i="2"/>
  <c r="A9" i="2"/>
  <c r="F20" i="4"/>
  <c r="E20" i="4"/>
  <c r="D20" i="4"/>
  <c r="F16" i="4"/>
  <c r="E16" i="4"/>
  <c r="D16" i="4"/>
  <c r="H10" i="4"/>
  <c r="A10" i="4"/>
  <c r="J9" i="4"/>
  <c r="H9" i="4"/>
  <c r="A9" i="4"/>
  <c r="H8" i="4"/>
  <c r="BA7" i="114" s="1"/>
  <c r="H12" i="59"/>
  <c r="AW9" i="114" s="1"/>
  <c r="H11" i="59"/>
  <c r="AW8" i="114" s="1"/>
  <c r="H10" i="59"/>
  <c r="A10" i="59"/>
  <c r="H9" i="59"/>
  <c r="A9" i="59"/>
  <c r="F18" i="57"/>
  <c r="E18" i="57"/>
  <c r="D18" i="57"/>
  <c r="H12" i="57"/>
  <c r="AV9" i="114" s="1"/>
  <c r="H11" i="57"/>
  <c r="AV8" i="114"/>
  <c r="H10" i="57"/>
  <c r="A10" i="57"/>
  <c r="H9" i="57"/>
  <c r="A9" i="57"/>
  <c r="F19" i="54"/>
  <c r="E19" i="54"/>
  <c r="D19" i="54"/>
  <c r="H13" i="54"/>
  <c r="H12" i="54"/>
  <c r="H11" i="54"/>
  <c r="A10" i="54"/>
  <c r="A9" i="54"/>
  <c r="F19" i="53"/>
  <c r="E19" i="53"/>
  <c r="D19" i="53"/>
  <c r="H13" i="53"/>
  <c r="H12" i="53"/>
  <c r="H11" i="53"/>
  <c r="A10" i="53"/>
  <c r="A9" i="53"/>
  <c r="F19" i="52"/>
  <c r="E19" i="52"/>
  <c r="D19" i="52"/>
  <c r="H13" i="52"/>
  <c r="H12" i="52"/>
  <c r="H11" i="52"/>
  <c r="A10" i="52"/>
  <c r="A9" i="52"/>
  <c r="F19" i="51"/>
  <c r="E19" i="51"/>
  <c r="D19" i="51"/>
  <c r="H13" i="51"/>
  <c r="H12" i="51"/>
  <c r="H11" i="51"/>
  <c r="A10" i="51"/>
  <c r="A9" i="51"/>
  <c r="F19" i="50"/>
  <c r="E19" i="50"/>
  <c r="D19" i="50"/>
  <c r="H13" i="50"/>
  <c r="H12" i="50"/>
  <c r="H11" i="50"/>
  <c r="A10" i="50"/>
  <c r="A9" i="50"/>
  <c r="F7" i="50"/>
  <c r="E7" i="50"/>
  <c r="D7" i="50"/>
  <c r="F18" i="49"/>
  <c r="E18" i="49"/>
  <c r="D18" i="49"/>
  <c r="H12" i="49"/>
  <c r="H11" i="49"/>
  <c r="H10" i="49"/>
  <c r="A10" i="49"/>
  <c r="A9" i="49"/>
  <c r="D6" i="49"/>
  <c r="E6" i="49"/>
  <c r="F6" i="49"/>
  <c r="F20" i="48"/>
  <c r="E20" i="48"/>
  <c r="D20" i="48"/>
  <c r="H14" i="48"/>
  <c r="H13" i="48"/>
  <c r="H12" i="48"/>
  <c r="A10" i="48"/>
  <c r="A9" i="48"/>
  <c r="H6" i="48"/>
  <c r="F20" i="47"/>
  <c r="E20" i="47"/>
  <c r="D20" i="47"/>
  <c r="H14" i="47"/>
  <c r="H13" i="47"/>
  <c r="H12" i="47"/>
  <c r="A10" i="47"/>
  <c r="A9" i="47"/>
  <c r="F20" i="46"/>
  <c r="E20" i="46"/>
  <c r="A6" i="46" s="1"/>
  <c r="D20" i="46"/>
  <c r="H14" i="46"/>
  <c r="H13" i="46"/>
  <c r="H12" i="46"/>
  <c r="A10" i="46"/>
  <c r="A9" i="46"/>
  <c r="F19" i="45"/>
  <c r="E19" i="45"/>
  <c r="D19" i="45"/>
  <c r="H13" i="45"/>
  <c r="H12" i="45"/>
  <c r="H11" i="45"/>
  <c r="A10" i="45"/>
  <c r="A9" i="45"/>
  <c r="F19" i="44"/>
  <c r="E19" i="44"/>
  <c r="D19" i="44"/>
  <c r="H13" i="44"/>
  <c r="H12" i="44"/>
  <c r="H11" i="44"/>
  <c r="A10" i="44"/>
  <c r="A9" i="44"/>
  <c r="F18" i="43"/>
  <c r="E18" i="43"/>
  <c r="D18" i="43"/>
  <c r="H12" i="43"/>
  <c r="H11" i="43"/>
  <c r="H10" i="43"/>
  <c r="A10" i="43"/>
  <c r="A9" i="43"/>
  <c r="E6" i="43"/>
  <c r="F18" i="42"/>
  <c r="E18" i="42"/>
  <c r="D18" i="42"/>
  <c r="H12" i="42"/>
  <c r="H11" i="42"/>
  <c r="H10" i="42"/>
  <c r="A10" i="42"/>
  <c r="A9" i="42"/>
  <c r="F19" i="23"/>
  <c r="E19" i="23"/>
  <c r="D19" i="23"/>
  <c r="H13" i="23"/>
  <c r="AD9" i="114"/>
  <c r="H12" i="23"/>
  <c r="AD8" i="114" s="1"/>
  <c r="H11" i="23"/>
  <c r="H10" i="23"/>
  <c r="A10" i="23"/>
  <c r="A9" i="23"/>
  <c r="H139" i="38"/>
  <c r="H138" i="38"/>
  <c r="H137" i="38"/>
  <c r="H136" i="38"/>
  <c r="H135" i="38"/>
  <c r="BF135" i="114" s="1"/>
  <c r="H134" i="38"/>
  <c r="H133" i="38"/>
  <c r="H132" i="38"/>
  <c r="H131" i="38"/>
  <c r="H130" i="38"/>
  <c r="H129" i="38"/>
  <c r="H128" i="38"/>
  <c r="BF128" i="114" s="1"/>
  <c r="H127" i="38"/>
  <c r="H126" i="38"/>
  <c r="H125" i="38"/>
  <c r="H124" i="38"/>
  <c r="H123" i="38"/>
  <c r="H122" i="38"/>
  <c r="BF122" i="114" s="1"/>
  <c r="H121" i="38"/>
  <c r="H120" i="38"/>
  <c r="H119" i="38"/>
  <c r="H118" i="38"/>
  <c r="H117" i="38"/>
  <c r="H116" i="38"/>
  <c r="H115" i="38"/>
  <c r="H114" i="38"/>
  <c r="BF114" i="114" s="1"/>
  <c r="H113" i="38"/>
  <c r="H112" i="38"/>
  <c r="H111" i="38"/>
  <c r="H110" i="38"/>
  <c r="H109" i="38"/>
  <c r="H108" i="38"/>
  <c r="BF108" i="114" s="1"/>
  <c r="H107" i="38"/>
  <c r="H106" i="38"/>
  <c r="H105" i="38"/>
  <c r="H104" i="38"/>
  <c r="H103" i="38"/>
  <c r="H102" i="38"/>
  <c r="H101" i="38"/>
  <c r="BF101" i="114" s="1"/>
  <c r="H100" i="38"/>
  <c r="H99" i="38"/>
  <c r="H98" i="38"/>
  <c r="H97" i="38"/>
  <c r="H96" i="38"/>
  <c r="H95" i="38"/>
  <c r="H94" i="38"/>
  <c r="BF94" i="114" s="1"/>
  <c r="H93" i="38"/>
  <c r="H92" i="38"/>
  <c r="H91" i="38"/>
  <c r="H90" i="38"/>
  <c r="H89" i="38"/>
  <c r="H88" i="38"/>
  <c r="BF88" i="114" s="1"/>
  <c r="H87" i="38"/>
  <c r="H86" i="38"/>
  <c r="H85" i="38"/>
  <c r="H84" i="38"/>
  <c r="BF84" i="114" s="1"/>
  <c r="H83" i="38"/>
  <c r="H82" i="38"/>
  <c r="H81" i="38"/>
  <c r="BF81" i="114" s="1"/>
  <c r="H80" i="38"/>
  <c r="H79" i="38"/>
  <c r="H78" i="38"/>
  <c r="H77" i="38"/>
  <c r="H76" i="38"/>
  <c r="H75" i="38"/>
  <c r="BF75" i="114" s="1"/>
  <c r="H74" i="38"/>
  <c r="BF93" i="114" s="1"/>
  <c r="H73" i="38"/>
  <c r="BF13" i="114" s="1"/>
  <c r="H72" i="38"/>
  <c r="H71" i="38"/>
  <c r="BF71" i="114" s="1"/>
  <c r="H70" i="38"/>
  <c r="H69" i="38"/>
  <c r="H68" i="38"/>
  <c r="H67" i="38"/>
  <c r="H66" i="38"/>
  <c r="H65" i="38"/>
  <c r="BF65" i="114" s="1"/>
  <c r="H64" i="38"/>
  <c r="H63" i="38"/>
  <c r="H62" i="38"/>
  <c r="H61" i="38"/>
  <c r="H60" i="38"/>
  <c r="H59" i="38"/>
  <c r="H58" i="38"/>
  <c r="BF58" i="114" s="1"/>
  <c r="H57" i="38"/>
  <c r="H56" i="38"/>
  <c r="H55" i="38"/>
  <c r="H54" i="38"/>
  <c r="H53" i="38"/>
  <c r="H52" i="38"/>
  <c r="BF52" i="114" s="1"/>
  <c r="H51" i="38"/>
  <c r="BF51" i="114" s="1"/>
  <c r="H50" i="38"/>
  <c r="H49" i="38"/>
  <c r="H48" i="38"/>
  <c r="H47" i="38"/>
  <c r="H46" i="38"/>
  <c r="H45" i="38"/>
  <c r="BF45" i="114"/>
  <c r="H44" i="38"/>
  <c r="H43" i="38"/>
  <c r="H42" i="38"/>
  <c r="H41" i="38"/>
  <c r="H40" i="38"/>
  <c r="H39" i="38"/>
  <c r="H38" i="38"/>
  <c r="BF38" i="114"/>
  <c r="H37" i="38"/>
  <c r="H36" i="38"/>
  <c r="H35" i="38"/>
  <c r="H34" i="38"/>
  <c r="H33" i="38"/>
  <c r="H32" i="38"/>
  <c r="BF32" i="114" s="1"/>
  <c r="H31" i="38"/>
  <c r="H30" i="38"/>
  <c r="H29" i="38"/>
  <c r="H28" i="38"/>
  <c r="H27" i="38"/>
  <c r="H26" i="38"/>
  <c r="H25" i="38"/>
  <c r="BF25" i="114" s="1"/>
  <c r="H24" i="38"/>
  <c r="H23" i="38"/>
  <c r="H22" i="38"/>
  <c r="H21" i="38"/>
  <c r="H20" i="38"/>
  <c r="H19" i="38"/>
  <c r="BF19" i="114"/>
  <c r="H18" i="38"/>
  <c r="H17" i="38"/>
  <c r="H16" i="38"/>
  <c r="H15" i="38"/>
  <c r="H14" i="38"/>
  <c r="H13" i="38"/>
  <c r="H12" i="38"/>
  <c r="BF12" i="114"/>
  <c r="H11" i="38"/>
  <c r="H10" i="38"/>
  <c r="A10" i="38"/>
  <c r="H9" i="38"/>
  <c r="A9" i="38"/>
  <c r="H8" i="38"/>
  <c r="H7" i="38"/>
  <c r="K3" i="38"/>
  <c r="J3" i="38"/>
  <c r="I3" i="38"/>
  <c r="F16" i="20"/>
  <c r="E16" i="20"/>
  <c r="D16" i="20"/>
  <c r="H10" i="20"/>
  <c r="BE8" i="114" s="1"/>
  <c r="A10" i="20"/>
  <c r="H9" i="20"/>
  <c r="BE7" i="114" s="1"/>
  <c r="A9" i="20"/>
  <c r="H8" i="20"/>
  <c r="H7" i="20"/>
  <c r="F16" i="19"/>
  <c r="E16" i="19"/>
  <c r="D16" i="19"/>
  <c r="H10" i="19"/>
  <c r="BG8" i="114" s="1"/>
  <c r="A10" i="19"/>
  <c r="H9" i="19"/>
  <c r="BG7" i="114" s="1"/>
  <c r="A9" i="19"/>
  <c r="H8" i="19"/>
  <c r="H7" i="19"/>
  <c r="H39" i="3"/>
  <c r="G39" i="3"/>
  <c r="F39" i="3"/>
  <c r="I38" i="3"/>
  <c r="H38" i="3"/>
  <c r="G38" i="3"/>
  <c r="F38" i="3"/>
  <c r="E38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E18" i="3"/>
  <c r="O17" i="3"/>
  <c r="O16" i="3"/>
  <c r="O15" i="3"/>
  <c r="O14" i="3"/>
  <c r="O13" i="3"/>
  <c r="O12" i="3"/>
  <c r="O11" i="3"/>
  <c r="O10" i="3"/>
  <c r="A10" i="3"/>
  <c r="O9" i="3"/>
  <c r="A9" i="3"/>
  <c r="O8" i="3"/>
  <c r="O7" i="3"/>
  <c r="O6" i="3"/>
  <c r="O5" i="3"/>
  <c r="O4" i="3"/>
  <c r="E4" i="3"/>
  <c r="E39" i="3" s="1"/>
  <c r="O3" i="3"/>
  <c r="D21" i="18"/>
  <c r="F17" i="18"/>
  <c r="E17" i="18"/>
  <c r="D17" i="18"/>
  <c r="A10" i="18"/>
  <c r="H9" i="18"/>
  <c r="A9" i="18"/>
  <c r="H8" i="18"/>
  <c r="F17" i="41"/>
  <c r="E17" i="41"/>
  <c r="D17" i="41"/>
  <c r="J11" i="41"/>
  <c r="AA9" i="114" s="1"/>
  <c r="J10" i="41"/>
  <c r="AA8" i="114" s="1"/>
  <c r="A10" i="41"/>
  <c r="J9" i="41"/>
  <c r="A9" i="41"/>
  <c r="J8" i="41"/>
  <c r="J11" i="14"/>
  <c r="Z8" i="114" s="1"/>
  <c r="J10" i="14"/>
  <c r="Z7" i="114" s="1"/>
  <c r="A10" i="14"/>
  <c r="J9" i="14"/>
  <c r="A9" i="14"/>
  <c r="J8" i="14"/>
  <c r="H12" i="55"/>
  <c r="Y7" i="114" s="1"/>
  <c r="H11" i="55"/>
  <c r="Y6" i="114" s="1"/>
  <c r="H10" i="55"/>
  <c r="A10" i="55"/>
  <c r="H9" i="55"/>
  <c r="A9" i="55"/>
  <c r="H12" i="12"/>
  <c r="X8" i="114" s="1"/>
  <c r="H11" i="12"/>
  <c r="X7" i="114" s="1"/>
  <c r="H10" i="12"/>
  <c r="A10" i="12"/>
  <c r="H9" i="12"/>
  <c r="A9" i="12"/>
  <c r="H12" i="11"/>
  <c r="AU9" i="114" s="1"/>
  <c r="H11" i="11"/>
  <c r="AU8" i="114" s="1"/>
  <c r="H10" i="11"/>
  <c r="A10" i="11"/>
  <c r="H9" i="11"/>
  <c r="A9" i="11"/>
  <c r="H11" i="10"/>
  <c r="H10" i="10"/>
  <c r="A10" i="10"/>
  <c r="H9" i="10"/>
  <c r="W18" i="9"/>
  <c r="V18" i="9"/>
  <c r="O18" i="9"/>
  <c r="G18" i="9"/>
  <c r="F18" i="9"/>
  <c r="E18" i="9"/>
  <c r="D18" i="9"/>
  <c r="W17" i="9"/>
  <c r="V17" i="9"/>
  <c r="O17" i="9"/>
  <c r="I12" i="9"/>
  <c r="U8" i="114"/>
  <c r="N11" i="9"/>
  <c r="U28" i="114" s="1"/>
  <c r="I10" i="9"/>
  <c r="U13" i="114"/>
  <c r="A10" i="9"/>
  <c r="I9" i="9"/>
  <c r="A9" i="9"/>
  <c r="R6" i="9"/>
  <c r="Q6" i="9"/>
  <c r="S5" i="9"/>
  <c r="K9" i="9" s="1"/>
  <c r="W18" i="8"/>
  <c r="V18" i="8"/>
  <c r="O18" i="8"/>
  <c r="G18" i="8"/>
  <c r="F18" i="8"/>
  <c r="E18" i="8"/>
  <c r="D18" i="8"/>
  <c r="W17" i="8"/>
  <c r="V17" i="8"/>
  <c r="O17" i="8"/>
  <c r="I12" i="8"/>
  <c r="T9" i="114"/>
  <c r="I11" i="8"/>
  <c r="T33" i="114" s="1"/>
  <c r="I10" i="8"/>
  <c r="T14" i="114"/>
  <c r="A10" i="8"/>
  <c r="I9" i="8"/>
  <c r="A9" i="8"/>
  <c r="R6" i="8"/>
  <c r="Q6" i="8"/>
  <c r="S5" i="8"/>
  <c r="K9" i="8" s="1"/>
  <c r="N37" i="7"/>
  <c r="N38" i="7"/>
  <c r="L30" i="7"/>
  <c r="L33" i="7"/>
  <c r="L34" i="7"/>
  <c r="L35" i="7"/>
  <c r="L38" i="7"/>
  <c r="K33" i="7"/>
  <c r="K34" i="7"/>
  <c r="K35" i="7"/>
  <c r="L36" i="7"/>
  <c r="W17" i="7"/>
  <c r="V17" i="7"/>
  <c r="O17" i="7"/>
  <c r="G17" i="7"/>
  <c r="F17" i="7"/>
  <c r="E17" i="7"/>
  <c r="D17" i="7"/>
  <c r="W16" i="7"/>
  <c r="V16" i="7"/>
  <c r="O16" i="7"/>
  <c r="I11" i="7"/>
  <c r="AT9" i="114" s="1"/>
  <c r="I10" i="7"/>
  <c r="AT8" i="114" s="1"/>
  <c r="A10" i="7"/>
  <c r="I9" i="7"/>
  <c r="A9" i="7"/>
  <c r="I8" i="7"/>
  <c r="R5" i="7"/>
  <c r="Q5" i="7"/>
  <c r="S4" i="7"/>
  <c r="K8" i="7" s="1"/>
  <c r="G17" i="6"/>
  <c r="F17" i="6"/>
  <c r="E17" i="6"/>
  <c r="D17" i="6"/>
  <c r="I11" i="6"/>
  <c r="S9" i="114" s="1"/>
  <c r="I10" i="6"/>
  <c r="S8" i="114" s="1"/>
  <c r="A10" i="6"/>
  <c r="I9" i="6"/>
  <c r="A9" i="6"/>
  <c r="I8" i="6"/>
  <c r="F18" i="35"/>
  <c r="E18" i="35"/>
  <c r="D18" i="35"/>
  <c r="H12" i="35"/>
  <c r="R8" i="114" s="1"/>
  <c r="A10" i="35"/>
  <c r="H9" i="35"/>
  <c r="A9" i="35"/>
  <c r="F18" i="34"/>
  <c r="E18" i="34"/>
  <c r="D18" i="34"/>
  <c r="H12" i="34"/>
  <c r="Q9" i="114" s="1"/>
  <c r="H11" i="34"/>
  <c r="Q8" i="114" s="1"/>
  <c r="G10" i="34"/>
  <c r="A10" i="34"/>
  <c r="H9" i="34"/>
  <c r="A9" i="34"/>
  <c r="F18" i="33"/>
  <c r="E18" i="33"/>
  <c r="D18" i="33"/>
  <c r="A6" i="33" s="1"/>
  <c r="H12" i="33"/>
  <c r="P9" i="114" s="1"/>
  <c r="H11" i="33"/>
  <c r="P8" i="114" s="1"/>
  <c r="H10" i="33"/>
  <c r="A10" i="33"/>
  <c r="H9" i="33"/>
  <c r="A9" i="33"/>
  <c r="F18" i="36"/>
  <c r="E18" i="36"/>
  <c r="D18" i="36"/>
  <c r="H10" i="36"/>
  <c r="A10" i="36"/>
  <c r="H9" i="36"/>
  <c r="A9" i="36"/>
  <c r="D22" i="36"/>
  <c r="F18" i="31"/>
  <c r="E18" i="31"/>
  <c r="D18" i="31"/>
  <c r="H12" i="31"/>
  <c r="N9" i="114" s="1"/>
  <c r="H11" i="31"/>
  <c r="N8" i="114" s="1"/>
  <c r="H10" i="31"/>
  <c r="A10" i="31"/>
  <c r="H9" i="31"/>
  <c r="A9" i="31"/>
  <c r="F18" i="30"/>
  <c r="E18" i="30"/>
  <c r="D18" i="30"/>
  <c r="H10" i="30"/>
  <c r="A10" i="30"/>
  <c r="H9" i="30"/>
  <c r="A9" i="30"/>
  <c r="D22" i="30"/>
  <c r="D21" i="29"/>
  <c r="F17" i="29"/>
  <c r="E17" i="29"/>
  <c r="D17" i="29"/>
  <c r="H11" i="29"/>
  <c r="L7" i="114" s="1"/>
  <c r="H10" i="29"/>
  <c r="L6" i="114" s="1"/>
  <c r="A10" i="29"/>
  <c r="H9" i="29"/>
  <c r="A9" i="29"/>
  <c r="H8" i="29"/>
  <c r="F17" i="28"/>
  <c r="E17" i="28"/>
  <c r="D17" i="28"/>
  <c r="H11" i="28"/>
  <c r="K7" i="114" s="1"/>
  <c r="H10" i="28"/>
  <c r="K6" i="114" s="1"/>
  <c r="A10" i="28"/>
  <c r="H9" i="28"/>
  <c r="A9" i="28"/>
  <c r="H8" i="28"/>
  <c r="D21" i="28"/>
  <c r="F17" i="27"/>
  <c r="E17" i="27"/>
  <c r="D17" i="27"/>
  <c r="H11" i="27"/>
  <c r="J8" i="114" s="1"/>
  <c r="A10" i="27"/>
  <c r="H9" i="27"/>
  <c r="A9" i="27"/>
  <c r="H8" i="27"/>
  <c r="F17" i="26"/>
  <c r="E17" i="26"/>
  <c r="D17" i="26"/>
  <c r="H11" i="26"/>
  <c r="I8" i="114" s="1"/>
  <c r="H10" i="26"/>
  <c r="I7" i="114" s="1"/>
  <c r="A10" i="26"/>
  <c r="H9" i="26"/>
  <c r="A9" i="26"/>
  <c r="H8" i="26"/>
  <c r="F17" i="25"/>
  <c r="E17" i="25"/>
  <c r="D17" i="25"/>
  <c r="H11" i="25"/>
  <c r="H8" i="114" s="1"/>
  <c r="H10" i="25"/>
  <c r="H7" i="114" s="1"/>
  <c r="A10" i="25"/>
  <c r="H9" i="25"/>
  <c r="A9" i="25"/>
  <c r="H8" i="25"/>
  <c r="F17" i="32"/>
  <c r="E17" i="32"/>
  <c r="D17" i="32"/>
  <c r="H11" i="32"/>
  <c r="G9" i="114" s="1"/>
  <c r="A10" i="32"/>
  <c r="H9" i="32"/>
  <c r="A9" i="32"/>
  <c r="H8" i="32"/>
  <c r="A6" i="32"/>
  <c r="F17" i="24"/>
  <c r="E17" i="24"/>
  <c r="D17" i="24"/>
  <c r="H11" i="24"/>
  <c r="F9" i="114" s="1"/>
  <c r="H10" i="24"/>
  <c r="F8" i="114" s="1"/>
  <c r="A10" i="24"/>
  <c r="H9" i="24"/>
  <c r="A9" i="24"/>
  <c r="H8" i="24"/>
  <c r="A6" i="24"/>
  <c r="H11" i="22"/>
  <c r="E9" i="114" s="1"/>
  <c r="H10" i="22"/>
  <c r="E8" i="114" s="1"/>
  <c r="A10" i="22"/>
  <c r="H9" i="22"/>
  <c r="A9" i="22"/>
  <c r="H8" i="22"/>
  <c r="H11" i="1"/>
  <c r="C9" i="114" s="1"/>
  <c r="H10" i="1"/>
  <c r="C8" i="114" s="1"/>
  <c r="A10" i="1"/>
  <c r="A9" i="1"/>
  <c r="J45" i="75"/>
  <c r="C45" i="75"/>
  <c r="AQ53" i="75"/>
  <c r="AA44" i="75"/>
  <c r="AQ48" i="75"/>
  <c r="AC56" i="75"/>
  <c r="AG60" i="75"/>
  <c r="I49" i="75"/>
  <c r="N56" i="75"/>
  <c r="R60" i="75"/>
  <c r="Y63" i="75"/>
  <c r="AK45" i="75"/>
  <c r="Z50" i="75"/>
  <c r="AJ56" i="75"/>
  <c r="AN60" i="75"/>
  <c r="D64" i="75"/>
  <c r="P66" i="75"/>
  <c r="V68" i="75"/>
  <c r="T70" i="75"/>
  <c r="AD72" i="75"/>
  <c r="U54" i="75"/>
  <c r="Y58" i="75"/>
  <c r="X61" i="75"/>
  <c r="AF63" i="75"/>
  <c r="X65" i="75"/>
  <c r="J67" i="75"/>
  <c r="AE68" i="75"/>
  <c r="M70" i="75"/>
  <c r="AL71" i="75"/>
  <c r="AJ44" i="75"/>
  <c r="Q53" i="75"/>
  <c r="AP59" i="75"/>
  <c r="AC64" i="75"/>
  <c r="AF67" i="75"/>
  <c r="AM70" i="75"/>
  <c r="W73" i="75"/>
  <c r="AF74" i="75"/>
  <c r="Y75" i="75"/>
  <c r="AI56" i="75"/>
  <c r="AI62" i="75"/>
  <c r="D67" i="75"/>
  <c r="AD69" i="75"/>
  <c r="AK72" i="75"/>
  <c r="AG73" i="75"/>
  <c r="AL74" i="75"/>
  <c r="AM75" i="75"/>
  <c r="C52" i="75"/>
  <c r="H56" i="75"/>
  <c r="L60" i="75"/>
  <c r="AM63" i="75"/>
  <c r="AH66" i="75"/>
  <c r="L68" i="75"/>
  <c r="F70" i="75"/>
  <c r="AI71" i="75"/>
  <c r="F73" i="75"/>
  <c r="AL73" i="75"/>
  <c r="AA74" i="75"/>
  <c r="P75" i="75"/>
  <c r="N42" i="75"/>
  <c r="X53" i="75"/>
  <c r="AA55" i="75"/>
  <c r="E57" i="75"/>
  <c r="Z58" i="75"/>
  <c r="D60" i="75"/>
  <c r="Y61" i="75"/>
  <c r="AH62" i="75"/>
  <c r="L64" i="75"/>
  <c r="Q65" i="75"/>
  <c r="F66" i="75"/>
  <c r="AL66" i="75"/>
  <c r="AA67" i="75"/>
  <c r="P68" i="75"/>
  <c r="E69" i="75"/>
  <c r="AK69" i="75"/>
  <c r="AH70" i="75"/>
  <c r="W71" i="75"/>
  <c r="L72" i="75"/>
  <c r="AP72" i="75"/>
  <c r="P73" i="75"/>
  <c r="AF73" i="75"/>
  <c r="I74" i="75"/>
  <c r="Y74" i="75"/>
  <c r="AO74" i="75"/>
  <c r="R75" i="75"/>
  <c r="AH75" i="75"/>
  <c r="AD51" i="75"/>
  <c r="S56" i="75"/>
  <c r="AH59" i="75"/>
  <c r="C63" i="75"/>
  <c r="AI64" i="75"/>
  <c r="G66" i="75"/>
  <c r="AB67" i="75"/>
  <c r="AL69" i="75"/>
  <c r="H71" i="75"/>
  <c r="AC72" i="75"/>
  <c r="AK73" i="75"/>
  <c r="AH74" i="75"/>
  <c r="W75" i="75"/>
  <c r="H53" i="75"/>
  <c r="G59" i="75"/>
  <c r="F62" i="75"/>
  <c r="G64" i="75"/>
  <c r="AK65" i="75"/>
  <c r="O67" i="75"/>
  <c r="AJ68" i="75"/>
  <c r="N70" i="75"/>
  <c r="AA71" i="75"/>
  <c r="J73" i="75"/>
  <c r="AP73" i="75"/>
  <c r="AE74" i="75"/>
  <c r="X75" i="75"/>
  <c r="K36" i="7"/>
  <c r="K38" i="7"/>
  <c r="D21" i="25"/>
  <c r="F11" i="68"/>
  <c r="K37" i="3"/>
  <c r="A6" i="3"/>
  <c r="BL13" i="114"/>
  <c r="I16" i="71"/>
  <c r="A6" i="71" s="1"/>
  <c r="BJ9" i="114"/>
  <c r="G12" i="70"/>
  <c r="F22" i="69"/>
  <c r="A6" i="69" s="1"/>
  <c r="BH11" i="114"/>
  <c r="BF73" i="114"/>
  <c r="BF341" i="114"/>
  <c r="BF473" i="114"/>
  <c r="BF54" i="114"/>
  <c r="BF174" i="114"/>
  <c r="BF454" i="114"/>
  <c r="BF574" i="114"/>
  <c r="BF400" i="114"/>
  <c r="BF587" i="114"/>
  <c r="BF147" i="114"/>
  <c r="BF420" i="114"/>
  <c r="BF539" i="114"/>
  <c r="BF467" i="114"/>
  <c r="BF29" i="114"/>
  <c r="BF49" i="114"/>
  <c r="BF69" i="114"/>
  <c r="BF89" i="114"/>
  <c r="BF109" i="114"/>
  <c r="BF149" i="114"/>
  <c r="BF169" i="114"/>
  <c r="BF189" i="114"/>
  <c r="BF209" i="114"/>
  <c r="BF229" i="114"/>
  <c r="BF249" i="114"/>
  <c r="BF269" i="114"/>
  <c r="BF289" i="114"/>
  <c r="BF309" i="114"/>
  <c r="BF329" i="114"/>
  <c r="BF349" i="114"/>
  <c r="BF369" i="114"/>
  <c r="BF389" i="114"/>
  <c r="BF409" i="114"/>
  <c r="BF429" i="114"/>
  <c r="BF469" i="114"/>
  <c r="BF489" i="114"/>
  <c r="BF509" i="114"/>
  <c r="BF529" i="114"/>
  <c r="BF561" i="114"/>
  <c r="BF569" i="114"/>
  <c r="BF589" i="114"/>
  <c r="BF23" i="114"/>
  <c r="BF10" i="114"/>
  <c r="BF30" i="114"/>
  <c r="BF82" i="114"/>
  <c r="BF102" i="114"/>
  <c r="BF130" i="114"/>
  <c r="BF162" i="114"/>
  <c r="BF182" i="114"/>
  <c r="BF202" i="114"/>
  <c r="BF222" i="114"/>
  <c r="BF230" i="114"/>
  <c r="BF282" i="114"/>
  <c r="BF302" i="114"/>
  <c r="BF322" i="114"/>
  <c r="BF362" i="114"/>
  <c r="BF382" i="114"/>
  <c r="BF402" i="114"/>
  <c r="BF422" i="114"/>
  <c r="BF442" i="114"/>
  <c r="BF482" i="114"/>
  <c r="BF502" i="114"/>
  <c r="BF522" i="114"/>
  <c r="BF542" i="114"/>
  <c r="BF562" i="114"/>
  <c r="BF582" i="114"/>
  <c r="BF602" i="114"/>
  <c r="BF43" i="114"/>
  <c r="BF63" i="114"/>
  <c r="BF95" i="114"/>
  <c r="BF123" i="114"/>
  <c r="BF136" i="114"/>
  <c r="BF263" i="114"/>
  <c r="BF295" i="114"/>
  <c r="BF315" i="114"/>
  <c r="BF363" i="114"/>
  <c r="BF415" i="114"/>
  <c r="BF448" i="114"/>
  <c r="BF463" i="114"/>
  <c r="BF495" i="114"/>
  <c r="BF515" i="114"/>
  <c r="BF548" i="114"/>
  <c r="BF56" i="114"/>
  <c r="BF115" i="114"/>
  <c r="BF143" i="114"/>
  <c r="BF256" i="114"/>
  <c r="BF356" i="114"/>
  <c r="BF376" i="114"/>
  <c r="BF428" i="114"/>
  <c r="BF456" i="114"/>
  <c r="BF76" i="114"/>
  <c r="BF236" i="114"/>
  <c r="BF335" i="114"/>
  <c r="BF535" i="114"/>
  <c r="BF36" i="114"/>
  <c r="BF96" i="114"/>
  <c r="BF163" i="114"/>
  <c r="BF215" i="114"/>
  <c r="BF243" i="114"/>
  <c r="BF276" i="114"/>
  <c r="BF296" i="114"/>
  <c r="BF343" i="114"/>
  <c r="BF476" i="114"/>
  <c r="BF496" i="114"/>
  <c r="BF576" i="114"/>
  <c r="BF596" i="114"/>
  <c r="BF396" i="114"/>
  <c r="BF555" i="114"/>
  <c r="BF16" i="114"/>
  <c r="BF156" i="114"/>
  <c r="BF176" i="114"/>
  <c r="BF196" i="114"/>
  <c r="BF435" i="114"/>
  <c r="BF563" i="114"/>
  <c r="BF105" i="114"/>
  <c r="BF205" i="114"/>
  <c r="BF305" i="114"/>
  <c r="BF425" i="114"/>
  <c r="BF525" i="114"/>
  <c r="BF26" i="114"/>
  <c r="BF86" i="114"/>
  <c r="BF186" i="114"/>
  <c r="BF286" i="114"/>
  <c r="BF386" i="114"/>
  <c r="BF486" i="114"/>
  <c r="BF586" i="114"/>
  <c r="BF192" i="114"/>
  <c r="BF419" i="114"/>
  <c r="BF552" i="114"/>
  <c r="BF79" i="114"/>
  <c r="BF528" i="114"/>
  <c r="BF472" i="114"/>
  <c r="BF259" i="114"/>
  <c r="BF395" i="114"/>
  <c r="BF532" i="114"/>
  <c r="BF239" i="114"/>
  <c r="BF412" i="114"/>
  <c r="BF120" i="114"/>
  <c r="BF392" i="114"/>
  <c r="D24" i="77"/>
  <c r="A6" i="77" s="1"/>
  <c r="BD14" i="114"/>
  <c r="G15" i="65"/>
  <c r="BC15" i="114"/>
  <c r="H24" i="2"/>
  <c r="A6" i="2"/>
  <c r="BB13" i="114"/>
  <c r="I16" i="66"/>
  <c r="AZ13" i="114"/>
  <c r="D22" i="57"/>
  <c r="AV12" i="114"/>
  <c r="G13" i="90"/>
  <c r="AS12" i="114"/>
  <c r="D23" i="53"/>
  <c r="D23" i="52"/>
  <c r="AP11" i="114"/>
  <c r="D23" i="51"/>
  <c r="D24" i="48"/>
  <c r="AL11" i="114"/>
  <c r="D24" i="47"/>
  <c r="A6" i="47"/>
  <c r="D23" i="98"/>
  <c r="D23" i="45"/>
  <c r="AH13" i="114"/>
  <c r="D23" i="44"/>
  <c r="A6" i="44"/>
  <c r="AD14" i="114"/>
  <c r="D21" i="94"/>
  <c r="W12" i="114"/>
  <c r="T17" i="114"/>
  <c r="D22" i="35"/>
  <c r="D22" i="34"/>
  <c r="Q12" i="114"/>
  <c r="D22" i="31"/>
  <c r="J11" i="114"/>
  <c r="D21" i="24"/>
  <c r="D21" i="22"/>
  <c r="E12" i="114"/>
  <c r="D21" i="113"/>
  <c r="D11" i="114"/>
  <c r="D21" i="1"/>
  <c r="D21" i="26"/>
  <c r="I11" i="114"/>
  <c r="L75" i="75"/>
  <c r="W74" i="75"/>
  <c r="AH73" i="75"/>
  <c r="AF72" i="75"/>
  <c r="K71" i="75"/>
  <c r="AO69" i="75"/>
  <c r="T68" i="75"/>
  <c r="AP66" i="75"/>
  <c r="U65" i="75"/>
  <c r="AB63" i="75"/>
  <c r="Q61" i="75"/>
  <c r="R58" i="75"/>
  <c r="AQ75" i="75"/>
  <c r="O75" i="75"/>
  <c r="Z74" i="75"/>
  <c r="AC73" i="75"/>
  <c r="M72" i="75"/>
  <c r="AI70" i="75"/>
  <c r="N69" i="75"/>
  <c r="L67" i="75"/>
  <c r="AH65" i="75"/>
  <c r="M64" i="75"/>
  <c r="Y62" i="75"/>
  <c r="AC58" i="75"/>
  <c r="C56" i="75"/>
  <c r="AQ47" i="75"/>
  <c r="AD75" i="75"/>
  <c r="N75" i="75"/>
  <c r="AK74" i="75"/>
  <c r="U74" i="75"/>
  <c r="E74" i="75"/>
  <c r="AB73" i="75"/>
  <c r="L73" i="75"/>
  <c r="AJ72" i="75"/>
  <c r="D72" i="75"/>
  <c r="O71" i="75"/>
  <c r="Z70" i="75"/>
  <c r="AC69" i="75"/>
  <c r="AN68" i="75"/>
  <c r="H68" i="75"/>
  <c r="S67" i="75"/>
  <c r="AD66" i="75"/>
  <c r="AO65" i="75"/>
  <c r="I65" i="75"/>
  <c r="AH63" i="75"/>
  <c r="W62" i="75"/>
  <c r="I61" i="75"/>
  <c r="AE59" i="75"/>
  <c r="J58" i="75"/>
  <c r="AF56" i="75"/>
  <c r="K55" i="75"/>
  <c r="AI52" i="75"/>
  <c r="AJ75" i="75"/>
  <c r="H75" i="75"/>
  <c r="S74" i="75"/>
  <c r="AD73" i="75"/>
  <c r="AN72" i="75"/>
  <c r="S71" i="75"/>
  <c r="AG69" i="75"/>
  <c r="AM67" i="75"/>
  <c r="AC65" i="75"/>
  <c r="R63" i="75"/>
  <c r="W59" i="75"/>
  <c r="S55" i="75"/>
  <c r="Y50" i="75"/>
  <c r="AE75" i="75"/>
  <c r="V74" i="75"/>
  <c r="Y73" i="75"/>
  <c r="U72" i="75"/>
  <c r="V69" i="75"/>
  <c r="AE66" i="75"/>
  <c r="N62" i="75"/>
  <c r="AD55" i="75"/>
  <c r="U75" i="75"/>
  <c r="AB74" i="75"/>
  <c r="G73" i="75"/>
  <c r="G70" i="75"/>
  <c r="AQ66" i="75"/>
  <c r="AD63" i="75"/>
  <c r="U58" i="75"/>
  <c r="I45" i="75"/>
  <c r="AQ72" i="75"/>
  <c r="V71" i="75"/>
  <c r="AJ69" i="75"/>
  <c r="O68" i="75"/>
  <c r="AG66" i="75"/>
  <c r="H65" i="75"/>
  <c r="K63" i="75"/>
  <c r="AI60" i="75"/>
  <c r="AB57" i="75"/>
  <c r="AA52" i="75"/>
  <c r="F72" i="75"/>
  <c r="AQ69" i="75"/>
  <c r="AO67" i="75"/>
  <c r="AI65" i="75"/>
  <c r="T63" i="75"/>
  <c r="AQ59" i="75"/>
  <c r="AE55" i="75"/>
  <c r="C47" i="75"/>
  <c r="AP42" i="75"/>
  <c r="AF62" i="75"/>
  <c r="Q59" i="75"/>
  <c r="I55" i="75"/>
  <c r="F46" i="75"/>
  <c r="AF59" i="75"/>
  <c r="X55" i="75"/>
  <c r="X44" i="75"/>
  <c r="J43" i="75"/>
  <c r="AD52" i="75"/>
  <c r="W40" i="75"/>
  <c r="M37" i="75"/>
  <c r="AN75" i="75"/>
  <c r="D75" i="75"/>
  <c r="O74" i="75"/>
  <c r="Z73" i="75"/>
  <c r="P72" i="75"/>
  <c r="AL70" i="75"/>
  <c r="Y69" i="75"/>
  <c r="D68" i="75"/>
  <c r="Z66" i="75"/>
  <c r="E65" i="75"/>
  <c r="G63" i="75"/>
  <c r="AB60" i="75"/>
  <c r="AC57" i="75"/>
  <c r="AI75" i="75"/>
  <c r="G75" i="75"/>
  <c r="R74" i="75"/>
  <c r="U73" i="75"/>
  <c r="AN71" i="75"/>
  <c r="S70" i="75"/>
  <c r="AO68" i="75"/>
  <c r="AM66" i="75"/>
  <c r="R65" i="75"/>
  <c r="C64" i="75"/>
  <c r="L61" i="75"/>
  <c r="M58" i="75"/>
  <c r="N55" i="75"/>
  <c r="AP75" i="75"/>
  <c r="Z75" i="75"/>
  <c r="J75" i="75"/>
  <c r="AG74" i="75"/>
  <c r="Q74" i="75"/>
  <c r="AN73" i="75"/>
  <c r="X73" i="75"/>
  <c r="H73" i="75"/>
  <c r="AB72" i="75"/>
  <c r="AM71" i="75"/>
  <c r="G71" i="75"/>
  <c r="R70" i="75"/>
  <c r="U69" i="75"/>
  <c r="AF68" i="75"/>
  <c r="AQ67" i="75"/>
  <c r="K67" i="75"/>
  <c r="V66" i="75"/>
  <c r="AG65" i="75"/>
  <c r="AG64" i="75"/>
  <c r="W63" i="75"/>
  <c r="M62" i="75"/>
  <c r="AJ60" i="75"/>
  <c r="O59" i="75"/>
  <c r="AK57" i="75"/>
  <c r="P56" i="75"/>
  <c r="AO54" i="75"/>
  <c r="N51" i="75"/>
  <c r="AB75" i="75"/>
  <c r="AQ74" i="75"/>
  <c r="K74" i="75"/>
  <c r="V73" i="75"/>
  <c r="X72" i="75"/>
  <c r="C71" i="75"/>
  <c r="Q69" i="75"/>
  <c r="W67" i="75"/>
  <c r="M65" i="75"/>
  <c r="AM62" i="75"/>
  <c r="M57" i="75"/>
  <c r="C55" i="75"/>
  <c r="AF48" i="75"/>
  <c r="K75" i="75"/>
  <c r="N74" i="75"/>
  <c r="Q73" i="75"/>
  <c r="P71" i="75"/>
  <c r="Q68" i="75"/>
  <c r="Z65" i="75"/>
  <c r="G60" i="75"/>
  <c r="AO75" i="75"/>
  <c r="I75" i="75"/>
  <c r="L74" i="75"/>
  <c r="Y72" i="75"/>
  <c r="R69" i="75"/>
  <c r="K66" i="75"/>
  <c r="AD62" i="75"/>
  <c r="AQ56" i="75"/>
  <c r="W51" i="75"/>
  <c r="AA72" i="75"/>
  <c r="F71" i="75"/>
  <c r="T69" i="75"/>
  <c r="AP67" i="75"/>
  <c r="Q66" i="75"/>
  <c r="AF64" i="75"/>
  <c r="AG62" i="75"/>
  <c r="C60" i="75"/>
  <c r="AM56" i="75"/>
  <c r="Q50" i="75"/>
  <c r="Y71" i="75"/>
  <c r="W69" i="75"/>
  <c r="Q67" i="75"/>
  <c r="O65" i="75"/>
  <c r="AK62" i="75"/>
  <c r="AL58" i="75"/>
  <c r="AD54" i="75"/>
  <c r="AJ49" i="75"/>
  <c r="X36" i="75"/>
  <c r="AQ61" i="75"/>
  <c r="L58" i="75"/>
  <c r="E53" i="75"/>
  <c r="E42" i="75"/>
  <c r="AE58" i="75"/>
  <c r="I54" i="75"/>
  <c r="R47" i="75"/>
  <c r="E41" i="75"/>
  <c r="T50" i="75"/>
  <c r="Y52" i="75"/>
  <c r="L35" i="75"/>
  <c r="AB35" i="75"/>
  <c r="E36" i="75"/>
  <c r="U36" i="75"/>
  <c r="AK36" i="75"/>
  <c r="N37" i="75"/>
  <c r="AD37" i="75"/>
  <c r="C38" i="75"/>
  <c r="S38" i="75"/>
  <c r="AI38" i="75"/>
  <c r="H39" i="75"/>
  <c r="X39" i="75"/>
  <c r="AN39" i="75"/>
  <c r="Q40" i="75"/>
  <c r="AG40" i="75"/>
  <c r="J41" i="75"/>
  <c r="Z41" i="75"/>
  <c r="AP41" i="75"/>
  <c r="I35" i="75"/>
  <c r="Y35" i="75"/>
  <c r="AO35" i="75"/>
  <c r="R36" i="75"/>
  <c r="AH36" i="75"/>
  <c r="G37" i="75"/>
  <c r="W37" i="75"/>
  <c r="AM37" i="75"/>
  <c r="L38" i="75"/>
  <c r="AB38" i="75"/>
  <c r="E39" i="75"/>
  <c r="U39" i="75"/>
  <c r="AK39" i="75"/>
  <c r="N40" i="75"/>
  <c r="AD40" i="75"/>
  <c r="C41" i="75"/>
  <c r="S41" i="75"/>
  <c r="AI41" i="75"/>
  <c r="F35" i="75"/>
  <c r="V35" i="75"/>
  <c r="AL35" i="75"/>
  <c r="K36" i="75"/>
  <c r="AA36" i="75"/>
  <c r="AQ36" i="75"/>
  <c r="P37" i="75"/>
  <c r="AF37" i="75"/>
  <c r="I38" i="75"/>
  <c r="Y38" i="75"/>
  <c r="AO38" i="75"/>
  <c r="R39" i="75"/>
  <c r="AH39" i="75"/>
  <c r="G40" i="75"/>
  <c r="AQ35" i="75"/>
  <c r="AC37" i="75"/>
  <c r="W39" i="75"/>
  <c r="AB40" i="75"/>
  <c r="Y41" i="75"/>
  <c r="K42" i="75"/>
  <c r="AA42" i="75"/>
  <c r="AQ42" i="75"/>
  <c r="P43" i="75"/>
  <c r="AF43" i="75"/>
  <c r="I44" i="75"/>
  <c r="S13" i="75"/>
  <c r="BN10" i="114" s="1"/>
  <c r="D35" i="75"/>
  <c r="T35" i="75"/>
  <c r="AJ35" i="75"/>
  <c r="M36" i="75"/>
  <c r="AC36" i="75"/>
  <c r="F37" i="75"/>
  <c r="V37" i="75"/>
  <c r="AL37" i="75"/>
  <c r="K38" i="75"/>
  <c r="AA38" i="75"/>
  <c r="AQ38" i="75"/>
  <c r="P39" i="75"/>
  <c r="P35" i="75"/>
  <c r="I36" i="75"/>
  <c r="AO36" i="75"/>
  <c r="AH37" i="75"/>
  <c r="W38" i="75"/>
  <c r="L39" i="75"/>
  <c r="AJ39" i="75"/>
  <c r="U40" i="75"/>
  <c r="AO40" i="75"/>
  <c r="V41" i="75"/>
  <c r="C42" i="75"/>
  <c r="Q35" i="75"/>
  <c r="AK35" i="75"/>
  <c r="V36" i="75"/>
  <c r="AP36" i="75"/>
  <c r="S37" i="75"/>
  <c r="AQ37" i="75"/>
  <c r="T38" i="75"/>
  <c r="AN38" i="75"/>
  <c r="Y39" i="75"/>
  <c r="F40" i="75"/>
  <c r="Z40" i="75"/>
  <c r="G41" i="75"/>
  <c r="AA41" i="75"/>
  <c r="D42" i="75"/>
  <c r="Z35" i="75"/>
  <c r="C36" i="75"/>
  <c r="W36" i="75"/>
  <c r="D37" i="75"/>
  <c r="X37" i="75"/>
  <c r="E38" i="75"/>
  <c r="AC38" i="75"/>
  <c r="J39" i="75"/>
  <c r="AD39" i="75"/>
  <c r="K40" i="75"/>
  <c r="AB36" i="75"/>
  <c r="G39" i="75"/>
  <c r="AJ40" i="75"/>
  <c r="AO41" i="75"/>
  <c r="W42" i="75"/>
  <c r="D43" i="75"/>
  <c r="X43" i="75"/>
  <c r="E44" i="75"/>
  <c r="Y44" i="75"/>
  <c r="AO44" i="75"/>
  <c r="R45" i="75"/>
  <c r="AH45" i="75"/>
  <c r="G46" i="75"/>
  <c r="W46" i="75"/>
  <c r="AM46" i="75"/>
  <c r="L47" i="75"/>
  <c r="AB47" i="75"/>
  <c r="E48" i="75"/>
  <c r="U48" i="75"/>
  <c r="AK48" i="75"/>
  <c r="N49" i="75"/>
  <c r="AD49" i="75"/>
  <c r="C50" i="75"/>
  <c r="S50" i="75"/>
  <c r="AI50" i="75"/>
  <c r="H51" i="75"/>
  <c r="X51" i="75"/>
  <c r="AN51" i="75"/>
  <c r="Q52" i="75"/>
  <c r="AG52" i="75"/>
  <c r="J53" i="75"/>
  <c r="Z53" i="75"/>
  <c r="AP53" i="75"/>
  <c r="O54" i="75"/>
  <c r="AE54" i="75"/>
  <c r="P36" i="75"/>
  <c r="F38" i="75"/>
  <c r="AA39" i="75"/>
  <c r="AE40" i="75"/>
  <c r="T41" i="75"/>
  <c r="L42" i="75"/>
  <c r="AB42" i="75"/>
  <c r="E43" i="75"/>
  <c r="U43" i="75"/>
  <c r="AK43" i="75"/>
  <c r="N44" i="75"/>
  <c r="H35" i="75"/>
  <c r="Q36" i="75"/>
  <c r="R37" i="75"/>
  <c r="O38" i="75"/>
  <c r="T39" i="75"/>
  <c r="I40" i="75"/>
  <c r="AK40" i="75"/>
  <c r="AD41" i="75"/>
  <c r="E35" i="75"/>
  <c r="AG35" i="75"/>
  <c r="Z36" i="75"/>
  <c r="K37" i="75"/>
  <c r="AI37" i="75"/>
  <c r="X38" i="75"/>
  <c r="M39" i="75"/>
  <c r="AO39" i="75"/>
  <c r="X35" i="75"/>
  <c r="Y36" i="75"/>
  <c r="Z37" i="75"/>
  <c r="AE38" i="75"/>
  <c r="AB39" i="75"/>
  <c r="M40" i="75"/>
  <c r="F41" i="75"/>
  <c r="AH41" i="75"/>
  <c r="M35" i="75"/>
  <c r="F36" i="75"/>
  <c r="AD36" i="75"/>
  <c r="O37" i="75"/>
  <c r="D38" i="75"/>
  <c r="AF38" i="75"/>
  <c r="Q39" i="75"/>
  <c r="J40" i="75"/>
  <c r="AL40" i="75"/>
  <c r="W41" i="75"/>
  <c r="J35" i="75"/>
  <c r="AH35" i="75"/>
  <c r="S36" i="75"/>
  <c r="H37" i="75"/>
  <c r="AJ37" i="75"/>
  <c r="U38" i="75"/>
  <c r="N39" i="75"/>
  <c r="AP39" i="75"/>
  <c r="L36" i="75"/>
  <c r="AM39" i="75"/>
  <c r="Q41" i="75"/>
  <c r="S42" i="75"/>
  <c r="H43" i="75"/>
  <c r="AJ43" i="75"/>
  <c r="U44" i="75"/>
  <c r="F45" i="75"/>
  <c r="Z45" i="75"/>
  <c r="C46" i="75"/>
  <c r="AA46" i="75"/>
  <c r="D47" i="75"/>
  <c r="X47" i="75"/>
  <c r="I48" i="75"/>
  <c r="AC48" i="75"/>
  <c r="J49" i="75"/>
  <c r="AH49" i="75"/>
  <c r="K50" i="75"/>
  <c r="AE50" i="75"/>
  <c r="L51" i="75"/>
  <c r="AF51" i="75"/>
  <c r="M52" i="75"/>
  <c r="AK52" i="75"/>
  <c r="R53" i="75"/>
  <c r="AL53" i="75"/>
  <c r="S54" i="75"/>
  <c r="O35" i="75"/>
  <c r="AG37" i="75"/>
  <c r="AQ39" i="75"/>
  <c r="D41" i="75"/>
  <c r="H42" i="75"/>
  <c r="AF42" i="75"/>
  <c r="M43" i="75"/>
  <c r="AG43" i="75"/>
  <c r="R44" i="75"/>
  <c r="AH44" i="75"/>
  <c r="G45" i="75"/>
  <c r="W45" i="75"/>
  <c r="AM45" i="75"/>
  <c r="L46" i="75"/>
  <c r="AB46" i="75"/>
  <c r="E47" i="75"/>
  <c r="U47" i="75"/>
  <c r="AK47" i="75"/>
  <c r="N48" i="75"/>
  <c r="AD48" i="75"/>
  <c r="C49" i="75"/>
  <c r="S49" i="75"/>
  <c r="AI49" i="75"/>
  <c r="H50" i="75"/>
  <c r="X50" i="75"/>
  <c r="AN50" i="75"/>
  <c r="Q51" i="75"/>
  <c r="AG51" i="75"/>
  <c r="J52" i="75"/>
  <c r="Z52" i="75"/>
  <c r="AP52" i="75"/>
  <c r="O53" i="75"/>
  <c r="AE53" i="75"/>
  <c r="D54" i="75"/>
  <c r="T54" i="75"/>
  <c r="AJ54" i="75"/>
  <c r="T36" i="75"/>
  <c r="AK37" i="75"/>
  <c r="O39" i="75"/>
  <c r="X40" i="75"/>
  <c r="M41" i="75"/>
  <c r="I42" i="75"/>
  <c r="Y42" i="75"/>
  <c r="AO42" i="75"/>
  <c r="R43" i="75"/>
  <c r="AH43" i="75"/>
  <c r="G44" i="75"/>
  <c r="W44" i="75"/>
  <c r="AM44" i="75"/>
  <c r="L45" i="75"/>
  <c r="AB45" i="75"/>
  <c r="E46" i="75"/>
  <c r="U46" i="75"/>
  <c r="AK46" i="75"/>
  <c r="N47" i="75"/>
  <c r="AD47" i="75"/>
  <c r="P41" i="75"/>
  <c r="S43" i="75"/>
  <c r="AN44" i="75"/>
  <c r="AH46" i="75"/>
  <c r="C48" i="75"/>
  <c r="AI48" i="75"/>
  <c r="X49" i="75"/>
  <c r="M50" i="75"/>
  <c r="J51" i="75"/>
  <c r="AP51" i="75"/>
  <c r="AE52" i="75"/>
  <c r="T53" i="75"/>
  <c r="Q54" i="75"/>
  <c r="AQ54" i="75"/>
  <c r="P55" i="75"/>
  <c r="AF55" i="75"/>
  <c r="I56" i="75"/>
  <c r="Y56" i="75"/>
  <c r="AO56" i="75"/>
  <c r="R57" i="75"/>
  <c r="AH57" i="75"/>
  <c r="G58" i="75"/>
  <c r="W58" i="75"/>
  <c r="AM58" i="75"/>
  <c r="L59" i="75"/>
  <c r="AB59" i="75"/>
  <c r="E60" i="75"/>
  <c r="U60" i="75"/>
  <c r="AK60" i="75"/>
  <c r="N61" i="75"/>
  <c r="AD61" i="75"/>
  <c r="C62" i="75"/>
  <c r="I37" i="75"/>
  <c r="X41" i="75"/>
  <c r="G43" i="75"/>
  <c r="AB44" i="75"/>
  <c r="V46" i="75"/>
  <c r="AM47" i="75"/>
  <c r="AB48" i="75"/>
  <c r="Y49" i="75"/>
  <c r="N50" i="75"/>
  <c r="C51" i="75"/>
  <c r="AI51" i="75"/>
  <c r="X52" i="75"/>
  <c r="M53" i="75"/>
  <c r="J54" i="75"/>
  <c r="AN54" i="75"/>
  <c r="Q55" i="75"/>
  <c r="AG55" i="75"/>
  <c r="J56" i="75"/>
  <c r="Z56" i="75"/>
  <c r="AP56" i="75"/>
  <c r="O57" i="75"/>
  <c r="AE57" i="75"/>
  <c r="D58" i="75"/>
  <c r="T58" i="75"/>
  <c r="AJ58" i="75"/>
  <c r="M59" i="75"/>
  <c r="AC59" i="75"/>
  <c r="F60" i="75"/>
  <c r="V60" i="75"/>
  <c r="AN35" i="75"/>
  <c r="G38" i="75"/>
  <c r="E40" i="75"/>
  <c r="R41" i="75"/>
  <c r="AC35" i="75"/>
  <c r="C37" i="75"/>
  <c r="P38" i="75"/>
  <c r="AG39" i="75"/>
  <c r="AP40" i="75"/>
  <c r="AM41" i="75"/>
  <c r="AD35" i="75"/>
  <c r="AE36" i="75"/>
  <c r="T37" i="75"/>
  <c r="Q38" i="75"/>
  <c r="V39" i="75"/>
  <c r="K35" i="75"/>
  <c r="AH38" i="75"/>
  <c r="AG41" i="75"/>
  <c r="AI42" i="75"/>
  <c r="AB43" i="75"/>
  <c r="AC44" i="75"/>
  <c r="N45" i="75"/>
  <c r="AP45" i="75"/>
  <c r="AE46" i="75"/>
  <c r="P47" i="75"/>
  <c r="AN47" i="75"/>
  <c r="AG48" i="75"/>
  <c r="V49" i="75"/>
  <c r="G50" i="75"/>
  <c r="AM50" i="75"/>
  <c r="T51" i="75"/>
  <c r="I52" i="75"/>
  <c r="AO52" i="75"/>
  <c r="AD53" i="75"/>
  <c r="K54" i="75"/>
  <c r="AE35" i="75"/>
  <c r="AL38" i="75"/>
  <c r="AM40" i="75"/>
  <c r="P42" i="75"/>
  <c r="AN42" i="75"/>
  <c r="AC43" i="75"/>
  <c r="V44" i="75"/>
  <c r="AP44" i="75"/>
  <c r="S45" i="75"/>
  <c r="AQ45" i="75"/>
  <c r="T46" i="75"/>
  <c r="AN46" i="75"/>
  <c r="Y47" i="75"/>
  <c r="F48" i="75"/>
  <c r="Z48" i="75"/>
  <c r="G49" i="75"/>
  <c r="AA49" i="75"/>
  <c r="D50" i="75"/>
  <c r="AB50" i="75"/>
  <c r="I51" i="75"/>
  <c r="AC51" i="75"/>
  <c r="N52" i="75"/>
  <c r="AH52" i="75"/>
  <c r="K53" i="75"/>
  <c r="AI53" i="75"/>
  <c r="L54" i="75"/>
  <c r="AF54" i="75"/>
  <c r="AJ36" i="75"/>
  <c r="Z38" i="75"/>
  <c r="P40" i="75"/>
  <c r="U41" i="75"/>
  <c r="Q42" i="75"/>
  <c r="AK42" i="75"/>
  <c r="V43" i="75"/>
  <c r="AP43" i="75"/>
  <c r="S44" i="75"/>
  <c r="AQ44" i="75"/>
  <c r="T45" i="75"/>
  <c r="AN45" i="75"/>
  <c r="Y46" i="75"/>
  <c r="F47" i="75"/>
  <c r="Z47" i="75"/>
  <c r="R42" i="75"/>
  <c r="H44" i="75"/>
  <c r="R46" i="75"/>
  <c r="K48" i="75"/>
  <c r="H49" i="75"/>
  <c r="E50" i="75"/>
  <c r="R51" i="75"/>
  <c r="O52" i="75"/>
  <c r="AF35" i="75"/>
  <c r="AM38" i="75"/>
  <c r="AC40" i="75"/>
  <c r="U35" i="75"/>
  <c r="AA37" i="75"/>
  <c r="I39" i="75"/>
  <c r="AH40" i="75"/>
  <c r="AQ41" i="75"/>
  <c r="G36" i="75"/>
  <c r="L37" i="75"/>
  <c r="AG38" i="75"/>
  <c r="AL39" i="75"/>
  <c r="R38" i="75"/>
  <c r="F42" i="75"/>
  <c r="L43" i="75"/>
  <c r="Q44" i="75"/>
  <c r="V45" i="75"/>
  <c r="O46" i="75"/>
  <c r="H47" i="75"/>
  <c r="M48" i="75"/>
  <c r="F49" i="75"/>
  <c r="AP49" i="75"/>
  <c r="AQ50" i="75"/>
  <c r="AJ51" i="75"/>
  <c r="AC52" i="75"/>
  <c r="AH53" i="75"/>
  <c r="AA54" i="75"/>
  <c r="V38" i="75"/>
  <c r="L41" i="75"/>
  <c r="X42" i="75"/>
  <c r="Y43" i="75"/>
  <c r="Z44" i="75"/>
  <c r="K45" i="75"/>
  <c r="AI45" i="75"/>
  <c r="X46" i="75"/>
  <c r="M47" i="75"/>
  <c r="AO47" i="75"/>
  <c r="AH48" i="75"/>
  <c r="O49" i="75"/>
  <c r="AQ49" i="75"/>
  <c r="AF50" i="75"/>
  <c r="U51" i="75"/>
  <c r="F52" i="75"/>
  <c r="AL52" i="75"/>
  <c r="W53" i="75"/>
  <c r="H54" i="75"/>
  <c r="S35" i="75"/>
  <c r="U37" i="75"/>
  <c r="D40" i="75"/>
  <c r="AC41" i="75"/>
  <c r="AC42" i="75"/>
  <c r="N43" i="75"/>
  <c r="C44" i="75"/>
  <c r="AE44" i="75"/>
  <c r="P45" i="75"/>
  <c r="I46" i="75"/>
  <c r="AG46" i="75"/>
  <c r="V47" i="75"/>
  <c r="AH42" i="75"/>
  <c r="M45" i="75"/>
  <c r="AL47" i="75"/>
  <c r="P49" i="75"/>
  <c r="AC50" i="75"/>
  <c r="G52" i="75"/>
  <c r="L53" i="75"/>
  <c r="Y54" i="75"/>
  <c r="H55" i="75"/>
  <c r="AB55" i="75"/>
  <c r="M56" i="75"/>
  <c r="AG56" i="75"/>
  <c r="N57" i="75"/>
  <c r="AL57" i="75"/>
  <c r="O58" i="75"/>
  <c r="AI58" i="75"/>
  <c r="P59" i="75"/>
  <c r="AJ59" i="75"/>
  <c r="Q60" i="75"/>
  <c r="AO60" i="75"/>
  <c r="V61" i="75"/>
  <c r="AP61" i="75"/>
  <c r="N38" i="75"/>
  <c r="V42" i="75"/>
  <c r="L44" i="75"/>
  <c r="AL46" i="75"/>
  <c r="L48" i="75"/>
  <c r="Q49" i="75"/>
  <c r="V50" i="75"/>
  <c r="S51" i="75"/>
  <c r="P52" i="75"/>
  <c r="U53" i="75"/>
  <c r="Z54" i="75"/>
  <c r="M55" i="75"/>
  <c r="AK55" i="75"/>
  <c r="R56" i="75"/>
  <c r="AL56" i="75"/>
  <c r="S57" i="75"/>
  <c r="AM57" i="75"/>
  <c r="P58" i="75"/>
  <c r="AN58" i="75"/>
  <c r="U59" i="75"/>
  <c r="AO59" i="75"/>
  <c r="Z60" i="75"/>
  <c r="AP60" i="75"/>
  <c r="O61" i="75"/>
  <c r="AE61" i="75"/>
  <c r="D62" i="75"/>
  <c r="T62" i="75"/>
  <c r="AJ62" i="75"/>
  <c r="M63" i="75"/>
  <c r="AC63" i="75"/>
  <c r="F64" i="75"/>
  <c r="V64" i="75"/>
  <c r="AL64" i="75"/>
  <c r="Y37" i="75"/>
  <c r="AF41" i="75"/>
  <c r="K43" i="75"/>
  <c r="AF44" i="75"/>
  <c r="J46" i="75"/>
  <c r="AE47" i="75"/>
  <c r="W48" i="75"/>
  <c r="L49" i="75"/>
  <c r="AM35" i="75"/>
  <c r="D44" i="75"/>
  <c r="AN48" i="75"/>
  <c r="AP50" i="75"/>
  <c r="T52" i="75"/>
  <c r="AO53" i="75"/>
  <c r="G55" i="75"/>
  <c r="AM55" i="75"/>
  <c r="AB56" i="75"/>
  <c r="Y57" i="75"/>
  <c r="N58" i="75"/>
  <c r="C59" i="75"/>
  <c r="AI59" i="75"/>
  <c r="X60" i="75"/>
  <c r="M61" i="75"/>
  <c r="J62" i="75"/>
  <c r="AE62" i="75"/>
  <c r="J63" i="75"/>
  <c r="AE63" i="75"/>
  <c r="I64" i="75"/>
  <c r="AE64" i="75"/>
  <c r="G65" i="75"/>
  <c r="W65" i="75"/>
  <c r="AM65" i="75"/>
  <c r="L66" i="75"/>
  <c r="AB66" i="75"/>
  <c r="E67" i="75"/>
  <c r="U67" i="75"/>
  <c r="AK67" i="75"/>
  <c r="N68" i="75"/>
  <c r="AD68" i="75"/>
  <c r="C69" i="75"/>
  <c r="S69" i="75"/>
  <c r="AI69" i="75"/>
  <c r="H70" i="75"/>
  <c r="X70" i="75"/>
  <c r="AN70" i="75"/>
  <c r="Q71" i="75"/>
  <c r="AG71" i="75"/>
  <c r="J72" i="75"/>
  <c r="Z72" i="75"/>
  <c r="AN41" i="75"/>
  <c r="P48" i="75"/>
  <c r="AG50" i="75"/>
  <c r="K52" i="75"/>
  <c r="AF53" i="75"/>
  <c r="J55" i="75"/>
  <c r="AP55" i="75"/>
  <c r="AE56" i="75"/>
  <c r="AG36" i="75"/>
  <c r="D39" i="75"/>
  <c r="N41" i="75"/>
  <c r="J36" i="75"/>
  <c r="AE37" i="75"/>
  <c r="AC39" i="75"/>
  <c r="K41" i="75"/>
  <c r="N35" i="75"/>
  <c r="O36" i="75"/>
  <c r="AB37" i="75"/>
  <c r="AK38" i="75"/>
  <c r="C40" i="75"/>
  <c r="L40" i="75"/>
  <c r="O42" i="75"/>
  <c r="T43" i="75"/>
  <c r="AG44" i="75"/>
  <c r="AD45" i="75"/>
  <c r="S46" i="75"/>
  <c r="T47" i="75"/>
  <c r="Q48" i="75"/>
  <c r="R49" i="75"/>
  <c r="O50" i="75"/>
  <c r="D51" i="75"/>
  <c r="E52" i="75"/>
  <c r="F53" i="75"/>
  <c r="C54" i="75"/>
  <c r="AI54" i="75"/>
  <c r="K39" i="75"/>
  <c r="AB41" i="75"/>
  <c r="AJ42" i="75"/>
  <c r="AO43" i="75"/>
  <c r="AD44" i="75"/>
  <c r="O45" i="75"/>
  <c r="D46" i="75"/>
  <c r="AF46" i="75"/>
  <c r="Q47" i="75"/>
  <c r="J48" i="75"/>
  <c r="AL48" i="75"/>
  <c r="W49" i="75"/>
  <c r="L50" i="75"/>
  <c r="AJ50" i="75"/>
  <c r="Y51" i="75"/>
  <c r="J37" i="75"/>
  <c r="AF39" i="75"/>
  <c r="AL41" i="75"/>
  <c r="N36" i="75"/>
  <c r="H38" i="75"/>
  <c r="R40" i="75"/>
  <c r="O41" i="75"/>
  <c r="R35" i="75"/>
  <c r="AI36" i="75"/>
  <c r="AN37" i="75"/>
  <c r="F39" i="75"/>
  <c r="AA35" i="75"/>
  <c r="T40" i="75"/>
  <c r="AE42" i="75"/>
  <c r="AN43" i="75"/>
  <c r="AK44" i="75"/>
  <c r="AL45" i="75"/>
  <c r="AI46" i="75"/>
  <c r="AF47" i="75"/>
  <c r="Y48" i="75"/>
  <c r="Z49" i="75"/>
  <c r="W50" i="75"/>
  <c r="P51" i="75"/>
  <c r="U52" i="75"/>
  <c r="N53" i="75"/>
  <c r="G54" i="75"/>
  <c r="AF36" i="75"/>
  <c r="O40" i="75"/>
  <c r="AJ41" i="75"/>
  <c r="I43" i="75"/>
  <c r="F44" i="75"/>
  <c r="AL44" i="75"/>
  <c r="AA45" i="75"/>
  <c r="H46" i="75"/>
  <c r="AJ46" i="75"/>
  <c r="AC47" i="75"/>
  <c r="R48" i="75"/>
  <c r="AP48" i="75"/>
  <c r="AE49" i="75"/>
  <c r="P50" i="75"/>
  <c r="E51" i="75"/>
  <c r="AK51" i="75"/>
  <c r="V52" i="75"/>
  <c r="G53" i="75"/>
  <c r="AM53" i="75"/>
  <c r="X54" i="75"/>
  <c r="D36" i="75"/>
  <c r="AP38" i="75"/>
  <c r="AN40" i="75"/>
  <c r="M42" i="75"/>
  <c r="F43" i="75"/>
  <c r="AD43" i="75"/>
  <c r="O44" i="75"/>
  <c r="D45" i="75"/>
  <c r="AF45" i="75"/>
  <c r="Q46" i="75"/>
  <c r="J47" i="75"/>
  <c r="S39" i="75"/>
  <c r="AI43" i="75"/>
  <c r="G47" i="75"/>
  <c r="AA48" i="75"/>
  <c r="AN49" i="75"/>
  <c r="Z51" i="75"/>
  <c r="AM52" i="75"/>
  <c r="AJ53" i="75"/>
  <c r="AM54" i="75"/>
  <c r="T55" i="75"/>
  <c r="AN55" i="75"/>
  <c r="U56" i="75"/>
  <c r="F57" i="75"/>
  <c r="Z57" i="75"/>
  <c r="C58" i="75"/>
  <c r="AA58" i="75"/>
  <c r="D59" i="75"/>
  <c r="X59" i="75"/>
  <c r="I60" i="75"/>
  <c r="AC60" i="75"/>
  <c r="J61" i="75"/>
  <c r="AH61" i="75"/>
  <c r="G35" i="75"/>
  <c r="AI40" i="75"/>
  <c r="W43" i="75"/>
  <c r="AG45" i="75"/>
  <c r="AA47" i="75"/>
  <c r="AJ48" i="75"/>
  <c r="AO49" i="75"/>
  <c r="AL50" i="75"/>
  <c r="AQ51" i="75"/>
  <c r="AN52" i="75"/>
  <c r="AK53" i="75"/>
  <c r="E55" i="75"/>
  <c r="Y55" i="75"/>
  <c r="F56" i="75"/>
  <c r="AD56" i="75"/>
  <c r="G57" i="75"/>
  <c r="AA57" i="75"/>
  <c r="H58" i="75"/>
  <c r="AB58" i="75"/>
  <c r="I59" i="75"/>
  <c r="AG59" i="75"/>
  <c r="N60" i="75"/>
  <c r="AH60" i="75"/>
  <c r="G61" i="75"/>
  <c r="W61" i="75"/>
  <c r="AM61" i="75"/>
  <c r="L62" i="75"/>
  <c r="AB62" i="75"/>
  <c r="E63" i="75"/>
  <c r="U63" i="75"/>
  <c r="AK63" i="75"/>
  <c r="N64" i="75"/>
  <c r="AD64" i="75"/>
  <c r="W35" i="75"/>
  <c r="H40" i="75"/>
  <c r="Z42" i="75"/>
  <c r="AQ43" i="75"/>
  <c r="U45" i="75"/>
  <c r="AP46" i="75"/>
  <c r="G48" i="75"/>
  <c r="AM48" i="75"/>
  <c r="AB49" i="75"/>
  <c r="H41" i="75"/>
  <c r="AP37" i="75"/>
  <c r="AJ38" i="75"/>
  <c r="AM36" i="75"/>
  <c r="I41" i="75"/>
  <c r="K46" i="75"/>
  <c r="AL49" i="75"/>
  <c r="V53" i="75"/>
  <c r="T42" i="75"/>
  <c r="AE45" i="75"/>
  <c r="V48" i="75"/>
  <c r="M51" i="75"/>
  <c r="C53" i="75"/>
  <c r="P54" i="75"/>
  <c r="J38" i="75"/>
  <c r="AK41" i="75"/>
  <c r="Z43" i="75"/>
  <c r="AI44" i="75"/>
  <c r="M46" i="75"/>
  <c r="AH47" i="75"/>
  <c r="AC45" i="75"/>
  <c r="AF49" i="75"/>
  <c r="W52" i="75"/>
  <c r="AG54" i="75"/>
  <c r="AJ55" i="75"/>
  <c r="AK56" i="75"/>
  <c r="AP57" i="75"/>
  <c r="AQ58" i="75"/>
  <c r="AN59" i="75"/>
  <c r="F61" i="75"/>
  <c r="G62" i="75"/>
  <c r="AL42" i="75"/>
  <c r="K47" i="75"/>
  <c r="AG49" i="75"/>
  <c r="AA51" i="75"/>
  <c r="AC53" i="75"/>
  <c r="U55" i="75"/>
  <c r="V56" i="75"/>
  <c r="W57" i="75"/>
  <c r="X58" i="75"/>
  <c r="Y59" i="75"/>
  <c r="AD60" i="75"/>
  <c r="S61" i="75"/>
  <c r="H62" i="75"/>
  <c r="AN62" i="75"/>
  <c r="AG63" i="75"/>
  <c r="Z64" i="75"/>
  <c r="AD38" i="75"/>
  <c r="AA43" i="75"/>
  <c r="Z46" i="75"/>
  <c r="AE48" i="75"/>
  <c r="AO37" i="75"/>
  <c r="H48" i="75"/>
  <c r="O51" i="75"/>
  <c r="I53" i="75"/>
  <c r="AP54" i="75"/>
  <c r="D56" i="75"/>
  <c r="I57" i="75"/>
  <c r="F58" i="75"/>
  <c r="K59" i="75"/>
  <c r="H60" i="75"/>
  <c r="E61" i="75"/>
  <c r="O62" i="75"/>
  <c r="AP62" i="75"/>
  <c r="Z63" i="75"/>
  <c r="O64" i="75"/>
  <c r="AO64" i="75"/>
  <c r="S65" i="75"/>
  <c r="AQ65" i="75"/>
  <c r="T66" i="75"/>
  <c r="AN66" i="75"/>
  <c r="Y67" i="75"/>
  <c r="F68" i="75"/>
  <c r="Z68" i="75"/>
  <c r="G69" i="75"/>
  <c r="AA69" i="75"/>
  <c r="D70" i="75"/>
  <c r="AB70" i="75"/>
  <c r="I71" i="75"/>
  <c r="AC71" i="75"/>
  <c r="N72" i="75"/>
  <c r="AH72" i="75"/>
  <c r="S47" i="75"/>
  <c r="F51" i="75"/>
  <c r="AQ52" i="75"/>
  <c r="AK54" i="75"/>
  <c r="G56" i="75"/>
  <c r="D57" i="75"/>
  <c r="AJ57" i="75"/>
  <c r="AG58" i="75"/>
  <c r="V59" i="75"/>
  <c r="K60" i="75"/>
  <c r="AQ60" i="75"/>
  <c r="AF61" i="75"/>
  <c r="Q62" i="75"/>
  <c r="AL62" i="75"/>
  <c r="P63" i="75"/>
  <c r="AL63" i="75"/>
  <c r="P64" i="75"/>
  <c r="AK64" i="75"/>
  <c r="L65" i="75"/>
  <c r="AB65" i="75"/>
  <c r="E66" i="75"/>
  <c r="U66" i="75"/>
  <c r="AK66" i="75"/>
  <c r="N67" i="75"/>
  <c r="AD67" i="75"/>
  <c r="C68" i="75"/>
  <c r="S68" i="75"/>
  <c r="AI68" i="75"/>
  <c r="H69" i="75"/>
  <c r="X69" i="75"/>
  <c r="AN69" i="75"/>
  <c r="Q70" i="75"/>
  <c r="AG70" i="75"/>
  <c r="J71" i="75"/>
  <c r="Z71" i="75"/>
  <c r="AP71" i="75"/>
  <c r="O72" i="75"/>
  <c r="AE72" i="75"/>
  <c r="AN36" i="75"/>
  <c r="N46" i="75"/>
  <c r="R50" i="75"/>
  <c r="AM51" i="75"/>
  <c r="U49" i="75"/>
  <c r="F54" i="75"/>
  <c r="AL55" i="75"/>
  <c r="P57" i="75"/>
  <c r="AK58" i="75"/>
  <c r="O60" i="75"/>
  <c r="AJ61" i="75"/>
  <c r="AO62" i="75"/>
  <c r="AN63" i="75"/>
  <c r="AN64" i="75"/>
  <c r="AD65" i="75"/>
  <c r="S66" i="75"/>
  <c r="H67" i="75"/>
  <c r="AN67" i="75"/>
  <c r="AC68" i="75"/>
  <c r="Z69" i="75"/>
  <c r="O70" i="75"/>
  <c r="D71" i="75"/>
  <c r="AJ71" i="75"/>
  <c r="AG72" i="75"/>
  <c r="K73" i="75"/>
  <c r="AA73" i="75"/>
  <c r="AQ73" i="75"/>
  <c r="P74" i="75"/>
  <c r="Y40" i="75"/>
  <c r="V40" i="75"/>
  <c r="M38" i="75"/>
  <c r="AM42" i="75"/>
  <c r="AQ46" i="75"/>
  <c r="AA50" i="75"/>
  <c r="W54" i="75"/>
  <c r="Q43" i="75"/>
  <c r="P46" i="75"/>
  <c r="K49" i="75"/>
  <c r="AO51" i="75"/>
  <c r="S53" i="75"/>
  <c r="AB54" i="75"/>
  <c r="AE39" i="75"/>
  <c r="U42" i="75"/>
  <c r="AL43" i="75"/>
  <c r="H45" i="75"/>
  <c r="AC46" i="75"/>
  <c r="AA40" i="75"/>
  <c r="W47" i="75"/>
  <c r="U50" i="75"/>
  <c r="D53" i="75"/>
  <c r="D55" i="75"/>
  <c r="E56" i="75"/>
  <c r="J57" i="75"/>
  <c r="K58" i="75"/>
  <c r="H59" i="75"/>
  <c r="M60" i="75"/>
  <c r="R61" i="75"/>
  <c r="H36" i="75"/>
  <c r="AM43" i="75"/>
  <c r="D48" i="75"/>
  <c r="F50" i="75"/>
  <c r="H52" i="75"/>
  <c r="R54" i="75"/>
  <c r="AC55" i="75"/>
  <c r="AH56" i="75"/>
  <c r="AI57" i="75"/>
  <c r="AF58" i="75"/>
  <c r="AK59" i="75"/>
  <c r="AL60" i="75"/>
  <c r="AA61" i="75"/>
  <c r="P62" i="75"/>
  <c r="I63" i="75"/>
  <c r="AO63" i="75"/>
  <c r="AH64" i="75"/>
  <c r="AQ40" i="75"/>
  <c r="P44" i="75"/>
  <c r="O47" i="75"/>
  <c r="D49" i="75"/>
  <c r="AD42" i="75"/>
  <c r="AC49" i="75"/>
  <c r="AE51" i="75"/>
  <c r="Y53" i="75"/>
  <c r="O55" i="75"/>
  <c r="L56" i="75"/>
  <c r="Q57" i="75"/>
  <c r="V58" i="75"/>
  <c r="S59" i="75"/>
  <c r="P60" i="75"/>
  <c r="U61" i="75"/>
  <c r="U62" i="75"/>
  <c r="D63" i="75"/>
  <c r="AJ63" i="75"/>
  <c r="T64" i="75"/>
  <c r="C65" i="75"/>
  <c r="AA65" i="75"/>
  <c r="D66" i="75"/>
  <c r="X66" i="75"/>
  <c r="I67" i="75"/>
  <c r="AC67" i="75"/>
  <c r="J68" i="75"/>
  <c r="AH68" i="75"/>
  <c r="K69" i="75"/>
  <c r="AE69" i="75"/>
  <c r="L70" i="75"/>
  <c r="AF70" i="75"/>
  <c r="M71" i="75"/>
  <c r="AK71" i="75"/>
  <c r="R72" i="75"/>
  <c r="AL72" i="75"/>
  <c r="E49" i="75"/>
  <c r="V51" i="75"/>
  <c r="P53" i="75"/>
  <c r="R55" i="75"/>
  <c r="O56" i="75"/>
  <c r="L57" i="75"/>
  <c r="I58" i="75"/>
  <c r="AO58" i="75"/>
  <c r="AD59" i="75"/>
  <c r="S60" i="75"/>
  <c r="H61" i="75"/>
  <c r="AN61" i="75"/>
  <c r="V62" i="75"/>
  <c r="AQ62" i="75"/>
  <c r="V63" i="75"/>
  <c r="AQ63" i="75"/>
  <c r="U64" i="75"/>
  <c r="AQ64" i="75"/>
  <c r="P65" i="75"/>
  <c r="AF65" i="75"/>
  <c r="I66" i="75"/>
  <c r="Y66" i="75"/>
  <c r="AO66" i="75"/>
  <c r="R67" i="75"/>
  <c r="AH67" i="75"/>
  <c r="G68" i="75"/>
  <c r="W68" i="75"/>
  <c r="AM68" i="75"/>
  <c r="L69" i="75"/>
  <c r="AB69" i="75"/>
  <c r="E70" i="75"/>
  <c r="U70" i="75"/>
  <c r="AK70" i="75"/>
  <c r="N71" i="75"/>
  <c r="AD71" i="75"/>
  <c r="C72" i="75"/>
  <c r="S72" i="75"/>
  <c r="AI72" i="75"/>
  <c r="C39" i="75"/>
  <c r="AI47" i="75"/>
  <c r="AH50" i="75"/>
  <c r="L52" i="75"/>
  <c r="AO50" i="75"/>
  <c r="AL54" i="75"/>
  <c r="K56" i="75"/>
  <c r="AF57" i="75"/>
  <c r="J59" i="75"/>
  <c r="AE60" i="75"/>
  <c r="I62" i="75"/>
  <c r="H63" i="75"/>
  <c r="H64" i="75"/>
  <c r="F65" i="75"/>
  <c r="AL65" i="75"/>
  <c r="AA66" i="75"/>
  <c r="P67" i="75"/>
  <c r="E68" i="75"/>
  <c r="AK68" i="75"/>
  <c r="AH69" i="75"/>
  <c r="W70" i="75"/>
  <c r="L71" i="75"/>
  <c r="I72" i="75"/>
  <c r="AO72" i="75"/>
  <c r="O73" i="75"/>
  <c r="AE73" i="75"/>
  <c r="D74" i="75"/>
  <c r="T74" i="75"/>
  <c r="AJ74" i="75"/>
  <c r="M75" i="75"/>
  <c r="AC75" i="75"/>
  <c r="I50" i="75"/>
  <c r="H57" i="75"/>
  <c r="AM60" i="75"/>
  <c r="N63" i="75"/>
  <c r="AP65" i="75"/>
  <c r="T67" i="75"/>
  <c r="AG68" i="75"/>
  <c r="C70" i="75"/>
  <c r="AF71" i="75"/>
  <c r="G42" i="75"/>
  <c r="AE41" i="75"/>
  <c r="Z39" i="75"/>
  <c r="M44" i="75"/>
  <c r="AJ47" i="75"/>
  <c r="AB51" i="75"/>
  <c r="Q37" i="75"/>
  <c r="J44" i="75"/>
  <c r="I47" i="75"/>
  <c r="AM49" i="75"/>
  <c r="R52" i="75"/>
  <c r="AA53" i="75"/>
  <c r="AI35" i="75"/>
  <c r="AF40" i="75"/>
  <c r="AG42" i="75"/>
  <c r="K44" i="75"/>
  <c r="X45" i="75"/>
  <c r="AO46" i="75"/>
  <c r="C43" i="75"/>
  <c r="S48" i="75"/>
  <c r="AK50" i="75"/>
  <c r="AB53" i="75"/>
  <c r="L55" i="75"/>
  <c r="Q56" i="75"/>
  <c r="V57" i="75"/>
  <c r="S58" i="75"/>
  <c r="T59" i="75"/>
  <c r="Y60" i="75"/>
  <c r="Z61" i="75"/>
  <c r="AI39" i="75"/>
  <c r="Q45" i="75"/>
  <c r="T48" i="75"/>
  <c r="AD50" i="75"/>
  <c r="AF52" i="75"/>
  <c r="AH54" i="75"/>
  <c r="AO55" i="75"/>
  <c r="C57" i="75"/>
  <c r="AQ57" i="75"/>
  <c r="E59" i="75"/>
  <c r="J60" i="75"/>
  <c r="C61" i="75"/>
  <c r="AI61" i="75"/>
  <c r="X62" i="75"/>
  <c r="Q63" i="75"/>
  <c r="J64" i="75"/>
  <c r="AP64" i="75"/>
  <c r="J42" i="75"/>
  <c r="E45" i="75"/>
  <c r="AP47" i="75"/>
  <c r="T49" i="75"/>
  <c r="Y45" i="75"/>
  <c r="J50" i="75"/>
  <c r="D52" i="75"/>
  <c r="N54" i="75"/>
  <c r="W55" i="75"/>
  <c r="T56" i="75"/>
  <c r="AG57" i="75"/>
  <c r="AD58" i="75"/>
  <c r="AA59" i="75"/>
  <c r="AF60" i="75"/>
  <c r="AC61" i="75"/>
  <c r="Z62" i="75"/>
  <c r="O63" i="75"/>
  <c r="AP63" i="75"/>
  <c r="Y64" i="75"/>
  <c r="K65" i="75"/>
  <c r="AE65" i="75"/>
  <c r="H66" i="75"/>
  <c r="AF66" i="75"/>
  <c r="M67" i="75"/>
  <c r="AG67" i="75"/>
  <c r="R68" i="75"/>
  <c r="AL68" i="75"/>
  <c r="O69" i="75"/>
  <c r="AM69" i="75"/>
  <c r="P70" i="75"/>
  <c r="AJ70" i="75"/>
  <c r="U71" i="75"/>
  <c r="AO71" i="75"/>
  <c r="V72" i="75"/>
  <c r="T44" i="75"/>
  <c r="AK49" i="75"/>
  <c r="AL51" i="75"/>
  <c r="E54" i="75"/>
  <c r="Z55" i="75"/>
  <c r="W56" i="75"/>
  <c r="T57" i="75"/>
  <c r="Q58" i="75"/>
  <c r="F59" i="75"/>
  <c r="AL59" i="75"/>
  <c r="AA60" i="75"/>
  <c r="P61" i="75"/>
  <c r="E62" i="75"/>
  <c r="AA62" i="75"/>
  <c r="F63" i="75"/>
  <c r="AA63" i="75"/>
  <c r="E64" i="75"/>
  <c r="AA64" i="75"/>
  <c r="D65" i="75"/>
  <c r="T65" i="75"/>
  <c r="AJ65" i="75"/>
  <c r="M66" i="75"/>
  <c r="AC66" i="75"/>
  <c r="F67" i="75"/>
  <c r="V67" i="75"/>
  <c r="AL67" i="75"/>
  <c r="K68" i="75"/>
  <c r="AA68" i="75"/>
  <c r="AQ68" i="75"/>
  <c r="P69" i="75"/>
  <c r="AF69" i="75"/>
  <c r="I70" i="75"/>
  <c r="Y70" i="75"/>
  <c r="AO70" i="75"/>
  <c r="R71" i="75"/>
  <c r="AH71" i="75"/>
  <c r="G72" i="75"/>
  <c r="W72" i="75"/>
  <c r="AM72" i="75"/>
  <c r="O43" i="75"/>
  <c r="X48" i="75"/>
  <c r="G51" i="75"/>
  <c r="AB52" i="75"/>
  <c r="S52" i="75"/>
  <c r="F55" i="75"/>
  <c r="AA56" i="75"/>
  <c r="E58" i="75"/>
  <c r="Z59" i="75"/>
  <c r="D61" i="75"/>
  <c r="S62" i="75"/>
  <c r="S63" i="75"/>
  <c r="S64" i="75"/>
  <c r="N65" i="75"/>
  <c r="C66" i="75"/>
  <c r="AI66" i="75"/>
  <c r="X67" i="75"/>
  <c r="M68" i="75"/>
  <c r="J69" i="75"/>
  <c r="AP69" i="75"/>
  <c r="AE70" i="75"/>
  <c r="T71" i="75"/>
  <c r="Q72" i="75"/>
  <c r="C73" i="75"/>
  <c r="S73" i="75"/>
  <c r="AI73" i="75"/>
  <c r="H74" i="75"/>
  <c r="X74" i="75"/>
  <c r="AN74" i="75"/>
  <c r="Q75" i="75"/>
  <c r="AG75" i="75"/>
  <c r="V54" i="75"/>
  <c r="AN57" i="75"/>
  <c r="AB61" i="75"/>
  <c r="AI63" i="75"/>
  <c r="O66" i="75"/>
  <c r="AJ67" i="75"/>
  <c r="F69" i="75"/>
  <c r="AA70" i="75"/>
  <c r="E72" i="75"/>
  <c r="I73" i="75"/>
  <c r="AO73" i="75"/>
  <c r="AD74" i="75"/>
  <c r="S75" i="75"/>
  <c r="AE43" i="75"/>
  <c r="AN53" i="75"/>
  <c r="AI55" i="75"/>
  <c r="AH58" i="75"/>
  <c r="AC62" i="75"/>
  <c r="Q64" i="75"/>
  <c r="R66" i="75"/>
  <c r="AF75" i="75"/>
  <c r="AM74" i="75"/>
  <c r="G74" i="75"/>
  <c r="R73" i="75"/>
  <c r="AQ71" i="75"/>
  <c r="V70" i="75"/>
  <c r="I69" i="75"/>
  <c r="AE67" i="75"/>
  <c r="J66" i="75"/>
  <c r="AB64" i="75"/>
  <c r="R62" i="75"/>
  <c r="AM59" i="75"/>
  <c r="AN56" i="75"/>
  <c r="AA75" i="75"/>
  <c r="AP74" i="75"/>
  <c r="J74" i="75"/>
  <c r="M73" i="75"/>
  <c r="X71" i="75"/>
  <c r="K70" i="75"/>
  <c r="Y68" i="75"/>
  <c r="W66" i="75"/>
  <c r="J65" i="75"/>
  <c r="X63" i="75"/>
  <c r="W60" i="75"/>
  <c r="X57" i="75"/>
  <c r="AG53" i="75"/>
  <c r="AL75" i="75"/>
  <c r="V75" i="75"/>
  <c r="F75" i="75"/>
  <c r="AC74" i="75"/>
  <c r="M74" i="75"/>
  <c r="AJ73" i="75"/>
  <c r="T73" i="75"/>
  <c r="D73" i="75"/>
  <c r="T72" i="75"/>
  <c r="AE71" i="75"/>
  <c r="AP70" i="75"/>
  <c r="J70" i="75"/>
  <c r="M69" i="75"/>
  <c r="X68" i="75"/>
  <c r="AI67" i="75"/>
  <c r="C67" i="75"/>
  <c r="N66" i="75"/>
  <c r="Y65" i="75"/>
  <c r="W64" i="75"/>
  <c r="L63" i="75"/>
  <c r="AO61" i="75"/>
  <c r="T60" i="75"/>
  <c r="AP58" i="75"/>
  <c r="U57" i="75"/>
  <c r="AQ55" i="75"/>
  <c r="M54" i="75"/>
  <c r="AD46" i="75"/>
  <c r="T75" i="75"/>
  <c r="AI74" i="75"/>
  <c r="C74" i="75"/>
  <c r="N73" i="75"/>
  <c r="H72" i="75"/>
  <c r="AD70" i="75"/>
  <c r="AB68" i="75"/>
  <c r="G67" i="75"/>
  <c r="AM64" i="75"/>
  <c r="AG61" i="75"/>
  <c r="X56" i="75"/>
  <c r="AC54" i="75"/>
  <c r="S40" i="75"/>
  <c r="C75" i="75"/>
  <c r="F74" i="75"/>
  <c r="E73" i="75"/>
  <c r="AQ70" i="75"/>
  <c r="I68" i="75"/>
  <c r="X64" i="75"/>
  <c r="R59" i="75"/>
  <c r="AK75" i="75"/>
  <c r="E75" i="75"/>
  <c r="AM73" i="75"/>
  <c r="AB71" i="75"/>
  <c r="U68" i="75"/>
  <c r="V65" i="75"/>
  <c r="T61" i="75"/>
  <c r="V55" i="75"/>
  <c r="M49" i="75"/>
  <c r="K72" i="75"/>
  <c r="AC70" i="75"/>
  <c r="D69" i="75"/>
  <c r="Z67" i="75"/>
  <c r="AN65" i="75"/>
  <c r="K64" i="75"/>
  <c r="K62" i="75"/>
  <c r="N59" i="75"/>
  <c r="AH55" i="75"/>
  <c r="AO45" i="75"/>
  <c r="E71" i="75"/>
  <c r="AP68" i="75"/>
  <c r="AJ66" i="75"/>
  <c r="AJ64" i="75"/>
  <c r="AK61" i="75"/>
  <c r="AO57" i="75"/>
  <c r="AJ52" i="75"/>
  <c r="O48" i="75"/>
  <c r="R64" i="75"/>
  <c r="K61" i="75"/>
  <c r="K57" i="75"/>
  <c r="K51" i="75"/>
  <c r="AL61" i="75"/>
  <c r="AD57" i="75"/>
  <c r="AH51" i="75"/>
  <c r="AJ45" i="75"/>
  <c r="E37" i="75"/>
  <c r="AG47" i="75"/>
  <c r="AO48" i="75"/>
  <c r="AL36" i="75"/>
  <c r="D16" i="85"/>
  <c r="BO4" i="114" s="1"/>
  <c r="H16" i="4"/>
  <c r="H20" i="4"/>
  <c r="D17" i="85"/>
  <c r="A6" i="85" s="1"/>
  <c r="C77" i="75"/>
  <c r="N78" i="75"/>
  <c r="AS38" i="75"/>
  <c r="AN78" i="75"/>
  <c r="AB78" i="75"/>
  <c r="AS64" i="75"/>
  <c r="AJ78" i="75"/>
  <c r="AS73" i="75"/>
  <c r="AS39" i="75"/>
  <c r="AS61" i="75"/>
  <c r="AS74" i="75"/>
  <c r="Q78" i="75"/>
  <c r="AS56" i="75"/>
  <c r="H78" i="75"/>
  <c r="AS60" i="75"/>
  <c r="AS49" i="75"/>
  <c r="AS35" i="75"/>
  <c r="AS69" i="75"/>
  <c r="AS55" i="75"/>
  <c r="AI78" i="75"/>
  <c r="AS43" i="75"/>
  <c r="T78" i="75"/>
  <c r="AS48" i="75"/>
  <c r="D78" i="75"/>
  <c r="AS68" i="75"/>
  <c r="AS54" i="75"/>
  <c r="AS75" i="75"/>
  <c r="AS62" i="75"/>
  <c r="AS44" i="75"/>
  <c r="Z78" i="75"/>
  <c r="K78" i="75"/>
  <c r="F78" i="75"/>
  <c r="AS37" i="75"/>
  <c r="AS58" i="75"/>
  <c r="M78" i="75"/>
  <c r="AD78" i="75"/>
  <c r="I78" i="75"/>
  <c r="E78" i="75"/>
  <c r="AO78" i="75"/>
  <c r="P78" i="75"/>
  <c r="C78" i="75"/>
  <c r="Y78" i="75"/>
  <c r="U78" i="75"/>
  <c r="AL78" i="75"/>
  <c r="AF78" i="75"/>
  <c r="AG78" i="75"/>
  <c r="L78" i="75"/>
  <c r="X78" i="75"/>
  <c r="AS63" i="75"/>
  <c r="AS65" i="75"/>
  <c r="AS66" i="75"/>
  <c r="G78" i="75"/>
  <c r="AM78" i="75"/>
  <c r="AS71" i="75"/>
  <c r="AS59" i="75"/>
  <c r="V78" i="75"/>
  <c r="AS40" i="75"/>
  <c r="AS70" i="75"/>
  <c r="AS57" i="75"/>
  <c r="AS47" i="75"/>
  <c r="AA78" i="75"/>
  <c r="AS52" i="75"/>
  <c r="AP78" i="75"/>
  <c r="O78" i="75"/>
  <c r="AS50" i="75"/>
  <c r="R78" i="75"/>
  <c r="AS67" i="75"/>
  <c r="AC78" i="75"/>
  <c r="AS53" i="75"/>
  <c r="AS45" i="75"/>
  <c r="AH78" i="75"/>
  <c r="AS51" i="75"/>
  <c r="J78" i="75"/>
  <c r="AS36" i="75"/>
  <c r="AS41" i="75"/>
  <c r="AK78" i="75"/>
  <c r="AQ78" i="75"/>
  <c r="AS42" i="75"/>
  <c r="W78" i="75"/>
  <c r="AS46" i="75"/>
  <c r="AE78" i="75"/>
  <c r="S78" i="75"/>
  <c r="AS72" i="75"/>
  <c r="C80" i="75"/>
  <c r="L3" i="75"/>
  <c r="M3" i="75"/>
  <c r="C81" i="75"/>
  <c r="L2" i="75"/>
  <c r="M2" i="75"/>
  <c r="A6" i="75" s="1"/>
  <c r="F15" i="88" l="1"/>
  <c r="BQ12" i="114" s="1"/>
  <c r="A6" i="70"/>
  <c r="BF372" i="114"/>
  <c r="BF592" i="114"/>
  <c r="BF328" i="114"/>
  <c r="BF459" i="114"/>
  <c r="BF219" i="114"/>
  <c r="BF512" i="114"/>
  <c r="BF519" i="114"/>
  <c r="BF172" i="114"/>
  <c r="BF366" i="114"/>
  <c r="BF166" i="114"/>
  <c r="BF39" i="114"/>
  <c r="BF405" i="114"/>
  <c r="BF153" i="114"/>
  <c r="BF608" i="114"/>
  <c r="BF228" i="114"/>
  <c r="BF572" i="114"/>
  <c r="BF312" i="114"/>
  <c r="BF159" i="114"/>
  <c r="BF432" i="114"/>
  <c r="BF359" i="114"/>
  <c r="BF112" i="114"/>
  <c r="BF139" i="114"/>
  <c r="BF199" i="114"/>
  <c r="BF595" i="114"/>
  <c r="BF499" i="114"/>
  <c r="BF299" i="114"/>
  <c r="BF99" i="114"/>
  <c r="BF558" i="114"/>
  <c r="BF462" i="114"/>
  <c r="BF346" i="114"/>
  <c r="BF262" i="114"/>
  <c r="BF146" i="114"/>
  <c r="BF62" i="114"/>
  <c r="BF605" i="114"/>
  <c r="BF453" i="114"/>
  <c r="BF353" i="114"/>
  <c r="BF233" i="114"/>
  <c r="BF133" i="114"/>
  <c r="BF33" i="114"/>
  <c r="BF360" i="114"/>
  <c r="BF387" i="114"/>
  <c r="BF220" i="114"/>
  <c r="BF374" i="114"/>
  <c r="BF47" i="114"/>
  <c r="BF273" i="114"/>
  <c r="BF195" i="114"/>
  <c r="BF379" i="114"/>
  <c r="BF272" i="114"/>
  <c r="BF599" i="114"/>
  <c r="BF319" i="114"/>
  <c r="BF566" i="114"/>
  <c r="BF466" i="114"/>
  <c r="BF266" i="114"/>
  <c r="BF66" i="114"/>
  <c r="BF505" i="114"/>
  <c r="BF253" i="114"/>
  <c r="BF53" i="114"/>
  <c r="A6" i="38"/>
  <c r="BF212" i="114"/>
  <c r="BF492" i="114"/>
  <c r="BF292" i="114"/>
  <c r="BF20" i="114"/>
  <c r="BF399" i="114"/>
  <c r="BF332" i="114"/>
  <c r="BF72" i="114"/>
  <c r="BF92" i="114"/>
  <c r="BF179" i="114"/>
  <c r="BF579" i="114"/>
  <c r="BF479" i="114"/>
  <c r="BF279" i="114"/>
  <c r="BF59" i="114"/>
  <c r="BF538" i="114"/>
  <c r="BF438" i="114"/>
  <c r="BF338" i="114"/>
  <c r="BF246" i="114"/>
  <c r="BF126" i="114"/>
  <c r="BF46" i="114"/>
  <c r="BF545" i="114"/>
  <c r="BF445" i="114"/>
  <c r="BF325" i="114"/>
  <c r="BF225" i="114"/>
  <c r="BF129" i="114"/>
  <c r="BF559" i="114"/>
  <c r="BF180" i="114"/>
  <c r="BF187" i="114"/>
  <c r="BF254" i="114"/>
  <c r="BF553" i="114"/>
  <c r="BF141" i="114"/>
  <c r="D20" i="20"/>
  <c r="A6" i="20"/>
  <c r="A6" i="65"/>
  <c r="AX13" i="114"/>
  <c r="A6" i="57"/>
  <c r="AT16" i="114"/>
  <c r="D21" i="7"/>
  <c r="F15" i="7"/>
  <c r="A6" i="90"/>
  <c r="A6" i="53"/>
  <c r="A6" i="50"/>
  <c r="AM11" i="114"/>
  <c r="A6" i="49"/>
  <c r="A6" i="43"/>
  <c r="AE11" i="114"/>
  <c r="A6" i="42"/>
  <c r="A6" i="23"/>
  <c r="AA12" i="114"/>
  <c r="A6" i="41"/>
  <c r="F16" i="9"/>
  <c r="F16" i="8"/>
  <c r="A6" i="6"/>
  <c r="A6" i="31"/>
  <c r="G12" i="114"/>
  <c r="F16" i="88"/>
  <c r="A6" i="88" s="1"/>
  <c r="BP8" i="114"/>
  <c r="J43" i="3"/>
  <c r="J41" i="3"/>
  <c r="O41" i="3" s="1"/>
  <c r="J40" i="3"/>
  <c r="J44" i="3"/>
  <c r="J42" i="3"/>
  <c r="O42" i="3" s="1"/>
  <c r="BK10" i="114"/>
  <c r="D20" i="19"/>
  <c r="A6" i="19" s="1"/>
  <c r="BF340" i="114"/>
  <c r="BF507" i="114"/>
  <c r="BF260" i="114"/>
  <c r="BF520" i="114"/>
  <c r="BF320" i="114"/>
  <c r="BF107" i="114"/>
  <c r="BF367" i="114"/>
  <c r="BF160" i="114"/>
  <c r="BF567" i="114"/>
  <c r="BF339" i="114"/>
  <c r="BF8" i="114"/>
  <c r="BF167" i="114"/>
  <c r="BF546" i="114"/>
  <c r="BF446" i="114"/>
  <c r="BF354" i="114"/>
  <c r="BF234" i="114"/>
  <c r="BF154" i="114"/>
  <c r="BF34" i="114"/>
  <c r="BF27" i="114"/>
  <c r="BF533" i="114"/>
  <c r="BF433" i="114"/>
  <c r="BF333" i="114"/>
  <c r="BF241" i="114"/>
  <c r="BF121" i="114"/>
  <c r="BF41" i="114"/>
  <c r="BF267" i="114"/>
  <c r="BF460" i="114"/>
  <c r="BF600" i="114"/>
  <c r="BF500" i="114"/>
  <c r="BF300" i="114"/>
  <c r="BF100" i="114"/>
  <c r="BF207" i="114"/>
  <c r="BF127" i="114"/>
  <c r="BF487" i="114"/>
  <c r="BF307" i="114"/>
  <c r="BF347" i="114"/>
  <c r="BF140" i="114"/>
  <c r="BF526" i="114"/>
  <c r="BF426" i="114"/>
  <c r="BF326" i="114"/>
  <c r="BF226" i="114"/>
  <c r="BF134" i="114"/>
  <c r="BF14" i="114"/>
  <c r="BF7" i="114"/>
  <c r="BF513" i="114"/>
  <c r="BF413" i="114"/>
  <c r="BF313" i="114"/>
  <c r="BF213" i="114"/>
  <c r="BF113" i="114"/>
  <c r="BF21" i="114"/>
  <c r="BF540" i="114"/>
  <c r="BF80" i="114"/>
  <c r="BF380" i="114"/>
  <c r="BF580" i="114"/>
  <c r="BF480" i="114"/>
  <c r="BF280" i="114"/>
  <c r="BF440" i="114"/>
  <c r="BF200" i="114"/>
  <c r="BF87" i="114"/>
  <c r="BF407" i="114"/>
  <c r="BF287" i="114"/>
  <c r="BF247" i="114"/>
  <c r="BF60" i="114"/>
  <c r="BF474" i="114"/>
  <c r="BF406" i="114"/>
  <c r="BF274" i="114"/>
  <c r="BF206" i="114"/>
  <c r="BF74" i="114"/>
  <c r="BF67" i="114"/>
  <c r="BF593" i="114"/>
  <c r="BF493" i="114"/>
  <c r="BF393" i="114"/>
  <c r="BF293" i="114"/>
  <c r="BF193" i="114"/>
  <c r="A6" i="66"/>
  <c r="G13" i="112"/>
  <c r="A6" i="112" s="1"/>
  <c r="A6" i="92"/>
  <c r="A6" i="7"/>
  <c r="D23" i="54"/>
  <c r="A6" i="54" s="1"/>
  <c r="A6" i="52"/>
  <c r="A6" i="51"/>
  <c r="AN11" i="114"/>
  <c r="A6" i="48"/>
  <c r="AJ11" i="114"/>
  <c r="A6" i="98"/>
  <c r="A6" i="45"/>
  <c r="AF11" i="114"/>
  <c r="A6" i="10"/>
  <c r="U17" i="114"/>
  <c r="D22" i="9"/>
  <c r="T8" i="114"/>
  <c r="A6" i="8"/>
  <c r="I14" i="8"/>
  <c r="S14" i="114"/>
  <c r="A6" i="34"/>
  <c r="P12" i="114"/>
  <c r="A6" i="135"/>
  <c r="A6" i="113"/>
  <c r="A6" i="1"/>
  <c r="BL9" i="114" l="1"/>
  <c r="O44" i="3"/>
  <c r="BL6" i="114"/>
  <c r="O40" i="3"/>
  <c r="O43" i="3"/>
  <c r="BL8" i="114"/>
</calcChain>
</file>

<file path=xl/sharedStrings.xml><?xml version="1.0" encoding="utf-8"?>
<sst xmlns="http://schemas.openxmlformats.org/spreadsheetml/2006/main" count="2050" uniqueCount="432">
  <si>
    <t>min</t>
  </si>
  <si>
    <t>X1</t>
  </si>
  <si>
    <t>X2</t>
  </si>
  <si>
    <t>X3</t>
  </si>
  <si>
    <t>st</t>
  </si>
  <si>
    <t>Scale</t>
  </si>
  <si>
    <t>Scasle=2.5</t>
  </si>
  <si>
    <t>Offset</t>
  </si>
  <si>
    <t>&lt;=</t>
  </si>
  <si>
    <t>&gt;=</t>
  </si>
  <si>
    <t>=</t>
  </si>
  <si>
    <t>CBC Options</t>
  </si>
  <si>
    <t>dualBound</t>
  </si>
  <si>
    <t>dualTolerance</t>
  </si>
  <si>
    <t>forceSolution</t>
  </si>
  <si>
    <t>Known Solution</t>
  </si>
  <si>
    <t>Known Objective</t>
  </si>
  <si>
    <t>ok?</t>
  </si>
  <si>
    <t>X4</t>
  </si>
  <si>
    <t>X5</t>
  </si>
  <si>
    <t>X6</t>
  </si>
  <si>
    <t>Flows</t>
  </si>
  <si>
    <t>Costs</t>
  </si>
  <si>
    <t>This tests a model with a formula entered as a constraint:</t>
  </si>
  <si>
    <t>H10 &gt;= H11/4</t>
  </si>
  <si>
    <t>This model has binary and integer constraints that overlap.</t>
  </si>
  <si>
    <t>H11/4+A3=</t>
  </si>
  <si>
    <t>Infeasible</t>
  </si>
  <si>
    <t>None</t>
  </si>
  <si>
    <t>Constraints refer to deleted cells</t>
  </si>
  <si>
    <t>A complex layout - a good test for the auto model.</t>
  </si>
  <si>
    <t>A simple LP model.</t>
  </si>
  <si>
    <t>A worksheet with a ! In its name. OpenSolver fails on this as the Names() fails... don't know why!</t>
  </si>
  <si>
    <t>Unsatisfied constraint is: H10 &gt;= H11/4</t>
  </si>
  <si>
    <t>&lt;= X4 is not a decision variable</t>
  </si>
  <si>
    <t>&lt;- X4 is not a decision variable</t>
  </si>
  <si>
    <t>A simple LP model, on a protected spreadsheet with locked cells!</t>
  </si>
  <si>
    <t>NB: This tests that the linearity checker picks up constriants that are nonlinear</t>
  </si>
  <si>
    <t>Number</t>
  </si>
  <si>
    <t>Calories</t>
  </si>
  <si>
    <t>Fat</t>
  </si>
  <si>
    <t>Protein</t>
  </si>
  <si>
    <t>Sodium</t>
  </si>
  <si>
    <t>Cost</t>
  </si>
  <si>
    <t>Big Mac</t>
  </si>
  <si>
    <t>Cheeseburger</t>
  </si>
  <si>
    <t>Hamburger</t>
  </si>
  <si>
    <t>Kiwiburger</t>
  </si>
  <si>
    <t>McFeast</t>
  </si>
  <si>
    <t>Quarter Pounder</t>
  </si>
  <si>
    <t>Vegetarina Salad Burger</t>
  </si>
  <si>
    <t>Filet-O-Fish</t>
  </si>
  <si>
    <t>McChicken</t>
  </si>
  <si>
    <t>Chicken McNuggets</t>
  </si>
  <si>
    <t>French Fries</t>
  </si>
  <si>
    <t>Barbecue Sauce</t>
  </si>
  <si>
    <t>Mustard Sauce</t>
  </si>
  <si>
    <t>Sweet &amp; Sour Sauce</t>
  </si>
  <si>
    <t>Curry Sauce</t>
  </si>
  <si>
    <t>Apple Pie</t>
  </si>
  <si>
    <t>Apricot Pie</t>
  </si>
  <si>
    <t>Cookies</t>
  </si>
  <si>
    <t>Banana Shake</t>
  </si>
  <si>
    <t>Chocolate Shake</t>
  </si>
  <si>
    <t>Strawberry Shake</t>
  </si>
  <si>
    <t>Vanilla Shake</t>
  </si>
  <si>
    <t>Caramel Sundae</t>
  </si>
  <si>
    <t>Hot Chocolate Sundae</t>
  </si>
  <si>
    <t>Strawberry Sundae</t>
  </si>
  <si>
    <t>Soft Serve Icecream &amp; Cone</t>
  </si>
  <si>
    <t>Orange Juice</t>
  </si>
  <si>
    <t>Total</t>
  </si>
  <si>
    <t>Min Calories:</t>
  </si>
  <si>
    <t>Max Calories:</t>
  </si>
  <si>
    <t>Fat:</t>
  </si>
  <si>
    <t>Protein:</t>
  </si>
  <si>
    <t>Sodium:</t>
  </si>
  <si>
    <t>solution</t>
  </si>
  <si>
    <t>lhs constraint values</t>
  </si>
  <si>
    <t>Non linearconstriants(rows marked true are nonlinear)</t>
  </si>
  <si>
    <t>This model has a nonlinear objective function</t>
  </si>
  <si>
    <t>objectFunction</t>
  </si>
  <si>
    <t>NB: this model has a nonlinear constraint and objective function</t>
  </si>
  <si>
    <t>IN FULL CHECK THIS SHOULD BE HIGHLIGHTED</t>
  </si>
  <si>
    <t>A simple LP model, but the decision variables are specified as two overlapping ranges. Excel's "," operator is NOT a true union, but instead a set of ranges allowing duplicates</t>
  </si>
  <si>
    <t>&lt;= Does not depend on decision variables, and is NOT satisified</t>
  </si>
  <si>
    <t>A model with -ve lower bounds specified for the decision variables, which override the "Assume Non-Negative" checkbox</t>
  </si>
  <si>
    <t>Lower bounds</t>
  </si>
  <si>
    <t>For this lower bounds to override in this way, the LHS of the constraint must refer to the decision variables directly</t>
  </si>
  <si>
    <t>&lt;- A negative lower bound applied via a formula does NOT ovveride the "Assume non negative"</t>
  </si>
  <si>
    <t>&lt;- A blank RHS</t>
  </si>
  <si>
    <t>xx</t>
  </si>
  <si>
    <t>&lt;- A text RHS</t>
  </si>
  <si>
    <t>A simple LP model with a text RHS. Neither Solver nor OpenSolver solves this; OpenSolver complains about the RHS.</t>
  </si>
  <si>
    <t>&lt;- An error RHS</t>
  </si>
  <si>
    <t>A simple LP model with an error in a RHS</t>
  </si>
  <si>
    <t>&lt;- An error LHS</t>
  </si>
  <si>
    <t>A simple LP model with an error in the obj fn cell</t>
  </si>
  <si>
    <t>ttt</t>
  </si>
  <si>
    <t>&lt;- An error in the objective</t>
  </si>
  <si>
    <t>A simple LP model with merged cells in the decision variables</t>
  </si>
  <si>
    <t>A simple LP model where one of the decision variables is a merged cell</t>
  </si>
  <si>
    <t>Solver reports an error in the model</t>
  </si>
  <si>
    <t>&lt;- 2 decision variables merged into one cell</t>
  </si>
  <si>
    <t>&lt;- A blank LHS</t>
  </si>
  <si>
    <t>A simple LP model with an error in a LHS</t>
  </si>
  <si>
    <t>&lt;- merged RHS</t>
  </si>
  <si>
    <t>A simple LP model where a RHS is a merged cell</t>
  </si>
  <si>
    <t>A simple LP model where a LHS is a merged cell</t>
  </si>
  <si>
    <t>&lt;- A decision variable that is the 'top left' of a merged cell range</t>
  </si>
  <si>
    <t>&lt;- A decision variable C5 that is inaccessible because it is contained in the heart of a merged cell range</t>
  </si>
  <si>
    <t>Solver reports an error in the model. OpenSolver can handle this case as it is not ambiguous (cell D5 is perfectly accessible and well defined.)</t>
  </si>
  <si>
    <t>A model with parameters Scale and Offset</t>
  </si>
  <si>
    <t>Offset = -50</t>
  </si>
  <si>
    <t>Scale=-2</t>
  </si>
  <si>
    <t>Offset = 4</t>
  </si>
  <si>
    <t>Parameters</t>
  </si>
  <si>
    <t>These modify the RHS of the constraints in various ways</t>
  </si>
  <si>
    <t>1/ Set the QuickSolve parameters to be N7:O7</t>
  </si>
  <si>
    <t>2/ Initalise QuickSolve</t>
  </si>
  <si>
    <t>3/ Enter a Scale and Offset from the two examples on the left</t>
  </si>
  <si>
    <t>4/ Choose Quick Solve, and make sure you get the answer shown on the left (obtained via a normal solve)</t>
  </si>
  <si>
    <t>This is a test of OpenSolver's model highlighting</t>
  </si>
  <si>
    <t>These CBC options will be passed to CBC when the model is solved.</t>
  </si>
  <si>
    <t>The 3 rows below are in the named range "OpenSolver_CBCParameters"</t>
  </si>
  <si>
    <t>Decision variables</t>
  </si>
  <si>
    <t>x1</t>
  </si>
  <si>
    <t>Used in objective</t>
  </si>
  <si>
    <t>x2</t>
  </si>
  <si>
    <t>Not in obj</t>
  </si>
  <si>
    <t>x3</t>
  </si>
  <si>
    <t>not in obj</t>
  </si>
  <si>
    <t>Objective</t>
  </si>
  <si>
    <t>5 * x1</t>
  </si>
  <si>
    <t>Constraints</t>
  </si>
  <si>
    <t>x1 + x2 &gt;= 2</t>
  </si>
  <si>
    <t>x1+x3&gt;=3</t>
  </si>
  <si>
    <t>x1&gt;=0</t>
  </si>
  <si>
    <t>x2&gt;=0</t>
  </si>
  <si>
    <t>x3&gt;=0</t>
  </si>
  <si>
    <t>All assumed</t>
  </si>
  <si>
    <t>OLD AUTOMODEL</t>
  </si>
  <si>
    <t>x2+x3 &lt;= 3</t>
  </si>
  <si>
    <t>gets x1</t>
  </si>
  <si>
    <t>gets first two constraints</t>
  </si>
  <si>
    <t>AUTOMODEL + FindExtras</t>
  </si>
  <si>
    <t>gets all 3 constraints</t>
  </si>
  <si>
    <t>AUTOMODEL 2</t>
  </si>
  <si>
    <t>gets x2,x3</t>
  </si>
  <si>
    <t>Grouping int/bin data</t>
  </si>
  <si>
    <t>x10</t>
  </si>
  <si>
    <t>x11</t>
  </si>
  <si>
    <t>x12</t>
  </si>
  <si>
    <t>c10</t>
  </si>
  <si>
    <t>c11</t>
  </si>
  <si>
    <t>c12</t>
  </si>
  <si>
    <t>int</t>
  </si>
  <si>
    <t>x10+x11+x12&gt;=0</t>
  </si>
  <si>
    <t>This tests a model with a formula entered as a constraint that does not vary with the decision variables and is not satisified</t>
  </si>
  <si>
    <t>This tests a model with a constraint that does not vary with the decision variables and IS NOT satisifed</t>
  </si>
  <si>
    <t>&lt;= Now satisified</t>
  </si>
  <si>
    <t>Direct lower bounds on the decision variables via RHS ranges with constants</t>
  </si>
  <si>
    <t>Lower Bound</t>
  </si>
  <si>
    <t>A single direct lower bound on the decision variables via one RHS range</t>
  </si>
  <si>
    <t>X3 is BINARY, and so should not have its zero lower bound removed</t>
  </si>
  <si>
    <t>X2 and X3 are integer, and so X2 should have its lower bound removed (X3 still binary)</t>
  </si>
  <si>
    <t>The lower bound constraint specifies a range that is larger than, but includes, the decision variables</t>
  </si>
  <si>
    <t>Solver 2007 interprets this as applying a lower bound</t>
  </si>
  <si>
    <t>BUT Solver 2010 doesn't? NEED TO CONFIRM THIS</t>
  </si>
  <si>
    <t>unused</t>
  </si>
  <si>
    <t>The lower bound constraint specifies a range that is larger than, but includes some of, the decision variables</t>
  </si>
  <si>
    <t>The lower bound constraint specifies a range that is larger than, but includes, the decision variables. It also includes a constraint formula</t>
  </si>
  <si>
    <t>&lt;- Sum of decision vars</t>
  </si>
  <si>
    <t>&lt;- constants</t>
  </si>
  <si>
    <t>Direct lower bounds on the decision variables via RHS ranges with formulae that DO NOT vary with the decision vars</t>
  </si>
  <si>
    <t>Global Lower Bound</t>
  </si>
  <si>
    <t>Direct lower bounds on the decision variables via RHS ranges with formulae that DO  vary with the decision vars</t>
  </si>
  <si>
    <t>Solver does not consider there to be lower bounds specified for X2 and X3</t>
  </si>
  <si>
    <t>Lower bounds applied via constraint equations</t>
  </si>
  <si>
    <t>Lower bounds applied via a constant RHS</t>
  </si>
  <si>
    <t>Solver considers this to be a lower bound specified for X1</t>
  </si>
  <si>
    <t>Lower bounds applied via a formula RHS</t>
  </si>
  <si>
    <t>Solver does NOT consider this to be a lower bound specified for X1, even tho the formula is a constant</t>
  </si>
  <si>
    <t>Objective refers to deleted cells</t>
  </si>
  <si>
    <t>Infeasible or un-solvable</t>
  </si>
  <si>
    <t>&lt;- merged LHS over two rows;  cell G10 is blank.  Solver reports 'non-linear'; OpenSolver treats merged values as blank, and hence 0's</t>
  </si>
  <si>
    <t>bin</t>
  </si>
  <si>
    <t>A worksheet with iteratively calculated circular references</t>
  </si>
  <si>
    <t>Ensure "File &gt; Options &gt; Formulas &gt; Enable Iterative Calculation" is checked. OpenSolver will prompt to disable iterative calculation, solving should succeed, and iterative calculation should be re-enabled automatically</t>
  </si>
  <si>
    <t>Circular Ref</t>
  </si>
  <si>
    <t>M9=L9+1</t>
  </si>
  <si>
    <t>L9=M9+1</t>
  </si>
  <si>
    <t>No objective function, we are just seeking a feasible solution. OpenSolver finds feasible solution, Solver refuses to solve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</si>
  <si>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</si>
  <si>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</si>
  <si>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</si>
  <si>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</si>
  <si>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</si>
  <si>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</si>
  <si>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</si>
  <si>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</si>
  <si>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</si>
  <si>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</si>
  <si>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</si>
  <si>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</si>
  <si>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</si>
  <si>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</si>
  <si>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</si>
  <si>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</si>
  <si>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</si>
  <si>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</si>
  <si>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A simple LP model with a blank RHS.</t>
  </si>
  <si>
    <t>A simple LP model with a blank LHS.</t>
  </si>
  <si>
    <t>This tests a model with a constraint that does nto vary with the decision variables and IS satisifed</t>
  </si>
  <si>
    <t>NeosCBC</t>
  </si>
  <si>
    <t>Solution</t>
  </si>
  <si>
    <t>A simple LP model. This is unbounded as Assume Non Negative is NOT turned on! The CBC parameters specified will help CBC to find a solution</t>
  </si>
  <si>
    <t>a</t>
  </si>
  <si>
    <t>b</t>
  </si>
  <si>
    <t>c</t>
  </si>
  <si>
    <t>max</t>
  </si>
  <si>
    <t>subject to</t>
  </si>
  <si>
    <t>y1</t>
  </si>
  <si>
    <t>y2</t>
  </si>
  <si>
    <t>Decision Variables</t>
  </si>
  <si>
    <t>hi</t>
  </si>
  <si>
    <t>Z</t>
  </si>
  <si>
    <t>simple non-linear example</t>
  </si>
  <si>
    <t>x4</t>
  </si>
  <si>
    <t>x5</t>
  </si>
  <si>
    <t>obj</t>
  </si>
  <si>
    <t>NeosCou</t>
  </si>
  <si>
    <t>NeosBon</t>
  </si>
  <si>
    <t>Weights</t>
  </si>
  <si>
    <t>Approx Solution</t>
  </si>
  <si>
    <t>0,0</t>
  </si>
  <si>
    <t>2,0</t>
  </si>
  <si>
    <t>xmin=</t>
  </si>
  <si>
    <t>X</t>
  </si>
  <si>
    <t>Y</t>
  </si>
  <si>
    <t>Weight</t>
  </si>
  <si>
    <t>ymin=</t>
  </si>
  <si>
    <t>x</t>
  </si>
  <si>
    <t>y</t>
  </si>
  <si>
    <t>value</t>
  </si>
  <si>
    <t>Ystep</t>
  </si>
  <si>
    <t>Xstep</t>
  </si>
  <si>
    <t>xmin</t>
  </si>
  <si>
    <t>min=</t>
  </si>
  <si>
    <t>KWR</t>
  </si>
  <si>
    <t>BYR</t>
  </si>
  <si>
    <t>ALB</t>
  </si>
  <si>
    <t>AUCK</t>
  </si>
  <si>
    <t>SYD</t>
  </si>
  <si>
    <t>MEL</t>
  </si>
  <si>
    <t>BRI</t>
  </si>
  <si>
    <t>ADEL</t>
  </si>
  <si>
    <t>Obj</t>
  </si>
  <si>
    <t>Check names on sensitivity table</t>
  </si>
  <si>
    <t>Number of days in a year</t>
  </si>
  <si>
    <t>Number of boxes per day</t>
  </si>
  <si>
    <t>Order cost</t>
  </si>
  <si>
    <t>Value of box</t>
  </si>
  <si>
    <t>interest rate</t>
  </si>
  <si>
    <t>Daily holding cost</t>
  </si>
  <si>
    <t>Number of boxes to order</t>
  </si>
  <si>
    <t>Frequency of ordering</t>
  </si>
  <si>
    <t>Average holding cost per day</t>
  </si>
  <si>
    <t>Order cost per day</t>
  </si>
  <si>
    <t>Total daily cost</t>
  </si>
  <si>
    <t>Notes:</t>
  </si>
  <si>
    <t>Solve first from 0: err as divide by 0</t>
  </si>
  <si>
    <t>then solve from 1</t>
  </si>
  <si>
    <t>xi</t>
  </si>
  <si>
    <t>yi</t>
  </si>
  <si>
    <t>Distance</t>
  </si>
  <si>
    <t>Plot Data</t>
  </si>
  <si>
    <t>Location 1</t>
  </si>
  <si>
    <t>Location 2</t>
  </si>
  <si>
    <t>Location 3</t>
  </si>
  <si>
    <t>Location 4</t>
  </si>
  <si>
    <t>Stockpile 1</t>
  </si>
  <si>
    <t>Central Join</t>
  </si>
  <si>
    <t>Stockpile2</t>
  </si>
  <si>
    <t>Stockpile 2</t>
  </si>
  <si>
    <t>Constants</t>
  </si>
  <si>
    <r>
      <t>d</t>
    </r>
    <r>
      <rPr>
        <vertAlign val="subscript"/>
        <sz val="10"/>
        <rFont val="Arial"/>
        <family val="2"/>
      </rPr>
      <t>1</t>
    </r>
  </si>
  <si>
    <t>Plot</t>
  </si>
  <si>
    <r>
      <t>d</t>
    </r>
    <r>
      <rPr>
        <vertAlign val="subscript"/>
        <sz val="10"/>
        <rFont val="Arial"/>
        <family val="2"/>
      </rPr>
      <t>2</t>
    </r>
  </si>
  <si>
    <t>d</t>
  </si>
  <si>
    <r>
      <t>q</t>
    </r>
    <r>
      <rPr>
        <vertAlign val="subscript"/>
        <sz val="10"/>
        <rFont val="Symbol"/>
        <family val="1"/>
        <charset val="2"/>
      </rPr>
      <t>1</t>
    </r>
  </si>
  <si>
    <t>degrees</t>
  </si>
  <si>
    <r>
      <t>q</t>
    </r>
    <r>
      <rPr>
        <vertAlign val="subscript"/>
        <sz val="10"/>
        <rFont val="Symbol"/>
        <family val="1"/>
        <charset val="2"/>
      </rPr>
      <t>2</t>
    </r>
  </si>
  <si>
    <t>Equations</t>
  </si>
  <si>
    <t>LHS</t>
  </si>
  <si>
    <t>RHS</t>
  </si>
  <si>
    <t>Diff</t>
  </si>
  <si>
    <r>
      <t>Diff</t>
    </r>
    <r>
      <rPr>
        <vertAlign val="superscript"/>
        <sz val="10"/>
        <rFont val="Arial"/>
        <family val="2"/>
      </rPr>
      <t>2</t>
    </r>
  </si>
  <si>
    <t>Objective Function</t>
  </si>
  <si>
    <t>Start from:</t>
  </si>
  <si>
    <t>(comment?)</t>
  </si>
  <si>
    <t>Then try</t>
  </si>
  <si>
    <t>v</t>
  </si>
  <si>
    <t>C</t>
  </si>
  <si>
    <t>B</t>
  </si>
  <si>
    <t>A</t>
  </si>
  <si>
    <t>Couenne</t>
  </si>
  <si>
    <t>This block of constraints tests the .nl</t>
  </si>
  <si>
    <t>pruning of linear and constant nodes</t>
  </si>
  <si>
    <t>from the non-linear expression tree</t>
  </si>
  <si>
    <t>OBJ</t>
  </si>
  <si>
    <t>NB:  many nonlinear constraints and objective function</t>
  </si>
  <si>
    <t>Bonmin</t>
  </si>
  <si>
    <t>Solver 2010 doesn't count this as applying a bound</t>
  </si>
  <si>
    <t>&lt;- merged LHS; G10 contains the formula, and H10 is blank. Solver says model is non-linear! OpenSolver reports an empty cell.</t>
  </si>
  <si>
    <t>G8&lt;=I8</t>
  </si>
  <si>
    <t>Lowerbound applied by constraint with decision variable as the RHS</t>
  </si>
  <si>
    <t>Solver doesn't count this as applying a bound</t>
  </si>
  <si>
    <t>Tests marked with * are expected to fail. Look at the test whitelist module for info on why they should fail</t>
  </si>
  <si>
    <t>Cons</t>
  </si>
  <si>
    <t>SP</t>
  </si>
  <si>
    <t>Inc</t>
  </si>
  <si>
    <t>Dec</t>
  </si>
  <si>
    <t>G6=I6</t>
  </si>
  <si>
    <t>G7&gt;=I7</t>
  </si>
  <si>
    <t>G9&lt;=I9</t>
  </si>
  <si>
    <t>Vars</t>
  </si>
  <si>
    <t>RC</t>
  </si>
  <si>
    <t>D2</t>
  </si>
  <si>
    <t>E2</t>
  </si>
  <si>
    <t>F2</t>
  </si>
  <si>
    <t>This block of constraints tests the parser on certain formulae</t>
  </si>
  <si>
    <t>PASS</t>
  </si>
  <si>
    <t>Optimal soln (0,0) as found by Bonmin on NEOS</t>
  </si>
  <si>
    <t>This is an unused variable cell</t>
  </si>
  <si>
    <t>It tests what happens with sensitivity analysis and duals for missing vars</t>
  </si>
  <si>
    <t>SPARE</t>
  </si>
  <si>
    <t>Gurobi Options</t>
  </si>
  <si>
    <t>IterationLimit</t>
  </si>
  <si>
    <t>NeosCBC Options</t>
  </si>
  <si>
    <t>Bonmin Options</t>
  </si>
  <si>
    <t>max_iter</t>
  </si>
  <si>
    <t>NeosBon Options</t>
  </si>
  <si>
    <t>Couenne Options</t>
  </si>
  <si>
    <t>NOMAD Options</t>
  </si>
  <si>
    <t>stop_if_feasible</t>
  </si>
  <si>
    <t>NeosCou Options</t>
  </si>
  <si>
    <t>Unbounded model</t>
  </si>
  <si>
    <t>t_limit</t>
  </si>
  <si>
    <t>Objective For DiffSheetObj</t>
  </si>
  <si>
    <t>A simple IP model. All variables binary</t>
  </si>
  <si>
    <t>weight</t>
  </si>
  <si>
    <t>Capacity</t>
  </si>
  <si>
    <t>Total Weight</t>
  </si>
  <si>
    <t>Total Value</t>
  </si>
  <si>
    <t>D4</t>
  </si>
  <si>
    <t>E4</t>
  </si>
  <si>
    <t>F4</t>
  </si>
  <si>
    <t>G9&gt;=I9</t>
  </si>
  <si>
    <t>G10&lt;=I10</t>
  </si>
  <si>
    <t>G11&lt;=I11</t>
  </si>
  <si>
    <t>J21</t>
  </si>
  <si>
    <t>D14</t>
  </si>
  <si>
    <t>E14</t>
  </si>
  <si>
    <t>F14</t>
  </si>
  <si>
    <t>G14</t>
  </si>
  <si>
    <t>H14</t>
  </si>
  <si>
    <t>D15</t>
  </si>
  <si>
    <t>E15</t>
  </si>
  <si>
    <t>F15</t>
  </si>
  <si>
    <t>G15</t>
  </si>
  <si>
    <t>H15</t>
  </si>
  <si>
    <t>D16</t>
  </si>
  <si>
    <t>E16</t>
  </si>
  <si>
    <t>F16</t>
  </si>
  <si>
    <t>G16</t>
  </si>
  <si>
    <t>H16</t>
  </si>
  <si>
    <t>I14&lt;=J14</t>
  </si>
  <si>
    <t>I15&lt;=J15</t>
  </si>
  <si>
    <t>I16&lt;=J16</t>
  </si>
  <si>
    <t>D17=D18</t>
  </si>
  <si>
    <t>E17=E18</t>
  </si>
  <si>
    <t>F17=F18</t>
  </si>
  <si>
    <t>G17=G18</t>
  </si>
  <si>
    <t>H17=H18</t>
  </si>
  <si>
    <t>D14&gt;=0</t>
  </si>
  <si>
    <t>E14&gt;=0</t>
  </si>
  <si>
    <t>F14&gt;=0</t>
  </si>
  <si>
    <t>G14&gt;=0</t>
  </si>
  <si>
    <t>H14&gt;=0</t>
  </si>
  <si>
    <t>D15&gt;=0</t>
  </si>
  <si>
    <t>E15&gt;=0</t>
  </si>
  <si>
    <t>F15&gt;=0</t>
  </si>
  <si>
    <t>G15&gt;=0</t>
  </si>
  <si>
    <t>H15&gt;=0</t>
  </si>
  <si>
    <t>D16&gt;=0</t>
  </si>
  <si>
    <t>E16&gt;=0</t>
  </si>
  <si>
    <t>F16&gt;=0</t>
  </si>
  <si>
    <t>G16&gt;=0</t>
  </si>
  <si>
    <t>H16&gt;=0</t>
  </si>
  <si>
    <t>G20=G20</t>
  </si>
  <si>
    <t>Empty</t>
  </si>
  <si>
    <t>Constraint</t>
  </si>
  <si>
    <t>This is an empty constraint</t>
  </si>
  <si>
    <t>It tests what happens for constraints that don't get sent to the solver</t>
  </si>
  <si>
    <t>J24=J24</t>
  </si>
  <si>
    <t>Binary problem with SUMIF instead of SUMPRODUCT</t>
  </si>
  <si>
    <t>This model has a zero objective and is seeking 50, so infeasible</t>
  </si>
  <si>
    <t>cost</t>
  </si>
  <si>
    <t>volume</t>
  </si>
  <si>
    <t>Nb: This deliberately takes a while to solve to optimality using CBC if cuts and heuristics are turned off</t>
  </si>
  <si>
    <t>Actual</t>
  </si>
  <si>
    <t>Expected</t>
  </si>
  <si>
    <t>We use this sheet to test warmstarts and the validity detection</t>
  </si>
  <si>
    <t>We set the iteration limit very low, so that Gurobi will not solve unless it is provided the optimal solution as a warmstart</t>
  </si>
  <si>
    <t>We then permute the values of the starting solution to check whether they get loaded as a warmstart</t>
  </si>
  <si>
    <t>This variable is not in the model, we just use it test bounds</t>
  </si>
  <si>
    <t>Heuristics</t>
  </si>
  <si>
    <t>This variable is not in the model, we use it for the sum below to stop this constraint being treated like a bound</t>
  </si>
  <si>
    <t>NA</t>
  </si>
  <si>
    <t>Works on Excel 2016, result now changes based on INFO function</t>
  </si>
  <si>
    <t>Problem: minimize x^2, x in [-10, 10]</t>
  </si>
  <si>
    <t>objective</t>
  </si>
  <si>
    <t>This cell is updated by the 'updateObjective' macro, NOT a formula</t>
  </si>
  <si>
    <t>variable</t>
  </si>
  <si>
    <t>NOMAD ExtraParameters (set in 'Solver Options')</t>
  </si>
  <si>
    <t>OpenSolver_Callback</t>
  </si>
  <si>
    <t>add the macro name here, prefixed with the workbook name and !</t>
  </si>
  <si>
    <t>'OpenSolver Tester.xlsm'!NOMADCallback_updateObjective</t>
  </si>
  <si>
    <t>SolveEngine</t>
  </si>
  <si>
    <t>FAIL</t>
  </si>
  <si>
    <t>NeosCplex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</si>
</sst>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&quot;$&quot;#,##0.00;[Red]&quot;$&quot;#,##0.00"/>
  </numFmts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vertAlign val="superscript"/>
      <sz val="10"/>
      <name val="Arial"/>
      <family val="2"/>
    </font>
    <font>
      <b/>
      <i/>
      <sz val="10"/>
      <name val="Arial"/>
      <family val="2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8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38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2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4" applyNumberFormat="0" applyAlignment="0" applyProtection="0"/>
    <xf numFmtId="0" fontId="9" fillId="8" borderId="14" applyNumberFormat="0" applyAlignment="0" applyProtection="0"/>
    <xf numFmtId="0" fontId="11" fillId="10" borderId="15" applyNumberFormat="0" applyFont="0" applyAlignment="0" applyProtection="0"/>
    <xf numFmtId="0" fontId="12" fillId="0" borderId="0" applyNumberFormat="0" applyFill="0" applyBorder="0" applyAlignment="0" applyProtection="0"/>
    <xf numFmtId="0" fontId="13" fillId="0" borderId="0"/>
    <xf numFmtId="0" fontId="15" fillId="0" borderId="0"/>
    <xf numFmtId="0" fontId="22" fillId="0" borderId="0"/>
    <xf numFmtId="0" fontId="23" fillId="0" borderId="0" applyNumberFormat="0" applyFill="0" applyBorder="0" applyAlignment="0" applyProtection="0"/>
  </cellStyleXfs>
  <cellXfs count="19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0" fillId="0" borderId="11" xfId="0" applyBorder="1" applyAlignment="1">
      <alignment textRotation="90"/>
    </xf>
    <xf numFmtId="0" fontId="0" fillId="0" borderId="12" xfId="0" applyBorder="1"/>
    <xf numFmtId="0" fontId="0" fillId="2" borderId="12" xfId="0" applyFill="1" applyBorder="1"/>
    <xf numFmtId="164" fontId="0" fillId="0" borderId="12" xfId="0" applyNumberFormat="1" applyBorder="1"/>
    <xf numFmtId="0" fontId="0" fillId="0" borderId="13" xfId="0" applyBorder="1"/>
    <xf numFmtId="164" fontId="0" fillId="0" borderId="13" xfId="0" applyNumberFormat="1" applyBorder="1"/>
    <xf numFmtId="0" fontId="0" fillId="0" borderId="0" xfId="0" applyFill="1" applyBorder="1" applyAlignment="1">
      <alignment textRotation="90"/>
    </xf>
    <xf numFmtId="0" fontId="4" fillId="3" borderId="12" xfId="0" applyFont="1" applyFill="1" applyBorder="1"/>
    <xf numFmtId="0" fontId="0" fillId="3" borderId="12" xfId="0" applyFill="1" applyBorder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5" borderId="0" xfId="2" applyBorder="1"/>
    <xf numFmtId="0" fontId="7" fillId="6" borderId="0" xfId="3"/>
    <xf numFmtId="0" fontId="5" fillId="4" borderId="0" xfId="1"/>
    <xf numFmtId="0" fontId="0" fillId="9" borderId="0" xfId="0" applyFill="1"/>
    <xf numFmtId="0" fontId="0" fillId="9" borderId="1" xfId="0" applyFill="1" applyBorder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Border="1"/>
    <xf numFmtId="0" fontId="9" fillId="8" borderId="14" xfId="5" applyAlignment="1">
      <alignment horizontal="center"/>
    </xf>
    <xf numFmtId="0" fontId="8" fillId="7" borderId="14" xfId="4" applyAlignment="1">
      <alignment horizontal="center"/>
    </xf>
    <xf numFmtId="0" fontId="10" fillId="9" borderId="0" xfId="0" applyFont="1" applyFill="1"/>
    <xf numFmtId="0" fontId="0" fillId="10" borderId="15" xfId="6" applyFont="1" applyAlignment="1">
      <alignment horizontal="center"/>
    </xf>
    <xf numFmtId="0" fontId="12" fillId="9" borderId="0" xfId="7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0" fillId="11" borderId="0" xfId="0" applyFill="1"/>
    <xf numFmtId="0" fontId="0" fillId="15" borderId="18" xfId="0" applyFill="1" applyBorder="1" applyAlignment="1">
      <alignment horizontal="center"/>
    </xf>
    <xf numFmtId="0" fontId="0" fillId="12" borderId="20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0" xfId="0" applyAlignment="1">
      <alignment horizontal="center"/>
    </xf>
    <xf numFmtId="11" fontId="0" fillId="0" borderId="0" xfId="0" applyNumberFormat="1"/>
    <xf numFmtId="0" fontId="0" fillId="0" borderId="0" xfId="0" applyAlignment="1">
      <alignment wrapText="1"/>
    </xf>
    <xf numFmtId="0" fontId="0" fillId="0" borderId="0" xfId="0" applyNumberFormat="1"/>
    <xf numFmtId="0" fontId="13" fillId="0" borderId="0" xfId="8"/>
    <xf numFmtId="0" fontId="13" fillId="0" borderId="5" xfId="8" applyBorder="1"/>
    <xf numFmtId="0" fontId="13" fillId="0" borderId="6" xfId="8" applyBorder="1"/>
    <xf numFmtId="0" fontId="13" fillId="0" borderId="0" xfId="8" applyAlignment="1">
      <alignment horizontal="right"/>
    </xf>
    <xf numFmtId="0" fontId="13" fillId="0" borderId="7" xfId="8" applyBorder="1" applyAlignment="1">
      <alignment horizontal="center"/>
    </xf>
    <xf numFmtId="2" fontId="13" fillId="0" borderId="8" xfId="8" applyNumberFormat="1" applyBorder="1" applyAlignment="1">
      <alignment horizontal="center"/>
    </xf>
    <xf numFmtId="0" fontId="13" fillId="0" borderId="5" xfId="8" applyBorder="1" applyAlignment="1">
      <alignment horizontal="center"/>
    </xf>
    <xf numFmtId="0" fontId="13" fillId="0" borderId="25" xfId="8" applyBorder="1" applyAlignment="1">
      <alignment horizontal="center"/>
    </xf>
    <xf numFmtId="0" fontId="13" fillId="0" borderId="6" xfId="8" applyBorder="1" applyAlignment="1">
      <alignment horizontal="center"/>
    </xf>
    <xf numFmtId="0" fontId="13" fillId="0" borderId="3" xfId="8" applyBorder="1" applyAlignment="1">
      <alignment horizontal="center"/>
    </xf>
    <xf numFmtId="2" fontId="13" fillId="0" borderId="4" xfId="8" applyNumberFormat="1" applyBorder="1" applyAlignment="1">
      <alignment horizontal="center"/>
    </xf>
    <xf numFmtId="0" fontId="13" fillId="0" borderId="9" xfId="8" applyBorder="1" applyAlignment="1">
      <alignment horizontal="center"/>
    </xf>
    <xf numFmtId="0" fontId="13" fillId="0" borderId="8" xfId="8" applyBorder="1" applyAlignment="1">
      <alignment horizontal="center"/>
    </xf>
    <xf numFmtId="0" fontId="13" fillId="0" borderId="1" xfId="8" applyBorder="1" applyAlignment="1">
      <alignment horizontal="center"/>
    </xf>
    <xf numFmtId="0" fontId="13" fillId="0" borderId="0" xfId="8" applyBorder="1" applyAlignment="1">
      <alignment horizontal="center"/>
    </xf>
    <xf numFmtId="0" fontId="13" fillId="0" borderId="2" xfId="8" applyBorder="1" applyAlignment="1">
      <alignment horizontal="center"/>
    </xf>
    <xf numFmtId="0" fontId="13" fillId="0" borderId="10" xfId="8" applyBorder="1" applyAlignment="1">
      <alignment horizontal="center"/>
    </xf>
    <xf numFmtId="0" fontId="13" fillId="0" borderId="4" xfId="8" applyBorder="1" applyAlignment="1">
      <alignment horizontal="center"/>
    </xf>
    <xf numFmtId="0" fontId="13" fillId="0" borderId="0" xfId="8" applyFont="1"/>
    <xf numFmtId="0" fontId="13" fillId="0" borderId="0" xfId="8" applyBorder="1"/>
    <xf numFmtId="0" fontId="13" fillId="0" borderId="0" xfId="8" applyBorder="1" applyAlignment="1">
      <alignment horizontal="left"/>
    </xf>
    <xf numFmtId="0" fontId="13" fillId="0" borderId="10" xfId="8" applyBorder="1"/>
    <xf numFmtId="0" fontId="13" fillId="0" borderId="10" xfId="8" applyBorder="1" applyAlignment="1">
      <alignment horizontal="left"/>
    </xf>
    <xf numFmtId="0" fontId="13" fillId="0" borderId="17" xfId="8" applyBorder="1"/>
    <xf numFmtId="0" fontId="13" fillId="0" borderId="17" xfId="8" applyBorder="1" applyAlignment="1">
      <alignment horizontal="left"/>
    </xf>
    <xf numFmtId="0" fontId="13" fillId="0" borderId="1" xfId="8" applyBorder="1"/>
    <xf numFmtId="164" fontId="13" fillId="0" borderId="17" xfId="8" applyNumberFormat="1" applyBorder="1" applyAlignment="1">
      <alignment horizontal="left"/>
    </xf>
    <xf numFmtId="0" fontId="13" fillId="0" borderId="17" xfId="8" applyNumberFormat="1" applyBorder="1" applyAlignment="1">
      <alignment horizontal="left"/>
    </xf>
    <xf numFmtId="2" fontId="13" fillId="18" borderId="17" xfId="8" applyNumberFormat="1" applyFill="1" applyBorder="1" applyAlignment="1">
      <alignment horizontal="left"/>
    </xf>
    <xf numFmtId="0" fontId="13" fillId="0" borderId="17" xfId="8" applyBorder="1" applyAlignment="1">
      <alignment horizontal="center"/>
    </xf>
    <xf numFmtId="0" fontId="13" fillId="0" borderId="0" xfId="8" applyAlignment="1">
      <alignment horizontal="left"/>
    </xf>
    <xf numFmtId="0" fontId="14" fillId="17" borderId="17" xfId="8" applyFont="1" applyFill="1" applyBorder="1" applyAlignment="1">
      <alignment horizontal="center"/>
    </xf>
    <xf numFmtId="0" fontId="13" fillId="0" borderId="1" xfId="8" applyBorder="1" applyAlignment="1">
      <alignment horizontal="left"/>
    </xf>
    <xf numFmtId="0" fontId="14" fillId="0" borderId="0" xfId="8" applyFont="1" applyAlignment="1">
      <alignment horizontal="right"/>
    </xf>
    <xf numFmtId="0" fontId="13" fillId="0" borderId="5" xfId="8" applyBorder="1" applyAlignment="1">
      <alignment horizontal="left"/>
    </xf>
    <xf numFmtId="165" fontId="13" fillId="0" borderId="25" xfId="8" applyNumberFormat="1" applyBorder="1" applyAlignment="1">
      <alignment horizontal="left"/>
    </xf>
    <xf numFmtId="0" fontId="13" fillId="0" borderId="25" xfId="8" applyBorder="1" applyAlignment="1">
      <alignment horizontal="left"/>
    </xf>
    <xf numFmtId="0" fontId="13" fillId="0" borderId="6" xfId="8" applyBorder="1" applyAlignment="1">
      <alignment horizontal="left"/>
    </xf>
    <xf numFmtId="0" fontId="13" fillId="0" borderId="0" xfId="8" applyBorder="1" applyAlignment="1">
      <alignment horizontal="right"/>
    </xf>
    <xf numFmtId="0" fontId="13" fillId="0" borderId="2" xfId="8" applyBorder="1"/>
    <xf numFmtId="0" fontId="13" fillId="18" borderId="17" xfId="8" applyFill="1" applyBorder="1" applyAlignment="1">
      <alignment horizontal="center"/>
    </xf>
    <xf numFmtId="0" fontId="13" fillId="0" borderId="0" xfId="8" applyAlignment="1">
      <alignment horizontal="center"/>
    </xf>
    <xf numFmtId="0" fontId="13" fillId="0" borderId="0" xfId="9" applyFont="1" applyBorder="1"/>
    <xf numFmtId="0" fontId="13" fillId="0" borderId="0" xfId="9" applyFont="1" applyBorder="1" applyAlignment="1">
      <alignment horizontal="right"/>
    </xf>
    <xf numFmtId="0" fontId="18" fillId="0" borderId="0" xfId="9" applyFont="1" applyBorder="1" applyAlignment="1">
      <alignment horizontal="right"/>
    </xf>
    <xf numFmtId="0" fontId="13" fillId="17" borderId="0" xfId="9" applyFont="1" applyFill="1" applyBorder="1"/>
    <xf numFmtId="0" fontId="16" fillId="0" borderId="0" xfId="9" applyFont="1" applyFill="1" applyBorder="1" applyAlignment="1">
      <alignment horizontal="center"/>
    </xf>
    <xf numFmtId="0" fontId="13" fillId="0" borderId="0" xfId="9" applyFont="1" applyBorder="1" applyAlignment="1">
      <alignment horizontal="center"/>
    </xf>
    <xf numFmtId="0" fontId="13" fillId="18" borderId="0" xfId="8" applyFont="1" applyFill="1" applyBorder="1" applyAlignment="1">
      <alignment horizontal="center"/>
    </xf>
    <xf numFmtId="0" fontId="21" fillId="0" borderId="0" xfId="9" applyFont="1" applyBorder="1" applyAlignment="1">
      <alignment horizontal="right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1" fontId="0" fillId="2" borderId="13" xfId="0" applyNumberFormat="1" applyFill="1" applyBorder="1"/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4" xfId="0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11" fontId="0" fillId="0" borderId="7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14" borderId="34" xfId="0" applyFont="1" applyFill="1" applyBorder="1" applyAlignment="1">
      <alignment horizontal="center"/>
    </xf>
    <xf numFmtId="0" fontId="1" fillId="14" borderId="26" xfId="0" applyFont="1" applyFill="1" applyBorder="1" applyAlignment="1">
      <alignment horizontal="center"/>
    </xf>
    <xf numFmtId="0" fontId="0" fillId="16" borderId="36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16" borderId="35" xfId="0" applyFill="1" applyBorder="1" applyAlignment="1"/>
    <xf numFmtId="0" fontId="1" fillId="14" borderId="37" xfId="0" applyFont="1" applyFill="1" applyBorder="1" applyAlignment="1">
      <alignment horizontal="center"/>
    </xf>
    <xf numFmtId="0" fontId="0" fillId="13" borderId="19" xfId="0" applyFill="1" applyBorder="1" applyAlignment="1"/>
    <xf numFmtId="0" fontId="23" fillId="13" borderId="19" xfId="11" applyFill="1" applyBorder="1" applyAlignment="1"/>
    <xf numFmtId="0" fontId="23" fillId="15" borderId="37" xfId="1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0" borderId="17" xfId="0" applyBorder="1" applyAlignment="1">
      <alignment horizontal="center"/>
    </xf>
    <xf numFmtId="2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1" fontId="13" fillId="17" borderId="17" xfId="8" applyNumberFormat="1" applyFill="1" applyBorder="1" applyAlignment="1">
      <alignment horizontal="left"/>
    </xf>
    <xf numFmtId="0" fontId="0" fillId="0" borderId="0" xfId="0" applyAlignment="1">
      <alignment horizontal="center"/>
    </xf>
    <xf numFmtId="0" fontId="13" fillId="0" borderId="19" xfId="8" applyBorder="1"/>
    <xf numFmtId="0" fontId="0" fillId="0" borderId="0" xfId="0" applyAlignment="1">
      <alignment horizontal="center"/>
    </xf>
    <xf numFmtId="11" fontId="13" fillId="17" borderId="0" xfId="9" applyNumberFormat="1" applyFont="1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3" fillId="17" borderId="17" xfId="8" applyFill="1" applyBorder="1"/>
    <xf numFmtId="0" fontId="25" fillId="0" borderId="0" xfId="8" applyFont="1"/>
    <xf numFmtId="0" fontId="13" fillId="11" borderId="37" xfId="8" applyFont="1" applyFill="1" applyBorder="1"/>
    <xf numFmtId="0" fontId="25" fillId="0" borderId="0" xfId="8" applyFon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17" xfId="0" quotePrefix="1" applyBorder="1"/>
    <xf numFmtId="0" fontId="0" fillId="0" borderId="0" xfId="0" applyAlignment="1">
      <alignment horizontal="center"/>
    </xf>
    <xf numFmtId="11" fontId="0" fillId="0" borderId="24" xfId="0" applyNumberFormat="1" applyBorder="1" applyAlignment="1">
      <alignment horizontal="center"/>
    </xf>
    <xf numFmtId="0" fontId="0" fillId="16" borderId="36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6" fillId="0" borderId="0" xfId="9" applyFont="1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9" borderId="16" xfId="0" applyFill="1" applyBorder="1" applyAlignment="1">
      <alignment horizontal="center"/>
    </xf>
  </cellXfs>
  <cellStyles count="12">
    <cellStyle name="Bad" xfId="2" builtinId="27"/>
    <cellStyle name="Calculation" xfId="5" builtinId="22"/>
    <cellStyle name="Explanatory Text" xfId="7" builtinId="53"/>
    <cellStyle name="Good" xfId="1" builtinId="26"/>
    <cellStyle name="Hyperlink" xfId="11" builtinId="8"/>
    <cellStyle name="Input" xfId="4" builtinId="20"/>
    <cellStyle name="Neutral" xfId="3" builtinId="28"/>
    <cellStyle name="Normal" xfId="0" builtinId="0"/>
    <cellStyle name="Normal 2" xfId="8" xr:uid="{00000000-0005-0000-0000-000008000000}"/>
    <cellStyle name="Normal 3" xfId="10" xr:uid="{00000000-0005-0000-0000-000009000000}"/>
    <cellStyle name="Normal_ExcelSolverExample2" xfId="9" xr:uid="{00000000-0005-0000-0000-00000A000000}"/>
    <cellStyle name="Note" xfId="6" builtinId="10"/>
  </cellStyles>
  <dxfs count="7">
    <dxf>
      <font>
        <b/>
        <i val="0"/>
        <condense val="0"/>
        <extend val="0"/>
      </font>
      <fill>
        <patternFill>
          <bgColor indexed="4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theme" Target="theme/theme1.xml"/><Relationship Id="rId8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externalLink" Target="externalLinks/externalLink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6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3445378151261"/>
          <c:y val="1.1312229691288801E-2"/>
          <c:w val="0.72478991596638698"/>
          <c:h val="0.88914125373530095"/>
        </c:manualLayout>
      </c:layout>
      <c:surface3DChart>
        <c:wireframe val="0"/>
        <c:ser>
          <c:idx val="0"/>
          <c:order val="0"/>
          <c:tx>
            <c:strRef>
              <c:f>NonLin3!$C$34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NonLin3!$C$35:$C$75</c:f>
              <c:numCache>
                <c:formatCode>General</c:formatCode>
                <c:ptCount val="41"/>
                <c:pt idx="1">
                  <c:v>5.8339531170660504</c:v>
                </c:pt>
                <c:pt idx="2">
                  <c:v>5.8324713556349854</c:v>
                </c:pt>
                <c:pt idx="3">
                  <c:v>5.8316257576933381</c:v>
                </c:pt>
                <c:pt idx="4">
                  <c:v>5.8314191912312339</c:v>
                </c:pt>
                <c:pt idx="5">
                  <c:v>5.8318543251273498</c:v>
                </c:pt>
                <c:pt idx="6">
                  <c:v>5.8329336268271783</c:v>
                </c:pt>
                <c:pt idx="7">
                  <c:v>5.8346593603107948</c:v>
                </c:pt>
                <c:pt idx="8">
                  <c:v>5.8370335843452335</c:v>
                </c:pt>
                <c:pt idx="9">
                  <c:v>5.8400581510154002</c:v>
                </c:pt>
                <c:pt idx="10">
                  <c:v>5.843734704526411</c:v>
                </c:pt>
                <c:pt idx="11">
                  <c:v>5.8480646802693954</c:v>
                </c:pt>
                <c:pt idx="12">
                  <c:v>5.853049304142079</c:v>
                </c:pt>
                <c:pt idx="13">
                  <c:v>5.8586895921149473</c:v>
                </c:pt>
                <c:pt idx="14">
                  <c:v>5.864986350033413</c:v>
                </c:pt>
                <c:pt idx="15">
                  <c:v>5.8719401736462284</c:v>
                </c:pt>
                <c:pt idx="16">
                  <c:v>5.8795514488503589</c:v>
                </c:pt>
                <c:pt idx="17">
                  <c:v>5.8878203521426808</c:v>
                </c:pt>
                <c:pt idx="18">
                  <c:v>5.8967468512691532</c:v>
                </c:pt>
                <c:pt idx="19">
                  <c:v>5.9063307060625441</c:v>
                </c:pt>
                <c:pt idx="20">
                  <c:v>5.91657146946031</c:v>
                </c:pt>
                <c:pt idx="21">
                  <c:v>5.9274684886949593</c:v>
                </c:pt>
                <c:pt idx="22">
                  <c:v>5.9390209066498993</c:v>
                </c:pt>
                <c:pt idx="23">
                  <c:v>5.9512276633746133</c:v>
                </c:pt>
                <c:pt idx="24">
                  <c:v>5.9640874977538578</c:v>
                </c:pt>
                <c:pt idx="25">
                  <c:v>5.9775989493264978</c:v>
                </c:pt>
                <c:pt idx="26">
                  <c:v>5.9917603602503977</c:v>
                </c:pt>
                <c:pt idx="27">
                  <c:v>6.0065698774107332</c:v>
                </c:pt>
                <c:pt idx="28">
                  <c:v>6.0220254546698904</c:v>
                </c:pt>
                <c:pt idx="29">
                  <c:v>6.0381248552578679</c:v>
                </c:pt>
                <c:pt idx="30">
                  <c:v>6.0548656543028354</c:v>
                </c:pt>
                <c:pt idx="31">
                  <c:v>6.0722452415020882</c:v>
                </c:pt>
                <c:pt idx="32">
                  <c:v>6.0902608239341198</c:v>
                </c:pt>
                <c:pt idx="33">
                  <c:v>6.1089094290129786</c:v>
                </c:pt>
                <c:pt idx="34">
                  <c:v>6.1281879075862538</c:v>
                </c:pt>
                <c:pt idx="35">
                  <c:v>6.1480929371782853</c:v>
                </c:pt>
                <c:pt idx="36">
                  <c:v>6.16862102538005</c:v>
                </c:pt>
                <c:pt idx="37">
                  <c:v>6.1897685133871834</c:v>
                </c:pt>
                <c:pt idx="38">
                  <c:v>6.2115315796872466</c:v>
                </c:pt>
                <c:pt idx="39">
                  <c:v>6.2339062438969624</c:v>
                </c:pt>
                <c:pt idx="40">
                  <c:v>6.2568883707497278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0C-496F-BA72-9837BFAD9040}"/>
            </c:ext>
          </c:extLst>
        </c:ser>
        <c:ser>
          <c:idx val="1"/>
          <c:order val="1"/>
          <c:tx>
            <c:strRef>
              <c:f>NonLin3!$D$34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NonLin3!$D$35:$D$75</c:f>
              <c:numCache>
                <c:formatCode>General</c:formatCode>
                <c:ptCount val="41"/>
                <c:pt idx="0">
                  <c:v>5.7952099198061529</c:v>
                </c:pt>
                <c:pt idx="1">
                  <c:v>5.7671231065645756</c:v>
                </c:pt>
                <c:pt idx="2">
                  <c:v>5.7517086877376435</c:v>
                </c:pt>
                <c:pt idx="3">
                  <c:v>5.7431810106342702</c:v>
                </c:pt>
                <c:pt idx="4">
                  <c:v>5.7383267115083489</c:v>
                </c:pt>
                <c:pt idx="5">
                  <c:v>5.7356969568948326</c:v>
                </c:pt>
                <c:pt idx="6">
                  <c:v>5.7346167370049841</c:v>
                </c:pt>
                <c:pt idx="7">
                  <c:v>5.7347444649637822</c:v>
                </c:pt>
                <c:pt idx="8">
                  <c:v>5.7358929495677069</c:v>
                </c:pt>
                <c:pt idx="9">
                  <c:v>5.7379525145773869</c:v>
                </c:pt>
                <c:pt idx="10">
                  <c:v>5.7408553003376515</c:v>
                </c:pt>
                <c:pt idx="11">
                  <c:v>5.7445574131572137</c:v>
                </c:pt>
                <c:pt idx="12">
                  <c:v>5.7490294040894572</c:v>
                </c:pt>
                <c:pt idx="13">
                  <c:v>5.7542509036960325</c:v>
                </c:pt>
                <c:pt idx="14">
                  <c:v>5.7602074552312938</c:v>
                </c:pt>
                <c:pt idx="15">
                  <c:v>5.7668885714988498</c:v>
                </c:pt>
                <c:pt idx="16">
                  <c:v>5.7742865041213527</c:v>
                </c:pt>
                <c:pt idx="17">
                  <c:v>5.7823954448277206</c:v>
                </c:pt>
                <c:pt idx="18">
                  <c:v>5.7912109991237539</c:v>
                </c:pt>
                <c:pt idx="19">
                  <c:v>5.8007298387949024</c:v>
                </c:pt>
                <c:pt idx="20">
                  <c:v>5.8109494774971058</c:v>
                </c:pt>
                <c:pt idx="21">
                  <c:v>5.8218681364376241</c:v>
                </c:pt>
                <c:pt idx="22">
                  <c:v>5.8334846818020871</c:v>
                </c:pt>
                <c:pt idx="23">
                  <c:v>5.8457986260923782</c:v>
                </c:pt>
                <c:pt idx="24">
                  <c:v>5.8588101944262574</c:v>
                </c:pt>
                <c:pt idx="25">
                  <c:v>5.8725204661248291</c:v>
                </c:pt>
                <c:pt idx="26">
                  <c:v>5.8869316137538075</c:v>
                </c:pt>
                <c:pt idx="27">
                  <c:v>5.9020472792955614</c:v>
                </c:pt>
                <c:pt idx="28">
                  <c:v>5.9178731555871114</c:v>
                </c:pt>
                <c:pt idx="29">
                  <c:v>5.9344178904239557</c:v>
                </c:pt>
                <c:pt idx="30">
                  <c:v>5.9516945204044642</c:v>
                </c:pt>
                <c:pt idx="31">
                  <c:v>5.9697228127574231</c:v>
                </c:pt>
                <c:pt idx="32">
                  <c:v>5.9885332368356821</c:v>
                </c:pt>
                <c:pt idx="33">
                  <c:v>6.0081740150523411</c:v>
                </c:pt>
                <c:pt idx="34">
                  <c:v>6.0287243444729901</c:v>
                </c:pt>
                <c:pt idx="35">
                  <c:v>6.0503208395388421</c:v>
                </c:pt>
                <c:pt idx="36">
                  <c:v>6.0732144806596393</c:v>
                </c:pt>
                <c:pt idx="37">
                  <c:v>6.0979032272491196</c:v>
                </c:pt>
                <c:pt idx="38">
                  <c:v>6.1254582410394036</c:v>
                </c:pt>
                <c:pt idx="39">
                  <c:v>6.1582577435533654</c:v>
                </c:pt>
                <c:pt idx="40">
                  <c:v>6.2005853567342504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A0C-496F-BA72-9837BFAD9040}"/>
            </c:ext>
          </c:extLst>
        </c:ser>
        <c:ser>
          <c:idx val="2"/>
          <c:order val="2"/>
          <c:tx>
            <c:strRef>
              <c:f>NonLin3!$E$34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NonLin3!$E$35:$E$75</c:f>
              <c:numCache>
                <c:formatCode>General</c:formatCode>
                <c:ptCount val="41"/>
                <c:pt idx="0">
                  <c:v>5.7570786174704773</c:v>
                </c:pt>
                <c:pt idx="1">
                  <c:v>5.7250453975212334</c:v>
                </c:pt>
                <c:pt idx="2">
                  <c:v>5.7013029409704439</c:v>
                </c:pt>
                <c:pt idx="3">
                  <c:v>5.684265842271671</c:v>
                </c:pt>
                <c:pt idx="4">
                  <c:v>5.6722556356542313</c:v>
                </c:pt>
                <c:pt idx="5">
                  <c:v>5.6639402784425297</c:v>
                </c:pt>
                <c:pt idx="6">
                  <c:v>5.6583880910058379</c:v>
                </c:pt>
                <c:pt idx="7">
                  <c:v>5.654976941984529</c:v>
                </c:pt>
                <c:pt idx="8">
                  <c:v>5.653294277291721</c:v>
                </c:pt>
                <c:pt idx="9">
                  <c:v>5.6530634638862214</c:v>
                </c:pt>
                <c:pt idx="10">
                  <c:v>5.6540955701599911</c:v>
                </c:pt>
                <c:pt idx="11">
                  <c:v>5.6562589099787726</c:v>
                </c:pt>
                <c:pt idx="12">
                  <c:v>5.6594598664582119</c:v>
                </c:pt>
                <c:pt idx="13">
                  <c:v>5.6636306864167114</c:v>
                </c:pt>
                <c:pt idx="14">
                  <c:v>5.6687215834540661</c:v>
                </c:pt>
                <c:pt idx="15">
                  <c:v>5.6746955378467057</c:v>
                </c:pt>
                <c:pt idx="16">
                  <c:v>5.6815248160685217</c:v>
                </c:pt>
                <c:pt idx="17">
                  <c:v>5.6891886114081878</c:v>
                </c:pt>
                <c:pt idx="18">
                  <c:v>5.6976714343971278</c:v>
                </c:pt>
                <c:pt idx="19">
                  <c:v>5.7069620203263307</c:v>
                </c:pt>
                <c:pt idx="20">
                  <c:v>5.7170526077036596</c:v>
                </c:pt>
                <c:pt idx="21">
                  <c:v>5.7279384975759466</c:v>
                </c:pt>
                <c:pt idx="22">
                  <c:v>5.7396178420783102</c:v>
                </c:pt>
                <c:pt idx="23">
                  <c:v>5.7520916394719608</c:v>
                </c:pt>
                <c:pt idx="24">
                  <c:v>5.7653639379190516</c:v>
                </c:pt>
                <c:pt idx="25">
                  <c:v>5.779442275988103</c:v>
                </c:pt>
                <c:pt idx="26">
                  <c:v>5.7943384193059071</c:v>
                </c:pt>
                <c:pt idx="27">
                  <c:v>5.8100694963413497</c:v>
                </c:pt>
                <c:pt idx="28">
                  <c:v>5.8266597018569684</c:v>
                </c:pt>
                <c:pt idx="29">
                  <c:v>5.8441428402107221</c:v>
                </c:pt>
                <c:pt idx="30">
                  <c:v>5.8625661497398758</c:v>
                </c:pt>
                <c:pt idx="31">
                  <c:v>5.8819961304717285</c:v>
                </c:pt>
                <c:pt idx="32">
                  <c:v>5.9025275678760423</c:v>
                </c:pt>
                <c:pt idx="33">
                  <c:v>5.9242977236138792</c:v>
                </c:pt>
                <c:pt idx="34">
                  <c:v>5.9475088844547148</c:v>
                </c:pt>
                <c:pt idx="35">
                  <c:v>5.9724640716995232</c:v>
                </c:pt>
                <c:pt idx="36">
                  <c:v>5.9996215943416296</c:v>
                </c:pt>
                <c:pt idx="37">
                  <c:v>6.029669096101351</c:v>
                </c:pt>
                <c:pt idx="38">
                  <c:v>6.0635908212436913</c:v>
                </c:pt>
                <c:pt idx="39">
                  <c:v>6.102627655623321</c:v>
                </c:pt>
                <c:pt idx="40">
                  <c:v>6.1479515808172263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A0C-496F-BA72-9837BFAD9040}"/>
            </c:ext>
          </c:extLst>
        </c:ser>
        <c:ser>
          <c:idx val="3"/>
          <c:order val="3"/>
          <c:tx>
            <c:strRef>
              <c:f>NonLin3!$F$34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NonLin3!$F$35:$F$75</c:f>
              <c:numCache>
                <c:formatCode>General</c:formatCode>
                <c:ptCount val="41"/>
                <c:pt idx="0">
                  <c:v>5.7216615052891431</c:v>
                </c:pt>
                <c:pt idx="1">
                  <c:v>5.6881856103890156</c:v>
                </c:pt>
                <c:pt idx="2">
                  <c:v>5.6607645974853025</c:v>
                </c:pt>
                <c:pt idx="3">
                  <c:v>5.6388235425758433</c:v>
                </c:pt>
                <c:pt idx="4">
                  <c:v>5.6216041025570078</c:v>
                </c:pt>
                <c:pt idx="5">
                  <c:v>5.6083344841683918</c:v>
                </c:pt>
                <c:pt idx="6">
                  <c:v>5.5983318337375652</c:v>
                </c:pt>
                <c:pt idx="7">
                  <c:v>5.5910384783307787</c:v>
                </c:pt>
                <c:pt idx="8">
                  <c:v>5.5860186954503135</c:v>
                </c:pt>
                <c:pt idx="9">
                  <c:v>5.5829395232514223</c:v>
                </c:pt>
                <c:pt idx="10">
                  <c:v>5.5815487690459697</c:v>
                </c:pt>
                <c:pt idx="11">
                  <c:v>5.5816556255115373</c:v>
                </c:pt>
                <c:pt idx="12">
                  <c:v>5.5831152889116442</c:v>
                </c:pt>
                <c:pt idx="13">
                  <c:v>5.5858173428273803</c:v>
                </c:pt>
                <c:pt idx="14">
                  <c:v>5.589677192854043</c:v>
                </c:pt>
                <c:pt idx="15">
                  <c:v>5.5946298203809892</c:v>
                </c:pt>
                <c:pt idx="16">
                  <c:v>5.6006252505264555</c:v>
                </c:pt>
                <c:pt idx="17">
                  <c:v>5.6076252759953897</c:v>
                </c:pt>
                <c:pt idx="18">
                  <c:v>5.615601104701315</c:v>
                </c:pt>
                <c:pt idx="19">
                  <c:v>5.6245316969226167</c:v>
                </c:pt>
                <c:pt idx="20">
                  <c:v>5.6344026310464548</c:v>
                </c:pt>
                <c:pt idx="21">
                  <c:v>5.6452053916825253</c:v>
                </c:pt>
                <c:pt idx="22">
                  <c:v>5.6569370159635941</c:v>
                </c:pt>
                <c:pt idx="23">
                  <c:v>5.6696000681638576</c:v>
                </c:pt>
                <c:pt idx="24">
                  <c:v>5.6832029435691975</c:v>
                </c:pt>
                <c:pt idx="25">
                  <c:v>5.6977605336318762</c:v>
                </c:pt>
                <c:pt idx="26">
                  <c:v>5.7132953196445815</c:v>
                </c:pt>
                <c:pt idx="27">
                  <c:v>5.7298390056390351</c:v>
                </c:pt>
                <c:pt idx="28">
                  <c:v>5.747434857626077</c:v>
                </c:pt>
                <c:pt idx="29">
                  <c:v>5.7661409903919782</c:v>
                </c:pt>
                <c:pt idx="30">
                  <c:v>5.7860349376022784</c:v>
                </c:pt>
                <c:pt idx="31">
                  <c:v>5.8072199504827049</c:v>
                </c:pt>
                <c:pt idx="32">
                  <c:v>5.8298335650265996</c:v>
                </c:pt>
                <c:pt idx="33">
                  <c:v>5.8540589653205091</c:v>
                </c:pt>
                <c:pt idx="34">
                  <c:v>5.8801393168384921</c:v>
                </c:pt>
                <c:pt idx="35">
                  <c:v>5.908394035833167</c:v>
                </c:pt>
                <c:pt idx="36">
                  <c:v>5.9392329870108078</c:v>
                </c:pt>
                <c:pt idx="37">
                  <c:v>5.9731588623289484</c:v>
                </c:pt>
                <c:pt idx="38">
                  <c:v>6.010740324104515</c:v>
                </c:pt>
                <c:pt idx="39">
                  <c:v>6.052536151155306</c:v>
                </c:pt>
                <c:pt idx="40">
                  <c:v>6.0989693279162793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A0C-496F-BA72-9837BFAD9040}"/>
            </c:ext>
          </c:extLst>
        </c:ser>
        <c:ser>
          <c:idx val="4"/>
          <c:order val="4"/>
          <c:tx>
            <c:strRef>
              <c:f>NonLin3!$G$34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NonLin3!$G$35:$G$75</c:f>
              <c:numCache>
                <c:formatCode>General</c:formatCode>
                <c:ptCount val="41"/>
                <c:pt idx="0">
                  <c:v>5.6889299309159576</c:v>
                </c:pt>
                <c:pt idx="1">
                  <c:v>5.6547299540295324</c:v>
                </c:pt>
                <c:pt idx="2">
                  <c:v>5.6253498690793178</c:v>
                </c:pt>
                <c:pt idx="3">
                  <c:v>5.6005302126212619</c:v>
                </c:pt>
                <c:pt idx="4">
                  <c:v>5.579893131493165</c:v>
                </c:pt>
                <c:pt idx="5">
                  <c:v>5.563004347569863</c:v>
                </c:pt>
                <c:pt idx="6">
                  <c:v>5.5494263264325854</c:v>
                </c:pt>
                <c:pt idx="7">
                  <c:v>5.5387535984967773</c:v>
                </c:pt>
                <c:pt idx="8">
                  <c:v>5.530630483239217</c:v>
                </c:pt>
                <c:pt idx="9">
                  <c:v>5.5247559978172731</c:v>
                </c:pt>
                <c:pt idx="10">
                  <c:v>5.5208812607399302</c:v>
                </c:pt>
                <c:pt idx="11">
                  <c:v>5.5188034200288092</c:v>
                </c:pt>
                <c:pt idx="12">
                  <c:v>5.5183585895147926</c:v>
                </c:pt>
                <c:pt idx="13">
                  <c:v>5.5194150901956149</c:v>
                </c:pt>
                <c:pt idx="14">
                  <c:v>5.521867551063381</c:v>
                </c:pt>
                <c:pt idx="15">
                  <c:v>5.5256320197150535</c:v>
                </c:pt>
                <c:pt idx="16">
                  <c:v>5.5306420409557973</c:v>
                </c:pt>
                <c:pt idx="17">
                  <c:v>5.5368455873244926</c:v>
                </c:pt>
                <c:pt idx="18">
                  <c:v>5.544202710615421</c:v>
                </c:pt>
                <c:pt idx="19">
                  <c:v>5.5526837955261765</c:v>
                </c:pt>
                <c:pt idx="20">
                  <c:v>5.5622683188985711</c:v>
                </c:pt>
                <c:pt idx="21">
                  <c:v>5.5729440428960979</c:v>
                </c:pt>
                <c:pt idx="22">
                  <c:v>5.5847065948047598</c:v>
                </c:pt>
                <c:pt idx="23">
                  <c:v>5.5975594091874648</c:v>
                </c:pt>
                <c:pt idx="24">
                  <c:v>5.6115140301353339</c:v>
                </c:pt>
                <c:pt idx="25">
                  <c:v>5.6265907929350005</c:v>
                </c:pt>
                <c:pt idx="26">
                  <c:v>5.6428199260143979</c:v>
                </c:pt>
                <c:pt idx="27">
                  <c:v>5.6602431351734461</c:v>
                </c:pt>
                <c:pt idx="28">
                  <c:v>5.6789157507463708</c:v>
                </c:pt>
                <c:pt idx="29">
                  <c:v>5.6989095288868192</c:v>
                </c:pt>
                <c:pt idx="30">
                  <c:v>5.7203161884078195</c:v>
                </c:pt>
                <c:pt idx="31">
                  <c:v>5.743251710548356</c:v>
                </c:pt>
                <c:pt idx="32">
                  <c:v>5.767861287485859</c:v>
                </c:pt>
                <c:pt idx="33">
                  <c:v>5.794324506664247</c:v>
                </c:pt>
                <c:pt idx="34">
                  <c:v>5.8228598084487917</c:v>
                </c:pt>
                <c:pt idx="35">
                  <c:v>5.8537263759229319</c:v>
                </c:pt>
                <c:pt idx="36">
                  <c:v>5.8872204708912692</c:v>
                </c:pt>
                <c:pt idx="37">
                  <c:v>5.9236622813220841</c:v>
                </c:pt>
                <c:pt idx="38">
                  <c:v>5.9633697377629487</c:v>
                </c:pt>
                <c:pt idx="39">
                  <c:v>6.0066191124425101</c:v>
                </c:pt>
                <c:pt idx="40">
                  <c:v>6.0535991053266738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0C-496F-BA72-9837BFAD9040}"/>
            </c:ext>
          </c:extLst>
        </c:ser>
        <c:ser>
          <c:idx val="5"/>
          <c:order val="5"/>
          <c:tx>
            <c:strRef>
              <c:f>NonLin3!$H$34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NonLin3!$H$35:$H$75</c:f>
              <c:numCache>
                <c:formatCode>General</c:formatCode>
                <c:ptCount val="41"/>
                <c:pt idx="0">
                  <c:v>5.6588408434790525</c:v>
                </c:pt>
                <c:pt idx="1">
                  <c:v>5.6242351029435902</c:v>
                </c:pt>
                <c:pt idx="2">
                  <c:v>5.593687109562433</c:v>
                </c:pt>
                <c:pt idx="3">
                  <c:v>5.5670624884227644</c:v>
                </c:pt>
                <c:pt idx="4">
                  <c:v>5.5441538330950451</c:v>
                </c:pt>
                <c:pt idx="5">
                  <c:v>5.5247058754134279</c:v>
                </c:pt>
                <c:pt idx="6">
                  <c:v>5.5084410052024362</c:v>
                </c:pt>
                <c:pt idx="7">
                  <c:v>5.4950806797089333</c:v>
                </c:pt>
                <c:pt idx="8">
                  <c:v>5.4843607012232232</c:v>
                </c:pt>
                <c:pt idx="9">
                  <c:v>5.4760403883933808</c:v>
                </c:pt>
                <c:pt idx="10">
                  <c:v>5.4699068076652715</c:v>
                </c:pt>
                <c:pt idx="11">
                  <c:v>5.4657755626297533</c:v>
                </c:pt>
                <c:pt idx="12">
                  <c:v>5.4634894905801126</c:v>
                </c:pt>
                <c:pt idx="13">
                  <c:v>5.4629162841136658</c:v>
                </c:pt>
                <c:pt idx="14">
                  <c:v>5.4639457183287465</c:v>
                </c:pt>
                <c:pt idx="15">
                  <c:v>5.4664868948235821</c:v>
                </c:pt>
                <c:pt idx="16">
                  <c:v>5.4704657256459326</c:v>
                </c:pt>
                <c:pt idx="17">
                  <c:v>5.4758227610887635</c:v>
                </c:pt>
                <c:pt idx="18">
                  <c:v>5.4825113959278102</c:v>
                </c:pt>
                <c:pt idx="19">
                  <c:v>5.4904964524759698</c:v>
                </c:pt>
                <c:pt idx="20">
                  <c:v>5.4997531231174248</c:v>
                </c:pt>
                <c:pt idx="21">
                  <c:v>5.5102662512944844</c:v>
                </c:pt>
                <c:pt idx="22">
                  <c:v>5.522029932845987</c:v>
                </c:pt>
                <c:pt idx="23">
                  <c:v>5.5350474257695756</c:v>
                </c:pt>
                <c:pt idx="24">
                  <c:v>5.5493313637044546</c:v>
                </c:pt>
                <c:pt idx="25">
                  <c:v>5.5649042749857482</c:v>
                </c:pt>
                <c:pt idx="26">
                  <c:v>5.5817994131568156</c:v>
                </c:pt>
                <c:pt idx="27">
                  <c:v>5.6000619037514623</c:v>
                </c:pt>
                <c:pt idx="28">
                  <c:v>5.6197502019420016</c:v>
                </c:pt>
                <c:pt idx="29">
                  <c:v>5.6409378300125637</c:v>
                </c:pt>
                <c:pt idx="30">
                  <c:v>5.6637153132722418</c:v>
                </c:pt>
                <c:pt idx="31">
                  <c:v>5.6881921454971556</c:v>
                </c:pt>
                <c:pt idx="32">
                  <c:v>5.7144984763499123</c:v>
                </c:pt>
                <c:pt idx="33">
                  <c:v>5.7427860142482094</c:v>
                </c:pt>
                <c:pt idx="34">
                  <c:v>5.7732273887521597</c:v>
                </c:pt>
                <c:pt idx="35">
                  <c:v>5.8060129713618478</c:v>
                </c:pt>
                <c:pt idx="36">
                  <c:v>5.8413440439207971</c:v>
                </c:pt>
                <c:pt idx="37">
                  <c:v>5.8794214494991177</c:v>
                </c:pt>
                <c:pt idx="38">
                  <c:v>5.9204297059532074</c:v>
                </c:pt>
                <c:pt idx="39">
                  <c:v>5.9645180788260923</c:v>
                </c:pt>
                <c:pt idx="40">
                  <c:v>6.01178191684299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A0C-496F-BA72-9837BFAD9040}"/>
            </c:ext>
          </c:extLst>
        </c:ser>
        <c:ser>
          <c:idx val="6"/>
          <c:order val="6"/>
          <c:tx>
            <c:strRef>
              <c:f>NonLin3!$I$34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NonLin3!$I$35:$I$75</c:f>
              <c:numCache>
                <c:formatCode>General</c:formatCode>
                <c:ptCount val="41"/>
                <c:pt idx="0">
                  <c:v>5.6313389432226568</c:v>
                </c:pt>
                <c:pt idx="1">
                  <c:v>5.5965043225855089</c:v>
                </c:pt>
                <c:pt idx="2">
                  <c:v>5.5652192981890813</c:v>
                </c:pt>
                <c:pt idx="3">
                  <c:v>5.5374083746102274</c:v>
                </c:pt>
                <c:pt idx="4">
                  <c:v>5.5129494159108114</c:v>
                </c:pt>
                <c:pt idx="5">
                  <c:v>5.4916850918848912</c:v>
                </c:pt>
                <c:pt idx="6">
                  <c:v>5.4734356267484072</c:v>
                </c:pt>
                <c:pt idx="7">
                  <c:v>5.4580109269102319</c:v>
                </c:pt>
                <c:pt idx="8">
                  <c:v>5.445220779446065</c:v>
                </c:pt>
                <c:pt idx="9">
                  <c:v>5.4348825292365985</c:v>
                </c:pt>
                <c:pt idx="10">
                  <c:v>5.4268262278672248</c:v>
                </c:pt>
                <c:pt idx="11">
                  <c:v>5.4208976071780359</c:v>
                </c:pt>
                <c:pt idx="12">
                  <c:v>5.4169593796446867</c:v>
                </c:pt>
                <c:pt idx="13">
                  <c:v>5.4148913714431712</c:v>
                </c:pt>
                <c:pt idx="14">
                  <c:v>5.414589920853488</c:v>
                </c:pt>
                <c:pt idx="15">
                  <c:v>5.4159668755131527</c:v>
                </c:pt>
                <c:pt idx="16">
                  <c:v>5.4189484265364189</c:v>
                </c:pt>
                <c:pt idx="17">
                  <c:v>5.4234739387673239</c:v>
                </c:pt>
                <c:pt idx="18">
                  <c:v>5.4294948774680716</c:v>
                </c:pt>
                <c:pt idx="19">
                  <c:v>5.4369738906224434</c:v>
                </c:pt>
                <c:pt idx="20">
                  <c:v>5.445884079022596</c:v>
                </c:pt>
                <c:pt idx="21">
                  <c:v>5.4562084695072706</c:v>
                </c:pt>
                <c:pt idx="22">
                  <c:v>5.4679396967177913</c:v>
                </c:pt>
                <c:pt idx="23">
                  <c:v>5.4810798927316489</c:v>
                </c:pt>
                <c:pt idx="24">
                  <c:v>5.4956407795963065</c:v>
                </c:pt>
                <c:pt idx="25">
                  <c:v>5.5116439550419143</c:v>
                </c:pt>
                <c:pt idx="26">
                  <c:v>5.5291213544229452</c:v>
                </c:pt>
                <c:pt idx="27">
                  <c:v>5.5481158599220519</c:v>
                </c:pt>
                <c:pt idx="28">
                  <c:v>5.5686820085772943</c:v>
                </c:pt>
                <c:pt idx="29">
                  <c:v>5.5908867207949307</c:v>
                </c:pt>
                <c:pt idx="30">
                  <c:v>5.6148099278720949</c:v>
                </c:pt>
                <c:pt idx="31">
                  <c:v>5.6405449192187316</c:v>
                </c:pt>
                <c:pt idx="32">
                  <c:v>5.6681981596739064</c:v>
                </c:pt>
                <c:pt idx="33">
                  <c:v>5.6978882542584657</c:v>
                </c:pt>
                <c:pt idx="34">
                  <c:v>5.7297436838189348</c:v>
                </c:pt>
                <c:pt idx="35">
                  <c:v>5.763898938022936</c:v>
                </c:pt>
                <c:pt idx="36">
                  <c:v>5.8004887829949467</c:v>
                </c:pt>
                <c:pt idx="37">
                  <c:v>5.8396406675979655</c:v>
                </c:pt>
                <c:pt idx="38">
                  <c:v>5.8814657059730262</c:v>
                </c:pt>
                <c:pt idx="39">
                  <c:v>5.9260492047157829</c:v>
                </c:pt>
                <c:pt idx="40">
                  <c:v>5.9734421587340076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A0C-496F-BA72-9837BFAD9040}"/>
            </c:ext>
          </c:extLst>
        </c:ser>
        <c:ser>
          <c:idx val="7"/>
          <c:order val="7"/>
          <c:tx>
            <c:strRef>
              <c:f>NonLin3!$J$34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NonLin3!$J$35:$J$75</c:f>
              <c:numCache>
                <c:formatCode>General</c:formatCode>
                <c:ptCount val="41"/>
                <c:pt idx="0">
                  <c:v>5.6063591431783282</c:v>
                </c:pt>
                <c:pt idx="1">
                  <c:v>5.5714073402314455</c:v>
                </c:pt>
                <c:pt idx="2">
                  <c:v>5.5396478128312188</c:v>
                </c:pt>
                <c:pt idx="3">
                  <c:v>5.5110364926215567</c:v>
                </c:pt>
                <c:pt idx="4">
                  <c:v>5.4854982093652334</c:v>
                </c:pt>
                <c:pt idx="5">
                  <c:v>5.4629324276709923</c:v>
                </c:pt>
                <c:pt idx="6">
                  <c:v>5.4432200178668992</c:v>
                </c:pt>
                <c:pt idx="7">
                  <c:v>5.4262302133542626</c:v>
                </c:pt>
                <c:pt idx="8">
                  <c:v>5.4118270579453318</c:v>
                </c:pt>
                <c:pt idx="9">
                  <c:v>5.3998748858145742</c:v>
                </c:pt>
                <c:pt idx="10">
                  <c:v>5.3902426243031281</c:v>
                </c:pt>
                <c:pt idx="11">
                  <c:v>5.3828069115070143</c:v>
                </c:pt>
                <c:pt idx="12">
                  <c:v>5.3774541539479834</c:v>
                </c:pt>
                <c:pt idx="13">
                  <c:v>5.3740817171782815</c:v>
                </c:pt>
                <c:pt idx="14">
                  <c:v>5.3725984594760678</c:v>
                </c:pt>
                <c:pt idx="15">
                  <c:v>5.37292480446947</c:v>
                </c:pt>
                <c:pt idx="16">
                  <c:v>5.3749925184654765</c:v>
                </c:pt>
                <c:pt idx="17">
                  <c:v>5.3787443235351553</c:v>
                </c:pt>
                <c:pt idx="18">
                  <c:v>5.3841334444981106</c:v>
                </c:pt>
                <c:pt idx="19">
                  <c:v>5.391123159859939</c:v>
                </c:pt>
                <c:pt idx="20">
                  <c:v>5.3996864042490431</c:v>
                </c:pt>
                <c:pt idx="21">
                  <c:v>5.4098054524779053</c:v>
                </c:pt>
                <c:pt idx="22">
                  <c:v>5.4214717019210248</c:v>
                </c:pt>
                <c:pt idx="23">
                  <c:v>5.4346855591323049</c:v>
                </c:pt>
                <c:pt idx="24">
                  <c:v>5.4494564271498858</c:v>
                </c:pt>
                <c:pt idx="25">
                  <c:v>5.4658027804139291</c:v>
                </c:pt>
                <c:pt idx="26">
                  <c:v>5.4837523033655042</c:v>
                </c:pt>
                <c:pt idx="27">
                  <c:v>5.5033420554165282</c:v>
                </c:pt>
                <c:pt idx="28">
                  <c:v>5.5246186081196766</c:v>
                </c:pt>
                <c:pt idx="29">
                  <c:v>5.5476380795516063</c:v>
                </c:pt>
                <c:pt idx="30">
                  <c:v>5.5724659666450984</c:v>
                </c:pt>
                <c:pt idx="31">
                  <c:v>5.5991766506422671</c:v>
                </c:pt>
                <c:pt idx="32">
                  <c:v>5.6278524287590628</c:v>
                </c:pt>
                <c:pt idx="33">
                  <c:v>5.6585819147386065</c:v>
                </c:pt>
                <c:pt idx="34">
                  <c:v>5.6914576639788521</c:v>
                </c:pt>
                <c:pt idx="35">
                  <c:v>5.7265729291363501</c:v>
                </c:pt>
                <c:pt idx="36">
                  <c:v>5.7640175510616931</c:v>
                </c:pt>
                <c:pt idx="37">
                  <c:v>5.8038731394688474</c:v>
                </c:pt>
                <c:pt idx="38">
                  <c:v>5.8462078812848324</c:v>
                </c:pt>
                <c:pt idx="39">
                  <c:v>5.8910714918708997</c:v>
                </c:pt>
                <c:pt idx="40">
                  <c:v>5.9384909363828697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A0C-496F-BA72-9837BFAD9040}"/>
            </c:ext>
          </c:extLst>
        </c:ser>
        <c:ser>
          <c:idx val="8"/>
          <c:order val="8"/>
          <c:tx>
            <c:strRef>
              <c:f>NonLin3!$K$34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NonLin3!$K$35:$K$75</c:f>
              <c:numCache>
                <c:formatCode>General</c:formatCode>
                <c:ptCount val="41"/>
                <c:pt idx="0">
                  <c:v>5.583829187838222</c:v>
                </c:pt>
                <c:pt idx="1">
                  <c:v>5.548835687966255</c:v>
                </c:pt>
                <c:pt idx="2">
                  <c:v>5.5167735881730833</c:v>
                </c:pt>
                <c:pt idx="3">
                  <c:v>5.4876172738366815</c:v>
                </c:pt>
                <c:pt idx="4">
                  <c:v>5.4613195551511584</c:v>
                </c:pt>
                <c:pt idx="5">
                  <c:v>5.437814785900513</c:v>
                </c:pt>
                <c:pt idx="6">
                  <c:v>5.4170226858095401</c:v>
                </c:pt>
                <c:pt idx="7">
                  <c:v>5.3988524725350029</c:v>
                </c:pt>
                <c:pt idx="8">
                  <c:v>5.3832069414823138</c:v>
                </c:pt>
                <c:pt idx="9">
                  <c:v>5.3699862106347185</c:v>
                </c:pt>
                <c:pt idx="10">
                  <c:v>5.3590909474122652</c:v>
                </c:pt>
                <c:pt idx="11">
                  <c:v>5.3504249920646076</c:v>
                </c:pt>
                <c:pt idx="12">
                  <c:v>5.3438973719801153</c:v>
                </c:pt>
                <c:pt idx="13">
                  <c:v>5.3394237570712075</c:v>
                </c:pt>
                <c:pt idx="14">
                  <c:v>5.3369274384410268</c:v>
                </c:pt>
                <c:pt idx="15">
                  <c:v>5.3363399251856229</c:v>
                </c:pt>
                <c:pt idx="16">
                  <c:v>5.3376012531589598</c:v>
                </c:pt>
                <c:pt idx="17">
                  <c:v>5.3406600902168462</c:v>
                </c:pt>
                <c:pt idx="18">
                  <c:v>5.3454737090914213</c:v>
                </c:pt>
                <c:pt idx="19">
                  <c:v>5.3520078845040429</c:v>
                </c:pt>
                <c:pt idx="20">
                  <c:v>5.3602367570719682</c:v>
                </c:pt>
                <c:pt idx="21">
                  <c:v>5.3701426937574972</c:v>
                </c:pt>
                <c:pt idx="22">
                  <c:v>5.381716163178246</c:v>
                </c:pt>
                <c:pt idx="23">
                  <c:v>5.3949556337935061</c:v>
                </c:pt>
                <c:pt idx="24">
                  <c:v>5.4098674933541382</c:v>
                </c:pt>
                <c:pt idx="25">
                  <c:v>5.4264659785370268</c:v>
                </c:pt>
                <c:pt idx="26">
                  <c:v>5.4447730939118015</c:v>
                </c:pt>
                <c:pt idx="27">
                  <c:v>5.4648184890004474</c:v>
                </c:pt>
                <c:pt idx="28">
                  <c:v>5.486639251184763</c:v>
                </c:pt>
                <c:pt idx="29">
                  <c:v>5.5102795610693107</c:v>
                </c:pt>
                <c:pt idx="30">
                  <c:v>5.5357901467923938</c:v>
                </c:pt>
                <c:pt idx="31">
                  <c:v>5.5632274667753192</c:v>
                </c:pt>
                <c:pt idx="32">
                  <c:v>5.5926525496093369</c:v>
                </c:pt>
                <c:pt idx="33">
                  <c:v>5.6241294291678487</c:v>
                </c:pt>
                <c:pt idx="34">
                  <c:v>5.6577231368176202</c:v>
                </c:pt>
                <c:pt idx="35">
                  <c:v>5.6934972539855409</c:v>
                </c:pt>
                <c:pt idx="36">
                  <c:v>5.7315110875815378</c:v>
                </c:pt>
                <c:pt idx="37">
                  <c:v>5.7718166030679168</c:v>
                </c:pt>
                <c:pt idx="38">
                  <c:v>5.814455323989792</c:v>
                </c:pt>
                <c:pt idx="39">
                  <c:v>5.8594554653734523</c:v>
                </c:pt>
                <c:pt idx="40">
                  <c:v>5.906829592261035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A0C-496F-BA72-9837BFAD9040}"/>
            </c:ext>
          </c:extLst>
        </c:ser>
        <c:ser>
          <c:idx val="9"/>
          <c:order val="9"/>
          <c:tx>
            <c:strRef>
              <c:f>NonLin3!$L$34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NonLin3!$L$35:$L$75</c:f>
              <c:numCache>
                <c:formatCode>General</c:formatCode>
                <c:ptCount val="41"/>
                <c:pt idx="0">
                  <c:v>5.5636722845427373</c:v>
                </c:pt>
                <c:pt idx="1">
                  <c:v>5.528689444933848</c:v>
                </c:pt>
                <c:pt idx="2">
                  <c:v>5.4964423096806989</c:v>
                </c:pt>
                <c:pt idx="3">
                  <c:v>5.4669169292522186</c:v>
                </c:pt>
                <c:pt idx="4">
                  <c:v>5.4400838673468463</c:v>
                </c:pt>
                <c:pt idx="5">
                  <c:v>5.4159000161654882</c:v>
                </c:pt>
                <c:pt idx="6">
                  <c:v>5.3943108775457</c:v>
                </c:pt>
                <c:pt idx="7">
                  <c:v>5.3752531160599517</c:v>
                </c:pt>
                <c:pt idx="8">
                  <c:v>5.3586571924581818</c:v>
                </c:pt>
                <c:pt idx="9">
                  <c:v>5.3444499111726653</c:v>
                </c:pt>
                <c:pt idx="10">
                  <c:v>5.3325567553696596</c:v>
                </c:pt>
                <c:pt idx="11">
                  <c:v>5.3229039279979666</c:v>
                </c:pt>
                <c:pt idx="12">
                  <c:v>5.3154200598057173</c:v>
                </c:pt>
                <c:pt idx="13">
                  <c:v>5.3100375804137503</c:v>
                </c:pt>
                <c:pt idx="14">
                  <c:v>5.3066937740503661</c:v>
                </c:pt>
                <c:pt idx="15">
                  <c:v>5.3053315574550624</c:v>
                </c:pt>
                <c:pt idx="16">
                  <c:v>5.3059000250936226</c:v>
                </c:pt>
                <c:pt idx="17">
                  <c:v>5.3083548081319076</c:v>
                </c:pt>
                <c:pt idx="18">
                  <c:v>5.3126582905630695</c:v>
                </c:pt>
                <c:pt idx="19">
                  <c:v>5.318779720156245</c:v>
                </c:pt>
                <c:pt idx="20">
                  <c:v>5.3266952447586977</c:v>
                </c:pt>
                <c:pt idx="21">
                  <c:v>5.3363878967802814</c:v>
                </c:pt>
                <c:pt idx="22">
                  <c:v>5.3478475409063515</c:v>
                </c:pt>
                <c:pt idx="23">
                  <c:v>5.3610707924484888</c:v>
                </c:pt>
                <c:pt idx="24">
                  <c:v>5.3760609063151339</c:v>
                </c:pt>
                <c:pt idx="25">
                  <c:v>5.3928276293618627</c:v>
                </c:pt>
                <c:pt idx="26">
                  <c:v>5.4113870018797776</c:v>
                </c:pt>
                <c:pt idx="27">
                  <c:v>5.4317610873233075</c:v>
                </c:pt>
                <c:pt idx="28">
                  <c:v>5.45397760337843</c:v>
                </c:pt>
                <c:pt idx="29">
                  <c:v>5.4780694227071614</c:v>
                </c:pt>
                <c:pt idx="30">
                  <c:v>5.5040739090702155</c:v>
                </c:pt>
                <c:pt idx="31">
                  <c:v>5.5320320552393065</c:v>
                </c:pt>
                <c:pt idx="32">
                  <c:v>5.5619873945964899</c:v>
                </c:pt>
                <c:pt idx="33">
                  <c:v>5.5939846699930671</c:v>
                </c:pt>
                <c:pt idx="34">
                  <c:v>5.6280682622840965</c:v>
                </c:pt>
                <c:pt idx="35">
                  <c:v>5.6642804069431421</c:v>
                </c:pt>
                <c:pt idx="36">
                  <c:v>5.7026592586582137</c:v>
                </c:pt>
                <c:pt idx="37">
                  <c:v>5.743236897132495</c:v>
                </c:pt>
                <c:pt idx="38">
                  <c:v>5.7860373967946073</c:v>
                </c:pt>
                <c:pt idx="39">
                  <c:v>5.8310751019223783</c:v>
                </c:pt>
                <c:pt idx="40">
                  <c:v>5.8783532504042126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A0C-496F-BA72-9837BFAD9040}"/>
            </c:ext>
          </c:extLst>
        </c:ser>
        <c:ser>
          <c:idx val="10"/>
          <c:order val="10"/>
          <c:tx>
            <c:strRef>
              <c:f>NonLin3!$M$34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NonLin3!$M$35:$M$75</c:f>
              <c:numCache>
                <c:formatCode>General</c:formatCode>
                <c:ptCount val="41"/>
                <c:pt idx="0">
                  <c:v>5.5458096264818897</c:v>
                </c:pt>
                <c:pt idx="1">
                  <c:v>5.5108734541645168</c:v>
                </c:pt>
                <c:pt idx="2">
                  <c:v>5.478523255135797</c:v>
                </c:pt>
                <c:pt idx="3">
                  <c:v>5.4487528846074804</c:v>
                </c:pt>
                <c:pt idx="4">
                  <c:v>5.421544746075794</c:v>
                </c:pt>
                <c:pt idx="5">
                  <c:v>5.3968709105952719</c:v>
                </c:pt>
                <c:pt idx="6">
                  <c:v>5.3746945465925045</c:v>
                </c:pt>
                <c:pt idx="7">
                  <c:v>5.3549715594148779</c:v>
                </c:pt>
                <c:pt idx="8">
                  <c:v>5.3376523357236207</c:v>
                </c:pt>
                <c:pt idx="9">
                  <c:v>5.3226834950822361</c:v>
                </c:pt>
                <c:pt idx="10">
                  <c:v>5.3100095667439398</c:v>
                </c:pt>
                <c:pt idx="11">
                  <c:v>5.2995745300546906</c:v>
                </c:pt>
                <c:pt idx="12">
                  <c:v>5.2913231785342489</c:v>
                </c:pt>
                <c:pt idx="13">
                  <c:v>5.2852022877690459</c:v>
                </c:pt>
                <c:pt idx="14">
                  <c:v>5.2811615839294603</c:v>
                </c:pt>
                <c:pt idx="15">
                  <c:v>5.2791545221677154</c:v>
                </c:pt>
                <c:pt idx="16">
                  <c:v>5.2791388922982545</c:v>
                </c:pt>
                <c:pt idx="17">
                  <c:v>5.2810772734625466</c:v>
                </c:pt>
                <c:pt idx="18">
                  <c:v>5.2849373606480041</c:v>
                </c:pt>
                <c:pt idx="19">
                  <c:v>5.290692184743051</c:v>
                </c:pt>
                <c:pt idx="20">
                  <c:v>5.2983202449820235</c:v>
                </c:pt>
                <c:pt idx="21">
                  <c:v>5.3078055687533094</c:v>
                </c:pt>
                <c:pt idx="22">
                  <c:v>5.3191377092614269</c:v>
                </c:pt>
                <c:pt idx="23">
                  <c:v>5.3323116867751272</c:v>
                </c:pt>
                <c:pt idx="24">
                  <c:v>5.3473278743991424</c:v>
                </c:pt>
                <c:pt idx="25">
                  <c:v>5.3641918246734157</c:v>
                </c:pt>
                <c:pt idx="26">
                  <c:v>5.3829140290297861</c:v>
                </c:pt>
                <c:pt idx="27">
                  <c:v>5.4035095984661616</c:v>
                </c:pt>
                <c:pt idx="28">
                  <c:v>5.4259978510552109</c:v>
                </c:pt>
                <c:pt idx="29">
                  <c:v>5.4504017905087405</c:v>
                </c:pt>
                <c:pt idx="30">
                  <c:v>5.4767474604808939</c:v>
                </c:pt>
                <c:pt idx="31">
                  <c:v>5.5050631621702077</c:v>
                </c:pt>
                <c:pt idx="32">
                  <c:v>5.535378528583248</c:v>
                </c:pt>
                <c:pt idx="33">
                  <c:v>5.5677234578707182</c:v>
                </c:pt>
                <c:pt idx="34">
                  <c:v>5.602126920381159</c:v>
                </c:pt>
                <c:pt idx="35">
                  <c:v>5.6386156688622187</c:v>
                </c:pt>
                <c:pt idx="36">
                  <c:v>5.6772128972194826</c:v>
                </c:pt>
                <c:pt idx="37">
                  <c:v>5.7179369083313851</c:v>
                </c:pt>
                <c:pt idx="38">
                  <c:v>5.7607998629967323</c:v>
                </c:pt>
                <c:pt idx="39">
                  <c:v>5.8058066874509509</c:v>
                </c:pt>
                <c:pt idx="40">
                  <c:v>5.8529542138639519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A0C-496F-BA72-9837BFAD9040}"/>
            </c:ext>
          </c:extLst>
        </c:ser>
        <c:ser>
          <c:idx val="11"/>
          <c:order val="11"/>
          <c:tx>
            <c:strRef>
              <c:f>NonLin3!$N$34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NonLin3!$N$35:$N$75</c:f>
              <c:numCache>
                <c:formatCode>General</c:formatCode>
                <c:ptCount val="41"/>
                <c:pt idx="0">
                  <c:v>5.5301627164321872</c:v>
                </c:pt>
                <c:pt idx="1">
                  <c:v>5.4952968356202252</c:v>
                </c:pt>
                <c:pt idx="2">
                  <c:v>5.4629007277122179</c:v>
                </c:pt>
                <c:pt idx="3">
                  <c:v>5.4329736979804801</c:v>
                </c:pt>
                <c:pt idx="4">
                  <c:v>5.4055063554675522</c:v>
                </c:pt>
                <c:pt idx="5">
                  <c:v>5.3804813376471365</c:v>
                </c:pt>
                <c:pt idx="6">
                  <c:v>5.3578742457296311</c:v>
                </c:pt>
                <c:pt idx="7">
                  <c:v>5.3376547354816193</c:v>
                </c:pt>
                <c:pt idx="8">
                  <c:v>5.3197877039684522</c:v>
                </c:pt>
                <c:pt idx="9">
                  <c:v>5.3042345138612621</c:v>
                </c:pt>
                <c:pt idx="10">
                  <c:v>5.290954202879079</c:v>
                </c:pt>
                <c:pt idx="11">
                  <c:v>5.2799046351031169</c:v>
                </c:pt>
                <c:pt idx="12">
                  <c:v>5.2710435617081774</c:v>
                </c:pt>
                <c:pt idx="13">
                  <c:v>5.2643295696531904</c:v>
                </c:pt>
                <c:pt idx="14">
                  <c:v>5.2597229069286673</c:v>
                </c:pt>
                <c:pt idx="15">
                  <c:v>5.2571861813380378</c:v>
                </c:pt>
                <c:pt idx="16">
                  <c:v>5.2566849361360219</c:v>
                </c:pt>
                <c:pt idx="17">
                  <c:v>5.2581881101125365</c:v>
                </c:pt>
                <c:pt idx="18">
                  <c:v>5.2616683920616047</c:v>
                </c:pt>
                <c:pt idx="19">
                  <c:v>5.2671024803011512</c:v>
                </c:pt>
                <c:pt idx="20">
                  <c:v>5.2744712573508572</c:v>
                </c:pt>
                <c:pt idx="21">
                  <c:v>5.2837598883698167</c:v>
                </c:pt>
                <c:pt idx="22">
                  <c:v>5.2949578498137226</c:v>
                </c:pt>
                <c:pt idx="23">
                  <c:v>5.3080588922655636</c:v>
                </c:pt>
                <c:pt idx="24">
                  <c:v>5.3230609387644137</c:v>
                </c:pt>
                <c:pt idx="25">
                  <c:v>5.3399659174235943</c:v>
                </c:pt>
                <c:pt idx="26">
                  <c:v>5.3587795249071188</c:v>
                </c:pt>
                <c:pt idx="27">
                  <c:v>5.3795109156450112</c:v>
                </c:pt>
                <c:pt idx="28">
                  <c:v>5.4021723107533965</c:v>
                </c:pt>
                <c:pt idx="29">
                  <c:v>5.4267785207366259</c:v>
                </c:pt>
                <c:pt idx="30">
                  <c:v>5.4533463774341655</c:v>
                </c:pt>
                <c:pt idx="31">
                  <c:v>5.4818940735431196</c:v>
                </c:pt>
                <c:pt idx="32">
                  <c:v>5.5124404125136852</c:v>
                </c:pt>
                <c:pt idx="33">
                  <c:v>5.545003977635993</c:v>
                </c:pt>
                <c:pt idx="34">
                  <c:v>5.5796022364410742</c:v>
                </c:pt>
                <c:pt idx="35">
                  <c:v>5.6162506045740272</c:v>
                </c:pt>
                <c:pt idx="36">
                  <c:v>5.6549615012204004</c:v>
                </c:pt>
                <c:pt idx="37">
                  <c:v>5.6957434348958014</c:v>
                </c:pt>
                <c:pt idx="38">
                  <c:v>5.738600162757578</c:v>
                </c:pt>
                <c:pt idx="39">
                  <c:v>5.7835299674803746</c:v>
                </c:pt>
                <c:pt idx="40">
                  <c:v>5.8305250924144101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A0C-496F-BA72-9837BFAD9040}"/>
            </c:ext>
          </c:extLst>
        </c:ser>
        <c:ser>
          <c:idx val="12"/>
          <c:order val="12"/>
          <c:tx>
            <c:strRef>
              <c:f>NonLin3!$O$34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NonLin3!$O$35:$O$75</c:f>
              <c:numCache>
                <c:formatCode>General</c:formatCode>
                <c:ptCount val="41"/>
                <c:pt idx="0">
                  <c:v>5.5166554323775854</c:v>
                </c:pt>
                <c:pt idx="1">
                  <c:v>5.4818736815489117</c:v>
                </c:pt>
                <c:pt idx="2">
                  <c:v>5.4494706627454015</c:v>
                </c:pt>
                <c:pt idx="3">
                  <c:v>5.4194496060955029</c:v>
                </c:pt>
                <c:pt idx="4">
                  <c:v>5.3918069721291459</c:v>
                </c:pt>
                <c:pt idx="5">
                  <c:v>5.3665329407680904</c:v>
                </c:pt>
                <c:pt idx="6">
                  <c:v>5.3436120461804713</c:v>
                </c:pt>
                <c:pt idx="7">
                  <c:v>5.3230239258930778</c:v>
                </c:pt>
                <c:pt idx="8">
                  <c:v>5.3047441489901956</c:v>
                </c:pt>
                <c:pt idx="9">
                  <c:v>5.2887450876128996</c:v>
                </c:pt>
                <c:pt idx="10">
                  <c:v>5.2749967979744126</c:v>
                </c:pt>
                <c:pt idx="11">
                  <c:v>5.2634678811331028</c:v>
                </c:pt>
                <c:pt idx="12">
                  <c:v>5.2541262990924817</c:v>
                </c:pt>
                <c:pt idx="13">
                  <c:v>5.2469401276980454</c:v>
                </c:pt>
                <c:pt idx="14">
                  <c:v>5.2418782336349166</c:v>
                </c:pt>
                <c:pt idx="15">
                  <c:v>5.2389108681077472</c:v>
                </c:pt>
                <c:pt idx="16">
                  <c:v>5.2380101741848506</c:v>
                </c:pt>
                <c:pt idx="17">
                  <c:v>5.2391506081532633</c:v>
                </c:pt>
                <c:pt idx="18">
                  <c:v>5.2423092775349751</c:v>
                </c:pt>
                <c:pt idx="19">
                  <c:v>5.2474661997305372</c:v>
                </c:pt>
                <c:pt idx="20">
                  <c:v>5.2546044857213197</c:v>
                </c:pt>
                <c:pt idx="21">
                  <c:v>5.2637104530470715</c:v>
                </c:pt>
                <c:pt idx="22">
                  <c:v>5.2747736715658764</c:v>
                </c:pt>
                <c:pt idx="23">
                  <c:v>5.2877869444842203</c:v>
                </c:pt>
                <c:pt idx="24">
                  <c:v>5.3027462259957243</c:v>
                </c:pt>
                <c:pt idx="25">
                  <c:v>5.3196504757614083</c:v>
                </c:pt>
                <c:pt idx="26">
                  <c:v>5.3385014495693826</c:v>
                </c:pt>
                <c:pt idx="27">
                  <c:v>5.3593034249890517</c:v>
                </c:pt>
                <c:pt idx="28">
                  <c:v>5.3820628608369203</c:v>
                </c:pt>
                <c:pt idx="29">
                  <c:v>5.4067879899343279</c:v>
                </c:pt>
                <c:pt idx="30">
                  <c:v>5.4334883460678585</c:v>
                </c:pt>
                <c:pt idx="31">
                  <c:v>5.4621742283163268</c:v>
                </c:pt>
                <c:pt idx="32">
                  <c:v>5.4928561089643946</c:v>
                </c:pt>
                <c:pt idx="33">
                  <c:v>5.5255439949617102</c:v>
                </c:pt>
                <c:pt idx="34">
                  <c:v>5.5602467570674428</c:v>
                </c:pt>
                <c:pt idx="35">
                  <c:v>5.5969714450762993</c:v>
                </c:pt>
                <c:pt idx="36">
                  <c:v>5.6357226113766794</c:v>
                </c:pt>
                <c:pt idx="37">
                  <c:v>5.6765016680008618</c:v>
                </c:pt>
                <c:pt idx="38">
                  <c:v>5.7193063037528127</c:v>
                </c:pt>
                <c:pt idx="39">
                  <c:v>5.764129987499695</c:v>
                </c:pt>
                <c:pt idx="40">
                  <c:v>5.8109615810393151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A0C-496F-BA72-9837BFAD9040}"/>
            </c:ext>
          </c:extLst>
        </c:ser>
        <c:ser>
          <c:idx val="13"/>
          <c:order val="13"/>
          <c:tx>
            <c:strRef>
              <c:f>NonLin3!$P$34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NonLin3!$P$35:$P$75</c:f>
              <c:numCache>
                <c:formatCode>General</c:formatCode>
                <c:ptCount val="41"/>
                <c:pt idx="0">
                  <c:v>5.5052158058288008</c:v>
                </c:pt>
                <c:pt idx="1">
                  <c:v>5.4705241116045809</c:v>
                </c:pt>
                <c:pt idx="2">
                  <c:v>5.4381394611402278</c:v>
                </c:pt>
                <c:pt idx="3">
                  <c:v>5.4080679693139233</c:v>
                </c:pt>
                <c:pt idx="4">
                  <c:v>5.3803103522687348</c:v>
                </c:pt>
                <c:pt idx="5">
                  <c:v>5.3548622692374881</c:v>
                </c:pt>
                <c:pt idx="6">
                  <c:v>5.3317147675713397</c:v>
                </c:pt>
                <c:pt idx="7">
                  <c:v>5.3108548120216792</c:v>
                </c:pt>
                <c:pt idx="8">
                  <c:v>5.2922658767058834</c:v>
                </c:pt>
                <c:pt idx="9">
                  <c:v>5.2759285771485729</c:v>
                </c:pt>
                <c:pt idx="10">
                  <c:v>5.2618213202289166</c:v>
                </c:pt>
                <c:pt idx="11">
                  <c:v>5.2499209515396332</c:v>
                </c:pt>
                <c:pt idx="12">
                  <c:v>5.2402033822449621</c:v>
                </c:pt>
                <c:pt idx="13">
                  <c:v>5.2326441806498032</c:v>
                </c:pt>
                <c:pt idx="14">
                  <c:v>5.2272191170130125</c:v>
                </c:pt>
                <c:pt idx="15">
                  <c:v>5.223904653357768</c:v>
                </c:pt>
                <c:pt idx="16">
                  <c:v>5.2226783729268345</c:v>
                </c:pt>
                <c:pt idx="17">
                  <c:v>5.2235193463548812</c:v>
                </c:pt>
                <c:pt idx="18">
                  <c:v>5.2264084335129759</c:v>
                </c:pt>
                <c:pt idx="19">
                  <c:v>5.2313285213146026</c:v>
                </c:pt>
                <c:pt idx="20">
                  <c:v>5.2382646985998988</c:v>
                </c:pt>
                <c:pt idx="21">
                  <c:v>5.2472043696117465</c:v>
                </c:pt>
                <c:pt idx="22">
                  <c:v>5.2581373076426203</c:v>
                </c:pt>
                <c:pt idx="23">
                  <c:v>5.2710556502754748</c:v>
                </c:pt>
                <c:pt idx="24">
                  <c:v>5.2859538373812045</c:v>
                </c:pt>
                <c:pt idx="25">
                  <c:v>5.3028284927847489</c:v>
                </c:pt>
                <c:pt idx="26">
                  <c:v>5.3216782503825169</c:v>
                </c:pt>
                <c:pt idx="27">
                  <c:v>5.3425035255877926</c:v>
                </c:pt>
                <c:pt idx="28">
                  <c:v>5.3653062333863115</c:v>
                </c:pt>
                <c:pt idx="29">
                  <c:v>5.39008945506915</c:v>
                </c:pt>
                <c:pt idx="30">
                  <c:v>5.4168570569126162</c:v>
                </c:pt>
                <c:pt idx="31">
                  <c:v>5.4456132656942469</c:v>
                </c:pt>
                <c:pt idx="32">
                  <c:v>5.47636220792013</c:v>
                </c:pt>
                <c:pt idx="33">
                  <c:v>5.5091074218845888</c:v>
                </c:pt>
                <c:pt idx="34">
                  <c:v>5.5438513540223333</c:v>
                </c:pt>
                <c:pt idx="35">
                  <c:v>5.5805948532247509</c:v>
                </c:pt>
                <c:pt idx="36">
                  <c:v>5.6193366786170991</c:v>
                </c:pt>
                <c:pt idx="37">
                  <c:v>5.6600730374613528</c:v>
                </c:pt>
                <c:pt idx="38">
                  <c:v>5.7027971701142697</c:v>
                </c:pt>
                <c:pt idx="39">
                  <c:v>5.7474989981513041</c:v>
                </c:pt>
                <c:pt idx="40">
                  <c:v>5.7941648497868243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A0C-496F-BA72-9837BFAD9040}"/>
            </c:ext>
          </c:extLst>
        </c:ser>
        <c:ser>
          <c:idx val="14"/>
          <c:order val="14"/>
          <c:tx>
            <c:strRef>
              <c:f>NonLin3!$Q$34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NonLin3!$Q$35:$Q$75</c:f>
              <c:numCache>
                <c:formatCode>General</c:formatCode>
                <c:ptCount val="41"/>
                <c:pt idx="0">
                  <c:v>5.4957775082590423</c:v>
                </c:pt>
                <c:pt idx="1">
                  <c:v>5.4611753460419683</c:v>
                </c:pt>
                <c:pt idx="2">
                  <c:v>5.4288237762087839</c:v>
                </c:pt>
                <c:pt idx="3">
                  <c:v>5.3987310571987956</c:v>
                </c:pt>
                <c:pt idx="4">
                  <c:v>5.3709010351378552</c:v>
                </c:pt>
                <c:pt idx="5">
                  <c:v>5.3453333903310298</c:v>
                </c:pt>
                <c:pt idx="6">
                  <c:v>5.322023958428634</c:v>
                </c:pt>
                <c:pt idx="7">
                  <c:v>5.3009651143924126</c:v>
                </c:pt>
                <c:pt idx="8">
                  <c:v>5.2821462055092772</c:v>
                </c:pt>
                <c:pt idx="9">
                  <c:v>5.2655540186965011</c:v>
                </c:pt>
                <c:pt idx="10">
                  <c:v>5.2511732671921063</c:v>
                </c:pt>
                <c:pt idx="11">
                  <c:v>5.2389870823302829</c:v>
                </c:pt>
                <c:pt idx="12">
                  <c:v>5.2289774973125578</c:v>
                </c:pt>
                <c:pt idx="13">
                  <c:v>5.2211259115205593</c:v>
                </c:pt>
                <c:pt idx="14">
                  <c:v>5.2154135257893675</c:v>
                </c:pt>
                <c:pt idx="15">
                  <c:v>5.2118217409999934</c:v>
                </c:pt>
                <c:pt idx="16">
                  <c:v>5.2103325142128352</c:v>
                </c:pt>
                <c:pt idx="17">
                  <c:v>5.2109286682450584</c:v>
                </c:pt>
                <c:pt idx="18">
                  <c:v>5.213594152027035</c:v>
                </c:pt>
                <c:pt idx="19">
                  <c:v>5.2183142502266104</c:v>
                </c:pt>
                <c:pt idx="20">
                  <c:v>5.2250757415073652</c:v>
                </c:pt>
                <c:pt idx="21">
                  <c:v>5.2338670054163661</c:v>
                </c:pt>
                <c:pt idx="22">
                  <c:v>5.244678078325153</c:v>
                </c:pt>
                <c:pt idx="23">
                  <c:v>5.2575006591343456</c:v>
                </c:pt>
                <c:pt idx="24">
                  <c:v>5.2723280656638654</c:v>
                </c:pt>
                <c:pt idx="25">
                  <c:v>5.2891551428554591</c:v>
                </c:pt>
                <c:pt idx="26">
                  <c:v>5.3079781241775148</c:v>
                </c:pt>
                <c:pt idx="27">
                  <c:v>5.328794448002558</c:v>
                </c:pt>
                <c:pt idx="28">
                  <c:v>5.3516025312719409</c:v>
                </c:pt>
                <c:pt idx="29">
                  <c:v>5.3764015035003228</c:v>
                </c:pt>
                <c:pt idx="30">
                  <c:v>5.4031909051138864</c:v>
                </c:pt>
                <c:pt idx="31">
                  <c:v>5.4319703552438696</c:v>
                </c:pt>
                <c:pt idx="32">
                  <c:v>5.4627391953654074</c:v>
                </c:pt>
                <c:pt idx="33">
                  <c:v>5.4954961165045608</c:v>
                </c:pt>
                <c:pt idx="34">
                  <c:v>5.5302387790295402</c:v>
                </c:pt>
                <c:pt idx="35">
                  <c:v>5.5669634351687307</c:v>
                </c:pt>
                <c:pt idx="36">
                  <c:v>5.6056645652203612</c:v>
                </c:pt>
                <c:pt idx="37">
                  <c:v>5.6463345388023534</c:v>
                </c:pt>
                <c:pt idx="38">
                  <c:v>5.6889633123230832</c:v>
                </c:pt>
                <c:pt idx="39">
                  <c:v>5.7335381730619837</c:v>
                </c:pt>
                <c:pt idx="40">
                  <c:v>5.7800435388154252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A0C-496F-BA72-9837BFAD9040}"/>
            </c:ext>
          </c:extLst>
        </c:ser>
        <c:ser>
          <c:idx val="15"/>
          <c:order val="15"/>
          <c:tx>
            <c:strRef>
              <c:f>NonLin3!$R$34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NonLin3!$R$35:$R$75</c:f>
              <c:numCache>
                <c:formatCode>General</c:formatCode>
                <c:ptCount val="41"/>
                <c:pt idx="0">
                  <c:v>5.4882810593582123</c:v>
                </c:pt>
                <c:pt idx="1">
                  <c:v>5.4537626576062674</c:v>
                </c:pt>
                <c:pt idx="2">
                  <c:v>5.4214506764575354</c:v>
                </c:pt>
                <c:pt idx="3">
                  <c:v>5.3913549692562093</c:v>
                </c:pt>
                <c:pt idx="4">
                  <c:v>5.3634816896323692</c:v>
                </c:pt>
                <c:pt idx="5">
                  <c:v>5.3378334745482938</c:v>
                </c:pt>
                <c:pt idx="6">
                  <c:v>5.3144096827229426</c:v>
                </c:pt>
                <c:pt idx="7">
                  <c:v>5.2932066806518492</c:v>
                </c:pt>
                <c:pt idx="8">
                  <c:v>5.2742181670885815</c:v>
                </c:pt>
                <c:pt idx="9">
                  <c:v>5.2574355260060859</c:v>
                </c:pt>
                <c:pt idx="10">
                  <c:v>5.24284819771563</c:v>
                </c:pt>
                <c:pt idx="11">
                  <c:v>5.2304440579504785</c:v>
                </c:pt>
                <c:pt idx="12">
                  <c:v>5.220209795252055</c:v>
                </c:pt>
                <c:pt idx="13">
                  <c:v>5.2121312778380471</c:v>
                </c:pt>
                <c:pt idx="14">
                  <c:v>5.2061939021857917</c:v>
                </c:pt>
                <c:pt idx="15">
                  <c:v>5.2023829167329332</c:v>
                </c:pt>
                <c:pt idx="16">
                  <c:v>5.2006837152940015</c:v>
                </c:pt>
                <c:pt idx="17">
                  <c:v>5.2010820959456581</c:v>
                </c:pt>
                <c:pt idx="18">
                  <c:v>5.2035644821940883</c:v>
                </c:pt>
                <c:pt idx="19">
                  <c:v>5.2081181041748934</c:v>
                </c:pt>
                <c:pt idx="20">
                  <c:v>5.2147311384374335</c:v>
                </c:pt>
                <c:pt idx="21">
                  <c:v>5.2233928055372187</c:v>
                </c:pt>
                <c:pt idx="22">
                  <c:v>5.2340934252199682</c:v>
                </c:pt>
                <c:pt idx="23">
                  <c:v>5.2468244294575515</c:v>
                </c:pt>
                <c:pt idx="24">
                  <c:v>5.2615783340228877</c:v>
                </c:pt>
                <c:pt idx="25">
                  <c:v>5.2783486697040676</c:v>
                </c:pt>
                <c:pt idx="26">
                  <c:v>5.2971298746921045</c:v>
                </c:pt>
                <c:pt idx="27">
                  <c:v>5.3179171501615521</c:v>
                </c:pt>
                <c:pt idx="28">
                  <c:v>5.3407062816208075</c:v>
                </c:pt>
                <c:pt idx="29">
                  <c:v>5.3654934292501313</c:v>
                </c:pt>
                <c:pt idx="30">
                  <c:v>5.3922748911677729</c:v>
                </c:pt>
                <c:pt idx="31">
                  <c:v>5.4210468443504016</c:v>
                </c:pt>
                <c:pt idx="32">
                  <c:v>5.4518050687491142</c:v>
                </c:pt>
                <c:pt idx="33">
                  <c:v>5.4845446609374235</c:v>
                </c:pt>
                <c:pt idx="34">
                  <c:v>5.5192597443402382</c:v>
                </c:pt>
                <c:pt idx="35">
                  <c:v>5.5559431836522917</c:v>
                </c:pt>
                <c:pt idx="36">
                  <c:v>5.5945863113880385</c:v>
                </c:pt>
                <c:pt idx="37">
                  <c:v>5.6351786745467702</c:v>
                </c:pt>
                <c:pt idx="38">
                  <c:v>5.6777078090751898</c:v>
                </c:pt>
                <c:pt idx="39">
                  <c:v>5.7221590491378249</c:v>
                </c:pt>
                <c:pt idx="40">
                  <c:v>5.7685153771656772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A0C-496F-BA72-9837BFAD9040}"/>
            </c:ext>
          </c:extLst>
        </c:ser>
        <c:ser>
          <c:idx val="16"/>
          <c:order val="16"/>
          <c:tx>
            <c:strRef>
              <c:f>NonLin3!$S$34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NonLin3!$S$35:$S$75</c:f>
              <c:numCache>
                <c:formatCode>General</c:formatCode>
                <c:ptCount val="41"/>
                <c:pt idx="0">
                  <c:v>5.4826747826678996</c:v>
                </c:pt>
                <c:pt idx="1">
                  <c:v>5.4482301551768737</c:v>
                </c:pt>
                <c:pt idx="2">
                  <c:v>5.415957919846174</c:v>
                </c:pt>
                <c:pt idx="3">
                  <c:v>5.3858691045463161</c:v>
                </c:pt>
                <c:pt idx="4">
                  <c:v>5.3579715491425324</c:v>
                </c:pt>
                <c:pt idx="5">
                  <c:v>5.3322700457249876</c:v>
                </c:pt>
                <c:pt idx="6">
                  <c:v>5.308766521133097</c:v>
                </c:pt>
                <c:pt idx="7">
                  <c:v>5.2874602564154731</c:v>
                </c:pt>
                <c:pt idx="8">
                  <c:v>5.2683481368783767</c:v>
                </c:pt>
                <c:pt idx="9">
                  <c:v>5.2514249256882994</c:v>
                </c:pt>
                <c:pt idx="10">
                  <c:v>5.2366835536198346</c:v>
                </c:pt>
                <c:pt idx="11">
                  <c:v>5.2241154174663045</c:v>
                </c:pt>
                <c:pt idx="12">
                  <c:v>5.2137106798271988</c:v>
                </c:pt>
                <c:pt idx="13">
                  <c:v>5.2054585634086905</c:v>
                </c:pt>
                <c:pt idx="14">
                  <c:v>5.199347633568709</c:v>
                </c:pt>
                <c:pt idx="15">
                  <c:v>5.1953660635516279</c:v>
                </c:pt>
                <c:pt idx="16">
                  <c:v>5.193501877637317</c:v>
                </c:pt>
                <c:pt idx="17">
                  <c:v>5.1937431682302071</c:v>
                </c:pt>
                <c:pt idx="18">
                  <c:v>5.1960782836999995</c:v>
                </c:pt>
                <c:pt idx="19">
                  <c:v>5.2004959845316119</c:v>
                </c:pt>
                <c:pt idx="20">
                  <c:v>5.2069855660333015</c:v>
                </c:pt>
                <c:pt idx="21">
                  <c:v>5.2155369464841286</c:v>
                </c:pt>
                <c:pt idx="22">
                  <c:v>5.2261407201786145</c:v>
                </c:pt>
                <c:pt idx="23">
                  <c:v>5.2387881753579046</c:v>
                </c:pt>
                <c:pt idx="24">
                  <c:v>5.2534712775171029</c:v>
                </c:pt>
                <c:pt idx="25">
                  <c:v>5.2701826190638252</c:v>
                </c:pt>
                <c:pt idx="26">
                  <c:v>5.2889153367889126</c:v>
                </c:pt>
                <c:pt idx="27">
                  <c:v>5.3096629991094675</c:v>
                </c:pt>
                <c:pt idx="28">
                  <c:v>5.332419465564703</c:v>
                </c:pt>
                <c:pt idx="29">
                  <c:v>5.3571787215882578</c:v>
                </c:pt>
                <c:pt idx="30">
                  <c:v>5.383934692139813</c:v>
                </c:pt>
                <c:pt idx="31">
                  <c:v>5.4126810383395449</c:v>
                </c:pt>
                <c:pt idx="32">
                  <c:v>5.443410941787393</c:v>
                </c:pt>
                <c:pt idx="33">
                  <c:v>5.4761168817346038</c:v>
                </c:pt>
                <c:pt idx="34">
                  <c:v>5.5107904106710066</c:v>
                </c:pt>
                <c:pt idx="35">
                  <c:v>5.5474219341589528</c:v>
                </c:pt>
                <c:pt idx="36">
                  <c:v>5.5860005008460449</c:v>
                </c:pt>
                <c:pt idx="37">
                  <c:v>5.6265136084914698</c:v>
                </c:pt>
                <c:pt idx="38">
                  <c:v>5.6689470315228379</c:v>
                </c:pt>
                <c:pt idx="39">
                  <c:v>5.7132846750934707</c:v>
                </c:pt>
                <c:pt idx="40">
                  <c:v>5.7595084598425998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A0C-496F-BA72-9837BFAD9040}"/>
            </c:ext>
          </c:extLst>
        </c:ser>
        <c:ser>
          <c:idx val="17"/>
          <c:order val="17"/>
          <c:tx>
            <c:strRef>
              <c:f>NonLin3!$T$34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NonLin3!$T$35:$T$75</c:f>
              <c:numCache>
                <c:formatCode>General</c:formatCode>
                <c:ptCount val="41"/>
                <c:pt idx="0">
                  <c:v>5.4789155402534853</c:v>
                </c:pt>
                <c:pt idx="1">
                  <c:v>5.4445313957410768</c:v>
                </c:pt>
                <c:pt idx="2">
                  <c:v>5.4122942234346327</c:v>
                </c:pt>
                <c:pt idx="3">
                  <c:v>5.3822158924613808</c:v>
                </c:pt>
                <c:pt idx="4">
                  <c:v>5.3543054433270925</c:v>
                </c:pt>
                <c:pt idx="5">
                  <c:v>5.3285691994283058</c:v>
                </c:pt>
                <c:pt idx="6">
                  <c:v>5.3050109121014213</c:v>
                </c:pt>
                <c:pt idx="7">
                  <c:v>5.2836319353025791</c:v>
                </c:pt>
                <c:pt idx="8">
                  <c:v>5.2644314252644797</c:v>
                </c:pt>
                <c:pt idx="9">
                  <c:v>5.2474065599192921</c:v>
                </c:pt>
                <c:pt idx="10">
                  <c:v>5.2325527725224195</c:v>
                </c:pt>
                <c:pt idx="11">
                  <c:v>5.2198639937589606</c:v>
                </c:pt>
                <c:pt idx="12">
                  <c:v>5.2093328966505981</c:v>
                </c:pt>
                <c:pt idx="13">
                  <c:v>5.2009511387833918</c:v>
                </c:pt>
                <c:pt idx="14">
                  <c:v>5.1947095967185861</c:v>
                </c:pt>
                <c:pt idx="15">
                  <c:v>5.190598587897874</c:v>
                </c:pt>
                <c:pt idx="16">
                  <c:v>5.1886080758804702</c:v>
                </c:pt>
                <c:pt idx="17">
                  <c:v>5.1887278553226732</c:v>
                </c:pt>
                <c:pt idx="18">
                  <c:v>5.1909477137065432</c:v>
                </c:pt>
                <c:pt idx="19">
                  <c:v>5.1952575674234227</c:v>
                </c:pt>
                <c:pt idx="20">
                  <c:v>5.201647570406057</c:v>
                </c:pt>
                <c:pt idx="21">
                  <c:v>5.2101081940720677</c:v>
                </c:pt>
                <c:pt idx="22">
                  <c:v>5.2206302778879392</c:v>
                </c:pt>
                <c:pt idx="23">
                  <c:v>5.2332050503871574</c:v>
                </c:pt>
                <c:pt idx="24">
                  <c:v>5.2478241209820844</c:v>
                </c:pt>
                <c:pt idx="25">
                  <c:v>5.2644794434011128</c:v>
                </c:pt>
                <c:pt idx="26">
                  <c:v>5.2831632520653287</c:v>
                </c:pt>
                <c:pt idx="27">
                  <c:v>5.3038679731953113</c:v>
                </c:pt>
                <c:pt idx="28">
                  <c:v>5.326586112909486</c:v>
                </c:pt>
                <c:pt idx="29">
                  <c:v>5.3513101250372994</c:v>
                </c:pt>
                <c:pt idx="30">
                  <c:v>5.378032261816303</c:v>
                </c:pt>
                <c:pt idx="31">
                  <c:v>5.4067444110600631</c:v>
                </c:pt>
                <c:pt idx="32">
                  <c:v>5.4374379237577539</c:v>
                </c:pt>
                <c:pt idx="33">
                  <c:v>5.4701034363771228</c:v>
                </c:pt>
                <c:pt idx="34">
                  <c:v>5.5047306923688133</c:v>
                </c:pt>
                <c:pt idx="35">
                  <c:v>5.5413083674903429</c:v>
                </c:pt>
                <c:pt idx="36">
                  <c:v>5.5798239035629287</c:v>
                </c:pt>
                <c:pt idx="37">
                  <c:v>5.6202633551284702</c:v>
                </c:pt>
                <c:pt idx="38">
                  <c:v>5.6626112531789392</c:v>
                </c:pt>
                <c:pt idx="39">
                  <c:v>5.7068504896857126</c:v>
                </c:pt>
                <c:pt idx="40">
                  <c:v>5.7529622260715669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A0C-496F-BA72-9837BFAD9040}"/>
            </c:ext>
          </c:extLst>
        </c:ser>
        <c:ser>
          <c:idx val="18"/>
          <c:order val="18"/>
          <c:tx>
            <c:strRef>
              <c:f>NonLin3!$U$34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NonLin3!$U$35:$U$75</c:f>
              <c:numCache>
                <c:formatCode>General</c:formatCode>
                <c:ptCount val="41"/>
                <c:pt idx="0">
                  <c:v>5.4769692794392206</c:v>
                </c:pt>
                <c:pt idx="1">
                  <c:v>5.4426298406961342</c:v>
                </c:pt>
                <c:pt idx="2">
                  <c:v>5.4104194841346409</c:v>
                </c:pt>
                <c:pt idx="3">
                  <c:v>5.3803506458252279</c:v>
                </c:pt>
                <c:pt idx="4">
                  <c:v>5.3524331723738703</c:v>
                </c:pt>
                <c:pt idx="5">
                  <c:v>5.3266744139704452</c:v>
                </c:pt>
                <c:pt idx="6">
                  <c:v>5.3030793453715113</c:v>
                </c:pt>
                <c:pt idx="7">
                  <c:v>5.2816507117641596</c:v>
                </c:pt>
                <c:pt idx="8">
                  <c:v>5.2623891958621769</c:v>
                </c:pt>
                <c:pt idx="9">
                  <c:v>5.2452936021206886</c:v>
                </c:pt>
                <c:pt idx="10">
                  <c:v>5.2303610536318201</c:v>
                </c:pt>
                <c:pt idx="11">
                  <c:v>5.2175871970849883</c:v>
                </c:pt>
                <c:pt idx="12">
                  <c:v>5.2069664111367402</c:v>
                </c:pt>
                <c:pt idx="13">
                  <c:v>5.1984920136259234</c:v>
                </c:pt>
                <c:pt idx="14">
                  <c:v>5.1921564632751522</c:v>
                </c:pt>
                <c:pt idx="15">
                  <c:v>5.1879515518205856</c:v>
                </c:pt>
                <c:pt idx="16">
                  <c:v>5.1858685828893893</c:v>
                </c:pt>
                <c:pt idx="17">
                  <c:v>5.1858985343786514</c:v>
                </c:pt>
                <c:pt idx="18">
                  <c:v>5.1880322015630682</c:v>
                </c:pt>
                <c:pt idx="19">
                  <c:v>5.1922603186561691</c:v>
                </c:pt>
                <c:pt idx="20">
                  <c:v>5.1985736570586969</c:v>
                </c:pt>
                <c:pt idx="21">
                  <c:v>5.2069630990387079</c:v>
                </c:pt>
                <c:pt idx="22">
                  <c:v>5.2174196860944333</c:v>
                </c:pt>
                <c:pt idx="23">
                  <c:v>5.2299346417489607</c:v>
                </c:pt>
                <c:pt idx="24">
                  <c:v>5.2444993690129058</c:v>
                </c:pt>
                <c:pt idx="25">
                  <c:v>5.2611054232260965</c:v>
                </c:pt>
                <c:pt idx="26">
                  <c:v>5.2797444614506812</c:v>
                </c:pt>
                <c:pt idx="27">
                  <c:v>5.3004081700339185</c:v>
                </c:pt>
                <c:pt idx="28">
                  <c:v>5.3230881723861767</c:v>
                </c:pt>
                <c:pt idx="29">
                  <c:v>5.3477759194230341</c:v>
                </c:pt>
                <c:pt idx="30">
                  <c:v>5.3744625654926805</c:v>
                </c:pt>
                <c:pt idx="31">
                  <c:v>5.4031388329416403</c:v>
                </c:pt>
                <c:pt idx="32">
                  <c:v>5.4337948687517521</c:v>
                </c:pt>
                <c:pt idx="33">
                  <c:v>5.4664200968969814</c:v>
                </c:pt>
                <c:pt idx="34">
                  <c:v>5.5010030702068722</c:v>
                </c:pt>
                <c:pt idx="35">
                  <c:v>5.5375313255721981</c:v>
                </c:pt>
                <c:pt idx="36">
                  <c:v>5.5759912462775247</c:v>
                </c:pt>
                <c:pt idx="37">
                  <c:v>5.6163679350879869</c:v>
                </c:pt>
                <c:pt idx="38">
                  <c:v>5.6586451014514063</c:v>
                </c:pt>
                <c:pt idx="39">
                  <c:v>5.7028049658049147</c:v>
                </c:pt>
                <c:pt idx="40">
                  <c:v>5.7488281835063573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A0C-496F-BA72-9837BFAD9040}"/>
            </c:ext>
          </c:extLst>
        </c:ser>
        <c:ser>
          <c:idx val="19"/>
          <c:order val="19"/>
          <c:tx>
            <c:strRef>
              <c:f>NonLin3!$V$34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NonLin3!$V$35:$V$75</c:f>
              <c:numCache>
                <c:formatCode>General</c:formatCode>
                <c:ptCount val="41"/>
                <c:pt idx="0">
                  <c:v>5.4768114224133724</c:v>
                </c:pt>
                <c:pt idx="1">
                  <c:v>5.4424991791314135</c:v>
                </c:pt>
                <c:pt idx="2">
                  <c:v>5.4103049401656618</c:v>
                </c:pt>
                <c:pt idx="3">
                  <c:v>5.3802414724728891</c:v>
                </c:pt>
                <c:pt idx="4">
                  <c:v>5.3523190928381972</c:v>
                </c:pt>
                <c:pt idx="5">
                  <c:v>5.3265457504885276</c:v>
                </c:pt>
                <c:pt idx="6">
                  <c:v>5.3029271344854099</c:v>
                </c:pt>
                <c:pt idx="7">
                  <c:v>5.2814668032957837</c:v>
                </c:pt>
                <c:pt idx="8">
                  <c:v>5.2621663334288709</c:v>
                </c:pt>
                <c:pt idx="9">
                  <c:v>5.2450254836164341</c:v>
                </c:pt>
                <c:pt idx="10">
                  <c:v>5.2300423707136279</c:v>
                </c:pt>
                <c:pt idx="11">
                  <c:v>5.2172136533127462</c:v>
                </c:pt>
                <c:pt idx="12">
                  <c:v>5.2065347189917528</c:v>
                </c:pt>
                <c:pt idx="13">
                  <c:v>5.1979998711579647</c:v>
                </c:pt>
                <c:pt idx="14">
                  <c:v>5.1916025115854634</c:v>
                </c:pt>
                <c:pt idx="15">
                  <c:v>5.1873353149705101</c:v>
                </c:pt>
                <c:pt idx="16">
                  <c:v>5.1851903921288294</c:v>
                </c:pt>
                <c:pt idx="17">
                  <c:v>5.1851594388177826</c:v>
                </c:pt>
                <c:pt idx="18">
                  <c:v>5.1872338675713729</c:v>
                </c:pt>
                <c:pt idx="19">
                  <c:v>5.1914049203738442</c:v>
                </c:pt>
                <c:pt idx="20">
                  <c:v>5.1976637604570985</c:v>
                </c:pt>
                <c:pt idx="21">
                  <c:v>5.2060015419788552</c:v>
                </c:pt>
                <c:pt idx="22">
                  <c:v>5.21640945681464</c:v>
                </c:pt>
                <c:pt idx="23">
                  <c:v>5.2288787581711409</c:v>
                </c:pt>
                <c:pt idx="24">
                  <c:v>5.2434007611963303</c:v>
                </c:pt>
                <c:pt idx="25">
                  <c:v>5.2599668212186161</c:v>
                </c:pt>
                <c:pt idx="26">
                  <c:v>5.2785682906893436</c:v>
                </c:pt>
                <c:pt idx="27">
                  <c:v>5.2991964563256824</c:v>
                </c:pt>
                <c:pt idx="28">
                  <c:v>5.3218424583495603</c:v>
                </c:pt>
                <c:pt idx="29">
                  <c:v>5.3464971940867869</c:v>
                </c:pt>
                <c:pt idx="30">
                  <c:v>5.3731512085217608</c:v>
                </c:pt>
                <c:pt idx="31">
                  <c:v>5.401794574689319</c:v>
                </c:pt>
                <c:pt idx="32">
                  <c:v>5.4324167670172283</c:v>
                </c:pt>
                <c:pt idx="33">
                  <c:v>5.4650065309016647</c:v>
                </c:pt>
                <c:pt idx="34">
                  <c:v>5.4995517518947725</c:v>
                </c:pt>
                <c:pt idx="35">
                  <c:v>5.5360393279005162</c:v>
                </c:pt>
                <c:pt idx="36">
                  <c:v>5.574455047706528</c:v>
                </c:pt>
                <c:pt idx="37">
                  <c:v>5.6147834790227868</c:v>
                </c:pt>
                <c:pt idx="38">
                  <c:v>5.6570078689527676</c:v>
                </c:pt>
                <c:pt idx="39">
                  <c:v>5.7011100594937032</c:v>
                </c:pt>
                <c:pt idx="40">
                  <c:v>5.7470704202580531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A0C-496F-BA72-9837BFAD9040}"/>
            </c:ext>
          </c:extLst>
        </c:ser>
        <c:ser>
          <c:idx val="20"/>
          <c:order val="20"/>
          <c:tx>
            <c:strRef>
              <c:f>NonLin3!$W$34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NonLin3!$W$35:$W$75</c:f>
              <c:numCache>
                <c:formatCode>General</c:formatCode>
                <c:ptCount val="41"/>
                <c:pt idx="0">
                  <c:v>5.4784271247461902</c:v>
                </c:pt>
                <c:pt idx="1">
                  <c:v>5.4441235403385742</c:v>
                </c:pt>
                <c:pt idx="2">
                  <c:v>5.4119332770980986</c:v>
                </c:pt>
                <c:pt idx="3">
                  <c:v>5.3818692185824899</c:v>
                </c:pt>
                <c:pt idx="4">
                  <c:v>5.3539418490117772</c:v>
                </c:pt>
                <c:pt idx="5">
                  <c:v>5.3281593323075569</c:v>
                </c:pt>
                <c:pt idx="6">
                  <c:v>5.3045276148220983</c:v>
                </c:pt>
                <c:pt idx="7">
                  <c:v>5.283050549305556</c:v>
                </c:pt>
                <c:pt idx="8">
                  <c:v>5.2637300371773161</c:v>
                </c:pt>
                <c:pt idx="9">
                  <c:v>5.2465661857759986</c:v>
                </c:pt>
                <c:pt idx="10">
                  <c:v>5.2315574769717008</c:v>
                </c:pt>
                <c:pt idx="11">
                  <c:v>5.2187009433387548</c:v>
                </c:pt>
                <c:pt idx="12">
                  <c:v>5.2079923480080366</c:v>
                </c:pt>
                <c:pt idx="13">
                  <c:v>5.1994263643404652</c:v>
                </c:pt>
                <c:pt idx="14">
                  <c:v>5.1929967516805773</c:v>
                </c:pt>
                <c:pt idx="15">
                  <c:v>5.1886965236505826</c:v>
                </c:pt>
                <c:pt idx="16">
                  <c:v>5.1865181057194079</c:v>
                </c:pt>
                <c:pt idx="17">
                  <c:v>5.1864534791152117</c:v>
                </c:pt>
                <c:pt idx="18">
                  <c:v>5.1884943085312889</c:v>
                </c:pt>
                <c:pt idx="19">
                  <c:v>5.1926320514920032</c:v>
                </c:pt>
                <c:pt idx="20">
                  <c:v>5.1988580476870112</c:v>
                </c:pt>
                <c:pt idx="21">
                  <c:v>5.2071635870387301</c:v>
                </c:pt>
                <c:pt idx="22">
                  <c:v>5.2175399557321622</c:v>
                </c:pt>
                <c:pt idx="23">
                  <c:v>5.2299784599007957</c:v>
                </c:pt>
                <c:pt idx="24">
                  <c:v>5.2444704271218114</c:v>
                </c:pt>
                <c:pt idx="25">
                  <c:v>5.261007186323134</c:v>
                </c:pt>
                <c:pt idx="26">
                  <c:v>5.2795800271389997</c:v>
                </c:pt>
                <c:pt idx="27">
                  <c:v>5.3001801401649278</c:v>
                </c:pt>
                <c:pt idx="28">
                  <c:v>5.3227985399515418</c:v>
                </c:pt>
                <c:pt idx="29">
                  <c:v>5.3474259729335953</c:v>
                </c:pt>
                <c:pt idx="30">
                  <c:v>5.3740528128088307</c:v>
                </c:pt>
                <c:pt idx="31">
                  <c:v>5.4026689461531987</c:v>
                </c:pt>
                <c:pt idx="32">
                  <c:v>5.4332636512765244</c:v>
                </c:pt>
                <c:pt idx="33">
                  <c:v>5.4658254734777021</c:v>
                </c:pt>
                <c:pt idx="34">
                  <c:v>5.5003420999434418</c:v>
                </c:pt>
                <c:pt idx="35">
                  <c:v>5.536800237542991</c:v>
                </c:pt>
                <c:pt idx="36">
                  <c:v>5.5751854966987118</c:v>
                </c:pt>
                <c:pt idx="37">
                  <c:v>5.6154822843568573</c:v>
                </c:pt>
                <c:pt idx="38">
                  <c:v>5.6576737088455165</c:v>
                </c:pt>
                <c:pt idx="39">
                  <c:v>5.7017414990920638</c:v>
                </c:pt>
                <c:pt idx="40">
                  <c:v>5.7476659402887034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A0C-496F-BA72-9837BFAD9040}"/>
            </c:ext>
          </c:extLst>
        </c:ser>
        <c:ser>
          <c:idx val="21"/>
          <c:order val="21"/>
          <c:tx>
            <c:strRef>
              <c:f>NonLin3!$X$34</c:f>
              <c:strCache>
                <c:ptCount val="1"/>
                <c:pt idx="0">
                  <c:v>1.05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NonLin3!$X$35:$X$75</c:f>
              <c:numCache>
                <c:formatCode>General</c:formatCode>
                <c:ptCount val="41"/>
                <c:pt idx="0">
                  <c:v>5.4818114224133723</c:v>
                </c:pt>
                <c:pt idx="1">
                  <c:v>5.4474976134535424</c:v>
                </c:pt>
                <c:pt idx="2">
                  <c:v>5.4152986862936325</c:v>
                </c:pt>
                <c:pt idx="3">
                  <c:v>5.3852274342700923</c:v>
                </c:pt>
                <c:pt idx="4">
                  <c:v>5.3572942176761611</c:v>
                </c:pt>
                <c:pt idx="5">
                  <c:v>5.3315070457030771</c:v>
                </c:pt>
                <c:pt idx="6">
                  <c:v>5.3078716829202222</c:v>
                </c:pt>
                <c:pt idx="7">
                  <c:v>5.286391777719988</c:v>
                </c:pt>
                <c:pt idx="8">
                  <c:v>5.2670690096475816</c:v>
                </c:pt>
                <c:pt idx="9">
                  <c:v>5.2499032521293039</c:v>
                </c:pt>
                <c:pt idx="10">
                  <c:v>5.2348927468149631</c:v>
                </c:pt>
                <c:pt idx="11">
                  <c:v>5.2220342855658455</c:v>
                </c:pt>
                <c:pt idx="12">
                  <c:v>5.211323396048428</c:v>
                </c:pt>
                <c:pt idx="13">
                  <c:v>5.2027545269303594</c:v>
                </c:pt>
                <c:pt idx="14">
                  <c:v>5.1963212288101186</c:v>
                </c:pt>
                <c:pt idx="15">
                  <c:v>5.1920163272334161</c:v>
                </c:pt>
                <c:pt idx="16">
                  <c:v>5.1898320844442196</c:v>
                </c:pt>
                <c:pt idx="17">
                  <c:v>5.1897603468725819</c:v>
                </c:pt>
                <c:pt idx="18">
                  <c:v>5.1917926757612793</c:v>
                </c:pt>
                <c:pt idx="19">
                  <c:v>5.195920458766305</c:v>
                </c:pt>
                <c:pt idx="20">
                  <c:v>5.2021350008212037</c:v>
                </c:pt>
                <c:pt idx="21">
                  <c:v>5.2104275930229944</c:v>
                </c:pt>
                <c:pt idx="22">
                  <c:v>5.2207895587700364</c:v>
                </c:pt>
                <c:pt idx="23">
                  <c:v>5.2332122768539238</c:v>
                </c:pt>
                <c:pt idx="24">
                  <c:v>5.2476871816729584</c:v>
                </c:pt>
                <c:pt idx="25">
                  <c:v>5.2642057411901453</c:v>
                </c:pt>
                <c:pt idx="26">
                  <c:v>5.2827594136993801</c:v>
                </c:pt>
                <c:pt idx="27">
                  <c:v>5.3033395848857481</c:v>
                </c:pt>
                <c:pt idx="28">
                  <c:v>5.3259374870641496</c:v>
                </c:pt>
                <c:pt idx="29">
                  <c:v>5.3505441028490752</c:v>
                </c:pt>
                <c:pt idx="30">
                  <c:v>5.3771500558400289</c:v>
                </c:pt>
                <c:pt idx="31">
                  <c:v>5.4057454911938141</c:v>
                </c:pt>
                <c:pt idx="32">
                  <c:v>5.4363199491875784</c:v>
                </c:pt>
                <c:pt idx="33">
                  <c:v>5.4688622350462248</c:v>
                </c:pt>
                <c:pt idx="34">
                  <c:v>5.5033602884053945</c:v>
                </c:pt>
                <c:pt idx="35">
                  <c:v>5.5398010557992521</c:v>
                </c:pt>
                <c:pt idx="36">
                  <c:v>5.5781703694947122</c:v>
                </c:pt>
                <c:pt idx="37">
                  <c:v>5.6184528358376884</c:v>
                </c:pt>
                <c:pt idx="38">
                  <c:v>5.6606317360325784</c:v>
                </c:pt>
                <c:pt idx="39">
                  <c:v>5.7046889419479285</c:v>
                </c:pt>
                <c:pt idx="40">
                  <c:v>5.7506048491373836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A0C-496F-BA72-9837BFAD9040}"/>
            </c:ext>
          </c:extLst>
        </c:ser>
        <c:ser>
          <c:idx val="22"/>
          <c:order val="22"/>
          <c:tx>
            <c:strRef>
              <c:f>NonLin3!$Y$34</c:f>
              <c:strCache>
                <c:ptCount val="1"/>
                <c:pt idx="0">
                  <c:v>1.1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NonLin3!$Y$35:$Y$75</c:f>
              <c:numCache>
                <c:formatCode>General</c:formatCode>
                <c:ptCount val="41"/>
                <c:pt idx="0">
                  <c:v>5.4869692794392222</c:v>
                </c:pt>
                <c:pt idx="1">
                  <c:v>5.4526266856443755</c:v>
                </c:pt>
                <c:pt idx="2">
                  <c:v>5.4204068820552038</c:v>
                </c:pt>
                <c:pt idx="3">
                  <c:v>5.3903223588327567</c:v>
                </c:pt>
                <c:pt idx="4">
                  <c:v>5.36238305176912</c:v>
                </c:pt>
                <c:pt idx="5">
                  <c:v>5.3365964339206915</c:v>
                </c:pt>
                <c:pt idx="6">
                  <c:v>5.3129676346722121</c:v>
                </c:pt>
                <c:pt idx="7">
                  <c:v>5.2914995832367921</c:v>
                </c:pt>
                <c:pt idx="8">
                  <c:v>5.2721931730132079</c:v>
                </c:pt>
                <c:pt idx="9">
                  <c:v>5.2550474427647043</c:v>
                </c:pt>
                <c:pt idx="10">
                  <c:v>5.240059770264538</c:v>
                </c:pt>
                <c:pt idx="11">
                  <c:v>5.2272260738754337</c:v>
                </c:pt>
                <c:pt idx="12">
                  <c:v>5.2165410174891713</c:v>
                </c:pt>
                <c:pt idx="13">
                  <c:v>5.2079982143381844</c:v>
                </c:pt>
                <c:pt idx="14">
                  <c:v>5.2015904253886589</c:v>
                </c:pt>
                <c:pt idx="15">
                  <c:v>5.1973097483164334</c:v>
                </c:pt>
                <c:pt idx="16">
                  <c:v>5.1951477934340069</c:v>
                </c:pt>
                <c:pt idx="17">
                  <c:v>5.1950958433605194</c:v>
                </c:pt>
                <c:pt idx="18">
                  <c:v>5.1971449936893466</c:v>
                </c:pt>
                <c:pt idx="19">
                  <c:v>5.2012862723951594</c:v>
                </c:pt>
                <c:pt idx="20">
                  <c:v>5.2075107362217343</c:v>
                </c:pt>
                <c:pt idx="21">
                  <c:v>5.2158095427945153</c:v>
                </c:pt>
                <c:pt idx="22">
                  <c:v>5.2261739977013555</c:v>
                </c:pt>
                <c:pt idx="23">
                  <c:v>5.2385955762772589</c:v>
                </c:pt>
                <c:pt idx="24">
                  <c:v>5.2530659203116548</c:v>
                </c:pt>
                <c:pt idx="25">
                  <c:v>5.2695768103684681</c:v>
                </c:pt>
                <c:pt idx="26">
                  <c:v>5.2881201148686472</c:v>
                </c:pt>
                <c:pt idx="27">
                  <c:v>5.3086877175296205</c:v>
                </c:pt>
                <c:pt idx="28">
                  <c:v>5.331271425183246</c:v>
                </c:pt>
                <c:pt idx="29">
                  <c:v>5.3558628583976793</c:v>
                </c:pt>
                <c:pt idx="30">
                  <c:v>5.3824533277018523</c:v>
                </c:pt>
                <c:pt idx="31">
                  <c:v>5.4110336985445313</c:v>
                </c:pt>
                <c:pt idx="32">
                  <c:v>5.4415942484014677</c:v>
                </c:pt>
                <c:pt idx="33">
                  <c:v>5.4741245196616077</c:v>
                </c:pt>
                <c:pt idx="34">
                  <c:v>5.5086131720634617</c:v>
                </c:pt>
                <c:pt idx="35">
                  <c:v>5.5450478385033852</c:v>
                </c:pt>
                <c:pt idx="36">
                  <c:v>5.5834149879884958</c:v>
                </c:pt>
                <c:pt idx="37">
                  <c:v>5.6236997993513089</c:v>
                </c:pt>
                <c:pt idx="38">
                  <c:v>5.6658860490786376</c:v>
                </c:pt>
                <c:pt idx="39">
                  <c:v>5.7099560162367826</c:v>
                </c:pt>
                <c:pt idx="40">
                  <c:v>5.7558904070075814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A0C-496F-BA72-9837BFAD9040}"/>
            </c:ext>
          </c:extLst>
        </c:ser>
        <c:ser>
          <c:idx val="23"/>
          <c:order val="23"/>
          <c:tx>
            <c:strRef>
              <c:f>NonLin3!$Z$34</c:f>
              <c:strCache>
                <c:ptCount val="1"/>
                <c:pt idx="0">
                  <c:v>1.15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NonLin3!$Z$35:$Z$75</c:f>
              <c:numCache>
                <c:formatCode>General</c:formatCode>
                <c:ptCount val="41"/>
                <c:pt idx="0">
                  <c:v>5.4939155402534858</c:v>
                </c:pt>
                <c:pt idx="1">
                  <c:v>5.4595266027134759</c:v>
                </c:pt>
                <c:pt idx="2">
                  <c:v>5.4272750796859226</c:v>
                </c:pt>
                <c:pt idx="3">
                  <c:v>5.3971729249047717</c:v>
                </c:pt>
                <c:pt idx="4">
                  <c:v>5.3692293183086104</c:v>
                </c:pt>
                <c:pt idx="5">
                  <c:v>5.3434507752410028</c:v>
                </c:pt>
                <c:pt idx="6">
                  <c:v>5.3198412883710571</c:v>
                </c:pt>
                <c:pt idx="7">
                  <c:v>5.2984024985289633</c:v>
                </c:pt>
                <c:pt idx="8">
                  <c:v>5.2791338899226909</c:v>
                </c:pt>
                <c:pt idx="9">
                  <c:v>5.2620330046579094</c:v>
                </c:pt>
                <c:pt idx="10">
                  <c:v>5.2470956711354448</c:v>
                </c:pt>
                <c:pt idx="11">
                  <c:v>5.2343162407478729</c:v>
                </c:pt>
                <c:pt idx="12">
                  <c:v>5.2236878273273213</c:v>
                </c:pt>
                <c:pt idx="13">
                  <c:v>5.2152025439889753</c:v>
                </c:pt>
                <c:pt idx="14">
                  <c:v>5.2088517323423176</c:v>
                </c:pt>
                <c:pt idx="15">
                  <c:v>5.204626179474733</c:v>
                </c:pt>
                <c:pt idx="16">
                  <c:v>5.2025163186197609</c:v>
                </c:pt>
                <c:pt idx="17">
                  <c:v>5.2025124099769986</c:v>
                </c:pt>
                <c:pt idx="18">
                  <c:v>5.2046046987285068</c:v>
                </c:pt>
                <c:pt idx="19">
                  <c:v>5.208783547878693</c:v>
                </c:pt>
                <c:pt idx="20">
                  <c:v>5.2150395441176887</c:v>
                </c:pt>
                <c:pt idx="21">
                  <c:v>5.2233635754641998</c:v>
                </c:pt>
                <c:pt idx="22">
                  <c:v>5.2337468799795577</c:v>
                </c:pt>
                <c:pt idx="23">
                  <c:v>5.2461810653608421</c:v>
                </c:pt>
                <c:pt idx="24">
                  <c:v>5.2606580997207359</c:v>
                </c:pt>
                <c:pt idx="25">
                  <c:v>5.2771702743496318</c:v>
                </c:pt>
                <c:pt idx="26">
                  <c:v>5.2957101397358599</c:v>
                </c:pt>
                <c:pt idx="27">
                  <c:v>5.3162704165955539</c:v>
                </c:pt>
                <c:pt idx="28">
                  <c:v>5.3388438841348052</c:v>
                </c:pt>
                <c:pt idx="29">
                  <c:v>5.363423248230152</c:v>
                </c:pt>
                <c:pt idx="30">
                  <c:v>5.3900009926612604</c:v>
                </c:pt>
                <c:pt idx="31">
                  <c:v>5.4185692169502193</c:v>
                </c:pt>
                <c:pt idx="32">
                  <c:v>5.4491194647387191</c:v>
                </c:pt>
                <c:pt idx="33">
                  <c:v>5.4816425469483034</c:v>
                </c:pt>
                <c:pt idx="34">
                  <c:v>5.5161283641983321</c:v>
                </c:pt>
                <c:pt idx="35">
                  <c:v>5.5525657330796552</c:v>
                </c:pt>
                <c:pt idx="36">
                  <c:v>5.5909422208797794</c:v>
                </c:pt>
                <c:pt idx="37">
                  <c:v>5.6312439932121912</c:v>
                </c:pt>
                <c:pt idx="38">
                  <c:v>5.6734556787099102</c:v>
                </c:pt>
                <c:pt idx="39">
                  <c:v>5.7175602545009028</c:v>
                </c:pt>
                <c:pt idx="40">
                  <c:v>5.7635389556001728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A0C-496F-BA72-9837BFAD9040}"/>
            </c:ext>
          </c:extLst>
        </c:ser>
        <c:ser>
          <c:idx val="24"/>
          <c:order val="24"/>
          <c:tx>
            <c:strRef>
              <c:f>NonLin3!$AA$34</c:f>
              <c:strCache>
                <c:ptCount val="1"/>
                <c:pt idx="0">
                  <c:v>1.2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NonLin3!$AA$35:$AA$75</c:f>
              <c:numCache>
                <c:formatCode>General</c:formatCode>
                <c:ptCount val="41"/>
                <c:pt idx="0">
                  <c:v>5.502674782667901</c:v>
                </c:pt>
                <c:pt idx="1">
                  <c:v>5.4682236481137085</c:v>
                </c:pt>
                <c:pt idx="2">
                  <c:v>5.4359319317387929</c:v>
                </c:pt>
                <c:pt idx="3">
                  <c:v>5.4058107811284017</c:v>
                </c:pt>
                <c:pt idx="4">
                  <c:v>5.3778682332950014</c:v>
                </c:pt>
                <c:pt idx="5">
                  <c:v>5.3521093514333025</c:v>
                </c:pt>
                <c:pt idx="6">
                  <c:v>5.3285364027550877</c:v>
                </c:pt>
                <c:pt idx="7">
                  <c:v>5.3071490722082508</c:v>
                </c:pt>
                <c:pt idx="8">
                  <c:v>5.2879447059251827</c:v>
                </c:pt>
                <c:pt idx="9">
                  <c:v>5.2709185775771861</c:v>
                </c:pt>
                <c:pt idx="10">
                  <c:v>5.2560641704448905</c:v>
                </c:pt>
                <c:pt idx="11">
                  <c:v>5.2433734679383077</c:v>
                </c:pt>
                <c:pt idx="12">
                  <c:v>5.2328372454848777</c:v>
                </c:pt>
                <c:pt idx="13">
                  <c:v>5.2244453571065463</c:v>
                </c:pt>
                <c:pt idx="14">
                  <c:v>5.2181870105772772</c:v>
                </c:pt>
                <c:pt idx="15">
                  <c:v>5.2140510257373496</c:v>
                </c:pt>
                <c:pt idx="16">
                  <c:v>5.2120260712906887</c:v>
                </c:pt>
                <c:pt idx="17">
                  <c:v>5.2121008761825944</c:v>
                </c:pt>
                <c:pt idx="18">
                  <c:v>5.2142644124131667</c:v>
                </c:pt>
                <c:pt idx="19">
                  <c:v>5.2185060468624931</c:v>
                </c:pt>
                <c:pt idx="20">
                  <c:v>5.2248156603730198</c:v>
                </c:pt>
                <c:pt idx="21">
                  <c:v>5.233183732948766</c:v>
                </c:pt>
                <c:pt idx="22">
                  <c:v>5.2436013944934663</c:v>
                </c:pt>
                <c:pt idx="23">
                  <c:v>5.2560604410306659</c:v>
                </c:pt>
                <c:pt idx="24">
                  <c:v>5.2705533168420979</c:v>
                </c:pt>
                <c:pt idx="25">
                  <c:v>5.2870730634418823</c:v>
                </c:pt>
                <c:pt idx="26">
                  <c:v>5.3056132367884743</c:v>
                </c:pt>
                <c:pt idx="27">
                  <c:v>5.3261677946358938</c:v>
                </c:pt>
                <c:pt idx="28">
                  <c:v>5.3487309564482794</c:v>
                </c:pt>
                <c:pt idx="29">
                  <c:v>5.3732970388480856</c:v>
                </c:pt>
                <c:pt idx="30">
                  <c:v>5.399860270131585</c:v>
                </c:pt>
                <c:pt idx="31">
                  <c:v>5.4284145879504901</c:v>
                </c:pt>
                <c:pt idx="32">
                  <c:v>5.4589534248017495</c:v>
                </c:pt>
                <c:pt idx="33">
                  <c:v>5.4914694864578522</c:v>
                </c:pt>
                <c:pt idx="34">
                  <c:v>5.5259545288706269</c:v>
                </c:pt>
                <c:pt idx="35">
                  <c:v>5.5623991393534524</c:v>
                </c:pt>
                <c:pt idx="36">
                  <c:v>5.600792527952084</c:v>
                </c:pt>
                <c:pt idx="37">
                  <c:v>5.6411223348208042</c:v>
                </c:pt>
                <c:pt idx="38">
                  <c:v>5.6833744591060373</c:v>
                </c:pt>
                <c:pt idx="39">
                  <c:v>5.7275329142956561</c:v>
                </c:pt>
                <c:pt idx="40">
                  <c:v>5.7735797142273384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A0C-496F-BA72-9837BFAD9040}"/>
            </c:ext>
          </c:extLst>
        </c:ser>
        <c:ser>
          <c:idx val="25"/>
          <c:order val="25"/>
          <c:tx>
            <c:strRef>
              <c:f>NonLin3!$AB$34</c:f>
              <c:strCache>
                <c:ptCount val="1"/>
                <c:pt idx="0">
                  <c:v>1.25</c:v>
                </c:pt>
              </c:strCache>
            </c:strRef>
          </c:tx>
          <c:spPr>
            <a:solidFill>
              <a:srgbClr val="33CC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NonLin3!$AB$35:$AB$75</c:f>
              <c:numCache>
                <c:formatCode>General</c:formatCode>
                <c:ptCount val="41"/>
                <c:pt idx="0">
                  <c:v>5.5132810593582127</c:v>
                </c:pt>
                <c:pt idx="1">
                  <c:v>5.4787543288070077</c:v>
                </c:pt>
                <c:pt idx="2">
                  <c:v>5.4464174155275868</c:v>
                </c:pt>
                <c:pt idx="3">
                  <c:v>5.4162803346088468</c:v>
                </c:pt>
                <c:pt idx="4">
                  <c:v>5.3883495057762367</c:v>
                </c:pt>
                <c:pt idx="5">
                  <c:v>5.3626279313659353</c:v>
                </c:pt>
                <c:pt idx="6">
                  <c:v>5.3391154279310671</c:v>
                </c:pt>
                <c:pt idx="7">
                  <c:v>5.3178089039567986</c:v>
                </c:pt>
                <c:pt idx="8">
                  <c:v>5.298702674853792</c:v>
                </c:pt>
                <c:pt idx="9">
                  <c:v>5.2817888055770741</c:v>
                </c:pt>
                <c:pt idx="10">
                  <c:v>5.2670574708834348</c:v>
                </c:pt>
                <c:pt idx="11">
                  <c:v>5.2544973233596526</c:v>
                </c:pt>
                <c:pt idx="12">
                  <c:v>5.244095859859458</c:v>
                </c:pt>
                <c:pt idx="13">
                  <c:v>5.2358397777928154</c:v>
                </c:pt>
                <c:pt idx="14">
                  <c:v>5.2297153137214112</c:v>
                </c:pt>
                <c:pt idx="15">
                  <c:v>5.225708557835504</c:v>
                </c:pt>
                <c:pt idx="16">
                  <c:v>5.2238057390360346</c:v>
                </c:pt>
                <c:pt idx="17">
                  <c:v>5.2239934764542957</c:v>
                </c:pt>
                <c:pt idx="18">
                  <c:v>5.2262589942606805</c:v>
                </c:pt>
                <c:pt idx="19">
                  <c:v>5.2305902975150635</c:v>
                </c:pt>
                <c:pt idx="20">
                  <c:v>5.2369763075833156</c:v>
                </c:pt>
                <c:pt idx="21">
                  <c:v>5.2454069562929977</c:v>
                </c:pt>
                <c:pt idx="22">
                  <c:v>5.2558732385443596</c:v>
                </c:pt>
                <c:pt idx="23">
                  <c:v>5.2683672235580463</c:v>
                </c:pt>
                <c:pt idx="24">
                  <c:v>5.2828820253614506</c:v>
                </c:pt>
                <c:pt idx="25">
                  <c:v>5.2994117335265196</c:v>
                </c:pt>
                <c:pt idx="26">
                  <c:v>5.3179513056069334</c:v>
                </c:pt>
                <c:pt idx="27">
                  <c:v>5.338496423210902</c:v>
                </c:pt>
                <c:pt idx="28">
                  <c:v>5.3610433142085725</c:v>
                </c:pt>
                <c:pt idx="29">
                  <c:v>5.3855885442206608</c:v>
                </c:pt>
                <c:pt idx="30">
                  <c:v>5.4121287812643484</c:v>
                </c:pt>
                <c:pt idx="31">
                  <c:v>5.4406605382255089</c:v>
                </c:pt>
                <c:pt idx="32">
                  <c:v>5.4711798986487405</c:v>
                </c:pt>
                <c:pt idx="33">
                  <c:v>5.5036822321387282</c:v>
                </c:pt>
                <c:pt idx="34">
                  <c:v>5.5381619063856196</c:v>
                </c:pt>
                <c:pt idx="35">
                  <c:v>5.5746120033925459</c:v>
                </c:pt>
                <c:pt idx="36">
                  <c:v>5.6130240478224858</c:v>
                </c:pt>
                <c:pt idx="37">
                  <c:v>5.6533877554281178</c:v>
                </c:pt>
                <c:pt idx="38">
                  <c:v>5.6956908092311771</c:v>
                </c:pt>
                <c:pt idx="39">
                  <c:v>5.7399186704495504</c:v>
                </c:pt>
                <c:pt idx="40">
                  <c:v>5.7860544301335874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3A0C-496F-BA72-9837BFAD9040}"/>
            </c:ext>
          </c:extLst>
        </c:ser>
        <c:ser>
          <c:idx val="26"/>
          <c:order val="26"/>
          <c:tx>
            <c:strRef>
              <c:f>NonLin3!$AC$34</c:f>
              <c:strCache>
                <c:ptCount val="1"/>
                <c:pt idx="0">
                  <c:v>1.3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NonLin3!$AC$35:$AC$75</c:f>
              <c:numCache>
                <c:formatCode>General</c:formatCode>
                <c:ptCount val="41"/>
                <c:pt idx="0">
                  <c:v>5.5257775082590426</c:v>
                </c:pt>
                <c:pt idx="1">
                  <c:v>5.4911650498463924</c:v>
                </c:pt>
                <c:pt idx="2">
                  <c:v>5.4587826632460272</c:v>
                </c:pt>
                <c:pt idx="3">
                  <c:v>5.4286388208135019</c:v>
                </c:pt>
                <c:pt idx="4">
                  <c:v>5.4007377201305546</c:v>
                </c:pt>
                <c:pt idx="5">
                  <c:v>5.3750795231307551</c:v>
                </c:pt>
                <c:pt idx="6">
                  <c:v>5.3516606674119558</c:v>
                </c:pt>
                <c:pt idx="7">
                  <c:v>5.3304742382799821</c:v>
                </c:pt>
                <c:pt idx="8">
                  <c:v>5.3115103882527048</c:v>
                </c:pt>
                <c:pt idx="9">
                  <c:v>5.2947567897816636</c:v>
                </c:pt>
                <c:pt idx="10">
                  <c:v>5.2801991067981788</c:v>
                </c:pt>
                <c:pt idx="11">
                  <c:v>5.2678214712686469</c:v>
                </c:pt>
                <c:pt idx="12">
                  <c:v>5.2576069521038704</c:v>
                </c:pt>
                <c:pt idx="13">
                  <c:v>5.2495380053357641</c:v>
                </c:pt>
                <c:pt idx="14">
                  <c:v>5.2435968962723027</c:v>
                </c:pt>
                <c:pt idx="15">
                  <c:v>5.2397660862029962</c:v>
                </c:pt>
                <c:pt idx="16">
                  <c:v>5.2380285780150206</c:v>
                </c:pt>
                <c:pt idx="17">
                  <c:v>5.2383682166926109</c:v>
                </c:pt>
                <c:pt idx="18">
                  <c:v>5.2407699420452909</c:v>
                </c:pt>
                <c:pt idx="19">
                  <c:v>5.2452199921157217</c:v>
                </c:pt>
                <c:pt idx="20">
                  <c:v>5.2517060565580724</c:v>
                </c:pt>
                <c:pt idx="21">
                  <c:v>5.2602173798804168</c:v>
                </c:pt>
                <c:pt idx="22">
                  <c:v>5.270744814855707</c:v>
                </c:pt>
                <c:pt idx="23">
                  <c:v>5.2832808266835096</c:v>
                </c:pt>
                <c:pt idx="24">
                  <c:v>5.2978194486937831</c:v>
                </c:pt>
                <c:pt idx="25">
                  <c:v>5.3143561905914103</c:v>
                </c:pt>
                <c:pt idx="26">
                  <c:v>5.3328879005098999</c:v>
                </c:pt>
                <c:pt idx="27">
                  <c:v>5.3534125825320684</c:v>
                </c:pt>
                <c:pt idx="28">
                  <c:v>5.3759291718900499</c:v>
                </c:pt>
                <c:pt idx="29">
                  <c:v>5.4004372708064787</c:v>
                </c:pt>
                <c:pt idx="30">
                  <c:v>5.4269368488911978</c:v>
                </c:pt>
                <c:pt idx="31">
                  <c:v>5.455427913146683</c:v>
                </c:pt>
                <c:pt idx="32">
                  <c:v>5.4859101539141033</c:v>
                </c:pt>
                <c:pt idx="33">
                  <c:v>5.518382574434419</c:v>
                </c:pt>
                <c:pt idx="34">
                  <c:v>5.5528431130007236</c:v>
                </c:pt>
                <c:pt idx="35">
                  <c:v>5.5892882678122673</c:v>
                </c:pt>
                <c:pt idx="36">
                  <c:v>5.6277127354696139</c:v>
                </c:pt>
                <c:pt idx="37">
                  <c:v>5.6681090744397977</c:v>
                </c:pt>
                <c:pt idx="38">
                  <c:v>5.7104674046575763</c:v>
                </c:pt>
                <c:pt idx="39">
                  <c:v>5.7547751536411953</c:v>
                </c:pt>
                <c:pt idx="40">
                  <c:v>5.8010168580710397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3A0C-496F-BA72-9837BFAD9040}"/>
            </c:ext>
          </c:extLst>
        </c:ser>
        <c:ser>
          <c:idx val="27"/>
          <c:order val="27"/>
          <c:tx>
            <c:strRef>
              <c:f>NonLin3!$AD$34</c:f>
              <c:strCache>
                <c:ptCount val="1"/>
                <c:pt idx="0">
                  <c:v>1.35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NonLin3!$AD$35:$AD$75</c:f>
              <c:numCache>
                <c:formatCode>General</c:formatCode>
                <c:ptCount val="41"/>
                <c:pt idx="0">
                  <c:v>5.5402158058288018</c:v>
                </c:pt>
                <c:pt idx="1">
                  <c:v>5.50551165510839</c:v>
                </c:pt>
                <c:pt idx="2">
                  <c:v>5.4730897295447463</c:v>
                </c:pt>
                <c:pt idx="3">
                  <c:v>5.4429564249081164</c:v>
                </c:pt>
                <c:pt idx="4">
                  <c:v>5.4151129180272246</c:v>
                </c:pt>
                <c:pt idx="5">
                  <c:v>5.3895554978150848</c:v>
                </c:pt>
                <c:pt idx="6">
                  <c:v>5.3662759959470554</c:v>
                </c:pt>
                <c:pt idx="7">
                  <c:v>5.3452622989273983</c:v>
                </c:pt>
                <c:pt idx="8">
                  <c:v>5.326498920753826</c:v>
                </c:pt>
                <c:pt idx="9">
                  <c:v>5.3099676143839343</c:v>
                </c:pt>
                <c:pt idx="10">
                  <c:v>5.295648000624686</c:v>
                </c:pt>
                <c:pt idx="11">
                  <c:v>5.2835181946731753</c:v>
                </c:pt>
                <c:pt idx="12">
                  <c:v>5.2735554130164681</c:v>
                </c:pt>
                <c:pt idx="13">
                  <c:v>5.2657365464004249</c:v>
                </c:pt>
                <c:pt idx="14">
                  <c:v>5.2600386877673362</c:v>
                </c:pt>
                <c:pt idx="15">
                  <c:v>5.2564396071542694</c:v>
                </c:pt>
                <c:pt idx="16">
                  <c:v>5.2549181683222939</c:v>
                </c:pt>
                <c:pt idx="17">
                  <c:v>5.2554546842109495</c:v>
                </c:pt>
                <c:pt idx="18">
                  <c:v>5.2580312101146598</c:v>
                </c:pt>
                <c:pt idx="19">
                  <c:v>5.2626317747511493</c:v>
                </c:pt>
                <c:pt idx="20">
                  <c:v>5.2692425501771964</c:v>
                </c:pt>
                <c:pt idx="21">
                  <c:v>5.2778519618784303</c:v>
                </c:pt>
                <c:pt idx="22">
                  <c:v>5.2884507404133707</c:v>
                </c:pt>
                <c:pt idx="23">
                  <c:v>5.3010319158353463</c:v>
                </c:pt>
                <c:pt idx="24">
                  <c:v>5.3155907558622904</c:v>
                </c:pt>
                <c:pt idx="25">
                  <c:v>5.3321246485266283</c:v>
                </c:pt>
                <c:pt idx="26">
                  <c:v>5.3506329299242505</c:v>
                </c:pt>
                <c:pt idx="27">
                  <c:v>5.3711166577934319</c:v>
                </c:pt>
                <c:pt idx="28">
                  <c:v>5.3935783320786825</c:v>
                </c:pt>
                <c:pt idx="29">
                  <c:v>5.4180215644373844</c:v>
                </c:pt>
                <c:pt idx="30">
                  <c:v>5.4444506998668203</c:v>
                </c:pt>
                <c:pt idx="31">
                  <c:v>5.4728703952641773</c:v>
                </c:pt>
                <c:pt idx="32">
                  <c:v>5.5032851617322844</c:v>
                </c:pt>
                <c:pt idx="33">
                  <c:v>5.5356988797020721</c:v>
                </c:pt>
                <c:pt idx="34">
                  <c:v>5.5701142982924701</c:v>
                </c:pt>
                <c:pt idx="35">
                  <c:v>5.6065325325492505</c:v>
                </c:pt>
                <c:pt idx="36">
                  <c:v>5.6449525740371014</c:v>
                </c:pt>
                <c:pt idx="37">
                  <c:v>5.6853708314336435</c:v>
                </c:pt>
                <c:pt idx="38">
                  <c:v>5.7277807180442588</c:v>
                </c:pt>
                <c:pt idx="39">
                  <c:v>5.7721723023419189</c:v>
                </c:pt>
                <c:pt idx="40">
                  <c:v>5.8185320356594987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3A0C-496F-BA72-9837BFAD9040}"/>
            </c:ext>
          </c:extLst>
        </c:ser>
        <c:ser>
          <c:idx val="28"/>
          <c:order val="28"/>
          <c:tx>
            <c:strRef>
              <c:f>NonLin3!$AE$34</c:f>
              <c:strCache>
                <c:ptCount val="1"/>
                <c:pt idx="0">
                  <c:v>1.4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NonLin3!$AE$35:$AE$75</c:f>
              <c:numCache>
                <c:formatCode>General</c:formatCode>
                <c:ptCount val="41"/>
                <c:pt idx="0">
                  <c:v>5.5566554323775863</c:v>
                </c:pt>
                <c:pt idx="1">
                  <c:v>5.5218588109999542</c:v>
                </c:pt>
                <c:pt idx="2">
                  <c:v>5.489411304929031</c:v>
                </c:pt>
                <c:pt idx="3">
                  <c:v>5.4593165140034339</c:v>
                </c:pt>
                <c:pt idx="4">
                  <c:v>5.4315715037157473</c:v>
                </c:pt>
                <c:pt idx="5">
                  <c:v>5.4061672780721164</c:v>
                </c:pt>
                <c:pt idx="6">
                  <c:v>5.3830893931899819</c:v>
                </c:pt>
                <c:pt idx="7">
                  <c:v>5.3623186811906898</c:v>
                </c:pt>
                <c:pt idx="8">
                  <c:v>5.3438320505071673</c:v>
                </c:pt>
                <c:pt idx="9">
                  <c:v>5.3276033281303947</c:v>
                </c:pt>
                <c:pt idx="10">
                  <c:v>5.3136041112410517</c:v>
                </c:pt>
                <c:pt idx="11">
                  <c:v>5.3018045995438952</c:v>
                </c:pt>
                <c:pt idx="12">
                  <c:v>5.2921743847463674</c:v>
                </c:pt>
                <c:pt idx="13">
                  <c:v>5.2846831792971791</c:v>
                </c:pt>
                <c:pt idx="14">
                  <c:v>5.2793014721096014</c:v>
                </c:pt>
                <c:pt idx="15">
                  <c:v>5.2760011040657142</c:v>
                </c:pt>
                <c:pt idx="16">
                  <c:v>5.2747557603230151</c:v>
                </c:pt>
                <c:pt idx="17">
                  <c:v>5.2755413796706296</c:v>
                </c:pt>
                <c:pt idx="18">
                  <c:v>5.2783364833842388</c:v>
                </c:pt>
                <c:pt idx="19">
                  <c:v>5.2831224272778652</c:v>
                </c:pt>
                <c:pt idx="20">
                  <c:v>5.2898835810783789</c:v>
                </c:pt>
                <c:pt idx="21">
                  <c:v>5.298607439020846</c:v>
                </c:pt>
                <c:pt idx="22">
                  <c:v>5.309284664858084</c:v>
                </c:pt>
                <c:pt idx="23">
                  <c:v>5.3219090734760606</c:v>
                </c:pt>
                <c:pt idx="24">
                  <c:v>5.3364775501831714</c:v>
                </c:pt>
                <c:pt idx="25">
                  <c:v>5.3529899076658101</c:v>
                </c:pt>
                <c:pt idx="26">
                  <c:v>5.3714486797391645</c:v>
                </c:pt>
                <c:pt idx="27">
                  <c:v>5.3918588505304292</c:v>
                </c:pt>
                <c:pt idx="28">
                  <c:v>5.4142275177629493</c:v>
                </c:pt>
                <c:pt idx="29">
                  <c:v>5.4385634894996704</c:v>
                </c:pt>
                <c:pt idx="30">
                  <c:v>5.4648768151584557</c:v>
                </c:pt>
                <c:pt idx="31">
                  <c:v>5.4931782538855725</c:v>
                </c:pt>
                <c:pt idx="32">
                  <c:v>5.5234786864473806</c:v>
                </c:pt>
                <c:pt idx="33">
                  <c:v>5.5557884805539528</c:v>
                </c:pt>
                <c:pt idx="34">
                  <c:v>5.5901168237215275</c:v>
                </c:pt>
                <c:pt idx="35">
                  <c:v>5.6264710420469877</c:v>
                </c:pt>
                <c:pt idx="36">
                  <c:v>5.6648559271301862</c:v>
                </c:pt>
                <c:pt idx="37">
                  <c:v>5.7052730962956115</c:v>
                </c:pt>
                <c:pt idx="38">
                  <c:v>5.7477204126956458</c:v>
                </c:pt>
                <c:pt idx="39">
                  <c:v>5.7921914913820327</c:v>
                </c:pt>
                <c:pt idx="40">
                  <c:v>5.8386753147612893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3A0C-496F-BA72-9837BFAD9040}"/>
            </c:ext>
          </c:extLst>
        </c:ser>
        <c:ser>
          <c:idx val="29"/>
          <c:order val="29"/>
          <c:tx>
            <c:strRef>
              <c:f>NonLin3!$AF$34</c:f>
              <c:strCache>
                <c:ptCount val="1"/>
                <c:pt idx="0">
                  <c:v>1.45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NonLin3!$AF$35:$AF$75</c:f>
              <c:numCache>
                <c:formatCode>General</c:formatCode>
                <c:ptCount val="41"/>
                <c:pt idx="0">
                  <c:v>5.5751627164321871</c:v>
                </c:pt>
                <c:pt idx="1">
                  <c:v>5.5402792162496599</c:v>
                </c:pt>
                <c:pt idx="2">
                  <c:v>5.5078304158119842</c:v>
                </c:pt>
                <c:pt idx="3">
                  <c:v>5.4778161118201698</c:v>
                </c:pt>
                <c:pt idx="4">
                  <c:v>5.4502277150175482</c:v>
                </c:pt>
                <c:pt idx="5">
                  <c:v>5.4250489501045802</c:v>
                </c:pt>
                <c:pt idx="6">
                  <c:v>5.4022567587877193</c:v>
                </c:pt>
                <c:pt idx="7">
                  <c:v>5.3818223528749733</c:v>
                </c:pt>
                <c:pt idx="8">
                  <c:v>5.3637123600331762</c:v>
                </c:pt>
                <c:pt idx="9">
                  <c:v>5.3478900060053949</c:v>
                </c:pt>
                <c:pt idx="10">
                  <c:v>5.334316282792904</c:v>
                </c:pt>
                <c:pt idx="11">
                  <c:v>5.3229510611282222</c:v>
                </c:pt>
                <c:pt idx="12">
                  <c:v>5.3137541159676278</c:v>
                </c:pt>
                <c:pt idx="13">
                  <c:v>5.3066860443138069</c:v>
                </c:pt>
                <c:pt idx="14">
                  <c:v>5.3017090643535356</c:v>
                </c:pt>
                <c:pt idx="15">
                  <c:v>5.298787692952553</c:v>
                </c:pt>
                <c:pt idx="16">
                  <c:v>5.29788930464664</c:v>
                </c:pt>
                <c:pt idx="17">
                  <c:v>5.2989845793577004</c:v>
                </c:pt>
                <c:pt idx="18">
                  <c:v>5.3020478483061702</c:v>
                </c:pt>
                <c:pt idx="19">
                  <c:v>5.3070573482651158</c:v>
                </c:pt>
                <c:pt idx="20">
                  <c:v>5.3139953937334505</c:v>
                </c:pt>
                <c:pt idx="21">
                  <c:v>5.3228484751219085</c:v>
                </c:pt>
                <c:pt idx="22">
                  <c:v>5.3336072889448172</c:v>
                </c:pt>
                <c:pt idx="23">
                  <c:v>5.3462667035574984</c:v>
                </c:pt>
                <c:pt idx="24">
                  <c:v>5.3608256614065404</c:v>
                </c:pt>
                <c:pt idx="25">
                  <c:v>5.3772870162834181</c:v>
                </c:pt>
                <c:pt idx="26">
                  <c:v>5.3956573019026557</c:v>
                </c:pt>
                <c:pt idx="27">
                  <c:v>5.4159464264854575</c:v>
                </c:pt>
                <c:pt idx="28">
                  <c:v>5.4381672871570084</c:v>
                </c:pt>
                <c:pt idx="29">
                  <c:v>5.4623352981129907</c:v>
                </c:pt>
                <c:pt idx="30">
                  <c:v>5.4884678279263923</c:v>
                </c:pt>
                <c:pt idx="31">
                  <c:v>5.5165835442585358</c:v>
                </c:pt>
                <c:pt idx="32">
                  <c:v>5.5467016687247117</c:v>
                </c:pt>
                <c:pt idx="33">
                  <c:v>5.5788411507018782</c:v>
                </c:pt>
                <c:pt idx="34">
                  <c:v>5.6130197761826413</c:v>
                </c:pt>
                <c:pt idx="35">
                  <c:v>5.6492532358247418</c:v>
                </c:pt>
                <c:pt idx="36">
                  <c:v>5.6875541842754576</c:v>
                </c:pt>
                <c:pt idx="37">
                  <c:v>5.7279313295848082</c:v>
                </c:pt>
                <c:pt idx="38">
                  <c:v>5.7703885958741266</c:v>
                </c:pt>
                <c:pt idx="39">
                  <c:v>5.814924403312312</c:v>
                </c:pt>
                <c:pt idx="40">
                  <c:v>5.8615311061308866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A0C-496F-BA72-9837BFAD9040}"/>
            </c:ext>
          </c:extLst>
        </c:ser>
        <c:ser>
          <c:idx val="30"/>
          <c:order val="30"/>
          <c:tx>
            <c:strRef>
              <c:f>NonLin3!$AG$34</c:f>
              <c:strCache>
                <c:ptCount val="1"/>
                <c:pt idx="0">
                  <c:v>1.5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NonLin3!$AG$35:$AG$75</c:f>
              <c:numCache>
                <c:formatCode>General</c:formatCode>
                <c:ptCount val="41"/>
                <c:pt idx="0">
                  <c:v>5.5958096264818895</c:v>
                </c:pt>
                <c:pt idx="1">
                  <c:v>5.5608526396147795</c:v>
                </c:pt>
                <c:pt idx="2">
                  <c:v>5.5284402211820129</c:v>
                </c:pt>
                <c:pt idx="3">
                  <c:v>5.4985668905666634</c:v>
                </c:pt>
                <c:pt idx="4">
                  <c:v>5.4712161303996947</c:v>
                </c:pt>
                <c:pt idx="5">
                  <c:v>5.4463614665526148</c:v>
                </c:pt>
                <c:pt idx="6">
                  <c:v>5.4239678474786341</c:v>
                </c:pt>
                <c:pt idx="7">
                  <c:v>5.4039932258420507</c:v>
                </c:pt>
                <c:pt idx="8">
                  <c:v>5.386390241440056</c:v>
                </c:pt>
                <c:pt idx="9">
                  <c:v>5.3711079113934979</c:v>
                </c:pt>
                <c:pt idx="10">
                  <c:v>5.3580932486539208</c:v>
                </c:pt>
                <c:pt idx="11">
                  <c:v>5.3472927495284068</c:v>
                </c:pt>
                <c:pt idx="12">
                  <c:v>5.3386537117639143</c:v>
                </c:pt>
                <c:pt idx="13">
                  <c:v>5.3321253640552095</c:v>
                </c:pt>
                <c:pt idx="14">
                  <c:v>5.3276598038938721</c:v>
                </c:pt>
                <c:pt idx="15">
                  <c:v>5.3252127526480475</c:v>
                </c:pt>
                <c:pt idx="16">
                  <c:v>5.3247441445923904</c:v>
                </c:pt>
                <c:pt idx="17">
                  <c:v>5.3262185707298757</c:v>
                </c:pt>
                <c:pt idx="18">
                  <c:v>5.3296055993471496</c:v>
                </c:pt>
                <c:pt idx="19">
                  <c:v>5.3348799940705156</c:v>
                </c:pt>
                <c:pt idx="20">
                  <c:v>5.3420218474269054</c:v>
                </c:pt>
                <c:pt idx="21">
                  <c:v>5.3510166441298734</c:v>
                </c:pt>
                <c:pt idx="22">
                  <c:v>5.3618552639364827</c:v>
                </c:pt>
                <c:pt idx="23">
                  <c:v>5.3745339292718937</c:v>
                </c:pt>
                <c:pt idx="24">
                  <c:v>5.3890540981266266</c:v>
                </c:pt>
                <c:pt idx="25">
                  <c:v>5.4054222981894613</c:v>
                </c:pt>
                <c:pt idx="26">
                  <c:v>5.4236498939840043</c:v>
                </c:pt>
                <c:pt idx="27">
                  <c:v>5.4437527751731132</c:v>
                </c:pt>
                <c:pt idx="28">
                  <c:v>5.4657509515062319</c:v>
                </c:pt>
                <c:pt idx="29">
                  <c:v>5.4896680385319501</c:v>
                </c:pt>
                <c:pt idx="30">
                  <c:v>5.5155306186938367</c:v>
                </c:pt>
                <c:pt idx="31">
                  <c:v>5.5433674653304816</c:v>
                </c:pt>
                <c:pt idx="32">
                  <c:v>5.5732086229229649</c:v>
                </c:pt>
                <c:pt idx="33">
                  <c:v>5.6050843459956301</c:v>
                </c:pt>
                <c:pt idx="34">
                  <c:v>5.6390239113207032</c:v>
                </c:pt>
                <c:pt idx="35">
                  <c:v>5.6750543328694141</c:v>
                </c:pt>
                <c:pt idx="36">
                  <c:v>5.7131990249372269</c:v>
                </c:pt>
                <c:pt idx="37">
                  <c:v>5.7534764739622375</c:v>
                </c:pt>
                <c:pt idx="38">
                  <c:v>5.7958989911355969</c:v>
                </c:pt>
                <c:pt idx="39">
                  <c:v>5.8404716232629976</c:v>
                </c:pt>
                <c:pt idx="40">
                  <c:v>5.8871912963130573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A0C-496F-BA72-9837BFAD9040}"/>
            </c:ext>
          </c:extLst>
        </c:ser>
        <c:ser>
          <c:idx val="31"/>
          <c:order val="31"/>
          <c:tx>
            <c:strRef>
              <c:f>NonLin3!$AH$34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NonLin3!$AH$35:$AH$75</c:f>
              <c:numCache>
                <c:formatCode>General</c:formatCode>
                <c:ptCount val="41"/>
                <c:pt idx="0">
                  <c:v>5.6186722845427379</c:v>
                </c:pt>
                <c:pt idx="1">
                  <c:v>5.583664829451835</c:v>
                </c:pt>
                <c:pt idx="2">
                  <c:v>5.5513441589317098</c:v>
                </c:pt>
                <c:pt idx="3">
                  <c:v>5.521697242527793</c:v>
                </c:pt>
                <c:pt idx="4">
                  <c:v>5.4946961290386591</c:v>
                </c:pt>
                <c:pt idx="5">
                  <c:v>5.4702996967505717</c:v>
                </c:pt>
                <c:pt idx="6">
                  <c:v>5.4484558526064246</c:v>
                </c:pt>
                <c:pt idx="7">
                  <c:v>5.4291039936141985</c:v>
                </c:pt>
                <c:pt idx="8">
                  <c:v>5.4121775459941297</c:v>
                </c:pt>
                <c:pt idx="9">
                  <c:v>5.3976064219641779</c:v>
                </c:pt>
                <c:pt idx="10">
                  <c:v>5.3853192723577301</c:v>
                </c:pt>
                <c:pt idx="11">
                  <c:v>5.3752454565679617</c:v>
                </c:pt>
                <c:pt idx="12">
                  <c:v>5.3673166922589726</c:v>
                </c:pt>
                <c:pt idx="13">
                  <c:v>5.3614683810983417</c:v>
                </c:pt>
                <c:pt idx="14">
                  <c:v>5.3576406313332416</c:v>
                </c:pt>
                <c:pt idx="15">
                  <c:v>5.3557790133394976</c:v>
                </c:pt>
                <c:pt idx="16">
                  <c:v>5.3558350916145514</c:v>
                </c:pt>
                <c:pt idx="17">
                  <c:v>5.3577667779262867</c:v>
                </c:pt>
                <c:pt idx="18">
                  <c:v>5.3615385473675197</c:v>
                </c:pt>
                <c:pt idx="19">
                  <c:v>5.3671215535198558</c:v>
                </c:pt>
                <c:pt idx="20">
                  <c:v>5.3744936720155252</c:v>
                </c:pt>
                <c:pt idx="21">
                  <c:v>5.3836394943106978</c:v>
                </c:pt>
                <c:pt idx="22">
                  <c:v>5.3945502859144652</c:v>
                </c:pt>
                <c:pt idx="23">
                  <c:v>5.4072239158690412</c:v>
                </c:pt>
                <c:pt idx="24">
                  <c:v>5.4216647570081076</c:v>
                </c:pt>
                <c:pt idx="25">
                  <c:v>5.4378835494267808</c:v>
                </c:pt>
                <c:pt idx="26">
                  <c:v>5.4558972126975309</c:v>
                </c:pt>
                <c:pt idx="27">
                  <c:v>5.475728585787822</c:v>
                </c:pt>
                <c:pt idx="28">
                  <c:v>5.4974060676941727</c:v>
                </c:pt>
                <c:pt idx="29">
                  <c:v>5.52096312708571</c:v>
                </c:pt>
                <c:pt idx="30">
                  <c:v>5.5464376466474885</c:v>
                </c:pt>
                <c:pt idx="31">
                  <c:v>5.5738710685450865</c:v>
                </c:pt>
                <c:pt idx="32">
                  <c:v>5.6033073129323379</c:v>
                </c:pt>
                <c:pt idx="33">
                  <c:v>5.634791453108301</c:v>
                </c:pt>
                <c:pt idx="34">
                  <c:v>5.668368149778237</c:v>
                </c:pt>
                <c:pt idx="35">
                  <c:v>5.7040798728643942</c:v>
                </c:pt>
                <c:pt idx="36">
                  <c:v>5.7419649708091436</c:v>
                </c:pt>
                <c:pt idx="37">
                  <c:v>5.7820556806348149</c:v>
                </c:pt>
                <c:pt idx="38">
                  <c:v>5.8243762015040241</c:v>
                </c:pt>
                <c:pt idx="39">
                  <c:v>5.8689409733212425</c:v>
                </c:pt>
                <c:pt idx="40">
                  <c:v>5.9157533036340428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3A0C-496F-BA72-9837BFAD9040}"/>
            </c:ext>
          </c:extLst>
        </c:ser>
        <c:ser>
          <c:idx val="32"/>
          <c:order val="32"/>
          <c:tx>
            <c:strRef>
              <c:f>NonLin3!$AI$34</c:f>
              <c:strCache>
                <c:ptCount val="1"/>
                <c:pt idx="0">
                  <c:v>1.6</c:v>
                </c:pt>
              </c:strCache>
            </c:strRef>
          </c:tx>
          <c:spPr>
            <a:solidFill>
              <a:srgbClr val="00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NonLin3!$AI$35:$AI$75</c:f>
              <c:numCache>
                <c:formatCode>General</c:formatCode>
                <c:ptCount val="41"/>
                <c:pt idx="0">
                  <c:v>5.6438291878382225</c:v>
                </c:pt>
                <c:pt idx="1">
                  <c:v>5.6088064285679282</c:v>
                </c:pt>
                <c:pt idx="2">
                  <c:v>5.5766569967702466</c:v>
                </c:pt>
                <c:pt idx="3">
                  <c:v>5.5473565904897635</c:v>
                </c:pt>
                <c:pt idx="4">
                  <c:v>5.5208601247324776</c:v>
                </c:pt>
                <c:pt idx="5">
                  <c:v>5.4971047368612327</c:v>
                </c:pt>
                <c:pt idx="6">
                  <c:v>5.4760134698461878</c:v>
                </c:pt>
                <c:pt idx="7">
                  <c:v>5.4574992540533867</c:v>
                </c:pt>
                <c:pt idx="8">
                  <c:v>5.4414688391903026</c:v>
                </c:pt>
                <c:pt idx="9">
                  <c:v>5.4278264041066429</c:v>
                </c:pt>
                <c:pt idx="10">
                  <c:v>5.4164766682856316</c:v>
                </c:pt>
                <c:pt idx="11">
                  <c:v>5.4073274227411936</c:v>
                </c:pt>
                <c:pt idx="12">
                  <c:v>5.4002914749606141</c:v>
                </c:pt>
                <c:pt idx="13">
                  <c:v>5.3952880562473755</c:v>
                </c:pt>
                <c:pt idx="14">
                  <c:v>5.3922437706799871</c:v>
                </c:pt>
                <c:pt idx="15">
                  <c:v>5.39109317708402</c:v>
                </c:pt>
                <c:pt idx="16">
                  <c:v>5.3917790944238506</c:v>
                </c:pt>
                <c:pt idx="17">
                  <c:v>5.3942527120477415</c:v>
                </c:pt>
                <c:pt idx="18">
                  <c:v>5.398473573337415</c:v>
                </c:pt>
                <c:pt idx="19">
                  <c:v>5.4044094872854815</c:v>
                </c:pt>
                <c:pt idx="20">
                  <c:v>5.4120364089560056</c:v>
                </c:pt>
                <c:pt idx="21">
                  <c:v>5.421338317396633</c:v>
                </c:pt>
                <c:pt idx="22">
                  <c:v>5.4323071084848511</c:v>
                </c:pt>
                <c:pt idx="23">
                  <c:v>5.444942510157798</c:v>
                </c:pt>
                <c:pt idx="24">
                  <c:v>5.4592520180526733</c:v>
                </c:pt>
                <c:pt idx="25">
                  <c:v>5.4752508402693962</c:v>
                </c:pt>
                <c:pt idx="26">
                  <c:v>5.4929618303014704</c:v>
                </c:pt>
                <c:pt idx="27">
                  <c:v>5.5124153768683222</c:v>
                </c:pt>
                <c:pt idx="28">
                  <c:v>5.5336492084261346</c:v>
                </c:pt>
                <c:pt idx="29">
                  <c:v>5.5567080590180682</c:v>
                </c:pt>
                <c:pt idx="30">
                  <c:v>5.5816431320277546</c:v>
                </c:pt>
                <c:pt idx="31">
                  <c:v>5.6085112914068436</c:v>
                </c:pt>
                <c:pt idx="32">
                  <c:v>5.6373739091593329</c:v>
                </c:pt>
                <c:pt idx="33">
                  <c:v>5.6682953072525919</c:v>
                </c:pt>
                <c:pt idx="34">
                  <c:v>5.7013407559074478</c:v>
                </c:pt>
                <c:pt idx="35">
                  <c:v>5.73657403159749</c:v>
                </c:pt>
                <c:pt idx="36">
                  <c:v>5.7740545973259865</c:v>
                </c:pt>
                <c:pt idx="37">
                  <c:v>5.8138345400324329</c:v>
                </c:pt>
                <c:pt idx="38">
                  <c:v>5.8559554739992139</c:v>
                </c:pt>
                <c:pt idx="39">
                  <c:v>5.9004456777153163</c:v>
                </c:pt>
                <c:pt idx="40">
                  <c:v>5.9473177555102552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3A0C-496F-BA72-9837BFAD9040}"/>
            </c:ext>
          </c:extLst>
        </c:ser>
        <c:ser>
          <c:idx val="33"/>
          <c:order val="33"/>
          <c:tx>
            <c:strRef>
              <c:f>NonLin3!$AJ$34</c:f>
              <c:strCache>
                <c:ptCount val="1"/>
                <c:pt idx="0">
                  <c:v>1.65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NonLin3!$AJ$35:$AJ$75</c:f>
              <c:numCache>
                <c:formatCode>General</c:formatCode>
                <c:ptCount val="41"/>
                <c:pt idx="0">
                  <c:v>5.6713591431783286</c:v>
                </c:pt>
                <c:pt idx="1">
                  <c:v>5.6363722233254698</c:v>
                </c:pt>
                <c:pt idx="2">
                  <c:v>5.6045080133976519</c:v>
                </c:pt>
                <c:pt idx="3">
                  <c:v>5.5757243995882559</c:v>
                </c:pt>
                <c:pt idx="4">
                  <c:v>5.5499493109161158</c:v>
                </c:pt>
                <c:pt idx="5">
                  <c:v>5.5270862454537095</c:v>
                </c:pt>
                <c:pt idx="6">
                  <c:v>5.5070207927311454</c:v>
                </c:pt>
                <c:pt idx="7">
                  <c:v>5.4896273360813659</c:v>
                </c:pt>
                <c:pt idx="8">
                  <c:v>5.47477526426756</c:v>
                </c:pt>
                <c:pt idx="9">
                  <c:v>5.4623342520101126</c:v>
                </c:pt>
                <c:pt idx="10">
                  <c:v>5.4521784074769153</c:v>
                </c:pt>
                <c:pt idx="11">
                  <c:v>5.4441892790301605</c:v>
                </c:pt>
                <c:pt idx="12">
                  <c:v>5.4382578419609935</c:v>
                </c:pt>
                <c:pt idx="13">
                  <c:v>5.4342856510043154</c:v>
                </c:pt>
                <c:pt idx="14">
                  <c:v>5.4321853611017046</c:v>
                </c:pt>
                <c:pt idx="15">
                  <c:v>5.4318808051037051</c:v>
                </c:pt>
                <c:pt idx="16">
                  <c:v>5.4333067881653898</c:v>
                </c:pt>
                <c:pt idx="17">
                  <c:v>5.4364087251601685</c:v>
                </c:pt>
                <c:pt idx="18">
                  <c:v>5.4411422157530689</c:v>
                </c:pt>
                <c:pt idx="19">
                  <c:v>5.44747262472539</c:v>
                </c:pt>
                <c:pt idx="20">
                  <c:v>5.4553747134575437</c:v>
                </c:pt>
                <c:pt idx="21">
                  <c:v>5.4648323516722108</c:v>
                </c:pt>
                <c:pt idx="22">
                  <c:v>5.4758383255496428</c:v>
                </c:pt>
                <c:pt idx="23">
                  <c:v>5.4883942478627477</c:v>
                </c:pt>
                <c:pt idx="24">
                  <c:v>5.5025105665066603</c:v>
                </c:pt>
                <c:pt idx="25">
                  <c:v>5.5182066584021641</c:v>
                </c:pt>
                <c:pt idx="26">
                  <c:v>5.5355109849697621</c:v>
                </c:pt>
                <c:pt idx="27">
                  <c:v>5.5544612720322002</c:v>
                </c:pt>
                <c:pt idx="28">
                  <c:v>5.5751046601581065</c:v>
                </c:pt>
                <c:pt idx="29">
                  <c:v>5.5974977506449397</c:v>
                </c:pt>
                <c:pt idx="30">
                  <c:v>5.621706448053942</c:v>
                </c:pt>
                <c:pt idx="31">
                  <c:v>5.647805474633703</c:v>
                </c:pt>
                <c:pt idx="32">
                  <c:v>5.6758774098720925</c:v>
                </c:pt>
                <c:pt idx="33">
                  <c:v>5.7060110979881369</c:v>
                </c:pt>
                <c:pt idx="34">
                  <c:v>5.7382992791680802</c:v>
                </c:pt>
                <c:pt idx="35">
                  <c:v>5.7728353505520236</c:v>
                </c:pt>
                <c:pt idx="36">
                  <c:v>5.8097092619181865</c:v>
                </c:pt>
                <c:pt idx="37">
                  <c:v>5.849002700546853</c:v>
                </c:pt>
                <c:pt idx="38">
                  <c:v>5.8907839032798401</c:v>
                </c:pt>
                <c:pt idx="39">
                  <c:v>5.9351026110270038</c:v>
                </c:pt>
                <c:pt idx="40">
                  <c:v>5.9819857930397031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3A0C-496F-BA72-9837BFAD9040}"/>
            </c:ext>
          </c:extLst>
        </c:ser>
        <c:ser>
          <c:idx val="34"/>
          <c:order val="34"/>
          <c:tx>
            <c:strRef>
              <c:f>NonLin3!$AK$34</c:f>
              <c:strCache>
                <c:ptCount val="1"/>
                <c:pt idx="0">
                  <c:v>1.7</c:v>
                </c:pt>
              </c:strCache>
            </c:strRef>
          </c:tx>
          <c:spPr>
            <a:solidFill>
              <a:srgbClr val="00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NonLin3!$AK$35:$AK$75</c:f>
              <c:numCache>
                <c:formatCode>General</c:formatCode>
                <c:ptCount val="41"/>
                <c:pt idx="0">
                  <c:v>5.701338943222658</c:v>
                </c:pt>
                <c:pt idx="1">
                  <c:v>5.666461520041616</c:v>
                </c:pt>
                <c:pt idx="2">
                  <c:v>5.6350491486218113</c:v>
                </c:pt>
                <c:pt idx="3">
                  <c:v>5.6070294088903703</c:v>
                </c:pt>
                <c:pt idx="4">
                  <c:v>5.5822849594396029</c:v>
                </c:pt>
                <c:pt idx="5">
                  <c:v>5.5606645615535459</c:v>
                </c:pt>
                <c:pt idx="6">
                  <c:v>5.54199535774654</c:v>
                </c:pt>
                <c:pt idx="7">
                  <c:v>5.5260945527269829</c:v>
                </c:pt>
                <c:pt idx="8">
                  <c:v>5.5127792369118644</c:v>
                </c:pt>
                <c:pt idx="9">
                  <c:v>5.5018737824348118</c:v>
                </c:pt>
                <c:pt idx="10">
                  <c:v>5.4932148050646576</c:v>
                </c:pt>
                <c:pt idx="11">
                  <c:v>5.4866540319293851</c:v>
                </c:pt>
                <c:pt idx="12">
                  <c:v>5.4820595587172516</c:v>
                </c:pt>
                <c:pt idx="13">
                  <c:v>5.4793159835803351</c:v>
                </c:pt>
                <c:pt idx="14">
                  <c:v>5.4783238344988066</c:v>
                </c:pt>
                <c:pt idx="15">
                  <c:v>5.4789986114155491</c:v>
                </c:pt>
                <c:pt idx="16">
                  <c:v>5.4812696725192849</c:v>
                </c:pt>
                <c:pt idx="17">
                  <c:v>5.4850791182533438</c:v>
                </c:pt>
                <c:pt idx="18">
                  <c:v>5.4903807698774383</c:v>
                </c:pt>
                <c:pt idx="19">
                  <c:v>5.4971392998451591</c:v>
                </c:pt>
                <c:pt idx="20">
                  <c:v>5.5053295452817173</c:v>
                </c:pt>
                <c:pt idx="21">
                  <c:v>5.5149360196944421</c:v>
                </c:pt>
                <c:pt idx="22">
                  <c:v>5.5259526284284668</c:v>
                </c:pt>
                <c:pt idx="23">
                  <c:v>5.538382587578182</c:v>
                </c:pt>
                <c:pt idx="24">
                  <c:v>5.5522385418204099</c:v>
                </c:pt>
                <c:pt idx="25">
                  <c:v>5.5675428719156601</c:v>
                </c:pt>
                <c:pt idx="26">
                  <c:v>5.5843281753807616</c:v>
                </c:pt>
                <c:pt idx="27">
                  <c:v>5.6026378917845197</c:v>
                </c:pt>
                <c:pt idx="28">
                  <c:v>5.6225270246022259</c:v>
                </c:pt>
                <c:pt idx="29">
                  <c:v>5.6440628816201244</c:v>
                </c:pt>
                <c:pt idx="30">
                  <c:v>5.6673257126988972</c:v>
                </c:pt>
                <c:pt idx="31">
                  <c:v>5.6924090658299127</c:v>
                </c:pt>
                <c:pt idx="32">
                  <c:v>5.7194196120875995</c:v>
                </c:pt>
                <c:pt idx="33">
                  <c:v>5.7484761169967529</c:v>
                </c:pt>
                <c:pt idx="34">
                  <c:v>5.7797071819193766</c:v>
                </c:pt>
                <c:pt idx="35">
                  <c:v>5.8132473820479307</c:v>
                </c:pt>
                <c:pt idx="36">
                  <c:v>5.8492315384007796</c:v>
                </c:pt>
                <c:pt idx="37">
                  <c:v>5.8877871279158338</c:v>
                </c:pt>
                <c:pt idx="38">
                  <c:v>5.9290252693308503</c:v>
                </c:pt>
                <c:pt idx="39">
                  <c:v>5.9730312532943559</c:v>
                </c:pt>
                <c:pt idx="40">
                  <c:v>6.0198560408060358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3A0C-496F-BA72-9837BFAD9040}"/>
            </c:ext>
          </c:extLst>
        </c:ser>
        <c:ser>
          <c:idx val="35"/>
          <c:order val="35"/>
          <c:tx>
            <c:strRef>
              <c:f>NonLin3!$AL$34</c:f>
              <c:strCache>
                <c:ptCount val="1"/>
                <c:pt idx="0">
                  <c:v>1.75</c:v>
                </c:pt>
              </c:strCache>
            </c:strRef>
          </c:tx>
          <c:spPr>
            <a:solidFill>
              <a:srgbClr val="33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NonLin3!$AL$35:$AL$75</c:f>
              <c:numCache>
                <c:formatCode>General</c:formatCode>
                <c:ptCount val="41"/>
                <c:pt idx="0">
                  <c:v>5.7338408434790527</c:v>
                </c:pt>
                <c:pt idx="1">
                  <c:v>5.6991816865331257</c:v>
                </c:pt>
                <c:pt idx="2">
                  <c:v>5.6684752677785095</c:v>
                </c:pt>
                <c:pt idx="3">
                  <c:v>5.6415924255646432</c:v>
                </c:pt>
                <c:pt idx="4">
                  <c:v>5.6183336617920006</c:v>
                </c:pt>
                <c:pt idx="5">
                  <c:v>5.5984533808516685</c:v>
                </c:pt>
                <c:pt idx="6">
                  <c:v>5.5816844658165747</c:v>
                </c:pt>
                <c:pt idx="7">
                  <c:v>5.567758896874075</c:v>
                </c:pt>
                <c:pt idx="8">
                  <c:v>5.5564224653986853</c:v>
                </c:pt>
                <c:pt idx="9">
                  <c:v>5.5474436082775087</c:v>
                </c:pt>
                <c:pt idx="10">
                  <c:v>5.540617485783927</c:v>
                </c:pt>
                <c:pt idx="11">
                  <c:v>5.5357667453858905</c:v>
                </c:pt>
                <c:pt idx="12">
                  <c:v>5.5327402709131697</c:v>
                </c:pt>
                <c:pt idx="13">
                  <c:v>5.531410897336734</c:v>
                </c:pt>
                <c:pt idx="14">
                  <c:v>5.531672746649015</c:v>
                </c:pt>
                <c:pt idx="15">
                  <c:v>5.5334385809974105</c:v>
                </c:pt>
                <c:pt idx="16">
                  <c:v>5.536637388170873</c:v>
                </c:pt>
                <c:pt idx="17">
                  <c:v>5.54121229975188</c:v>
                </c:pt>
                <c:pt idx="18">
                  <c:v>5.5471188755733065</c:v>
                </c:pt>
                <c:pt idx="19">
                  <c:v>5.554323753312933</c:v>
                </c:pt>
                <c:pt idx="20">
                  <c:v>5.5628036470146842</c:v>
                </c:pt>
                <c:pt idx="21">
                  <c:v>5.5725446748734209</c:v>
                </c:pt>
                <c:pt idx="22">
                  <c:v>5.5835419995512225</c:v>
                </c:pt>
                <c:pt idx="23">
                  <c:v>5.5957997703585596</c:v>
                </c:pt>
                <c:pt idx="24">
                  <c:v>5.6093313637044551</c:v>
                </c:pt>
                <c:pt idx="25">
                  <c:v>5.6241599246118987</c:v>
                </c:pt>
                <c:pt idx="26">
                  <c:v>5.6403192159768283</c:v>
                </c:pt>
                <c:pt idx="27">
                  <c:v>5.6578547810387576</c:v>
                </c:pt>
                <c:pt idx="28">
                  <c:v>5.6768254141985608</c:v>
                </c:pt>
                <c:pt idx="29">
                  <c:v>5.6973049095846928</c:v>
                </c:pt>
                <c:pt idx="30">
                  <c:v>5.7193840063434367</c:v>
                </c:pt>
                <c:pt idx="31">
                  <c:v>5.7431723620370168</c:v>
                </c:pt>
                <c:pt idx="32">
                  <c:v>5.768800246838782</c:v>
                </c:pt>
                <c:pt idx="33">
                  <c:v>5.7964194521940229</c:v>
                </c:pt>
                <c:pt idx="34">
                  <c:v>5.8262026581772064</c:v>
                </c:pt>
                <c:pt idx="35">
                  <c:v>5.8583402585694611</c:v>
                </c:pt>
                <c:pt idx="36">
                  <c:v>5.8930335329608967</c:v>
                </c:pt>
                <c:pt idx="37">
                  <c:v>5.9304833008413649</c:v>
                </c:pt>
                <c:pt idx="38">
                  <c:v>5.9708740379509369</c:v>
                </c:pt>
                <c:pt idx="39">
                  <c:v>6.0143549516159283</c:v>
                </c:pt>
                <c:pt idx="40">
                  <c:v>6.0610213183765014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3A0C-496F-BA72-9837BFAD9040}"/>
            </c:ext>
          </c:extLst>
        </c:ser>
        <c:ser>
          <c:idx val="36"/>
          <c:order val="36"/>
          <c:tx>
            <c:strRef>
              <c:f>NonLin3!$AM$34</c:f>
              <c:strCache>
                <c:ptCount val="1"/>
                <c:pt idx="0">
                  <c:v>1.8</c:v>
                </c:pt>
              </c:strCache>
            </c:strRef>
          </c:tx>
          <c:spPr>
            <a:solidFill>
              <a:srgbClr val="99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NonLin3!$AM$35:$AM$75</c:f>
              <c:numCache>
                <c:formatCode>General</c:formatCode>
                <c:ptCount val="41"/>
                <c:pt idx="0">
                  <c:v>5.7689299309159576</c:v>
                </c:pt>
                <c:pt idx="1">
                  <c:v>5.7346608119811329</c:v>
                </c:pt>
                <c:pt idx="2">
                  <c:v>5.7050768205421196</c:v>
                </c:pt>
                <c:pt idx="3">
                  <c:v>5.6799282990605979</c:v>
                </c:pt>
                <c:pt idx="4">
                  <c:v>5.6588515734922655</c:v>
                </c:pt>
                <c:pt idx="5">
                  <c:v>5.6414286240336233</c:v>
                </c:pt>
                <c:pt idx="6">
                  <c:v>5.6272382857735277</c:v>
                </c:pt>
                <c:pt idx="7">
                  <c:v>5.6158902630628935</c:v>
                </c:pt>
                <c:pt idx="8">
                  <c:v>5.6070421989968615</c:v>
                </c:pt>
                <c:pt idx="9">
                  <c:v>5.600404404262143</c:v>
                </c:pt>
                <c:pt idx="10">
                  <c:v>5.5957373593732811</c:v>
                </c:pt>
                <c:pt idx="11">
                  <c:v>5.592845870566042</c:v>
                </c:pt>
                <c:pt idx="12">
                  <c:v>5.5915722710919473</c:v>
                </c:pt>
                <c:pt idx="13">
                  <c:v>5.5917899169117256</c:v>
                </c:pt>
                <c:pt idx="14">
                  <c:v>5.5933975107970966</c:v>
                </c:pt>
                <c:pt idx="15">
                  <c:v>5.5963143997560394</c:v>
                </c:pt>
                <c:pt idx="16">
                  <c:v>5.60047680575373</c:v>
                </c:pt>
                <c:pt idx="17">
                  <c:v>5.6058348782303336</c:v>
                </c:pt>
                <c:pt idx="18">
                  <c:v>5.6123504426873296</c:v>
                </c:pt>
                <c:pt idx="19">
                  <c:v>5.619995331321725</c:v>
                </c:pt>
                <c:pt idx="20">
                  <c:v>5.6287502033242474</c:v>
                </c:pt>
                <c:pt idx="21">
                  <c:v>5.638603786578293</c:v>
                </c:pt>
                <c:pt idx="22">
                  <c:v>5.6495524961515562</c:v>
                </c:pt>
                <c:pt idx="23">
                  <c:v>5.6616004074362349</c:v>
                </c:pt>
                <c:pt idx="24">
                  <c:v>5.6747595833387026</c:v>
                </c:pt>
                <c:pt idx="25">
                  <c:v>5.6890507761254412</c:v>
                </c:pt>
                <c:pt idx="26">
                  <c:v>5.7045045457875831</c:v>
                </c:pt>
                <c:pt idx="27">
                  <c:v>5.7211628577074469</c:v>
                </c:pt>
                <c:pt idx="28">
                  <c:v>5.7390812408791092</c:v>
                </c:pt>
                <c:pt idx="29">
                  <c:v>5.7583315983472172</c:v>
                </c:pt>
                <c:pt idx="30">
                  <c:v>5.7790057516671709</c:v>
                </c:pt>
                <c:pt idx="31">
                  <c:v>5.8012197470507312</c:v>
                </c:pt>
                <c:pt idx="32">
                  <c:v>5.8251188092476447</c:v>
                </c:pt>
                <c:pt idx="33">
                  <c:v>5.8508825304167038</c:v>
                </c:pt>
                <c:pt idx="34">
                  <c:v>5.8787293316443314</c:v>
                </c:pt>
                <c:pt idx="35">
                  <c:v>5.908918356043519</c:v>
                </c:pt>
                <c:pt idx="36">
                  <c:v>5.9417458075922962</c:v>
                </c:pt>
                <c:pt idx="37">
                  <c:v>5.9775318010219092</c:v>
                </c:pt>
                <c:pt idx="38">
                  <c:v>6.0165941803508183</c:v>
                </c:pt>
                <c:pt idx="39">
                  <c:v>6.0592091198286964</c:v>
                </c:pt>
                <c:pt idx="40">
                  <c:v>6.1055652116006165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3A0C-496F-BA72-9837BFAD9040}"/>
            </c:ext>
          </c:extLst>
        </c:ser>
        <c:ser>
          <c:idx val="37"/>
          <c:order val="37"/>
          <c:tx>
            <c:strRef>
              <c:f>NonLin3!$AN$34</c:f>
              <c:strCache>
                <c:ptCount val="1"/>
                <c:pt idx="0">
                  <c:v>1.85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NonLin3!$AN$35:$AN$75</c:f>
              <c:numCache>
                <c:formatCode>General</c:formatCode>
                <c:ptCount val="41"/>
                <c:pt idx="0">
                  <c:v>5.8066615052891439</c:v>
                </c:pt>
                <c:pt idx="1">
                  <c:v>5.7730906027865352</c:v>
                </c:pt>
                <c:pt idx="2">
                  <c:v>5.7453926809514906</c:v>
                </c:pt>
                <c:pt idx="3">
                  <c:v>5.7230142699666482</c:v>
                </c:pt>
                <c:pt idx="4">
                  <c:v>5.7052252609365937</c:v>
                </c:pt>
                <c:pt idx="5">
                  <c:v>5.6912825802774529</c:v>
                </c:pt>
                <c:pt idx="6">
                  <c:v>5.6805287879861206</c:v>
                </c:pt>
                <c:pt idx="7">
                  <c:v>5.672426977429903</c:v>
                </c:pt>
                <c:pt idx="8">
                  <c:v>5.6665576657799566</c:v>
                </c:pt>
                <c:pt idx="9">
                  <c:v>5.6626003162786231</c:v>
                </c:pt>
                <c:pt idx="10">
                  <c:v>5.66031216282183</c:v>
                </c:pt>
                <c:pt idx="11">
                  <c:v>5.6595095459752018</c:v>
                </c:pt>
                <c:pt idx="12">
                  <c:v>5.6600531031503536</c:v>
                </c:pt>
                <c:pt idx="13">
                  <c:v>5.6618365852795955</c:v>
                </c:pt>
                <c:pt idx="14">
                  <c:v>5.6647786120081989</c:v>
                </c:pt>
                <c:pt idx="15">
                  <c:v>5.6688166607592994</c:v>
                </c:pt>
                <c:pt idx="16">
                  <c:v>5.6739027073169019</c:v>
                </c:pt>
                <c:pt idx="17">
                  <c:v>5.6800000768873815</c:v>
                </c:pt>
                <c:pt idx="18">
                  <c:v>5.6870811860733514</c:v>
                </c:pt>
                <c:pt idx="19">
                  <c:v>5.6951259505907244</c:v>
                </c:pt>
                <c:pt idx="20">
                  <c:v>5.7041207042578632</c:v>
                </c:pt>
                <c:pt idx="21">
                  <c:v>5.7140575276658856</c:v>
                </c:pt>
                <c:pt idx="22">
                  <c:v>5.7249339256642111</c:v>
                </c:pt>
                <c:pt idx="23">
                  <c:v>5.7367528261841443</c:v>
                </c:pt>
                <c:pt idx="24">
                  <c:v>5.7495229030709494</c:v>
                </c:pt>
                <c:pt idx="25">
                  <c:v>5.7632592562273137</c:v>
                </c:pt>
                <c:pt idx="26">
                  <c:v>5.7779845172399042</c:v>
                </c:pt>
                <c:pt idx="27">
                  <c:v>5.7937304918907273</c:v>
                </c:pt>
                <c:pt idx="28">
                  <c:v>5.8105405071921492</c:v>
                </c:pt>
                <c:pt idx="29">
                  <c:v>5.8284727045546445</c:v>
                </c:pt>
                <c:pt idx="30">
                  <c:v>5.8476046151387191</c:v>
                </c:pt>
                <c:pt idx="31">
                  <c:v>5.8680394628907599</c:v>
                </c:pt>
                <c:pt idx="32">
                  <c:v>5.8899147353900823</c:v>
                </c:pt>
                <c:pt idx="33">
                  <c:v>5.9134135502371628</c:v>
                </c:pt>
                <c:pt idx="34">
                  <c:v>5.9387789909419242</c:v>
                </c:pt>
                <c:pt idx="35">
                  <c:v>5.9663303785255444</c:v>
                </c:pt>
                <c:pt idx="36">
                  <c:v>5.9964774710907767</c:v>
                </c:pt>
                <c:pt idx="37">
                  <c:v>6.0297228442533362</c:v>
                </c:pt>
                <c:pt idx="38">
                  <c:v>6.0666350356657643</c:v>
                </c:pt>
                <c:pt idx="39">
                  <c:v>6.1077726923916256</c:v>
                </c:pt>
                <c:pt idx="40">
                  <c:v>6.1535586610999538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5-3A0C-496F-BA72-9837BFAD9040}"/>
            </c:ext>
          </c:extLst>
        </c:ser>
        <c:ser>
          <c:idx val="38"/>
          <c:order val="38"/>
          <c:tx>
            <c:strRef>
              <c:f>NonLin3!$AO$34</c:f>
              <c:strCache>
                <c:ptCount val="1"/>
                <c:pt idx="0">
                  <c:v>1.9</c:v>
                </c:pt>
              </c:strCache>
            </c:strRef>
          </c:tx>
          <c:spPr>
            <a:solidFill>
              <a:srgbClr val="3333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NonLin3!$AO$35:$AO$75</c:f>
              <c:numCache>
                <c:formatCode>General</c:formatCode>
                <c:ptCount val="41"/>
                <c:pt idx="0">
                  <c:v>5.847078617470479</c:v>
                </c:pt>
                <c:pt idx="1">
                  <c:v>5.8148997388175117</c:v>
                </c:pt>
                <c:pt idx="2">
                  <c:v>5.7907456600704359</c:v>
                </c:pt>
                <c:pt idx="3">
                  <c:v>5.7730898266207031</c:v>
                </c:pt>
                <c:pt idx="4">
                  <c:v>5.7603160557945703</c:v>
                </c:pt>
                <c:pt idx="5">
                  <c:v>5.7511417432673877</c:v>
                </c:pt>
                <c:pt idx="6">
                  <c:v>5.7446698055799095</c:v>
                </c:pt>
                <c:pt idx="7">
                  <c:v>5.7403012293146194</c:v>
                </c:pt>
                <c:pt idx="8">
                  <c:v>5.737638803276937</c:v>
                </c:pt>
                <c:pt idx="9">
                  <c:v>5.7364161909522151</c:v>
                </c:pt>
                <c:pt idx="10">
                  <c:v>5.7364514976258398</c:v>
                </c:pt>
                <c:pt idx="11">
                  <c:v>5.737617943414115</c:v>
                </c:pt>
                <c:pt idx="12">
                  <c:v>5.7398253984657286</c:v>
                </c:pt>
                <c:pt idx="13">
                  <c:v>5.7430086309118016</c:v>
                </c:pt>
                <c:pt idx="14">
                  <c:v>5.7471197041626745</c:v>
                </c:pt>
                <c:pt idx="15">
                  <c:v>5.7521229715107038</c:v>
                </c:pt>
                <c:pt idx="16">
                  <c:v>5.757991727135173</c:v>
                </c:pt>
                <c:pt idx="17">
                  <c:v>5.7647059372746607</c:v>
                </c:pt>
                <c:pt idx="18">
                  <c:v>5.7722506942027314</c:v>
                </c:pt>
                <c:pt idx="19">
                  <c:v>5.7806151691360688</c:v>
                </c:pt>
                <c:pt idx="20">
                  <c:v>5.7897919236576403</c:v>
                </c:pt>
                <c:pt idx="21">
                  <c:v>5.7997764933570162</c:v>
                </c:pt>
                <c:pt idx="22">
                  <c:v>5.8105671945838271</c:v>
                </c:pt>
                <c:pt idx="23">
                  <c:v>5.8221651333026667</c:v>
                </c:pt>
                <c:pt idx="24">
                  <c:v>5.8345744194934195</c:v>
                </c:pt>
                <c:pt idx="25">
                  <c:v>5.8478026159300214</c:v>
                </c:pt>
                <c:pt idx="26">
                  <c:v>5.8618614813511094</c:v>
                </c:pt>
                <c:pt idx="27">
                  <c:v>5.876768111438607</c:v>
                </c:pt>
                <c:pt idx="28">
                  <c:v>5.8925466464542255</c:v>
                </c:pt>
                <c:pt idx="29">
                  <c:v>5.9092308179479396</c:v>
                </c:pt>
                <c:pt idx="30">
                  <c:v>5.9268677759429007</c:v>
                </c:pt>
                <c:pt idx="31">
                  <c:v>5.9455239189713636</c:v>
                </c:pt>
                <c:pt idx="32">
                  <c:v>5.965293919774993</c:v>
                </c:pt>
                <c:pt idx="33">
                  <c:v>5.9863149176997803</c:v>
                </c:pt>
                <c:pt idx="34">
                  <c:v>6.0087890690156502</c:v>
                </c:pt>
                <c:pt idx="35">
                  <c:v>6.0330192575437982</c:v>
                </c:pt>
                <c:pt idx="36">
                  <c:v>6.0594636488590865</c:v>
                </c:pt>
                <c:pt idx="37">
                  <c:v>6.0888097382315518</c:v>
                </c:pt>
                <c:pt idx="38">
                  <c:v>6.1220416172385752</c:v>
                </c:pt>
                <c:pt idx="39">
                  <c:v>6.1604000155098024</c:v>
                </c:pt>
                <c:pt idx="40">
                  <c:v>6.2050567554795428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3A0C-496F-BA72-9837BFAD9040}"/>
            </c:ext>
          </c:extLst>
        </c:ser>
        <c:ser>
          <c:idx val="39"/>
          <c:order val="39"/>
          <c:tx>
            <c:strRef>
              <c:f>NonLin3!$AP$34</c:f>
              <c:strCache>
                <c:ptCount val="1"/>
                <c:pt idx="0">
                  <c:v>1.95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NonLin3!$AP$35:$AP$75</c:f>
              <c:numCache>
                <c:formatCode>General</c:formatCode>
                <c:ptCount val="41"/>
                <c:pt idx="0">
                  <c:v>5.8902099198061535</c:v>
                </c:pt>
                <c:pt idx="1">
                  <c:v>5.8618360340839848</c:v>
                </c:pt>
                <c:pt idx="2">
                  <c:v>5.8457051998473677</c:v>
                </c:pt>
                <c:pt idx="3">
                  <c:v>5.8362461602743743</c:v>
                </c:pt>
                <c:pt idx="4">
                  <c:v>5.8303646625134338</c:v>
                </c:pt>
                <c:pt idx="5">
                  <c:v>5.8266656160342611</c:v>
                </c:pt>
                <c:pt idx="6">
                  <c:v>5.8244990789326039</c:v>
                </c:pt>
                <c:pt idx="7">
                  <c:v>5.8235361684266369</c:v>
                </c:pt>
                <c:pt idx="8">
                  <c:v>5.8235966644232278</c:v>
                </c:pt>
                <c:pt idx="9">
                  <c:v>5.8245749764680399</c:v>
                </c:pt>
                <c:pt idx="10">
                  <c:v>5.8264057678103596</c:v>
                </c:pt>
                <c:pt idx="11">
                  <c:v>5.8290467662643817</c:v>
                </c:pt>
                <c:pt idx="12">
                  <c:v>5.8324695960484583</c:v>
                </c:pt>
                <c:pt idx="13">
                  <c:v>5.8366546117659226</c:v>
                </c:pt>
                <c:pt idx="14">
                  <c:v>5.8415878494824272</c:v>
                </c:pt>
                <c:pt idx="15">
                  <c:v>5.8472591562723784</c:v>
                </c:pt>
                <c:pt idx="16">
                  <c:v>5.8536610059375809</c:v>
                </c:pt>
                <c:pt idx="17">
                  <c:v>5.8607877309232785</c:v>
                </c:pt>
                <c:pt idx="18">
                  <c:v>5.8686350167593613</c:v>
                </c:pt>
                <c:pt idx="19">
                  <c:v>5.8771995690088579</c:v>
                </c:pt>
                <c:pt idx="20">
                  <c:v>5.8864788991402932</c:v>
                </c:pt>
                <c:pt idx="21">
                  <c:v>5.896471197684237</c:v>
                </c:pt>
                <c:pt idx="22">
                  <c:v>5.9071752772058943</c:v>
                </c:pt>
                <c:pt idx="23">
                  <c:v>5.9185905778354009</c:v>
                </c:pt>
                <c:pt idx="24">
                  <c:v>5.9307172367947949</c:v>
                </c:pt>
                <c:pt idx="25">
                  <c:v>5.9435562325134956</c:v>
                </c:pt>
                <c:pt idx="26">
                  <c:v>5.9571096256832679</c:v>
                </c:pt>
                <c:pt idx="27">
                  <c:v>5.9713809370603439</c:v>
                </c:pt>
                <c:pt idx="28">
                  <c:v>5.9863757302435712</c:v>
                </c:pt>
                <c:pt idx="29">
                  <c:v>6.0021025168964197</c:v>
                </c:pt>
                <c:pt idx="30">
                  <c:v>6.0185741915374145</c:v>
                </c:pt>
                <c:pt idx="31">
                  <c:v>6.0358103741786193</c:v>
                </c:pt>
                <c:pt idx="32">
                  <c:v>6.053841382522771</c:v>
                </c:pt>
                <c:pt idx="33">
                  <c:v>6.0727152835164997</c:v>
                </c:pt>
                <c:pt idx="34">
                  <c:v>6.0925111154890903</c:v>
                </c:pt>
                <c:pt idx="35">
                  <c:v>6.1133653313639069</c:v>
                </c:pt>
                <c:pt idx="36">
                  <c:v>6.1355287476909126</c:v>
                </c:pt>
                <c:pt idx="37">
                  <c:v>6.1594991580804832</c:v>
                </c:pt>
                <c:pt idx="38">
                  <c:v>6.1863475568807242</c:v>
                </c:pt>
                <c:pt idx="39">
                  <c:v>6.2184519969820657</c:v>
                </c:pt>
                <c:pt idx="40">
                  <c:v>6.2600959307520556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7-3A0C-496F-BA72-9837BFAD9040}"/>
            </c:ext>
          </c:extLst>
        </c:ser>
        <c:ser>
          <c:idx val="40"/>
          <c:order val="40"/>
          <c:tx>
            <c:strRef>
              <c:f>NonLin3!$AQ$34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NonLin3!$B$35:$B$75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NonLin3!$AQ$35:$AQ$75</c:f>
              <c:numCache>
                <c:formatCode>General</c:formatCode>
                <c:ptCount val="41"/>
                <c:pt idx="0">
                  <c:v>5.9360679774997935</c:v>
                </c:pt>
                <c:pt idx="1">
                  <c:v>5.9327109292608995</c:v>
                </c:pt>
                <c:pt idx="2">
                  <c:v>5.9300026007537001</c:v>
                </c:pt>
                <c:pt idx="3">
                  <c:v>5.9279460454914661</c:v>
                </c:pt>
                <c:pt idx="4">
                  <c:v>5.9265441132037395</c:v>
                </c:pt>
                <c:pt idx="5">
                  <c:v>5.9257994472641107</c:v>
                </c:pt>
                <c:pt idx="6">
                  <c:v>5.9257144824278374</c:v>
                </c:pt>
                <c:pt idx="7">
                  <c:v>5.9262914428753666</c:v>
                </c:pt>
                <c:pt idx="8">
                  <c:v>5.9275323405564437</c:v>
                </c:pt>
                <c:pt idx="9">
                  <c:v>5.9294389738282955</c:v>
                </c:pt>
                <c:pt idx="10">
                  <c:v>5.9320129263801444</c:v>
                </c:pt>
                <c:pt idx="11">
                  <c:v>5.9352555664355098</c:v>
                </c:pt>
                <c:pt idx="12">
                  <c:v>5.9391680462228633</c:v>
                </c:pt>
                <c:pt idx="13">
                  <c:v>5.943751301704709</c:v>
                </c:pt>
                <c:pt idx="14">
                  <c:v>5.9490060525546493</c:v>
                </c:pt>
                <c:pt idx="15">
                  <c:v>5.9549328023718537</c:v>
                </c:pt>
                <c:pt idx="16">
                  <c:v>5.9615318391222161</c:v>
                </c:pt>
                <c:pt idx="17">
                  <c:v>5.9688032357956438</c:v>
                </c:pt>
                <c:pt idx="18">
                  <c:v>5.9767468512691559</c:v>
                </c:pt>
                <c:pt idx="19">
                  <c:v>5.9853623313659057</c:v>
                </c:pt>
                <c:pt idx="20">
                  <c:v>5.9946491101007542</c:v>
                </c:pt>
                <c:pt idx="21">
                  <c:v>6.0046064111037225</c:v>
                </c:pt>
                <c:pt idx="22">
                  <c:v>6.0152332492133604</c:v>
                </c:pt>
                <c:pt idx="23">
                  <c:v>6.0265284322328982</c:v>
                </c:pt>
                <c:pt idx="24">
                  <c:v>6.0384905628429646</c:v>
                </c:pt>
                <c:pt idx="25">
                  <c:v>6.0511180406655019</c:v>
                </c:pt>
                <c:pt idx="26">
                  <c:v>6.0644090644744644</c:v>
                </c:pt>
                <c:pt idx="27">
                  <c:v>6.0783616345497933</c:v>
                </c:pt>
                <c:pt idx="28">
                  <c:v>6.0929735551719775</c:v>
                </c:pt>
                <c:pt idx="29">
                  <c:v>6.1082424372553934</c:v>
                </c:pt>
                <c:pt idx="30">
                  <c:v>6.1241657011193062</c:v>
                </c:pt>
                <c:pt idx="31">
                  <c:v>6.1407405793960983</c:v>
                </c:pt>
                <c:pt idx="32">
                  <c:v>6.1579641200768123</c:v>
                </c:pt>
                <c:pt idx="33">
                  <c:v>6.1758331896945782</c:v>
                </c:pt>
                <c:pt idx="34">
                  <c:v>6.1943444766467595</c:v>
                </c:pt>
                <c:pt idx="35">
                  <c:v>6.2134944946568673</c:v>
                </c:pt>
                <c:pt idx="36">
                  <c:v>6.2332795863773587</c:v>
                </c:pt>
                <c:pt idx="37">
                  <c:v>6.2536959271342871</c:v>
                </c:pt>
                <c:pt idx="38">
                  <c:v>6.2747395288146715</c:v>
                </c:pt>
                <c:pt idx="39">
                  <c:v>6.2964062438969632</c:v>
                </c:pt>
                <c:pt idx="40">
                  <c:v>6.3186917696247207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3A0C-496F-BA72-9837BFAD9040}"/>
            </c:ext>
          </c:extLst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1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2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3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4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5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6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7"/>
            <c:spPr>
              <a:solidFill>
                <a:srgbClr val="FF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8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9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0"/>
            <c:spPr>
              <a:solidFill>
                <a:srgbClr val="6666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1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2"/>
            <c:spPr>
              <a:solidFill>
                <a:srgbClr val="00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3"/>
            <c:spPr>
              <a:solidFill>
                <a:srgbClr val="3399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4"/>
            <c:spPr>
              <a:solidFill>
                <a:srgbClr val="00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5"/>
            <c:spPr>
              <a:solidFill>
                <a:srgbClr val="33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6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7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8"/>
            <c:spPr>
              <a:solidFill>
                <a:srgbClr val="3333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9"/>
            <c:spPr>
              <a:solidFill>
                <a:srgbClr val="333333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2142562056"/>
        <c:axId val="2140061272"/>
        <c:axId val="2140067480"/>
      </c:surface3DChart>
      <c:catAx>
        <c:axId val="2142562056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x</a:t>
                </a:r>
              </a:p>
            </c:rich>
          </c:tx>
          <c:layout>
            <c:manualLayout>
              <c:xMode val="edge"/>
              <c:yMode val="edge"/>
              <c:x val="7.1428571428571397E-2"/>
              <c:y val="0.721720169594184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40061272"/>
        <c:crosses val="autoZero"/>
        <c:auto val="1"/>
        <c:lblAlgn val="ctr"/>
        <c:lblOffset val="100"/>
        <c:tickLblSkip val="11"/>
        <c:tickMarkSkip val="1"/>
        <c:noMultiLvlLbl val="1"/>
      </c:catAx>
      <c:valAx>
        <c:axId val="2140061272"/>
        <c:scaling>
          <c:orientation val="minMax"/>
          <c:max val="8"/>
          <c:min val="4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f(x,y)</a:t>
                </a:r>
              </a:p>
            </c:rich>
          </c:tx>
          <c:layout>
            <c:manualLayout>
              <c:xMode val="edge"/>
              <c:yMode val="edge"/>
              <c:x val="4.6218487394957999E-2"/>
              <c:y val="0.337104547451930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42562056"/>
        <c:crosses val="min"/>
        <c:crossBetween val="between"/>
        <c:majorUnit val="0.1"/>
      </c:valAx>
      <c:serAx>
        <c:axId val="21400674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y</a:t>
                </a:r>
              </a:p>
            </c:rich>
          </c:tx>
          <c:layout>
            <c:manualLayout>
              <c:xMode val="edge"/>
              <c:yMode val="edge"/>
              <c:x val="0.68277310924369805"/>
              <c:y val="0.846154796261326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40061272"/>
        <c:crosses val="autoZero"/>
        <c:tickLblSkip val="7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40201005025"/>
          <c:y val="6.6420783882005105E-2"/>
          <c:w val="0.80150753768844196"/>
          <c:h val="0.71586844850605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NonLin5!$E$1</c:f>
              <c:strCache>
                <c:ptCount val="1"/>
                <c:pt idx="0">
                  <c:v>yi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NonLin5!$D$2:$D$5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NonLin5!$E$2:$E$5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59-4790-A723-77676B9810BE}"/>
            </c:ext>
          </c:extLst>
        </c:ser>
        <c:ser>
          <c:idx val="1"/>
          <c:order val="1"/>
          <c:tx>
            <c:strRef>
              <c:f>NonLin5!$G$1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NonLin5!$F$2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NonLin5!$G$2</c:f>
              <c:numCache>
                <c:formatCode>General</c:formatCode>
                <c:ptCount val="1"/>
                <c:pt idx="0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59-4790-A723-77676B9810BE}"/>
            </c:ext>
          </c:extLst>
        </c:ser>
        <c:ser>
          <c:idx val="2"/>
          <c:order val="2"/>
          <c:tx>
            <c:strRef>
              <c:f>NonLin5!$I$1</c:f>
              <c:strCache>
                <c:ptCount val="1"/>
                <c:pt idx="0">
                  <c:v>y2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NonLin5!$H$2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NonLin5!$I$2</c:f>
              <c:numCache>
                <c:formatCode>General</c:formatCode>
                <c:ptCount val="1"/>
                <c:pt idx="0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859-4790-A723-77676B9810BE}"/>
            </c:ext>
          </c:extLst>
        </c:ser>
        <c:ser>
          <c:idx val="3"/>
          <c:order val="3"/>
          <c:tx>
            <c:strRef>
              <c:f>NonLin5!$P$1</c:f>
              <c:strCache>
                <c:ptCount val="1"/>
                <c:pt idx="0">
                  <c:v>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NonLin5!$O$2:$O$15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3">
                  <c:v>0</c:v>
                </c:pt>
                <c:pt idx="4">
                  <c:v>1</c:v>
                </c:pt>
                <c:pt idx="6">
                  <c:v>2</c:v>
                </c:pt>
                <c:pt idx="7">
                  <c:v>3</c:v>
                </c:pt>
                <c:pt idx="9">
                  <c:v>2</c:v>
                </c:pt>
                <c:pt idx="10">
                  <c:v>3</c:v>
                </c:pt>
                <c:pt idx="12">
                  <c:v>1</c:v>
                </c:pt>
                <c:pt idx="13">
                  <c:v>3</c:v>
                </c:pt>
              </c:numCache>
            </c:numRef>
          </c:xVal>
          <c:yVal>
            <c:numRef>
              <c:f>NonLin5!$P$2:$P$15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3">
                  <c:v>1</c:v>
                </c:pt>
                <c:pt idx="4">
                  <c:v>2</c:v>
                </c:pt>
                <c:pt idx="6">
                  <c:v>1</c:v>
                </c:pt>
                <c:pt idx="7">
                  <c:v>4</c:v>
                </c:pt>
                <c:pt idx="9">
                  <c:v>0</c:v>
                </c:pt>
                <c:pt idx="10">
                  <c:v>4</c:v>
                </c:pt>
                <c:pt idx="12">
                  <c:v>2</c:v>
                </c:pt>
                <c:pt idx="13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859-4790-A723-77676B9810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2825800"/>
        <c:axId val="2142829288"/>
      </c:scatterChart>
      <c:valAx>
        <c:axId val="2142825800"/>
        <c:scaling>
          <c:orientation val="minMax"/>
          <c:max val="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42829288"/>
        <c:crosses val="autoZero"/>
        <c:crossBetween val="midCat"/>
        <c:majorUnit val="0.5"/>
      </c:valAx>
      <c:valAx>
        <c:axId val="2142829288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42825800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878326996"/>
          <c:y val="6.1776178239959602E-2"/>
          <c:w val="0.85551330798479097"/>
          <c:h val="0.8803105399194239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A8BE-432C-9606-F8CBD3401A0F}"/>
              </c:ext>
            </c:extLst>
          </c:dPt>
          <c:xVal>
            <c:numRef>
              <c:f>NonLin6!$H$3:$H$8</c:f>
              <c:numCache>
                <c:formatCode>General</c:formatCode>
                <c:ptCount val="6"/>
                <c:pt idx="0">
                  <c:v>0</c:v>
                </c:pt>
                <c:pt idx="1">
                  <c:v>2.598076211353316</c:v>
                </c:pt>
                <c:pt idx="2">
                  <c:v>5.8120142597860127</c:v>
                </c:pt>
                <c:pt idx="5">
                  <c:v>7</c:v>
                </c:pt>
              </c:numCache>
            </c:numRef>
          </c:xVal>
          <c:yVal>
            <c:numRef>
              <c:f>NonLin6!$I$3:$I$8</c:f>
              <c:numCache>
                <c:formatCode>General</c:formatCode>
                <c:ptCount val="6"/>
                <c:pt idx="0">
                  <c:v>0</c:v>
                </c:pt>
                <c:pt idx="1">
                  <c:v>-1.4999999999999998</c:v>
                </c:pt>
                <c:pt idx="2">
                  <c:v>2.3302222155948904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BE-432C-9606-F8CBD3401A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3470808"/>
        <c:axId val="2143474296"/>
      </c:scatterChart>
      <c:valAx>
        <c:axId val="2143470808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43474296"/>
        <c:crosses val="autoZero"/>
        <c:crossBetween val="midCat"/>
        <c:majorUnit val="1"/>
      </c:valAx>
      <c:valAx>
        <c:axId val="2143474296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143470808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_rels/drawing4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chart" Target="../charts/chart2.xml"/><Relationship Id="rId4" Type="http://schemas.openxmlformats.org/officeDocument/2006/relationships/image" Target="../media/image5.emf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200025</xdr:rowOff>
        </xdr:from>
        <xdr:to>
          <xdr:col>1</xdr:col>
          <xdr:colOff>447675</xdr:colOff>
          <xdr:row>0</xdr:row>
          <xdr:rowOff>638175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2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Tests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5</xdr:row>
      <xdr:rowOff>0</xdr:rowOff>
    </xdr:from>
    <xdr:to>
      <xdr:col>1</xdr:col>
      <xdr:colOff>21665</xdr:colOff>
      <xdr:row>9</xdr:row>
      <xdr:rowOff>0</xdr:rowOff>
    </xdr:to>
    <xdr:sp macro="" textlink="">
      <xdr:nvSpPr>
        <xdr:cNvPr id="40967" name="ListBoxLinear" hidden="1">
          <a:extLst>
            <a:ext uri="{63B3BB69-23CF-44E3-9099-C40C66FF867C}">
              <a14:compatExt xmlns:a14="http://schemas.microsoft.com/office/drawing/2010/main" spid="_x0000_s40967"/>
            </a:ext>
            <a:ext uri="{FF2B5EF4-FFF2-40B4-BE49-F238E27FC236}">
              <a16:creationId xmlns:a16="http://schemas.microsoft.com/office/drawing/2014/main" id="{00000000-0008-0000-0200-000007A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21665</xdr:colOff>
      <xdr:row>16</xdr:row>
      <xdr:rowOff>63500</xdr:rowOff>
    </xdr:to>
    <xdr:sp macro="" textlink="">
      <xdr:nvSpPr>
        <xdr:cNvPr id="40970" name="ListBoxNonLinear" hidden="1">
          <a:extLst>
            <a:ext uri="{63B3BB69-23CF-44E3-9099-C40C66FF867C}">
              <a14:compatExt xmlns:a14="http://schemas.microsoft.com/office/drawing/2010/main" spid="_x0000_s40970"/>
            </a:ext>
            <a:ext uri="{FF2B5EF4-FFF2-40B4-BE49-F238E27FC236}">
              <a16:creationId xmlns:a16="http://schemas.microsoft.com/office/drawing/2014/main" id="{00000000-0008-0000-0200-00000AA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1536700</xdr:colOff>
      <xdr:row>30</xdr:row>
      <xdr:rowOff>177800</xdr:rowOff>
    </xdr:to>
    <xdr:sp macro="" textlink="">
      <xdr:nvSpPr>
        <xdr:cNvPr id="40971" name="ListBoxTest" hidden="1">
          <a:extLst>
            <a:ext uri="{63B3BB69-23CF-44E3-9099-C40C66FF867C}">
              <a14:compatExt xmlns:a14="http://schemas.microsoft.com/office/drawing/2010/main" spid="_x0000_s40971"/>
            </a:ext>
            <a:ext uri="{FF2B5EF4-FFF2-40B4-BE49-F238E27FC236}">
              <a16:creationId xmlns:a16="http://schemas.microsoft.com/office/drawing/2014/main" id="{00000000-0008-0000-0200-00000BA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0</xdr:row>
          <xdr:rowOff>200025</xdr:rowOff>
        </xdr:from>
        <xdr:to>
          <xdr:col>8</xdr:col>
          <xdr:colOff>457200</xdr:colOff>
          <xdr:row>0</xdr:row>
          <xdr:rowOff>638175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2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OpenSolver VBA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0</xdr:row>
          <xdr:rowOff>190500</xdr:rowOff>
        </xdr:from>
        <xdr:to>
          <xdr:col>11</xdr:col>
          <xdr:colOff>561975</xdr:colOff>
          <xdr:row>0</xdr:row>
          <xdr:rowOff>638175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2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OpenSolver VBA Modules From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457200</xdr:colOff>
          <xdr:row>0</xdr:row>
          <xdr:rowOff>190500</xdr:rowOff>
        </xdr:from>
        <xdr:to>
          <xdr:col>15</xdr:col>
          <xdr:colOff>161925</xdr:colOff>
          <xdr:row>0</xdr:row>
          <xdr:rowOff>638175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2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 Results to Google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4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733675" y="781050"/>
          <a:ext cx="866775" cy="581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733675" y="1752600"/>
          <a:ext cx="8667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898525</xdr:colOff>
      <xdr:row>8</xdr:row>
      <xdr:rowOff>123825</xdr:rowOff>
    </xdr:from>
    <xdr:to>
      <xdr:col>4</xdr:col>
      <xdr:colOff>233360</xdr:colOff>
      <xdr:row>9</xdr:row>
      <xdr:rowOff>50800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2717800" y="16764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2</xdr:col>
      <xdr:colOff>0</xdr:colOff>
      <xdr:row>9</xdr:row>
      <xdr:rowOff>0</xdr:rowOff>
    </xdr:from>
    <xdr:to>
      <xdr:col>3</xdr:col>
      <xdr:colOff>0</xdr:colOff>
      <xdr:row>10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219200" y="1752600"/>
          <a:ext cx="600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9</xdr:row>
      <xdr:rowOff>0</xdr:rowOff>
    </xdr:from>
    <xdr:to>
      <xdr:col>4</xdr:col>
      <xdr:colOff>0</xdr:colOff>
      <xdr:row>10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819275" y="1752600"/>
          <a:ext cx="9144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3</xdr:col>
      <xdr:colOff>0</xdr:colOff>
      <xdr:row>9</xdr:row>
      <xdr:rowOff>100013</xdr:rowOff>
    </xdr:from>
    <xdr:to>
      <xdr:col>3</xdr:col>
      <xdr:colOff>0</xdr:colOff>
      <xdr:row>9</xdr:row>
      <xdr:rowOff>100013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1819275" y="1852613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409575</xdr:colOff>
      <xdr:row>8</xdr:row>
      <xdr:rowOff>173038</xdr:rowOff>
    </xdr:from>
    <xdr:to>
      <xdr:col>3</xdr:col>
      <xdr:colOff>190500</xdr:colOff>
      <xdr:row>10</xdr:row>
      <xdr:rowOff>26988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1628775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4</xdr:row>
      <xdr:rowOff>6350</xdr:rowOff>
    </xdr:from>
    <xdr:to>
      <xdr:col>4</xdr:col>
      <xdr:colOff>95831</xdr:colOff>
      <xdr:row>4</xdr:row>
      <xdr:rowOff>120650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27432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9525</xdr:colOff>
      <xdr:row>5</xdr:row>
      <xdr:rowOff>19050</xdr:rowOff>
    </xdr:from>
    <xdr:to>
      <xdr:col>4</xdr:col>
      <xdr:colOff>95831</xdr:colOff>
      <xdr:row>5</xdr:row>
      <xdr:rowOff>133350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2743200" y="9906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9525</xdr:colOff>
      <xdr:row>6</xdr:row>
      <xdr:rowOff>9525</xdr:rowOff>
    </xdr:from>
    <xdr:to>
      <xdr:col>4</xdr:col>
      <xdr:colOff>95831</xdr:colOff>
      <xdr:row>6</xdr:row>
      <xdr:rowOff>123825</xdr:rowOff>
    </xdr:to>
    <xdr:sp macro="" textlink="">
      <xdr:nvSpPr>
        <xdr:cNvPr id="11" name="OpenSolver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2743200" y="11811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2" name="OpenSolver1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3" name="OpenSolver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24" name="OpenSolver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5" name="OpenSolver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SpPr/>
      </xdr:nvSpPr>
      <xdr:spPr>
        <a:xfrm>
          <a:off x="289560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6" name="OpenSolver5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SpPr/>
      </xdr:nvSpPr>
      <xdr:spPr>
        <a:xfrm>
          <a:off x="365760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27" name="OpenSolver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CxnSpPr>
          <a:stCxn id="25" idx="3"/>
          <a:endCxn id="26" idx="1"/>
        </xdr:cNvCxnSpPr>
      </xdr:nvCxnSpPr>
      <xdr:spPr>
        <a:xfrm>
          <a:off x="345757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28" name="OpenSolver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SpPr/>
      </xdr:nvSpPr>
      <xdr:spPr>
        <a:xfrm>
          <a:off x="33670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9" name="OpenSolver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SpPr/>
      </xdr:nvSpPr>
      <xdr:spPr>
        <a:xfrm>
          <a:off x="28956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0" name="OpenSolver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SpPr/>
      </xdr:nvSpPr>
      <xdr:spPr>
        <a:xfrm>
          <a:off x="365760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31" name="OpenSolver1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CxnSpPr>
          <a:stCxn id="29" idx="3"/>
          <a:endCxn id="30" idx="1"/>
        </xdr:cNvCxnSpPr>
      </xdr:nvCxnSpPr>
      <xdr:spPr>
        <a:xfrm>
          <a:off x="345757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173038</xdr:rowOff>
    </xdr:from>
    <xdr:to>
      <xdr:col>9</xdr:col>
      <xdr:colOff>90488</xdr:colOff>
      <xdr:row>10</xdr:row>
      <xdr:rowOff>26988</xdr:rowOff>
    </xdr:to>
    <xdr:sp macro="" textlink="">
      <xdr:nvSpPr>
        <xdr:cNvPr id="32" name="OpenSolver11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SpPr/>
      </xdr:nvSpPr>
      <xdr:spPr>
        <a:xfrm>
          <a:off x="336708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3" name="OpenSolver1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4" name="OpenSolver13">
          <a:extLst>
            <a:ext uri="{FF2B5EF4-FFF2-40B4-BE49-F238E27FC236}">
              <a16:creationId xmlns:a16="http://schemas.microsoft.com/office/drawing/2014/main" id="{00000000-0008-0000-0800-000022000000}"/>
            </a:ext>
          </a:extLst>
        </xdr:cNvPr>
        <xdr:cNvSpPr/>
      </xdr:nvSpPr>
      <xdr:spPr>
        <a:xfrm>
          <a:off x="36576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5" name="OpenSolver14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CxnSpPr>
          <a:stCxn id="33" idx="3"/>
          <a:endCxn id="34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36" name="OpenSolver1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289560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3657600" y="1362075"/>
          <a:ext cx="5143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345757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33670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SpPr/>
      </xdr:nvSpPr>
      <xdr:spPr>
        <a:xfrm>
          <a:off x="28956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/>
      </xdr:nvSpPr>
      <xdr:spPr>
        <a:xfrm>
          <a:off x="3657600" y="1752600"/>
          <a:ext cx="5143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345757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173038</xdr:rowOff>
    </xdr:from>
    <xdr:to>
      <xdr:col>9</xdr:col>
      <xdr:colOff>90488</xdr:colOff>
      <xdr:row>10</xdr:row>
      <xdr:rowOff>26988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SpPr/>
      </xdr:nvSpPr>
      <xdr:spPr>
        <a:xfrm>
          <a:off x="336708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/>
      </xdr:nvSpPr>
      <xdr:spPr>
        <a:xfrm>
          <a:off x="3657600" y="1952625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CxnSpPr>
          <a:stCxn id="13" idx="3"/>
          <a:endCxn id="14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47" name="OpenSolver1">
          <a:extLst>
            <a:ext uri="{FF2B5EF4-FFF2-40B4-BE49-F238E27FC236}">
              <a16:creationId xmlns:a16="http://schemas.microsoft.com/office/drawing/2014/main" id="{00000000-0008-0000-0E00-00002F000000}"/>
            </a:ext>
          </a:extLst>
        </xdr:cNvPr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48" name="OpenSolver2">
          <a:extLst>
            <a:ext uri="{FF2B5EF4-FFF2-40B4-BE49-F238E27FC236}">
              <a16:creationId xmlns:a16="http://schemas.microsoft.com/office/drawing/2014/main" id="{00000000-0008-0000-0E00-000030000000}"/>
            </a:ext>
          </a:extLst>
        </xdr:cNvPr>
        <xdr:cNvSpPr/>
      </xdr:nvSpPr>
      <xdr:spPr>
        <a:xfrm>
          <a:off x="289560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5</xdr:row>
      <xdr:rowOff>120650</xdr:rowOff>
    </xdr:from>
    <xdr:to>
      <xdr:col>7</xdr:col>
      <xdr:colOff>218389</xdr:colOff>
      <xdr:row>6</xdr:row>
      <xdr:rowOff>47625</xdr:rowOff>
    </xdr:to>
    <xdr:sp macro="" textlink="">
      <xdr:nvSpPr>
        <xdr:cNvPr id="49" name="OpenSolver3">
          <a:extLst>
            <a:ext uri="{FF2B5EF4-FFF2-40B4-BE49-F238E27FC236}">
              <a16:creationId xmlns:a16="http://schemas.microsoft.com/office/drawing/2014/main" id="{00000000-0008-0000-0E00-000031000000}"/>
            </a:ext>
          </a:extLst>
        </xdr:cNvPr>
        <xdr:cNvSpPr/>
      </xdr:nvSpPr>
      <xdr:spPr>
        <a:xfrm>
          <a:off x="28829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0" name="OpenSolver4">
          <a:extLst>
            <a:ext uri="{FF2B5EF4-FFF2-40B4-BE49-F238E27FC236}">
              <a16:creationId xmlns:a16="http://schemas.microsoft.com/office/drawing/2014/main" id="{00000000-0008-0000-0E00-000032000000}"/>
            </a:ext>
          </a:extLst>
        </xdr:cNvPr>
        <xdr:cNvSpPr/>
      </xdr:nvSpPr>
      <xdr:spPr>
        <a:xfrm>
          <a:off x="28956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51" name="OpenSolver5">
          <a:extLst>
            <a:ext uri="{FF2B5EF4-FFF2-40B4-BE49-F238E27FC236}">
              <a16:creationId xmlns:a16="http://schemas.microsoft.com/office/drawing/2014/main" id="{00000000-0008-0000-0E00-000033000000}"/>
            </a:ext>
          </a:extLst>
        </xdr:cNvPr>
        <xdr:cNvSpPr/>
      </xdr:nvSpPr>
      <xdr:spPr>
        <a:xfrm>
          <a:off x="3657600" y="1552575"/>
          <a:ext cx="5143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52" name="OpenSolver6">
          <a:extLst>
            <a:ext uri="{FF2B5EF4-FFF2-40B4-BE49-F238E27FC236}">
              <a16:creationId xmlns:a16="http://schemas.microsoft.com/office/drawing/2014/main" id="{00000000-0008-0000-0E00-000034000000}"/>
            </a:ext>
          </a:extLst>
        </xdr:cNvPr>
        <xdr:cNvCxnSpPr>
          <a:stCxn id="50" idx="3"/>
          <a:endCxn id="51" idx="1"/>
        </xdr:cNvCxnSpPr>
      </xdr:nvCxnSpPr>
      <xdr:spPr>
        <a:xfrm>
          <a:off x="34575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53" name="OpenSolver7">
          <a:extLst>
            <a:ext uri="{FF2B5EF4-FFF2-40B4-BE49-F238E27FC236}">
              <a16:creationId xmlns:a16="http://schemas.microsoft.com/office/drawing/2014/main" id="{00000000-0008-0000-0E00-000035000000}"/>
            </a:ext>
          </a:extLst>
        </xdr:cNvPr>
        <xdr:cNvSpPr/>
      </xdr:nvSpPr>
      <xdr:spPr>
        <a:xfrm>
          <a:off x="33670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4" name="OpenSolver8">
          <a:extLst>
            <a:ext uri="{FF2B5EF4-FFF2-40B4-BE49-F238E27FC236}">
              <a16:creationId xmlns:a16="http://schemas.microsoft.com/office/drawing/2014/main" id="{00000000-0008-0000-0E00-000036000000}"/>
            </a:ext>
          </a:extLst>
        </xdr:cNvPr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5" name="OpenSolver9">
          <a:extLst>
            <a:ext uri="{FF2B5EF4-FFF2-40B4-BE49-F238E27FC236}">
              <a16:creationId xmlns:a16="http://schemas.microsoft.com/office/drawing/2014/main" id="{00000000-0008-0000-0E00-000037000000}"/>
            </a:ext>
          </a:extLst>
        </xdr:cNvPr>
        <xdr:cNvSpPr/>
      </xdr:nvSpPr>
      <xdr:spPr>
        <a:xfrm>
          <a:off x="3657600" y="195262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6" name="OpenSolver10">
          <a:extLst>
            <a:ext uri="{FF2B5EF4-FFF2-40B4-BE49-F238E27FC236}">
              <a16:creationId xmlns:a16="http://schemas.microsoft.com/office/drawing/2014/main" id="{00000000-0008-0000-0E00-000038000000}"/>
            </a:ext>
          </a:extLst>
        </xdr:cNvPr>
        <xdr:cNvCxnSpPr>
          <a:stCxn id="54" idx="3"/>
          <a:endCxn id="55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57" name="OpenSolver11">
          <a:extLst>
            <a:ext uri="{FF2B5EF4-FFF2-40B4-BE49-F238E27FC236}">
              <a16:creationId xmlns:a16="http://schemas.microsoft.com/office/drawing/2014/main" id="{00000000-0008-0000-0E00-000039000000}"/>
            </a:ext>
          </a:extLst>
        </xdr:cNvPr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8" name="OpenSolver12">
          <a:extLst>
            <a:ext uri="{FF2B5EF4-FFF2-40B4-BE49-F238E27FC236}">
              <a16:creationId xmlns:a16="http://schemas.microsoft.com/office/drawing/2014/main" id="{00000000-0008-0000-0E00-00003A000000}"/>
            </a:ext>
          </a:extLst>
        </xdr:cNvPr>
        <xdr:cNvSpPr/>
      </xdr:nvSpPr>
      <xdr:spPr>
        <a:xfrm>
          <a:off x="2895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59" name="OpenSolver13">
          <a:extLst>
            <a:ext uri="{FF2B5EF4-FFF2-40B4-BE49-F238E27FC236}">
              <a16:creationId xmlns:a16="http://schemas.microsoft.com/office/drawing/2014/main" id="{00000000-0008-0000-0E00-00003B000000}"/>
            </a:ext>
          </a:extLst>
        </xdr:cNvPr>
        <xdr:cNvSpPr/>
      </xdr:nvSpPr>
      <xdr:spPr>
        <a:xfrm>
          <a:off x="3657600" y="2143125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0" name="OpenSolver14">
          <a:extLst>
            <a:ext uri="{FF2B5EF4-FFF2-40B4-BE49-F238E27FC236}">
              <a16:creationId xmlns:a16="http://schemas.microsoft.com/office/drawing/2014/main" id="{00000000-0008-0000-0E00-00003C000000}"/>
            </a:ext>
          </a:extLst>
        </xdr:cNvPr>
        <xdr:cNvCxnSpPr>
          <a:stCxn id="58" idx="3"/>
          <a:endCxn id="59" idx="1"/>
        </xdr:cNvCxnSpPr>
      </xdr:nvCxnSpPr>
      <xdr:spPr>
        <a:xfrm>
          <a:off x="34575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1" name="OpenSolver15">
          <a:extLst>
            <a:ext uri="{FF2B5EF4-FFF2-40B4-BE49-F238E27FC236}">
              <a16:creationId xmlns:a16="http://schemas.microsoft.com/office/drawing/2014/main" id="{00000000-0008-0000-0E00-00003D000000}"/>
            </a:ext>
          </a:extLst>
        </xdr:cNvPr>
        <xdr:cNvSpPr/>
      </xdr:nvSpPr>
      <xdr:spPr>
        <a:xfrm>
          <a:off x="3367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32" name="OpenSolver1">
          <a:extLst>
            <a:ext uri="{FF2B5EF4-FFF2-40B4-BE49-F238E27FC236}">
              <a16:creationId xmlns:a16="http://schemas.microsoft.com/office/drawing/2014/main" id="{00000000-0008-0000-1000-000020000000}"/>
            </a:ext>
          </a:extLst>
        </xdr:cNvPr>
        <xdr:cNvSpPr/>
      </xdr:nvSpPr>
      <xdr:spPr>
        <a:xfrm>
          <a:off x="1162050" y="781050"/>
          <a:ext cx="15240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3" name="OpenSolver2">
          <a:extLst>
            <a:ext uri="{FF2B5EF4-FFF2-40B4-BE49-F238E27FC236}">
              <a16:creationId xmlns:a16="http://schemas.microsoft.com/office/drawing/2014/main" id="{00000000-0008-0000-1000-000021000000}"/>
            </a:ext>
          </a:extLst>
        </xdr:cNvPr>
        <xdr:cNvSpPr/>
      </xdr:nvSpPr>
      <xdr:spPr>
        <a:xfrm>
          <a:off x="289560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5</xdr:row>
      <xdr:rowOff>120650</xdr:rowOff>
    </xdr:from>
    <xdr:to>
      <xdr:col>7</xdr:col>
      <xdr:colOff>218389</xdr:colOff>
      <xdr:row>6</xdr:row>
      <xdr:rowOff>47625</xdr:rowOff>
    </xdr:to>
    <xdr:sp macro="" textlink="">
      <xdr:nvSpPr>
        <xdr:cNvPr id="34" name="OpenSolver3">
          <a:extLst>
            <a:ext uri="{FF2B5EF4-FFF2-40B4-BE49-F238E27FC236}">
              <a16:creationId xmlns:a16="http://schemas.microsoft.com/office/drawing/2014/main" id="{00000000-0008-0000-1000-000022000000}"/>
            </a:ext>
          </a:extLst>
        </xdr:cNvPr>
        <xdr:cNvSpPr/>
      </xdr:nvSpPr>
      <xdr:spPr>
        <a:xfrm>
          <a:off x="28829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5" name="OpenSolver4">
          <a:extLst>
            <a:ext uri="{FF2B5EF4-FFF2-40B4-BE49-F238E27FC236}">
              <a16:creationId xmlns:a16="http://schemas.microsoft.com/office/drawing/2014/main" id="{00000000-0008-0000-1000-000023000000}"/>
            </a:ext>
          </a:extLst>
        </xdr:cNvPr>
        <xdr:cNvSpPr/>
      </xdr:nvSpPr>
      <xdr:spPr>
        <a:xfrm>
          <a:off x="28956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6" name="OpenSolver5">
          <a:extLst>
            <a:ext uri="{FF2B5EF4-FFF2-40B4-BE49-F238E27FC236}">
              <a16:creationId xmlns:a16="http://schemas.microsoft.com/office/drawing/2014/main" id="{00000000-0008-0000-1000-000024000000}"/>
            </a:ext>
          </a:extLst>
        </xdr:cNvPr>
        <xdr:cNvSpPr/>
      </xdr:nvSpPr>
      <xdr:spPr>
        <a:xfrm>
          <a:off x="3657600" y="1552575"/>
          <a:ext cx="5143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37" name="OpenSolver6">
          <a:extLst>
            <a:ext uri="{FF2B5EF4-FFF2-40B4-BE49-F238E27FC236}">
              <a16:creationId xmlns:a16="http://schemas.microsoft.com/office/drawing/2014/main" id="{00000000-0008-0000-1000-000025000000}"/>
            </a:ext>
          </a:extLst>
        </xdr:cNvPr>
        <xdr:cNvCxnSpPr>
          <a:stCxn id="35" idx="3"/>
          <a:endCxn id="36" idx="1"/>
        </xdr:cNvCxnSpPr>
      </xdr:nvCxnSpPr>
      <xdr:spPr>
        <a:xfrm>
          <a:off x="34575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38" name="OpenSolver7">
          <a:extLst>
            <a:ext uri="{FF2B5EF4-FFF2-40B4-BE49-F238E27FC236}">
              <a16:creationId xmlns:a16="http://schemas.microsoft.com/office/drawing/2014/main" id="{00000000-0008-0000-1000-000026000000}"/>
            </a:ext>
          </a:extLst>
        </xdr:cNvPr>
        <xdr:cNvSpPr/>
      </xdr:nvSpPr>
      <xdr:spPr>
        <a:xfrm>
          <a:off x="33670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9" name="OpenSolver8">
          <a:extLst>
            <a:ext uri="{FF2B5EF4-FFF2-40B4-BE49-F238E27FC236}">
              <a16:creationId xmlns:a16="http://schemas.microsoft.com/office/drawing/2014/main" id="{00000000-0008-0000-1000-000027000000}"/>
            </a:ext>
          </a:extLst>
        </xdr:cNvPr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40" name="OpenSolver9">
          <a:extLst>
            <a:ext uri="{FF2B5EF4-FFF2-40B4-BE49-F238E27FC236}">
              <a16:creationId xmlns:a16="http://schemas.microsoft.com/office/drawing/2014/main" id="{00000000-0008-0000-1000-000028000000}"/>
            </a:ext>
          </a:extLst>
        </xdr:cNvPr>
        <xdr:cNvSpPr/>
      </xdr:nvSpPr>
      <xdr:spPr>
        <a:xfrm>
          <a:off x="3657600" y="195262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41" name="OpenSolver10">
          <a:extLst>
            <a:ext uri="{FF2B5EF4-FFF2-40B4-BE49-F238E27FC236}">
              <a16:creationId xmlns:a16="http://schemas.microsoft.com/office/drawing/2014/main" id="{00000000-0008-0000-1000-000029000000}"/>
            </a:ext>
          </a:extLst>
        </xdr:cNvPr>
        <xdr:cNvCxnSpPr>
          <a:stCxn id="39" idx="3"/>
          <a:endCxn id="40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42" name="OpenSolver11">
          <a:extLst>
            <a:ext uri="{FF2B5EF4-FFF2-40B4-BE49-F238E27FC236}">
              <a16:creationId xmlns:a16="http://schemas.microsoft.com/office/drawing/2014/main" id="{00000000-0008-0000-1000-00002A000000}"/>
            </a:ext>
          </a:extLst>
        </xdr:cNvPr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43" name="OpenSolver12">
          <a:extLst>
            <a:ext uri="{FF2B5EF4-FFF2-40B4-BE49-F238E27FC236}">
              <a16:creationId xmlns:a16="http://schemas.microsoft.com/office/drawing/2014/main" id="{00000000-0008-0000-1000-00002B000000}"/>
            </a:ext>
          </a:extLst>
        </xdr:cNvPr>
        <xdr:cNvSpPr/>
      </xdr:nvSpPr>
      <xdr:spPr>
        <a:xfrm>
          <a:off x="2895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44" name="OpenSolver13">
          <a:extLst>
            <a:ext uri="{FF2B5EF4-FFF2-40B4-BE49-F238E27FC236}">
              <a16:creationId xmlns:a16="http://schemas.microsoft.com/office/drawing/2014/main" id="{00000000-0008-0000-1000-00002C000000}"/>
            </a:ext>
          </a:extLst>
        </xdr:cNvPr>
        <xdr:cNvSpPr/>
      </xdr:nvSpPr>
      <xdr:spPr>
        <a:xfrm>
          <a:off x="3657600" y="2143125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45" name="OpenSolver14">
          <a:extLst>
            <a:ext uri="{FF2B5EF4-FFF2-40B4-BE49-F238E27FC236}">
              <a16:creationId xmlns:a16="http://schemas.microsoft.com/office/drawing/2014/main" id="{00000000-0008-0000-1000-00002D000000}"/>
            </a:ext>
          </a:extLst>
        </xdr:cNvPr>
        <xdr:cNvCxnSpPr>
          <a:stCxn id="43" idx="3"/>
          <a:endCxn id="44" idx="1"/>
        </xdr:cNvCxnSpPr>
      </xdr:nvCxnSpPr>
      <xdr:spPr>
        <a:xfrm>
          <a:off x="34575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46" name="OpenSolver15">
          <a:extLst>
            <a:ext uri="{FF2B5EF4-FFF2-40B4-BE49-F238E27FC236}">
              <a16:creationId xmlns:a16="http://schemas.microsoft.com/office/drawing/2014/main" id="{00000000-0008-0000-1000-00002E000000}"/>
            </a:ext>
          </a:extLst>
        </xdr:cNvPr>
        <xdr:cNvSpPr/>
      </xdr:nvSpPr>
      <xdr:spPr>
        <a:xfrm>
          <a:off x="3367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17" name="OpenSolver1">
          <a:extLst>
            <a:ext uri="{FF2B5EF4-FFF2-40B4-BE49-F238E27FC236}">
              <a16:creationId xmlns:a16="http://schemas.microsoft.com/office/drawing/2014/main" id="{00000000-0008-0000-1100-000011000000}"/>
            </a:ext>
          </a:extLst>
        </xdr:cNvPr>
        <xdr:cNvSpPr/>
      </xdr:nvSpPr>
      <xdr:spPr>
        <a:xfrm>
          <a:off x="1485900" y="781050"/>
          <a:ext cx="10382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18" name="OpenSolver2">
          <a:extLst>
            <a:ext uri="{FF2B5EF4-FFF2-40B4-BE49-F238E27FC236}">
              <a16:creationId xmlns:a16="http://schemas.microsoft.com/office/drawing/2014/main" id="{00000000-0008-0000-1100-000012000000}"/>
            </a:ext>
          </a:extLst>
        </xdr:cNvPr>
        <xdr:cNvSpPr/>
      </xdr:nvSpPr>
      <xdr:spPr>
        <a:xfrm>
          <a:off x="321945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190500</xdr:colOff>
      <xdr:row>5</xdr:row>
      <xdr:rowOff>120650</xdr:rowOff>
    </xdr:from>
    <xdr:to>
      <xdr:col>7</xdr:col>
      <xdr:colOff>212039</xdr:colOff>
      <xdr:row>6</xdr:row>
      <xdr:rowOff>47625</xdr:rowOff>
    </xdr:to>
    <xdr:sp macro="" textlink="">
      <xdr:nvSpPr>
        <xdr:cNvPr id="19" name="OpenSolver3">
          <a:extLst>
            <a:ext uri="{FF2B5EF4-FFF2-40B4-BE49-F238E27FC236}">
              <a16:creationId xmlns:a16="http://schemas.microsoft.com/office/drawing/2014/main" id="{00000000-0008-0000-1100-000013000000}"/>
            </a:ext>
          </a:extLst>
        </xdr:cNvPr>
        <xdr:cNvSpPr/>
      </xdr:nvSpPr>
      <xdr:spPr>
        <a:xfrm>
          <a:off x="32004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0" name="OpenSolver4">
          <a:extLst>
            <a:ext uri="{FF2B5EF4-FFF2-40B4-BE49-F238E27FC236}">
              <a16:creationId xmlns:a16="http://schemas.microsoft.com/office/drawing/2014/main" id="{00000000-0008-0000-1100-000014000000}"/>
            </a:ext>
          </a:extLst>
        </xdr:cNvPr>
        <xdr:cNvSpPr/>
      </xdr:nvSpPr>
      <xdr:spPr>
        <a:xfrm>
          <a:off x="321945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21" name="OpenSolver5">
          <a:extLst>
            <a:ext uri="{FF2B5EF4-FFF2-40B4-BE49-F238E27FC236}">
              <a16:creationId xmlns:a16="http://schemas.microsoft.com/office/drawing/2014/main" id="{00000000-0008-0000-1100-000015000000}"/>
            </a:ext>
          </a:extLst>
        </xdr:cNvPr>
        <xdr:cNvSpPr/>
      </xdr:nvSpPr>
      <xdr:spPr>
        <a:xfrm>
          <a:off x="3981450" y="1552575"/>
          <a:ext cx="110490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22" name="OpenSolver6">
          <a:extLst>
            <a:ext uri="{FF2B5EF4-FFF2-40B4-BE49-F238E27FC236}">
              <a16:creationId xmlns:a16="http://schemas.microsoft.com/office/drawing/2014/main" id="{00000000-0008-0000-1100-000016000000}"/>
            </a:ext>
          </a:extLst>
        </xdr:cNvPr>
        <xdr:cNvCxnSpPr>
          <a:stCxn id="20" idx="3"/>
          <a:endCxn id="21" idx="1"/>
        </xdr:cNvCxnSpPr>
      </xdr:nvCxnSpPr>
      <xdr:spPr>
        <a:xfrm>
          <a:off x="378142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23" name="OpenSolver7">
          <a:extLst>
            <a:ext uri="{FF2B5EF4-FFF2-40B4-BE49-F238E27FC236}">
              <a16:creationId xmlns:a16="http://schemas.microsoft.com/office/drawing/2014/main" id="{00000000-0008-0000-1100-000017000000}"/>
            </a:ext>
          </a:extLst>
        </xdr:cNvPr>
        <xdr:cNvSpPr/>
      </xdr:nvSpPr>
      <xdr:spPr>
        <a:xfrm>
          <a:off x="369093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4" name="OpenSolver8">
          <a:extLst>
            <a:ext uri="{FF2B5EF4-FFF2-40B4-BE49-F238E27FC236}">
              <a16:creationId xmlns:a16="http://schemas.microsoft.com/office/drawing/2014/main" id="{00000000-0008-0000-1100-000018000000}"/>
            </a:ext>
          </a:extLst>
        </xdr:cNvPr>
        <xdr:cNvSpPr/>
      </xdr:nvSpPr>
      <xdr:spPr>
        <a:xfrm>
          <a:off x="321945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5" name="OpenSolver9">
          <a:extLst>
            <a:ext uri="{FF2B5EF4-FFF2-40B4-BE49-F238E27FC236}">
              <a16:creationId xmlns:a16="http://schemas.microsoft.com/office/drawing/2014/main" id="{00000000-0008-0000-1100-000019000000}"/>
            </a:ext>
          </a:extLst>
        </xdr:cNvPr>
        <xdr:cNvSpPr/>
      </xdr:nvSpPr>
      <xdr:spPr>
        <a:xfrm>
          <a:off x="3981450" y="195262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6" name="OpenSolver10">
          <a:extLst>
            <a:ext uri="{FF2B5EF4-FFF2-40B4-BE49-F238E27FC236}">
              <a16:creationId xmlns:a16="http://schemas.microsoft.com/office/drawing/2014/main" id="{00000000-0008-0000-1100-00001A000000}"/>
            </a:ext>
          </a:extLst>
        </xdr:cNvPr>
        <xdr:cNvCxnSpPr>
          <a:stCxn id="24" idx="3"/>
          <a:endCxn id="25" idx="1"/>
        </xdr:cNvCxnSpPr>
      </xdr:nvCxnSpPr>
      <xdr:spPr>
        <a:xfrm>
          <a:off x="378142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27" name="OpenSolver11">
          <a:extLst>
            <a:ext uri="{FF2B5EF4-FFF2-40B4-BE49-F238E27FC236}">
              <a16:creationId xmlns:a16="http://schemas.microsoft.com/office/drawing/2014/main" id="{00000000-0008-0000-1100-00001B000000}"/>
            </a:ext>
          </a:extLst>
        </xdr:cNvPr>
        <xdr:cNvSpPr/>
      </xdr:nvSpPr>
      <xdr:spPr>
        <a:xfrm>
          <a:off x="36909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8" name="OpenSolver12">
          <a:extLst>
            <a:ext uri="{FF2B5EF4-FFF2-40B4-BE49-F238E27FC236}">
              <a16:creationId xmlns:a16="http://schemas.microsoft.com/office/drawing/2014/main" id="{00000000-0008-0000-1100-00001C000000}"/>
            </a:ext>
          </a:extLst>
        </xdr:cNvPr>
        <xdr:cNvSpPr/>
      </xdr:nvSpPr>
      <xdr:spPr>
        <a:xfrm>
          <a:off x="321945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9" name="OpenSolver13">
          <a:extLst>
            <a:ext uri="{FF2B5EF4-FFF2-40B4-BE49-F238E27FC236}">
              <a16:creationId xmlns:a16="http://schemas.microsoft.com/office/drawing/2014/main" id="{00000000-0008-0000-1100-00001D000000}"/>
            </a:ext>
          </a:extLst>
        </xdr:cNvPr>
        <xdr:cNvSpPr/>
      </xdr:nvSpPr>
      <xdr:spPr>
        <a:xfrm>
          <a:off x="3981450" y="2143125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0" name="OpenSolver14">
          <a:extLst>
            <a:ext uri="{FF2B5EF4-FFF2-40B4-BE49-F238E27FC236}">
              <a16:creationId xmlns:a16="http://schemas.microsoft.com/office/drawing/2014/main" id="{00000000-0008-0000-1100-00001E000000}"/>
            </a:ext>
          </a:extLst>
        </xdr:cNvPr>
        <xdr:cNvCxnSpPr>
          <a:stCxn id="28" idx="3"/>
          <a:endCxn id="29" idx="1"/>
        </xdr:cNvCxnSpPr>
      </xdr:nvCxnSpPr>
      <xdr:spPr>
        <a:xfrm>
          <a:off x="378142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1" name="OpenSolver15">
          <a:extLst>
            <a:ext uri="{FF2B5EF4-FFF2-40B4-BE49-F238E27FC236}">
              <a16:creationId xmlns:a16="http://schemas.microsoft.com/office/drawing/2014/main" id="{00000000-0008-0000-1100-00001F000000}"/>
            </a:ext>
          </a:extLst>
        </xdr:cNvPr>
        <xdr:cNvSpPr/>
      </xdr:nvSpPr>
      <xdr:spPr>
        <a:xfrm>
          <a:off x="369093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289560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5</xdr:row>
      <xdr:rowOff>120650</xdr:rowOff>
    </xdr:from>
    <xdr:to>
      <xdr:col>7</xdr:col>
      <xdr:colOff>218389</xdr:colOff>
      <xdr:row>6</xdr:row>
      <xdr:rowOff>47625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/>
      </xdr:nvSpPr>
      <xdr:spPr>
        <a:xfrm>
          <a:off x="28829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2686050" y="1552575"/>
          <a:ext cx="771525" cy="5905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SpPr/>
      </xdr:nvSpPr>
      <xdr:spPr>
        <a:xfrm>
          <a:off x="3657600" y="1552575"/>
          <a:ext cx="5143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95250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CxnSpPr>
          <a:stCxn id="5" idx="3"/>
          <a:endCxn id="6" idx="1"/>
        </xdr:cNvCxnSpPr>
      </xdr:nvCxnSpPr>
      <xdr:spPr>
        <a:xfrm flipV="1">
          <a:off x="3457575" y="1752600"/>
          <a:ext cx="200025" cy="952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120650</xdr:rowOff>
    </xdr:from>
    <xdr:to>
      <xdr:col>9</xdr:col>
      <xdr:colOff>90488</xdr:colOff>
      <xdr:row>9</xdr:row>
      <xdr:rowOff>174625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1300-000008000000}"/>
            </a:ext>
          </a:extLst>
        </xdr:cNvPr>
        <xdr:cNvSpPr/>
      </xdr:nvSpPr>
      <xdr:spPr>
        <a:xfrm>
          <a:off x="3367088" y="16732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1300-000009000000}"/>
            </a:ext>
          </a:extLst>
        </xdr:cNvPr>
        <xdr:cNvSpPr/>
      </xdr:nvSpPr>
      <xdr:spPr>
        <a:xfrm>
          <a:off x="2686050" y="1752600"/>
          <a:ext cx="77152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SpPr/>
      </xdr:nvSpPr>
      <xdr:spPr>
        <a:xfrm>
          <a:off x="3657600" y="195262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195263</xdr:rowOff>
    </xdr:from>
    <xdr:to>
      <xdr:col>9</xdr:col>
      <xdr:colOff>0</xdr:colOff>
      <xdr:row>10</xdr:row>
      <xdr:rowOff>95250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13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3457575" y="1947863"/>
          <a:ext cx="200025" cy="100012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118269</xdr:rowOff>
    </xdr:from>
    <xdr:to>
      <xdr:col>9</xdr:col>
      <xdr:colOff>90488</xdr:colOff>
      <xdr:row>10</xdr:row>
      <xdr:rowOff>172244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1300-00000C000000}"/>
            </a:ext>
          </a:extLst>
        </xdr:cNvPr>
        <xdr:cNvSpPr/>
      </xdr:nvSpPr>
      <xdr:spPr>
        <a:xfrm>
          <a:off x="3367088" y="1870869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1300-00000D000000}"/>
            </a:ext>
          </a:extLst>
        </xdr:cNvPr>
        <xdr:cNvSpPr/>
      </xdr:nvSpPr>
      <xdr:spPr>
        <a:xfrm>
          <a:off x="2895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1300-00000E000000}"/>
            </a:ext>
          </a:extLst>
        </xdr:cNvPr>
        <xdr:cNvSpPr/>
      </xdr:nvSpPr>
      <xdr:spPr>
        <a:xfrm>
          <a:off x="3657600" y="2143125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00000000-0008-0000-1300-00000F000000}"/>
            </a:ext>
          </a:extLst>
        </xdr:cNvPr>
        <xdr:cNvCxnSpPr>
          <a:stCxn id="13" idx="3"/>
          <a:endCxn id="14" idx="1"/>
        </xdr:cNvCxnSpPr>
      </xdr:nvCxnSpPr>
      <xdr:spPr>
        <a:xfrm>
          <a:off x="34575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00000000-0008-0000-1300-000010000000}"/>
            </a:ext>
          </a:extLst>
        </xdr:cNvPr>
        <xdr:cNvSpPr/>
      </xdr:nvSpPr>
      <xdr:spPr>
        <a:xfrm>
          <a:off x="3367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1485900" y="581025"/>
          <a:ext cx="19240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36195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196850</xdr:colOff>
      <xdr:row>4</xdr:row>
      <xdr:rowOff>107950</xdr:rowOff>
    </xdr:from>
    <xdr:to>
      <xdr:col>8</xdr:col>
      <xdr:colOff>218389</xdr:colOff>
      <xdr:row>5</xdr:row>
      <xdr:rowOff>44450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/>
      </xdr:nvSpPr>
      <xdr:spPr>
        <a:xfrm>
          <a:off x="3606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SpPr/>
      </xdr:nvSpPr>
      <xdr:spPr>
        <a:xfrm>
          <a:off x="361950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SpPr/>
      </xdr:nvSpPr>
      <xdr:spPr>
        <a:xfrm>
          <a:off x="4381500" y="1362075"/>
          <a:ext cx="119062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418147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SpPr/>
      </xdr:nvSpPr>
      <xdr:spPr>
        <a:xfrm>
          <a:off x="40909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SpPr/>
      </xdr:nvSpPr>
      <xdr:spPr>
        <a:xfrm>
          <a:off x="36195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SpPr/>
      </xdr:nvSpPr>
      <xdr:spPr>
        <a:xfrm>
          <a:off x="4381500" y="1752600"/>
          <a:ext cx="119062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100013</xdr:rowOff>
    </xdr:from>
    <xdr:to>
      <xdr:col>10</xdr:col>
      <xdr:colOff>0</xdr:colOff>
      <xdr:row>9</xdr:row>
      <xdr:rowOff>100013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14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418147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8</xdr:row>
      <xdr:rowOff>173038</xdr:rowOff>
    </xdr:from>
    <xdr:to>
      <xdr:col>10</xdr:col>
      <xdr:colOff>90488</xdr:colOff>
      <xdr:row>10</xdr:row>
      <xdr:rowOff>26988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409098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SpPr/>
      </xdr:nvSpPr>
      <xdr:spPr>
        <a:xfrm>
          <a:off x="36195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SpPr/>
      </xdr:nvSpPr>
      <xdr:spPr>
        <a:xfrm>
          <a:off x="4381500" y="1952625"/>
          <a:ext cx="11906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CxnSpPr>
          <a:stCxn id="13" idx="3"/>
          <a:endCxn id="14" idx="1"/>
        </xdr:cNvCxnSpPr>
      </xdr:nvCxnSpPr>
      <xdr:spPr>
        <a:xfrm>
          <a:off x="418147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9</xdr:row>
      <xdr:rowOff>168275</xdr:rowOff>
    </xdr:from>
    <xdr:to>
      <xdr:col>10</xdr:col>
      <xdr:colOff>90488</xdr:colOff>
      <xdr:row>11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SpPr/>
      </xdr:nvSpPr>
      <xdr:spPr>
        <a:xfrm>
          <a:off x="40909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17" name="OpenSolver16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SpPr/>
      </xdr:nvSpPr>
      <xdr:spPr>
        <a:xfrm>
          <a:off x="21717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18" name="OpenSolver17"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2514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19" name="OpenSolver18">
          <a:extLst>
            <a:ext uri="{FF2B5EF4-FFF2-40B4-BE49-F238E27FC236}">
              <a16:creationId xmlns:a16="http://schemas.microsoft.com/office/drawing/2014/main" id="{00000000-0008-0000-1400-000013000000}"/>
            </a:ext>
          </a:extLst>
        </xdr:cNvPr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31" name="OpenSolver1">
          <a:extLst>
            <a:ext uri="{FF2B5EF4-FFF2-40B4-BE49-F238E27FC236}">
              <a16:creationId xmlns:a16="http://schemas.microsoft.com/office/drawing/2014/main" id="{00000000-0008-0000-1500-00001F000000}"/>
            </a:ext>
          </a:extLst>
        </xdr:cNvPr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32" name="OpenSolver2">
          <a:extLst>
            <a:ext uri="{FF2B5EF4-FFF2-40B4-BE49-F238E27FC236}">
              <a16:creationId xmlns:a16="http://schemas.microsoft.com/office/drawing/2014/main" id="{00000000-0008-0000-1500-000020000000}"/>
            </a:ext>
          </a:extLst>
        </xdr:cNvPr>
        <xdr:cNvSpPr/>
      </xdr:nvSpPr>
      <xdr:spPr>
        <a:xfrm>
          <a:off x="7753350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33" name="OpenSolver3">
          <a:extLst>
            <a:ext uri="{FF2B5EF4-FFF2-40B4-BE49-F238E27FC236}">
              <a16:creationId xmlns:a16="http://schemas.microsoft.com/office/drawing/2014/main" id="{00000000-0008-0000-1500-000021000000}"/>
            </a:ext>
          </a:extLst>
        </xdr:cNvPr>
        <xdr:cNvSpPr/>
      </xdr:nvSpPr>
      <xdr:spPr>
        <a:xfrm>
          <a:off x="6057900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34" name="OpenSolver4">
          <a:extLst>
            <a:ext uri="{FF2B5EF4-FFF2-40B4-BE49-F238E27FC236}">
              <a16:creationId xmlns:a16="http://schemas.microsoft.com/office/drawing/2014/main" id="{00000000-0008-0000-1500-000022000000}"/>
            </a:ext>
          </a:extLst>
        </xdr:cNvPr>
        <xdr:cNvSpPr/>
      </xdr:nvSpPr>
      <xdr:spPr>
        <a:xfrm>
          <a:off x="3067050" y="1171575"/>
          <a:ext cx="15906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35" name="OpenSolver5">
          <a:extLst>
            <a:ext uri="{FF2B5EF4-FFF2-40B4-BE49-F238E27FC236}">
              <a16:creationId xmlns:a16="http://schemas.microsoft.com/office/drawing/2014/main" id="{00000000-0008-0000-1500-000023000000}"/>
            </a:ext>
          </a:extLst>
        </xdr:cNvPr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36" name="OpenSolver6">
          <a:extLst>
            <a:ext uri="{FF2B5EF4-FFF2-40B4-BE49-F238E27FC236}">
              <a16:creationId xmlns:a16="http://schemas.microsoft.com/office/drawing/2014/main" id="{00000000-0008-0000-1500-000024000000}"/>
            </a:ext>
          </a:extLst>
        </xdr:cNvPr>
        <xdr:cNvSpPr/>
      </xdr:nvSpPr>
      <xdr:spPr>
        <a:xfrm>
          <a:off x="3067050" y="1552575"/>
          <a:ext cx="15906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37" name="OpenSolver7">
          <a:extLst>
            <a:ext uri="{FF2B5EF4-FFF2-40B4-BE49-F238E27FC236}">
              <a16:creationId xmlns:a16="http://schemas.microsoft.com/office/drawing/2014/main" id="{00000000-0008-0000-1500-000025000000}"/>
            </a:ext>
          </a:extLst>
        </xdr:cNvPr>
        <xdr:cNvSpPr/>
      </xdr:nvSpPr>
      <xdr:spPr>
        <a:xfrm>
          <a:off x="485775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9</xdr:row>
      <xdr:rowOff>0</xdr:rowOff>
    </xdr:to>
    <xdr:cxnSp macro="">
      <xdr:nvCxnSpPr>
        <xdr:cNvPr id="38" name="OpenSolver8">
          <a:extLst>
            <a:ext uri="{FF2B5EF4-FFF2-40B4-BE49-F238E27FC236}">
              <a16:creationId xmlns:a16="http://schemas.microsoft.com/office/drawing/2014/main" id="{00000000-0008-0000-1500-000026000000}"/>
            </a:ext>
          </a:extLst>
        </xdr:cNvPr>
        <xdr:cNvCxnSpPr>
          <a:stCxn id="36" idx="3"/>
          <a:endCxn id="37" idx="1"/>
        </xdr:cNvCxnSpPr>
      </xdr:nvCxnSpPr>
      <xdr:spPr>
        <a:xfrm>
          <a:off x="465772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8</xdr:row>
      <xdr:rowOff>73025</xdr:rowOff>
    </xdr:from>
    <xdr:to>
      <xdr:col>10</xdr:col>
      <xdr:colOff>90488</xdr:colOff>
      <xdr:row>9</xdr:row>
      <xdr:rowOff>127000</xdr:rowOff>
    </xdr:to>
    <xdr:sp macro="" textlink="">
      <xdr:nvSpPr>
        <xdr:cNvPr id="39" name="OpenSolver9">
          <a:extLst>
            <a:ext uri="{FF2B5EF4-FFF2-40B4-BE49-F238E27FC236}">
              <a16:creationId xmlns:a16="http://schemas.microsoft.com/office/drawing/2014/main" id="{00000000-0008-0000-1500-000027000000}"/>
            </a:ext>
          </a:extLst>
        </xdr:cNvPr>
        <xdr:cNvSpPr/>
      </xdr:nvSpPr>
      <xdr:spPr>
        <a:xfrm>
          <a:off x="456723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40" name="OpenSolver10">
          <a:extLst>
            <a:ext uri="{FF2B5EF4-FFF2-40B4-BE49-F238E27FC236}">
              <a16:creationId xmlns:a16="http://schemas.microsoft.com/office/drawing/2014/main" id="{00000000-0008-0000-1500-000028000000}"/>
            </a:ext>
          </a:extLst>
        </xdr:cNvPr>
        <xdr:cNvSpPr/>
      </xdr:nvSpPr>
      <xdr:spPr>
        <a:xfrm>
          <a:off x="3067050" y="1952625"/>
          <a:ext cx="15906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41" name="OpenSolver11">
          <a:extLst>
            <a:ext uri="{FF2B5EF4-FFF2-40B4-BE49-F238E27FC236}">
              <a16:creationId xmlns:a16="http://schemas.microsoft.com/office/drawing/2014/main" id="{00000000-0008-0000-1500-000029000000}"/>
            </a:ext>
          </a:extLst>
        </xdr:cNvPr>
        <xdr:cNvSpPr/>
      </xdr:nvSpPr>
      <xdr:spPr>
        <a:xfrm>
          <a:off x="48577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42" name="OpenSolver12">
          <a:extLst>
            <a:ext uri="{FF2B5EF4-FFF2-40B4-BE49-F238E27FC236}">
              <a16:creationId xmlns:a16="http://schemas.microsoft.com/office/drawing/2014/main" id="{00000000-0008-0000-1500-00002A000000}"/>
            </a:ext>
          </a:extLst>
        </xdr:cNvPr>
        <xdr:cNvCxnSpPr>
          <a:stCxn id="40" idx="3"/>
          <a:endCxn id="41" idx="1"/>
        </xdr:cNvCxnSpPr>
      </xdr:nvCxnSpPr>
      <xdr:spPr>
        <a:xfrm>
          <a:off x="465772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9</xdr:row>
      <xdr:rowOff>168275</xdr:rowOff>
    </xdr:from>
    <xdr:to>
      <xdr:col>10</xdr:col>
      <xdr:colOff>90488</xdr:colOff>
      <xdr:row>11</xdr:row>
      <xdr:rowOff>31750</xdr:rowOff>
    </xdr:to>
    <xdr:sp macro="" textlink="">
      <xdr:nvSpPr>
        <xdr:cNvPr id="43" name="OpenSolver13">
          <a:extLst>
            <a:ext uri="{FF2B5EF4-FFF2-40B4-BE49-F238E27FC236}">
              <a16:creationId xmlns:a16="http://schemas.microsoft.com/office/drawing/2014/main" id="{00000000-0008-0000-1500-00002B000000}"/>
            </a:ext>
          </a:extLst>
        </xdr:cNvPr>
        <xdr:cNvSpPr/>
      </xdr:nvSpPr>
      <xdr:spPr>
        <a:xfrm>
          <a:off x="45672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44" name="OpenSolver14">
          <a:extLst>
            <a:ext uri="{FF2B5EF4-FFF2-40B4-BE49-F238E27FC236}">
              <a16:creationId xmlns:a16="http://schemas.microsoft.com/office/drawing/2014/main" id="{00000000-0008-0000-1500-00002C000000}"/>
            </a:ext>
          </a:extLst>
        </xdr:cNvPr>
        <xdr:cNvSpPr/>
      </xdr:nvSpPr>
      <xdr:spPr>
        <a:xfrm>
          <a:off x="3067050" y="2143125"/>
          <a:ext cx="15906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45" name="OpenSolver15">
          <a:extLst>
            <a:ext uri="{FF2B5EF4-FFF2-40B4-BE49-F238E27FC236}">
              <a16:creationId xmlns:a16="http://schemas.microsoft.com/office/drawing/2014/main" id="{00000000-0008-0000-1500-00002D000000}"/>
            </a:ext>
          </a:extLst>
        </xdr:cNvPr>
        <xdr:cNvSpPr/>
      </xdr:nvSpPr>
      <xdr:spPr>
        <a:xfrm>
          <a:off x="485775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46" name="OpenSolver16">
          <a:extLst>
            <a:ext uri="{FF2B5EF4-FFF2-40B4-BE49-F238E27FC236}">
              <a16:creationId xmlns:a16="http://schemas.microsoft.com/office/drawing/2014/main" id="{00000000-0008-0000-1500-00002E000000}"/>
            </a:ext>
          </a:extLst>
        </xdr:cNvPr>
        <xdr:cNvCxnSpPr>
          <a:stCxn id="44" idx="3"/>
          <a:endCxn id="45" idx="1"/>
        </xdr:cNvCxnSpPr>
      </xdr:nvCxnSpPr>
      <xdr:spPr>
        <a:xfrm>
          <a:off x="465772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47" name="OpenSolver17">
          <a:extLst>
            <a:ext uri="{FF2B5EF4-FFF2-40B4-BE49-F238E27FC236}">
              <a16:creationId xmlns:a16="http://schemas.microsoft.com/office/drawing/2014/main" id="{00000000-0008-0000-1500-00002F000000}"/>
            </a:ext>
          </a:extLst>
        </xdr:cNvPr>
        <xdr:cNvSpPr/>
      </xdr:nvSpPr>
      <xdr:spPr>
        <a:xfrm>
          <a:off x="456723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48" name="OpenSolver18">
          <a:extLst>
            <a:ext uri="{FF2B5EF4-FFF2-40B4-BE49-F238E27FC236}">
              <a16:creationId xmlns:a16="http://schemas.microsoft.com/office/drawing/2014/main" id="{00000000-0008-0000-1500-000030000000}"/>
            </a:ext>
          </a:extLst>
        </xdr:cNvPr>
        <xdr:cNvSpPr/>
      </xdr:nvSpPr>
      <xdr:spPr>
        <a:xfrm>
          <a:off x="8429625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49" name="OpenSolver19">
          <a:extLst>
            <a:ext uri="{FF2B5EF4-FFF2-40B4-BE49-F238E27FC236}">
              <a16:creationId xmlns:a16="http://schemas.microsoft.com/office/drawing/2014/main" id="{00000000-0008-0000-1500-000031000000}"/>
            </a:ext>
          </a:extLst>
        </xdr:cNvPr>
        <xdr:cNvSpPr/>
      </xdr:nvSpPr>
      <xdr:spPr>
        <a:xfrm>
          <a:off x="8896350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50" name="OpenSolver20">
          <a:extLst>
            <a:ext uri="{FF2B5EF4-FFF2-40B4-BE49-F238E27FC236}">
              <a16:creationId xmlns:a16="http://schemas.microsoft.com/office/drawing/2014/main" id="{00000000-0008-0000-1500-000032000000}"/>
            </a:ext>
          </a:extLst>
        </xdr:cNvPr>
        <xdr:cNvCxnSpPr>
          <a:stCxn id="48" idx="3"/>
          <a:endCxn id="49" idx="1"/>
        </xdr:cNvCxnSpPr>
      </xdr:nvCxnSpPr>
      <xdr:spPr>
        <a:xfrm>
          <a:off x="8696325" y="776288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51" name="OpenSolver21">
          <a:extLst>
            <a:ext uri="{FF2B5EF4-FFF2-40B4-BE49-F238E27FC236}">
              <a16:creationId xmlns:a16="http://schemas.microsoft.com/office/drawing/2014/main" id="{00000000-0008-0000-1500-000033000000}"/>
            </a:ext>
          </a:extLst>
        </xdr:cNvPr>
        <xdr:cNvSpPr/>
      </xdr:nvSpPr>
      <xdr:spPr>
        <a:xfrm>
          <a:off x="8605838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52" name="OpenSolver22">
          <a:extLst>
            <a:ext uri="{FF2B5EF4-FFF2-40B4-BE49-F238E27FC236}">
              <a16:creationId xmlns:a16="http://schemas.microsoft.com/office/drawing/2014/main" id="{00000000-0008-0000-1500-000034000000}"/>
            </a:ext>
          </a:extLst>
        </xdr:cNvPr>
        <xdr:cNvSpPr/>
      </xdr:nvSpPr>
      <xdr:spPr>
        <a:xfrm>
          <a:off x="7753350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53" name="OpenSolver23">
          <a:extLst>
            <a:ext uri="{FF2B5EF4-FFF2-40B4-BE49-F238E27FC236}">
              <a16:creationId xmlns:a16="http://schemas.microsoft.com/office/drawing/2014/main" id="{00000000-0008-0000-1500-000035000000}"/>
            </a:ext>
          </a:extLst>
        </xdr:cNvPr>
        <xdr:cNvSpPr/>
      </xdr:nvSpPr>
      <xdr:spPr>
        <a:xfrm>
          <a:off x="7753350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54" name="OpenSolver24">
          <a:extLst>
            <a:ext uri="{FF2B5EF4-FFF2-40B4-BE49-F238E27FC236}">
              <a16:creationId xmlns:a16="http://schemas.microsoft.com/office/drawing/2014/main" id="{00000000-0008-0000-1500-000036000000}"/>
            </a:ext>
          </a:extLst>
        </xdr:cNvPr>
        <xdr:cNvCxnSpPr>
          <a:stCxn id="52" idx="2"/>
          <a:endCxn id="53" idx="0"/>
        </xdr:cNvCxnSpPr>
      </xdr:nvCxnSpPr>
      <xdr:spPr>
        <a:xfrm>
          <a:off x="8091488" y="1171575"/>
          <a:ext cx="0" cy="19050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55" name="OpenSolver25">
          <a:extLst>
            <a:ext uri="{FF2B5EF4-FFF2-40B4-BE49-F238E27FC236}">
              <a16:creationId xmlns:a16="http://schemas.microsoft.com/office/drawing/2014/main" id="{00000000-0008-0000-1500-000037000000}"/>
            </a:ext>
          </a:extLst>
        </xdr:cNvPr>
        <xdr:cNvSpPr/>
      </xdr:nvSpPr>
      <xdr:spPr>
        <a:xfrm>
          <a:off x="790098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56" name="OpenSolverI10">
          <a:extLst>
            <a:ext uri="{FF2B5EF4-FFF2-40B4-BE49-F238E27FC236}">
              <a16:creationId xmlns:a16="http://schemas.microsoft.com/office/drawing/2014/main" id="{00000000-0008-0000-1500-000038000000}"/>
            </a:ext>
          </a:extLst>
        </xdr:cNvPr>
        <xdr:cNvSpPr/>
      </xdr:nvSpPr>
      <xdr:spPr>
        <a:xfrm>
          <a:off x="3067050" y="1752600"/>
          <a:ext cx="15906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I11/4+B3≤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57" name="OpenSolver27">
          <a:extLst>
            <a:ext uri="{FF2B5EF4-FFF2-40B4-BE49-F238E27FC236}">
              <a16:creationId xmlns:a16="http://schemas.microsoft.com/office/drawing/2014/main" id="{00000000-0008-0000-1500-000039000000}"/>
            </a:ext>
          </a:extLst>
        </xdr:cNvPr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58" name="OpenSolver28">
          <a:extLst>
            <a:ext uri="{FF2B5EF4-FFF2-40B4-BE49-F238E27FC236}">
              <a16:creationId xmlns:a16="http://schemas.microsoft.com/office/drawing/2014/main" id="{00000000-0008-0000-1500-00003A000000}"/>
            </a:ext>
          </a:extLst>
        </xdr:cNvPr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59" name="OpenSolver29">
          <a:extLst>
            <a:ext uri="{FF2B5EF4-FFF2-40B4-BE49-F238E27FC236}">
              <a16:creationId xmlns:a16="http://schemas.microsoft.com/office/drawing/2014/main" id="{00000000-0008-0000-1500-00003B000000}"/>
            </a:ext>
          </a:extLst>
        </xdr:cNvPr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32" name="OpenSolver1">
          <a:extLst>
            <a:ext uri="{FF2B5EF4-FFF2-40B4-BE49-F238E27FC236}">
              <a16:creationId xmlns:a16="http://schemas.microsoft.com/office/drawing/2014/main" id="{00000000-0008-0000-1600-000020000000}"/>
            </a:ext>
          </a:extLst>
        </xdr:cNvPr>
        <xdr:cNvSpPr/>
      </xdr:nvSpPr>
      <xdr:spPr>
        <a:xfrm>
          <a:off x="1476375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33" name="OpenSolver2">
          <a:extLst>
            <a:ext uri="{FF2B5EF4-FFF2-40B4-BE49-F238E27FC236}">
              <a16:creationId xmlns:a16="http://schemas.microsoft.com/office/drawing/2014/main" id="{00000000-0008-0000-1600-000021000000}"/>
            </a:ext>
          </a:extLst>
        </xdr:cNvPr>
        <xdr:cNvSpPr/>
      </xdr:nvSpPr>
      <xdr:spPr>
        <a:xfrm>
          <a:off x="7991475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34" name="OpenSolver3">
          <a:extLst>
            <a:ext uri="{FF2B5EF4-FFF2-40B4-BE49-F238E27FC236}">
              <a16:creationId xmlns:a16="http://schemas.microsoft.com/office/drawing/2014/main" id="{00000000-0008-0000-1600-000022000000}"/>
            </a:ext>
          </a:extLst>
        </xdr:cNvPr>
        <xdr:cNvSpPr/>
      </xdr:nvSpPr>
      <xdr:spPr>
        <a:xfrm>
          <a:off x="6296025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35" name="OpenSolver4">
          <a:extLst>
            <a:ext uri="{FF2B5EF4-FFF2-40B4-BE49-F238E27FC236}">
              <a16:creationId xmlns:a16="http://schemas.microsoft.com/office/drawing/2014/main" id="{00000000-0008-0000-1600-000023000000}"/>
            </a:ext>
          </a:extLst>
        </xdr:cNvPr>
        <xdr:cNvSpPr/>
      </xdr:nvSpPr>
      <xdr:spPr>
        <a:xfrm>
          <a:off x="3057525" y="1171575"/>
          <a:ext cx="115252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5</xdr:row>
      <xdr:rowOff>120650</xdr:rowOff>
    </xdr:from>
    <xdr:to>
      <xdr:col>8</xdr:col>
      <xdr:colOff>221564</xdr:colOff>
      <xdr:row>6</xdr:row>
      <xdr:rowOff>47625</xdr:rowOff>
    </xdr:to>
    <xdr:sp macro="" textlink="">
      <xdr:nvSpPr>
        <xdr:cNvPr id="36" name="OpenSolver5">
          <a:extLst>
            <a:ext uri="{FF2B5EF4-FFF2-40B4-BE49-F238E27FC236}">
              <a16:creationId xmlns:a16="http://schemas.microsoft.com/office/drawing/2014/main" id="{00000000-0008-0000-1600-000024000000}"/>
            </a:ext>
          </a:extLst>
        </xdr:cNvPr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37" name="OpenSolver6">
          <a:extLst>
            <a:ext uri="{FF2B5EF4-FFF2-40B4-BE49-F238E27FC236}">
              <a16:creationId xmlns:a16="http://schemas.microsoft.com/office/drawing/2014/main" id="{00000000-0008-0000-1600-000025000000}"/>
            </a:ext>
          </a:extLst>
        </xdr:cNvPr>
        <xdr:cNvSpPr/>
      </xdr:nvSpPr>
      <xdr:spPr>
        <a:xfrm>
          <a:off x="3057525" y="1552575"/>
          <a:ext cx="115252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38" name="OpenSolver7">
          <a:extLst>
            <a:ext uri="{FF2B5EF4-FFF2-40B4-BE49-F238E27FC236}">
              <a16:creationId xmlns:a16="http://schemas.microsoft.com/office/drawing/2014/main" id="{00000000-0008-0000-1600-000026000000}"/>
            </a:ext>
          </a:extLst>
        </xdr:cNvPr>
        <xdr:cNvSpPr/>
      </xdr:nvSpPr>
      <xdr:spPr>
        <a:xfrm>
          <a:off x="4410075" y="1552575"/>
          <a:ext cx="10858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9</xdr:row>
      <xdr:rowOff>0</xdr:rowOff>
    </xdr:to>
    <xdr:cxnSp macro="">
      <xdr:nvCxnSpPr>
        <xdr:cNvPr id="39" name="OpenSolver8">
          <a:extLst>
            <a:ext uri="{FF2B5EF4-FFF2-40B4-BE49-F238E27FC236}">
              <a16:creationId xmlns:a16="http://schemas.microsoft.com/office/drawing/2014/main" id="{00000000-0008-0000-1600-000027000000}"/>
            </a:ext>
          </a:extLst>
        </xdr:cNvPr>
        <xdr:cNvCxnSpPr>
          <a:stCxn id="37" idx="3"/>
          <a:endCxn id="38" idx="1"/>
        </xdr:cNvCxnSpPr>
      </xdr:nvCxnSpPr>
      <xdr:spPr>
        <a:xfrm>
          <a:off x="4210050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1062038</xdr:colOff>
      <xdr:row>8</xdr:row>
      <xdr:rowOff>73025</xdr:rowOff>
    </xdr:from>
    <xdr:to>
      <xdr:col>10</xdr:col>
      <xdr:colOff>90488</xdr:colOff>
      <xdr:row>9</xdr:row>
      <xdr:rowOff>127000</xdr:rowOff>
    </xdr:to>
    <xdr:sp macro="" textlink="">
      <xdr:nvSpPr>
        <xdr:cNvPr id="40" name="OpenSolver9">
          <a:extLst>
            <a:ext uri="{FF2B5EF4-FFF2-40B4-BE49-F238E27FC236}">
              <a16:creationId xmlns:a16="http://schemas.microsoft.com/office/drawing/2014/main" id="{00000000-0008-0000-1600-000028000000}"/>
            </a:ext>
          </a:extLst>
        </xdr:cNvPr>
        <xdr:cNvSpPr/>
      </xdr:nvSpPr>
      <xdr:spPr>
        <a:xfrm>
          <a:off x="4119563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41" name="OpenSolver10">
          <a:extLst>
            <a:ext uri="{FF2B5EF4-FFF2-40B4-BE49-F238E27FC236}">
              <a16:creationId xmlns:a16="http://schemas.microsoft.com/office/drawing/2014/main" id="{00000000-0008-0000-1600-000029000000}"/>
            </a:ext>
          </a:extLst>
        </xdr:cNvPr>
        <xdr:cNvSpPr/>
      </xdr:nvSpPr>
      <xdr:spPr>
        <a:xfrm>
          <a:off x="4410075" y="1952625"/>
          <a:ext cx="10858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11</xdr:row>
      <xdr:rowOff>0</xdr:rowOff>
    </xdr:to>
    <xdr:sp macro="" textlink="">
      <xdr:nvSpPr>
        <xdr:cNvPr id="42" name="OpenSolver11">
          <a:extLst>
            <a:ext uri="{FF2B5EF4-FFF2-40B4-BE49-F238E27FC236}">
              <a16:creationId xmlns:a16="http://schemas.microsoft.com/office/drawing/2014/main" id="{00000000-0008-0000-1600-00002A000000}"/>
            </a:ext>
          </a:extLst>
        </xdr:cNvPr>
        <xdr:cNvSpPr/>
      </xdr:nvSpPr>
      <xdr:spPr>
        <a:xfrm>
          <a:off x="6296025" y="195262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cxnSp macro="">
      <xdr:nvCxnSpPr>
        <xdr:cNvPr id="43" name="OpenSolver12">
          <a:extLst>
            <a:ext uri="{FF2B5EF4-FFF2-40B4-BE49-F238E27FC236}">
              <a16:creationId xmlns:a16="http://schemas.microsoft.com/office/drawing/2014/main" id="{00000000-0008-0000-1600-00002B000000}"/>
            </a:ext>
          </a:extLst>
        </xdr:cNvPr>
        <xdr:cNvCxnSpPr>
          <a:stCxn id="41" idx="3"/>
          <a:endCxn id="42" idx="1"/>
        </xdr:cNvCxnSpPr>
      </xdr:nvCxnSpPr>
      <xdr:spPr>
        <a:xfrm>
          <a:off x="5495925" y="2047875"/>
          <a:ext cx="8001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209550</xdr:colOff>
      <xdr:row>9</xdr:row>
      <xdr:rowOff>168275</xdr:rowOff>
    </xdr:from>
    <xdr:to>
      <xdr:col>12</xdr:col>
      <xdr:colOff>0</xdr:colOff>
      <xdr:row>11</xdr:row>
      <xdr:rowOff>31750</xdr:rowOff>
    </xdr:to>
    <xdr:sp macro="" textlink="">
      <xdr:nvSpPr>
        <xdr:cNvPr id="44" name="OpenSolver13">
          <a:extLst>
            <a:ext uri="{FF2B5EF4-FFF2-40B4-BE49-F238E27FC236}">
              <a16:creationId xmlns:a16="http://schemas.microsoft.com/office/drawing/2014/main" id="{00000000-0008-0000-1600-00002C000000}"/>
            </a:ext>
          </a:extLst>
        </xdr:cNvPr>
        <xdr:cNvSpPr/>
      </xdr:nvSpPr>
      <xdr:spPr>
        <a:xfrm>
          <a:off x="5705475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45" name="OpenSolver14">
          <a:extLst>
            <a:ext uri="{FF2B5EF4-FFF2-40B4-BE49-F238E27FC236}">
              <a16:creationId xmlns:a16="http://schemas.microsoft.com/office/drawing/2014/main" id="{00000000-0008-0000-1600-00002D000000}"/>
            </a:ext>
          </a:extLst>
        </xdr:cNvPr>
        <xdr:cNvSpPr/>
      </xdr:nvSpPr>
      <xdr:spPr>
        <a:xfrm>
          <a:off x="3057525" y="2143125"/>
          <a:ext cx="11525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46" name="OpenSolver15">
          <a:extLst>
            <a:ext uri="{FF2B5EF4-FFF2-40B4-BE49-F238E27FC236}">
              <a16:creationId xmlns:a16="http://schemas.microsoft.com/office/drawing/2014/main" id="{00000000-0008-0000-1600-00002E000000}"/>
            </a:ext>
          </a:extLst>
        </xdr:cNvPr>
        <xdr:cNvSpPr/>
      </xdr:nvSpPr>
      <xdr:spPr>
        <a:xfrm>
          <a:off x="4410075" y="2143125"/>
          <a:ext cx="10858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47" name="OpenSolver16">
          <a:extLst>
            <a:ext uri="{FF2B5EF4-FFF2-40B4-BE49-F238E27FC236}">
              <a16:creationId xmlns:a16="http://schemas.microsoft.com/office/drawing/2014/main" id="{00000000-0008-0000-1600-00002F000000}"/>
            </a:ext>
          </a:extLst>
        </xdr:cNvPr>
        <xdr:cNvCxnSpPr>
          <a:stCxn id="45" idx="3"/>
          <a:endCxn id="46" idx="1"/>
        </xdr:cNvCxnSpPr>
      </xdr:nvCxnSpPr>
      <xdr:spPr>
        <a:xfrm>
          <a:off x="4210050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1062038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48" name="OpenSolver17">
          <a:extLst>
            <a:ext uri="{FF2B5EF4-FFF2-40B4-BE49-F238E27FC236}">
              <a16:creationId xmlns:a16="http://schemas.microsoft.com/office/drawing/2014/main" id="{00000000-0008-0000-1600-000030000000}"/>
            </a:ext>
          </a:extLst>
        </xdr:cNvPr>
        <xdr:cNvSpPr/>
      </xdr:nvSpPr>
      <xdr:spPr>
        <a:xfrm>
          <a:off x="41195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49" name="OpenSolver18">
          <a:extLst>
            <a:ext uri="{FF2B5EF4-FFF2-40B4-BE49-F238E27FC236}">
              <a16:creationId xmlns:a16="http://schemas.microsoft.com/office/drawing/2014/main" id="{00000000-0008-0000-1600-000031000000}"/>
            </a:ext>
          </a:extLst>
        </xdr:cNvPr>
        <xdr:cNvSpPr/>
      </xdr:nvSpPr>
      <xdr:spPr>
        <a:xfrm>
          <a:off x="8667750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50" name="OpenSolver19">
          <a:extLst>
            <a:ext uri="{FF2B5EF4-FFF2-40B4-BE49-F238E27FC236}">
              <a16:creationId xmlns:a16="http://schemas.microsoft.com/office/drawing/2014/main" id="{00000000-0008-0000-1600-000032000000}"/>
            </a:ext>
          </a:extLst>
        </xdr:cNvPr>
        <xdr:cNvSpPr/>
      </xdr:nvSpPr>
      <xdr:spPr>
        <a:xfrm>
          <a:off x="9134475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51" name="OpenSolver20">
          <a:extLst>
            <a:ext uri="{FF2B5EF4-FFF2-40B4-BE49-F238E27FC236}">
              <a16:creationId xmlns:a16="http://schemas.microsoft.com/office/drawing/2014/main" id="{00000000-0008-0000-1600-000033000000}"/>
            </a:ext>
          </a:extLst>
        </xdr:cNvPr>
        <xdr:cNvCxnSpPr>
          <a:stCxn id="49" idx="3"/>
          <a:endCxn id="50" idx="1"/>
        </xdr:cNvCxnSpPr>
      </xdr:nvCxnSpPr>
      <xdr:spPr>
        <a:xfrm>
          <a:off x="8934450" y="776288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52" name="OpenSolver21">
          <a:extLst>
            <a:ext uri="{FF2B5EF4-FFF2-40B4-BE49-F238E27FC236}">
              <a16:creationId xmlns:a16="http://schemas.microsoft.com/office/drawing/2014/main" id="{00000000-0008-0000-1600-000034000000}"/>
            </a:ext>
          </a:extLst>
        </xdr:cNvPr>
        <xdr:cNvSpPr/>
      </xdr:nvSpPr>
      <xdr:spPr>
        <a:xfrm>
          <a:off x="8843963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53" name="OpenSolver22">
          <a:extLst>
            <a:ext uri="{FF2B5EF4-FFF2-40B4-BE49-F238E27FC236}">
              <a16:creationId xmlns:a16="http://schemas.microsoft.com/office/drawing/2014/main" id="{00000000-0008-0000-1600-000035000000}"/>
            </a:ext>
          </a:extLst>
        </xdr:cNvPr>
        <xdr:cNvSpPr/>
      </xdr:nvSpPr>
      <xdr:spPr>
        <a:xfrm>
          <a:off x="7991475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54" name="OpenSolver23">
          <a:extLst>
            <a:ext uri="{FF2B5EF4-FFF2-40B4-BE49-F238E27FC236}">
              <a16:creationId xmlns:a16="http://schemas.microsoft.com/office/drawing/2014/main" id="{00000000-0008-0000-1600-000036000000}"/>
            </a:ext>
          </a:extLst>
        </xdr:cNvPr>
        <xdr:cNvSpPr/>
      </xdr:nvSpPr>
      <xdr:spPr>
        <a:xfrm>
          <a:off x="7991475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55" name="OpenSolver24">
          <a:extLst>
            <a:ext uri="{FF2B5EF4-FFF2-40B4-BE49-F238E27FC236}">
              <a16:creationId xmlns:a16="http://schemas.microsoft.com/office/drawing/2014/main" id="{00000000-0008-0000-1600-000037000000}"/>
            </a:ext>
          </a:extLst>
        </xdr:cNvPr>
        <xdr:cNvCxnSpPr>
          <a:stCxn id="53" idx="2"/>
          <a:endCxn id="54" idx="0"/>
        </xdr:cNvCxnSpPr>
      </xdr:nvCxnSpPr>
      <xdr:spPr>
        <a:xfrm>
          <a:off x="8329613" y="1171575"/>
          <a:ext cx="0" cy="19050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56" name="OpenSolver25">
          <a:extLst>
            <a:ext uri="{FF2B5EF4-FFF2-40B4-BE49-F238E27FC236}">
              <a16:creationId xmlns:a16="http://schemas.microsoft.com/office/drawing/2014/main" id="{00000000-0008-0000-1600-000038000000}"/>
            </a:ext>
          </a:extLst>
        </xdr:cNvPr>
        <xdr:cNvSpPr/>
      </xdr:nvSpPr>
      <xdr:spPr>
        <a:xfrm>
          <a:off x="8139113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57" name="OpenSolverI10">
          <a:extLst>
            <a:ext uri="{FF2B5EF4-FFF2-40B4-BE49-F238E27FC236}">
              <a16:creationId xmlns:a16="http://schemas.microsoft.com/office/drawing/2014/main" id="{00000000-0008-0000-1600-000039000000}"/>
            </a:ext>
          </a:extLst>
        </xdr:cNvPr>
        <xdr:cNvSpPr/>
      </xdr:nvSpPr>
      <xdr:spPr>
        <a:xfrm>
          <a:off x="3057525" y="1752600"/>
          <a:ext cx="115252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I11/4+B3≤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14</xdr:row>
      <xdr:rowOff>0</xdr:rowOff>
    </xdr:to>
    <xdr:sp macro="" textlink="">
      <xdr:nvSpPr>
        <xdr:cNvPr id="58" name="OpenSolverI14">
          <a:extLst>
            <a:ext uri="{FF2B5EF4-FFF2-40B4-BE49-F238E27FC236}">
              <a16:creationId xmlns:a16="http://schemas.microsoft.com/office/drawing/2014/main" id="{00000000-0008-0000-1600-00003A000000}"/>
            </a:ext>
          </a:extLst>
        </xdr:cNvPr>
        <xdr:cNvSpPr/>
      </xdr:nvSpPr>
      <xdr:spPr>
        <a:xfrm>
          <a:off x="3057525" y="2524125"/>
          <a:ext cx="1152525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5*I15-1≥</a:t>
          </a:r>
        </a:p>
      </xdr:txBody>
    </xdr:sp>
    <xdr:clientData/>
  </xdr:twoCellAnchor>
  <xdr:twoCellAnchor>
    <xdr:from>
      <xdr:col>4</xdr:col>
      <xdr:colOff>9525</xdr:colOff>
      <xdr:row>4</xdr:row>
      <xdr:rowOff>6350</xdr:rowOff>
    </xdr:from>
    <xdr:to>
      <xdr:col>4</xdr:col>
      <xdr:colOff>95831</xdr:colOff>
      <xdr:row>4</xdr:row>
      <xdr:rowOff>120650</xdr:rowOff>
    </xdr:to>
    <xdr:sp macro="" textlink="">
      <xdr:nvSpPr>
        <xdr:cNvPr id="59" name="OpenSolver28">
          <a:extLst>
            <a:ext uri="{FF2B5EF4-FFF2-40B4-BE49-F238E27FC236}">
              <a16:creationId xmlns:a16="http://schemas.microsoft.com/office/drawing/2014/main" id="{00000000-0008-0000-1600-00003B000000}"/>
            </a:ext>
          </a:extLst>
        </xdr:cNvPr>
        <xdr:cNvSpPr/>
      </xdr:nvSpPr>
      <xdr:spPr>
        <a:xfrm>
          <a:off x="18288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4</xdr:row>
      <xdr:rowOff>6350</xdr:rowOff>
    </xdr:from>
    <xdr:to>
      <xdr:col>5</xdr:col>
      <xdr:colOff>95831</xdr:colOff>
      <xdr:row>4</xdr:row>
      <xdr:rowOff>120650</xdr:rowOff>
    </xdr:to>
    <xdr:sp macro="" textlink="">
      <xdr:nvSpPr>
        <xdr:cNvPr id="60" name="OpenSolver29">
          <a:extLst>
            <a:ext uri="{FF2B5EF4-FFF2-40B4-BE49-F238E27FC236}">
              <a16:creationId xmlns:a16="http://schemas.microsoft.com/office/drawing/2014/main" id="{00000000-0008-0000-1600-00003C000000}"/>
            </a:ext>
          </a:extLst>
        </xdr:cNvPr>
        <xdr:cNvSpPr/>
      </xdr:nvSpPr>
      <xdr:spPr>
        <a:xfrm>
          <a:off x="21717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9525</xdr:colOff>
      <xdr:row>4</xdr:row>
      <xdr:rowOff>6350</xdr:rowOff>
    </xdr:from>
    <xdr:to>
      <xdr:col>3</xdr:col>
      <xdr:colOff>61655</xdr:colOff>
      <xdr:row>4</xdr:row>
      <xdr:rowOff>120650</xdr:rowOff>
    </xdr:to>
    <xdr:sp macro="" textlink="">
      <xdr:nvSpPr>
        <xdr:cNvPr id="61" name="OpenSolver30">
          <a:extLst>
            <a:ext uri="{FF2B5EF4-FFF2-40B4-BE49-F238E27FC236}">
              <a16:creationId xmlns:a16="http://schemas.microsoft.com/office/drawing/2014/main" id="{00000000-0008-0000-1600-00003D000000}"/>
            </a:ext>
          </a:extLst>
        </xdr:cNvPr>
        <xdr:cNvSpPr/>
      </xdr:nvSpPr>
      <xdr:spPr>
        <a:xfrm>
          <a:off x="14859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7" name="OpenSolver1">
          <a:extLst>
            <a:ext uri="{FF2B5EF4-FFF2-40B4-BE49-F238E27FC236}">
              <a16:creationId xmlns:a16="http://schemas.microsoft.com/office/drawing/2014/main" id="{00000000-0008-0000-1700-000011000000}"/>
            </a:ext>
          </a:extLst>
        </xdr:cNvPr>
        <xdr:cNvSpPr/>
      </xdr:nvSpPr>
      <xdr:spPr>
        <a:xfrm>
          <a:off x="169545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18" name="OpenSolver2">
          <a:extLst>
            <a:ext uri="{FF2B5EF4-FFF2-40B4-BE49-F238E27FC236}">
              <a16:creationId xmlns:a16="http://schemas.microsoft.com/office/drawing/2014/main" id="{00000000-0008-0000-1700-000012000000}"/>
            </a:ext>
          </a:extLst>
        </xdr:cNvPr>
        <xdr:cNvSpPr/>
      </xdr:nvSpPr>
      <xdr:spPr>
        <a:xfrm>
          <a:off x="3305175" y="1171575"/>
          <a:ext cx="6381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222250</xdr:colOff>
      <xdr:row>5</xdr:row>
      <xdr:rowOff>120650</xdr:rowOff>
    </xdr:from>
    <xdr:to>
      <xdr:col>7</xdr:col>
      <xdr:colOff>215214</xdr:colOff>
      <xdr:row>6</xdr:row>
      <xdr:rowOff>47625</xdr:rowOff>
    </xdr:to>
    <xdr:sp macro="" textlink="">
      <xdr:nvSpPr>
        <xdr:cNvPr id="19" name="OpenSolver3">
          <a:extLst>
            <a:ext uri="{FF2B5EF4-FFF2-40B4-BE49-F238E27FC236}">
              <a16:creationId xmlns:a16="http://schemas.microsoft.com/office/drawing/2014/main" id="{00000000-0008-0000-1700-000013000000}"/>
            </a:ext>
          </a:extLst>
        </xdr:cNvPr>
        <xdr:cNvSpPr/>
      </xdr:nvSpPr>
      <xdr:spPr>
        <a:xfrm>
          <a:off x="32893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0" name="OpenSolver4">
          <a:extLst>
            <a:ext uri="{FF2B5EF4-FFF2-40B4-BE49-F238E27FC236}">
              <a16:creationId xmlns:a16="http://schemas.microsoft.com/office/drawing/2014/main" id="{00000000-0008-0000-1700-000014000000}"/>
            </a:ext>
          </a:extLst>
        </xdr:cNvPr>
        <xdr:cNvSpPr/>
      </xdr:nvSpPr>
      <xdr:spPr>
        <a:xfrm>
          <a:off x="3305175" y="1552575"/>
          <a:ext cx="6381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1" name="OpenSolver5"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4171950" y="1552575"/>
          <a:ext cx="45720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22" name="OpenSolver6">
          <a:extLst>
            <a:ext uri="{FF2B5EF4-FFF2-40B4-BE49-F238E27FC236}">
              <a16:creationId xmlns:a16="http://schemas.microsoft.com/office/drawing/2014/main" id="{00000000-0008-0000-1700-000016000000}"/>
            </a:ext>
          </a:extLst>
        </xdr:cNvPr>
        <xdr:cNvCxnSpPr>
          <a:stCxn id="20" idx="3"/>
          <a:endCxn id="21" idx="1"/>
        </xdr:cNvCxnSpPr>
      </xdr:nvCxnSpPr>
      <xdr:spPr>
        <a:xfrm>
          <a:off x="3943350" y="1752600"/>
          <a:ext cx="228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8</xdr:row>
      <xdr:rowOff>73025</xdr:rowOff>
    </xdr:from>
    <xdr:to>
      <xdr:col>9</xdr:col>
      <xdr:colOff>76200</xdr:colOff>
      <xdr:row>9</xdr:row>
      <xdr:rowOff>127000</xdr:rowOff>
    </xdr:to>
    <xdr:sp macro="" textlink="">
      <xdr:nvSpPr>
        <xdr:cNvPr id="23" name="OpenSolver7">
          <a:extLst>
            <a:ext uri="{FF2B5EF4-FFF2-40B4-BE49-F238E27FC236}">
              <a16:creationId xmlns:a16="http://schemas.microsoft.com/office/drawing/2014/main" id="{00000000-0008-0000-1700-000017000000}"/>
            </a:ext>
          </a:extLst>
        </xdr:cNvPr>
        <xdr:cNvSpPr/>
      </xdr:nvSpPr>
      <xdr:spPr>
        <a:xfrm>
          <a:off x="3867150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4" name="OpenSolver8">
          <a:extLst>
            <a:ext uri="{FF2B5EF4-FFF2-40B4-BE49-F238E27FC236}">
              <a16:creationId xmlns:a16="http://schemas.microsoft.com/office/drawing/2014/main" id="{00000000-0008-0000-1700-000018000000}"/>
            </a:ext>
          </a:extLst>
        </xdr:cNvPr>
        <xdr:cNvSpPr/>
      </xdr:nvSpPr>
      <xdr:spPr>
        <a:xfrm>
          <a:off x="3305175" y="1952625"/>
          <a:ext cx="6381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5" name="OpenSolver9">
          <a:extLst>
            <a:ext uri="{FF2B5EF4-FFF2-40B4-BE49-F238E27FC236}">
              <a16:creationId xmlns:a16="http://schemas.microsoft.com/office/drawing/2014/main" id="{00000000-0008-0000-1700-000019000000}"/>
            </a:ext>
          </a:extLst>
        </xdr:cNvPr>
        <xdr:cNvSpPr/>
      </xdr:nvSpPr>
      <xdr:spPr>
        <a:xfrm>
          <a:off x="4171950" y="1952625"/>
          <a:ext cx="4572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6" name="OpenSolver10">
          <a:extLst>
            <a:ext uri="{FF2B5EF4-FFF2-40B4-BE49-F238E27FC236}">
              <a16:creationId xmlns:a16="http://schemas.microsoft.com/office/drawing/2014/main" id="{00000000-0008-0000-1700-00001A000000}"/>
            </a:ext>
          </a:extLst>
        </xdr:cNvPr>
        <xdr:cNvCxnSpPr>
          <a:stCxn id="24" idx="3"/>
          <a:endCxn id="25" idx="1"/>
        </xdr:cNvCxnSpPr>
      </xdr:nvCxnSpPr>
      <xdr:spPr>
        <a:xfrm>
          <a:off x="3943350" y="2047875"/>
          <a:ext cx="228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9</xdr:row>
      <xdr:rowOff>168275</xdr:rowOff>
    </xdr:from>
    <xdr:to>
      <xdr:col>9</xdr:col>
      <xdr:colOff>76200</xdr:colOff>
      <xdr:row>11</xdr:row>
      <xdr:rowOff>31750</xdr:rowOff>
    </xdr:to>
    <xdr:sp macro="" textlink="">
      <xdr:nvSpPr>
        <xdr:cNvPr id="27" name="OpenSolver11">
          <a:extLst>
            <a:ext uri="{FF2B5EF4-FFF2-40B4-BE49-F238E27FC236}">
              <a16:creationId xmlns:a16="http://schemas.microsoft.com/office/drawing/2014/main" id="{00000000-0008-0000-1700-00001B000000}"/>
            </a:ext>
          </a:extLst>
        </xdr:cNvPr>
        <xdr:cNvSpPr/>
      </xdr:nvSpPr>
      <xdr:spPr>
        <a:xfrm>
          <a:off x="3867150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8" name="OpenSolver12">
          <a:extLst>
            <a:ext uri="{FF2B5EF4-FFF2-40B4-BE49-F238E27FC236}">
              <a16:creationId xmlns:a16="http://schemas.microsoft.com/office/drawing/2014/main" id="{00000000-0008-0000-1700-00001C000000}"/>
            </a:ext>
          </a:extLst>
        </xdr:cNvPr>
        <xdr:cNvSpPr/>
      </xdr:nvSpPr>
      <xdr:spPr>
        <a:xfrm>
          <a:off x="3305175" y="2143125"/>
          <a:ext cx="6381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9" name="OpenSolver13">
          <a:extLst>
            <a:ext uri="{FF2B5EF4-FFF2-40B4-BE49-F238E27FC236}">
              <a16:creationId xmlns:a16="http://schemas.microsoft.com/office/drawing/2014/main" id="{00000000-0008-0000-1700-00001D000000}"/>
            </a:ext>
          </a:extLst>
        </xdr:cNvPr>
        <xdr:cNvSpPr/>
      </xdr:nvSpPr>
      <xdr:spPr>
        <a:xfrm>
          <a:off x="4171950" y="2143125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0" name="OpenSolver14">
          <a:extLst>
            <a:ext uri="{FF2B5EF4-FFF2-40B4-BE49-F238E27FC236}">
              <a16:creationId xmlns:a16="http://schemas.microsoft.com/office/drawing/2014/main" id="{00000000-0008-0000-1700-00001E000000}"/>
            </a:ext>
          </a:extLst>
        </xdr:cNvPr>
        <xdr:cNvCxnSpPr>
          <a:stCxn id="28" idx="3"/>
          <a:endCxn id="29" idx="1"/>
        </xdr:cNvCxnSpPr>
      </xdr:nvCxnSpPr>
      <xdr:spPr>
        <a:xfrm>
          <a:off x="3943350" y="2238375"/>
          <a:ext cx="228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561975</xdr:colOff>
      <xdr:row>10</xdr:row>
      <xdr:rowOff>158750</xdr:rowOff>
    </xdr:from>
    <xdr:to>
      <xdr:col>9</xdr:col>
      <xdr:colOff>76200</xdr:colOff>
      <xdr:row>12</xdr:row>
      <xdr:rowOff>31750</xdr:rowOff>
    </xdr:to>
    <xdr:sp macro="" textlink="">
      <xdr:nvSpPr>
        <xdr:cNvPr id="31" name="OpenSolver15">
          <a:extLst>
            <a:ext uri="{FF2B5EF4-FFF2-40B4-BE49-F238E27FC236}">
              <a16:creationId xmlns:a16="http://schemas.microsoft.com/office/drawing/2014/main" id="{00000000-0008-0000-1700-00001F000000}"/>
            </a:ext>
          </a:extLst>
        </xdr:cNvPr>
        <xdr:cNvSpPr/>
      </xdr:nvSpPr>
      <xdr:spPr>
        <a:xfrm>
          <a:off x="3867150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1800-000006000000}"/>
            </a:ext>
          </a:extLst>
        </xdr:cNvPr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18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1800-000008000000}"/>
            </a:ext>
          </a:extLst>
        </xdr:cNvPr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1800-000009000000}"/>
            </a:ext>
          </a:extLst>
        </xdr:cNvPr>
        <xdr:cNvSpPr/>
      </xdr:nvSpPr>
      <xdr:spPr>
        <a:xfrm>
          <a:off x="295275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1800-00000A000000}"/>
            </a:ext>
          </a:extLst>
        </xdr:cNvPr>
        <xdr:cNvSpPr/>
      </xdr:nvSpPr>
      <xdr:spPr>
        <a:xfrm>
          <a:off x="37147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18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351472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173038</xdr:rowOff>
    </xdr:from>
    <xdr:to>
      <xdr:col>9</xdr:col>
      <xdr:colOff>90488</xdr:colOff>
      <xdr:row>10</xdr:row>
      <xdr:rowOff>26988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1800-00000C000000}"/>
            </a:ext>
          </a:extLst>
        </xdr:cNvPr>
        <xdr:cNvSpPr/>
      </xdr:nvSpPr>
      <xdr:spPr>
        <a:xfrm>
          <a:off x="34242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1800-00000D000000}"/>
            </a:ext>
          </a:extLst>
        </xdr:cNvPr>
        <xdr:cNvSpPr/>
      </xdr:nvSpPr>
      <xdr:spPr>
        <a:xfrm>
          <a:off x="295275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1800-00000E000000}"/>
            </a:ext>
          </a:extLst>
        </xdr:cNvPr>
        <xdr:cNvSpPr/>
      </xdr:nvSpPr>
      <xdr:spPr>
        <a:xfrm>
          <a:off x="37147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00000000-0008-0000-1800-00000F000000}"/>
            </a:ext>
          </a:extLst>
        </xdr:cNvPr>
        <xdr:cNvCxnSpPr>
          <a:stCxn id="13" idx="3"/>
          <a:endCxn id="14" idx="1"/>
        </xdr:cNvCxnSpPr>
      </xdr:nvCxnSpPr>
      <xdr:spPr>
        <a:xfrm>
          <a:off x="351472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00000000-0008-0000-1800-000010000000}"/>
            </a:ext>
          </a:extLst>
        </xdr:cNvPr>
        <xdr:cNvSpPr/>
      </xdr:nvSpPr>
      <xdr:spPr>
        <a:xfrm>
          <a:off x="34242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5" name="OpenSolver1">
          <a:extLst>
            <a:ext uri="{FF2B5EF4-FFF2-40B4-BE49-F238E27FC236}">
              <a16:creationId xmlns:a16="http://schemas.microsoft.com/office/drawing/2014/main" id="{00000000-0008-0000-1A00-00000F000000}"/>
            </a:ext>
          </a:extLst>
        </xdr:cNvPr>
        <xdr:cNvSpPr/>
      </xdr:nvSpPr>
      <xdr:spPr>
        <a:xfrm>
          <a:off x="1485900" y="781050"/>
          <a:ext cx="18097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6" name="OpenSolver2">
          <a:extLst>
            <a:ext uri="{FF2B5EF4-FFF2-40B4-BE49-F238E27FC236}">
              <a16:creationId xmlns:a16="http://schemas.microsoft.com/office/drawing/2014/main" id="{00000000-0008-0000-1A00-000010000000}"/>
            </a:ext>
          </a:extLst>
        </xdr:cNvPr>
        <xdr:cNvSpPr/>
      </xdr:nvSpPr>
      <xdr:spPr>
        <a:xfrm>
          <a:off x="35052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7" name="OpenSolver3">
          <a:extLst>
            <a:ext uri="{FF2B5EF4-FFF2-40B4-BE49-F238E27FC236}">
              <a16:creationId xmlns:a16="http://schemas.microsoft.com/office/drawing/2014/main" id="{00000000-0008-0000-1A00-000011000000}"/>
            </a:ext>
          </a:extLst>
        </xdr:cNvPr>
        <xdr:cNvSpPr/>
      </xdr:nvSpPr>
      <xdr:spPr>
        <a:xfrm>
          <a:off x="42672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18" name="OpenSolver4">
          <a:extLst>
            <a:ext uri="{FF2B5EF4-FFF2-40B4-BE49-F238E27FC236}">
              <a16:creationId xmlns:a16="http://schemas.microsoft.com/office/drawing/2014/main" id="{00000000-0008-0000-1A00-000012000000}"/>
            </a:ext>
          </a:extLst>
        </xdr:cNvPr>
        <xdr:cNvCxnSpPr>
          <a:stCxn id="16" idx="3"/>
          <a:endCxn id="17" idx="1"/>
        </xdr:cNvCxnSpPr>
      </xdr:nvCxnSpPr>
      <xdr:spPr>
        <a:xfrm>
          <a:off x="40671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19" name="OpenSolver5">
          <a:extLst>
            <a:ext uri="{FF2B5EF4-FFF2-40B4-BE49-F238E27FC236}">
              <a16:creationId xmlns:a16="http://schemas.microsoft.com/office/drawing/2014/main" id="{00000000-0008-0000-1A00-000013000000}"/>
            </a:ext>
          </a:extLst>
        </xdr:cNvPr>
        <xdr:cNvSpPr/>
      </xdr:nvSpPr>
      <xdr:spPr>
        <a:xfrm>
          <a:off x="39766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0" name="OpenSolver6">
          <a:extLst>
            <a:ext uri="{FF2B5EF4-FFF2-40B4-BE49-F238E27FC236}">
              <a16:creationId xmlns:a16="http://schemas.microsoft.com/office/drawing/2014/main" id="{00000000-0008-0000-1A00-000014000000}"/>
            </a:ext>
          </a:extLst>
        </xdr:cNvPr>
        <xdr:cNvSpPr/>
      </xdr:nvSpPr>
      <xdr:spPr>
        <a:xfrm>
          <a:off x="35052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1" name="OpenSolver7">
          <a:extLst>
            <a:ext uri="{FF2B5EF4-FFF2-40B4-BE49-F238E27FC236}">
              <a16:creationId xmlns:a16="http://schemas.microsoft.com/office/drawing/2014/main" id="{00000000-0008-0000-1A00-000015000000}"/>
            </a:ext>
          </a:extLst>
        </xdr:cNvPr>
        <xdr:cNvSpPr/>
      </xdr:nvSpPr>
      <xdr:spPr>
        <a:xfrm>
          <a:off x="42672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2" name="OpenSolver8">
          <a:extLst>
            <a:ext uri="{FF2B5EF4-FFF2-40B4-BE49-F238E27FC236}">
              <a16:creationId xmlns:a16="http://schemas.microsoft.com/office/drawing/2014/main" id="{00000000-0008-0000-1A00-000016000000}"/>
            </a:ext>
          </a:extLst>
        </xdr:cNvPr>
        <xdr:cNvCxnSpPr>
          <a:stCxn id="20" idx="3"/>
          <a:endCxn id="21" idx="1"/>
        </xdr:cNvCxnSpPr>
      </xdr:nvCxnSpPr>
      <xdr:spPr>
        <a:xfrm>
          <a:off x="40671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23" name="OpenSolver9">
          <a:extLst>
            <a:ext uri="{FF2B5EF4-FFF2-40B4-BE49-F238E27FC236}">
              <a16:creationId xmlns:a16="http://schemas.microsoft.com/office/drawing/2014/main" id="{00000000-0008-0000-1A00-000017000000}"/>
            </a:ext>
          </a:extLst>
        </xdr:cNvPr>
        <xdr:cNvSpPr/>
      </xdr:nvSpPr>
      <xdr:spPr>
        <a:xfrm>
          <a:off x="39766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4" name="OpenSolver10"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35052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5" name="OpenSolver11">
          <a:extLst>
            <a:ext uri="{FF2B5EF4-FFF2-40B4-BE49-F238E27FC236}">
              <a16:creationId xmlns:a16="http://schemas.microsoft.com/office/drawing/2014/main" id="{00000000-0008-0000-1A00-000019000000}"/>
            </a:ext>
          </a:extLst>
        </xdr:cNvPr>
        <xdr:cNvSpPr/>
      </xdr:nvSpPr>
      <xdr:spPr>
        <a:xfrm>
          <a:off x="42672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6" name="OpenSolver12">
          <a:extLst>
            <a:ext uri="{FF2B5EF4-FFF2-40B4-BE49-F238E27FC236}">
              <a16:creationId xmlns:a16="http://schemas.microsoft.com/office/drawing/2014/main" id="{00000000-0008-0000-1A00-00001A000000}"/>
            </a:ext>
          </a:extLst>
        </xdr:cNvPr>
        <xdr:cNvCxnSpPr>
          <a:stCxn id="24" idx="3"/>
          <a:endCxn id="25" idx="1"/>
        </xdr:cNvCxnSpPr>
      </xdr:nvCxnSpPr>
      <xdr:spPr>
        <a:xfrm>
          <a:off x="40671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7" name="OpenSolver13">
          <a:extLst>
            <a:ext uri="{FF2B5EF4-FFF2-40B4-BE49-F238E27FC236}">
              <a16:creationId xmlns:a16="http://schemas.microsoft.com/office/drawing/2014/main" id="{00000000-0008-0000-1A00-00001B000000}"/>
            </a:ext>
          </a:extLst>
        </xdr:cNvPr>
        <xdr:cNvSpPr/>
      </xdr:nvSpPr>
      <xdr:spPr>
        <a:xfrm>
          <a:off x="39766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>
          <a:extLst>
            <a:ext uri="{FF2B5EF4-FFF2-40B4-BE49-F238E27FC236}">
              <a16:creationId xmlns:a16="http://schemas.microsoft.com/office/drawing/2014/main" id="{00000000-0008-0000-1B00-000015000000}"/>
            </a:ext>
          </a:extLst>
        </xdr:cNvPr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2" name="OpenSolver2">
          <a:extLst>
            <a:ext uri="{FF2B5EF4-FFF2-40B4-BE49-F238E27FC236}">
              <a16:creationId xmlns:a16="http://schemas.microsoft.com/office/drawing/2014/main" id="{00000000-0008-0000-1B00-000016000000}"/>
            </a:ext>
          </a:extLst>
        </xdr:cNvPr>
        <xdr:cNvSpPr/>
      </xdr:nvSpPr>
      <xdr:spPr>
        <a:xfrm>
          <a:off x="35814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196850</xdr:colOff>
      <xdr:row>4</xdr:row>
      <xdr:rowOff>107950</xdr:rowOff>
    </xdr:from>
    <xdr:to>
      <xdr:col>9</xdr:col>
      <xdr:colOff>218389</xdr:colOff>
      <xdr:row>5</xdr:row>
      <xdr:rowOff>44450</xdr:rowOff>
    </xdr:to>
    <xdr:sp macro="" textlink="">
      <xdr:nvSpPr>
        <xdr:cNvPr id="23" name="OpenSolver3">
          <a:extLst>
            <a:ext uri="{FF2B5EF4-FFF2-40B4-BE49-F238E27FC236}">
              <a16:creationId xmlns:a16="http://schemas.microsoft.com/office/drawing/2014/main" id="{00000000-0008-0000-1B00-000017000000}"/>
            </a:ext>
          </a:extLst>
        </xdr:cNvPr>
        <xdr:cNvSpPr/>
      </xdr:nvSpPr>
      <xdr:spPr>
        <a:xfrm>
          <a:off x="35687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4" name="OpenSolver4">
          <a:extLst>
            <a:ext uri="{FF2B5EF4-FFF2-40B4-BE49-F238E27FC236}">
              <a16:creationId xmlns:a16="http://schemas.microsoft.com/office/drawing/2014/main" id="{00000000-0008-0000-1B00-000018000000}"/>
            </a:ext>
          </a:extLst>
        </xdr:cNvPr>
        <xdr:cNvSpPr/>
      </xdr:nvSpPr>
      <xdr:spPr>
        <a:xfrm>
          <a:off x="358140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25" name="OpenSolver5"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434340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4763</xdr:rowOff>
    </xdr:from>
    <xdr:to>
      <xdr:col>11</xdr:col>
      <xdr:colOff>0</xdr:colOff>
      <xdr:row>8</xdr:row>
      <xdr:rowOff>4763</xdr:rowOff>
    </xdr:to>
    <xdr:cxnSp macro="">
      <xdr:nvCxnSpPr>
        <xdr:cNvPr id="26" name="OpenSolver6">
          <a:extLst>
            <a:ext uri="{FF2B5EF4-FFF2-40B4-BE49-F238E27FC236}">
              <a16:creationId xmlns:a16="http://schemas.microsoft.com/office/drawing/2014/main" id="{00000000-0008-0000-1B00-00001A000000}"/>
            </a:ext>
          </a:extLst>
        </xdr:cNvPr>
        <xdr:cNvCxnSpPr>
          <a:stCxn id="24" idx="3"/>
          <a:endCxn id="25" idx="1"/>
        </xdr:cNvCxnSpPr>
      </xdr:nvCxnSpPr>
      <xdr:spPr>
        <a:xfrm>
          <a:off x="414337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68263</xdr:rowOff>
    </xdr:from>
    <xdr:to>
      <xdr:col>11</xdr:col>
      <xdr:colOff>90488</xdr:colOff>
      <xdr:row>8</xdr:row>
      <xdr:rowOff>131763</xdr:rowOff>
    </xdr:to>
    <xdr:sp macro="" textlink="">
      <xdr:nvSpPr>
        <xdr:cNvPr id="27" name="OpenSolver7">
          <a:extLst>
            <a:ext uri="{FF2B5EF4-FFF2-40B4-BE49-F238E27FC236}">
              <a16:creationId xmlns:a16="http://schemas.microsoft.com/office/drawing/2014/main" id="{00000000-0008-0000-1B00-00001B000000}"/>
            </a:ext>
          </a:extLst>
        </xdr:cNvPr>
        <xdr:cNvSpPr/>
      </xdr:nvSpPr>
      <xdr:spPr>
        <a:xfrm>
          <a:off x="40528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8" name="OpenSolver8"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SpPr/>
      </xdr:nvSpPr>
      <xdr:spPr>
        <a:xfrm>
          <a:off x="35814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29" name="OpenSolver9">
          <a:extLst>
            <a:ext uri="{FF2B5EF4-FFF2-40B4-BE49-F238E27FC236}">
              <a16:creationId xmlns:a16="http://schemas.microsoft.com/office/drawing/2014/main" id="{00000000-0008-0000-1B00-00001D000000}"/>
            </a:ext>
          </a:extLst>
        </xdr:cNvPr>
        <xdr:cNvSpPr/>
      </xdr:nvSpPr>
      <xdr:spPr>
        <a:xfrm>
          <a:off x="434340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100013</xdr:rowOff>
    </xdr:from>
    <xdr:to>
      <xdr:col>11</xdr:col>
      <xdr:colOff>0</xdr:colOff>
      <xdr:row>9</xdr:row>
      <xdr:rowOff>100013</xdr:rowOff>
    </xdr:to>
    <xdr:cxnSp macro="">
      <xdr:nvCxnSpPr>
        <xdr:cNvPr id="30" name="OpenSolver10">
          <a:extLst>
            <a:ext uri="{FF2B5EF4-FFF2-40B4-BE49-F238E27FC236}">
              <a16:creationId xmlns:a16="http://schemas.microsoft.com/office/drawing/2014/main" id="{00000000-0008-0000-1B00-00001E000000}"/>
            </a:ext>
          </a:extLst>
        </xdr:cNvPr>
        <xdr:cNvCxnSpPr>
          <a:stCxn id="28" idx="3"/>
          <a:endCxn id="29" idx="1"/>
        </xdr:cNvCxnSpPr>
      </xdr:nvCxnSpPr>
      <xdr:spPr>
        <a:xfrm>
          <a:off x="414337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173038</xdr:rowOff>
    </xdr:from>
    <xdr:to>
      <xdr:col>11</xdr:col>
      <xdr:colOff>90488</xdr:colOff>
      <xdr:row>10</xdr:row>
      <xdr:rowOff>26988</xdr:rowOff>
    </xdr:to>
    <xdr:sp macro="" textlink="">
      <xdr:nvSpPr>
        <xdr:cNvPr id="31" name="OpenSolver11">
          <a:extLst>
            <a:ext uri="{FF2B5EF4-FFF2-40B4-BE49-F238E27FC236}">
              <a16:creationId xmlns:a16="http://schemas.microsoft.com/office/drawing/2014/main" id="{00000000-0008-0000-1B00-00001F000000}"/>
            </a:ext>
          </a:extLst>
        </xdr:cNvPr>
        <xdr:cNvSpPr/>
      </xdr:nvSpPr>
      <xdr:spPr>
        <a:xfrm>
          <a:off x="405288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2" name="OpenSolver12">
          <a:extLst>
            <a:ext uri="{FF2B5EF4-FFF2-40B4-BE49-F238E27FC236}">
              <a16:creationId xmlns:a16="http://schemas.microsoft.com/office/drawing/2014/main" id="{00000000-0008-0000-1B00-000020000000}"/>
            </a:ext>
          </a:extLst>
        </xdr:cNvPr>
        <xdr:cNvSpPr/>
      </xdr:nvSpPr>
      <xdr:spPr>
        <a:xfrm>
          <a:off x="35814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33" name="OpenSolver13">
          <a:extLst>
            <a:ext uri="{FF2B5EF4-FFF2-40B4-BE49-F238E27FC236}">
              <a16:creationId xmlns:a16="http://schemas.microsoft.com/office/drawing/2014/main" id="{00000000-0008-0000-1B00-000021000000}"/>
            </a:ext>
          </a:extLst>
        </xdr:cNvPr>
        <xdr:cNvSpPr/>
      </xdr:nvSpPr>
      <xdr:spPr>
        <a:xfrm>
          <a:off x="43434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34" name="OpenSolver14">
          <a:extLst>
            <a:ext uri="{FF2B5EF4-FFF2-40B4-BE49-F238E27FC236}">
              <a16:creationId xmlns:a16="http://schemas.microsoft.com/office/drawing/2014/main" id="{00000000-0008-0000-1B00-000022000000}"/>
            </a:ext>
          </a:extLst>
        </xdr:cNvPr>
        <xdr:cNvCxnSpPr>
          <a:stCxn id="32" idx="3"/>
          <a:endCxn id="33" idx="1"/>
        </xdr:cNvCxnSpPr>
      </xdr:nvCxnSpPr>
      <xdr:spPr>
        <a:xfrm>
          <a:off x="414337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168275</xdr:rowOff>
    </xdr:from>
    <xdr:to>
      <xdr:col>11</xdr:col>
      <xdr:colOff>90488</xdr:colOff>
      <xdr:row>11</xdr:row>
      <xdr:rowOff>31750</xdr:rowOff>
    </xdr:to>
    <xdr:sp macro="" textlink="">
      <xdr:nvSpPr>
        <xdr:cNvPr id="35" name="OpenSolver15">
          <a:extLst>
            <a:ext uri="{FF2B5EF4-FFF2-40B4-BE49-F238E27FC236}">
              <a16:creationId xmlns:a16="http://schemas.microsoft.com/office/drawing/2014/main" id="{00000000-0008-0000-1B00-000023000000}"/>
            </a:ext>
          </a:extLst>
        </xdr:cNvPr>
        <xdr:cNvSpPr/>
      </xdr:nvSpPr>
      <xdr:spPr>
        <a:xfrm>
          <a:off x="40528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35814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196850</xdr:colOff>
      <xdr:row>4</xdr:row>
      <xdr:rowOff>107950</xdr:rowOff>
    </xdr:from>
    <xdr:to>
      <xdr:col>9</xdr:col>
      <xdr:colOff>218389</xdr:colOff>
      <xdr:row>5</xdr:row>
      <xdr:rowOff>44450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SpPr/>
      </xdr:nvSpPr>
      <xdr:spPr>
        <a:xfrm>
          <a:off x="35687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SpPr/>
      </xdr:nvSpPr>
      <xdr:spPr>
        <a:xfrm>
          <a:off x="358140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SpPr/>
      </xdr:nvSpPr>
      <xdr:spPr>
        <a:xfrm>
          <a:off x="434340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4763</xdr:rowOff>
    </xdr:from>
    <xdr:to>
      <xdr:col>11</xdr:col>
      <xdr:colOff>0</xdr:colOff>
      <xdr:row>8</xdr:row>
      <xdr:rowOff>4763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1C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414337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68263</xdr:rowOff>
    </xdr:from>
    <xdr:to>
      <xdr:col>11</xdr:col>
      <xdr:colOff>90488</xdr:colOff>
      <xdr:row>8</xdr:row>
      <xdr:rowOff>131763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1C00-000008000000}"/>
            </a:ext>
          </a:extLst>
        </xdr:cNvPr>
        <xdr:cNvSpPr/>
      </xdr:nvSpPr>
      <xdr:spPr>
        <a:xfrm>
          <a:off x="40528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1C00-000009000000}"/>
            </a:ext>
          </a:extLst>
        </xdr:cNvPr>
        <xdr:cNvSpPr/>
      </xdr:nvSpPr>
      <xdr:spPr>
        <a:xfrm>
          <a:off x="35814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1C00-00000A000000}"/>
            </a:ext>
          </a:extLst>
        </xdr:cNvPr>
        <xdr:cNvSpPr/>
      </xdr:nvSpPr>
      <xdr:spPr>
        <a:xfrm>
          <a:off x="434340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100013</xdr:rowOff>
    </xdr:from>
    <xdr:to>
      <xdr:col>11</xdr:col>
      <xdr:colOff>0</xdr:colOff>
      <xdr:row>9</xdr:row>
      <xdr:rowOff>100013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1C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414337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173038</xdr:rowOff>
    </xdr:from>
    <xdr:to>
      <xdr:col>11</xdr:col>
      <xdr:colOff>90488</xdr:colOff>
      <xdr:row>10</xdr:row>
      <xdr:rowOff>26988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1C00-00000C000000}"/>
            </a:ext>
          </a:extLst>
        </xdr:cNvPr>
        <xdr:cNvSpPr/>
      </xdr:nvSpPr>
      <xdr:spPr>
        <a:xfrm>
          <a:off x="405288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1C00-00000D000000}"/>
            </a:ext>
          </a:extLst>
        </xdr:cNvPr>
        <xdr:cNvSpPr/>
      </xdr:nvSpPr>
      <xdr:spPr>
        <a:xfrm>
          <a:off x="35814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1C00-00000E000000}"/>
            </a:ext>
          </a:extLst>
        </xdr:cNvPr>
        <xdr:cNvSpPr/>
      </xdr:nvSpPr>
      <xdr:spPr>
        <a:xfrm>
          <a:off x="43434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00000000-0008-0000-1C00-00000F000000}"/>
            </a:ext>
          </a:extLst>
        </xdr:cNvPr>
        <xdr:cNvCxnSpPr>
          <a:stCxn id="13" idx="3"/>
          <a:endCxn id="14" idx="1"/>
        </xdr:cNvCxnSpPr>
      </xdr:nvCxnSpPr>
      <xdr:spPr>
        <a:xfrm>
          <a:off x="414337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168275</xdr:rowOff>
    </xdr:from>
    <xdr:to>
      <xdr:col>11</xdr:col>
      <xdr:colOff>90488</xdr:colOff>
      <xdr:row>11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00000000-0008-0000-1C00-000010000000}"/>
            </a:ext>
          </a:extLst>
        </xdr:cNvPr>
        <xdr:cNvSpPr/>
      </xdr:nvSpPr>
      <xdr:spPr>
        <a:xfrm>
          <a:off x="40528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2000-000005000000}"/>
            </a:ext>
          </a:extLst>
        </xdr:cNvPr>
        <xdr:cNvSpPr/>
      </xdr:nvSpPr>
      <xdr:spPr>
        <a:xfrm>
          <a:off x="3657600" y="1752600"/>
          <a:ext cx="561975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2000-000006000000}"/>
            </a:ext>
          </a:extLst>
        </xdr:cNvPr>
        <xdr:cNvSpPr/>
      </xdr:nvSpPr>
      <xdr:spPr>
        <a:xfrm>
          <a:off x="4419600" y="1752600"/>
          <a:ext cx="4000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90488</xdr:rowOff>
    </xdr:from>
    <xdr:to>
      <xdr:col>9</xdr:col>
      <xdr:colOff>0</xdr:colOff>
      <xdr:row>10</xdr:row>
      <xdr:rowOff>90488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20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4219575" y="2043113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163513</xdr:rowOff>
    </xdr:from>
    <xdr:to>
      <xdr:col>9</xdr:col>
      <xdr:colOff>90488</xdr:colOff>
      <xdr:row>11</xdr:row>
      <xdr:rowOff>26988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2000-000008000000}"/>
            </a:ext>
          </a:extLst>
        </xdr:cNvPr>
        <xdr:cNvSpPr/>
      </xdr:nvSpPr>
      <xdr:spPr>
        <a:xfrm>
          <a:off x="4129088" y="1916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0</xdr:colOff>
      <xdr:row>4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2000-000009000000}"/>
            </a:ext>
          </a:extLst>
        </xdr:cNvPr>
        <xdr:cNvSpPr/>
      </xdr:nvSpPr>
      <xdr:spPr>
        <a:xfrm>
          <a:off x="2260600" y="593725"/>
          <a:ext cx="1187450" cy="1873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2000-00000A000000}"/>
            </a:ext>
          </a:extLst>
        </xdr:cNvPr>
        <xdr:cNvSpPr/>
      </xdr:nvSpPr>
      <xdr:spPr>
        <a:xfrm>
          <a:off x="2247900" y="971550"/>
          <a:ext cx="12001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85725</xdr:colOff>
      <xdr:row>4</xdr:row>
      <xdr:rowOff>0</xdr:rowOff>
    </xdr:from>
    <xdr:to>
      <xdr:col>4</xdr:col>
      <xdr:colOff>92075</xdr:colOff>
      <xdr:row>5</xdr:row>
      <xdr:rowOff>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2000-00000B000000}"/>
            </a:ext>
          </a:extLst>
        </xdr:cNvPr>
        <xdr:cNvCxnSpPr>
          <a:stCxn id="9" idx="2"/>
          <a:endCxn id="10" idx="0"/>
        </xdr:cNvCxnSpPr>
      </xdr:nvCxnSpPr>
      <xdr:spPr>
        <a:xfrm flipH="1">
          <a:off x="2847975" y="781050"/>
          <a:ext cx="6350" cy="1905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412750</xdr:colOff>
      <xdr:row>3</xdr:row>
      <xdr:rowOff>168275</xdr:rowOff>
    </xdr:from>
    <xdr:to>
      <xdr:col>4</xdr:col>
      <xdr:colOff>279400</xdr:colOff>
      <xdr:row>5</xdr:row>
      <xdr:rowOff>31750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2000-00000C000000}"/>
            </a:ext>
          </a:extLst>
        </xdr:cNvPr>
        <xdr:cNvSpPr/>
      </xdr:nvSpPr>
      <xdr:spPr>
        <a:xfrm>
          <a:off x="2660650" y="749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2100-000005000000}"/>
            </a:ext>
          </a:extLst>
        </xdr:cNvPr>
        <xdr:cNvSpPr/>
      </xdr:nvSpPr>
      <xdr:spPr>
        <a:xfrm>
          <a:off x="3657600" y="1752600"/>
          <a:ext cx="561975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2100-000006000000}"/>
            </a:ext>
          </a:extLst>
        </xdr:cNvPr>
        <xdr:cNvSpPr/>
      </xdr:nvSpPr>
      <xdr:spPr>
        <a:xfrm>
          <a:off x="4419600" y="1752600"/>
          <a:ext cx="4000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90488</xdr:rowOff>
    </xdr:from>
    <xdr:to>
      <xdr:col>9</xdr:col>
      <xdr:colOff>0</xdr:colOff>
      <xdr:row>10</xdr:row>
      <xdr:rowOff>90488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21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4219575" y="2043113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163513</xdr:rowOff>
    </xdr:from>
    <xdr:to>
      <xdr:col>9</xdr:col>
      <xdr:colOff>90488</xdr:colOff>
      <xdr:row>11</xdr:row>
      <xdr:rowOff>26988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2100-000008000000}"/>
            </a:ext>
          </a:extLst>
        </xdr:cNvPr>
        <xdr:cNvSpPr/>
      </xdr:nvSpPr>
      <xdr:spPr>
        <a:xfrm>
          <a:off x="4129088" y="1916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0</xdr:colOff>
      <xdr:row>4</xdr:row>
      <xdr:rowOff>0</xdr:rowOff>
    </xdr:to>
    <xdr:sp macro="" textlink="">
      <xdr:nvSpPr>
        <xdr:cNvPr id="9" name="OpenSolverD4:F4">
          <a:extLst>
            <a:ext uri="{FF2B5EF4-FFF2-40B4-BE49-F238E27FC236}">
              <a16:creationId xmlns:a16="http://schemas.microsoft.com/office/drawing/2014/main" id="{00000000-0008-0000-2100-000009000000}"/>
            </a:ext>
          </a:extLst>
        </xdr:cNvPr>
        <xdr:cNvSpPr/>
      </xdr:nvSpPr>
      <xdr:spPr>
        <a:xfrm>
          <a:off x="2260600" y="593725"/>
          <a:ext cx="1187450" cy="1873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-2≤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2" name="OpenSolver1">
          <a:extLst>
            <a:ext uri="{FF2B5EF4-FFF2-40B4-BE49-F238E27FC236}">
              <a16:creationId xmlns:a16="http://schemas.microsoft.com/office/drawing/2014/main" id="{00000000-0008-0000-2200-000016000000}"/>
            </a:ext>
          </a:extLst>
        </xdr:cNvPr>
        <xdr:cNvSpPr/>
      </xdr:nvSpPr>
      <xdr:spPr>
        <a:xfrm>
          <a:off x="2247900" y="781050"/>
          <a:ext cx="136207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3" name="OpenSolver2">
          <a:extLst>
            <a:ext uri="{FF2B5EF4-FFF2-40B4-BE49-F238E27FC236}">
              <a16:creationId xmlns:a16="http://schemas.microsoft.com/office/drawing/2014/main" id="{00000000-0008-0000-2200-000017000000}"/>
            </a:ext>
          </a:extLst>
        </xdr:cNvPr>
        <xdr:cNvSpPr/>
      </xdr:nvSpPr>
      <xdr:spPr>
        <a:xfrm>
          <a:off x="38195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111125</xdr:rowOff>
    </xdr:from>
    <xdr:to>
      <xdr:col>7</xdr:col>
      <xdr:colOff>221564</xdr:colOff>
      <xdr:row>8</xdr:row>
      <xdr:rowOff>47625</xdr:rowOff>
    </xdr:to>
    <xdr:sp macro="" textlink="">
      <xdr:nvSpPr>
        <xdr:cNvPr id="24" name="OpenSolver3">
          <a:extLst>
            <a:ext uri="{FF2B5EF4-FFF2-40B4-BE49-F238E27FC236}">
              <a16:creationId xmlns:a16="http://schemas.microsoft.com/office/drawing/2014/main" id="{00000000-0008-0000-2200-000018000000}"/>
            </a:ext>
          </a:extLst>
        </xdr:cNvPr>
        <xdr:cNvSpPr/>
      </xdr:nvSpPr>
      <xdr:spPr>
        <a:xfrm>
          <a:off x="38100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5" name="OpenSolver4">
          <a:extLst>
            <a:ext uri="{FF2B5EF4-FFF2-40B4-BE49-F238E27FC236}">
              <a16:creationId xmlns:a16="http://schemas.microsoft.com/office/drawing/2014/main" id="{00000000-0008-0000-2200-000019000000}"/>
            </a:ext>
          </a:extLst>
        </xdr:cNvPr>
        <xdr:cNvSpPr/>
      </xdr:nvSpPr>
      <xdr:spPr>
        <a:xfrm>
          <a:off x="3819525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26" name="OpenSolver5">
          <a:extLst>
            <a:ext uri="{FF2B5EF4-FFF2-40B4-BE49-F238E27FC236}">
              <a16:creationId xmlns:a16="http://schemas.microsoft.com/office/drawing/2014/main" id="{00000000-0008-0000-2200-00001A000000}"/>
            </a:ext>
          </a:extLst>
        </xdr:cNvPr>
        <xdr:cNvSpPr/>
      </xdr:nvSpPr>
      <xdr:spPr>
        <a:xfrm>
          <a:off x="4581525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7" name="OpenSolver6">
          <a:extLst>
            <a:ext uri="{FF2B5EF4-FFF2-40B4-BE49-F238E27FC236}">
              <a16:creationId xmlns:a16="http://schemas.microsoft.com/office/drawing/2014/main" id="{00000000-0008-0000-2200-00001B000000}"/>
            </a:ext>
          </a:extLst>
        </xdr:cNvPr>
        <xdr:cNvCxnSpPr>
          <a:stCxn id="25" idx="3"/>
          <a:endCxn id="26" idx="1"/>
        </xdr:cNvCxnSpPr>
      </xdr:nvCxnSpPr>
      <xdr:spPr>
        <a:xfrm>
          <a:off x="4381500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8" name="OpenSolver7">
          <a:extLst>
            <a:ext uri="{FF2B5EF4-FFF2-40B4-BE49-F238E27FC236}">
              <a16:creationId xmlns:a16="http://schemas.microsoft.com/office/drawing/2014/main" id="{00000000-0008-0000-2200-00001C000000}"/>
            </a:ext>
          </a:extLst>
        </xdr:cNvPr>
        <xdr:cNvSpPr/>
      </xdr:nvSpPr>
      <xdr:spPr>
        <a:xfrm>
          <a:off x="429101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0</xdr:colOff>
      <xdr:row>5</xdr:row>
      <xdr:rowOff>0</xdr:rowOff>
    </xdr:to>
    <xdr:sp macro="" textlink="">
      <xdr:nvSpPr>
        <xdr:cNvPr id="29" name="OpenSolver8">
          <a:extLst>
            <a:ext uri="{FF2B5EF4-FFF2-40B4-BE49-F238E27FC236}">
              <a16:creationId xmlns:a16="http://schemas.microsoft.com/office/drawing/2014/main" id="{00000000-0008-0000-2200-00001D000000}"/>
            </a:ext>
          </a:extLst>
        </xdr:cNvPr>
        <xdr:cNvSpPr/>
      </xdr:nvSpPr>
      <xdr:spPr>
        <a:xfrm>
          <a:off x="2260600" y="793750"/>
          <a:ext cx="1349375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30" name="OpenSolver9">
          <a:extLst>
            <a:ext uri="{FF2B5EF4-FFF2-40B4-BE49-F238E27FC236}">
              <a16:creationId xmlns:a16="http://schemas.microsoft.com/office/drawing/2014/main" id="{00000000-0008-0000-2200-00001E000000}"/>
            </a:ext>
          </a:extLst>
        </xdr:cNvPr>
        <xdr:cNvSpPr/>
      </xdr:nvSpPr>
      <xdr:spPr>
        <a:xfrm>
          <a:off x="2924175" y="1171575"/>
          <a:ext cx="3429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11113</xdr:colOff>
      <xdr:row>5</xdr:row>
      <xdr:rowOff>0</xdr:rowOff>
    </xdr:from>
    <xdr:to>
      <xdr:col>4</xdr:col>
      <xdr:colOff>171450</xdr:colOff>
      <xdr:row>6</xdr:row>
      <xdr:rowOff>0</xdr:rowOff>
    </xdr:to>
    <xdr:cxnSp macro="">
      <xdr:nvCxnSpPr>
        <xdr:cNvPr id="31" name="OpenSolver10">
          <a:extLst>
            <a:ext uri="{FF2B5EF4-FFF2-40B4-BE49-F238E27FC236}">
              <a16:creationId xmlns:a16="http://schemas.microsoft.com/office/drawing/2014/main" id="{00000000-0008-0000-2200-00001F000000}"/>
            </a:ext>
          </a:extLst>
        </xdr:cNvPr>
        <xdr:cNvCxnSpPr>
          <a:stCxn id="29" idx="2"/>
          <a:endCxn id="30" idx="0"/>
        </xdr:cNvCxnSpPr>
      </xdr:nvCxnSpPr>
      <xdr:spPr>
        <a:xfrm>
          <a:off x="2935288" y="971550"/>
          <a:ext cx="160337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577057</xdr:colOff>
      <xdr:row>4</xdr:row>
      <xdr:rowOff>163513</xdr:rowOff>
    </xdr:from>
    <xdr:to>
      <xdr:col>4</xdr:col>
      <xdr:colOff>281782</xdr:colOff>
      <xdr:row>6</xdr:row>
      <xdr:rowOff>26988</xdr:rowOff>
    </xdr:to>
    <xdr:sp macro="" textlink="">
      <xdr:nvSpPr>
        <xdr:cNvPr id="32" name="OpenSolver11">
          <a:extLst>
            <a:ext uri="{FF2B5EF4-FFF2-40B4-BE49-F238E27FC236}">
              <a16:creationId xmlns:a16="http://schemas.microsoft.com/office/drawing/2014/main" id="{00000000-0008-0000-2200-000020000000}"/>
            </a:ext>
          </a:extLst>
        </xdr:cNvPr>
        <xdr:cNvSpPr/>
      </xdr:nvSpPr>
      <xdr:spPr>
        <a:xfrm>
          <a:off x="2824957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9525</xdr:colOff>
      <xdr:row>4</xdr:row>
      <xdr:rowOff>6350</xdr:rowOff>
    </xdr:from>
    <xdr:to>
      <xdr:col>5</xdr:col>
      <xdr:colOff>95831</xdr:colOff>
      <xdr:row>4</xdr:row>
      <xdr:rowOff>120650</xdr:rowOff>
    </xdr:to>
    <xdr:sp macro="" textlink="">
      <xdr:nvSpPr>
        <xdr:cNvPr id="33" name="OpenSolver12">
          <a:extLst>
            <a:ext uri="{FF2B5EF4-FFF2-40B4-BE49-F238E27FC236}">
              <a16:creationId xmlns:a16="http://schemas.microsoft.com/office/drawing/2014/main" id="{00000000-0008-0000-2200-000021000000}"/>
            </a:ext>
          </a:extLst>
        </xdr:cNvPr>
        <xdr:cNvSpPr/>
      </xdr:nvSpPr>
      <xdr:spPr>
        <a:xfrm>
          <a:off x="32766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5" name="OpenSolver1">
          <a:extLst>
            <a:ext uri="{FF2B5EF4-FFF2-40B4-BE49-F238E27FC236}">
              <a16:creationId xmlns:a16="http://schemas.microsoft.com/office/drawing/2014/main" id="{00000000-0008-0000-2300-00000F000000}"/>
            </a:ext>
          </a:extLst>
        </xdr:cNvPr>
        <xdr:cNvSpPr/>
      </xdr:nvSpPr>
      <xdr:spPr>
        <a:xfrm>
          <a:off x="2247900" y="78105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6" name="OpenSolver2">
          <a:extLst>
            <a:ext uri="{FF2B5EF4-FFF2-40B4-BE49-F238E27FC236}">
              <a16:creationId xmlns:a16="http://schemas.microsoft.com/office/drawing/2014/main" id="{00000000-0008-0000-2300-000010000000}"/>
            </a:ext>
          </a:extLst>
        </xdr:cNvPr>
        <xdr:cNvSpPr/>
      </xdr:nvSpPr>
      <xdr:spPr>
        <a:xfrm>
          <a:off x="38004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17" name="OpenSolver3">
          <a:extLst>
            <a:ext uri="{FF2B5EF4-FFF2-40B4-BE49-F238E27FC236}">
              <a16:creationId xmlns:a16="http://schemas.microsoft.com/office/drawing/2014/main" id="{00000000-0008-0000-2300-000011000000}"/>
            </a:ext>
          </a:extLst>
        </xdr:cNvPr>
        <xdr:cNvSpPr/>
      </xdr:nvSpPr>
      <xdr:spPr>
        <a:xfrm>
          <a:off x="3784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8" name="OpenSolver4">
          <a:extLst>
            <a:ext uri="{FF2B5EF4-FFF2-40B4-BE49-F238E27FC236}">
              <a16:creationId xmlns:a16="http://schemas.microsoft.com/office/drawing/2014/main" id="{00000000-0008-0000-2300-000012000000}"/>
            </a:ext>
          </a:extLst>
        </xdr:cNvPr>
        <xdr:cNvSpPr/>
      </xdr:nvSpPr>
      <xdr:spPr>
        <a:xfrm>
          <a:off x="3800475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9" name="OpenSolver5">
          <a:extLst>
            <a:ext uri="{FF2B5EF4-FFF2-40B4-BE49-F238E27FC236}">
              <a16:creationId xmlns:a16="http://schemas.microsoft.com/office/drawing/2014/main" id="{00000000-0008-0000-2300-000013000000}"/>
            </a:ext>
          </a:extLst>
        </xdr:cNvPr>
        <xdr:cNvSpPr/>
      </xdr:nvSpPr>
      <xdr:spPr>
        <a:xfrm>
          <a:off x="4562475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0" name="OpenSolver6">
          <a:extLst>
            <a:ext uri="{FF2B5EF4-FFF2-40B4-BE49-F238E27FC236}">
              <a16:creationId xmlns:a16="http://schemas.microsoft.com/office/drawing/2014/main" id="{00000000-0008-0000-2300-000014000000}"/>
            </a:ext>
          </a:extLst>
        </xdr:cNvPr>
        <xdr:cNvCxnSpPr>
          <a:stCxn id="18" idx="3"/>
          <a:endCxn id="19" idx="1"/>
        </xdr:cNvCxnSpPr>
      </xdr:nvCxnSpPr>
      <xdr:spPr>
        <a:xfrm>
          <a:off x="4362450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1" name="OpenSolver7">
          <a:extLst>
            <a:ext uri="{FF2B5EF4-FFF2-40B4-BE49-F238E27FC236}">
              <a16:creationId xmlns:a16="http://schemas.microsoft.com/office/drawing/2014/main" id="{00000000-0008-0000-2300-000015000000}"/>
            </a:ext>
          </a:extLst>
        </xdr:cNvPr>
        <xdr:cNvSpPr/>
      </xdr:nvSpPr>
      <xdr:spPr>
        <a:xfrm>
          <a:off x="42719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0</xdr:colOff>
      <xdr:row>5</xdr:row>
      <xdr:rowOff>0</xdr:rowOff>
    </xdr:to>
    <xdr:sp macro="" textlink="">
      <xdr:nvSpPr>
        <xdr:cNvPr id="22" name="OpenSolver8">
          <a:extLst>
            <a:ext uri="{FF2B5EF4-FFF2-40B4-BE49-F238E27FC236}">
              <a16:creationId xmlns:a16="http://schemas.microsoft.com/office/drawing/2014/main" id="{00000000-0008-0000-2300-000016000000}"/>
            </a:ext>
          </a:extLst>
        </xdr:cNvPr>
        <xdr:cNvSpPr/>
      </xdr:nvSpPr>
      <xdr:spPr>
        <a:xfrm>
          <a:off x="2260600" y="793750"/>
          <a:ext cx="1330325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23" name="OpenSolver9">
          <a:extLst>
            <a:ext uri="{FF2B5EF4-FFF2-40B4-BE49-F238E27FC236}">
              <a16:creationId xmlns:a16="http://schemas.microsoft.com/office/drawing/2014/main" id="{00000000-0008-0000-2300-000017000000}"/>
            </a:ext>
          </a:extLst>
        </xdr:cNvPr>
        <xdr:cNvSpPr/>
      </xdr:nvSpPr>
      <xdr:spPr>
        <a:xfrm>
          <a:off x="2762250" y="1171575"/>
          <a:ext cx="4857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163513</xdr:colOff>
      <xdr:row>5</xdr:row>
      <xdr:rowOff>0</xdr:rowOff>
    </xdr:from>
    <xdr:to>
      <xdr:col>4</xdr:col>
      <xdr:colOff>242888</xdr:colOff>
      <xdr:row>6</xdr:row>
      <xdr:rowOff>0</xdr:rowOff>
    </xdr:to>
    <xdr:cxnSp macro="">
      <xdr:nvCxnSpPr>
        <xdr:cNvPr id="24" name="OpenSolver10">
          <a:extLst>
            <a:ext uri="{FF2B5EF4-FFF2-40B4-BE49-F238E27FC236}">
              <a16:creationId xmlns:a16="http://schemas.microsoft.com/office/drawing/2014/main" id="{00000000-0008-0000-2300-000018000000}"/>
            </a:ext>
          </a:extLst>
        </xdr:cNvPr>
        <xdr:cNvCxnSpPr>
          <a:stCxn id="22" idx="2"/>
          <a:endCxn id="23" idx="0"/>
        </xdr:cNvCxnSpPr>
      </xdr:nvCxnSpPr>
      <xdr:spPr>
        <a:xfrm>
          <a:off x="2925763" y="971550"/>
          <a:ext cx="79375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12701</xdr:colOff>
      <xdr:row>4</xdr:row>
      <xdr:rowOff>163513</xdr:rowOff>
    </xdr:from>
    <xdr:to>
      <xdr:col>4</xdr:col>
      <xdr:colOff>393701</xdr:colOff>
      <xdr:row>6</xdr:row>
      <xdr:rowOff>26988</xdr:rowOff>
    </xdr:to>
    <xdr:sp macro="" textlink="">
      <xdr:nvSpPr>
        <xdr:cNvPr id="25" name="OpenSolver11">
          <a:extLst>
            <a:ext uri="{FF2B5EF4-FFF2-40B4-BE49-F238E27FC236}">
              <a16:creationId xmlns:a16="http://schemas.microsoft.com/office/drawing/2014/main" id="{00000000-0008-0000-2300-000019000000}"/>
            </a:ext>
          </a:extLst>
        </xdr:cNvPr>
        <xdr:cNvSpPr/>
      </xdr:nvSpPr>
      <xdr:spPr>
        <a:xfrm>
          <a:off x="2774951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6350</xdr:rowOff>
    </xdr:from>
    <xdr:to>
      <xdr:col>5</xdr:col>
      <xdr:colOff>102181</xdr:colOff>
      <xdr:row>4</xdr:row>
      <xdr:rowOff>120650</xdr:rowOff>
    </xdr:to>
    <xdr:sp macro="" textlink="">
      <xdr:nvSpPr>
        <xdr:cNvPr id="26" name="OpenSolver12">
          <a:extLst>
            <a:ext uri="{FF2B5EF4-FFF2-40B4-BE49-F238E27FC236}">
              <a16:creationId xmlns:a16="http://schemas.microsoft.com/office/drawing/2014/main" id="{00000000-0008-0000-2300-00001A000000}"/>
            </a:ext>
          </a:extLst>
        </xdr:cNvPr>
        <xdr:cNvSpPr/>
      </xdr:nvSpPr>
      <xdr:spPr>
        <a:xfrm>
          <a:off x="32639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6350</xdr:colOff>
      <xdr:row>4</xdr:row>
      <xdr:rowOff>6350</xdr:rowOff>
    </xdr:from>
    <xdr:to>
      <xdr:col>4</xdr:col>
      <xdr:colOff>58480</xdr:colOff>
      <xdr:row>4</xdr:row>
      <xdr:rowOff>120650</xdr:rowOff>
    </xdr:to>
    <xdr:sp macro="" textlink="">
      <xdr:nvSpPr>
        <xdr:cNvPr id="27" name="OpenSolver13">
          <a:extLst>
            <a:ext uri="{FF2B5EF4-FFF2-40B4-BE49-F238E27FC236}">
              <a16:creationId xmlns:a16="http://schemas.microsoft.com/office/drawing/2014/main" id="{00000000-0008-0000-2300-00001B000000}"/>
            </a:ext>
          </a:extLst>
        </xdr:cNvPr>
        <xdr:cNvSpPr/>
      </xdr:nvSpPr>
      <xdr:spPr>
        <a:xfrm>
          <a:off x="276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3" name="OpenSolver1">
          <a:extLst>
            <a:ext uri="{FF2B5EF4-FFF2-40B4-BE49-F238E27FC236}">
              <a16:creationId xmlns:a16="http://schemas.microsoft.com/office/drawing/2014/main" id="{00000000-0008-0000-2400-000017000000}"/>
            </a:ext>
          </a:extLst>
        </xdr:cNvPr>
        <xdr:cNvSpPr/>
      </xdr:nvSpPr>
      <xdr:spPr>
        <a:xfrm>
          <a:off x="2247900" y="78105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4" name="OpenSolver2">
          <a:extLst>
            <a:ext uri="{FF2B5EF4-FFF2-40B4-BE49-F238E27FC236}">
              <a16:creationId xmlns:a16="http://schemas.microsoft.com/office/drawing/2014/main" id="{00000000-0008-0000-2400-000018000000}"/>
            </a:ext>
          </a:extLst>
        </xdr:cNvPr>
        <xdr:cNvSpPr/>
      </xdr:nvSpPr>
      <xdr:spPr>
        <a:xfrm>
          <a:off x="38004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25" name="OpenSolver3">
          <a:extLst>
            <a:ext uri="{FF2B5EF4-FFF2-40B4-BE49-F238E27FC236}">
              <a16:creationId xmlns:a16="http://schemas.microsoft.com/office/drawing/2014/main" id="{00000000-0008-0000-2400-000019000000}"/>
            </a:ext>
          </a:extLst>
        </xdr:cNvPr>
        <xdr:cNvSpPr/>
      </xdr:nvSpPr>
      <xdr:spPr>
        <a:xfrm>
          <a:off x="3784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6" name="OpenSolver4">
          <a:extLst>
            <a:ext uri="{FF2B5EF4-FFF2-40B4-BE49-F238E27FC236}">
              <a16:creationId xmlns:a16="http://schemas.microsoft.com/office/drawing/2014/main" id="{00000000-0008-0000-2400-00001A000000}"/>
            </a:ext>
          </a:extLst>
        </xdr:cNvPr>
        <xdr:cNvSpPr/>
      </xdr:nvSpPr>
      <xdr:spPr>
        <a:xfrm>
          <a:off x="3800475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27" name="OpenSolver5">
          <a:extLst>
            <a:ext uri="{FF2B5EF4-FFF2-40B4-BE49-F238E27FC236}">
              <a16:creationId xmlns:a16="http://schemas.microsoft.com/office/drawing/2014/main" id="{00000000-0008-0000-2400-00001B000000}"/>
            </a:ext>
          </a:extLst>
        </xdr:cNvPr>
        <xdr:cNvSpPr/>
      </xdr:nvSpPr>
      <xdr:spPr>
        <a:xfrm>
          <a:off x="4562475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8" name="OpenSolver6">
          <a:extLst>
            <a:ext uri="{FF2B5EF4-FFF2-40B4-BE49-F238E27FC236}">
              <a16:creationId xmlns:a16="http://schemas.microsoft.com/office/drawing/2014/main" id="{00000000-0008-0000-2400-00001C000000}"/>
            </a:ext>
          </a:extLst>
        </xdr:cNvPr>
        <xdr:cNvCxnSpPr>
          <a:stCxn id="26" idx="3"/>
          <a:endCxn id="27" idx="1"/>
        </xdr:cNvCxnSpPr>
      </xdr:nvCxnSpPr>
      <xdr:spPr>
        <a:xfrm>
          <a:off x="4362450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9" name="OpenSolver7">
          <a:extLst>
            <a:ext uri="{FF2B5EF4-FFF2-40B4-BE49-F238E27FC236}">
              <a16:creationId xmlns:a16="http://schemas.microsoft.com/office/drawing/2014/main" id="{00000000-0008-0000-2400-00001D000000}"/>
            </a:ext>
          </a:extLst>
        </xdr:cNvPr>
        <xdr:cNvSpPr/>
      </xdr:nvSpPr>
      <xdr:spPr>
        <a:xfrm>
          <a:off x="42719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0</xdr:colOff>
      <xdr:row>5</xdr:row>
      <xdr:rowOff>0</xdr:rowOff>
    </xdr:to>
    <xdr:sp macro="" textlink="">
      <xdr:nvSpPr>
        <xdr:cNvPr id="30" name="OpenSolver8">
          <a:extLst>
            <a:ext uri="{FF2B5EF4-FFF2-40B4-BE49-F238E27FC236}">
              <a16:creationId xmlns:a16="http://schemas.microsoft.com/office/drawing/2014/main" id="{00000000-0008-0000-2400-00001E000000}"/>
            </a:ext>
          </a:extLst>
        </xdr:cNvPr>
        <xdr:cNvSpPr/>
      </xdr:nvSpPr>
      <xdr:spPr>
        <a:xfrm>
          <a:off x="2260600" y="793750"/>
          <a:ext cx="1330325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31" name="OpenSolver9">
          <a:extLst>
            <a:ext uri="{FF2B5EF4-FFF2-40B4-BE49-F238E27FC236}">
              <a16:creationId xmlns:a16="http://schemas.microsoft.com/office/drawing/2014/main" id="{00000000-0008-0000-2400-00001F000000}"/>
            </a:ext>
          </a:extLst>
        </xdr:cNvPr>
        <xdr:cNvSpPr/>
      </xdr:nvSpPr>
      <xdr:spPr>
        <a:xfrm>
          <a:off x="2762250" y="1171575"/>
          <a:ext cx="4857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163513</xdr:colOff>
      <xdr:row>5</xdr:row>
      <xdr:rowOff>0</xdr:rowOff>
    </xdr:from>
    <xdr:to>
      <xdr:col>4</xdr:col>
      <xdr:colOff>242888</xdr:colOff>
      <xdr:row>6</xdr:row>
      <xdr:rowOff>0</xdr:rowOff>
    </xdr:to>
    <xdr:cxnSp macro="">
      <xdr:nvCxnSpPr>
        <xdr:cNvPr id="32" name="OpenSolver10">
          <a:extLst>
            <a:ext uri="{FF2B5EF4-FFF2-40B4-BE49-F238E27FC236}">
              <a16:creationId xmlns:a16="http://schemas.microsoft.com/office/drawing/2014/main" id="{00000000-0008-0000-2400-000020000000}"/>
            </a:ext>
          </a:extLst>
        </xdr:cNvPr>
        <xdr:cNvCxnSpPr>
          <a:stCxn id="30" idx="2"/>
          <a:endCxn id="31" idx="0"/>
        </xdr:cNvCxnSpPr>
      </xdr:nvCxnSpPr>
      <xdr:spPr>
        <a:xfrm>
          <a:off x="2925763" y="971550"/>
          <a:ext cx="79375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12701</xdr:colOff>
      <xdr:row>4</xdr:row>
      <xdr:rowOff>163513</xdr:rowOff>
    </xdr:from>
    <xdr:to>
      <xdr:col>4</xdr:col>
      <xdr:colOff>393701</xdr:colOff>
      <xdr:row>6</xdr:row>
      <xdr:rowOff>26988</xdr:rowOff>
    </xdr:to>
    <xdr:sp macro="" textlink="">
      <xdr:nvSpPr>
        <xdr:cNvPr id="33" name="OpenSolver11">
          <a:extLst>
            <a:ext uri="{FF2B5EF4-FFF2-40B4-BE49-F238E27FC236}">
              <a16:creationId xmlns:a16="http://schemas.microsoft.com/office/drawing/2014/main" id="{00000000-0008-0000-2400-000021000000}"/>
            </a:ext>
          </a:extLst>
        </xdr:cNvPr>
        <xdr:cNvSpPr/>
      </xdr:nvSpPr>
      <xdr:spPr>
        <a:xfrm>
          <a:off x="2774951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15875</xdr:colOff>
      <xdr:row>4</xdr:row>
      <xdr:rowOff>6350</xdr:rowOff>
    </xdr:from>
    <xdr:to>
      <xdr:col>5</xdr:col>
      <xdr:colOff>102181</xdr:colOff>
      <xdr:row>4</xdr:row>
      <xdr:rowOff>120650</xdr:rowOff>
    </xdr:to>
    <xdr:sp macro="" textlink="">
      <xdr:nvSpPr>
        <xdr:cNvPr id="34" name="OpenSolver12">
          <a:extLst>
            <a:ext uri="{FF2B5EF4-FFF2-40B4-BE49-F238E27FC236}">
              <a16:creationId xmlns:a16="http://schemas.microsoft.com/office/drawing/2014/main" id="{00000000-0008-0000-2400-000022000000}"/>
            </a:ext>
          </a:extLst>
        </xdr:cNvPr>
        <xdr:cNvSpPr/>
      </xdr:nvSpPr>
      <xdr:spPr>
        <a:xfrm>
          <a:off x="32639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6350</xdr:colOff>
      <xdr:row>4</xdr:row>
      <xdr:rowOff>6350</xdr:rowOff>
    </xdr:from>
    <xdr:to>
      <xdr:col>4</xdr:col>
      <xdr:colOff>58480</xdr:colOff>
      <xdr:row>4</xdr:row>
      <xdr:rowOff>120650</xdr:rowOff>
    </xdr:to>
    <xdr:sp macro="" textlink="">
      <xdr:nvSpPr>
        <xdr:cNvPr id="35" name="OpenSolver13">
          <a:extLst>
            <a:ext uri="{FF2B5EF4-FFF2-40B4-BE49-F238E27FC236}">
              <a16:creationId xmlns:a16="http://schemas.microsoft.com/office/drawing/2014/main" id="{00000000-0008-0000-2400-000023000000}"/>
            </a:ext>
          </a:extLst>
        </xdr:cNvPr>
        <xdr:cNvSpPr/>
      </xdr:nvSpPr>
      <xdr:spPr>
        <a:xfrm>
          <a:off x="276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1" name="OpenSolver1">
          <a:extLst>
            <a:ext uri="{FF2B5EF4-FFF2-40B4-BE49-F238E27FC236}">
              <a16:creationId xmlns:a16="http://schemas.microsoft.com/office/drawing/2014/main" id="{00000000-0008-0000-2500-000015000000}"/>
            </a:ext>
          </a:extLst>
        </xdr:cNvPr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2" name="OpenSolver2">
          <a:extLst>
            <a:ext uri="{FF2B5EF4-FFF2-40B4-BE49-F238E27FC236}">
              <a16:creationId xmlns:a16="http://schemas.microsoft.com/office/drawing/2014/main" id="{00000000-0008-0000-2500-000016000000}"/>
            </a:ext>
          </a:extLst>
        </xdr:cNvPr>
        <xdr:cNvSpPr/>
      </xdr:nvSpPr>
      <xdr:spPr>
        <a:xfrm>
          <a:off x="38100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23" name="OpenSolver3">
          <a:extLst>
            <a:ext uri="{FF2B5EF4-FFF2-40B4-BE49-F238E27FC236}">
              <a16:creationId xmlns:a16="http://schemas.microsoft.com/office/drawing/2014/main" id="{00000000-0008-0000-2500-000017000000}"/>
            </a:ext>
          </a:extLst>
        </xdr:cNvPr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24" name="OpenSolver4">
          <a:extLst>
            <a:ext uri="{FF2B5EF4-FFF2-40B4-BE49-F238E27FC236}">
              <a16:creationId xmlns:a16="http://schemas.microsoft.com/office/drawing/2014/main" id="{00000000-0008-0000-2500-000018000000}"/>
            </a:ext>
          </a:extLst>
        </xdr:cNvPr>
        <xdr:cNvSpPr/>
      </xdr:nvSpPr>
      <xdr:spPr>
        <a:xfrm>
          <a:off x="3810000" y="21431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25" name="OpenSolver5">
          <a:extLst>
            <a:ext uri="{FF2B5EF4-FFF2-40B4-BE49-F238E27FC236}">
              <a16:creationId xmlns:a16="http://schemas.microsoft.com/office/drawing/2014/main" id="{00000000-0008-0000-2500-000019000000}"/>
            </a:ext>
          </a:extLst>
        </xdr:cNvPr>
        <xdr:cNvSpPr/>
      </xdr:nvSpPr>
      <xdr:spPr>
        <a:xfrm>
          <a:off x="4572000" y="21431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26" name="OpenSolver6">
          <a:extLst>
            <a:ext uri="{FF2B5EF4-FFF2-40B4-BE49-F238E27FC236}">
              <a16:creationId xmlns:a16="http://schemas.microsoft.com/office/drawing/2014/main" id="{00000000-0008-0000-2500-00001A000000}"/>
            </a:ext>
          </a:extLst>
        </xdr:cNvPr>
        <xdr:cNvCxnSpPr>
          <a:stCxn id="24" idx="3"/>
          <a:endCxn id="25" idx="1"/>
        </xdr:cNvCxnSpPr>
      </xdr:nvCxnSpPr>
      <xdr:spPr>
        <a:xfrm>
          <a:off x="4371975" y="24288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7" name="OpenSolver7">
          <a:extLst>
            <a:ext uri="{FF2B5EF4-FFF2-40B4-BE49-F238E27FC236}">
              <a16:creationId xmlns:a16="http://schemas.microsoft.com/office/drawing/2014/main" id="{00000000-0008-0000-2500-00001B000000}"/>
            </a:ext>
          </a:extLst>
        </xdr:cNvPr>
        <xdr:cNvSpPr/>
      </xdr:nvSpPr>
      <xdr:spPr>
        <a:xfrm>
          <a:off x="4281488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8" name="OpenSolver8">
          <a:extLst>
            <a:ext uri="{FF2B5EF4-FFF2-40B4-BE49-F238E27FC236}">
              <a16:creationId xmlns:a16="http://schemas.microsoft.com/office/drawing/2014/main" id="{00000000-0008-0000-2500-00001C000000}"/>
            </a:ext>
          </a:extLst>
        </xdr:cNvPr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9" name="OpenSolver9">
          <a:extLst>
            <a:ext uri="{FF2B5EF4-FFF2-40B4-BE49-F238E27FC236}">
              <a16:creationId xmlns:a16="http://schemas.microsoft.com/office/drawing/2014/main" id="{00000000-0008-0000-2500-00001D000000}"/>
            </a:ext>
          </a:extLst>
        </xdr:cNvPr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30" name="OpenSolver10">
          <a:extLst>
            <a:ext uri="{FF2B5EF4-FFF2-40B4-BE49-F238E27FC236}">
              <a16:creationId xmlns:a16="http://schemas.microsoft.com/office/drawing/2014/main" id="{00000000-0008-0000-2500-00001E000000}"/>
            </a:ext>
          </a:extLst>
        </xdr:cNvPr>
        <xdr:cNvCxnSpPr>
          <a:stCxn id="28" idx="2"/>
          <a:endCxn id="29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31" name="OpenSolver11">
          <a:extLst>
            <a:ext uri="{FF2B5EF4-FFF2-40B4-BE49-F238E27FC236}">
              <a16:creationId xmlns:a16="http://schemas.microsoft.com/office/drawing/2014/main" id="{00000000-0008-0000-2500-00001F000000}"/>
            </a:ext>
          </a:extLst>
        </xdr:cNvPr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SpPr/>
      </xdr:nvSpPr>
      <xdr:spPr>
        <a:xfrm>
          <a:off x="3810000" y="175260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2700-000005000000}"/>
            </a:ext>
          </a:extLst>
        </xdr:cNvPr>
        <xdr:cNvSpPr/>
      </xdr:nvSpPr>
      <xdr:spPr>
        <a:xfrm>
          <a:off x="3810000" y="21431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2700-000006000000}"/>
            </a:ext>
          </a:extLst>
        </xdr:cNvPr>
        <xdr:cNvSpPr/>
      </xdr:nvSpPr>
      <xdr:spPr>
        <a:xfrm>
          <a:off x="4572000" y="21431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27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4371975" y="24288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2700-000008000000}"/>
            </a:ext>
          </a:extLst>
        </xdr:cNvPr>
        <xdr:cNvSpPr/>
      </xdr:nvSpPr>
      <xdr:spPr>
        <a:xfrm>
          <a:off x="4281488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2700-000009000000}"/>
            </a:ext>
          </a:extLst>
        </xdr:cNvPr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2700-00000A000000}"/>
            </a:ext>
          </a:extLst>
        </xdr:cNvPr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2700-00000B000000}"/>
            </a:ext>
          </a:extLst>
        </xdr:cNvPr>
        <xdr:cNvCxnSpPr>
          <a:stCxn id="9" idx="2"/>
          <a:endCxn id="10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2700-00000C000000}"/>
            </a:ext>
          </a:extLst>
        </xdr:cNvPr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>
          <a:extLst>
            <a:ext uri="{FF2B5EF4-FFF2-40B4-BE49-F238E27FC236}">
              <a16:creationId xmlns:a16="http://schemas.microsoft.com/office/drawing/2014/main" id="{00000000-0008-0000-2800-000015000000}"/>
            </a:ext>
          </a:extLst>
        </xdr:cNvPr>
        <xdr:cNvSpPr/>
      </xdr:nvSpPr>
      <xdr:spPr>
        <a:xfrm>
          <a:off x="2247900" y="581025"/>
          <a:ext cx="166687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2" name="OpenSolver2">
          <a:extLst>
            <a:ext uri="{FF2B5EF4-FFF2-40B4-BE49-F238E27FC236}">
              <a16:creationId xmlns:a16="http://schemas.microsoft.com/office/drawing/2014/main" id="{00000000-0008-0000-2800-000016000000}"/>
            </a:ext>
          </a:extLst>
        </xdr:cNvPr>
        <xdr:cNvSpPr/>
      </xdr:nvSpPr>
      <xdr:spPr>
        <a:xfrm>
          <a:off x="41243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6</xdr:row>
      <xdr:rowOff>111125</xdr:rowOff>
    </xdr:from>
    <xdr:to>
      <xdr:col>7</xdr:col>
      <xdr:colOff>221564</xdr:colOff>
      <xdr:row>7</xdr:row>
      <xdr:rowOff>47625</xdr:rowOff>
    </xdr:to>
    <xdr:sp macro="" textlink="">
      <xdr:nvSpPr>
        <xdr:cNvPr id="23" name="OpenSolver3">
          <a:extLst>
            <a:ext uri="{FF2B5EF4-FFF2-40B4-BE49-F238E27FC236}">
              <a16:creationId xmlns:a16="http://schemas.microsoft.com/office/drawing/2014/main" id="{00000000-0008-0000-2800-000017000000}"/>
            </a:ext>
          </a:extLst>
        </xdr:cNvPr>
        <xdr:cNvSpPr/>
      </xdr:nvSpPr>
      <xdr:spPr>
        <a:xfrm>
          <a:off x="41148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4" name="OpenSolver4">
          <a:extLst>
            <a:ext uri="{FF2B5EF4-FFF2-40B4-BE49-F238E27FC236}">
              <a16:creationId xmlns:a16="http://schemas.microsoft.com/office/drawing/2014/main" id="{00000000-0008-0000-2800-000018000000}"/>
            </a:ext>
          </a:extLst>
        </xdr:cNvPr>
        <xdr:cNvSpPr/>
      </xdr:nvSpPr>
      <xdr:spPr>
        <a:xfrm>
          <a:off x="4124325" y="1752600"/>
          <a:ext cx="561975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5" name="OpenSolver5">
          <a:extLst>
            <a:ext uri="{FF2B5EF4-FFF2-40B4-BE49-F238E27FC236}">
              <a16:creationId xmlns:a16="http://schemas.microsoft.com/office/drawing/2014/main" id="{00000000-0008-0000-2800-000019000000}"/>
            </a:ext>
          </a:extLst>
        </xdr:cNvPr>
        <xdr:cNvSpPr/>
      </xdr:nvSpPr>
      <xdr:spPr>
        <a:xfrm>
          <a:off x="4886325" y="1752600"/>
          <a:ext cx="4000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90488</xdr:rowOff>
    </xdr:from>
    <xdr:to>
      <xdr:col>9</xdr:col>
      <xdr:colOff>0</xdr:colOff>
      <xdr:row>10</xdr:row>
      <xdr:rowOff>90488</xdr:rowOff>
    </xdr:to>
    <xdr:cxnSp macro="">
      <xdr:nvCxnSpPr>
        <xdr:cNvPr id="26" name="OpenSolver6">
          <a:extLst>
            <a:ext uri="{FF2B5EF4-FFF2-40B4-BE49-F238E27FC236}">
              <a16:creationId xmlns:a16="http://schemas.microsoft.com/office/drawing/2014/main" id="{00000000-0008-0000-2800-00001A000000}"/>
            </a:ext>
          </a:extLst>
        </xdr:cNvPr>
        <xdr:cNvCxnSpPr>
          <a:stCxn id="24" idx="3"/>
          <a:endCxn id="25" idx="1"/>
        </xdr:cNvCxnSpPr>
      </xdr:nvCxnSpPr>
      <xdr:spPr>
        <a:xfrm>
          <a:off x="4686300" y="2043113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163513</xdr:rowOff>
    </xdr:from>
    <xdr:to>
      <xdr:col>9</xdr:col>
      <xdr:colOff>90488</xdr:colOff>
      <xdr:row>11</xdr:row>
      <xdr:rowOff>26988</xdr:rowOff>
    </xdr:to>
    <xdr:sp macro="" textlink="">
      <xdr:nvSpPr>
        <xdr:cNvPr id="27" name="OpenSolver7">
          <a:extLst>
            <a:ext uri="{FF2B5EF4-FFF2-40B4-BE49-F238E27FC236}">
              <a16:creationId xmlns:a16="http://schemas.microsoft.com/office/drawing/2014/main" id="{00000000-0008-0000-2800-00001B000000}"/>
            </a:ext>
          </a:extLst>
        </xdr:cNvPr>
        <xdr:cNvSpPr/>
      </xdr:nvSpPr>
      <xdr:spPr>
        <a:xfrm>
          <a:off x="4595813" y="1916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0</xdr:colOff>
      <xdr:row>4</xdr:row>
      <xdr:rowOff>0</xdr:rowOff>
    </xdr:to>
    <xdr:sp macro="" textlink="">
      <xdr:nvSpPr>
        <xdr:cNvPr id="28" name="OpenSolver8">
          <a:extLst>
            <a:ext uri="{FF2B5EF4-FFF2-40B4-BE49-F238E27FC236}">
              <a16:creationId xmlns:a16="http://schemas.microsoft.com/office/drawing/2014/main" id="{00000000-0008-0000-2800-00001C000000}"/>
            </a:ext>
          </a:extLst>
        </xdr:cNvPr>
        <xdr:cNvSpPr/>
      </xdr:nvSpPr>
      <xdr:spPr>
        <a:xfrm>
          <a:off x="2260600" y="593725"/>
          <a:ext cx="1654175" cy="1873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9" name="OpenSolver9">
          <a:extLst>
            <a:ext uri="{FF2B5EF4-FFF2-40B4-BE49-F238E27FC236}">
              <a16:creationId xmlns:a16="http://schemas.microsoft.com/office/drawing/2014/main" id="{00000000-0008-0000-2800-00001D000000}"/>
            </a:ext>
          </a:extLst>
        </xdr:cNvPr>
        <xdr:cNvSpPr/>
      </xdr:nvSpPr>
      <xdr:spPr>
        <a:xfrm>
          <a:off x="2247900" y="971550"/>
          <a:ext cx="16668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119063</xdr:colOff>
      <xdr:row>4</xdr:row>
      <xdr:rowOff>0</xdr:rowOff>
    </xdr:from>
    <xdr:to>
      <xdr:col>4</xdr:col>
      <xdr:colOff>125413</xdr:colOff>
      <xdr:row>5</xdr:row>
      <xdr:rowOff>0</xdr:rowOff>
    </xdr:to>
    <xdr:cxnSp macro="">
      <xdr:nvCxnSpPr>
        <xdr:cNvPr id="30" name="OpenSolver10">
          <a:extLst>
            <a:ext uri="{FF2B5EF4-FFF2-40B4-BE49-F238E27FC236}">
              <a16:creationId xmlns:a16="http://schemas.microsoft.com/office/drawing/2014/main" id="{00000000-0008-0000-2800-00001E000000}"/>
            </a:ext>
          </a:extLst>
        </xdr:cNvPr>
        <xdr:cNvCxnSpPr>
          <a:stCxn id="28" idx="2"/>
          <a:endCxn id="29" idx="0"/>
        </xdr:cNvCxnSpPr>
      </xdr:nvCxnSpPr>
      <xdr:spPr>
        <a:xfrm flipH="1">
          <a:off x="3081338" y="781050"/>
          <a:ext cx="6350" cy="1905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646113</xdr:colOff>
      <xdr:row>3</xdr:row>
      <xdr:rowOff>168275</xdr:rowOff>
    </xdr:from>
    <xdr:to>
      <xdr:col>4</xdr:col>
      <xdr:colOff>312738</xdr:colOff>
      <xdr:row>5</xdr:row>
      <xdr:rowOff>31750</xdr:rowOff>
    </xdr:to>
    <xdr:sp macro="" textlink="">
      <xdr:nvSpPr>
        <xdr:cNvPr id="31" name="OpenSolver11">
          <a:extLst>
            <a:ext uri="{FF2B5EF4-FFF2-40B4-BE49-F238E27FC236}">
              <a16:creationId xmlns:a16="http://schemas.microsoft.com/office/drawing/2014/main" id="{00000000-0008-0000-2800-00001F000000}"/>
            </a:ext>
          </a:extLst>
        </xdr:cNvPr>
        <xdr:cNvSpPr/>
      </xdr:nvSpPr>
      <xdr:spPr>
        <a:xfrm>
          <a:off x="2894013" y="749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1" name="OpenSolver1">
          <a:extLst>
            <a:ext uri="{FF2B5EF4-FFF2-40B4-BE49-F238E27FC236}">
              <a16:creationId xmlns:a16="http://schemas.microsoft.com/office/drawing/2014/main" id="{00000000-0008-0000-2900-000015000000}"/>
            </a:ext>
          </a:extLst>
        </xdr:cNvPr>
        <xdr:cNvSpPr/>
      </xdr:nvSpPr>
      <xdr:spPr>
        <a:xfrm>
          <a:off x="2247900" y="781050"/>
          <a:ext cx="170497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2" name="OpenSolver2">
          <a:extLst>
            <a:ext uri="{FF2B5EF4-FFF2-40B4-BE49-F238E27FC236}">
              <a16:creationId xmlns:a16="http://schemas.microsoft.com/office/drawing/2014/main" id="{00000000-0008-0000-2900-000016000000}"/>
            </a:ext>
          </a:extLst>
        </xdr:cNvPr>
        <xdr:cNvSpPr/>
      </xdr:nvSpPr>
      <xdr:spPr>
        <a:xfrm>
          <a:off x="41624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111125</xdr:rowOff>
    </xdr:from>
    <xdr:to>
      <xdr:col>7</xdr:col>
      <xdr:colOff>221564</xdr:colOff>
      <xdr:row>8</xdr:row>
      <xdr:rowOff>47625</xdr:rowOff>
    </xdr:to>
    <xdr:sp macro="" textlink="">
      <xdr:nvSpPr>
        <xdr:cNvPr id="23" name="OpenSolver3">
          <a:extLst>
            <a:ext uri="{FF2B5EF4-FFF2-40B4-BE49-F238E27FC236}">
              <a16:creationId xmlns:a16="http://schemas.microsoft.com/office/drawing/2014/main" id="{00000000-0008-0000-2900-000017000000}"/>
            </a:ext>
          </a:extLst>
        </xdr:cNvPr>
        <xdr:cNvSpPr/>
      </xdr:nvSpPr>
      <xdr:spPr>
        <a:xfrm>
          <a:off x="4152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4" name="OpenSolver4">
          <a:extLst>
            <a:ext uri="{FF2B5EF4-FFF2-40B4-BE49-F238E27FC236}">
              <a16:creationId xmlns:a16="http://schemas.microsoft.com/office/drawing/2014/main" id="{00000000-0008-0000-2900-000018000000}"/>
            </a:ext>
          </a:extLst>
        </xdr:cNvPr>
        <xdr:cNvSpPr/>
      </xdr:nvSpPr>
      <xdr:spPr>
        <a:xfrm>
          <a:off x="4162425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25" name="OpenSolver5">
          <a:extLst>
            <a:ext uri="{FF2B5EF4-FFF2-40B4-BE49-F238E27FC236}">
              <a16:creationId xmlns:a16="http://schemas.microsoft.com/office/drawing/2014/main" id="{00000000-0008-0000-2900-000019000000}"/>
            </a:ext>
          </a:extLst>
        </xdr:cNvPr>
        <xdr:cNvSpPr/>
      </xdr:nvSpPr>
      <xdr:spPr>
        <a:xfrm>
          <a:off x="4924425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6" name="OpenSolver6">
          <a:extLst>
            <a:ext uri="{FF2B5EF4-FFF2-40B4-BE49-F238E27FC236}">
              <a16:creationId xmlns:a16="http://schemas.microsoft.com/office/drawing/2014/main" id="{00000000-0008-0000-2900-00001A000000}"/>
            </a:ext>
          </a:extLst>
        </xdr:cNvPr>
        <xdr:cNvCxnSpPr>
          <a:stCxn id="24" idx="3"/>
          <a:endCxn id="25" idx="1"/>
        </xdr:cNvCxnSpPr>
      </xdr:nvCxnSpPr>
      <xdr:spPr>
        <a:xfrm>
          <a:off x="4724400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7" name="OpenSolver7">
          <a:extLst>
            <a:ext uri="{FF2B5EF4-FFF2-40B4-BE49-F238E27FC236}">
              <a16:creationId xmlns:a16="http://schemas.microsoft.com/office/drawing/2014/main" id="{00000000-0008-0000-2900-00001B000000}"/>
            </a:ext>
          </a:extLst>
        </xdr:cNvPr>
        <xdr:cNvSpPr/>
      </xdr:nvSpPr>
      <xdr:spPr>
        <a:xfrm>
          <a:off x="463391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0</xdr:colOff>
      <xdr:row>5</xdr:row>
      <xdr:rowOff>0</xdr:rowOff>
    </xdr:to>
    <xdr:sp macro="" textlink="">
      <xdr:nvSpPr>
        <xdr:cNvPr id="28" name="OpenSolver8">
          <a:extLst>
            <a:ext uri="{FF2B5EF4-FFF2-40B4-BE49-F238E27FC236}">
              <a16:creationId xmlns:a16="http://schemas.microsoft.com/office/drawing/2014/main" id="{00000000-0008-0000-2900-00001C000000}"/>
            </a:ext>
          </a:extLst>
        </xdr:cNvPr>
        <xdr:cNvSpPr/>
      </xdr:nvSpPr>
      <xdr:spPr>
        <a:xfrm>
          <a:off x="2260600" y="793750"/>
          <a:ext cx="1692275" cy="1778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29" name="OpenSolver9">
          <a:extLst>
            <a:ext uri="{FF2B5EF4-FFF2-40B4-BE49-F238E27FC236}">
              <a16:creationId xmlns:a16="http://schemas.microsoft.com/office/drawing/2014/main" id="{00000000-0008-0000-2900-00001D000000}"/>
            </a:ext>
          </a:extLst>
        </xdr:cNvPr>
        <xdr:cNvSpPr/>
      </xdr:nvSpPr>
      <xdr:spPr>
        <a:xfrm>
          <a:off x="2247900" y="1171575"/>
          <a:ext cx="1704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4</xdr:col>
      <xdr:colOff>338138</xdr:colOff>
      <xdr:row>5</xdr:row>
      <xdr:rowOff>0</xdr:rowOff>
    </xdr:from>
    <xdr:to>
      <xdr:col>4</xdr:col>
      <xdr:colOff>344488</xdr:colOff>
      <xdr:row>6</xdr:row>
      <xdr:rowOff>0</xdr:rowOff>
    </xdr:to>
    <xdr:cxnSp macro="">
      <xdr:nvCxnSpPr>
        <xdr:cNvPr id="30" name="OpenSolver10">
          <a:extLst>
            <a:ext uri="{FF2B5EF4-FFF2-40B4-BE49-F238E27FC236}">
              <a16:creationId xmlns:a16="http://schemas.microsoft.com/office/drawing/2014/main" id="{00000000-0008-0000-2900-00001E000000}"/>
            </a:ext>
          </a:extLst>
        </xdr:cNvPr>
        <xdr:cNvCxnSpPr>
          <a:stCxn id="28" idx="2"/>
          <a:endCxn id="29" idx="0"/>
        </xdr:cNvCxnSpPr>
      </xdr:nvCxnSpPr>
      <xdr:spPr>
        <a:xfrm flipH="1">
          <a:off x="3100388" y="971550"/>
          <a:ext cx="6350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150813</xdr:colOff>
      <xdr:row>4</xdr:row>
      <xdr:rowOff>163513</xdr:rowOff>
    </xdr:from>
    <xdr:to>
      <xdr:col>4</xdr:col>
      <xdr:colOff>531813</xdr:colOff>
      <xdr:row>6</xdr:row>
      <xdr:rowOff>26988</xdr:rowOff>
    </xdr:to>
    <xdr:sp macro="" textlink="">
      <xdr:nvSpPr>
        <xdr:cNvPr id="31" name="OpenSolver11">
          <a:extLst>
            <a:ext uri="{FF2B5EF4-FFF2-40B4-BE49-F238E27FC236}">
              <a16:creationId xmlns:a16="http://schemas.microsoft.com/office/drawing/2014/main" id="{00000000-0008-0000-2900-00001F000000}"/>
            </a:ext>
          </a:extLst>
        </xdr:cNvPr>
        <xdr:cNvSpPr/>
      </xdr:nvSpPr>
      <xdr:spPr>
        <a:xfrm>
          <a:off x="2913063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2A00-000005000000}"/>
            </a:ext>
          </a:extLst>
        </xdr:cNvPr>
        <xdr:cNvSpPr/>
      </xdr:nvSpPr>
      <xdr:spPr>
        <a:xfrm>
          <a:off x="3657600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2A00-000006000000}"/>
            </a:ext>
          </a:extLst>
        </xdr:cNvPr>
        <xdr:cNvSpPr/>
      </xdr:nvSpPr>
      <xdr:spPr>
        <a:xfrm>
          <a:off x="4419600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2A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4219575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2A00-000008000000}"/>
            </a:ext>
          </a:extLst>
        </xdr:cNvPr>
        <xdr:cNvSpPr/>
      </xdr:nvSpPr>
      <xdr:spPr>
        <a:xfrm>
          <a:off x="4129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SpPr/>
      </xdr:nvSpPr>
      <xdr:spPr>
        <a:xfrm>
          <a:off x="2247900" y="781050"/>
          <a:ext cx="23622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SpPr/>
      </xdr:nvSpPr>
      <xdr:spPr>
        <a:xfrm>
          <a:off x="481965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190500</xdr:colOff>
      <xdr:row>7</xdr:row>
      <xdr:rowOff>111125</xdr:rowOff>
    </xdr:from>
    <xdr:to>
      <xdr:col>7</xdr:col>
      <xdr:colOff>212039</xdr:colOff>
      <xdr:row>8</xdr:row>
      <xdr:rowOff>47625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SpPr/>
      </xdr:nvSpPr>
      <xdr:spPr>
        <a:xfrm>
          <a:off x="48006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2B00-000005000000}"/>
            </a:ext>
          </a:extLst>
        </xdr:cNvPr>
        <xdr:cNvSpPr/>
      </xdr:nvSpPr>
      <xdr:spPr>
        <a:xfrm>
          <a:off x="4819650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2B00-000006000000}"/>
            </a:ext>
          </a:extLst>
        </xdr:cNvPr>
        <xdr:cNvSpPr/>
      </xdr:nvSpPr>
      <xdr:spPr>
        <a:xfrm>
          <a:off x="5581650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2B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5381625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2B00-000008000000}"/>
            </a:ext>
          </a:extLst>
        </xdr:cNvPr>
        <xdr:cNvSpPr/>
      </xdr:nvSpPr>
      <xdr:spPr>
        <a:xfrm>
          <a:off x="529113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9" name="OpenSolverD5">
          <a:extLst>
            <a:ext uri="{FF2B5EF4-FFF2-40B4-BE49-F238E27FC236}">
              <a16:creationId xmlns:a16="http://schemas.microsoft.com/office/drawing/2014/main" id="{00000000-0008-0000-2B00-000009000000}"/>
            </a:ext>
          </a:extLst>
        </xdr:cNvPr>
        <xdr:cNvSpPr/>
      </xdr:nvSpPr>
      <xdr:spPr>
        <a:xfrm>
          <a:off x="2247900" y="781050"/>
          <a:ext cx="16764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-10≤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8" name="OpenSolver1">
          <a:extLst>
            <a:ext uri="{FF2B5EF4-FFF2-40B4-BE49-F238E27FC236}">
              <a16:creationId xmlns:a16="http://schemas.microsoft.com/office/drawing/2014/main" id="{00000000-0008-0000-2C00-000012000000}"/>
            </a:ext>
          </a:extLst>
        </xdr:cNvPr>
        <xdr:cNvSpPr/>
      </xdr:nvSpPr>
      <xdr:spPr>
        <a:xfrm>
          <a:off x="2247900" y="781050"/>
          <a:ext cx="168592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9" name="OpenSolver2">
          <a:extLst>
            <a:ext uri="{FF2B5EF4-FFF2-40B4-BE49-F238E27FC236}">
              <a16:creationId xmlns:a16="http://schemas.microsoft.com/office/drawing/2014/main" id="{00000000-0008-0000-2C00-000013000000}"/>
            </a:ext>
          </a:extLst>
        </xdr:cNvPr>
        <xdr:cNvSpPr/>
      </xdr:nvSpPr>
      <xdr:spPr>
        <a:xfrm>
          <a:off x="414337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111125</xdr:rowOff>
    </xdr:from>
    <xdr:to>
      <xdr:col>7</xdr:col>
      <xdr:colOff>215214</xdr:colOff>
      <xdr:row>8</xdr:row>
      <xdr:rowOff>47625</xdr:rowOff>
    </xdr:to>
    <xdr:sp macro="" textlink="">
      <xdr:nvSpPr>
        <xdr:cNvPr id="20" name="OpenSolver3">
          <a:extLst>
            <a:ext uri="{FF2B5EF4-FFF2-40B4-BE49-F238E27FC236}">
              <a16:creationId xmlns:a16="http://schemas.microsoft.com/office/drawing/2014/main" id="{00000000-0008-0000-2C00-000014000000}"/>
            </a:ext>
          </a:extLst>
        </xdr:cNvPr>
        <xdr:cNvSpPr/>
      </xdr:nvSpPr>
      <xdr:spPr>
        <a:xfrm>
          <a:off x="41275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1" name="OpenSolver4">
          <a:extLst>
            <a:ext uri="{FF2B5EF4-FFF2-40B4-BE49-F238E27FC236}">
              <a16:creationId xmlns:a16="http://schemas.microsoft.com/office/drawing/2014/main" id="{00000000-0008-0000-2C00-000015000000}"/>
            </a:ext>
          </a:extLst>
        </xdr:cNvPr>
        <xdr:cNvSpPr/>
      </xdr:nvSpPr>
      <xdr:spPr>
        <a:xfrm>
          <a:off x="4143375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22" name="OpenSolver5">
          <a:extLst>
            <a:ext uri="{FF2B5EF4-FFF2-40B4-BE49-F238E27FC236}">
              <a16:creationId xmlns:a16="http://schemas.microsoft.com/office/drawing/2014/main" id="{00000000-0008-0000-2C00-000016000000}"/>
            </a:ext>
          </a:extLst>
        </xdr:cNvPr>
        <xdr:cNvSpPr/>
      </xdr:nvSpPr>
      <xdr:spPr>
        <a:xfrm>
          <a:off x="4905375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3" name="OpenSolver6">
          <a:extLst>
            <a:ext uri="{FF2B5EF4-FFF2-40B4-BE49-F238E27FC236}">
              <a16:creationId xmlns:a16="http://schemas.microsoft.com/office/drawing/2014/main" id="{00000000-0008-0000-2C00-000017000000}"/>
            </a:ext>
          </a:extLst>
        </xdr:cNvPr>
        <xdr:cNvCxnSpPr>
          <a:stCxn id="21" idx="3"/>
          <a:endCxn id="22" idx="1"/>
        </xdr:cNvCxnSpPr>
      </xdr:nvCxnSpPr>
      <xdr:spPr>
        <a:xfrm>
          <a:off x="4705350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4" name="OpenSolver7">
          <a:extLst>
            <a:ext uri="{FF2B5EF4-FFF2-40B4-BE49-F238E27FC236}">
              <a16:creationId xmlns:a16="http://schemas.microsoft.com/office/drawing/2014/main" id="{00000000-0008-0000-2C00-000018000000}"/>
            </a:ext>
          </a:extLst>
        </xdr:cNvPr>
        <xdr:cNvSpPr/>
      </xdr:nvSpPr>
      <xdr:spPr>
        <a:xfrm>
          <a:off x="4614863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5" name="OpenSolverD5">
          <a:extLst>
            <a:ext uri="{FF2B5EF4-FFF2-40B4-BE49-F238E27FC236}">
              <a16:creationId xmlns:a16="http://schemas.microsoft.com/office/drawing/2014/main" id="{00000000-0008-0000-2C00-000019000000}"/>
            </a:ext>
          </a:extLst>
        </xdr:cNvPr>
        <xdr:cNvSpPr/>
      </xdr:nvSpPr>
      <xdr:spPr>
        <a:xfrm>
          <a:off x="2247900" y="781050"/>
          <a:ext cx="100012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-10*2≤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13" name="OpenSolver1">
          <a:extLst>
            <a:ext uri="{FF2B5EF4-FFF2-40B4-BE49-F238E27FC236}">
              <a16:creationId xmlns:a16="http://schemas.microsoft.com/office/drawing/2014/main" id="{00000000-0008-0000-2D00-00000D000000}"/>
            </a:ext>
          </a:extLst>
        </xdr:cNvPr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4" name="OpenSolver2">
          <a:extLst>
            <a:ext uri="{FF2B5EF4-FFF2-40B4-BE49-F238E27FC236}">
              <a16:creationId xmlns:a16="http://schemas.microsoft.com/office/drawing/2014/main" id="{00000000-0008-0000-2D00-00000E000000}"/>
            </a:ext>
          </a:extLst>
        </xdr:cNvPr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15" name="OpenSolver3">
          <a:extLst>
            <a:ext uri="{FF2B5EF4-FFF2-40B4-BE49-F238E27FC236}">
              <a16:creationId xmlns:a16="http://schemas.microsoft.com/office/drawing/2014/main" id="{00000000-0008-0000-2D00-00000F000000}"/>
            </a:ext>
          </a:extLst>
        </xdr:cNvPr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6" name="OpenSolver4">
          <a:extLst>
            <a:ext uri="{FF2B5EF4-FFF2-40B4-BE49-F238E27FC236}">
              <a16:creationId xmlns:a16="http://schemas.microsoft.com/office/drawing/2014/main" id="{00000000-0008-0000-2D00-000010000000}"/>
            </a:ext>
          </a:extLst>
        </xdr:cNvPr>
        <xdr:cNvSpPr/>
      </xdr:nvSpPr>
      <xdr:spPr>
        <a:xfrm>
          <a:off x="3657600" y="1952625"/>
          <a:ext cx="561975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7" name="OpenSolver5">
          <a:extLst>
            <a:ext uri="{FF2B5EF4-FFF2-40B4-BE49-F238E27FC236}">
              <a16:creationId xmlns:a16="http://schemas.microsoft.com/office/drawing/2014/main" id="{00000000-0008-0000-2D00-000011000000}"/>
            </a:ext>
          </a:extLst>
        </xdr:cNvPr>
        <xdr:cNvSpPr/>
      </xdr:nvSpPr>
      <xdr:spPr>
        <a:xfrm>
          <a:off x="4419600" y="1952625"/>
          <a:ext cx="40005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8" name="OpenSolver6">
          <a:extLst>
            <a:ext uri="{FF2B5EF4-FFF2-40B4-BE49-F238E27FC236}">
              <a16:creationId xmlns:a16="http://schemas.microsoft.com/office/drawing/2014/main" id="{00000000-0008-0000-2D00-000012000000}"/>
            </a:ext>
          </a:extLst>
        </xdr:cNvPr>
        <xdr:cNvCxnSpPr>
          <a:stCxn id="16" idx="3"/>
          <a:endCxn id="17" idx="1"/>
        </xdr:cNvCxnSpPr>
      </xdr:nvCxnSpPr>
      <xdr:spPr>
        <a:xfrm>
          <a:off x="4219575" y="223837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9" name="OpenSolver7">
          <a:extLst>
            <a:ext uri="{FF2B5EF4-FFF2-40B4-BE49-F238E27FC236}">
              <a16:creationId xmlns:a16="http://schemas.microsoft.com/office/drawing/2014/main" id="{00000000-0008-0000-2D00-000013000000}"/>
            </a:ext>
          </a:extLst>
        </xdr:cNvPr>
        <xdr:cNvSpPr/>
      </xdr:nvSpPr>
      <xdr:spPr>
        <a:xfrm>
          <a:off x="4129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0" name="OpenSolver8">
          <a:extLst>
            <a:ext uri="{FF2B5EF4-FFF2-40B4-BE49-F238E27FC236}">
              <a16:creationId xmlns:a16="http://schemas.microsoft.com/office/drawing/2014/main" id="{00000000-0008-0000-2D00-000014000000}"/>
            </a:ext>
          </a:extLst>
        </xdr:cNvPr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21" name="OpenSolver9">
          <a:extLst>
            <a:ext uri="{FF2B5EF4-FFF2-40B4-BE49-F238E27FC236}">
              <a16:creationId xmlns:a16="http://schemas.microsoft.com/office/drawing/2014/main" id="{00000000-0008-0000-2D00-000015000000}"/>
            </a:ext>
          </a:extLst>
        </xdr:cNvPr>
        <xdr:cNvSpPr/>
      </xdr:nvSpPr>
      <xdr:spPr>
        <a:xfrm>
          <a:off x="2247900" y="1171575"/>
          <a:ext cx="5143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3</xdr:col>
      <xdr:colOff>257175</xdr:colOff>
      <xdr:row>5</xdr:row>
      <xdr:rowOff>0</xdr:rowOff>
    </xdr:from>
    <xdr:to>
      <xdr:col>3</xdr:col>
      <xdr:colOff>257175</xdr:colOff>
      <xdr:row>6</xdr:row>
      <xdr:rowOff>0</xdr:rowOff>
    </xdr:to>
    <xdr:cxnSp macro="">
      <xdr:nvCxnSpPr>
        <xdr:cNvPr id="22" name="OpenSolver10">
          <a:extLst>
            <a:ext uri="{FF2B5EF4-FFF2-40B4-BE49-F238E27FC236}">
              <a16:creationId xmlns:a16="http://schemas.microsoft.com/office/drawing/2014/main" id="{00000000-0008-0000-2D00-000016000000}"/>
            </a:ext>
          </a:extLst>
        </xdr:cNvPr>
        <xdr:cNvCxnSpPr>
          <a:stCxn id="20" idx="2"/>
          <a:endCxn id="21" idx="0"/>
        </xdr:cNvCxnSpPr>
      </xdr:nvCxnSpPr>
      <xdr:spPr>
        <a:xfrm>
          <a:off x="2505075" y="971550"/>
          <a:ext cx="0" cy="200025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163513</xdr:rowOff>
    </xdr:from>
    <xdr:to>
      <xdr:col>3</xdr:col>
      <xdr:colOff>447675</xdr:colOff>
      <xdr:row>6</xdr:row>
      <xdr:rowOff>26988</xdr:rowOff>
    </xdr:to>
    <xdr:sp macro="" textlink="">
      <xdr:nvSpPr>
        <xdr:cNvPr id="23" name="OpenSolver11">
          <a:extLst>
            <a:ext uri="{FF2B5EF4-FFF2-40B4-BE49-F238E27FC236}">
              <a16:creationId xmlns:a16="http://schemas.microsoft.com/office/drawing/2014/main" id="{00000000-0008-0000-2D00-000017000000}"/>
            </a:ext>
          </a:extLst>
        </xdr:cNvPr>
        <xdr:cNvSpPr/>
      </xdr:nvSpPr>
      <xdr:spPr>
        <a:xfrm>
          <a:off x="23145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SpPr/>
      </xdr:nvSpPr>
      <xdr:spPr>
        <a:xfrm>
          <a:off x="1790700" y="190500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SpPr/>
      </xdr:nvSpPr>
      <xdr:spPr>
        <a:xfrm>
          <a:off x="3562350" y="581025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2</xdr:row>
      <xdr:rowOff>117475</xdr:rowOff>
    </xdr:from>
    <xdr:to>
      <xdr:col>6</xdr:col>
      <xdr:colOff>224739</xdr:colOff>
      <xdr:row>3</xdr:row>
      <xdr:rowOff>53975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SpPr/>
      </xdr:nvSpPr>
      <xdr:spPr>
        <a:xfrm>
          <a:off x="35560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2E00-000005000000}"/>
            </a:ext>
          </a:extLst>
        </xdr:cNvPr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2E00-000006000000}"/>
            </a:ext>
          </a:extLst>
        </xdr:cNvPr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2E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4152900" y="1071563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4</xdr:row>
      <xdr:rowOff>163513</xdr:rowOff>
    </xdr:from>
    <xdr:to>
      <xdr:col>7</xdr:col>
      <xdr:colOff>485775</xdr:colOff>
      <xdr:row>6</xdr:row>
      <xdr:rowOff>26988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2E00-000008000000}"/>
            </a:ext>
          </a:extLst>
        </xdr:cNvPr>
        <xdr:cNvSpPr/>
      </xdr:nvSpPr>
      <xdr:spPr>
        <a:xfrm>
          <a:off x="42576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2E00-000009000000}"/>
            </a:ext>
          </a:extLst>
        </xdr:cNvPr>
        <xdr:cNvSpPr/>
      </xdr:nvSpPr>
      <xdr:spPr>
        <a:xfrm>
          <a:off x="35623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2E00-00000A000000}"/>
            </a:ext>
          </a:extLst>
        </xdr:cNvPr>
        <xdr:cNvSpPr/>
      </xdr:nvSpPr>
      <xdr:spPr>
        <a:xfrm>
          <a:off x="47434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2E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4152900" y="12668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5</xdr:row>
      <xdr:rowOff>168275</xdr:rowOff>
    </xdr:from>
    <xdr:to>
      <xdr:col>7</xdr:col>
      <xdr:colOff>485775</xdr:colOff>
      <xdr:row>7</xdr:row>
      <xdr:rowOff>31750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2E00-00000C000000}"/>
            </a:ext>
          </a:extLst>
        </xdr:cNvPr>
        <xdr:cNvSpPr/>
      </xdr:nvSpPr>
      <xdr:spPr>
        <a:xfrm>
          <a:off x="4257675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2E00-00000D000000}"/>
            </a:ext>
          </a:extLst>
        </xdr:cNvPr>
        <xdr:cNvSpPr/>
      </xdr:nvSpPr>
      <xdr:spPr>
        <a:xfrm>
          <a:off x="35623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2E00-00000E000000}"/>
            </a:ext>
          </a:extLst>
        </xdr:cNvPr>
        <xdr:cNvSpPr/>
      </xdr:nvSpPr>
      <xdr:spPr>
        <a:xfrm>
          <a:off x="47434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00000000-0008-0000-2E00-00000F000000}"/>
            </a:ext>
          </a:extLst>
        </xdr:cNvPr>
        <xdr:cNvCxnSpPr>
          <a:stCxn id="13" idx="3"/>
          <a:endCxn id="14" idx="1"/>
        </xdr:cNvCxnSpPr>
      </xdr:nvCxnSpPr>
      <xdr:spPr>
        <a:xfrm>
          <a:off x="4152900" y="1557338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68263</xdr:rowOff>
    </xdr:from>
    <xdr:to>
      <xdr:col>7</xdr:col>
      <xdr:colOff>485775</xdr:colOff>
      <xdr:row>8</xdr:row>
      <xdr:rowOff>131763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00000000-0008-0000-2E00-000010000000}"/>
            </a:ext>
          </a:extLst>
        </xdr:cNvPr>
        <xdr:cNvSpPr/>
      </xdr:nvSpPr>
      <xdr:spPr>
        <a:xfrm>
          <a:off x="4257675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9" name="OpenSolver1">
          <a:extLst>
            <a:ext uri="{FF2B5EF4-FFF2-40B4-BE49-F238E27FC236}">
              <a16:creationId xmlns:a16="http://schemas.microsoft.com/office/drawing/2014/main" id="{00000000-0008-0000-2F00-00001D000000}"/>
            </a:ext>
          </a:extLst>
        </xdr:cNvPr>
        <xdr:cNvSpPr/>
      </xdr:nvSpPr>
      <xdr:spPr>
        <a:xfrm>
          <a:off x="1485900" y="581025"/>
          <a:ext cx="216217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30" name="OpenSolver2">
          <a:extLst>
            <a:ext uri="{FF2B5EF4-FFF2-40B4-BE49-F238E27FC236}">
              <a16:creationId xmlns:a16="http://schemas.microsoft.com/office/drawing/2014/main" id="{00000000-0008-0000-2F00-00001E000000}"/>
            </a:ext>
          </a:extLst>
        </xdr:cNvPr>
        <xdr:cNvSpPr/>
      </xdr:nvSpPr>
      <xdr:spPr>
        <a:xfrm>
          <a:off x="7410450" y="3905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0</xdr:colOff>
      <xdr:row>4</xdr:row>
      <xdr:rowOff>0</xdr:rowOff>
    </xdr:to>
    <xdr:sp macro="" textlink="">
      <xdr:nvSpPr>
        <xdr:cNvPr id="31" name="OpenSolver3">
          <a:extLst>
            <a:ext uri="{FF2B5EF4-FFF2-40B4-BE49-F238E27FC236}">
              <a16:creationId xmlns:a16="http://schemas.microsoft.com/office/drawing/2014/main" id="{00000000-0008-0000-2F00-00001F000000}"/>
            </a:ext>
          </a:extLst>
        </xdr:cNvPr>
        <xdr:cNvSpPr/>
      </xdr:nvSpPr>
      <xdr:spPr>
        <a:xfrm>
          <a:off x="5715000" y="3905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2" name="OpenSolver4">
          <a:extLst>
            <a:ext uri="{FF2B5EF4-FFF2-40B4-BE49-F238E27FC236}">
              <a16:creationId xmlns:a16="http://schemas.microsoft.com/office/drawing/2014/main" id="{00000000-0008-0000-2F00-000020000000}"/>
            </a:ext>
          </a:extLst>
        </xdr:cNvPr>
        <xdr:cNvSpPr/>
      </xdr:nvSpPr>
      <xdr:spPr>
        <a:xfrm>
          <a:off x="3857625" y="971550"/>
          <a:ext cx="4572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4</xdr:row>
      <xdr:rowOff>107950</xdr:rowOff>
    </xdr:from>
    <xdr:to>
      <xdr:col>8</xdr:col>
      <xdr:colOff>221564</xdr:colOff>
      <xdr:row>5</xdr:row>
      <xdr:rowOff>44450</xdr:rowOff>
    </xdr:to>
    <xdr:sp macro="" textlink="">
      <xdr:nvSpPr>
        <xdr:cNvPr id="33" name="OpenSolver5">
          <a:extLst>
            <a:ext uri="{FF2B5EF4-FFF2-40B4-BE49-F238E27FC236}">
              <a16:creationId xmlns:a16="http://schemas.microsoft.com/office/drawing/2014/main" id="{00000000-0008-0000-2F00-000021000000}"/>
            </a:ext>
          </a:extLst>
        </xdr:cNvPr>
        <xdr:cNvSpPr/>
      </xdr:nvSpPr>
      <xdr:spPr>
        <a:xfrm>
          <a:off x="38481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34" name="OpenSolver6">
          <a:extLst>
            <a:ext uri="{FF2B5EF4-FFF2-40B4-BE49-F238E27FC236}">
              <a16:creationId xmlns:a16="http://schemas.microsoft.com/office/drawing/2014/main" id="{00000000-0008-0000-2F00-000022000000}"/>
            </a:ext>
          </a:extLst>
        </xdr:cNvPr>
        <xdr:cNvSpPr/>
      </xdr:nvSpPr>
      <xdr:spPr>
        <a:xfrm>
          <a:off x="3857625" y="1362075"/>
          <a:ext cx="4572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35" name="OpenSolver7">
          <a:extLst>
            <a:ext uri="{FF2B5EF4-FFF2-40B4-BE49-F238E27FC236}">
              <a16:creationId xmlns:a16="http://schemas.microsoft.com/office/drawing/2014/main" id="{00000000-0008-0000-2F00-000023000000}"/>
            </a:ext>
          </a:extLst>
        </xdr:cNvPr>
        <xdr:cNvSpPr/>
      </xdr:nvSpPr>
      <xdr:spPr>
        <a:xfrm>
          <a:off x="45148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36" name="OpenSolver8">
          <a:extLst>
            <a:ext uri="{FF2B5EF4-FFF2-40B4-BE49-F238E27FC236}">
              <a16:creationId xmlns:a16="http://schemas.microsoft.com/office/drawing/2014/main" id="{00000000-0008-0000-2F00-000024000000}"/>
            </a:ext>
          </a:extLst>
        </xdr:cNvPr>
        <xdr:cNvCxnSpPr>
          <a:stCxn id="34" idx="3"/>
          <a:endCxn id="35" idx="1"/>
        </xdr:cNvCxnSpPr>
      </xdr:nvCxnSpPr>
      <xdr:spPr>
        <a:xfrm>
          <a:off x="4314825" y="155733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37" name="OpenSolver9">
          <a:extLst>
            <a:ext uri="{FF2B5EF4-FFF2-40B4-BE49-F238E27FC236}">
              <a16:creationId xmlns:a16="http://schemas.microsoft.com/office/drawing/2014/main" id="{00000000-0008-0000-2F00-000025000000}"/>
            </a:ext>
          </a:extLst>
        </xdr:cNvPr>
        <xdr:cNvSpPr/>
      </xdr:nvSpPr>
      <xdr:spPr>
        <a:xfrm>
          <a:off x="42243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38" name="OpenSolver10">
          <a:extLst>
            <a:ext uri="{FF2B5EF4-FFF2-40B4-BE49-F238E27FC236}">
              <a16:creationId xmlns:a16="http://schemas.microsoft.com/office/drawing/2014/main" id="{00000000-0008-0000-2F00-000026000000}"/>
            </a:ext>
          </a:extLst>
        </xdr:cNvPr>
        <xdr:cNvSpPr/>
      </xdr:nvSpPr>
      <xdr:spPr>
        <a:xfrm>
          <a:off x="3857625" y="1752600"/>
          <a:ext cx="45720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39" name="OpenSolver11">
          <a:extLst>
            <a:ext uri="{FF2B5EF4-FFF2-40B4-BE49-F238E27FC236}">
              <a16:creationId xmlns:a16="http://schemas.microsoft.com/office/drawing/2014/main" id="{00000000-0008-0000-2F00-000027000000}"/>
            </a:ext>
          </a:extLst>
        </xdr:cNvPr>
        <xdr:cNvSpPr/>
      </xdr:nvSpPr>
      <xdr:spPr>
        <a:xfrm>
          <a:off x="4514850" y="1752600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100013</xdr:rowOff>
    </xdr:from>
    <xdr:to>
      <xdr:col>10</xdr:col>
      <xdr:colOff>0</xdr:colOff>
      <xdr:row>9</xdr:row>
      <xdr:rowOff>100013</xdr:rowOff>
    </xdr:to>
    <xdr:cxnSp macro="">
      <xdr:nvCxnSpPr>
        <xdr:cNvPr id="40" name="OpenSolver12">
          <a:extLst>
            <a:ext uri="{FF2B5EF4-FFF2-40B4-BE49-F238E27FC236}">
              <a16:creationId xmlns:a16="http://schemas.microsoft.com/office/drawing/2014/main" id="{00000000-0008-0000-2F00-000028000000}"/>
            </a:ext>
          </a:extLst>
        </xdr:cNvPr>
        <xdr:cNvCxnSpPr>
          <a:stCxn id="38" idx="3"/>
          <a:endCxn id="39" idx="1"/>
        </xdr:cNvCxnSpPr>
      </xdr:nvCxnSpPr>
      <xdr:spPr>
        <a:xfrm>
          <a:off x="4314825" y="1852613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8</xdr:row>
      <xdr:rowOff>173038</xdr:rowOff>
    </xdr:from>
    <xdr:to>
      <xdr:col>10</xdr:col>
      <xdr:colOff>90488</xdr:colOff>
      <xdr:row>10</xdr:row>
      <xdr:rowOff>26988</xdr:rowOff>
    </xdr:to>
    <xdr:sp macro="" textlink="">
      <xdr:nvSpPr>
        <xdr:cNvPr id="41" name="OpenSolver13">
          <a:extLst>
            <a:ext uri="{FF2B5EF4-FFF2-40B4-BE49-F238E27FC236}">
              <a16:creationId xmlns:a16="http://schemas.microsoft.com/office/drawing/2014/main" id="{00000000-0008-0000-2F00-000029000000}"/>
            </a:ext>
          </a:extLst>
        </xdr:cNvPr>
        <xdr:cNvSpPr/>
      </xdr:nvSpPr>
      <xdr:spPr>
        <a:xfrm>
          <a:off x="4224338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42" name="OpenSolver14">
          <a:extLst>
            <a:ext uri="{FF2B5EF4-FFF2-40B4-BE49-F238E27FC236}">
              <a16:creationId xmlns:a16="http://schemas.microsoft.com/office/drawing/2014/main" id="{00000000-0008-0000-2F00-00002A000000}"/>
            </a:ext>
          </a:extLst>
        </xdr:cNvPr>
        <xdr:cNvSpPr/>
      </xdr:nvSpPr>
      <xdr:spPr>
        <a:xfrm>
          <a:off x="3857625" y="1952625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43" name="OpenSolver15">
          <a:extLst>
            <a:ext uri="{FF2B5EF4-FFF2-40B4-BE49-F238E27FC236}">
              <a16:creationId xmlns:a16="http://schemas.microsoft.com/office/drawing/2014/main" id="{00000000-0008-0000-2F00-00002B000000}"/>
            </a:ext>
          </a:extLst>
        </xdr:cNvPr>
        <xdr:cNvSpPr/>
      </xdr:nvSpPr>
      <xdr:spPr>
        <a:xfrm>
          <a:off x="451485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44" name="OpenSolver16">
          <a:extLst>
            <a:ext uri="{FF2B5EF4-FFF2-40B4-BE49-F238E27FC236}">
              <a16:creationId xmlns:a16="http://schemas.microsoft.com/office/drawing/2014/main" id="{00000000-0008-0000-2F00-00002C000000}"/>
            </a:ext>
          </a:extLst>
        </xdr:cNvPr>
        <xdr:cNvCxnSpPr>
          <a:stCxn id="42" idx="3"/>
          <a:endCxn id="43" idx="1"/>
        </xdr:cNvCxnSpPr>
      </xdr:nvCxnSpPr>
      <xdr:spPr>
        <a:xfrm>
          <a:off x="4314825" y="20478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9</xdr:row>
      <xdr:rowOff>168275</xdr:rowOff>
    </xdr:from>
    <xdr:to>
      <xdr:col>10</xdr:col>
      <xdr:colOff>90488</xdr:colOff>
      <xdr:row>11</xdr:row>
      <xdr:rowOff>31750</xdr:rowOff>
    </xdr:to>
    <xdr:sp macro="" textlink="">
      <xdr:nvSpPr>
        <xdr:cNvPr id="45" name="OpenSolver17">
          <a:extLst>
            <a:ext uri="{FF2B5EF4-FFF2-40B4-BE49-F238E27FC236}">
              <a16:creationId xmlns:a16="http://schemas.microsoft.com/office/drawing/2014/main" id="{00000000-0008-0000-2F00-00002D000000}"/>
            </a:ext>
          </a:extLst>
        </xdr:cNvPr>
        <xdr:cNvSpPr/>
      </xdr:nvSpPr>
      <xdr:spPr>
        <a:xfrm>
          <a:off x="422433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4</xdr:row>
      <xdr:rowOff>0</xdr:rowOff>
    </xdr:to>
    <xdr:sp macro="" textlink="">
      <xdr:nvSpPr>
        <xdr:cNvPr id="46" name="OpenSolver18">
          <a:extLst>
            <a:ext uri="{FF2B5EF4-FFF2-40B4-BE49-F238E27FC236}">
              <a16:creationId xmlns:a16="http://schemas.microsoft.com/office/drawing/2014/main" id="{00000000-0008-0000-2F00-00002E000000}"/>
            </a:ext>
          </a:extLst>
        </xdr:cNvPr>
        <xdr:cNvSpPr/>
      </xdr:nvSpPr>
      <xdr:spPr>
        <a:xfrm>
          <a:off x="8086725" y="390525"/>
          <a:ext cx="266700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" textlink="">
      <xdr:nvSpPr>
        <xdr:cNvPr id="47" name="OpenSolver19">
          <a:extLst>
            <a:ext uri="{FF2B5EF4-FFF2-40B4-BE49-F238E27FC236}">
              <a16:creationId xmlns:a16="http://schemas.microsoft.com/office/drawing/2014/main" id="{00000000-0008-0000-2F00-00002F000000}"/>
            </a:ext>
          </a:extLst>
        </xdr:cNvPr>
        <xdr:cNvSpPr/>
      </xdr:nvSpPr>
      <xdr:spPr>
        <a:xfrm>
          <a:off x="8553450" y="390525"/>
          <a:ext cx="200025" cy="3905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4763</xdr:rowOff>
    </xdr:from>
    <xdr:to>
      <xdr:col>20</xdr:col>
      <xdr:colOff>0</xdr:colOff>
      <xdr:row>3</xdr:row>
      <xdr:rowOff>4763</xdr:rowOff>
    </xdr:to>
    <xdr:cxnSp macro="">
      <xdr:nvCxnSpPr>
        <xdr:cNvPr id="48" name="OpenSolver20">
          <a:extLst>
            <a:ext uri="{FF2B5EF4-FFF2-40B4-BE49-F238E27FC236}">
              <a16:creationId xmlns:a16="http://schemas.microsoft.com/office/drawing/2014/main" id="{00000000-0008-0000-2F00-000030000000}"/>
            </a:ext>
          </a:extLst>
        </xdr:cNvPr>
        <xdr:cNvCxnSpPr>
          <a:stCxn id="46" idx="3"/>
          <a:endCxn id="47" idx="1"/>
        </xdr:cNvCxnSpPr>
      </xdr:nvCxnSpPr>
      <xdr:spPr>
        <a:xfrm>
          <a:off x="8353425" y="585788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2</xdr:row>
      <xdr:rowOff>68263</xdr:rowOff>
    </xdr:from>
    <xdr:to>
      <xdr:col>20</xdr:col>
      <xdr:colOff>90488</xdr:colOff>
      <xdr:row>3</xdr:row>
      <xdr:rowOff>131763</xdr:rowOff>
    </xdr:to>
    <xdr:sp macro="" textlink="">
      <xdr:nvSpPr>
        <xdr:cNvPr id="49" name="OpenSolver21">
          <a:extLst>
            <a:ext uri="{FF2B5EF4-FFF2-40B4-BE49-F238E27FC236}">
              <a16:creationId xmlns:a16="http://schemas.microsoft.com/office/drawing/2014/main" id="{00000000-0008-0000-2F00-000031000000}"/>
            </a:ext>
          </a:extLst>
        </xdr:cNvPr>
        <xdr:cNvSpPr/>
      </xdr:nvSpPr>
      <xdr:spPr>
        <a:xfrm>
          <a:off x="8262938" y="4587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50" name="OpenSolver22">
          <a:extLst>
            <a:ext uri="{FF2B5EF4-FFF2-40B4-BE49-F238E27FC236}">
              <a16:creationId xmlns:a16="http://schemas.microsoft.com/office/drawing/2014/main" id="{00000000-0008-0000-2F00-000032000000}"/>
            </a:ext>
          </a:extLst>
        </xdr:cNvPr>
        <xdr:cNvSpPr/>
      </xdr:nvSpPr>
      <xdr:spPr>
        <a:xfrm>
          <a:off x="7410450" y="781050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51" name="OpenSolver23">
          <a:extLst>
            <a:ext uri="{FF2B5EF4-FFF2-40B4-BE49-F238E27FC236}">
              <a16:creationId xmlns:a16="http://schemas.microsoft.com/office/drawing/2014/main" id="{00000000-0008-0000-2F00-000033000000}"/>
            </a:ext>
          </a:extLst>
        </xdr:cNvPr>
        <xdr:cNvSpPr/>
      </xdr:nvSpPr>
      <xdr:spPr>
        <a:xfrm>
          <a:off x="7410450" y="1171575"/>
          <a:ext cx="676275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5</xdr:row>
      <xdr:rowOff>0</xdr:rowOff>
    </xdr:from>
    <xdr:to>
      <xdr:col>16</xdr:col>
      <xdr:colOff>338138</xdr:colOff>
      <xdr:row>6</xdr:row>
      <xdr:rowOff>0</xdr:rowOff>
    </xdr:to>
    <xdr:cxnSp macro="">
      <xdr:nvCxnSpPr>
        <xdr:cNvPr id="52" name="OpenSolver24">
          <a:extLst>
            <a:ext uri="{FF2B5EF4-FFF2-40B4-BE49-F238E27FC236}">
              <a16:creationId xmlns:a16="http://schemas.microsoft.com/office/drawing/2014/main" id="{00000000-0008-0000-2F00-000034000000}"/>
            </a:ext>
          </a:extLst>
        </xdr:cNvPr>
        <xdr:cNvCxnSpPr>
          <a:stCxn id="50" idx="2"/>
          <a:endCxn id="51" idx="0"/>
        </xdr:cNvCxnSpPr>
      </xdr:nvCxnSpPr>
      <xdr:spPr>
        <a:xfrm>
          <a:off x="7748588" y="971550"/>
          <a:ext cx="0" cy="200025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4</xdr:row>
      <xdr:rowOff>163513</xdr:rowOff>
    </xdr:from>
    <xdr:to>
      <xdr:col>17</xdr:col>
      <xdr:colOff>119063</xdr:colOff>
      <xdr:row>6</xdr:row>
      <xdr:rowOff>26988</xdr:rowOff>
    </xdr:to>
    <xdr:sp macro="" textlink="">
      <xdr:nvSpPr>
        <xdr:cNvPr id="53" name="OpenSolver25">
          <a:extLst>
            <a:ext uri="{FF2B5EF4-FFF2-40B4-BE49-F238E27FC236}">
              <a16:creationId xmlns:a16="http://schemas.microsoft.com/office/drawing/2014/main" id="{00000000-0008-0000-2F00-000035000000}"/>
            </a:ext>
          </a:extLst>
        </xdr:cNvPr>
        <xdr:cNvSpPr/>
      </xdr:nvSpPr>
      <xdr:spPr>
        <a:xfrm>
          <a:off x="7558088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105356</xdr:colOff>
      <xdr:row>3</xdr:row>
      <xdr:rowOff>130175</xdr:rowOff>
    </xdr:to>
    <xdr:sp macro="" textlink="">
      <xdr:nvSpPr>
        <xdr:cNvPr id="54" name="OpenSolver26">
          <a:extLst>
            <a:ext uri="{FF2B5EF4-FFF2-40B4-BE49-F238E27FC236}">
              <a16:creationId xmlns:a16="http://schemas.microsoft.com/office/drawing/2014/main" id="{00000000-0008-0000-2F00-000036000000}"/>
            </a:ext>
          </a:extLst>
        </xdr:cNvPr>
        <xdr:cNvSpPr/>
      </xdr:nvSpPr>
      <xdr:spPr>
        <a:xfrm>
          <a:off x="2133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6350</xdr:colOff>
      <xdr:row>3</xdr:row>
      <xdr:rowOff>15875</xdr:rowOff>
    </xdr:from>
    <xdr:to>
      <xdr:col>5</xdr:col>
      <xdr:colOff>92656</xdr:colOff>
      <xdr:row>3</xdr:row>
      <xdr:rowOff>130175</xdr:rowOff>
    </xdr:to>
    <xdr:sp macro="" textlink="">
      <xdr:nvSpPr>
        <xdr:cNvPr id="55" name="OpenSolver27">
          <a:extLst>
            <a:ext uri="{FF2B5EF4-FFF2-40B4-BE49-F238E27FC236}">
              <a16:creationId xmlns:a16="http://schemas.microsoft.com/office/drawing/2014/main" id="{00000000-0008-0000-2F00-000037000000}"/>
            </a:ext>
          </a:extLst>
        </xdr:cNvPr>
        <xdr:cNvSpPr/>
      </xdr:nvSpPr>
      <xdr:spPr>
        <a:xfrm>
          <a:off x="24638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57" name="OpenSolver28">
          <a:extLst>
            <a:ext uri="{FF2B5EF4-FFF2-40B4-BE49-F238E27FC236}">
              <a16:creationId xmlns:a16="http://schemas.microsoft.com/office/drawing/2014/main" id="{00000000-0008-0000-2F00-000039000000}"/>
            </a:ext>
          </a:extLst>
        </xdr:cNvPr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SpPr/>
      </xdr:nvSpPr>
      <xdr:spPr>
        <a:xfrm>
          <a:off x="289560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5</xdr:row>
      <xdr:rowOff>120650</xdr:rowOff>
    </xdr:from>
    <xdr:to>
      <xdr:col>7</xdr:col>
      <xdr:colOff>218389</xdr:colOff>
      <xdr:row>6</xdr:row>
      <xdr:rowOff>47625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SpPr/>
      </xdr:nvSpPr>
      <xdr:spPr>
        <a:xfrm>
          <a:off x="28829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3000-000005000000}"/>
            </a:ext>
          </a:extLst>
        </xdr:cNvPr>
        <xdr:cNvSpPr/>
      </xdr:nvSpPr>
      <xdr:spPr>
        <a:xfrm>
          <a:off x="28956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3000-000006000000}"/>
            </a:ext>
          </a:extLst>
        </xdr:cNvPr>
        <xdr:cNvSpPr/>
      </xdr:nvSpPr>
      <xdr:spPr>
        <a:xfrm>
          <a:off x="36576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30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34575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3000-000008000000}"/>
            </a:ext>
          </a:extLst>
        </xdr:cNvPr>
        <xdr:cNvSpPr/>
      </xdr:nvSpPr>
      <xdr:spPr>
        <a:xfrm>
          <a:off x="33670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3000-000009000000}"/>
            </a:ext>
          </a:extLst>
        </xdr:cNvPr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3000-00000A000000}"/>
            </a:ext>
          </a:extLst>
        </xdr:cNvPr>
        <xdr:cNvSpPr/>
      </xdr:nvSpPr>
      <xdr:spPr>
        <a:xfrm>
          <a:off x="36576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30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3000-00000C000000}"/>
            </a:ext>
          </a:extLst>
        </xdr:cNvPr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3000-00000D000000}"/>
            </a:ext>
          </a:extLst>
        </xdr:cNvPr>
        <xdr:cNvSpPr/>
      </xdr:nvSpPr>
      <xdr:spPr>
        <a:xfrm>
          <a:off x="2895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3000-00000E000000}"/>
            </a:ext>
          </a:extLst>
        </xdr:cNvPr>
        <xdr:cNvSpPr/>
      </xdr:nvSpPr>
      <xdr:spPr>
        <a:xfrm>
          <a:off x="36576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00000000-0008-0000-3000-00000F000000}"/>
            </a:ext>
          </a:extLst>
        </xdr:cNvPr>
        <xdr:cNvCxnSpPr>
          <a:stCxn id="13" idx="3"/>
          <a:endCxn id="14" idx="1"/>
        </xdr:cNvCxnSpPr>
      </xdr:nvCxnSpPr>
      <xdr:spPr>
        <a:xfrm>
          <a:off x="34575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00000000-0008-0000-3000-000010000000}"/>
            </a:ext>
          </a:extLst>
        </xdr:cNvPr>
        <xdr:cNvSpPr/>
      </xdr:nvSpPr>
      <xdr:spPr>
        <a:xfrm>
          <a:off x="3367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D5">
          <a:extLst>
            <a:ext uri="{FF2B5EF4-FFF2-40B4-BE49-F238E27FC236}">
              <a16:creationId xmlns:a16="http://schemas.microsoft.com/office/drawing/2014/main" id="{00000000-0008-0000-3000-000011000000}"/>
            </a:ext>
          </a:extLst>
        </xdr:cNvPr>
        <xdr:cNvSpPr/>
      </xdr:nvSpPr>
      <xdr:spPr>
        <a:xfrm>
          <a:off x="1485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2≥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SpPr/>
      </xdr:nvSpPr>
      <xdr:spPr>
        <a:xfrm>
          <a:off x="2895600" y="11715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5</xdr:row>
      <xdr:rowOff>120650</xdr:rowOff>
    </xdr:from>
    <xdr:to>
      <xdr:col>7</xdr:col>
      <xdr:colOff>218389</xdr:colOff>
      <xdr:row>6</xdr:row>
      <xdr:rowOff>47625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SpPr/>
      </xdr:nvSpPr>
      <xdr:spPr>
        <a:xfrm>
          <a:off x="28829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3100-000005000000}"/>
            </a:ext>
          </a:extLst>
        </xdr:cNvPr>
        <xdr:cNvSpPr/>
      </xdr:nvSpPr>
      <xdr:spPr>
        <a:xfrm>
          <a:off x="28956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3100-000006000000}"/>
            </a:ext>
          </a:extLst>
        </xdr:cNvPr>
        <xdr:cNvSpPr/>
      </xdr:nvSpPr>
      <xdr:spPr>
        <a:xfrm>
          <a:off x="36576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31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3457575" y="17526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3100-000008000000}"/>
            </a:ext>
          </a:extLst>
        </xdr:cNvPr>
        <xdr:cNvSpPr/>
      </xdr:nvSpPr>
      <xdr:spPr>
        <a:xfrm>
          <a:off x="33670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3100-000009000000}"/>
            </a:ext>
          </a:extLst>
        </xdr:cNvPr>
        <xdr:cNvSpPr/>
      </xdr:nvSpPr>
      <xdr:spPr>
        <a:xfrm>
          <a:off x="2895600" y="1952625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3100-00000A000000}"/>
            </a:ext>
          </a:extLst>
        </xdr:cNvPr>
        <xdr:cNvSpPr/>
      </xdr:nvSpPr>
      <xdr:spPr>
        <a:xfrm>
          <a:off x="3657600" y="1952625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31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3457575" y="2047875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168275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3100-00000C000000}"/>
            </a:ext>
          </a:extLst>
        </xdr:cNvPr>
        <xdr:cNvSpPr/>
      </xdr:nvSpPr>
      <xdr:spPr>
        <a:xfrm>
          <a:off x="3367088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3100-00000D000000}"/>
            </a:ext>
          </a:extLst>
        </xdr:cNvPr>
        <xdr:cNvSpPr/>
      </xdr:nvSpPr>
      <xdr:spPr>
        <a:xfrm>
          <a:off x="2895600" y="2143125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3100-00000E000000}"/>
            </a:ext>
          </a:extLst>
        </xdr:cNvPr>
        <xdr:cNvSpPr/>
      </xdr:nvSpPr>
      <xdr:spPr>
        <a:xfrm>
          <a:off x="3657600" y="2143125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00000000-0008-0000-3100-00000F000000}"/>
            </a:ext>
          </a:extLst>
        </xdr:cNvPr>
        <xdr:cNvCxnSpPr>
          <a:stCxn id="13" idx="3"/>
          <a:endCxn id="14" idx="1"/>
        </xdr:cNvCxnSpPr>
      </xdr:nvCxnSpPr>
      <xdr:spPr>
        <a:xfrm>
          <a:off x="3457575" y="2238375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00000000-0008-0000-3100-000010000000}"/>
            </a:ext>
          </a:extLst>
        </xdr:cNvPr>
        <xdr:cNvSpPr/>
      </xdr:nvSpPr>
      <xdr:spPr>
        <a:xfrm>
          <a:off x="3367088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17" name="OpenSolver1">
          <a:extLst>
            <a:ext uri="{FF2B5EF4-FFF2-40B4-BE49-F238E27FC236}">
              <a16:creationId xmlns:a16="http://schemas.microsoft.com/office/drawing/2014/main" id="{00000000-0008-0000-3300-000011000000}"/>
            </a:ext>
          </a:extLst>
        </xdr:cNvPr>
        <xdr:cNvSpPr/>
      </xdr:nvSpPr>
      <xdr:spPr>
        <a:xfrm>
          <a:off x="1790700" y="190500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18" name="OpenSolver2">
          <a:extLst>
            <a:ext uri="{FF2B5EF4-FFF2-40B4-BE49-F238E27FC236}">
              <a16:creationId xmlns:a16="http://schemas.microsoft.com/office/drawing/2014/main" id="{00000000-0008-0000-3300-000012000000}"/>
            </a:ext>
          </a:extLst>
        </xdr:cNvPr>
        <xdr:cNvSpPr/>
      </xdr:nvSpPr>
      <xdr:spPr>
        <a:xfrm>
          <a:off x="3562350" y="581025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2</xdr:row>
      <xdr:rowOff>117475</xdr:rowOff>
    </xdr:from>
    <xdr:to>
      <xdr:col>6</xdr:col>
      <xdr:colOff>374845</xdr:colOff>
      <xdr:row>3</xdr:row>
      <xdr:rowOff>53975</xdr:rowOff>
    </xdr:to>
    <xdr:sp macro="" textlink="">
      <xdr:nvSpPr>
        <xdr:cNvPr id="19" name="OpenSolver3">
          <a:extLst>
            <a:ext uri="{FF2B5EF4-FFF2-40B4-BE49-F238E27FC236}">
              <a16:creationId xmlns:a16="http://schemas.microsoft.com/office/drawing/2014/main" id="{00000000-0008-0000-3300-000013000000}"/>
            </a:ext>
          </a:extLst>
        </xdr:cNvPr>
        <xdr:cNvSpPr/>
      </xdr:nvSpPr>
      <xdr:spPr>
        <a:xfrm>
          <a:off x="3556000" y="508000"/>
          <a:ext cx="38119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seek 50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0" name="OpenSolver4">
          <a:extLst>
            <a:ext uri="{FF2B5EF4-FFF2-40B4-BE49-F238E27FC236}">
              <a16:creationId xmlns:a16="http://schemas.microsoft.com/office/drawing/2014/main" id="{00000000-0008-0000-3300-000014000000}"/>
            </a:ext>
          </a:extLst>
        </xdr:cNvPr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1" name="OpenSolver5">
          <a:extLst>
            <a:ext uri="{FF2B5EF4-FFF2-40B4-BE49-F238E27FC236}">
              <a16:creationId xmlns:a16="http://schemas.microsoft.com/office/drawing/2014/main" id="{00000000-0008-0000-3300-000015000000}"/>
            </a:ext>
          </a:extLst>
        </xdr:cNvPr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2" name="OpenSolver6">
          <a:extLst>
            <a:ext uri="{FF2B5EF4-FFF2-40B4-BE49-F238E27FC236}">
              <a16:creationId xmlns:a16="http://schemas.microsoft.com/office/drawing/2014/main" id="{00000000-0008-0000-3300-000016000000}"/>
            </a:ext>
          </a:extLst>
        </xdr:cNvPr>
        <xdr:cNvCxnSpPr>
          <a:stCxn id="20" idx="3"/>
          <a:endCxn id="21" idx="1"/>
        </xdr:cNvCxnSpPr>
      </xdr:nvCxnSpPr>
      <xdr:spPr>
        <a:xfrm>
          <a:off x="4152900" y="1071563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4</xdr:row>
      <xdr:rowOff>163513</xdr:rowOff>
    </xdr:from>
    <xdr:to>
      <xdr:col>7</xdr:col>
      <xdr:colOff>485775</xdr:colOff>
      <xdr:row>6</xdr:row>
      <xdr:rowOff>26988</xdr:rowOff>
    </xdr:to>
    <xdr:sp macro="" textlink="">
      <xdr:nvSpPr>
        <xdr:cNvPr id="23" name="OpenSolver7">
          <a:extLst>
            <a:ext uri="{FF2B5EF4-FFF2-40B4-BE49-F238E27FC236}">
              <a16:creationId xmlns:a16="http://schemas.microsoft.com/office/drawing/2014/main" id="{00000000-0008-0000-3300-000017000000}"/>
            </a:ext>
          </a:extLst>
        </xdr:cNvPr>
        <xdr:cNvSpPr/>
      </xdr:nvSpPr>
      <xdr:spPr>
        <a:xfrm>
          <a:off x="42576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24" name="OpenSolver8">
          <a:extLst>
            <a:ext uri="{FF2B5EF4-FFF2-40B4-BE49-F238E27FC236}">
              <a16:creationId xmlns:a16="http://schemas.microsoft.com/office/drawing/2014/main" id="{00000000-0008-0000-3300-000018000000}"/>
            </a:ext>
          </a:extLst>
        </xdr:cNvPr>
        <xdr:cNvSpPr/>
      </xdr:nvSpPr>
      <xdr:spPr>
        <a:xfrm>
          <a:off x="35623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25" name="OpenSolver9">
          <a:extLst>
            <a:ext uri="{FF2B5EF4-FFF2-40B4-BE49-F238E27FC236}">
              <a16:creationId xmlns:a16="http://schemas.microsoft.com/office/drawing/2014/main" id="{00000000-0008-0000-3300-000019000000}"/>
            </a:ext>
          </a:extLst>
        </xdr:cNvPr>
        <xdr:cNvSpPr/>
      </xdr:nvSpPr>
      <xdr:spPr>
        <a:xfrm>
          <a:off x="47434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26" name="OpenSolver10">
          <a:extLst>
            <a:ext uri="{FF2B5EF4-FFF2-40B4-BE49-F238E27FC236}">
              <a16:creationId xmlns:a16="http://schemas.microsoft.com/office/drawing/2014/main" id="{00000000-0008-0000-3300-00001A000000}"/>
            </a:ext>
          </a:extLst>
        </xdr:cNvPr>
        <xdr:cNvCxnSpPr>
          <a:stCxn id="24" idx="3"/>
          <a:endCxn id="25" idx="1"/>
        </xdr:cNvCxnSpPr>
      </xdr:nvCxnSpPr>
      <xdr:spPr>
        <a:xfrm>
          <a:off x="4152900" y="12668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5</xdr:row>
      <xdr:rowOff>168275</xdr:rowOff>
    </xdr:from>
    <xdr:to>
      <xdr:col>7</xdr:col>
      <xdr:colOff>485775</xdr:colOff>
      <xdr:row>7</xdr:row>
      <xdr:rowOff>31750</xdr:rowOff>
    </xdr:to>
    <xdr:sp macro="" textlink="">
      <xdr:nvSpPr>
        <xdr:cNvPr id="27" name="OpenSolver11">
          <a:extLst>
            <a:ext uri="{FF2B5EF4-FFF2-40B4-BE49-F238E27FC236}">
              <a16:creationId xmlns:a16="http://schemas.microsoft.com/office/drawing/2014/main" id="{00000000-0008-0000-3300-00001B000000}"/>
            </a:ext>
          </a:extLst>
        </xdr:cNvPr>
        <xdr:cNvSpPr/>
      </xdr:nvSpPr>
      <xdr:spPr>
        <a:xfrm>
          <a:off x="4257675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12">
          <a:extLst>
            <a:ext uri="{FF2B5EF4-FFF2-40B4-BE49-F238E27FC236}">
              <a16:creationId xmlns:a16="http://schemas.microsoft.com/office/drawing/2014/main" id="{00000000-0008-0000-3300-00001C000000}"/>
            </a:ext>
          </a:extLst>
        </xdr:cNvPr>
        <xdr:cNvSpPr/>
      </xdr:nvSpPr>
      <xdr:spPr>
        <a:xfrm>
          <a:off x="35623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13">
          <a:extLst>
            <a:ext uri="{FF2B5EF4-FFF2-40B4-BE49-F238E27FC236}">
              <a16:creationId xmlns:a16="http://schemas.microsoft.com/office/drawing/2014/main" id="{00000000-0008-0000-3300-00001D000000}"/>
            </a:ext>
          </a:extLst>
        </xdr:cNvPr>
        <xdr:cNvSpPr/>
      </xdr:nvSpPr>
      <xdr:spPr>
        <a:xfrm>
          <a:off x="47434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30" name="OpenSolver14">
          <a:extLst>
            <a:ext uri="{FF2B5EF4-FFF2-40B4-BE49-F238E27FC236}">
              <a16:creationId xmlns:a16="http://schemas.microsoft.com/office/drawing/2014/main" id="{00000000-0008-0000-3300-00001E000000}"/>
            </a:ext>
          </a:extLst>
        </xdr:cNvPr>
        <xdr:cNvCxnSpPr>
          <a:stCxn id="28" idx="3"/>
          <a:endCxn id="29" idx="1"/>
        </xdr:cNvCxnSpPr>
      </xdr:nvCxnSpPr>
      <xdr:spPr>
        <a:xfrm>
          <a:off x="4152900" y="1557338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68263</xdr:rowOff>
    </xdr:from>
    <xdr:to>
      <xdr:col>7</xdr:col>
      <xdr:colOff>485775</xdr:colOff>
      <xdr:row>8</xdr:row>
      <xdr:rowOff>131763</xdr:rowOff>
    </xdr:to>
    <xdr:sp macro="" textlink="">
      <xdr:nvSpPr>
        <xdr:cNvPr id="31" name="OpenSolver15">
          <a:extLst>
            <a:ext uri="{FF2B5EF4-FFF2-40B4-BE49-F238E27FC236}">
              <a16:creationId xmlns:a16="http://schemas.microsoft.com/office/drawing/2014/main" id="{00000000-0008-0000-3300-00001F000000}"/>
            </a:ext>
          </a:extLst>
        </xdr:cNvPr>
        <xdr:cNvSpPr/>
      </xdr:nvSpPr>
      <xdr:spPr>
        <a:xfrm>
          <a:off x="4257675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32" name="OpenSolver1">
          <a:extLst>
            <a:ext uri="{FF2B5EF4-FFF2-40B4-BE49-F238E27FC236}">
              <a16:creationId xmlns:a16="http://schemas.microsoft.com/office/drawing/2014/main" id="{00000000-0008-0000-3400-000020000000}"/>
            </a:ext>
          </a:extLst>
        </xdr:cNvPr>
        <xdr:cNvSpPr/>
      </xdr:nvSpPr>
      <xdr:spPr>
        <a:xfrm>
          <a:off x="1790700" y="190500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33" name="OpenSolver2">
          <a:extLst>
            <a:ext uri="{FF2B5EF4-FFF2-40B4-BE49-F238E27FC236}">
              <a16:creationId xmlns:a16="http://schemas.microsoft.com/office/drawing/2014/main" id="{00000000-0008-0000-3400-000021000000}"/>
            </a:ext>
          </a:extLst>
        </xdr:cNvPr>
        <xdr:cNvSpPr/>
      </xdr:nvSpPr>
      <xdr:spPr>
        <a:xfrm>
          <a:off x="3562350" y="581025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2</xdr:row>
      <xdr:rowOff>117475</xdr:rowOff>
    </xdr:from>
    <xdr:to>
      <xdr:col>6</xdr:col>
      <xdr:colOff>374845</xdr:colOff>
      <xdr:row>3</xdr:row>
      <xdr:rowOff>53975</xdr:rowOff>
    </xdr:to>
    <xdr:sp macro="" textlink="">
      <xdr:nvSpPr>
        <xdr:cNvPr id="34" name="OpenSolver3">
          <a:extLst>
            <a:ext uri="{FF2B5EF4-FFF2-40B4-BE49-F238E27FC236}">
              <a16:creationId xmlns:a16="http://schemas.microsoft.com/office/drawing/2014/main" id="{00000000-0008-0000-3400-000022000000}"/>
            </a:ext>
          </a:extLst>
        </xdr:cNvPr>
        <xdr:cNvSpPr/>
      </xdr:nvSpPr>
      <xdr:spPr>
        <a:xfrm>
          <a:off x="3556000" y="508000"/>
          <a:ext cx="38119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seek 50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35" name="OpenSolver4">
          <a:extLst>
            <a:ext uri="{FF2B5EF4-FFF2-40B4-BE49-F238E27FC236}">
              <a16:creationId xmlns:a16="http://schemas.microsoft.com/office/drawing/2014/main" id="{00000000-0008-0000-3400-000023000000}"/>
            </a:ext>
          </a:extLst>
        </xdr:cNvPr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6" name="OpenSolver5">
          <a:extLst>
            <a:ext uri="{FF2B5EF4-FFF2-40B4-BE49-F238E27FC236}">
              <a16:creationId xmlns:a16="http://schemas.microsoft.com/office/drawing/2014/main" id="{00000000-0008-0000-3400-000024000000}"/>
            </a:ext>
          </a:extLst>
        </xdr:cNvPr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37" name="OpenSolver6">
          <a:extLst>
            <a:ext uri="{FF2B5EF4-FFF2-40B4-BE49-F238E27FC236}">
              <a16:creationId xmlns:a16="http://schemas.microsoft.com/office/drawing/2014/main" id="{00000000-0008-0000-3400-000025000000}"/>
            </a:ext>
          </a:extLst>
        </xdr:cNvPr>
        <xdr:cNvCxnSpPr>
          <a:stCxn id="35" idx="3"/>
          <a:endCxn id="36" idx="1"/>
        </xdr:cNvCxnSpPr>
      </xdr:nvCxnSpPr>
      <xdr:spPr>
        <a:xfrm>
          <a:off x="4152900" y="1071563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4</xdr:row>
      <xdr:rowOff>163513</xdr:rowOff>
    </xdr:from>
    <xdr:to>
      <xdr:col>7</xdr:col>
      <xdr:colOff>485775</xdr:colOff>
      <xdr:row>6</xdr:row>
      <xdr:rowOff>26988</xdr:rowOff>
    </xdr:to>
    <xdr:sp macro="" textlink="">
      <xdr:nvSpPr>
        <xdr:cNvPr id="38" name="OpenSolver7">
          <a:extLst>
            <a:ext uri="{FF2B5EF4-FFF2-40B4-BE49-F238E27FC236}">
              <a16:creationId xmlns:a16="http://schemas.microsoft.com/office/drawing/2014/main" id="{00000000-0008-0000-3400-000026000000}"/>
            </a:ext>
          </a:extLst>
        </xdr:cNvPr>
        <xdr:cNvSpPr/>
      </xdr:nvSpPr>
      <xdr:spPr>
        <a:xfrm>
          <a:off x="42576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39" name="OpenSolver8">
          <a:extLst>
            <a:ext uri="{FF2B5EF4-FFF2-40B4-BE49-F238E27FC236}">
              <a16:creationId xmlns:a16="http://schemas.microsoft.com/office/drawing/2014/main" id="{00000000-0008-0000-3400-000027000000}"/>
            </a:ext>
          </a:extLst>
        </xdr:cNvPr>
        <xdr:cNvSpPr/>
      </xdr:nvSpPr>
      <xdr:spPr>
        <a:xfrm>
          <a:off x="35623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40" name="OpenSolver9">
          <a:extLst>
            <a:ext uri="{FF2B5EF4-FFF2-40B4-BE49-F238E27FC236}">
              <a16:creationId xmlns:a16="http://schemas.microsoft.com/office/drawing/2014/main" id="{00000000-0008-0000-3400-000028000000}"/>
            </a:ext>
          </a:extLst>
        </xdr:cNvPr>
        <xdr:cNvSpPr/>
      </xdr:nvSpPr>
      <xdr:spPr>
        <a:xfrm>
          <a:off x="47434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41" name="OpenSolver10">
          <a:extLst>
            <a:ext uri="{FF2B5EF4-FFF2-40B4-BE49-F238E27FC236}">
              <a16:creationId xmlns:a16="http://schemas.microsoft.com/office/drawing/2014/main" id="{00000000-0008-0000-3400-000029000000}"/>
            </a:ext>
          </a:extLst>
        </xdr:cNvPr>
        <xdr:cNvCxnSpPr>
          <a:stCxn id="39" idx="3"/>
          <a:endCxn id="40" idx="1"/>
        </xdr:cNvCxnSpPr>
      </xdr:nvCxnSpPr>
      <xdr:spPr>
        <a:xfrm>
          <a:off x="4152900" y="12668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5</xdr:row>
      <xdr:rowOff>168275</xdr:rowOff>
    </xdr:from>
    <xdr:to>
      <xdr:col>7</xdr:col>
      <xdr:colOff>485775</xdr:colOff>
      <xdr:row>7</xdr:row>
      <xdr:rowOff>31750</xdr:rowOff>
    </xdr:to>
    <xdr:sp macro="" textlink="">
      <xdr:nvSpPr>
        <xdr:cNvPr id="42" name="OpenSolver11">
          <a:extLst>
            <a:ext uri="{FF2B5EF4-FFF2-40B4-BE49-F238E27FC236}">
              <a16:creationId xmlns:a16="http://schemas.microsoft.com/office/drawing/2014/main" id="{00000000-0008-0000-3400-00002A000000}"/>
            </a:ext>
          </a:extLst>
        </xdr:cNvPr>
        <xdr:cNvSpPr/>
      </xdr:nvSpPr>
      <xdr:spPr>
        <a:xfrm>
          <a:off x="4257675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43" name="OpenSolver12">
          <a:extLst>
            <a:ext uri="{FF2B5EF4-FFF2-40B4-BE49-F238E27FC236}">
              <a16:creationId xmlns:a16="http://schemas.microsoft.com/office/drawing/2014/main" id="{00000000-0008-0000-3400-00002B000000}"/>
            </a:ext>
          </a:extLst>
        </xdr:cNvPr>
        <xdr:cNvSpPr/>
      </xdr:nvSpPr>
      <xdr:spPr>
        <a:xfrm>
          <a:off x="35623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44" name="OpenSolver13">
          <a:extLst>
            <a:ext uri="{FF2B5EF4-FFF2-40B4-BE49-F238E27FC236}">
              <a16:creationId xmlns:a16="http://schemas.microsoft.com/office/drawing/2014/main" id="{00000000-0008-0000-3400-00002C000000}"/>
            </a:ext>
          </a:extLst>
        </xdr:cNvPr>
        <xdr:cNvSpPr/>
      </xdr:nvSpPr>
      <xdr:spPr>
        <a:xfrm>
          <a:off x="47434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45" name="OpenSolver14">
          <a:extLst>
            <a:ext uri="{FF2B5EF4-FFF2-40B4-BE49-F238E27FC236}">
              <a16:creationId xmlns:a16="http://schemas.microsoft.com/office/drawing/2014/main" id="{00000000-0008-0000-3400-00002D000000}"/>
            </a:ext>
          </a:extLst>
        </xdr:cNvPr>
        <xdr:cNvCxnSpPr>
          <a:stCxn id="43" idx="3"/>
          <a:endCxn id="44" idx="1"/>
        </xdr:cNvCxnSpPr>
      </xdr:nvCxnSpPr>
      <xdr:spPr>
        <a:xfrm>
          <a:off x="4152900" y="1557338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68263</xdr:rowOff>
    </xdr:from>
    <xdr:to>
      <xdr:col>7</xdr:col>
      <xdr:colOff>485775</xdr:colOff>
      <xdr:row>8</xdr:row>
      <xdr:rowOff>131763</xdr:rowOff>
    </xdr:to>
    <xdr:sp macro="" textlink="">
      <xdr:nvSpPr>
        <xdr:cNvPr id="46" name="OpenSolver15">
          <a:extLst>
            <a:ext uri="{FF2B5EF4-FFF2-40B4-BE49-F238E27FC236}">
              <a16:creationId xmlns:a16="http://schemas.microsoft.com/office/drawing/2014/main" id="{00000000-0008-0000-3400-00002E000000}"/>
            </a:ext>
          </a:extLst>
        </xdr:cNvPr>
        <xdr:cNvSpPr/>
      </xdr:nvSpPr>
      <xdr:spPr>
        <a:xfrm>
          <a:off x="4257675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3700-000002000000}"/>
            </a:ext>
          </a:extLst>
        </xdr:cNvPr>
        <xdr:cNvSpPr/>
      </xdr:nvSpPr>
      <xdr:spPr>
        <a:xfrm>
          <a:off x="1962150" y="581025"/>
          <a:ext cx="1181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3700-000003000000}"/>
            </a:ext>
          </a:extLst>
        </xdr:cNvPr>
        <xdr:cNvSpPr/>
      </xdr:nvSpPr>
      <xdr:spPr>
        <a:xfrm>
          <a:off x="33528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3700-000004000000}"/>
            </a:ext>
          </a:extLst>
        </xdr:cNvPr>
        <xdr:cNvSpPr/>
      </xdr:nvSpPr>
      <xdr:spPr>
        <a:xfrm>
          <a:off x="33401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3700-000005000000}"/>
            </a:ext>
          </a:extLst>
        </xdr:cNvPr>
        <xdr:cNvSpPr/>
      </xdr:nvSpPr>
      <xdr:spPr>
        <a:xfrm>
          <a:off x="33528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3700-000006000000}"/>
            </a:ext>
          </a:extLst>
        </xdr:cNvPr>
        <xdr:cNvSpPr/>
      </xdr:nvSpPr>
      <xdr:spPr>
        <a:xfrm>
          <a:off x="4114800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37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39147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3700-000008000000}"/>
            </a:ext>
          </a:extLst>
        </xdr:cNvPr>
        <xdr:cNvSpPr/>
      </xdr:nvSpPr>
      <xdr:spPr>
        <a:xfrm>
          <a:off x="38242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3700-000009000000}"/>
            </a:ext>
          </a:extLst>
        </xdr:cNvPr>
        <xdr:cNvSpPr/>
      </xdr:nvSpPr>
      <xdr:spPr>
        <a:xfrm>
          <a:off x="3352800" y="1552575"/>
          <a:ext cx="561975" cy="4000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3700-00000A000000}"/>
            </a:ext>
          </a:extLst>
        </xdr:cNvPr>
        <xdr:cNvSpPr/>
      </xdr:nvSpPr>
      <xdr:spPr>
        <a:xfrm>
          <a:off x="4114800" y="1552575"/>
          <a:ext cx="400050" cy="4000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37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3914775" y="175260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73025</xdr:rowOff>
    </xdr:from>
    <xdr:to>
      <xdr:col>9</xdr:col>
      <xdr:colOff>90488</xdr:colOff>
      <xdr:row>9</xdr:row>
      <xdr:rowOff>127000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3700-00000C000000}"/>
            </a:ext>
          </a:extLst>
        </xdr:cNvPr>
        <xdr:cNvSpPr/>
      </xdr:nvSpPr>
      <xdr:spPr>
        <a:xfrm>
          <a:off x="3824288" y="1625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3A00-000002000000}"/>
            </a:ext>
          </a:extLst>
        </xdr:cNvPr>
        <xdr:cNvSpPr/>
      </xdr:nvSpPr>
      <xdr:spPr>
        <a:xfrm>
          <a:off x="1819275" y="581025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3A00-000003000000}"/>
            </a:ext>
          </a:extLst>
        </xdr:cNvPr>
        <xdr:cNvSpPr/>
      </xdr:nvSpPr>
      <xdr:spPr>
        <a:xfrm>
          <a:off x="3590925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581025</xdr:colOff>
      <xdr:row>4</xdr:row>
      <xdr:rowOff>107950</xdr:rowOff>
    </xdr:from>
    <xdr:to>
      <xdr:col>6</xdr:col>
      <xdr:colOff>239710</xdr:colOff>
      <xdr:row>5</xdr:row>
      <xdr:rowOff>44450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3A00-000004000000}"/>
            </a:ext>
          </a:extLst>
        </xdr:cNvPr>
        <xdr:cNvSpPr/>
      </xdr:nvSpPr>
      <xdr:spPr>
        <a:xfrm>
          <a:off x="35814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3A00-000005000000}"/>
            </a:ext>
          </a:extLst>
        </xdr:cNvPr>
        <xdr:cNvSpPr/>
      </xdr:nvSpPr>
      <xdr:spPr>
        <a:xfrm>
          <a:off x="3590925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3A00-000006000000}"/>
            </a:ext>
          </a:extLst>
        </xdr:cNvPr>
        <xdr:cNvSpPr/>
      </xdr:nvSpPr>
      <xdr:spPr>
        <a:xfrm>
          <a:off x="4772025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3A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4181475" y="1457325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3A00-000008000000}"/>
            </a:ext>
          </a:extLst>
        </xdr:cNvPr>
        <xdr:cNvSpPr/>
      </xdr:nvSpPr>
      <xdr:spPr>
        <a:xfrm>
          <a:off x="42862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3A00-000009000000}"/>
            </a:ext>
          </a:extLst>
        </xdr:cNvPr>
        <xdr:cNvSpPr/>
      </xdr:nvSpPr>
      <xdr:spPr>
        <a:xfrm>
          <a:off x="359092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3A00-00000A000000}"/>
            </a:ext>
          </a:extLst>
        </xdr:cNvPr>
        <xdr:cNvSpPr/>
      </xdr:nvSpPr>
      <xdr:spPr>
        <a:xfrm>
          <a:off x="477202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3A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4181475" y="1652588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163513</xdr:rowOff>
    </xdr:from>
    <xdr:to>
      <xdr:col>7</xdr:col>
      <xdr:colOff>485775</xdr:colOff>
      <xdr:row>9</xdr:row>
      <xdr:rowOff>26988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3A00-00000C000000}"/>
            </a:ext>
          </a:extLst>
        </xdr:cNvPr>
        <xdr:cNvSpPr/>
      </xdr:nvSpPr>
      <xdr:spPr>
        <a:xfrm>
          <a:off x="42862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3A00-00000D000000}"/>
            </a:ext>
          </a:extLst>
        </xdr:cNvPr>
        <xdr:cNvSpPr/>
      </xdr:nvSpPr>
      <xdr:spPr>
        <a:xfrm>
          <a:off x="35909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3A00-00000E000000}"/>
            </a:ext>
          </a:extLst>
        </xdr:cNvPr>
        <xdr:cNvSpPr/>
      </xdr:nvSpPr>
      <xdr:spPr>
        <a:xfrm>
          <a:off x="47720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9</xdr:row>
      <xdr:rowOff>195263</xdr:rowOff>
    </xdr:from>
    <xdr:to>
      <xdr:col>8</xdr:col>
      <xdr:colOff>0</xdr:colOff>
      <xdr:row>9</xdr:row>
      <xdr:rowOff>195263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00000000-0008-0000-3A00-00000F000000}"/>
            </a:ext>
          </a:extLst>
        </xdr:cNvPr>
        <xdr:cNvCxnSpPr>
          <a:stCxn id="13" idx="3"/>
          <a:endCxn id="14" idx="1"/>
        </xdr:cNvCxnSpPr>
      </xdr:nvCxnSpPr>
      <xdr:spPr>
        <a:xfrm>
          <a:off x="4181475" y="1947863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9</xdr:row>
      <xdr:rowOff>68263</xdr:rowOff>
    </xdr:from>
    <xdr:to>
      <xdr:col>7</xdr:col>
      <xdr:colOff>485775</xdr:colOff>
      <xdr:row>10</xdr:row>
      <xdr:rowOff>122238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00000000-0008-0000-3A00-000010000000}"/>
            </a:ext>
          </a:extLst>
        </xdr:cNvPr>
        <xdr:cNvSpPr/>
      </xdr:nvSpPr>
      <xdr:spPr>
        <a:xfrm>
          <a:off x="4286250" y="1820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19</xdr:row>
      <xdr:rowOff>0</xdr:rowOff>
    </xdr:from>
    <xdr:to>
      <xdr:col>7</xdr:col>
      <xdr:colOff>0</xdr:colOff>
      <xdr:row>20</xdr:row>
      <xdr:rowOff>0</xdr:rowOff>
    </xdr:to>
    <xdr:sp macro="" textlink="">
      <xdr:nvSpPr>
        <xdr:cNvPr id="36" name="OpenSolver16">
          <a:extLst>
            <a:ext uri="{FF2B5EF4-FFF2-40B4-BE49-F238E27FC236}">
              <a16:creationId xmlns:a16="http://schemas.microsoft.com/office/drawing/2014/main" id="{00000000-0008-0000-3A00-000024000000}"/>
            </a:ext>
          </a:extLst>
        </xdr:cNvPr>
        <xdr:cNvSpPr/>
      </xdr:nvSpPr>
      <xdr:spPr>
        <a:xfrm>
          <a:off x="3590925" y="3667125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6</xdr:col>
      <xdr:colOff>12700</xdr:colOff>
      <xdr:row>19</xdr:row>
      <xdr:rowOff>12700</xdr:rowOff>
    </xdr:from>
    <xdr:to>
      <xdr:col>7</xdr:col>
      <xdr:colOff>0</xdr:colOff>
      <xdr:row>20</xdr:row>
      <xdr:rowOff>0</xdr:rowOff>
    </xdr:to>
    <xdr:sp macro="" textlink="">
      <xdr:nvSpPr>
        <xdr:cNvPr id="37" name="OpenSolver17">
          <a:extLst>
            <a:ext uri="{FF2B5EF4-FFF2-40B4-BE49-F238E27FC236}">
              <a16:creationId xmlns:a16="http://schemas.microsoft.com/office/drawing/2014/main" id="{00000000-0008-0000-3A00-000025000000}"/>
            </a:ext>
          </a:extLst>
        </xdr:cNvPr>
        <xdr:cNvSpPr/>
      </xdr:nvSpPr>
      <xdr:spPr>
        <a:xfrm>
          <a:off x="3603625" y="3679825"/>
          <a:ext cx="577850" cy="1778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6</xdr:col>
      <xdr:colOff>295275</xdr:colOff>
      <xdr:row>20</xdr:row>
      <xdr:rowOff>0</xdr:rowOff>
    </xdr:from>
    <xdr:to>
      <xdr:col>6</xdr:col>
      <xdr:colOff>301625</xdr:colOff>
      <xdr:row>20</xdr:row>
      <xdr:rowOff>0</xdr:rowOff>
    </xdr:to>
    <xdr:cxnSp macro="">
      <xdr:nvCxnSpPr>
        <xdr:cNvPr id="38" name="OpenSolver18">
          <a:extLst>
            <a:ext uri="{FF2B5EF4-FFF2-40B4-BE49-F238E27FC236}">
              <a16:creationId xmlns:a16="http://schemas.microsoft.com/office/drawing/2014/main" id="{00000000-0008-0000-3A00-000026000000}"/>
            </a:ext>
          </a:extLst>
        </xdr:cNvPr>
        <xdr:cNvCxnSpPr>
          <a:stCxn id="36" idx="2"/>
          <a:endCxn id="37" idx="2"/>
        </xdr:cNvCxnSpPr>
      </xdr:nvCxnSpPr>
      <xdr:spPr>
        <a:xfrm>
          <a:off x="3886200" y="3857625"/>
          <a:ext cx="63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107950</xdr:colOff>
      <xdr:row>19</xdr:row>
      <xdr:rowOff>63500</xdr:rowOff>
    </xdr:from>
    <xdr:to>
      <xdr:col>6</xdr:col>
      <xdr:colOff>488950</xdr:colOff>
      <xdr:row>20</xdr:row>
      <xdr:rowOff>127000</xdr:rowOff>
    </xdr:to>
    <xdr:sp macro="" textlink="">
      <xdr:nvSpPr>
        <xdr:cNvPr id="39" name="OpenSolver19">
          <a:extLst>
            <a:ext uri="{FF2B5EF4-FFF2-40B4-BE49-F238E27FC236}">
              <a16:creationId xmlns:a16="http://schemas.microsoft.com/office/drawing/2014/main" id="{00000000-0008-0000-3A00-000027000000}"/>
            </a:ext>
          </a:extLst>
        </xdr:cNvPr>
        <xdr:cNvSpPr/>
      </xdr:nvSpPr>
      <xdr:spPr>
        <a:xfrm>
          <a:off x="3698875" y="37306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3C00-000002000000}"/>
            </a:ext>
          </a:extLst>
        </xdr:cNvPr>
        <xdr:cNvSpPr/>
      </xdr:nvSpPr>
      <xdr:spPr>
        <a:xfrm>
          <a:off x="1781175" y="390525"/>
          <a:ext cx="17716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3C00-000003000000}"/>
            </a:ext>
          </a:extLst>
        </xdr:cNvPr>
        <xdr:cNvSpPr/>
      </xdr:nvSpPr>
      <xdr:spPr>
        <a:xfrm>
          <a:off x="4143375" y="781050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574675</xdr:colOff>
      <xdr:row>3</xdr:row>
      <xdr:rowOff>130175</xdr:rowOff>
    </xdr:from>
    <xdr:to>
      <xdr:col>7</xdr:col>
      <xdr:colOff>215214</xdr:colOff>
      <xdr:row>4</xdr:row>
      <xdr:rowOff>57150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3C00-000004000000}"/>
            </a:ext>
          </a:extLst>
        </xdr:cNvPr>
        <xdr:cNvSpPr/>
      </xdr:nvSpPr>
      <xdr:spPr>
        <a:xfrm>
          <a:off x="41275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3C00-000005000000}"/>
            </a:ext>
          </a:extLst>
        </xdr:cNvPr>
        <xdr:cNvSpPr/>
      </xdr:nvSpPr>
      <xdr:spPr>
        <a:xfrm>
          <a:off x="4143375" y="1171575"/>
          <a:ext cx="5905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3C00-000006000000}"/>
            </a:ext>
          </a:extLst>
        </xdr:cNvPr>
        <xdr:cNvSpPr/>
      </xdr:nvSpPr>
      <xdr:spPr>
        <a:xfrm>
          <a:off x="5324475" y="1171575"/>
          <a:ext cx="5905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7</xdr:row>
      <xdr:rowOff>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3C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4733925" y="1362075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6</xdr:row>
      <xdr:rowOff>63500</xdr:rowOff>
    </xdr:from>
    <xdr:to>
      <xdr:col>8</xdr:col>
      <xdr:colOff>485775</xdr:colOff>
      <xdr:row>7</xdr:row>
      <xdr:rowOff>127000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3C00-000008000000}"/>
            </a:ext>
          </a:extLst>
        </xdr:cNvPr>
        <xdr:cNvSpPr/>
      </xdr:nvSpPr>
      <xdr:spPr>
        <a:xfrm>
          <a:off x="4838700" y="12350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3C00-000009000000}"/>
            </a:ext>
          </a:extLst>
        </xdr:cNvPr>
        <xdr:cNvSpPr/>
      </xdr:nvSpPr>
      <xdr:spPr>
        <a:xfrm>
          <a:off x="414337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3C00-00000A000000}"/>
            </a:ext>
          </a:extLst>
        </xdr:cNvPr>
        <xdr:cNvSpPr/>
      </xdr:nvSpPr>
      <xdr:spPr>
        <a:xfrm>
          <a:off x="532447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3C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4733925" y="1652588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7</xdr:row>
      <xdr:rowOff>163513</xdr:rowOff>
    </xdr:from>
    <xdr:to>
      <xdr:col>8</xdr:col>
      <xdr:colOff>485775</xdr:colOff>
      <xdr:row>9</xdr:row>
      <xdr:rowOff>26988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3C00-00000C000000}"/>
            </a:ext>
          </a:extLst>
        </xdr:cNvPr>
        <xdr:cNvSpPr/>
      </xdr:nvSpPr>
      <xdr:spPr>
        <a:xfrm>
          <a:off x="483870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3C00-00000D000000}"/>
            </a:ext>
          </a:extLst>
        </xdr:cNvPr>
        <xdr:cNvSpPr/>
      </xdr:nvSpPr>
      <xdr:spPr>
        <a:xfrm>
          <a:off x="4143375" y="1752600"/>
          <a:ext cx="59055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3C00-00000E000000}"/>
            </a:ext>
          </a:extLst>
        </xdr:cNvPr>
        <xdr:cNvSpPr/>
      </xdr:nvSpPr>
      <xdr:spPr>
        <a:xfrm>
          <a:off x="5324475" y="1752600"/>
          <a:ext cx="59055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00000000-0008-0000-3C00-00000F000000}"/>
            </a:ext>
          </a:extLst>
        </xdr:cNvPr>
        <xdr:cNvCxnSpPr>
          <a:stCxn id="13" idx="3"/>
          <a:endCxn id="14" idx="1"/>
        </xdr:cNvCxnSpPr>
      </xdr:nvCxnSpPr>
      <xdr:spPr>
        <a:xfrm>
          <a:off x="4733925" y="1852613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8</xdr:row>
      <xdr:rowOff>173038</xdr:rowOff>
    </xdr:from>
    <xdr:to>
      <xdr:col>8</xdr:col>
      <xdr:colOff>485775</xdr:colOff>
      <xdr:row>10</xdr:row>
      <xdr:rowOff>26988</xdr:rowOff>
    </xdr:to>
    <xdr:sp macro="" textlink="">
      <xdr:nvSpPr>
        <xdr:cNvPr id="21" name="OpenSolver15">
          <a:extLst>
            <a:ext uri="{FF2B5EF4-FFF2-40B4-BE49-F238E27FC236}">
              <a16:creationId xmlns:a16="http://schemas.microsoft.com/office/drawing/2014/main" id="{00000000-0008-0000-3C00-000015000000}"/>
            </a:ext>
          </a:extLst>
        </xdr:cNvPr>
        <xdr:cNvSpPr/>
      </xdr:nvSpPr>
      <xdr:spPr>
        <a:xfrm>
          <a:off x="4838700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9796" name="OpenSolver1">
          <a:extLst>
            <a:ext uri="{FF2B5EF4-FFF2-40B4-BE49-F238E27FC236}">
              <a16:creationId xmlns:a16="http://schemas.microsoft.com/office/drawing/2014/main" id="{00000000-0008-0000-3D00-000044260000}"/>
            </a:ext>
          </a:extLst>
        </xdr:cNvPr>
        <xdr:cNvSpPr/>
      </xdr:nvSpPr>
      <xdr:spPr>
        <a:xfrm>
          <a:off x="1809750" y="390525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9797" name="OpenSolver2">
          <a:extLst>
            <a:ext uri="{FF2B5EF4-FFF2-40B4-BE49-F238E27FC236}">
              <a16:creationId xmlns:a16="http://schemas.microsoft.com/office/drawing/2014/main" id="{00000000-0008-0000-3D00-000045260000}"/>
            </a:ext>
          </a:extLst>
        </xdr:cNvPr>
        <xdr:cNvSpPr/>
      </xdr:nvSpPr>
      <xdr:spPr>
        <a:xfrm>
          <a:off x="4171950" y="790575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584200</xdr:colOff>
      <xdr:row>3</xdr:row>
      <xdr:rowOff>120650</xdr:rowOff>
    </xdr:from>
    <xdr:to>
      <xdr:col>7</xdr:col>
      <xdr:colOff>224739</xdr:colOff>
      <xdr:row>4</xdr:row>
      <xdr:rowOff>47625</xdr:rowOff>
    </xdr:to>
    <xdr:sp macro="" textlink="">
      <xdr:nvSpPr>
        <xdr:cNvPr id="9798" name="OpenSolver3">
          <a:extLst>
            <a:ext uri="{FF2B5EF4-FFF2-40B4-BE49-F238E27FC236}">
              <a16:creationId xmlns:a16="http://schemas.microsoft.com/office/drawing/2014/main" id="{00000000-0008-0000-3D00-000046260000}"/>
            </a:ext>
          </a:extLst>
        </xdr:cNvPr>
        <xdr:cNvSpPr/>
      </xdr:nvSpPr>
      <xdr:spPr>
        <a:xfrm>
          <a:off x="41656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799" name="OpenSolver4">
          <a:extLst>
            <a:ext uri="{FF2B5EF4-FFF2-40B4-BE49-F238E27FC236}">
              <a16:creationId xmlns:a16="http://schemas.microsoft.com/office/drawing/2014/main" id="{00000000-0008-0000-3D00-000047260000}"/>
            </a:ext>
          </a:extLst>
        </xdr:cNvPr>
        <xdr:cNvSpPr/>
      </xdr:nvSpPr>
      <xdr:spPr>
        <a:xfrm>
          <a:off x="4171950" y="1181100"/>
          <a:ext cx="5905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9800" name="OpenSolver5">
          <a:extLst>
            <a:ext uri="{FF2B5EF4-FFF2-40B4-BE49-F238E27FC236}">
              <a16:creationId xmlns:a16="http://schemas.microsoft.com/office/drawing/2014/main" id="{00000000-0008-0000-3D00-000048260000}"/>
            </a:ext>
          </a:extLst>
        </xdr:cNvPr>
        <xdr:cNvSpPr/>
      </xdr:nvSpPr>
      <xdr:spPr>
        <a:xfrm>
          <a:off x="5353050" y="1181100"/>
          <a:ext cx="5905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7</xdr:row>
      <xdr:rowOff>0</xdr:rowOff>
    </xdr:to>
    <xdr:cxnSp macro="">
      <xdr:nvCxnSpPr>
        <xdr:cNvPr id="9801" name="OpenSolver6">
          <a:extLst>
            <a:ext uri="{FF2B5EF4-FFF2-40B4-BE49-F238E27FC236}">
              <a16:creationId xmlns:a16="http://schemas.microsoft.com/office/drawing/2014/main" id="{00000000-0008-0000-3D00-000049260000}"/>
            </a:ext>
          </a:extLst>
        </xdr:cNvPr>
        <xdr:cNvCxnSpPr>
          <a:stCxn id="9799" idx="3"/>
          <a:endCxn id="9800" idx="1"/>
        </xdr:cNvCxnSpPr>
      </xdr:nvCxnSpPr>
      <xdr:spPr>
        <a:xfrm>
          <a:off x="4762500" y="1371600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6</xdr:row>
      <xdr:rowOff>63500</xdr:rowOff>
    </xdr:from>
    <xdr:to>
      <xdr:col>8</xdr:col>
      <xdr:colOff>485775</xdr:colOff>
      <xdr:row>7</xdr:row>
      <xdr:rowOff>127000</xdr:rowOff>
    </xdr:to>
    <xdr:sp macro="" textlink="">
      <xdr:nvSpPr>
        <xdr:cNvPr id="9802" name="OpenSolver7">
          <a:extLst>
            <a:ext uri="{FF2B5EF4-FFF2-40B4-BE49-F238E27FC236}">
              <a16:creationId xmlns:a16="http://schemas.microsoft.com/office/drawing/2014/main" id="{00000000-0008-0000-3D00-00004A260000}"/>
            </a:ext>
          </a:extLst>
        </xdr:cNvPr>
        <xdr:cNvSpPr/>
      </xdr:nvSpPr>
      <xdr:spPr>
        <a:xfrm>
          <a:off x="4867275" y="1244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72</xdr:row>
      <xdr:rowOff>0</xdr:rowOff>
    </xdr:to>
    <xdr:sp macro="" textlink="">
      <xdr:nvSpPr>
        <xdr:cNvPr id="9803" name="OpenSolver8">
          <a:extLst>
            <a:ext uri="{FF2B5EF4-FFF2-40B4-BE49-F238E27FC236}">
              <a16:creationId xmlns:a16="http://schemas.microsoft.com/office/drawing/2014/main" id="{00000000-0008-0000-3D00-00004B260000}"/>
            </a:ext>
          </a:extLst>
        </xdr:cNvPr>
        <xdr:cNvSpPr/>
      </xdr:nvSpPr>
      <xdr:spPr>
        <a:xfrm>
          <a:off x="4171950" y="1562100"/>
          <a:ext cx="590550" cy="122110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72</xdr:row>
      <xdr:rowOff>0</xdr:rowOff>
    </xdr:to>
    <xdr:sp macro="" textlink="">
      <xdr:nvSpPr>
        <xdr:cNvPr id="9804" name="OpenSolver9">
          <a:extLst>
            <a:ext uri="{FF2B5EF4-FFF2-40B4-BE49-F238E27FC236}">
              <a16:creationId xmlns:a16="http://schemas.microsoft.com/office/drawing/2014/main" id="{00000000-0008-0000-3D00-00004C260000}"/>
            </a:ext>
          </a:extLst>
        </xdr:cNvPr>
        <xdr:cNvSpPr/>
      </xdr:nvSpPr>
      <xdr:spPr>
        <a:xfrm>
          <a:off x="5353050" y="1562100"/>
          <a:ext cx="590550" cy="1221105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180975</xdr:rowOff>
    </xdr:from>
    <xdr:to>
      <xdr:col>9</xdr:col>
      <xdr:colOff>0</xdr:colOff>
      <xdr:row>39</xdr:row>
      <xdr:rowOff>180975</xdr:rowOff>
    </xdr:to>
    <xdr:cxnSp macro="">
      <xdr:nvCxnSpPr>
        <xdr:cNvPr id="9805" name="OpenSolver10">
          <a:extLst>
            <a:ext uri="{FF2B5EF4-FFF2-40B4-BE49-F238E27FC236}">
              <a16:creationId xmlns:a16="http://schemas.microsoft.com/office/drawing/2014/main" id="{00000000-0008-0000-3D00-00004D260000}"/>
            </a:ext>
          </a:extLst>
        </xdr:cNvPr>
        <xdr:cNvCxnSpPr>
          <a:stCxn id="9803" idx="3"/>
          <a:endCxn id="9804" idx="1"/>
        </xdr:cNvCxnSpPr>
      </xdr:nvCxnSpPr>
      <xdr:spPr>
        <a:xfrm>
          <a:off x="4762500" y="76676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39</xdr:row>
      <xdr:rowOff>53975</xdr:rowOff>
    </xdr:from>
    <xdr:to>
      <xdr:col>8</xdr:col>
      <xdr:colOff>485775</xdr:colOff>
      <xdr:row>40</xdr:row>
      <xdr:rowOff>117475</xdr:rowOff>
    </xdr:to>
    <xdr:sp macro="" textlink="">
      <xdr:nvSpPr>
        <xdr:cNvPr id="9806" name="OpenSolver11">
          <a:extLst>
            <a:ext uri="{FF2B5EF4-FFF2-40B4-BE49-F238E27FC236}">
              <a16:creationId xmlns:a16="http://schemas.microsoft.com/office/drawing/2014/main" id="{00000000-0008-0000-3D00-00004E260000}"/>
            </a:ext>
          </a:extLst>
        </xdr:cNvPr>
        <xdr:cNvSpPr/>
      </xdr:nvSpPr>
      <xdr:spPr>
        <a:xfrm>
          <a:off x="4867275" y="75406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72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9807" name="OpenSolver12">
          <a:extLst>
            <a:ext uri="{FF2B5EF4-FFF2-40B4-BE49-F238E27FC236}">
              <a16:creationId xmlns:a16="http://schemas.microsoft.com/office/drawing/2014/main" id="{00000000-0008-0000-3D00-00004F260000}"/>
            </a:ext>
          </a:extLst>
        </xdr:cNvPr>
        <xdr:cNvSpPr/>
      </xdr:nvSpPr>
      <xdr:spPr>
        <a:xfrm>
          <a:off x="4171950" y="137731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9808" name="OpenSolver13">
          <a:extLst>
            <a:ext uri="{FF2B5EF4-FFF2-40B4-BE49-F238E27FC236}">
              <a16:creationId xmlns:a16="http://schemas.microsoft.com/office/drawing/2014/main" id="{00000000-0008-0000-3D00-000050260000}"/>
            </a:ext>
          </a:extLst>
        </xdr:cNvPr>
        <xdr:cNvSpPr/>
      </xdr:nvSpPr>
      <xdr:spPr>
        <a:xfrm>
          <a:off x="5353050" y="137731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95250</xdr:rowOff>
    </xdr:from>
    <xdr:to>
      <xdr:col>9</xdr:col>
      <xdr:colOff>0</xdr:colOff>
      <xdr:row>72</xdr:row>
      <xdr:rowOff>95250</xdr:rowOff>
    </xdr:to>
    <xdr:cxnSp macro="">
      <xdr:nvCxnSpPr>
        <xdr:cNvPr id="9809" name="OpenSolver14">
          <a:extLst>
            <a:ext uri="{FF2B5EF4-FFF2-40B4-BE49-F238E27FC236}">
              <a16:creationId xmlns:a16="http://schemas.microsoft.com/office/drawing/2014/main" id="{00000000-0008-0000-3D00-000051260000}"/>
            </a:ext>
          </a:extLst>
        </xdr:cNvPr>
        <xdr:cNvCxnSpPr>
          <a:stCxn id="9807" idx="3"/>
          <a:endCxn id="9808" idx="1"/>
        </xdr:cNvCxnSpPr>
      </xdr:nvCxnSpPr>
      <xdr:spPr>
        <a:xfrm>
          <a:off x="4762500" y="13868400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71</xdr:row>
      <xdr:rowOff>158750</xdr:rowOff>
    </xdr:from>
    <xdr:to>
      <xdr:col>8</xdr:col>
      <xdr:colOff>485775</xdr:colOff>
      <xdr:row>73</xdr:row>
      <xdr:rowOff>31750</xdr:rowOff>
    </xdr:to>
    <xdr:sp macro="" textlink="">
      <xdr:nvSpPr>
        <xdr:cNvPr id="9810" name="OpenSolver15">
          <a:extLst>
            <a:ext uri="{FF2B5EF4-FFF2-40B4-BE49-F238E27FC236}">
              <a16:creationId xmlns:a16="http://schemas.microsoft.com/office/drawing/2014/main" id="{00000000-0008-0000-3D00-000052260000}"/>
            </a:ext>
          </a:extLst>
        </xdr:cNvPr>
        <xdr:cNvSpPr/>
      </xdr:nvSpPr>
      <xdr:spPr>
        <a:xfrm>
          <a:off x="4867275" y="137414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73</xdr:row>
      <xdr:rowOff>0</xdr:rowOff>
    </xdr:from>
    <xdr:to>
      <xdr:col>8</xdr:col>
      <xdr:colOff>0</xdr:colOff>
      <xdr:row>74</xdr:row>
      <xdr:rowOff>0</xdr:rowOff>
    </xdr:to>
    <xdr:sp macro="" textlink="">
      <xdr:nvSpPr>
        <xdr:cNvPr id="9811" name="OpenSolver16">
          <a:extLst>
            <a:ext uri="{FF2B5EF4-FFF2-40B4-BE49-F238E27FC236}">
              <a16:creationId xmlns:a16="http://schemas.microsoft.com/office/drawing/2014/main" id="{00000000-0008-0000-3D00-000053260000}"/>
            </a:ext>
          </a:extLst>
        </xdr:cNvPr>
        <xdr:cNvSpPr/>
      </xdr:nvSpPr>
      <xdr:spPr>
        <a:xfrm>
          <a:off x="4171950" y="139636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73</xdr:row>
      <xdr:rowOff>0</xdr:rowOff>
    </xdr:from>
    <xdr:to>
      <xdr:col>10</xdr:col>
      <xdr:colOff>0</xdr:colOff>
      <xdr:row>74</xdr:row>
      <xdr:rowOff>0</xdr:rowOff>
    </xdr:to>
    <xdr:sp macro="" textlink="">
      <xdr:nvSpPr>
        <xdr:cNvPr id="9812" name="OpenSolver17">
          <a:extLst>
            <a:ext uri="{FF2B5EF4-FFF2-40B4-BE49-F238E27FC236}">
              <a16:creationId xmlns:a16="http://schemas.microsoft.com/office/drawing/2014/main" id="{00000000-0008-0000-3D00-000054260000}"/>
            </a:ext>
          </a:extLst>
        </xdr:cNvPr>
        <xdr:cNvSpPr/>
      </xdr:nvSpPr>
      <xdr:spPr>
        <a:xfrm>
          <a:off x="5353050" y="139636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95250</xdr:rowOff>
    </xdr:from>
    <xdr:to>
      <xdr:col>9</xdr:col>
      <xdr:colOff>0</xdr:colOff>
      <xdr:row>73</xdr:row>
      <xdr:rowOff>95250</xdr:rowOff>
    </xdr:to>
    <xdr:cxnSp macro="">
      <xdr:nvCxnSpPr>
        <xdr:cNvPr id="9813" name="OpenSolver18">
          <a:extLst>
            <a:ext uri="{FF2B5EF4-FFF2-40B4-BE49-F238E27FC236}">
              <a16:creationId xmlns:a16="http://schemas.microsoft.com/office/drawing/2014/main" id="{00000000-0008-0000-3D00-000055260000}"/>
            </a:ext>
          </a:extLst>
        </xdr:cNvPr>
        <xdr:cNvCxnSpPr>
          <a:stCxn id="9811" idx="3"/>
          <a:endCxn id="9812" idx="1"/>
        </xdr:cNvCxnSpPr>
      </xdr:nvCxnSpPr>
      <xdr:spPr>
        <a:xfrm>
          <a:off x="4762500" y="14058900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72</xdr:row>
      <xdr:rowOff>158750</xdr:rowOff>
    </xdr:from>
    <xdr:to>
      <xdr:col>8</xdr:col>
      <xdr:colOff>485775</xdr:colOff>
      <xdr:row>74</xdr:row>
      <xdr:rowOff>31750</xdr:rowOff>
    </xdr:to>
    <xdr:sp macro="" textlink="">
      <xdr:nvSpPr>
        <xdr:cNvPr id="9814" name="OpenSolver19">
          <a:extLst>
            <a:ext uri="{FF2B5EF4-FFF2-40B4-BE49-F238E27FC236}">
              <a16:creationId xmlns:a16="http://schemas.microsoft.com/office/drawing/2014/main" id="{00000000-0008-0000-3D00-000056260000}"/>
            </a:ext>
          </a:extLst>
        </xdr:cNvPr>
        <xdr:cNvSpPr/>
      </xdr:nvSpPr>
      <xdr:spPr>
        <a:xfrm>
          <a:off x="4867275" y="139319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74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815" name="OpenSolver20">
          <a:extLst>
            <a:ext uri="{FF2B5EF4-FFF2-40B4-BE49-F238E27FC236}">
              <a16:creationId xmlns:a16="http://schemas.microsoft.com/office/drawing/2014/main" id="{00000000-0008-0000-3D00-000057260000}"/>
            </a:ext>
          </a:extLst>
        </xdr:cNvPr>
        <xdr:cNvSpPr/>
      </xdr:nvSpPr>
      <xdr:spPr>
        <a:xfrm>
          <a:off x="4171950" y="14154150"/>
          <a:ext cx="590550" cy="12192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t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74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816" name="OpenSolver21">
          <a:extLst>
            <a:ext uri="{FF2B5EF4-FFF2-40B4-BE49-F238E27FC236}">
              <a16:creationId xmlns:a16="http://schemas.microsoft.com/office/drawing/2014/main" id="{00000000-0008-0000-3D00-000058260000}"/>
            </a:ext>
          </a:extLst>
        </xdr:cNvPr>
        <xdr:cNvSpPr/>
      </xdr:nvSpPr>
      <xdr:spPr>
        <a:xfrm>
          <a:off x="5353050" y="14154150"/>
          <a:ext cx="590550" cy="121920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0</xdr:rowOff>
    </xdr:from>
    <xdr:to>
      <xdr:col>9</xdr:col>
      <xdr:colOff>0</xdr:colOff>
      <xdr:row>106</xdr:row>
      <xdr:rowOff>0</xdr:rowOff>
    </xdr:to>
    <xdr:cxnSp macro="">
      <xdr:nvCxnSpPr>
        <xdr:cNvPr id="9817" name="OpenSolver22">
          <a:extLst>
            <a:ext uri="{FF2B5EF4-FFF2-40B4-BE49-F238E27FC236}">
              <a16:creationId xmlns:a16="http://schemas.microsoft.com/office/drawing/2014/main" id="{00000000-0008-0000-3D00-000059260000}"/>
            </a:ext>
          </a:extLst>
        </xdr:cNvPr>
        <xdr:cNvCxnSpPr>
          <a:stCxn id="9815" idx="3"/>
          <a:endCxn id="9816" idx="1"/>
        </xdr:cNvCxnSpPr>
      </xdr:nvCxnSpPr>
      <xdr:spPr>
        <a:xfrm>
          <a:off x="4762500" y="20250150"/>
          <a:ext cx="59055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105</xdr:row>
      <xdr:rowOff>63500</xdr:rowOff>
    </xdr:from>
    <xdr:to>
      <xdr:col>8</xdr:col>
      <xdr:colOff>485775</xdr:colOff>
      <xdr:row>106</xdr:row>
      <xdr:rowOff>127000</xdr:rowOff>
    </xdr:to>
    <xdr:sp macro="" textlink="">
      <xdr:nvSpPr>
        <xdr:cNvPr id="9818" name="OpenSolver23">
          <a:extLst>
            <a:ext uri="{FF2B5EF4-FFF2-40B4-BE49-F238E27FC236}">
              <a16:creationId xmlns:a16="http://schemas.microsoft.com/office/drawing/2014/main" id="{00000000-0008-0000-3D00-00005A260000}"/>
            </a:ext>
          </a:extLst>
        </xdr:cNvPr>
        <xdr:cNvSpPr/>
      </xdr:nvSpPr>
      <xdr:spPr>
        <a:xfrm>
          <a:off x="4867275" y="201231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138</xdr:row>
      <xdr:rowOff>0</xdr:rowOff>
    </xdr:from>
    <xdr:to>
      <xdr:col>8</xdr:col>
      <xdr:colOff>0</xdr:colOff>
      <xdr:row>139</xdr:row>
      <xdr:rowOff>0</xdr:rowOff>
    </xdr:to>
    <xdr:sp macro="" textlink="">
      <xdr:nvSpPr>
        <xdr:cNvPr id="9819" name="OpenSolver24">
          <a:extLst>
            <a:ext uri="{FF2B5EF4-FFF2-40B4-BE49-F238E27FC236}">
              <a16:creationId xmlns:a16="http://schemas.microsoft.com/office/drawing/2014/main" id="{00000000-0008-0000-3D00-00005B260000}"/>
            </a:ext>
          </a:extLst>
        </xdr:cNvPr>
        <xdr:cNvSpPr/>
      </xdr:nvSpPr>
      <xdr:spPr>
        <a:xfrm>
          <a:off x="4171950" y="26346150"/>
          <a:ext cx="5905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10</xdr:col>
      <xdr:colOff>0</xdr:colOff>
      <xdr:row>139</xdr:row>
      <xdr:rowOff>0</xdr:rowOff>
    </xdr:to>
    <xdr:sp macro="" textlink="">
      <xdr:nvSpPr>
        <xdr:cNvPr id="9820" name="OpenSolver25">
          <a:extLst>
            <a:ext uri="{FF2B5EF4-FFF2-40B4-BE49-F238E27FC236}">
              <a16:creationId xmlns:a16="http://schemas.microsoft.com/office/drawing/2014/main" id="{00000000-0008-0000-3D00-00005C260000}"/>
            </a:ext>
          </a:extLst>
        </xdr:cNvPr>
        <xdr:cNvSpPr/>
      </xdr:nvSpPr>
      <xdr:spPr>
        <a:xfrm>
          <a:off x="5353050" y="26346150"/>
          <a:ext cx="5905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95250</xdr:rowOff>
    </xdr:from>
    <xdr:to>
      <xdr:col>9</xdr:col>
      <xdr:colOff>0</xdr:colOff>
      <xdr:row>138</xdr:row>
      <xdr:rowOff>95250</xdr:rowOff>
    </xdr:to>
    <xdr:cxnSp macro="">
      <xdr:nvCxnSpPr>
        <xdr:cNvPr id="9821" name="OpenSolver26">
          <a:extLst>
            <a:ext uri="{FF2B5EF4-FFF2-40B4-BE49-F238E27FC236}">
              <a16:creationId xmlns:a16="http://schemas.microsoft.com/office/drawing/2014/main" id="{00000000-0008-0000-3D00-00005D260000}"/>
            </a:ext>
          </a:extLst>
        </xdr:cNvPr>
        <xdr:cNvCxnSpPr>
          <a:stCxn id="9819" idx="3"/>
          <a:endCxn id="9820" idx="1"/>
        </xdr:cNvCxnSpPr>
      </xdr:nvCxnSpPr>
      <xdr:spPr>
        <a:xfrm>
          <a:off x="4762500" y="26441400"/>
          <a:ext cx="59055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137</xdr:row>
      <xdr:rowOff>158750</xdr:rowOff>
    </xdr:from>
    <xdr:to>
      <xdr:col>8</xdr:col>
      <xdr:colOff>485775</xdr:colOff>
      <xdr:row>139</xdr:row>
      <xdr:rowOff>31750</xdr:rowOff>
    </xdr:to>
    <xdr:sp macro="" textlink="">
      <xdr:nvSpPr>
        <xdr:cNvPr id="9822" name="OpenSolver27">
          <a:extLst>
            <a:ext uri="{FF2B5EF4-FFF2-40B4-BE49-F238E27FC236}">
              <a16:creationId xmlns:a16="http://schemas.microsoft.com/office/drawing/2014/main" id="{00000000-0008-0000-3D00-00005E260000}"/>
            </a:ext>
          </a:extLst>
        </xdr:cNvPr>
        <xdr:cNvSpPr/>
      </xdr:nvSpPr>
      <xdr:spPr>
        <a:xfrm>
          <a:off x="4867275" y="263144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3E00-000002000000}"/>
            </a:ext>
          </a:extLst>
        </xdr:cNvPr>
        <xdr:cNvSpPr/>
      </xdr:nvSpPr>
      <xdr:spPr>
        <a:xfrm>
          <a:off x="1819275" y="390525"/>
          <a:ext cx="17716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3E00-000003000000}"/>
            </a:ext>
          </a:extLst>
        </xdr:cNvPr>
        <xdr:cNvSpPr/>
      </xdr:nvSpPr>
      <xdr:spPr>
        <a:xfrm>
          <a:off x="4181475" y="781050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574675</xdr:colOff>
      <xdr:row>3</xdr:row>
      <xdr:rowOff>130175</xdr:rowOff>
    </xdr:from>
    <xdr:to>
      <xdr:col>7</xdr:col>
      <xdr:colOff>215214</xdr:colOff>
      <xdr:row>4</xdr:row>
      <xdr:rowOff>57150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3E00-000004000000}"/>
            </a:ext>
          </a:extLst>
        </xdr:cNvPr>
        <xdr:cNvSpPr/>
      </xdr:nvSpPr>
      <xdr:spPr>
        <a:xfrm>
          <a:off x="41656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3E00-000005000000}"/>
            </a:ext>
          </a:extLst>
        </xdr:cNvPr>
        <xdr:cNvSpPr/>
      </xdr:nvSpPr>
      <xdr:spPr>
        <a:xfrm>
          <a:off x="4181475" y="1171575"/>
          <a:ext cx="5905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3E00-000006000000}"/>
            </a:ext>
          </a:extLst>
        </xdr:cNvPr>
        <xdr:cNvSpPr/>
      </xdr:nvSpPr>
      <xdr:spPr>
        <a:xfrm>
          <a:off x="5362575" y="1171575"/>
          <a:ext cx="5905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7</xdr:row>
      <xdr:rowOff>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3E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4772025" y="1362075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6</xdr:row>
      <xdr:rowOff>63500</xdr:rowOff>
    </xdr:from>
    <xdr:to>
      <xdr:col>8</xdr:col>
      <xdr:colOff>485775</xdr:colOff>
      <xdr:row>7</xdr:row>
      <xdr:rowOff>127000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3E00-000008000000}"/>
            </a:ext>
          </a:extLst>
        </xdr:cNvPr>
        <xdr:cNvSpPr/>
      </xdr:nvSpPr>
      <xdr:spPr>
        <a:xfrm>
          <a:off x="4876800" y="12350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3E00-000009000000}"/>
            </a:ext>
          </a:extLst>
        </xdr:cNvPr>
        <xdr:cNvSpPr/>
      </xdr:nvSpPr>
      <xdr:spPr>
        <a:xfrm>
          <a:off x="418147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3E00-00000A000000}"/>
            </a:ext>
          </a:extLst>
        </xdr:cNvPr>
        <xdr:cNvSpPr/>
      </xdr:nvSpPr>
      <xdr:spPr>
        <a:xfrm>
          <a:off x="5362575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3E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4772025" y="1652588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7</xdr:row>
      <xdr:rowOff>163513</xdr:rowOff>
    </xdr:from>
    <xdr:to>
      <xdr:col>8</xdr:col>
      <xdr:colOff>485775</xdr:colOff>
      <xdr:row>9</xdr:row>
      <xdr:rowOff>26988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3E00-00000C000000}"/>
            </a:ext>
          </a:extLst>
        </xdr:cNvPr>
        <xdr:cNvSpPr/>
      </xdr:nvSpPr>
      <xdr:spPr>
        <a:xfrm>
          <a:off x="487680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3E00-00000D000000}"/>
            </a:ext>
          </a:extLst>
        </xdr:cNvPr>
        <xdr:cNvSpPr/>
      </xdr:nvSpPr>
      <xdr:spPr>
        <a:xfrm>
          <a:off x="4181475" y="1752600"/>
          <a:ext cx="59055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3E00-00000E000000}"/>
            </a:ext>
          </a:extLst>
        </xdr:cNvPr>
        <xdr:cNvSpPr/>
      </xdr:nvSpPr>
      <xdr:spPr>
        <a:xfrm>
          <a:off x="5362575" y="1752600"/>
          <a:ext cx="59055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9</xdr:row>
      <xdr:rowOff>100013</xdr:rowOff>
    </xdr:from>
    <xdr:to>
      <xdr:col>9</xdr:col>
      <xdr:colOff>0</xdr:colOff>
      <xdr:row>9</xdr:row>
      <xdr:rowOff>100013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00000000-0008-0000-3E00-00000F000000}"/>
            </a:ext>
          </a:extLst>
        </xdr:cNvPr>
        <xdr:cNvCxnSpPr>
          <a:stCxn id="13" idx="3"/>
          <a:endCxn id="14" idx="1"/>
        </xdr:cNvCxnSpPr>
      </xdr:nvCxnSpPr>
      <xdr:spPr>
        <a:xfrm>
          <a:off x="4772025" y="1852613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104775</xdr:colOff>
      <xdr:row>8</xdr:row>
      <xdr:rowOff>173038</xdr:rowOff>
    </xdr:from>
    <xdr:to>
      <xdr:col>8</xdr:col>
      <xdr:colOff>485775</xdr:colOff>
      <xdr:row>10</xdr:row>
      <xdr:rowOff>26988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00000000-0008-0000-3E00-000010000000}"/>
            </a:ext>
          </a:extLst>
        </xdr:cNvPr>
        <xdr:cNvSpPr/>
      </xdr:nvSpPr>
      <xdr:spPr>
        <a:xfrm>
          <a:off x="4876800" y="17256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3F00-000002000000}"/>
            </a:ext>
          </a:extLst>
        </xdr:cNvPr>
        <xdr:cNvSpPr/>
      </xdr:nvSpPr>
      <xdr:spPr>
        <a:xfrm>
          <a:off x="1847850" y="781050"/>
          <a:ext cx="11811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3F00-000003000000}"/>
            </a:ext>
          </a:extLst>
        </xdr:cNvPr>
        <xdr:cNvSpPr/>
      </xdr:nvSpPr>
      <xdr:spPr>
        <a:xfrm>
          <a:off x="30289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584200</xdr:colOff>
      <xdr:row>4</xdr:row>
      <xdr:rowOff>107950</xdr:rowOff>
    </xdr:from>
    <xdr:to>
      <xdr:col>5</xdr:col>
      <xdr:colOff>242885</xdr:colOff>
      <xdr:row>5</xdr:row>
      <xdr:rowOff>44450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3F00-000004000000}"/>
            </a:ext>
          </a:extLst>
        </xdr:cNvPr>
        <xdr:cNvSpPr/>
      </xdr:nvSpPr>
      <xdr:spPr>
        <a:xfrm>
          <a:off x="30226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3F00-000005000000}"/>
            </a:ext>
          </a:extLst>
        </xdr:cNvPr>
        <xdr:cNvSpPr/>
      </xdr:nvSpPr>
      <xdr:spPr>
        <a:xfrm>
          <a:off x="30289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3F00-000006000000}"/>
            </a:ext>
          </a:extLst>
        </xdr:cNvPr>
        <xdr:cNvSpPr/>
      </xdr:nvSpPr>
      <xdr:spPr>
        <a:xfrm>
          <a:off x="4210050" y="1362075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</xdr:row>
      <xdr:rowOff>4763</xdr:rowOff>
    </xdr:from>
    <xdr:to>
      <xdr:col>7</xdr:col>
      <xdr:colOff>0</xdr:colOff>
      <xdr:row>8</xdr:row>
      <xdr:rowOff>4763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3F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3619500" y="1557338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7</xdr:row>
      <xdr:rowOff>68263</xdr:rowOff>
    </xdr:from>
    <xdr:to>
      <xdr:col>6</xdr:col>
      <xdr:colOff>485775</xdr:colOff>
      <xdr:row>8</xdr:row>
      <xdr:rowOff>131763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3F00-000008000000}"/>
            </a:ext>
          </a:extLst>
        </xdr:cNvPr>
        <xdr:cNvSpPr/>
      </xdr:nvSpPr>
      <xdr:spPr>
        <a:xfrm>
          <a:off x="3724275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3F00-000009000000}"/>
            </a:ext>
          </a:extLst>
        </xdr:cNvPr>
        <xdr:cNvSpPr/>
      </xdr:nvSpPr>
      <xdr:spPr>
        <a:xfrm>
          <a:off x="3028950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3F00-00000A000000}"/>
            </a:ext>
          </a:extLst>
        </xdr:cNvPr>
        <xdr:cNvSpPr/>
      </xdr:nvSpPr>
      <xdr:spPr>
        <a:xfrm>
          <a:off x="4210050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9</xdr:row>
      <xdr:rowOff>195263</xdr:rowOff>
    </xdr:from>
    <xdr:to>
      <xdr:col>7</xdr:col>
      <xdr:colOff>0</xdr:colOff>
      <xdr:row>9</xdr:row>
      <xdr:rowOff>195263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3F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3619500" y="1947863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9</xdr:row>
      <xdr:rowOff>68263</xdr:rowOff>
    </xdr:from>
    <xdr:to>
      <xdr:col>6</xdr:col>
      <xdr:colOff>485775</xdr:colOff>
      <xdr:row>10</xdr:row>
      <xdr:rowOff>122238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3F00-00000C000000}"/>
            </a:ext>
          </a:extLst>
        </xdr:cNvPr>
        <xdr:cNvSpPr/>
      </xdr:nvSpPr>
      <xdr:spPr>
        <a:xfrm>
          <a:off x="3724275" y="18208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18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3F00-00000D000000}"/>
            </a:ext>
          </a:extLst>
        </xdr:cNvPr>
        <xdr:cNvSpPr/>
      </xdr:nvSpPr>
      <xdr:spPr>
        <a:xfrm>
          <a:off x="3028950" y="2143125"/>
          <a:ext cx="590550" cy="1343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3F00-00000E000000}"/>
            </a:ext>
          </a:extLst>
        </xdr:cNvPr>
        <xdr:cNvSpPr/>
      </xdr:nvSpPr>
      <xdr:spPr>
        <a:xfrm>
          <a:off x="4210050" y="2143125"/>
          <a:ext cx="590550" cy="1343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14</xdr:row>
      <xdr:rowOff>100013</xdr:rowOff>
    </xdr:from>
    <xdr:to>
      <xdr:col>7</xdr:col>
      <xdr:colOff>0</xdr:colOff>
      <xdr:row>14</xdr:row>
      <xdr:rowOff>100013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00000000-0008-0000-3F00-00000F000000}"/>
            </a:ext>
          </a:extLst>
        </xdr:cNvPr>
        <xdr:cNvCxnSpPr>
          <a:stCxn id="13" idx="3"/>
          <a:endCxn id="14" idx="1"/>
        </xdr:cNvCxnSpPr>
      </xdr:nvCxnSpPr>
      <xdr:spPr>
        <a:xfrm>
          <a:off x="3619500" y="2814638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104775</xdr:colOff>
      <xdr:row>13</xdr:row>
      <xdr:rowOff>163513</xdr:rowOff>
    </xdr:from>
    <xdr:to>
      <xdr:col>6</xdr:col>
      <xdr:colOff>485775</xdr:colOff>
      <xdr:row>15</xdr:row>
      <xdr:rowOff>26988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00000000-0008-0000-3F00-000010000000}"/>
            </a:ext>
          </a:extLst>
        </xdr:cNvPr>
        <xdr:cNvSpPr/>
      </xdr:nvSpPr>
      <xdr:spPr>
        <a:xfrm>
          <a:off x="3724275" y="26876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4000-000002000000}"/>
            </a:ext>
          </a:extLst>
        </xdr:cNvPr>
        <xdr:cNvSpPr/>
      </xdr:nvSpPr>
      <xdr:spPr>
        <a:xfrm>
          <a:off x="1790700" y="581025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4000-000003000000}"/>
            </a:ext>
          </a:extLst>
        </xdr:cNvPr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4</xdr:row>
      <xdr:rowOff>107950</xdr:rowOff>
    </xdr:from>
    <xdr:to>
      <xdr:col>6</xdr:col>
      <xdr:colOff>242885</xdr:colOff>
      <xdr:row>5</xdr:row>
      <xdr:rowOff>44450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4000-000004000000}"/>
            </a:ext>
          </a:extLst>
        </xdr:cNvPr>
        <xdr:cNvSpPr/>
      </xdr:nvSpPr>
      <xdr:spPr>
        <a:xfrm>
          <a:off x="35560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4000-000005000000}"/>
            </a:ext>
          </a:extLst>
        </xdr:cNvPr>
        <xdr:cNvSpPr/>
      </xdr:nvSpPr>
      <xdr:spPr>
        <a:xfrm>
          <a:off x="35623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4000-000006000000}"/>
            </a:ext>
          </a:extLst>
        </xdr:cNvPr>
        <xdr:cNvSpPr/>
      </xdr:nvSpPr>
      <xdr:spPr>
        <a:xfrm>
          <a:off x="47434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40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4152900" y="1457325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4000-000008000000}"/>
            </a:ext>
          </a:extLst>
        </xdr:cNvPr>
        <xdr:cNvSpPr/>
      </xdr:nvSpPr>
      <xdr:spPr>
        <a:xfrm>
          <a:off x="42576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4000-000009000000}"/>
            </a:ext>
          </a:extLst>
        </xdr:cNvPr>
        <xdr:cNvSpPr/>
      </xdr:nvSpPr>
      <xdr:spPr>
        <a:xfrm>
          <a:off x="18034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6350</xdr:colOff>
      <xdr:row>3</xdr:row>
      <xdr:rowOff>15875</xdr:rowOff>
    </xdr:from>
    <xdr:to>
      <xdr:col>4</xdr:col>
      <xdr:colOff>58480</xdr:colOff>
      <xdr:row>3</xdr:row>
      <xdr:rowOff>130175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4000-00000A000000}"/>
            </a:ext>
          </a:extLst>
        </xdr:cNvPr>
        <xdr:cNvSpPr/>
      </xdr:nvSpPr>
      <xdr:spPr>
        <a:xfrm>
          <a:off x="2387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12700</xdr:colOff>
      <xdr:row>3</xdr:row>
      <xdr:rowOff>15875</xdr:rowOff>
    </xdr:from>
    <xdr:to>
      <xdr:col>5</xdr:col>
      <xdr:colOff>64830</xdr:colOff>
      <xdr:row>3</xdr:row>
      <xdr:rowOff>130175</xdr:rowOff>
    </xdr:to>
    <xdr:sp macro="" textlink="">
      <xdr:nvSpPr>
        <xdr:cNvPr id="11" name="OpenSolver10">
          <a:extLst>
            <a:ext uri="{FF2B5EF4-FFF2-40B4-BE49-F238E27FC236}">
              <a16:creationId xmlns:a16="http://schemas.microsoft.com/office/drawing/2014/main" id="{00000000-0008-0000-4000-00000B000000}"/>
            </a:ext>
          </a:extLst>
        </xdr:cNvPr>
        <xdr:cNvSpPr/>
      </xdr:nvSpPr>
      <xdr:spPr>
        <a:xfrm>
          <a:off x="29845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4100-000002000000}"/>
            </a:ext>
          </a:extLst>
        </xdr:cNvPr>
        <xdr:cNvSpPr/>
      </xdr:nvSpPr>
      <xdr:spPr>
        <a:xfrm>
          <a:off x="1790700" y="781050"/>
          <a:ext cx="29527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4100-000003000000}"/>
            </a:ext>
          </a:extLst>
        </xdr:cNvPr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571500</xdr:colOff>
      <xdr:row>4</xdr:row>
      <xdr:rowOff>107950</xdr:rowOff>
    </xdr:from>
    <xdr:to>
      <xdr:col>8</xdr:col>
      <xdr:colOff>212039</xdr:colOff>
      <xdr:row>5</xdr:row>
      <xdr:rowOff>44450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4100-000004000000}"/>
            </a:ext>
          </a:extLst>
        </xdr:cNvPr>
        <xdr:cNvSpPr/>
      </xdr:nvSpPr>
      <xdr:spPr>
        <a:xfrm>
          <a:off x="4724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4100-000005000000}"/>
            </a:ext>
          </a:extLst>
        </xdr:cNvPr>
        <xdr:cNvSpPr/>
      </xdr:nvSpPr>
      <xdr:spPr>
        <a:xfrm>
          <a:off x="4743450" y="1171575"/>
          <a:ext cx="5905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4100-000006000000}"/>
            </a:ext>
          </a:extLst>
        </xdr:cNvPr>
        <xdr:cNvSpPr/>
      </xdr:nvSpPr>
      <xdr:spPr>
        <a:xfrm>
          <a:off x="5924550" y="1171575"/>
          <a:ext cx="59055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100013</xdr:rowOff>
    </xdr:from>
    <xdr:to>
      <xdr:col>10</xdr:col>
      <xdr:colOff>0</xdr:colOff>
      <xdr:row>7</xdr:row>
      <xdr:rowOff>100013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41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5334000" y="1462088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104775</xdr:colOff>
      <xdr:row>6</xdr:row>
      <xdr:rowOff>163513</xdr:rowOff>
    </xdr:from>
    <xdr:to>
      <xdr:col>9</xdr:col>
      <xdr:colOff>485775</xdr:colOff>
      <xdr:row>8</xdr:row>
      <xdr:rowOff>36513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4100-000008000000}"/>
            </a:ext>
          </a:extLst>
        </xdr:cNvPr>
        <xdr:cNvSpPr/>
      </xdr:nvSpPr>
      <xdr:spPr>
        <a:xfrm>
          <a:off x="5438775" y="13350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11" name="OpenSolver1">
          <a:extLst>
            <a:ext uri="{FF2B5EF4-FFF2-40B4-BE49-F238E27FC236}">
              <a16:creationId xmlns:a16="http://schemas.microsoft.com/office/drawing/2014/main" id="{00000000-0008-0000-4200-00000B000000}"/>
            </a:ext>
          </a:extLst>
        </xdr:cNvPr>
        <xdr:cNvSpPr/>
      </xdr:nvSpPr>
      <xdr:spPr>
        <a:xfrm>
          <a:off x="1219200" y="581025"/>
          <a:ext cx="12382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" textlink="">
      <xdr:nvSpPr>
        <xdr:cNvPr id="12" name="OpenSolver2">
          <a:extLst>
            <a:ext uri="{FF2B5EF4-FFF2-40B4-BE49-F238E27FC236}">
              <a16:creationId xmlns:a16="http://schemas.microsoft.com/office/drawing/2014/main" id="{00000000-0008-0000-4200-00000C000000}"/>
            </a:ext>
          </a:extLst>
        </xdr:cNvPr>
        <xdr:cNvSpPr/>
      </xdr:nvSpPr>
      <xdr:spPr>
        <a:xfrm>
          <a:off x="1219200" y="971550"/>
          <a:ext cx="61912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206375</xdr:colOff>
      <xdr:row>4</xdr:row>
      <xdr:rowOff>107950</xdr:rowOff>
    </xdr:from>
    <xdr:to>
      <xdr:col>2</xdr:col>
      <xdr:colOff>218389</xdr:colOff>
      <xdr:row>5</xdr:row>
      <xdr:rowOff>44450</xdr:rowOff>
    </xdr:to>
    <xdr:sp macro="" textlink="">
      <xdr:nvSpPr>
        <xdr:cNvPr id="13" name="OpenSolver3">
          <a:extLst>
            <a:ext uri="{FF2B5EF4-FFF2-40B4-BE49-F238E27FC236}">
              <a16:creationId xmlns:a16="http://schemas.microsoft.com/office/drawing/2014/main" id="{00000000-0008-0000-4200-00000D000000}"/>
            </a:ext>
          </a:extLst>
        </xdr:cNvPr>
        <xdr:cNvSpPr/>
      </xdr:nvSpPr>
      <xdr:spPr>
        <a:xfrm>
          <a:off x="12065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14" name="OpenSolver4">
          <a:extLst>
            <a:ext uri="{FF2B5EF4-FFF2-40B4-BE49-F238E27FC236}">
              <a16:creationId xmlns:a16="http://schemas.microsoft.com/office/drawing/2014/main" id="{00000000-0008-0000-4200-00000E000000}"/>
            </a:ext>
          </a:extLst>
        </xdr:cNvPr>
        <xdr:cNvSpPr/>
      </xdr:nvSpPr>
      <xdr:spPr>
        <a:xfrm>
          <a:off x="2457450" y="1362075"/>
          <a:ext cx="3619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15" name="OpenSolver5">
          <a:extLst>
            <a:ext uri="{FF2B5EF4-FFF2-40B4-BE49-F238E27FC236}">
              <a16:creationId xmlns:a16="http://schemas.microsoft.com/office/drawing/2014/main" id="{00000000-0008-0000-4200-00000F000000}"/>
            </a:ext>
          </a:extLst>
        </xdr:cNvPr>
        <xdr:cNvSpPr/>
      </xdr:nvSpPr>
      <xdr:spPr>
        <a:xfrm>
          <a:off x="3067050" y="1362075"/>
          <a:ext cx="1905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8</xdr:row>
      <xdr:rowOff>4763</xdr:rowOff>
    </xdr:from>
    <xdr:to>
      <xdr:col>6</xdr:col>
      <xdr:colOff>0</xdr:colOff>
      <xdr:row>8</xdr:row>
      <xdr:rowOff>4763</xdr:rowOff>
    </xdr:to>
    <xdr:cxnSp macro="">
      <xdr:nvCxnSpPr>
        <xdr:cNvPr id="16" name="OpenSolver6">
          <a:extLst>
            <a:ext uri="{FF2B5EF4-FFF2-40B4-BE49-F238E27FC236}">
              <a16:creationId xmlns:a16="http://schemas.microsoft.com/office/drawing/2014/main" id="{00000000-0008-0000-4200-000010000000}"/>
            </a:ext>
          </a:extLst>
        </xdr:cNvPr>
        <xdr:cNvCxnSpPr>
          <a:stCxn id="14" idx="3"/>
          <a:endCxn id="15" idx="1"/>
        </xdr:cNvCxnSpPr>
      </xdr:nvCxnSpPr>
      <xdr:spPr>
        <a:xfrm>
          <a:off x="2819400" y="1557338"/>
          <a:ext cx="2476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295275</xdr:colOff>
      <xdr:row>7</xdr:row>
      <xdr:rowOff>68263</xdr:rowOff>
    </xdr:from>
    <xdr:to>
      <xdr:col>6</xdr:col>
      <xdr:colOff>66675</xdr:colOff>
      <xdr:row>8</xdr:row>
      <xdr:rowOff>131763</xdr:rowOff>
    </xdr:to>
    <xdr:sp macro="" textlink="">
      <xdr:nvSpPr>
        <xdr:cNvPr id="17" name="OpenSolver7">
          <a:extLst>
            <a:ext uri="{FF2B5EF4-FFF2-40B4-BE49-F238E27FC236}">
              <a16:creationId xmlns:a16="http://schemas.microsoft.com/office/drawing/2014/main" id="{00000000-0008-0000-4200-000011000000}"/>
            </a:ext>
          </a:extLst>
        </xdr:cNvPr>
        <xdr:cNvSpPr/>
      </xdr:nvSpPr>
      <xdr:spPr>
        <a:xfrm>
          <a:off x="2752725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2</xdr:col>
      <xdr:colOff>12700</xdr:colOff>
      <xdr:row>3</xdr:row>
      <xdr:rowOff>15875</xdr:rowOff>
    </xdr:from>
    <xdr:to>
      <xdr:col>2</xdr:col>
      <xdr:colOff>99006</xdr:colOff>
      <xdr:row>3</xdr:row>
      <xdr:rowOff>130175</xdr:rowOff>
    </xdr:to>
    <xdr:sp macro="" textlink="">
      <xdr:nvSpPr>
        <xdr:cNvPr id="18" name="OpenSolver8">
          <a:extLst>
            <a:ext uri="{FF2B5EF4-FFF2-40B4-BE49-F238E27FC236}">
              <a16:creationId xmlns:a16="http://schemas.microsoft.com/office/drawing/2014/main" id="{00000000-0008-0000-4200-000012000000}"/>
            </a:ext>
          </a:extLst>
        </xdr:cNvPr>
        <xdr:cNvSpPr/>
      </xdr:nvSpPr>
      <xdr:spPr>
        <a:xfrm>
          <a:off x="12319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15875</xdr:colOff>
      <xdr:row>3</xdr:row>
      <xdr:rowOff>15875</xdr:rowOff>
    </xdr:from>
    <xdr:to>
      <xdr:col>3</xdr:col>
      <xdr:colOff>102181</xdr:colOff>
      <xdr:row>3</xdr:row>
      <xdr:rowOff>130175</xdr:rowOff>
    </xdr:to>
    <xdr:sp macro="" textlink="">
      <xdr:nvSpPr>
        <xdr:cNvPr id="19" name="OpenSolver9">
          <a:extLst>
            <a:ext uri="{FF2B5EF4-FFF2-40B4-BE49-F238E27FC236}">
              <a16:creationId xmlns:a16="http://schemas.microsoft.com/office/drawing/2014/main" id="{00000000-0008-0000-4200-000013000000}"/>
            </a:ext>
          </a:extLst>
        </xdr:cNvPr>
        <xdr:cNvSpPr/>
      </xdr:nvSpPr>
      <xdr:spPr>
        <a:xfrm>
          <a:off x="18542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4300-000002000000}"/>
            </a:ext>
          </a:extLst>
        </xdr:cNvPr>
        <xdr:cNvSpPr/>
      </xdr:nvSpPr>
      <xdr:spPr>
        <a:xfrm>
          <a:off x="2933700" y="752475"/>
          <a:ext cx="590550" cy="53625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38</xdr:row>
      <xdr:rowOff>0</xdr:rowOff>
    </xdr:from>
    <xdr:to>
      <xdr:col>9</xdr:col>
      <xdr:colOff>0</xdr:colOff>
      <xdr:row>39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4300-000003000000}"/>
            </a:ext>
          </a:extLst>
        </xdr:cNvPr>
        <xdr:cNvSpPr/>
      </xdr:nvSpPr>
      <xdr:spPr>
        <a:xfrm>
          <a:off x="5886450" y="6686550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571500</xdr:colOff>
      <xdr:row>37</xdr:row>
      <xdr:rowOff>107950</xdr:rowOff>
    </xdr:from>
    <xdr:to>
      <xdr:col>8</xdr:col>
      <xdr:colOff>212039</xdr:colOff>
      <xdr:row>38</xdr:row>
      <xdr:rowOff>44450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4300-000004000000}"/>
            </a:ext>
          </a:extLst>
        </xdr:cNvPr>
        <xdr:cNvSpPr/>
      </xdr:nvSpPr>
      <xdr:spPr>
        <a:xfrm>
          <a:off x="5867400" y="6604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4300-000005000000}"/>
            </a:ext>
          </a:extLst>
        </xdr:cNvPr>
        <xdr:cNvSpPr/>
      </xdr:nvSpPr>
      <xdr:spPr>
        <a:xfrm>
          <a:off x="6477000" y="6877050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4300-000006000000}"/>
            </a:ext>
          </a:extLst>
        </xdr:cNvPr>
        <xdr:cNvSpPr/>
      </xdr:nvSpPr>
      <xdr:spPr>
        <a:xfrm>
          <a:off x="7658100" y="6877050"/>
          <a:ext cx="5905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39</xdr:row>
      <xdr:rowOff>95250</xdr:rowOff>
    </xdr:from>
    <xdr:to>
      <xdr:col>11</xdr:col>
      <xdr:colOff>0</xdr:colOff>
      <xdr:row>39</xdr:row>
      <xdr:rowOff>95250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43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7067550" y="6972300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38</xdr:row>
      <xdr:rowOff>158750</xdr:rowOff>
    </xdr:from>
    <xdr:to>
      <xdr:col>10</xdr:col>
      <xdr:colOff>485775</xdr:colOff>
      <xdr:row>40</xdr:row>
      <xdr:rowOff>31750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4300-000008000000}"/>
            </a:ext>
          </a:extLst>
        </xdr:cNvPr>
        <xdr:cNvSpPr/>
      </xdr:nvSpPr>
      <xdr:spPr>
        <a:xfrm>
          <a:off x="7172325" y="6845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9" name="OpenSolver8">
          <a:extLst>
            <a:ext uri="{FF2B5EF4-FFF2-40B4-BE49-F238E27FC236}">
              <a16:creationId xmlns:a16="http://schemas.microsoft.com/office/drawing/2014/main" id="{00000000-0008-0000-4300-000009000000}"/>
            </a:ext>
          </a:extLst>
        </xdr:cNvPr>
        <xdr:cNvSpPr/>
      </xdr:nvSpPr>
      <xdr:spPr>
        <a:xfrm>
          <a:off x="6477000" y="7067550"/>
          <a:ext cx="5905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10" name="OpenSolver9">
          <a:extLst>
            <a:ext uri="{FF2B5EF4-FFF2-40B4-BE49-F238E27FC236}">
              <a16:creationId xmlns:a16="http://schemas.microsoft.com/office/drawing/2014/main" id="{00000000-0008-0000-4300-00000A000000}"/>
            </a:ext>
          </a:extLst>
        </xdr:cNvPr>
        <xdr:cNvSpPr/>
      </xdr:nvSpPr>
      <xdr:spPr>
        <a:xfrm>
          <a:off x="7658100" y="7067550"/>
          <a:ext cx="5905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41</xdr:row>
      <xdr:rowOff>0</xdr:rowOff>
    </xdr:from>
    <xdr:to>
      <xdr:col>11</xdr:col>
      <xdr:colOff>0</xdr:colOff>
      <xdr:row>41</xdr:row>
      <xdr:rowOff>0</xdr:rowOff>
    </xdr:to>
    <xdr:cxnSp macro="">
      <xdr:nvCxnSpPr>
        <xdr:cNvPr id="11" name="OpenSolver10">
          <a:extLst>
            <a:ext uri="{FF2B5EF4-FFF2-40B4-BE49-F238E27FC236}">
              <a16:creationId xmlns:a16="http://schemas.microsoft.com/office/drawing/2014/main" id="{00000000-0008-0000-4300-00000B000000}"/>
            </a:ext>
          </a:extLst>
        </xdr:cNvPr>
        <xdr:cNvCxnSpPr>
          <a:stCxn id="9" idx="3"/>
          <a:endCxn id="10" idx="1"/>
        </xdr:cNvCxnSpPr>
      </xdr:nvCxnSpPr>
      <xdr:spPr>
        <a:xfrm>
          <a:off x="7067550" y="7258050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40</xdr:row>
      <xdr:rowOff>63500</xdr:rowOff>
    </xdr:from>
    <xdr:to>
      <xdr:col>10</xdr:col>
      <xdr:colOff>485775</xdr:colOff>
      <xdr:row>41</xdr:row>
      <xdr:rowOff>127000</xdr:rowOff>
    </xdr:to>
    <xdr:sp macro="" textlink="">
      <xdr:nvSpPr>
        <xdr:cNvPr id="12" name="OpenSolver11">
          <a:extLst>
            <a:ext uri="{FF2B5EF4-FFF2-40B4-BE49-F238E27FC236}">
              <a16:creationId xmlns:a16="http://schemas.microsoft.com/office/drawing/2014/main" id="{00000000-0008-0000-4300-00000C000000}"/>
            </a:ext>
          </a:extLst>
        </xdr:cNvPr>
        <xdr:cNvSpPr/>
      </xdr:nvSpPr>
      <xdr:spPr>
        <a:xfrm>
          <a:off x="7172325" y="71310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13" name="OpenSolver12">
          <a:extLst>
            <a:ext uri="{FF2B5EF4-FFF2-40B4-BE49-F238E27FC236}">
              <a16:creationId xmlns:a16="http://schemas.microsoft.com/office/drawing/2014/main" id="{00000000-0008-0000-4300-00000D000000}"/>
            </a:ext>
          </a:extLst>
        </xdr:cNvPr>
        <xdr:cNvSpPr/>
      </xdr:nvSpPr>
      <xdr:spPr>
        <a:xfrm>
          <a:off x="6477000" y="74485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42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14" name="OpenSolver13">
          <a:extLst>
            <a:ext uri="{FF2B5EF4-FFF2-40B4-BE49-F238E27FC236}">
              <a16:creationId xmlns:a16="http://schemas.microsoft.com/office/drawing/2014/main" id="{00000000-0008-0000-4300-00000E000000}"/>
            </a:ext>
          </a:extLst>
        </xdr:cNvPr>
        <xdr:cNvSpPr/>
      </xdr:nvSpPr>
      <xdr:spPr>
        <a:xfrm>
          <a:off x="7658100" y="7448550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42</xdr:row>
      <xdr:rowOff>95250</xdr:rowOff>
    </xdr:from>
    <xdr:to>
      <xdr:col>11</xdr:col>
      <xdr:colOff>0</xdr:colOff>
      <xdr:row>42</xdr:row>
      <xdr:rowOff>95250</xdr:rowOff>
    </xdr:to>
    <xdr:cxnSp macro="">
      <xdr:nvCxnSpPr>
        <xdr:cNvPr id="15" name="OpenSolver14">
          <a:extLst>
            <a:ext uri="{FF2B5EF4-FFF2-40B4-BE49-F238E27FC236}">
              <a16:creationId xmlns:a16="http://schemas.microsoft.com/office/drawing/2014/main" id="{00000000-0008-0000-4300-00000F000000}"/>
            </a:ext>
          </a:extLst>
        </xdr:cNvPr>
        <xdr:cNvCxnSpPr>
          <a:stCxn id="13" idx="3"/>
          <a:endCxn id="14" idx="1"/>
        </xdr:cNvCxnSpPr>
      </xdr:nvCxnSpPr>
      <xdr:spPr>
        <a:xfrm>
          <a:off x="7067550" y="7543800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41</xdr:row>
      <xdr:rowOff>158750</xdr:rowOff>
    </xdr:from>
    <xdr:to>
      <xdr:col>10</xdr:col>
      <xdr:colOff>485775</xdr:colOff>
      <xdr:row>43</xdr:row>
      <xdr:rowOff>31750</xdr:rowOff>
    </xdr:to>
    <xdr:sp macro="" textlink="">
      <xdr:nvSpPr>
        <xdr:cNvPr id="16" name="OpenSolver15">
          <a:extLst>
            <a:ext uri="{FF2B5EF4-FFF2-40B4-BE49-F238E27FC236}">
              <a16:creationId xmlns:a16="http://schemas.microsoft.com/office/drawing/2014/main" id="{00000000-0008-0000-4300-000010000000}"/>
            </a:ext>
          </a:extLst>
        </xdr:cNvPr>
        <xdr:cNvSpPr/>
      </xdr:nvSpPr>
      <xdr:spPr>
        <a:xfrm>
          <a:off x="7172325" y="7416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7" name="OpenSolver16">
          <a:extLst>
            <a:ext uri="{FF2B5EF4-FFF2-40B4-BE49-F238E27FC236}">
              <a16:creationId xmlns:a16="http://schemas.microsoft.com/office/drawing/2014/main" id="{00000000-0008-0000-4300-000011000000}"/>
            </a:ext>
          </a:extLst>
        </xdr:cNvPr>
        <xdr:cNvSpPr/>
      </xdr:nvSpPr>
      <xdr:spPr>
        <a:xfrm>
          <a:off x="6477000" y="76390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43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18" name="OpenSolver17">
          <a:extLst>
            <a:ext uri="{FF2B5EF4-FFF2-40B4-BE49-F238E27FC236}">
              <a16:creationId xmlns:a16="http://schemas.microsoft.com/office/drawing/2014/main" id="{00000000-0008-0000-4300-000012000000}"/>
            </a:ext>
          </a:extLst>
        </xdr:cNvPr>
        <xdr:cNvSpPr/>
      </xdr:nvSpPr>
      <xdr:spPr>
        <a:xfrm>
          <a:off x="7658100" y="7639050"/>
          <a:ext cx="5905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43</xdr:row>
      <xdr:rowOff>95250</xdr:rowOff>
    </xdr:from>
    <xdr:to>
      <xdr:col>11</xdr:col>
      <xdr:colOff>0</xdr:colOff>
      <xdr:row>43</xdr:row>
      <xdr:rowOff>95250</xdr:rowOff>
    </xdr:to>
    <xdr:cxnSp macro="">
      <xdr:nvCxnSpPr>
        <xdr:cNvPr id="19" name="OpenSolver18">
          <a:extLst>
            <a:ext uri="{FF2B5EF4-FFF2-40B4-BE49-F238E27FC236}">
              <a16:creationId xmlns:a16="http://schemas.microsoft.com/office/drawing/2014/main" id="{00000000-0008-0000-4300-000013000000}"/>
            </a:ext>
          </a:extLst>
        </xdr:cNvPr>
        <xdr:cNvCxnSpPr>
          <a:stCxn id="17" idx="3"/>
          <a:endCxn id="18" idx="1"/>
        </xdr:cNvCxnSpPr>
      </xdr:nvCxnSpPr>
      <xdr:spPr>
        <a:xfrm>
          <a:off x="7067550" y="7734300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42</xdr:row>
      <xdr:rowOff>158750</xdr:rowOff>
    </xdr:from>
    <xdr:to>
      <xdr:col>10</xdr:col>
      <xdr:colOff>485775</xdr:colOff>
      <xdr:row>44</xdr:row>
      <xdr:rowOff>31750</xdr:rowOff>
    </xdr:to>
    <xdr:sp macro="" textlink="">
      <xdr:nvSpPr>
        <xdr:cNvPr id="20" name="OpenSolver19">
          <a:extLst>
            <a:ext uri="{FF2B5EF4-FFF2-40B4-BE49-F238E27FC236}">
              <a16:creationId xmlns:a16="http://schemas.microsoft.com/office/drawing/2014/main" id="{00000000-0008-0000-4300-000014000000}"/>
            </a:ext>
          </a:extLst>
        </xdr:cNvPr>
        <xdr:cNvSpPr/>
      </xdr:nvSpPr>
      <xdr:spPr>
        <a:xfrm>
          <a:off x="7172325" y="7607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2</xdr:row>
      <xdr:rowOff>9525</xdr:rowOff>
    </xdr:from>
    <xdr:to>
      <xdr:col>3</xdr:col>
      <xdr:colOff>64830</xdr:colOff>
      <xdr:row>2</xdr:row>
      <xdr:rowOff>123825</xdr:rowOff>
    </xdr:to>
    <xdr:sp macro="" textlink="">
      <xdr:nvSpPr>
        <xdr:cNvPr id="21" name="OpenSolver20">
          <a:extLst>
            <a:ext uri="{FF2B5EF4-FFF2-40B4-BE49-F238E27FC236}">
              <a16:creationId xmlns:a16="http://schemas.microsoft.com/office/drawing/2014/main" id="{00000000-0008-0000-4300-000015000000}"/>
            </a:ext>
          </a:extLst>
        </xdr:cNvPr>
        <xdr:cNvSpPr/>
      </xdr:nvSpPr>
      <xdr:spPr>
        <a:xfrm>
          <a:off x="2946400" y="7620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</xdr:row>
      <xdr:rowOff>9525</xdr:rowOff>
    </xdr:from>
    <xdr:to>
      <xdr:col>3</xdr:col>
      <xdr:colOff>64830</xdr:colOff>
      <xdr:row>3</xdr:row>
      <xdr:rowOff>123825</xdr:rowOff>
    </xdr:to>
    <xdr:sp macro="" textlink="">
      <xdr:nvSpPr>
        <xdr:cNvPr id="22" name="OpenSolver21">
          <a:extLst>
            <a:ext uri="{FF2B5EF4-FFF2-40B4-BE49-F238E27FC236}">
              <a16:creationId xmlns:a16="http://schemas.microsoft.com/office/drawing/2014/main" id="{00000000-0008-0000-4300-000016000000}"/>
            </a:ext>
          </a:extLst>
        </xdr:cNvPr>
        <xdr:cNvSpPr/>
      </xdr:nvSpPr>
      <xdr:spPr>
        <a:xfrm>
          <a:off x="2946400" y="9525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3</xdr:col>
      <xdr:colOff>64830</xdr:colOff>
      <xdr:row>4</xdr:row>
      <xdr:rowOff>127000</xdr:rowOff>
    </xdr:to>
    <xdr:sp macro="" textlink="">
      <xdr:nvSpPr>
        <xdr:cNvPr id="23" name="OpenSolver22">
          <a:extLst>
            <a:ext uri="{FF2B5EF4-FFF2-40B4-BE49-F238E27FC236}">
              <a16:creationId xmlns:a16="http://schemas.microsoft.com/office/drawing/2014/main" id="{00000000-0008-0000-4300-000017000000}"/>
            </a:ext>
          </a:extLst>
        </xdr:cNvPr>
        <xdr:cNvSpPr/>
      </xdr:nvSpPr>
      <xdr:spPr>
        <a:xfrm>
          <a:off x="2946400" y="1155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5</xdr:row>
      <xdr:rowOff>12700</xdr:rowOff>
    </xdr:from>
    <xdr:to>
      <xdr:col>3</xdr:col>
      <xdr:colOff>64830</xdr:colOff>
      <xdr:row>5</xdr:row>
      <xdr:rowOff>127000</xdr:rowOff>
    </xdr:to>
    <xdr:sp macro="" textlink="">
      <xdr:nvSpPr>
        <xdr:cNvPr id="24" name="OpenSolver23">
          <a:extLst>
            <a:ext uri="{FF2B5EF4-FFF2-40B4-BE49-F238E27FC236}">
              <a16:creationId xmlns:a16="http://schemas.microsoft.com/office/drawing/2014/main" id="{00000000-0008-0000-4300-000018000000}"/>
            </a:ext>
          </a:extLst>
        </xdr:cNvPr>
        <xdr:cNvSpPr/>
      </xdr:nvSpPr>
      <xdr:spPr>
        <a:xfrm>
          <a:off x="2946400" y="134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6</xdr:row>
      <xdr:rowOff>15875</xdr:rowOff>
    </xdr:from>
    <xdr:to>
      <xdr:col>3</xdr:col>
      <xdr:colOff>64830</xdr:colOff>
      <xdr:row>6</xdr:row>
      <xdr:rowOff>130175</xdr:rowOff>
    </xdr:to>
    <xdr:sp macro="" textlink="">
      <xdr:nvSpPr>
        <xdr:cNvPr id="25" name="OpenSolver24">
          <a:extLst>
            <a:ext uri="{FF2B5EF4-FFF2-40B4-BE49-F238E27FC236}">
              <a16:creationId xmlns:a16="http://schemas.microsoft.com/office/drawing/2014/main" id="{00000000-0008-0000-4300-000019000000}"/>
            </a:ext>
          </a:extLst>
        </xdr:cNvPr>
        <xdr:cNvSpPr/>
      </xdr:nvSpPr>
      <xdr:spPr>
        <a:xfrm>
          <a:off x="2946400" y="154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7</xdr:row>
      <xdr:rowOff>15875</xdr:rowOff>
    </xdr:from>
    <xdr:to>
      <xdr:col>3</xdr:col>
      <xdr:colOff>64830</xdr:colOff>
      <xdr:row>7</xdr:row>
      <xdr:rowOff>130175</xdr:rowOff>
    </xdr:to>
    <xdr:sp macro="" textlink="">
      <xdr:nvSpPr>
        <xdr:cNvPr id="26" name="OpenSolver25">
          <a:extLst>
            <a:ext uri="{FF2B5EF4-FFF2-40B4-BE49-F238E27FC236}">
              <a16:creationId xmlns:a16="http://schemas.microsoft.com/office/drawing/2014/main" id="{00000000-0008-0000-4300-00001A000000}"/>
            </a:ext>
          </a:extLst>
        </xdr:cNvPr>
        <xdr:cNvSpPr/>
      </xdr:nvSpPr>
      <xdr:spPr>
        <a:xfrm>
          <a:off x="2946400" y="1739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8</xdr:row>
      <xdr:rowOff>15875</xdr:rowOff>
    </xdr:from>
    <xdr:to>
      <xdr:col>3</xdr:col>
      <xdr:colOff>64830</xdr:colOff>
      <xdr:row>8</xdr:row>
      <xdr:rowOff>130175</xdr:rowOff>
    </xdr:to>
    <xdr:sp macro="" textlink="">
      <xdr:nvSpPr>
        <xdr:cNvPr id="27" name="OpenSolver26">
          <a:extLst>
            <a:ext uri="{FF2B5EF4-FFF2-40B4-BE49-F238E27FC236}">
              <a16:creationId xmlns:a16="http://schemas.microsoft.com/office/drawing/2014/main" id="{00000000-0008-0000-4300-00001B000000}"/>
            </a:ext>
          </a:extLst>
        </xdr:cNvPr>
        <xdr:cNvSpPr/>
      </xdr:nvSpPr>
      <xdr:spPr>
        <a:xfrm>
          <a:off x="2946400" y="193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9</xdr:row>
      <xdr:rowOff>19050</xdr:rowOff>
    </xdr:from>
    <xdr:to>
      <xdr:col>3</xdr:col>
      <xdr:colOff>64830</xdr:colOff>
      <xdr:row>9</xdr:row>
      <xdr:rowOff>133350</xdr:rowOff>
    </xdr:to>
    <xdr:sp macro="" textlink="">
      <xdr:nvSpPr>
        <xdr:cNvPr id="28" name="OpenSolver27">
          <a:extLst>
            <a:ext uri="{FF2B5EF4-FFF2-40B4-BE49-F238E27FC236}">
              <a16:creationId xmlns:a16="http://schemas.microsoft.com/office/drawing/2014/main" id="{00000000-0008-0000-4300-00001C000000}"/>
            </a:ext>
          </a:extLst>
        </xdr:cNvPr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6350</xdr:rowOff>
    </xdr:from>
    <xdr:to>
      <xdr:col>3</xdr:col>
      <xdr:colOff>64830</xdr:colOff>
      <xdr:row>10</xdr:row>
      <xdr:rowOff>120650</xdr:rowOff>
    </xdr:to>
    <xdr:sp macro="" textlink="">
      <xdr:nvSpPr>
        <xdr:cNvPr id="29" name="OpenSolver28">
          <a:extLst>
            <a:ext uri="{FF2B5EF4-FFF2-40B4-BE49-F238E27FC236}">
              <a16:creationId xmlns:a16="http://schemas.microsoft.com/office/drawing/2014/main" id="{00000000-0008-0000-4300-00001D000000}"/>
            </a:ext>
          </a:extLst>
        </xdr:cNvPr>
        <xdr:cNvSpPr/>
      </xdr:nvSpPr>
      <xdr:spPr>
        <a:xfrm>
          <a:off x="2946400" y="2311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11</xdr:row>
      <xdr:rowOff>19050</xdr:rowOff>
    </xdr:from>
    <xdr:to>
      <xdr:col>3</xdr:col>
      <xdr:colOff>64830</xdr:colOff>
      <xdr:row>11</xdr:row>
      <xdr:rowOff>133350</xdr:rowOff>
    </xdr:to>
    <xdr:sp macro="" textlink="">
      <xdr:nvSpPr>
        <xdr:cNvPr id="30" name="OpenSolver29">
          <a:extLst>
            <a:ext uri="{FF2B5EF4-FFF2-40B4-BE49-F238E27FC236}">
              <a16:creationId xmlns:a16="http://schemas.microsoft.com/office/drawing/2014/main" id="{00000000-0008-0000-4300-00001E000000}"/>
            </a:ext>
          </a:extLst>
        </xdr:cNvPr>
        <xdr:cNvSpPr/>
      </xdr:nvSpPr>
      <xdr:spPr>
        <a:xfrm>
          <a:off x="2946400" y="2514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12</xdr:row>
      <xdr:rowOff>6350</xdr:rowOff>
    </xdr:from>
    <xdr:to>
      <xdr:col>3</xdr:col>
      <xdr:colOff>64830</xdr:colOff>
      <xdr:row>12</xdr:row>
      <xdr:rowOff>120650</xdr:rowOff>
    </xdr:to>
    <xdr:sp macro="" textlink="">
      <xdr:nvSpPr>
        <xdr:cNvPr id="31" name="OpenSolver30">
          <a:extLst>
            <a:ext uri="{FF2B5EF4-FFF2-40B4-BE49-F238E27FC236}">
              <a16:creationId xmlns:a16="http://schemas.microsoft.com/office/drawing/2014/main" id="{00000000-0008-0000-4300-00001F000000}"/>
            </a:ext>
          </a:extLst>
        </xdr:cNvPr>
        <xdr:cNvSpPr/>
      </xdr:nvSpPr>
      <xdr:spPr>
        <a:xfrm>
          <a:off x="2946400" y="2692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13</xdr:row>
      <xdr:rowOff>19050</xdr:rowOff>
    </xdr:from>
    <xdr:to>
      <xdr:col>3</xdr:col>
      <xdr:colOff>64830</xdr:colOff>
      <xdr:row>13</xdr:row>
      <xdr:rowOff>133350</xdr:rowOff>
    </xdr:to>
    <xdr:sp macro="" textlink="">
      <xdr:nvSpPr>
        <xdr:cNvPr id="32" name="OpenSolver31">
          <a:extLst>
            <a:ext uri="{FF2B5EF4-FFF2-40B4-BE49-F238E27FC236}">
              <a16:creationId xmlns:a16="http://schemas.microsoft.com/office/drawing/2014/main" id="{00000000-0008-0000-4300-000020000000}"/>
            </a:ext>
          </a:extLst>
        </xdr:cNvPr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14</xdr:row>
      <xdr:rowOff>0</xdr:rowOff>
    </xdr:from>
    <xdr:to>
      <xdr:col>3</xdr:col>
      <xdr:colOff>64830</xdr:colOff>
      <xdr:row>15</xdr:row>
      <xdr:rowOff>114300</xdr:rowOff>
    </xdr:to>
    <xdr:sp macro="" textlink="">
      <xdr:nvSpPr>
        <xdr:cNvPr id="33" name="OpenSolver32">
          <a:extLst>
            <a:ext uri="{FF2B5EF4-FFF2-40B4-BE49-F238E27FC236}">
              <a16:creationId xmlns:a16="http://schemas.microsoft.com/office/drawing/2014/main" id="{00000000-0008-0000-4300-000021000000}"/>
            </a:ext>
          </a:extLst>
        </xdr:cNvPr>
        <xdr:cNvSpPr/>
      </xdr:nvSpPr>
      <xdr:spPr>
        <a:xfrm>
          <a:off x="2946400" y="3067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14</xdr:row>
      <xdr:rowOff>0</xdr:rowOff>
    </xdr:from>
    <xdr:to>
      <xdr:col>3</xdr:col>
      <xdr:colOff>64830</xdr:colOff>
      <xdr:row>15</xdr:row>
      <xdr:rowOff>114300</xdr:rowOff>
    </xdr:to>
    <xdr:sp macro="" textlink="">
      <xdr:nvSpPr>
        <xdr:cNvPr id="34" name="OpenSolver33">
          <a:extLst>
            <a:ext uri="{FF2B5EF4-FFF2-40B4-BE49-F238E27FC236}">
              <a16:creationId xmlns:a16="http://schemas.microsoft.com/office/drawing/2014/main" id="{00000000-0008-0000-4300-000022000000}"/>
            </a:ext>
          </a:extLst>
        </xdr:cNvPr>
        <xdr:cNvSpPr/>
      </xdr:nvSpPr>
      <xdr:spPr>
        <a:xfrm>
          <a:off x="2946400" y="3067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16</xdr:row>
      <xdr:rowOff>19050</xdr:rowOff>
    </xdr:from>
    <xdr:to>
      <xdr:col>3</xdr:col>
      <xdr:colOff>64830</xdr:colOff>
      <xdr:row>16</xdr:row>
      <xdr:rowOff>133350</xdr:rowOff>
    </xdr:to>
    <xdr:sp macro="" textlink="">
      <xdr:nvSpPr>
        <xdr:cNvPr id="35" name="OpenSolver34">
          <a:extLst>
            <a:ext uri="{FF2B5EF4-FFF2-40B4-BE49-F238E27FC236}">
              <a16:creationId xmlns:a16="http://schemas.microsoft.com/office/drawing/2014/main" id="{00000000-0008-0000-4300-000023000000}"/>
            </a:ext>
          </a:extLst>
        </xdr:cNvPr>
        <xdr:cNvSpPr/>
      </xdr:nvSpPr>
      <xdr:spPr>
        <a:xfrm>
          <a:off x="2946400" y="3276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17</xdr:row>
      <xdr:rowOff>6350</xdr:rowOff>
    </xdr:from>
    <xdr:to>
      <xdr:col>3</xdr:col>
      <xdr:colOff>64830</xdr:colOff>
      <xdr:row>17</xdr:row>
      <xdr:rowOff>120650</xdr:rowOff>
    </xdr:to>
    <xdr:sp macro="" textlink="">
      <xdr:nvSpPr>
        <xdr:cNvPr id="36" name="OpenSolver35">
          <a:extLst>
            <a:ext uri="{FF2B5EF4-FFF2-40B4-BE49-F238E27FC236}">
              <a16:creationId xmlns:a16="http://schemas.microsoft.com/office/drawing/2014/main" id="{00000000-0008-0000-4300-000024000000}"/>
            </a:ext>
          </a:extLst>
        </xdr:cNvPr>
        <xdr:cNvSpPr/>
      </xdr:nvSpPr>
      <xdr:spPr>
        <a:xfrm>
          <a:off x="2946400" y="3454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18</xdr:row>
      <xdr:rowOff>19050</xdr:rowOff>
    </xdr:from>
    <xdr:to>
      <xdr:col>3</xdr:col>
      <xdr:colOff>64830</xdr:colOff>
      <xdr:row>18</xdr:row>
      <xdr:rowOff>133350</xdr:rowOff>
    </xdr:to>
    <xdr:sp macro="" textlink="">
      <xdr:nvSpPr>
        <xdr:cNvPr id="37" name="OpenSolver36">
          <a:extLst>
            <a:ext uri="{FF2B5EF4-FFF2-40B4-BE49-F238E27FC236}">
              <a16:creationId xmlns:a16="http://schemas.microsoft.com/office/drawing/2014/main" id="{00000000-0008-0000-4300-000025000000}"/>
            </a:ext>
          </a:extLst>
        </xdr:cNvPr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19</xdr:row>
      <xdr:rowOff>0</xdr:rowOff>
    </xdr:from>
    <xdr:to>
      <xdr:col>3</xdr:col>
      <xdr:colOff>64830</xdr:colOff>
      <xdr:row>20</xdr:row>
      <xdr:rowOff>114300</xdr:rowOff>
    </xdr:to>
    <xdr:sp macro="" textlink="">
      <xdr:nvSpPr>
        <xdr:cNvPr id="38" name="OpenSolver37">
          <a:extLst>
            <a:ext uri="{FF2B5EF4-FFF2-40B4-BE49-F238E27FC236}">
              <a16:creationId xmlns:a16="http://schemas.microsoft.com/office/drawing/2014/main" id="{00000000-0008-0000-4300-000026000000}"/>
            </a:ext>
          </a:extLst>
        </xdr:cNvPr>
        <xdr:cNvSpPr/>
      </xdr:nvSpPr>
      <xdr:spPr>
        <a:xfrm>
          <a:off x="2946400" y="3829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19</xdr:row>
      <xdr:rowOff>0</xdr:rowOff>
    </xdr:from>
    <xdr:to>
      <xdr:col>3</xdr:col>
      <xdr:colOff>64830</xdr:colOff>
      <xdr:row>20</xdr:row>
      <xdr:rowOff>114300</xdr:rowOff>
    </xdr:to>
    <xdr:sp macro="" textlink="">
      <xdr:nvSpPr>
        <xdr:cNvPr id="39" name="OpenSolver38">
          <a:extLst>
            <a:ext uri="{FF2B5EF4-FFF2-40B4-BE49-F238E27FC236}">
              <a16:creationId xmlns:a16="http://schemas.microsoft.com/office/drawing/2014/main" id="{00000000-0008-0000-4300-000027000000}"/>
            </a:ext>
          </a:extLst>
        </xdr:cNvPr>
        <xdr:cNvSpPr/>
      </xdr:nvSpPr>
      <xdr:spPr>
        <a:xfrm>
          <a:off x="2946400" y="3829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21</xdr:row>
      <xdr:rowOff>19050</xdr:rowOff>
    </xdr:from>
    <xdr:to>
      <xdr:col>3</xdr:col>
      <xdr:colOff>64830</xdr:colOff>
      <xdr:row>21</xdr:row>
      <xdr:rowOff>133350</xdr:rowOff>
    </xdr:to>
    <xdr:sp macro="" textlink="">
      <xdr:nvSpPr>
        <xdr:cNvPr id="40" name="OpenSolver39">
          <a:extLst>
            <a:ext uri="{FF2B5EF4-FFF2-40B4-BE49-F238E27FC236}">
              <a16:creationId xmlns:a16="http://schemas.microsoft.com/office/drawing/2014/main" id="{00000000-0008-0000-4300-000028000000}"/>
            </a:ext>
          </a:extLst>
        </xdr:cNvPr>
        <xdr:cNvSpPr/>
      </xdr:nvSpPr>
      <xdr:spPr>
        <a:xfrm>
          <a:off x="2946400" y="4038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22</xdr:row>
      <xdr:rowOff>6350</xdr:rowOff>
    </xdr:from>
    <xdr:to>
      <xdr:col>3</xdr:col>
      <xdr:colOff>64830</xdr:colOff>
      <xdr:row>22</xdr:row>
      <xdr:rowOff>120650</xdr:rowOff>
    </xdr:to>
    <xdr:sp macro="" textlink="">
      <xdr:nvSpPr>
        <xdr:cNvPr id="41" name="OpenSolver40">
          <a:extLst>
            <a:ext uri="{FF2B5EF4-FFF2-40B4-BE49-F238E27FC236}">
              <a16:creationId xmlns:a16="http://schemas.microsoft.com/office/drawing/2014/main" id="{00000000-0008-0000-4300-000029000000}"/>
            </a:ext>
          </a:extLst>
        </xdr:cNvPr>
        <xdr:cNvSpPr/>
      </xdr:nvSpPr>
      <xdr:spPr>
        <a:xfrm>
          <a:off x="2946400" y="4216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24</xdr:row>
      <xdr:rowOff>19050</xdr:rowOff>
    </xdr:from>
    <xdr:to>
      <xdr:col>3</xdr:col>
      <xdr:colOff>64830</xdr:colOff>
      <xdr:row>24</xdr:row>
      <xdr:rowOff>133350</xdr:rowOff>
    </xdr:to>
    <xdr:sp macro="" textlink="">
      <xdr:nvSpPr>
        <xdr:cNvPr id="42" name="OpenSolver41">
          <a:extLst>
            <a:ext uri="{FF2B5EF4-FFF2-40B4-BE49-F238E27FC236}">
              <a16:creationId xmlns:a16="http://schemas.microsoft.com/office/drawing/2014/main" id="{00000000-0008-0000-4300-00002A000000}"/>
            </a:ext>
          </a:extLst>
        </xdr:cNvPr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24</xdr:row>
      <xdr:rowOff>19050</xdr:rowOff>
    </xdr:from>
    <xdr:to>
      <xdr:col>3</xdr:col>
      <xdr:colOff>64830</xdr:colOff>
      <xdr:row>24</xdr:row>
      <xdr:rowOff>133350</xdr:rowOff>
    </xdr:to>
    <xdr:sp macro="" textlink="">
      <xdr:nvSpPr>
        <xdr:cNvPr id="43" name="OpenSolver42">
          <a:extLst>
            <a:ext uri="{FF2B5EF4-FFF2-40B4-BE49-F238E27FC236}">
              <a16:creationId xmlns:a16="http://schemas.microsoft.com/office/drawing/2014/main" id="{00000000-0008-0000-4300-00002B000000}"/>
            </a:ext>
          </a:extLst>
        </xdr:cNvPr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25</xdr:row>
      <xdr:rowOff>6350</xdr:rowOff>
    </xdr:from>
    <xdr:to>
      <xdr:col>3</xdr:col>
      <xdr:colOff>64830</xdr:colOff>
      <xdr:row>25</xdr:row>
      <xdr:rowOff>120650</xdr:rowOff>
    </xdr:to>
    <xdr:sp macro="" textlink="">
      <xdr:nvSpPr>
        <xdr:cNvPr id="44" name="OpenSolver43">
          <a:extLst>
            <a:ext uri="{FF2B5EF4-FFF2-40B4-BE49-F238E27FC236}">
              <a16:creationId xmlns:a16="http://schemas.microsoft.com/office/drawing/2014/main" id="{00000000-0008-0000-4300-00002C000000}"/>
            </a:ext>
          </a:extLst>
        </xdr:cNvPr>
        <xdr:cNvSpPr/>
      </xdr:nvSpPr>
      <xdr:spPr>
        <a:xfrm>
          <a:off x="2946400" y="459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26</xdr:row>
      <xdr:rowOff>19050</xdr:rowOff>
    </xdr:from>
    <xdr:to>
      <xdr:col>3</xdr:col>
      <xdr:colOff>64830</xdr:colOff>
      <xdr:row>26</xdr:row>
      <xdr:rowOff>133350</xdr:rowOff>
    </xdr:to>
    <xdr:sp macro="" textlink="">
      <xdr:nvSpPr>
        <xdr:cNvPr id="45" name="OpenSolver44">
          <a:extLst>
            <a:ext uri="{FF2B5EF4-FFF2-40B4-BE49-F238E27FC236}">
              <a16:creationId xmlns:a16="http://schemas.microsoft.com/office/drawing/2014/main" id="{00000000-0008-0000-4300-00002D000000}"/>
            </a:ext>
          </a:extLst>
        </xdr:cNvPr>
        <xdr:cNvSpPr/>
      </xdr:nvSpPr>
      <xdr:spPr>
        <a:xfrm>
          <a:off x="2946400" y="4800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6350</xdr:rowOff>
    </xdr:from>
    <xdr:to>
      <xdr:col>3</xdr:col>
      <xdr:colOff>64830</xdr:colOff>
      <xdr:row>27</xdr:row>
      <xdr:rowOff>120650</xdr:rowOff>
    </xdr:to>
    <xdr:sp macro="" textlink="">
      <xdr:nvSpPr>
        <xdr:cNvPr id="46" name="OpenSolver45">
          <a:extLst>
            <a:ext uri="{FF2B5EF4-FFF2-40B4-BE49-F238E27FC236}">
              <a16:creationId xmlns:a16="http://schemas.microsoft.com/office/drawing/2014/main" id="{00000000-0008-0000-4300-00002E000000}"/>
            </a:ext>
          </a:extLst>
        </xdr:cNvPr>
        <xdr:cNvSpPr/>
      </xdr:nvSpPr>
      <xdr:spPr>
        <a:xfrm>
          <a:off x="2946400" y="4978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29</xdr:row>
      <xdr:rowOff>19050</xdr:rowOff>
    </xdr:from>
    <xdr:to>
      <xdr:col>3</xdr:col>
      <xdr:colOff>64830</xdr:colOff>
      <xdr:row>29</xdr:row>
      <xdr:rowOff>133350</xdr:rowOff>
    </xdr:to>
    <xdr:sp macro="" textlink="">
      <xdr:nvSpPr>
        <xdr:cNvPr id="47" name="OpenSolver46">
          <a:extLst>
            <a:ext uri="{FF2B5EF4-FFF2-40B4-BE49-F238E27FC236}">
              <a16:creationId xmlns:a16="http://schemas.microsoft.com/office/drawing/2014/main" id="{00000000-0008-0000-4300-00002F000000}"/>
            </a:ext>
          </a:extLst>
        </xdr:cNvPr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29</xdr:row>
      <xdr:rowOff>19050</xdr:rowOff>
    </xdr:from>
    <xdr:to>
      <xdr:col>3</xdr:col>
      <xdr:colOff>64830</xdr:colOff>
      <xdr:row>29</xdr:row>
      <xdr:rowOff>133350</xdr:rowOff>
    </xdr:to>
    <xdr:sp macro="" textlink="">
      <xdr:nvSpPr>
        <xdr:cNvPr id="48" name="OpenSolver47">
          <a:extLst>
            <a:ext uri="{FF2B5EF4-FFF2-40B4-BE49-F238E27FC236}">
              <a16:creationId xmlns:a16="http://schemas.microsoft.com/office/drawing/2014/main" id="{00000000-0008-0000-4300-000030000000}"/>
            </a:ext>
          </a:extLst>
        </xdr:cNvPr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30</xdr:row>
      <xdr:rowOff>6350</xdr:rowOff>
    </xdr:from>
    <xdr:to>
      <xdr:col>3</xdr:col>
      <xdr:colOff>64830</xdr:colOff>
      <xdr:row>30</xdr:row>
      <xdr:rowOff>120650</xdr:rowOff>
    </xdr:to>
    <xdr:sp macro="" textlink="">
      <xdr:nvSpPr>
        <xdr:cNvPr id="49" name="OpenSolver48">
          <a:extLst>
            <a:ext uri="{FF2B5EF4-FFF2-40B4-BE49-F238E27FC236}">
              <a16:creationId xmlns:a16="http://schemas.microsoft.com/office/drawing/2014/main" id="{00000000-0008-0000-4300-000031000000}"/>
            </a:ext>
          </a:extLst>
        </xdr:cNvPr>
        <xdr:cNvSpPr/>
      </xdr:nvSpPr>
      <xdr:spPr>
        <a:xfrm>
          <a:off x="2946400" y="535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31</xdr:row>
      <xdr:rowOff>19050</xdr:rowOff>
    </xdr:from>
    <xdr:to>
      <xdr:col>3</xdr:col>
      <xdr:colOff>64830</xdr:colOff>
      <xdr:row>31</xdr:row>
      <xdr:rowOff>133350</xdr:rowOff>
    </xdr:to>
    <xdr:sp macro="" textlink="">
      <xdr:nvSpPr>
        <xdr:cNvPr id="50" name="OpenSolver49">
          <a:extLst>
            <a:ext uri="{FF2B5EF4-FFF2-40B4-BE49-F238E27FC236}">
              <a16:creationId xmlns:a16="http://schemas.microsoft.com/office/drawing/2014/main" id="{00000000-0008-0000-4300-000032000000}"/>
            </a:ext>
          </a:extLst>
        </xdr:cNvPr>
        <xdr:cNvSpPr/>
      </xdr:nvSpPr>
      <xdr:spPr>
        <a:xfrm>
          <a:off x="2946400" y="5562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32</xdr:row>
      <xdr:rowOff>6350</xdr:rowOff>
    </xdr:from>
    <xdr:to>
      <xdr:col>3</xdr:col>
      <xdr:colOff>64830</xdr:colOff>
      <xdr:row>32</xdr:row>
      <xdr:rowOff>120650</xdr:rowOff>
    </xdr:to>
    <xdr:sp macro="" textlink="">
      <xdr:nvSpPr>
        <xdr:cNvPr id="51" name="OpenSolver50">
          <a:extLst>
            <a:ext uri="{FF2B5EF4-FFF2-40B4-BE49-F238E27FC236}">
              <a16:creationId xmlns:a16="http://schemas.microsoft.com/office/drawing/2014/main" id="{00000000-0008-0000-4300-000033000000}"/>
            </a:ext>
          </a:extLst>
        </xdr:cNvPr>
        <xdr:cNvSpPr/>
      </xdr:nvSpPr>
      <xdr:spPr>
        <a:xfrm>
          <a:off x="2946400" y="574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34</xdr:row>
      <xdr:rowOff>19050</xdr:rowOff>
    </xdr:from>
    <xdr:to>
      <xdr:col>3</xdr:col>
      <xdr:colOff>64830</xdr:colOff>
      <xdr:row>34</xdr:row>
      <xdr:rowOff>133350</xdr:rowOff>
    </xdr:to>
    <xdr:sp macro="" textlink="">
      <xdr:nvSpPr>
        <xdr:cNvPr id="52" name="OpenSolver51">
          <a:extLst>
            <a:ext uri="{FF2B5EF4-FFF2-40B4-BE49-F238E27FC236}">
              <a16:creationId xmlns:a16="http://schemas.microsoft.com/office/drawing/2014/main" id="{00000000-0008-0000-4300-000034000000}"/>
            </a:ext>
          </a:extLst>
        </xdr:cNvPr>
        <xdr:cNvSpPr/>
      </xdr:nvSpPr>
      <xdr:spPr>
        <a:xfrm>
          <a:off x="2946400" y="594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34</xdr:row>
      <xdr:rowOff>19050</xdr:rowOff>
    </xdr:from>
    <xdr:to>
      <xdr:col>3</xdr:col>
      <xdr:colOff>64830</xdr:colOff>
      <xdr:row>34</xdr:row>
      <xdr:rowOff>133350</xdr:rowOff>
    </xdr:to>
    <xdr:sp macro="" textlink="">
      <xdr:nvSpPr>
        <xdr:cNvPr id="53" name="OpenSolver52">
          <a:extLst>
            <a:ext uri="{FF2B5EF4-FFF2-40B4-BE49-F238E27FC236}">
              <a16:creationId xmlns:a16="http://schemas.microsoft.com/office/drawing/2014/main" id="{00000000-0008-0000-4300-000035000000}"/>
            </a:ext>
          </a:extLst>
        </xdr:cNvPr>
        <xdr:cNvSpPr/>
      </xdr:nvSpPr>
      <xdr:spPr>
        <a:xfrm>
          <a:off x="2946400" y="594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4400-000002000000}"/>
            </a:ext>
          </a:extLst>
        </xdr:cNvPr>
        <xdr:cNvSpPr/>
      </xdr:nvSpPr>
      <xdr:spPr>
        <a:xfrm>
          <a:off x="1228725" y="581025"/>
          <a:ext cx="1181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4400-000003000000}"/>
            </a:ext>
          </a:extLst>
        </xdr:cNvPr>
        <xdr:cNvSpPr/>
      </xdr:nvSpPr>
      <xdr:spPr>
        <a:xfrm>
          <a:off x="3000375" y="581025"/>
          <a:ext cx="8001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574675</xdr:colOff>
      <xdr:row>2</xdr:row>
      <xdr:rowOff>117475</xdr:rowOff>
    </xdr:from>
    <xdr:to>
      <xdr:col>5</xdr:col>
      <xdr:colOff>215214</xdr:colOff>
      <xdr:row>3</xdr:row>
      <xdr:rowOff>53975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4400-000004000000}"/>
            </a:ext>
          </a:extLst>
        </xdr:cNvPr>
        <xdr:cNvSpPr/>
      </xdr:nvSpPr>
      <xdr:spPr>
        <a:xfrm>
          <a:off x="29845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" name="OpenSolver4">
          <a:extLst>
            <a:ext uri="{FF2B5EF4-FFF2-40B4-BE49-F238E27FC236}">
              <a16:creationId xmlns:a16="http://schemas.microsoft.com/office/drawing/2014/main" id="{00000000-0008-0000-4400-000005000000}"/>
            </a:ext>
          </a:extLst>
        </xdr:cNvPr>
        <xdr:cNvSpPr/>
      </xdr:nvSpPr>
      <xdr:spPr>
        <a:xfrm>
          <a:off x="2409825" y="97155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6" name="OpenSolver5">
          <a:extLst>
            <a:ext uri="{FF2B5EF4-FFF2-40B4-BE49-F238E27FC236}">
              <a16:creationId xmlns:a16="http://schemas.microsoft.com/office/drawing/2014/main" id="{00000000-0008-0000-4400-000006000000}"/>
            </a:ext>
          </a:extLst>
        </xdr:cNvPr>
        <xdr:cNvSpPr/>
      </xdr:nvSpPr>
      <xdr:spPr>
        <a:xfrm>
          <a:off x="3800475" y="97155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5</xdr:row>
      <xdr:rowOff>195263</xdr:rowOff>
    </xdr:from>
    <xdr:to>
      <xdr:col>6</xdr:col>
      <xdr:colOff>0</xdr:colOff>
      <xdr:row>5</xdr:row>
      <xdr:rowOff>195263</xdr:rowOff>
    </xdr:to>
    <xdr:cxnSp macro="">
      <xdr:nvCxnSpPr>
        <xdr:cNvPr id="7" name="OpenSolver6">
          <a:extLst>
            <a:ext uri="{FF2B5EF4-FFF2-40B4-BE49-F238E27FC236}">
              <a16:creationId xmlns:a16="http://schemas.microsoft.com/office/drawing/2014/main" id="{00000000-0008-0000-4400-000007000000}"/>
            </a:ext>
          </a:extLst>
        </xdr:cNvPr>
        <xdr:cNvCxnSpPr>
          <a:stCxn id="5" idx="3"/>
          <a:endCxn id="6" idx="1"/>
        </xdr:cNvCxnSpPr>
      </xdr:nvCxnSpPr>
      <xdr:spPr>
        <a:xfrm>
          <a:off x="3000375" y="1166813"/>
          <a:ext cx="8001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5</xdr:row>
      <xdr:rowOff>68263</xdr:rowOff>
    </xdr:from>
    <xdr:to>
      <xdr:col>5</xdr:col>
      <xdr:colOff>590550</xdr:colOff>
      <xdr:row>6</xdr:row>
      <xdr:rowOff>122238</xdr:rowOff>
    </xdr:to>
    <xdr:sp macro="" textlink="">
      <xdr:nvSpPr>
        <xdr:cNvPr id="8" name="OpenSolver7">
          <a:extLst>
            <a:ext uri="{FF2B5EF4-FFF2-40B4-BE49-F238E27FC236}">
              <a16:creationId xmlns:a16="http://schemas.microsoft.com/office/drawing/2014/main" id="{00000000-0008-0000-4400-000008000000}"/>
            </a:ext>
          </a:extLst>
        </xdr:cNvPr>
        <xdr:cNvSpPr/>
      </xdr:nvSpPr>
      <xdr:spPr>
        <a:xfrm>
          <a:off x="3209925" y="10398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257175</xdr:rowOff>
    </xdr:from>
    <xdr:to>
      <xdr:col>12</xdr:col>
      <xdr:colOff>314325</xdr:colOff>
      <xdr:row>29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4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63500</xdr:colOff>
      <xdr:row>4</xdr:row>
      <xdr:rowOff>25400</xdr:rowOff>
    </xdr:from>
    <xdr:to>
      <xdr:col>2</xdr:col>
      <xdr:colOff>228600</xdr:colOff>
      <xdr:row>25</xdr:row>
      <xdr:rowOff>15875</xdr:rowOff>
    </xdr:to>
    <xdr:sp macro="" textlink="">
      <xdr:nvSpPr>
        <xdr:cNvPr id="105473" name="ScrollBar1" hidden="1">
          <a:extLst>
            <a:ext uri="{63B3BB69-23CF-44E3-9099-C40C66FF867C}">
              <a14:compatExt xmlns:a14="http://schemas.microsoft.com/office/drawing/2010/main" spid="_x0000_s105473"/>
            </a:ext>
            <a:ext uri="{FF2B5EF4-FFF2-40B4-BE49-F238E27FC236}">
              <a16:creationId xmlns:a16="http://schemas.microsoft.com/office/drawing/2014/main" id="{00000000-0008-0000-4500-0000019C01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101600</xdr:colOff>
      <xdr:row>4</xdr:row>
      <xdr:rowOff>25400</xdr:rowOff>
    </xdr:from>
    <xdr:to>
      <xdr:col>3</xdr:col>
      <xdr:colOff>279400</xdr:colOff>
      <xdr:row>25</xdr:row>
      <xdr:rowOff>15875</xdr:rowOff>
    </xdr:to>
    <xdr:sp macro="" textlink="">
      <xdr:nvSpPr>
        <xdr:cNvPr id="105474" name="ScrollBar2" hidden="1">
          <a:extLst>
            <a:ext uri="{63B3BB69-23CF-44E3-9099-C40C66FF867C}">
              <a14:compatExt xmlns:a14="http://schemas.microsoft.com/office/drawing/2010/main" spid="_x0000_s105474"/>
            </a:ext>
            <a:ext uri="{FF2B5EF4-FFF2-40B4-BE49-F238E27FC236}">
              <a16:creationId xmlns:a16="http://schemas.microsoft.com/office/drawing/2014/main" id="{00000000-0008-0000-4500-0000029C01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2</xdr:col>
      <xdr:colOff>47625</xdr:colOff>
      <xdr:row>4</xdr:row>
      <xdr:rowOff>19050</xdr:rowOff>
    </xdr:from>
    <xdr:to>
      <xdr:col>2</xdr:col>
      <xdr:colOff>171450</xdr:colOff>
      <xdr:row>25</xdr:row>
      <xdr:rowOff>9525</xdr:rowOff>
    </xdr:to>
    <xdr:pic>
      <xdr:nvPicPr>
        <xdr:cNvPr id="5" name="ScrollBar1">
          <a:extLst>
            <a:ext uri="{FF2B5EF4-FFF2-40B4-BE49-F238E27FC236}">
              <a16:creationId xmlns:a16="http://schemas.microsoft.com/office/drawing/2014/main" id="{00000000-0008-0000-45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8300" y="800100"/>
          <a:ext cx="123825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76200</xdr:colOff>
      <xdr:row>4</xdr:row>
      <xdr:rowOff>19050</xdr:rowOff>
    </xdr:from>
    <xdr:to>
      <xdr:col>3</xdr:col>
      <xdr:colOff>209550</xdr:colOff>
      <xdr:row>25</xdr:row>
      <xdr:rowOff>9525</xdr:rowOff>
    </xdr:to>
    <xdr:pic>
      <xdr:nvPicPr>
        <xdr:cNvPr id="6" name="ScrollBar2">
          <a:extLst>
            <a:ext uri="{FF2B5EF4-FFF2-40B4-BE49-F238E27FC236}">
              <a16:creationId xmlns:a16="http://schemas.microsoft.com/office/drawing/2014/main" id="{00000000-0008-0000-45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800100"/>
          <a:ext cx="133350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18</xdr:col>
      <xdr:colOff>0</xdr:colOff>
      <xdr:row>9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3" name="OpenSolver1">
          <a:extLst>
            <a:ext uri="{FF2B5EF4-FFF2-40B4-BE49-F238E27FC236}">
              <a16:creationId xmlns:a16="http://schemas.microsoft.com/office/drawing/2014/main" id="{00000000-0008-0000-4500-000003000000}"/>
            </a:ext>
          </a:extLst>
        </xdr:cNvPr>
        <xdr:cNvSpPr/>
      </xdr:nvSpPr>
      <xdr:spPr>
        <a:xfrm>
          <a:off x="9267825" y="1752600"/>
          <a:ext cx="5905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4" name="OpenSolver2">
          <a:extLst>
            <a:ext uri="{FF2B5EF4-FFF2-40B4-BE49-F238E27FC236}">
              <a16:creationId xmlns:a16="http://schemas.microsoft.com/office/drawing/2014/main" id="{00000000-0008-0000-4500-000004000000}"/>
            </a:ext>
          </a:extLst>
        </xdr:cNvPr>
        <xdr:cNvSpPr/>
      </xdr:nvSpPr>
      <xdr:spPr>
        <a:xfrm>
          <a:off x="9267825" y="2333625"/>
          <a:ext cx="5905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581025</xdr:colOff>
      <xdr:row>11</xdr:row>
      <xdr:rowOff>117475</xdr:rowOff>
    </xdr:from>
    <xdr:to>
      <xdr:col>18</xdr:col>
      <xdr:colOff>221564</xdr:colOff>
      <xdr:row>12</xdr:row>
      <xdr:rowOff>53975</xdr:rowOff>
    </xdr:to>
    <xdr:sp macro="" textlink="">
      <xdr:nvSpPr>
        <xdr:cNvPr id="7" name="OpenSolver3">
          <a:extLst>
            <a:ext uri="{FF2B5EF4-FFF2-40B4-BE49-F238E27FC236}">
              <a16:creationId xmlns:a16="http://schemas.microsoft.com/office/drawing/2014/main" id="{00000000-0008-0000-4500-000007000000}"/>
            </a:ext>
          </a:extLst>
        </xdr:cNvPr>
        <xdr:cNvSpPr/>
      </xdr:nvSpPr>
      <xdr:spPr>
        <a:xfrm>
          <a:off x="9258300" y="22606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8" name="OpenSolver4">
          <a:extLst>
            <a:ext uri="{FF2B5EF4-FFF2-40B4-BE49-F238E27FC236}">
              <a16:creationId xmlns:a16="http://schemas.microsoft.com/office/drawing/2014/main" id="{00000000-0008-0000-4500-000008000000}"/>
            </a:ext>
          </a:extLst>
        </xdr:cNvPr>
        <xdr:cNvSpPr/>
      </xdr:nvSpPr>
      <xdr:spPr>
        <a:xfrm>
          <a:off x="80867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18</xdr:col>
      <xdr:colOff>12700</xdr:colOff>
      <xdr:row>9</xdr:row>
      <xdr:rowOff>12700</xdr:rowOff>
    </xdr:from>
    <xdr:to>
      <xdr:col>19</xdr:col>
      <xdr:colOff>0</xdr:colOff>
      <xdr:row>11</xdr:row>
      <xdr:rowOff>0</xdr:rowOff>
    </xdr:to>
    <xdr:sp macro="" textlink="">
      <xdr:nvSpPr>
        <xdr:cNvPr id="9" name="OpenSolver5">
          <a:extLst>
            <a:ext uri="{FF2B5EF4-FFF2-40B4-BE49-F238E27FC236}">
              <a16:creationId xmlns:a16="http://schemas.microsoft.com/office/drawing/2014/main" id="{00000000-0008-0000-4500-000009000000}"/>
            </a:ext>
          </a:extLst>
        </xdr:cNvPr>
        <xdr:cNvSpPr/>
      </xdr:nvSpPr>
      <xdr:spPr>
        <a:xfrm>
          <a:off x="9280525" y="1765300"/>
          <a:ext cx="577850" cy="3778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9</xdr:row>
      <xdr:rowOff>195263</xdr:rowOff>
    </xdr:from>
    <xdr:to>
      <xdr:col>18</xdr:col>
      <xdr:colOff>12700</xdr:colOff>
      <xdr:row>10</xdr:row>
      <xdr:rowOff>1588</xdr:rowOff>
    </xdr:to>
    <xdr:cxnSp macro="">
      <xdr:nvCxnSpPr>
        <xdr:cNvPr id="10" name="OpenSolver6">
          <a:extLst>
            <a:ext uri="{FF2B5EF4-FFF2-40B4-BE49-F238E27FC236}">
              <a16:creationId xmlns:a16="http://schemas.microsoft.com/office/drawing/2014/main" id="{00000000-0008-0000-4500-00000A000000}"/>
            </a:ext>
          </a:extLst>
        </xdr:cNvPr>
        <xdr:cNvCxnSpPr>
          <a:stCxn id="8" idx="3"/>
          <a:endCxn id="9" idx="1"/>
        </xdr:cNvCxnSpPr>
      </xdr:nvCxnSpPr>
      <xdr:spPr>
        <a:xfrm>
          <a:off x="8677275" y="1947863"/>
          <a:ext cx="603250" cy="63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111125</xdr:colOff>
      <xdr:row>9</xdr:row>
      <xdr:rowOff>71438</xdr:rowOff>
    </xdr:from>
    <xdr:to>
      <xdr:col>17</xdr:col>
      <xdr:colOff>492125</xdr:colOff>
      <xdr:row>10</xdr:row>
      <xdr:rowOff>125413</xdr:rowOff>
    </xdr:to>
    <xdr:sp macro="" textlink="">
      <xdr:nvSpPr>
        <xdr:cNvPr id="11" name="OpenSolver7">
          <a:extLst>
            <a:ext uri="{FF2B5EF4-FFF2-40B4-BE49-F238E27FC236}">
              <a16:creationId xmlns:a16="http://schemas.microsoft.com/office/drawing/2014/main" id="{00000000-0008-0000-4500-00000B000000}"/>
            </a:ext>
          </a:extLst>
        </xdr:cNvPr>
        <xdr:cNvSpPr/>
      </xdr:nvSpPr>
      <xdr:spPr>
        <a:xfrm>
          <a:off x="8788400" y="18240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25400</xdr:colOff>
      <xdr:row>9</xdr:row>
      <xdr:rowOff>25400</xdr:rowOff>
    </xdr:from>
    <xdr:to>
      <xdr:col>19</xdr:col>
      <xdr:colOff>0</xdr:colOff>
      <xdr:row>11</xdr:row>
      <xdr:rowOff>0</xdr:rowOff>
    </xdr:to>
    <xdr:sp macro="" textlink="">
      <xdr:nvSpPr>
        <xdr:cNvPr id="12" name="OpenSolver8">
          <a:extLst>
            <a:ext uri="{FF2B5EF4-FFF2-40B4-BE49-F238E27FC236}">
              <a16:creationId xmlns:a16="http://schemas.microsoft.com/office/drawing/2014/main" id="{00000000-0008-0000-4500-00000C000000}"/>
            </a:ext>
          </a:extLst>
        </xdr:cNvPr>
        <xdr:cNvSpPr/>
      </xdr:nvSpPr>
      <xdr:spPr>
        <a:xfrm>
          <a:off x="9293225" y="1778000"/>
          <a:ext cx="565150" cy="3651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13" name="OpenSolver9">
          <a:extLst>
            <a:ext uri="{FF2B5EF4-FFF2-40B4-BE49-F238E27FC236}">
              <a16:creationId xmlns:a16="http://schemas.microsoft.com/office/drawing/2014/main" id="{00000000-0008-0000-4500-00000D000000}"/>
            </a:ext>
          </a:extLst>
        </xdr:cNvPr>
        <xdr:cNvSpPr/>
      </xdr:nvSpPr>
      <xdr:spPr>
        <a:xfrm>
          <a:off x="10448925" y="1752600"/>
          <a:ext cx="5905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9</xdr:row>
      <xdr:rowOff>195263</xdr:rowOff>
    </xdr:from>
    <xdr:to>
      <xdr:col>20</xdr:col>
      <xdr:colOff>0</xdr:colOff>
      <xdr:row>10</xdr:row>
      <xdr:rowOff>7938</xdr:rowOff>
    </xdr:to>
    <xdr:cxnSp macro="">
      <xdr:nvCxnSpPr>
        <xdr:cNvPr id="14" name="OpenSolver10">
          <a:extLst>
            <a:ext uri="{FF2B5EF4-FFF2-40B4-BE49-F238E27FC236}">
              <a16:creationId xmlns:a16="http://schemas.microsoft.com/office/drawing/2014/main" id="{00000000-0008-0000-4500-00000E000000}"/>
            </a:ext>
          </a:extLst>
        </xdr:cNvPr>
        <xdr:cNvCxnSpPr>
          <a:stCxn id="12" idx="3"/>
          <a:endCxn id="13" idx="1"/>
        </xdr:cNvCxnSpPr>
      </xdr:nvCxnSpPr>
      <xdr:spPr>
        <a:xfrm flipV="1">
          <a:off x="9858375" y="1947863"/>
          <a:ext cx="590550" cy="127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104775</xdr:colOff>
      <xdr:row>9</xdr:row>
      <xdr:rowOff>74613</xdr:rowOff>
    </xdr:from>
    <xdr:to>
      <xdr:col>19</xdr:col>
      <xdr:colOff>485775</xdr:colOff>
      <xdr:row>10</xdr:row>
      <xdr:rowOff>128588</xdr:rowOff>
    </xdr:to>
    <xdr:sp macro="" textlink="">
      <xdr:nvSpPr>
        <xdr:cNvPr id="15" name="OpenSolver11">
          <a:extLst>
            <a:ext uri="{FF2B5EF4-FFF2-40B4-BE49-F238E27FC236}">
              <a16:creationId xmlns:a16="http://schemas.microsoft.com/office/drawing/2014/main" id="{00000000-0008-0000-4500-00000F000000}"/>
            </a:ext>
          </a:extLst>
        </xdr:cNvPr>
        <xdr:cNvSpPr/>
      </xdr:nvSpPr>
      <xdr:spPr>
        <a:xfrm>
          <a:off x="9963150" y="18272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10</xdr:row>
      <xdr:rowOff>0</xdr:rowOff>
    </xdr:from>
    <xdr:to>
      <xdr:col>4</xdr:col>
      <xdr:colOff>0</xdr:colOff>
      <xdr:row>11</xdr:row>
      <xdr:rowOff>0</xdr:rowOff>
    </xdr:to>
    <xdr:sp macro="" textlink="">
      <xdr:nvSpPr>
        <xdr:cNvPr id="9" name="OpenSolver1">
          <a:extLst>
            <a:ext uri="{FF2B5EF4-FFF2-40B4-BE49-F238E27FC236}">
              <a16:creationId xmlns:a16="http://schemas.microsoft.com/office/drawing/2014/main" id="{00000000-0008-0000-4600-000009000000}"/>
            </a:ext>
          </a:extLst>
        </xdr:cNvPr>
        <xdr:cNvSpPr/>
      </xdr:nvSpPr>
      <xdr:spPr>
        <a:xfrm>
          <a:off x="2886075" y="1952625"/>
          <a:ext cx="8001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15</xdr:row>
      <xdr:rowOff>0</xdr:rowOff>
    </xdr:from>
    <xdr:to>
      <xdr:col>4</xdr:col>
      <xdr:colOff>0</xdr:colOff>
      <xdr:row>16</xdr:row>
      <xdr:rowOff>0</xdr:rowOff>
    </xdr:to>
    <xdr:sp macro="" textlink="">
      <xdr:nvSpPr>
        <xdr:cNvPr id="10" name="OpenSolver2">
          <a:extLst>
            <a:ext uri="{FF2B5EF4-FFF2-40B4-BE49-F238E27FC236}">
              <a16:creationId xmlns:a16="http://schemas.microsoft.com/office/drawing/2014/main" id="{00000000-0008-0000-4600-00000A000000}"/>
            </a:ext>
          </a:extLst>
        </xdr:cNvPr>
        <xdr:cNvSpPr/>
      </xdr:nvSpPr>
      <xdr:spPr>
        <a:xfrm>
          <a:off x="2886075" y="2905125"/>
          <a:ext cx="8001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1670050</xdr:colOff>
      <xdr:row>14</xdr:row>
      <xdr:rowOff>117475</xdr:rowOff>
    </xdr:from>
    <xdr:to>
      <xdr:col>3</xdr:col>
      <xdr:colOff>215214</xdr:colOff>
      <xdr:row>15</xdr:row>
      <xdr:rowOff>53975</xdr:rowOff>
    </xdr:to>
    <xdr:sp macro="" textlink="">
      <xdr:nvSpPr>
        <xdr:cNvPr id="11" name="OpenSolver3">
          <a:extLst>
            <a:ext uri="{FF2B5EF4-FFF2-40B4-BE49-F238E27FC236}">
              <a16:creationId xmlns:a16="http://schemas.microsoft.com/office/drawing/2014/main" id="{00000000-0008-0000-4600-00000B000000}"/>
            </a:ext>
          </a:extLst>
        </xdr:cNvPr>
        <xdr:cNvSpPr/>
      </xdr:nvSpPr>
      <xdr:spPr>
        <a:xfrm>
          <a:off x="2870200" y="28321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10</xdr:row>
      <xdr:rowOff>12700</xdr:rowOff>
    </xdr:from>
    <xdr:to>
      <xdr:col>4</xdr:col>
      <xdr:colOff>0</xdr:colOff>
      <xdr:row>11</xdr:row>
      <xdr:rowOff>0</xdr:rowOff>
    </xdr:to>
    <xdr:sp macro="" textlink="">
      <xdr:nvSpPr>
        <xdr:cNvPr id="12" name="OpenSolverD11">
          <a:extLst>
            <a:ext uri="{FF2B5EF4-FFF2-40B4-BE49-F238E27FC236}">
              <a16:creationId xmlns:a16="http://schemas.microsoft.com/office/drawing/2014/main" id="{00000000-0008-0000-4600-00000C000000}"/>
            </a:ext>
          </a:extLst>
        </xdr:cNvPr>
        <xdr:cNvSpPr/>
      </xdr:nvSpPr>
      <xdr:spPr>
        <a:xfrm>
          <a:off x="2898775" y="1965325"/>
          <a:ext cx="787400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1000≥</a:t>
          </a:r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7</xdr:row>
      <xdr:rowOff>96610</xdr:rowOff>
    </xdr:from>
    <xdr:to>
      <xdr:col>11</xdr:col>
      <xdr:colOff>272142</xdr:colOff>
      <xdr:row>20</xdr:row>
      <xdr:rowOff>108857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4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317500</xdr:colOff>
      <xdr:row>1</xdr:row>
      <xdr:rowOff>101600</xdr:rowOff>
    </xdr:from>
    <xdr:to>
      <xdr:col>11</xdr:col>
      <xdr:colOff>482600</xdr:colOff>
      <xdr:row>15</xdr:row>
      <xdr:rowOff>130175</xdr:rowOff>
    </xdr:to>
    <xdr:sp macro="" textlink="">
      <xdr:nvSpPr>
        <xdr:cNvPr id="111617" name="ScrollBar1" hidden="1">
          <a:extLst>
            <a:ext uri="{63B3BB69-23CF-44E3-9099-C40C66FF867C}">
              <a14:compatExt xmlns:a14="http://schemas.microsoft.com/office/drawing/2010/main" spid="_x0000_s111617"/>
            </a:ext>
            <a:ext uri="{FF2B5EF4-FFF2-40B4-BE49-F238E27FC236}">
              <a16:creationId xmlns:a16="http://schemas.microsoft.com/office/drawing/2014/main" id="{00000000-0008-0000-4700-000001B401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520700</xdr:colOff>
      <xdr:row>1</xdr:row>
      <xdr:rowOff>101600</xdr:rowOff>
    </xdr:from>
    <xdr:to>
      <xdr:col>12</xdr:col>
      <xdr:colOff>88900</xdr:colOff>
      <xdr:row>15</xdr:row>
      <xdr:rowOff>130175</xdr:rowOff>
    </xdr:to>
    <xdr:sp macro="" textlink="">
      <xdr:nvSpPr>
        <xdr:cNvPr id="111618" name="ScrollBar2" hidden="1">
          <a:extLst>
            <a:ext uri="{63B3BB69-23CF-44E3-9099-C40C66FF867C}">
              <a14:compatExt xmlns:a14="http://schemas.microsoft.com/office/drawing/2010/main" spid="_x0000_s111618"/>
            </a:ext>
            <a:ext uri="{FF2B5EF4-FFF2-40B4-BE49-F238E27FC236}">
              <a16:creationId xmlns:a16="http://schemas.microsoft.com/office/drawing/2014/main" id="{00000000-0008-0000-4700-000002B401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127000</xdr:colOff>
      <xdr:row>1</xdr:row>
      <xdr:rowOff>101600</xdr:rowOff>
    </xdr:from>
    <xdr:to>
      <xdr:col>12</xdr:col>
      <xdr:colOff>292100</xdr:colOff>
      <xdr:row>15</xdr:row>
      <xdr:rowOff>130175</xdr:rowOff>
    </xdr:to>
    <xdr:sp macro="" textlink="">
      <xdr:nvSpPr>
        <xdr:cNvPr id="111619" name="ScrollBar3" hidden="1">
          <a:extLst>
            <a:ext uri="{63B3BB69-23CF-44E3-9099-C40C66FF867C}">
              <a14:compatExt xmlns:a14="http://schemas.microsoft.com/office/drawing/2010/main" spid="_x0000_s111619"/>
            </a:ext>
            <a:ext uri="{FF2B5EF4-FFF2-40B4-BE49-F238E27FC236}">
              <a16:creationId xmlns:a16="http://schemas.microsoft.com/office/drawing/2014/main" id="{00000000-0008-0000-4700-000003B401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342900</xdr:colOff>
      <xdr:row>1</xdr:row>
      <xdr:rowOff>101600</xdr:rowOff>
    </xdr:from>
    <xdr:to>
      <xdr:col>12</xdr:col>
      <xdr:colOff>520700</xdr:colOff>
      <xdr:row>15</xdr:row>
      <xdr:rowOff>130175</xdr:rowOff>
    </xdr:to>
    <xdr:sp macro="" textlink="">
      <xdr:nvSpPr>
        <xdr:cNvPr id="111620" name="ScrollBar4" hidden="1">
          <a:extLst>
            <a:ext uri="{63B3BB69-23CF-44E3-9099-C40C66FF867C}">
              <a14:compatExt xmlns:a14="http://schemas.microsoft.com/office/drawing/2010/main" spid="_x0000_s111620"/>
            </a:ext>
            <a:ext uri="{FF2B5EF4-FFF2-40B4-BE49-F238E27FC236}">
              <a16:creationId xmlns:a16="http://schemas.microsoft.com/office/drawing/2014/main" id="{00000000-0008-0000-4700-000004B401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238125</xdr:colOff>
      <xdr:row>1</xdr:row>
      <xdr:rowOff>76200</xdr:rowOff>
    </xdr:from>
    <xdr:to>
      <xdr:col>11</xdr:col>
      <xdr:colOff>361950</xdr:colOff>
      <xdr:row>15</xdr:row>
      <xdr:rowOff>95250</xdr:rowOff>
    </xdr:to>
    <xdr:pic>
      <xdr:nvPicPr>
        <xdr:cNvPr id="3" name="ScrollBar1">
          <a:extLst>
            <a:ext uri="{FF2B5EF4-FFF2-40B4-BE49-F238E27FC236}">
              <a16:creationId xmlns:a16="http://schemas.microsoft.com/office/drawing/2014/main" id="{00000000-0008-0000-47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390525</xdr:colOff>
      <xdr:row>1</xdr:row>
      <xdr:rowOff>76200</xdr:rowOff>
    </xdr:from>
    <xdr:to>
      <xdr:col>12</xdr:col>
      <xdr:colOff>66675</xdr:colOff>
      <xdr:row>15</xdr:row>
      <xdr:rowOff>95250</xdr:rowOff>
    </xdr:to>
    <xdr:pic>
      <xdr:nvPicPr>
        <xdr:cNvPr id="4" name="ScrollBar2">
          <a:extLst>
            <a:ext uri="{FF2B5EF4-FFF2-40B4-BE49-F238E27FC236}">
              <a16:creationId xmlns:a16="http://schemas.microsoft.com/office/drawing/2014/main" id="{00000000-0008-0000-47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72100" y="266700"/>
          <a:ext cx="26670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95250</xdr:colOff>
      <xdr:row>1</xdr:row>
      <xdr:rowOff>76200</xdr:rowOff>
    </xdr:from>
    <xdr:to>
      <xdr:col>12</xdr:col>
      <xdr:colOff>219075</xdr:colOff>
      <xdr:row>15</xdr:row>
      <xdr:rowOff>95250</xdr:rowOff>
    </xdr:to>
    <xdr:pic>
      <xdr:nvPicPr>
        <xdr:cNvPr id="5" name="ScrollBar3">
          <a:extLst>
            <a:ext uri="{FF2B5EF4-FFF2-40B4-BE49-F238E27FC236}">
              <a16:creationId xmlns:a16="http://schemas.microsoft.com/office/drawing/2014/main" id="{00000000-0008-0000-47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257175</xdr:colOff>
      <xdr:row>1</xdr:row>
      <xdr:rowOff>76200</xdr:rowOff>
    </xdr:from>
    <xdr:to>
      <xdr:col>12</xdr:col>
      <xdr:colOff>390525</xdr:colOff>
      <xdr:row>15</xdr:row>
      <xdr:rowOff>95250</xdr:rowOff>
    </xdr:to>
    <xdr:pic>
      <xdr:nvPicPr>
        <xdr:cNvPr id="6" name="ScrollBar4">
          <a:extLst>
            <a:ext uri="{FF2B5EF4-FFF2-40B4-BE49-F238E27FC236}">
              <a16:creationId xmlns:a16="http://schemas.microsoft.com/office/drawing/2014/main" id="{00000000-0008-0000-47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29300" y="266700"/>
          <a:ext cx="13335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15</xdr:row>
      <xdr:rowOff>142875</xdr:rowOff>
    </xdr:from>
    <xdr:to>
      <xdr:col>5</xdr:col>
      <xdr:colOff>609600</xdr:colOff>
      <xdr:row>22</xdr:row>
      <xdr:rowOff>152400</xdr:rowOff>
    </xdr:to>
    <xdr:grpSp>
      <xdr:nvGrpSpPr>
        <xdr:cNvPr id="2" name="Group 39">
          <a:extLst>
            <a:ext uri="{FF2B5EF4-FFF2-40B4-BE49-F238E27FC236}">
              <a16:creationId xmlns:a16="http://schemas.microsoft.com/office/drawing/2014/main" id="{00000000-0008-0000-4800-000002000000}"/>
            </a:ext>
          </a:extLst>
        </xdr:cNvPr>
        <xdr:cNvGrpSpPr>
          <a:grpSpLocks noChangeAspect="1"/>
        </xdr:cNvGrpSpPr>
      </xdr:nvGrpSpPr>
      <xdr:grpSpPr bwMode="auto">
        <a:xfrm>
          <a:off x="1657350" y="3067050"/>
          <a:ext cx="2419350" cy="1343025"/>
          <a:chOff x="0" y="0"/>
          <a:chExt cx="3750" cy="1800"/>
        </a:xfrm>
      </xdr:grpSpPr>
      <xdr:sp macro="" textlink="">
        <xdr:nvSpPr>
          <xdr:cNvPr id="3" name="AutoShape 40">
            <a:extLst>
              <a:ext uri="{FF2B5EF4-FFF2-40B4-BE49-F238E27FC236}">
                <a16:creationId xmlns:a16="http://schemas.microsoft.com/office/drawing/2014/main" id="{00000000-0008-0000-4800-00000300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0" y="0"/>
            <a:ext cx="3750" cy="1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41">
            <a:extLst>
              <a:ext uri="{FF2B5EF4-FFF2-40B4-BE49-F238E27FC236}">
                <a16:creationId xmlns:a16="http://schemas.microsoft.com/office/drawing/2014/main" id="{00000000-0008-0000-4800-000004000000}"/>
              </a:ext>
            </a:extLst>
          </xdr:cNvPr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solidFill>
            <a:srgbClr val="B2B2B2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Rectangle 42">
            <a:extLst>
              <a:ext uri="{FF2B5EF4-FFF2-40B4-BE49-F238E27FC236}">
                <a16:creationId xmlns:a16="http://schemas.microsoft.com/office/drawing/2014/main" id="{00000000-0008-0000-4800-000005000000}"/>
              </a:ext>
            </a:extLst>
          </xdr:cNvPr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noFill/>
          <a:ln w="571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43">
            <a:extLst>
              <a:ext uri="{FF2B5EF4-FFF2-40B4-BE49-F238E27FC236}">
                <a16:creationId xmlns:a16="http://schemas.microsoft.com/office/drawing/2014/main" id="{00000000-0008-0000-4800-000006000000}"/>
              </a:ext>
            </a:extLst>
          </xdr:cNvPr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  <a:close/>
              </a:path>
            </a:pathLst>
          </a:custGeom>
          <a:solidFill>
            <a:srgbClr val="B2B2B2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44">
            <a:extLst>
              <a:ext uri="{FF2B5EF4-FFF2-40B4-BE49-F238E27FC236}">
                <a16:creationId xmlns:a16="http://schemas.microsoft.com/office/drawing/2014/main" id="{00000000-0008-0000-4800-000007000000}"/>
              </a:ext>
            </a:extLst>
          </xdr:cNvPr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Freeform 45">
            <a:extLst>
              <a:ext uri="{FF2B5EF4-FFF2-40B4-BE49-F238E27FC236}">
                <a16:creationId xmlns:a16="http://schemas.microsoft.com/office/drawing/2014/main" id="{00000000-0008-0000-4800-000008000000}"/>
              </a:ext>
            </a:extLst>
          </xdr:cNvPr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" name="Freeform 46">
            <a:extLst>
              <a:ext uri="{FF2B5EF4-FFF2-40B4-BE49-F238E27FC236}">
                <a16:creationId xmlns:a16="http://schemas.microsoft.com/office/drawing/2014/main" id="{00000000-0008-0000-4800-000009000000}"/>
              </a:ext>
            </a:extLst>
          </xdr:cNvPr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Freeform 47">
            <a:extLst>
              <a:ext uri="{FF2B5EF4-FFF2-40B4-BE49-F238E27FC236}">
                <a16:creationId xmlns:a16="http://schemas.microsoft.com/office/drawing/2014/main" id="{00000000-0008-0000-4800-00000A000000}"/>
              </a:ext>
            </a:extLst>
          </xdr:cNvPr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" name="Freeform 48">
            <a:extLst>
              <a:ext uri="{FF2B5EF4-FFF2-40B4-BE49-F238E27FC236}">
                <a16:creationId xmlns:a16="http://schemas.microsoft.com/office/drawing/2014/main" id="{00000000-0008-0000-4800-00000B000000}"/>
              </a:ext>
            </a:extLst>
          </xdr:cNvPr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49">
            <a:extLst>
              <a:ext uri="{FF2B5EF4-FFF2-40B4-BE49-F238E27FC236}">
                <a16:creationId xmlns:a16="http://schemas.microsoft.com/office/drawing/2014/main" id="{00000000-0008-0000-4800-00000C000000}"/>
              </a:ext>
            </a:extLst>
          </xdr:cNvPr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" name="Freeform 50">
            <a:extLst>
              <a:ext uri="{FF2B5EF4-FFF2-40B4-BE49-F238E27FC236}">
                <a16:creationId xmlns:a16="http://schemas.microsoft.com/office/drawing/2014/main" id="{00000000-0008-0000-4800-00000D000000}"/>
              </a:ext>
            </a:extLst>
          </xdr:cNvPr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" name="Freeform 51">
            <a:extLst>
              <a:ext uri="{FF2B5EF4-FFF2-40B4-BE49-F238E27FC236}">
                <a16:creationId xmlns:a16="http://schemas.microsoft.com/office/drawing/2014/main" id="{00000000-0008-0000-4800-00000E000000}"/>
              </a:ext>
            </a:extLst>
          </xdr:cNvPr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" name="Freeform 52">
            <a:extLst>
              <a:ext uri="{FF2B5EF4-FFF2-40B4-BE49-F238E27FC236}">
                <a16:creationId xmlns:a16="http://schemas.microsoft.com/office/drawing/2014/main" id="{00000000-0008-0000-4800-00000F000000}"/>
              </a:ext>
            </a:extLst>
          </xdr:cNvPr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" name="Freeform 53">
            <a:extLst>
              <a:ext uri="{FF2B5EF4-FFF2-40B4-BE49-F238E27FC236}">
                <a16:creationId xmlns:a16="http://schemas.microsoft.com/office/drawing/2014/main" id="{00000000-0008-0000-4800-000010000000}"/>
              </a:ext>
            </a:extLst>
          </xdr:cNvPr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7" name="Freeform 54">
            <a:extLst>
              <a:ext uri="{FF2B5EF4-FFF2-40B4-BE49-F238E27FC236}">
                <a16:creationId xmlns:a16="http://schemas.microsoft.com/office/drawing/2014/main" id="{00000000-0008-0000-4800-000011000000}"/>
              </a:ext>
            </a:extLst>
          </xdr:cNvPr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" name="Line 55">
            <a:extLst>
              <a:ext uri="{FF2B5EF4-FFF2-40B4-BE49-F238E27FC236}">
                <a16:creationId xmlns:a16="http://schemas.microsoft.com/office/drawing/2014/main" id="{00000000-0008-0000-48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0" y="1522"/>
            <a:ext cx="3731" cy="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56">
            <a:extLst>
              <a:ext uri="{FF2B5EF4-FFF2-40B4-BE49-F238E27FC236}">
                <a16:creationId xmlns:a16="http://schemas.microsoft.com/office/drawing/2014/main" id="{00000000-0008-0000-4800-000013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9" y="952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Line 57">
            <a:extLst>
              <a:ext uri="{FF2B5EF4-FFF2-40B4-BE49-F238E27FC236}">
                <a16:creationId xmlns:a16="http://schemas.microsoft.com/office/drawing/2014/main" id="{00000000-0008-0000-4800-000014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9" y="1120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" name="Line 58">
            <a:extLst>
              <a:ext uri="{FF2B5EF4-FFF2-40B4-BE49-F238E27FC236}">
                <a16:creationId xmlns:a16="http://schemas.microsoft.com/office/drawing/2014/main" id="{00000000-0008-0000-4800-000015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9" y="1289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" name="Line 59">
            <a:extLst>
              <a:ext uri="{FF2B5EF4-FFF2-40B4-BE49-F238E27FC236}">
                <a16:creationId xmlns:a16="http://schemas.microsoft.com/office/drawing/2014/main" id="{00000000-0008-0000-4800-000016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9" y="1205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" name="Line 60">
            <a:extLst>
              <a:ext uri="{FF2B5EF4-FFF2-40B4-BE49-F238E27FC236}">
                <a16:creationId xmlns:a16="http://schemas.microsoft.com/office/drawing/2014/main" id="{00000000-0008-0000-4800-000017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9" y="1036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" name="Freeform 61">
            <a:extLst>
              <a:ext uri="{FF2B5EF4-FFF2-40B4-BE49-F238E27FC236}">
                <a16:creationId xmlns:a16="http://schemas.microsoft.com/office/drawing/2014/main" id="{00000000-0008-0000-4800-000018000000}"/>
              </a:ext>
            </a:extLst>
          </xdr:cNvPr>
          <xdr:cNvSpPr>
            <a:spLocks noEditPoints="1"/>
          </xdr:cNvSpPr>
        </xdr:nvSpPr>
        <xdr:spPr bwMode="auto">
          <a:xfrm>
            <a:off x="263" y="1074"/>
            <a:ext cx="159" cy="159"/>
          </a:xfrm>
          <a:custGeom>
            <a:avLst/>
            <a:gdLst>
              <a:gd name="T0" fmla="*/ 18 w 159"/>
              <a:gd name="T1" fmla="*/ 131 h 159"/>
              <a:gd name="T2" fmla="*/ 9 w 159"/>
              <a:gd name="T3" fmla="*/ 121 h 159"/>
              <a:gd name="T4" fmla="*/ 18 w 159"/>
              <a:gd name="T5" fmla="*/ 112 h 159"/>
              <a:gd name="T6" fmla="*/ 18 w 159"/>
              <a:gd name="T7" fmla="*/ 121 h 159"/>
              <a:gd name="T8" fmla="*/ 28 w 159"/>
              <a:gd name="T9" fmla="*/ 121 h 159"/>
              <a:gd name="T10" fmla="*/ 37 w 159"/>
              <a:gd name="T11" fmla="*/ 140 h 159"/>
              <a:gd name="T12" fmla="*/ 37 w 159"/>
              <a:gd name="T13" fmla="*/ 140 h 159"/>
              <a:gd name="T14" fmla="*/ 37 w 159"/>
              <a:gd name="T15" fmla="*/ 140 h 159"/>
              <a:gd name="T16" fmla="*/ 0 w 159"/>
              <a:gd name="T17" fmla="*/ 74 h 159"/>
              <a:gd name="T18" fmla="*/ 9 w 159"/>
              <a:gd name="T19" fmla="*/ 56 h 159"/>
              <a:gd name="T20" fmla="*/ 9 w 159"/>
              <a:gd name="T21" fmla="*/ 56 h 159"/>
              <a:gd name="T22" fmla="*/ 18 w 159"/>
              <a:gd name="T23" fmla="*/ 56 h 159"/>
              <a:gd name="T24" fmla="*/ 9 w 159"/>
              <a:gd name="T25" fmla="*/ 74 h 159"/>
              <a:gd name="T26" fmla="*/ 9 w 159"/>
              <a:gd name="T27" fmla="*/ 84 h 159"/>
              <a:gd name="T28" fmla="*/ 0 w 159"/>
              <a:gd name="T29" fmla="*/ 84 h 159"/>
              <a:gd name="T30" fmla="*/ 0 w 159"/>
              <a:gd name="T31" fmla="*/ 84 h 159"/>
              <a:gd name="T32" fmla="*/ 28 w 159"/>
              <a:gd name="T33" fmla="*/ 18 h 159"/>
              <a:gd name="T34" fmla="*/ 46 w 159"/>
              <a:gd name="T35" fmla="*/ 9 h 159"/>
              <a:gd name="T36" fmla="*/ 56 w 159"/>
              <a:gd name="T37" fmla="*/ 9 h 159"/>
              <a:gd name="T38" fmla="*/ 56 w 159"/>
              <a:gd name="T39" fmla="*/ 18 h 159"/>
              <a:gd name="T40" fmla="*/ 37 w 159"/>
              <a:gd name="T41" fmla="*/ 28 h 159"/>
              <a:gd name="T42" fmla="*/ 28 w 159"/>
              <a:gd name="T43" fmla="*/ 28 h 159"/>
              <a:gd name="T44" fmla="*/ 28 w 159"/>
              <a:gd name="T45" fmla="*/ 28 h 159"/>
              <a:gd name="T46" fmla="*/ 28 w 159"/>
              <a:gd name="T47" fmla="*/ 28 h 159"/>
              <a:gd name="T48" fmla="*/ 121 w 159"/>
              <a:gd name="T49" fmla="*/ 9 h 159"/>
              <a:gd name="T50" fmla="*/ 121 w 159"/>
              <a:gd name="T51" fmla="*/ 9 h 159"/>
              <a:gd name="T52" fmla="*/ 121 w 159"/>
              <a:gd name="T53" fmla="*/ 18 h 159"/>
              <a:gd name="T54" fmla="*/ 112 w 159"/>
              <a:gd name="T55" fmla="*/ 18 h 159"/>
              <a:gd name="T56" fmla="*/ 112 w 159"/>
              <a:gd name="T57" fmla="*/ 18 h 159"/>
              <a:gd name="T58" fmla="*/ 84 w 159"/>
              <a:gd name="T59" fmla="*/ 9 h 159"/>
              <a:gd name="T60" fmla="*/ 84 w 159"/>
              <a:gd name="T61" fmla="*/ 0 h 159"/>
              <a:gd name="T62" fmla="*/ 93 w 159"/>
              <a:gd name="T63" fmla="*/ 0 h 159"/>
              <a:gd name="T64" fmla="*/ 159 w 159"/>
              <a:gd name="T65" fmla="*/ 56 h 159"/>
              <a:gd name="T66" fmla="*/ 159 w 159"/>
              <a:gd name="T67" fmla="*/ 65 h 159"/>
              <a:gd name="T68" fmla="*/ 150 w 159"/>
              <a:gd name="T69" fmla="*/ 74 h 159"/>
              <a:gd name="T70" fmla="*/ 150 w 159"/>
              <a:gd name="T71" fmla="*/ 65 h 159"/>
              <a:gd name="T72" fmla="*/ 150 w 159"/>
              <a:gd name="T73" fmla="*/ 65 h 159"/>
              <a:gd name="T74" fmla="*/ 140 w 159"/>
              <a:gd name="T75" fmla="*/ 37 h 159"/>
              <a:gd name="T76" fmla="*/ 140 w 159"/>
              <a:gd name="T77" fmla="*/ 37 h 159"/>
              <a:gd name="T78" fmla="*/ 150 w 159"/>
              <a:gd name="T79" fmla="*/ 37 h 159"/>
              <a:gd name="T80" fmla="*/ 150 w 159"/>
              <a:gd name="T81" fmla="*/ 121 h 159"/>
              <a:gd name="T82" fmla="*/ 140 w 159"/>
              <a:gd name="T83" fmla="*/ 131 h 159"/>
              <a:gd name="T84" fmla="*/ 131 w 159"/>
              <a:gd name="T85" fmla="*/ 131 h 159"/>
              <a:gd name="T86" fmla="*/ 131 w 159"/>
              <a:gd name="T87" fmla="*/ 121 h 159"/>
              <a:gd name="T88" fmla="*/ 140 w 159"/>
              <a:gd name="T89" fmla="*/ 112 h 159"/>
              <a:gd name="T90" fmla="*/ 150 w 159"/>
              <a:gd name="T91" fmla="*/ 103 h 159"/>
              <a:gd name="T92" fmla="*/ 159 w 159"/>
              <a:gd name="T93" fmla="*/ 103 h 159"/>
              <a:gd name="T94" fmla="*/ 159 w 159"/>
              <a:gd name="T95" fmla="*/ 103 h 159"/>
              <a:gd name="T96" fmla="*/ 103 w 159"/>
              <a:gd name="T97" fmla="*/ 159 h 159"/>
              <a:gd name="T98" fmla="*/ 84 w 159"/>
              <a:gd name="T99" fmla="*/ 159 h 159"/>
              <a:gd name="T100" fmla="*/ 75 w 159"/>
              <a:gd name="T101" fmla="*/ 159 h 159"/>
              <a:gd name="T102" fmla="*/ 84 w 159"/>
              <a:gd name="T103" fmla="*/ 149 h 159"/>
              <a:gd name="T104" fmla="*/ 103 w 159"/>
              <a:gd name="T105" fmla="*/ 149 h 159"/>
              <a:gd name="T106" fmla="*/ 112 w 159"/>
              <a:gd name="T107" fmla="*/ 140 h 159"/>
              <a:gd name="T108" fmla="*/ 112 w 159"/>
              <a:gd name="T109" fmla="*/ 149 h 159"/>
              <a:gd name="T110" fmla="*/ 112 w 159"/>
              <a:gd name="T111" fmla="*/ 149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37" y="140"/>
                </a:moveTo>
                <a:lnTo>
                  <a:pt x="18" y="131"/>
                </a:lnTo>
                <a:lnTo>
                  <a:pt x="9" y="121"/>
                </a:lnTo>
                <a:lnTo>
                  <a:pt x="18" y="112"/>
                </a:lnTo>
                <a:lnTo>
                  <a:pt x="18" y="121"/>
                </a:lnTo>
                <a:lnTo>
                  <a:pt x="28" y="121"/>
                </a:lnTo>
                <a:lnTo>
                  <a:pt x="37" y="140"/>
                </a:lnTo>
                <a:close/>
                <a:moveTo>
                  <a:pt x="0" y="84"/>
                </a:moveTo>
                <a:lnTo>
                  <a:pt x="0" y="74"/>
                </a:lnTo>
                <a:lnTo>
                  <a:pt x="9" y="56"/>
                </a:lnTo>
                <a:lnTo>
                  <a:pt x="18" y="56"/>
                </a:lnTo>
                <a:lnTo>
                  <a:pt x="9" y="74"/>
                </a:lnTo>
                <a:lnTo>
                  <a:pt x="9" y="84"/>
                </a:lnTo>
                <a:lnTo>
                  <a:pt x="9" y="93"/>
                </a:lnTo>
                <a:lnTo>
                  <a:pt x="0" y="84"/>
                </a:lnTo>
                <a:close/>
                <a:moveTo>
                  <a:pt x="28" y="28"/>
                </a:moveTo>
                <a:lnTo>
                  <a:pt x="28" y="18"/>
                </a:lnTo>
                <a:lnTo>
                  <a:pt x="46" y="9"/>
                </a:lnTo>
                <a:lnTo>
                  <a:pt x="56" y="9"/>
                </a:lnTo>
                <a:lnTo>
                  <a:pt x="56" y="18"/>
                </a:lnTo>
                <a:lnTo>
                  <a:pt x="37" y="28"/>
                </a:lnTo>
                <a:lnTo>
                  <a:pt x="28" y="28"/>
                </a:lnTo>
                <a:close/>
                <a:moveTo>
                  <a:pt x="93" y="0"/>
                </a:moveTo>
                <a:lnTo>
                  <a:pt x="121" y="9"/>
                </a:lnTo>
                <a:lnTo>
                  <a:pt x="121" y="18"/>
                </a:lnTo>
                <a:lnTo>
                  <a:pt x="112" y="18"/>
                </a:lnTo>
                <a:lnTo>
                  <a:pt x="84" y="9"/>
                </a:lnTo>
                <a:lnTo>
                  <a:pt x="84" y="0"/>
                </a:lnTo>
                <a:lnTo>
                  <a:pt x="93" y="0"/>
                </a:lnTo>
                <a:close/>
                <a:moveTo>
                  <a:pt x="150" y="37"/>
                </a:moveTo>
                <a:lnTo>
                  <a:pt x="159" y="56"/>
                </a:lnTo>
                <a:lnTo>
                  <a:pt x="159" y="65"/>
                </a:lnTo>
                <a:lnTo>
                  <a:pt x="150" y="74"/>
                </a:lnTo>
                <a:lnTo>
                  <a:pt x="150" y="65"/>
                </a:lnTo>
                <a:lnTo>
                  <a:pt x="150" y="56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50" y="37"/>
                </a:lnTo>
                <a:close/>
                <a:moveTo>
                  <a:pt x="159" y="103"/>
                </a:moveTo>
                <a:lnTo>
                  <a:pt x="150" y="121"/>
                </a:lnTo>
                <a:lnTo>
                  <a:pt x="140" y="131"/>
                </a:lnTo>
                <a:lnTo>
                  <a:pt x="131" y="131"/>
                </a:lnTo>
                <a:lnTo>
                  <a:pt x="131" y="121"/>
                </a:lnTo>
                <a:lnTo>
                  <a:pt x="140" y="112"/>
                </a:lnTo>
                <a:lnTo>
                  <a:pt x="150" y="103"/>
                </a:lnTo>
                <a:lnTo>
                  <a:pt x="159" y="103"/>
                </a:lnTo>
                <a:close/>
                <a:moveTo>
                  <a:pt x="112" y="149"/>
                </a:moveTo>
                <a:lnTo>
                  <a:pt x="103" y="159"/>
                </a:lnTo>
                <a:lnTo>
                  <a:pt x="84" y="159"/>
                </a:lnTo>
                <a:lnTo>
                  <a:pt x="75" y="159"/>
                </a:lnTo>
                <a:lnTo>
                  <a:pt x="75" y="149"/>
                </a:lnTo>
                <a:lnTo>
                  <a:pt x="84" y="149"/>
                </a:lnTo>
                <a:lnTo>
                  <a:pt x="103" y="149"/>
                </a:lnTo>
                <a:lnTo>
                  <a:pt x="103" y="140"/>
                </a:lnTo>
                <a:lnTo>
                  <a:pt x="112" y="140"/>
                </a:lnTo>
                <a:lnTo>
                  <a:pt x="112" y="149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" name="Freeform 62">
            <a:extLst>
              <a:ext uri="{FF2B5EF4-FFF2-40B4-BE49-F238E27FC236}">
                <a16:creationId xmlns:a16="http://schemas.microsoft.com/office/drawing/2014/main" id="{00000000-0008-0000-4800-000019000000}"/>
              </a:ext>
            </a:extLst>
          </xdr:cNvPr>
          <xdr:cNvSpPr>
            <a:spLocks noEditPoints="1"/>
          </xdr:cNvSpPr>
        </xdr:nvSpPr>
        <xdr:spPr bwMode="auto">
          <a:xfrm>
            <a:off x="2944" y="1064"/>
            <a:ext cx="159" cy="159"/>
          </a:xfrm>
          <a:custGeom>
            <a:avLst/>
            <a:gdLst>
              <a:gd name="T0" fmla="*/ 112 w 159"/>
              <a:gd name="T1" fmla="*/ 150 h 159"/>
              <a:gd name="T2" fmla="*/ 112 w 159"/>
              <a:gd name="T3" fmla="*/ 150 h 159"/>
              <a:gd name="T4" fmla="*/ 103 w 159"/>
              <a:gd name="T5" fmla="*/ 150 h 159"/>
              <a:gd name="T6" fmla="*/ 103 w 159"/>
              <a:gd name="T7" fmla="*/ 141 h 159"/>
              <a:gd name="T8" fmla="*/ 112 w 159"/>
              <a:gd name="T9" fmla="*/ 141 h 159"/>
              <a:gd name="T10" fmla="*/ 131 w 159"/>
              <a:gd name="T11" fmla="*/ 131 h 159"/>
              <a:gd name="T12" fmla="*/ 131 w 159"/>
              <a:gd name="T13" fmla="*/ 131 h 159"/>
              <a:gd name="T14" fmla="*/ 131 w 159"/>
              <a:gd name="T15" fmla="*/ 141 h 159"/>
              <a:gd name="T16" fmla="*/ 56 w 159"/>
              <a:gd name="T17" fmla="*/ 159 h 159"/>
              <a:gd name="T18" fmla="*/ 37 w 159"/>
              <a:gd name="T19" fmla="*/ 150 h 159"/>
              <a:gd name="T20" fmla="*/ 37 w 159"/>
              <a:gd name="T21" fmla="*/ 141 h 159"/>
              <a:gd name="T22" fmla="*/ 47 w 159"/>
              <a:gd name="T23" fmla="*/ 141 h 159"/>
              <a:gd name="T24" fmla="*/ 56 w 159"/>
              <a:gd name="T25" fmla="*/ 150 h 159"/>
              <a:gd name="T26" fmla="*/ 75 w 159"/>
              <a:gd name="T27" fmla="*/ 150 h 159"/>
              <a:gd name="T28" fmla="*/ 75 w 159"/>
              <a:gd name="T29" fmla="*/ 159 h 159"/>
              <a:gd name="T30" fmla="*/ 65 w 159"/>
              <a:gd name="T31" fmla="*/ 159 h 159"/>
              <a:gd name="T32" fmla="*/ 9 w 159"/>
              <a:gd name="T33" fmla="*/ 113 h 159"/>
              <a:gd name="T34" fmla="*/ 0 w 159"/>
              <a:gd name="T35" fmla="*/ 94 h 159"/>
              <a:gd name="T36" fmla="*/ 9 w 159"/>
              <a:gd name="T37" fmla="*/ 84 h 159"/>
              <a:gd name="T38" fmla="*/ 9 w 159"/>
              <a:gd name="T39" fmla="*/ 94 h 159"/>
              <a:gd name="T40" fmla="*/ 19 w 159"/>
              <a:gd name="T41" fmla="*/ 113 h 159"/>
              <a:gd name="T42" fmla="*/ 19 w 159"/>
              <a:gd name="T43" fmla="*/ 122 h 159"/>
              <a:gd name="T44" fmla="*/ 19 w 159"/>
              <a:gd name="T45" fmla="*/ 122 h 159"/>
              <a:gd name="T46" fmla="*/ 9 w 159"/>
              <a:gd name="T47" fmla="*/ 122 h 159"/>
              <a:gd name="T48" fmla="*/ 19 w 159"/>
              <a:gd name="T49" fmla="*/ 28 h 159"/>
              <a:gd name="T50" fmla="*/ 19 w 159"/>
              <a:gd name="T51" fmla="*/ 28 h 159"/>
              <a:gd name="T52" fmla="*/ 28 w 159"/>
              <a:gd name="T53" fmla="*/ 28 h 159"/>
              <a:gd name="T54" fmla="*/ 28 w 159"/>
              <a:gd name="T55" fmla="*/ 38 h 159"/>
              <a:gd name="T56" fmla="*/ 28 w 159"/>
              <a:gd name="T57" fmla="*/ 38 h 159"/>
              <a:gd name="T58" fmla="*/ 9 w 159"/>
              <a:gd name="T59" fmla="*/ 56 h 159"/>
              <a:gd name="T60" fmla="*/ 9 w 159"/>
              <a:gd name="T61" fmla="*/ 56 h 159"/>
              <a:gd name="T62" fmla="*/ 9 w 159"/>
              <a:gd name="T63" fmla="*/ 56 h 159"/>
              <a:gd name="T64" fmla="*/ 75 w 159"/>
              <a:gd name="T65" fmla="*/ 0 h 159"/>
              <a:gd name="T66" fmla="*/ 84 w 159"/>
              <a:gd name="T67" fmla="*/ 0 h 159"/>
              <a:gd name="T68" fmla="*/ 84 w 159"/>
              <a:gd name="T69" fmla="*/ 10 h 159"/>
              <a:gd name="T70" fmla="*/ 84 w 159"/>
              <a:gd name="T71" fmla="*/ 10 h 159"/>
              <a:gd name="T72" fmla="*/ 75 w 159"/>
              <a:gd name="T73" fmla="*/ 10 h 159"/>
              <a:gd name="T74" fmla="*/ 56 w 159"/>
              <a:gd name="T75" fmla="*/ 19 h 159"/>
              <a:gd name="T76" fmla="*/ 47 w 159"/>
              <a:gd name="T77" fmla="*/ 10 h 159"/>
              <a:gd name="T78" fmla="*/ 56 w 159"/>
              <a:gd name="T79" fmla="*/ 10 h 159"/>
              <a:gd name="T80" fmla="*/ 131 w 159"/>
              <a:gd name="T81" fmla="*/ 19 h 159"/>
              <a:gd name="T82" fmla="*/ 140 w 159"/>
              <a:gd name="T83" fmla="*/ 28 h 159"/>
              <a:gd name="T84" fmla="*/ 140 w 159"/>
              <a:gd name="T85" fmla="*/ 38 h 159"/>
              <a:gd name="T86" fmla="*/ 131 w 159"/>
              <a:gd name="T87" fmla="*/ 38 h 159"/>
              <a:gd name="T88" fmla="*/ 131 w 159"/>
              <a:gd name="T89" fmla="*/ 28 h 159"/>
              <a:gd name="T90" fmla="*/ 112 w 159"/>
              <a:gd name="T91" fmla="*/ 19 h 159"/>
              <a:gd name="T92" fmla="*/ 112 w 159"/>
              <a:gd name="T93" fmla="*/ 10 h 159"/>
              <a:gd name="T94" fmla="*/ 122 w 159"/>
              <a:gd name="T95" fmla="*/ 10 h 159"/>
              <a:gd name="T96" fmla="*/ 159 w 159"/>
              <a:gd name="T97" fmla="*/ 75 h 159"/>
              <a:gd name="T98" fmla="*/ 159 w 159"/>
              <a:gd name="T99" fmla="*/ 94 h 159"/>
              <a:gd name="T100" fmla="*/ 150 w 159"/>
              <a:gd name="T101" fmla="*/ 103 h 159"/>
              <a:gd name="T102" fmla="*/ 150 w 159"/>
              <a:gd name="T103" fmla="*/ 94 h 159"/>
              <a:gd name="T104" fmla="*/ 150 w 159"/>
              <a:gd name="T105" fmla="*/ 75 h 159"/>
              <a:gd name="T106" fmla="*/ 150 w 159"/>
              <a:gd name="T107" fmla="*/ 66 h 159"/>
              <a:gd name="T108" fmla="*/ 159 w 159"/>
              <a:gd name="T109" fmla="*/ 66 h 159"/>
              <a:gd name="T110" fmla="*/ 159 w 159"/>
              <a:gd name="T111" fmla="*/ 66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131" y="141"/>
                </a:moveTo>
                <a:lnTo>
                  <a:pt x="112" y="150"/>
                </a:lnTo>
                <a:lnTo>
                  <a:pt x="103" y="150"/>
                </a:lnTo>
                <a:lnTo>
                  <a:pt x="103" y="141"/>
                </a:lnTo>
                <a:lnTo>
                  <a:pt x="112" y="141"/>
                </a:lnTo>
                <a:lnTo>
                  <a:pt x="131" y="131"/>
                </a:lnTo>
                <a:lnTo>
                  <a:pt x="131" y="141"/>
                </a:lnTo>
                <a:close/>
                <a:moveTo>
                  <a:pt x="65" y="159"/>
                </a:moveTo>
                <a:lnTo>
                  <a:pt x="56" y="159"/>
                </a:lnTo>
                <a:lnTo>
                  <a:pt x="37" y="150"/>
                </a:lnTo>
                <a:lnTo>
                  <a:pt x="37" y="141"/>
                </a:lnTo>
                <a:lnTo>
                  <a:pt x="47" y="141"/>
                </a:lnTo>
                <a:lnTo>
                  <a:pt x="56" y="150"/>
                </a:lnTo>
                <a:lnTo>
                  <a:pt x="75" y="150"/>
                </a:lnTo>
                <a:lnTo>
                  <a:pt x="75" y="159"/>
                </a:lnTo>
                <a:lnTo>
                  <a:pt x="65" y="159"/>
                </a:lnTo>
                <a:close/>
                <a:moveTo>
                  <a:pt x="9" y="122"/>
                </a:moveTo>
                <a:lnTo>
                  <a:pt x="9" y="113"/>
                </a:lnTo>
                <a:lnTo>
                  <a:pt x="0" y="94"/>
                </a:lnTo>
                <a:lnTo>
                  <a:pt x="9" y="84"/>
                </a:lnTo>
                <a:lnTo>
                  <a:pt x="9" y="94"/>
                </a:lnTo>
                <a:lnTo>
                  <a:pt x="19" y="113"/>
                </a:lnTo>
                <a:lnTo>
                  <a:pt x="19" y="122"/>
                </a:lnTo>
                <a:lnTo>
                  <a:pt x="9" y="122"/>
                </a:lnTo>
                <a:close/>
                <a:moveTo>
                  <a:pt x="9" y="56"/>
                </a:moveTo>
                <a:lnTo>
                  <a:pt x="19" y="28"/>
                </a:lnTo>
                <a:lnTo>
                  <a:pt x="28" y="28"/>
                </a:lnTo>
                <a:lnTo>
                  <a:pt x="28" y="38"/>
                </a:lnTo>
                <a:lnTo>
                  <a:pt x="9" y="56"/>
                </a:lnTo>
                <a:close/>
                <a:moveTo>
                  <a:pt x="56" y="10"/>
                </a:moveTo>
                <a:lnTo>
                  <a:pt x="75" y="0"/>
                </a:lnTo>
                <a:lnTo>
                  <a:pt x="84" y="0"/>
                </a:lnTo>
                <a:lnTo>
                  <a:pt x="84" y="10"/>
                </a:lnTo>
                <a:lnTo>
                  <a:pt x="75" y="10"/>
                </a:lnTo>
                <a:lnTo>
                  <a:pt x="56" y="19"/>
                </a:lnTo>
                <a:lnTo>
                  <a:pt x="47" y="10"/>
                </a:lnTo>
                <a:lnTo>
                  <a:pt x="56" y="10"/>
                </a:lnTo>
                <a:close/>
                <a:moveTo>
                  <a:pt x="122" y="10"/>
                </a:moveTo>
                <a:lnTo>
                  <a:pt x="131" y="19"/>
                </a:lnTo>
                <a:lnTo>
                  <a:pt x="140" y="28"/>
                </a:lnTo>
                <a:lnTo>
                  <a:pt x="140" y="38"/>
                </a:lnTo>
                <a:lnTo>
                  <a:pt x="131" y="38"/>
                </a:lnTo>
                <a:lnTo>
                  <a:pt x="122" y="28"/>
                </a:lnTo>
                <a:lnTo>
                  <a:pt x="131" y="28"/>
                </a:lnTo>
                <a:lnTo>
                  <a:pt x="112" y="19"/>
                </a:lnTo>
                <a:lnTo>
                  <a:pt x="112" y="10"/>
                </a:lnTo>
                <a:lnTo>
                  <a:pt x="122" y="10"/>
                </a:lnTo>
                <a:close/>
                <a:moveTo>
                  <a:pt x="159" y="66"/>
                </a:moveTo>
                <a:lnTo>
                  <a:pt x="159" y="75"/>
                </a:lnTo>
                <a:lnTo>
                  <a:pt x="159" y="94"/>
                </a:lnTo>
                <a:lnTo>
                  <a:pt x="159" y="103"/>
                </a:lnTo>
                <a:lnTo>
                  <a:pt x="150" y="103"/>
                </a:lnTo>
                <a:lnTo>
                  <a:pt x="150" y="94"/>
                </a:lnTo>
                <a:lnTo>
                  <a:pt x="150" y="75"/>
                </a:lnTo>
                <a:lnTo>
                  <a:pt x="150" y="66"/>
                </a:lnTo>
                <a:lnTo>
                  <a:pt x="159" y="66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6</xdr:col>
      <xdr:colOff>9525</xdr:colOff>
      <xdr:row>0</xdr:row>
      <xdr:rowOff>95250</xdr:rowOff>
    </xdr:from>
    <xdr:to>
      <xdr:col>9</xdr:col>
      <xdr:colOff>457200</xdr:colOff>
      <xdr:row>15</xdr:row>
      <xdr:rowOff>0</xdr:rowOff>
    </xdr:to>
    <xdr:graphicFrame macro="">
      <xdr:nvGraphicFramePr>
        <xdr:cNvPr id="26" name="Chart 63">
          <a:extLst>
            <a:ext uri="{FF2B5EF4-FFF2-40B4-BE49-F238E27FC236}">
              <a16:creationId xmlns:a16="http://schemas.microsoft.com/office/drawing/2014/main" id="{00000000-0008-0000-48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8</xdr:row>
      <xdr:rowOff>0</xdr:rowOff>
    </xdr:to>
    <xdr:sp macro="" textlink="">
      <xdr:nvSpPr>
        <xdr:cNvPr id="32" name="OpenSolver1">
          <a:extLst>
            <a:ext uri="{FF2B5EF4-FFF2-40B4-BE49-F238E27FC236}">
              <a16:creationId xmlns:a16="http://schemas.microsoft.com/office/drawing/2014/main" id="{00000000-0008-0000-4800-000020000000}"/>
            </a:ext>
          </a:extLst>
        </xdr:cNvPr>
        <xdr:cNvSpPr/>
      </xdr:nvSpPr>
      <xdr:spPr>
        <a:xfrm>
          <a:off x="2159000" y="1104900"/>
          <a:ext cx="533400" cy="355600"/>
        </a:xfrm>
        <a:prstGeom prst="rect">
          <a:avLst/>
        </a:prstGeom>
        <a:solidFill>
          <a:srgbClr val="FF00FF">
            <a:alpha val="40000"/>
          </a:srgbClr>
        </a:solidFill>
        <a:ln w="9525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=""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14</xdr:row>
      <xdr:rowOff>0</xdr:rowOff>
    </xdr:from>
    <xdr:to>
      <xdr:col>6</xdr:col>
      <xdr:colOff>0</xdr:colOff>
      <xdr:row>15</xdr:row>
      <xdr:rowOff>0</xdr:rowOff>
    </xdr:to>
    <xdr:sp macro="" textlink="">
      <xdr:nvSpPr>
        <xdr:cNvPr id="33" name="OpenSolver2">
          <a:extLst>
            <a:ext uri="{FF2B5EF4-FFF2-40B4-BE49-F238E27FC236}">
              <a16:creationId xmlns:a16="http://schemas.microsoft.com/office/drawing/2014/main" id="{00000000-0008-0000-4800-000021000000}"/>
            </a:ext>
          </a:extLst>
        </xdr:cNvPr>
        <xdr:cNvSpPr/>
      </xdr:nvSpPr>
      <xdr:spPr>
        <a:xfrm>
          <a:off x="3479800" y="2552700"/>
          <a:ext cx="787400" cy="1778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=""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774700</xdr:colOff>
      <xdr:row>13</xdr:row>
      <xdr:rowOff>101600</xdr:rowOff>
    </xdr:from>
    <xdr:to>
      <xdr:col>5</xdr:col>
      <xdr:colOff>192271</xdr:colOff>
      <xdr:row>14</xdr:row>
      <xdr:rowOff>50800</xdr:rowOff>
    </xdr:to>
    <xdr:sp macro="" textlink="">
      <xdr:nvSpPr>
        <xdr:cNvPr id="34" name="OpenSolver3">
          <a:extLst>
            <a:ext uri="{FF2B5EF4-FFF2-40B4-BE49-F238E27FC236}">
              <a16:creationId xmlns:a16="http://schemas.microsoft.com/office/drawing/2014/main" id="{00000000-0008-0000-4800-000022000000}"/>
            </a:ext>
          </a:extLst>
        </xdr:cNvPr>
        <xdr:cNvSpPr/>
      </xdr:nvSpPr>
      <xdr:spPr>
        <a:xfrm>
          <a:off x="3467100" y="2476500"/>
          <a:ext cx="204971" cy="127000"/>
        </a:xfrm>
        <a:prstGeom prst="rect">
          <a:avLst/>
        </a:prstGeom>
        <a:solidFill>
          <a:srgbClr val="FFFFFF">
            <a:alpha val="80000"/>
          </a:srgbClr>
        </a:solidFill>
        <a:ln w="9525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9525" cap="flat" cmpd="sng" algn="ctr">
              <a:solidFill>
                <a:schemeClr val="accent1">
                  <a:shade val="95000"/>
                  <a:satMod val="105000"/>
                </a:schemeClr>
              </a:solidFill>
              <a:prstDash val="solid"/>
            </a14:hiddenLine>
          </a:ext>
          <a:ext uri="{AF507438-7753-43e0-B8FC-AC1667EBCBE1}">
            <a14:hiddenEffects xmlns=""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35" name="OpenSolverD7">
          <a:extLst>
            <a:ext uri="{FF2B5EF4-FFF2-40B4-BE49-F238E27FC236}">
              <a16:creationId xmlns:a16="http://schemas.microsoft.com/office/drawing/2014/main" id="{00000000-0008-0000-4800-000023000000}"/>
            </a:ext>
          </a:extLst>
        </xdr:cNvPr>
        <xdr:cNvSpPr/>
      </xdr:nvSpPr>
      <xdr:spPr>
        <a:xfrm>
          <a:off x="2159000" y="1104900"/>
          <a:ext cx="533400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=""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0≤,90≥</a:t>
          </a: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4</xdr:col>
      <xdr:colOff>0</xdr:colOff>
      <xdr:row>8</xdr:row>
      <xdr:rowOff>0</xdr:rowOff>
    </xdr:to>
    <xdr:sp macro="" textlink="">
      <xdr:nvSpPr>
        <xdr:cNvPr id="36" name="OpenSolverD8">
          <a:extLst>
            <a:ext uri="{FF2B5EF4-FFF2-40B4-BE49-F238E27FC236}">
              <a16:creationId xmlns:a16="http://schemas.microsoft.com/office/drawing/2014/main" id="{00000000-0008-0000-4800-000024000000}"/>
            </a:ext>
          </a:extLst>
        </xdr:cNvPr>
        <xdr:cNvSpPr/>
      </xdr:nvSpPr>
      <xdr:spPr>
        <a:xfrm>
          <a:off x="2159000" y="1282700"/>
          <a:ext cx="533400" cy="1778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</a14:hiddenFill>
          </a:ext>
          <a:ext uri="{AF507438-7753-43e0-B8FC-AC1667EBCBE1}">
            <a14:hiddenEffects xmlns="" xmlns:a14="http://schemas.microsoft.com/office/drawing/2010/main"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a14:hiddenEffects>
          </a:ext>
        </a:ex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-180≤,0≥</a:t>
          </a:r>
        </a:p>
      </xdr:txBody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4</xdr:col>
      <xdr:colOff>0</xdr:colOff>
      <xdr:row>6</xdr:row>
      <xdr:rowOff>0</xdr:rowOff>
    </xdr:to>
    <xdr:sp macro="" textlink="">
      <xdr:nvSpPr>
        <xdr:cNvPr id="2" name="OpenSolver1">
          <a:extLst>
            <a:ext uri="{FF2B5EF4-FFF2-40B4-BE49-F238E27FC236}">
              <a16:creationId xmlns:a16="http://schemas.microsoft.com/office/drawing/2014/main" id="{00000000-0008-0000-4900-000002000000}"/>
            </a:ext>
          </a:extLst>
        </xdr:cNvPr>
        <xdr:cNvSpPr/>
      </xdr:nvSpPr>
      <xdr:spPr>
        <a:xfrm>
          <a:off x="2019300" y="952500"/>
          <a:ext cx="2419350" cy="190500"/>
        </a:xfrm>
        <a:prstGeom prst="rect">
          <a:avLst/>
        </a:prstGeom>
        <a:solidFill>
          <a:srgbClr val="FF00FF">
            <a:alpha val="4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=""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3" name="OpenSolver2">
          <a:extLst>
            <a:ext uri="{FF2B5EF4-FFF2-40B4-BE49-F238E27FC236}">
              <a16:creationId xmlns:a16="http://schemas.microsoft.com/office/drawing/2014/main" id="{00000000-0008-0000-4900-000003000000}"/>
            </a:ext>
          </a:extLst>
        </xdr:cNvPr>
        <xdr:cNvSpPr/>
      </xdr:nvSpPr>
      <xdr:spPr>
        <a:xfrm>
          <a:off x="2019300" y="571500"/>
          <a:ext cx="24193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  <a:miter lim="800000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1320800</xdr:colOff>
      <xdr:row>2</xdr:row>
      <xdr:rowOff>114300</xdr:rowOff>
    </xdr:from>
    <xdr:to>
      <xdr:col>3</xdr:col>
      <xdr:colOff>218389</xdr:colOff>
      <xdr:row>3</xdr:row>
      <xdr:rowOff>50800</xdr:rowOff>
    </xdr:to>
    <xdr:sp macro="" textlink="">
      <xdr:nvSpPr>
        <xdr:cNvPr id="4" name="OpenSolver3">
          <a:extLst>
            <a:ext uri="{FF2B5EF4-FFF2-40B4-BE49-F238E27FC236}">
              <a16:creationId xmlns:a16="http://schemas.microsoft.com/office/drawing/2014/main" id="{00000000-0008-0000-4900-000004000000}"/>
            </a:ext>
          </a:extLst>
        </xdr:cNvPr>
        <xdr:cNvSpPr/>
      </xdr:nvSpPr>
      <xdr:spPr>
        <a:xfrm>
          <a:off x="2006600" y="495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=""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5</xdr:row>
      <xdr:rowOff>12700</xdr:rowOff>
    </xdr:from>
    <xdr:to>
      <xdr:col>4</xdr:col>
      <xdr:colOff>0</xdr:colOff>
      <xdr:row>6</xdr:row>
      <xdr:rowOff>0</xdr:rowOff>
    </xdr:to>
    <xdr:sp macro="" textlink="">
      <xdr:nvSpPr>
        <xdr:cNvPr id="5" name="OpenSolverC6">
          <a:extLst>
            <a:ext uri="{FF2B5EF4-FFF2-40B4-BE49-F238E27FC236}">
              <a16:creationId xmlns:a16="http://schemas.microsoft.com/office/drawing/2014/main" id="{00000000-0008-0000-4900-000005000000}"/>
            </a:ext>
          </a:extLst>
        </xdr:cNvPr>
        <xdr:cNvSpPr/>
      </xdr:nvSpPr>
      <xdr:spPr>
        <a:xfrm>
          <a:off x="2032000" y="965200"/>
          <a:ext cx="2406650" cy="1778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  <a:miter lim="800000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10≥,-10≤</a:t>
          </a:r>
        </a:p>
      </xdr:txBody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31" name="OpenSolver1">
          <a:extLst>
            <a:ext uri="{FF2B5EF4-FFF2-40B4-BE49-F238E27FC236}">
              <a16:creationId xmlns:a16="http://schemas.microsoft.com/office/drawing/2014/main" id="{00000000-0008-0000-4A00-00001F000000}"/>
            </a:ext>
          </a:extLst>
        </xdr:cNvPr>
        <xdr:cNvSpPr/>
      </xdr:nvSpPr>
      <xdr:spPr>
        <a:xfrm>
          <a:off x="3381375" y="1524000"/>
          <a:ext cx="1400175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32" name="OpenSolver2">
          <a:extLst>
            <a:ext uri="{FF2B5EF4-FFF2-40B4-BE49-F238E27FC236}">
              <a16:creationId xmlns:a16="http://schemas.microsoft.com/office/drawing/2014/main" id="{00000000-0008-0000-4A00-000020000000}"/>
            </a:ext>
          </a:extLst>
        </xdr:cNvPr>
        <xdr:cNvSpPr/>
      </xdr:nvSpPr>
      <xdr:spPr>
        <a:xfrm>
          <a:off x="1714500" y="762000"/>
          <a:ext cx="55245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196850</xdr:colOff>
      <xdr:row>3</xdr:row>
      <xdr:rowOff>114300</xdr:rowOff>
    </xdr:from>
    <xdr:to>
      <xdr:col>6</xdr:col>
      <xdr:colOff>218389</xdr:colOff>
      <xdr:row>4</xdr:row>
      <xdr:rowOff>50800</xdr:rowOff>
    </xdr:to>
    <xdr:sp macro="" textlink="">
      <xdr:nvSpPr>
        <xdr:cNvPr id="33" name="OpenSolver3">
          <a:extLst>
            <a:ext uri="{FF2B5EF4-FFF2-40B4-BE49-F238E27FC236}">
              <a16:creationId xmlns:a16="http://schemas.microsoft.com/office/drawing/2014/main" id="{00000000-0008-0000-4A00-000021000000}"/>
            </a:ext>
          </a:extLst>
        </xdr:cNvPr>
        <xdr:cNvSpPr/>
      </xdr:nvSpPr>
      <xdr:spPr>
        <a:xfrm>
          <a:off x="17018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34" name="OpenSolver4">
          <a:extLst>
            <a:ext uri="{FF2B5EF4-FFF2-40B4-BE49-F238E27FC236}">
              <a16:creationId xmlns:a16="http://schemas.microsoft.com/office/drawing/2014/main" id="{00000000-0008-0000-4A00-000022000000}"/>
            </a:ext>
          </a:extLst>
        </xdr:cNvPr>
        <xdr:cNvSpPr/>
      </xdr:nvSpPr>
      <xdr:spPr>
        <a:xfrm>
          <a:off x="1714500" y="1143000"/>
          <a:ext cx="5524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35" name="OpenSolver5">
          <a:extLst>
            <a:ext uri="{FF2B5EF4-FFF2-40B4-BE49-F238E27FC236}">
              <a16:creationId xmlns:a16="http://schemas.microsoft.com/office/drawing/2014/main" id="{00000000-0008-0000-4A00-000023000000}"/>
            </a:ext>
          </a:extLst>
        </xdr:cNvPr>
        <xdr:cNvSpPr/>
      </xdr:nvSpPr>
      <xdr:spPr>
        <a:xfrm>
          <a:off x="2466975" y="1143000"/>
          <a:ext cx="4000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7</xdr:row>
      <xdr:rowOff>0</xdr:rowOff>
    </xdr:to>
    <xdr:cxnSp macro="">
      <xdr:nvCxnSpPr>
        <xdr:cNvPr id="36" name="OpenSolver6">
          <a:extLst>
            <a:ext uri="{FF2B5EF4-FFF2-40B4-BE49-F238E27FC236}">
              <a16:creationId xmlns:a16="http://schemas.microsoft.com/office/drawing/2014/main" id="{00000000-0008-0000-4A00-000024000000}"/>
            </a:ext>
          </a:extLst>
        </xdr:cNvPr>
        <xdr:cNvCxnSpPr>
          <a:stCxn id="34" idx="3"/>
          <a:endCxn id="35" idx="1"/>
        </xdr:cNvCxnSpPr>
      </xdr:nvCxnSpPr>
      <xdr:spPr>
        <a:xfrm>
          <a:off x="2266950" y="133350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461963</xdr:colOff>
      <xdr:row>6</xdr:row>
      <xdr:rowOff>63500</xdr:rowOff>
    </xdr:from>
    <xdr:to>
      <xdr:col>8</xdr:col>
      <xdr:colOff>90488</xdr:colOff>
      <xdr:row>7</xdr:row>
      <xdr:rowOff>127000</xdr:rowOff>
    </xdr:to>
    <xdr:sp macro="" textlink="">
      <xdr:nvSpPr>
        <xdr:cNvPr id="37" name="OpenSolver7">
          <a:extLst>
            <a:ext uri="{FF2B5EF4-FFF2-40B4-BE49-F238E27FC236}">
              <a16:creationId xmlns:a16="http://schemas.microsoft.com/office/drawing/2014/main" id="{00000000-0008-0000-4A00-000025000000}"/>
            </a:ext>
          </a:extLst>
        </xdr:cNvPr>
        <xdr:cNvSpPr/>
      </xdr:nvSpPr>
      <xdr:spPr>
        <a:xfrm>
          <a:off x="2176463" y="1206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38" name="OpenSolver8">
          <a:extLst>
            <a:ext uri="{FF2B5EF4-FFF2-40B4-BE49-F238E27FC236}">
              <a16:creationId xmlns:a16="http://schemas.microsoft.com/office/drawing/2014/main" id="{00000000-0008-0000-4A00-000026000000}"/>
            </a:ext>
          </a:extLst>
        </xdr:cNvPr>
        <xdr:cNvSpPr/>
      </xdr:nvSpPr>
      <xdr:spPr>
        <a:xfrm>
          <a:off x="1714500" y="1714500"/>
          <a:ext cx="5524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39" name="OpenSolver9">
          <a:extLst>
            <a:ext uri="{FF2B5EF4-FFF2-40B4-BE49-F238E27FC236}">
              <a16:creationId xmlns:a16="http://schemas.microsoft.com/office/drawing/2014/main" id="{00000000-0008-0000-4A00-000027000000}"/>
            </a:ext>
          </a:extLst>
        </xdr:cNvPr>
        <xdr:cNvSpPr/>
      </xdr:nvSpPr>
      <xdr:spPr>
        <a:xfrm>
          <a:off x="24669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95250</xdr:rowOff>
    </xdr:to>
    <xdr:cxnSp macro="">
      <xdr:nvCxnSpPr>
        <xdr:cNvPr id="40" name="OpenSolver10">
          <a:extLst>
            <a:ext uri="{FF2B5EF4-FFF2-40B4-BE49-F238E27FC236}">
              <a16:creationId xmlns:a16="http://schemas.microsoft.com/office/drawing/2014/main" id="{00000000-0008-0000-4A00-000028000000}"/>
            </a:ext>
          </a:extLst>
        </xdr:cNvPr>
        <xdr:cNvCxnSpPr>
          <a:stCxn id="38" idx="3"/>
          <a:endCxn id="39" idx="1"/>
        </xdr:cNvCxnSpPr>
      </xdr:nvCxnSpPr>
      <xdr:spPr>
        <a:xfrm>
          <a:off x="2266950" y="1809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461963</xdr:colOff>
      <xdr:row>8</xdr:row>
      <xdr:rowOff>158750</xdr:rowOff>
    </xdr:from>
    <xdr:to>
      <xdr:col>8</xdr:col>
      <xdr:colOff>90488</xdr:colOff>
      <xdr:row>10</xdr:row>
      <xdr:rowOff>31750</xdr:rowOff>
    </xdr:to>
    <xdr:sp macro="" textlink="">
      <xdr:nvSpPr>
        <xdr:cNvPr id="41" name="OpenSolver11">
          <a:extLst>
            <a:ext uri="{FF2B5EF4-FFF2-40B4-BE49-F238E27FC236}">
              <a16:creationId xmlns:a16="http://schemas.microsoft.com/office/drawing/2014/main" id="{00000000-0008-0000-4A00-000029000000}"/>
            </a:ext>
          </a:extLst>
        </xdr:cNvPr>
        <xdr:cNvSpPr/>
      </xdr:nvSpPr>
      <xdr:spPr>
        <a:xfrm>
          <a:off x="21764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42" name="OpenSolver12">
          <a:extLst>
            <a:ext uri="{FF2B5EF4-FFF2-40B4-BE49-F238E27FC236}">
              <a16:creationId xmlns:a16="http://schemas.microsoft.com/office/drawing/2014/main" id="{00000000-0008-0000-4A00-00002A000000}"/>
            </a:ext>
          </a:extLst>
        </xdr:cNvPr>
        <xdr:cNvSpPr/>
      </xdr:nvSpPr>
      <xdr:spPr>
        <a:xfrm>
          <a:off x="1714500" y="1524000"/>
          <a:ext cx="5524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43" name="OpenSolver13">
          <a:extLst>
            <a:ext uri="{FF2B5EF4-FFF2-40B4-BE49-F238E27FC236}">
              <a16:creationId xmlns:a16="http://schemas.microsoft.com/office/drawing/2014/main" id="{00000000-0008-0000-4A00-00002B000000}"/>
            </a:ext>
          </a:extLst>
        </xdr:cNvPr>
        <xdr:cNvSpPr/>
      </xdr:nvSpPr>
      <xdr:spPr>
        <a:xfrm>
          <a:off x="24669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95250</xdr:rowOff>
    </xdr:to>
    <xdr:cxnSp macro="">
      <xdr:nvCxnSpPr>
        <xdr:cNvPr id="44" name="OpenSolver14">
          <a:extLst>
            <a:ext uri="{FF2B5EF4-FFF2-40B4-BE49-F238E27FC236}">
              <a16:creationId xmlns:a16="http://schemas.microsoft.com/office/drawing/2014/main" id="{00000000-0008-0000-4A00-00002C000000}"/>
            </a:ext>
          </a:extLst>
        </xdr:cNvPr>
        <xdr:cNvCxnSpPr>
          <a:stCxn id="42" idx="3"/>
          <a:endCxn id="43" idx="1"/>
        </xdr:cNvCxnSpPr>
      </xdr:nvCxnSpPr>
      <xdr:spPr>
        <a:xfrm>
          <a:off x="2266950" y="1619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461963</xdr:colOff>
      <xdr:row>7</xdr:row>
      <xdr:rowOff>158750</xdr:rowOff>
    </xdr:from>
    <xdr:to>
      <xdr:col>8</xdr:col>
      <xdr:colOff>90488</xdr:colOff>
      <xdr:row>9</xdr:row>
      <xdr:rowOff>31750</xdr:rowOff>
    </xdr:to>
    <xdr:sp macro="" textlink="">
      <xdr:nvSpPr>
        <xdr:cNvPr id="45" name="OpenSolver15">
          <a:extLst>
            <a:ext uri="{FF2B5EF4-FFF2-40B4-BE49-F238E27FC236}">
              <a16:creationId xmlns:a16="http://schemas.microsoft.com/office/drawing/2014/main" id="{00000000-0008-0000-4A00-00002D000000}"/>
            </a:ext>
          </a:extLst>
        </xdr:cNvPr>
        <xdr:cNvSpPr/>
      </xdr:nvSpPr>
      <xdr:spPr>
        <a:xfrm>
          <a:off x="21764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27</xdr:row>
      <xdr:rowOff>0</xdr:rowOff>
    </xdr:from>
    <xdr:to>
      <xdr:col>4</xdr:col>
      <xdr:colOff>0</xdr:colOff>
      <xdr:row>28</xdr:row>
      <xdr:rowOff>0</xdr:rowOff>
    </xdr:to>
    <xdr:sp macro="" textlink="">
      <xdr:nvSpPr>
        <xdr:cNvPr id="25" name="OpenSolver1">
          <a:extLst>
            <a:ext uri="{FF2B5EF4-FFF2-40B4-BE49-F238E27FC236}">
              <a16:creationId xmlns:a16="http://schemas.microsoft.com/office/drawing/2014/main" id="{00000000-0008-0000-4B00-000019000000}"/>
            </a:ext>
          </a:extLst>
        </xdr:cNvPr>
        <xdr:cNvSpPr/>
      </xdr:nvSpPr>
      <xdr:spPr>
        <a:xfrm>
          <a:off x="219075" y="51435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0</xdr:colOff>
      <xdr:row>5</xdr:row>
      <xdr:rowOff>0</xdr:rowOff>
    </xdr:to>
    <xdr:sp macro="" textlink="">
      <xdr:nvSpPr>
        <xdr:cNvPr id="26" name="OpenSolver2">
          <a:extLst>
            <a:ext uri="{FF2B5EF4-FFF2-40B4-BE49-F238E27FC236}">
              <a16:creationId xmlns:a16="http://schemas.microsoft.com/office/drawing/2014/main" id="{00000000-0008-0000-4B00-00001A000000}"/>
            </a:ext>
          </a:extLst>
        </xdr:cNvPr>
        <xdr:cNvSpPr/>
      </xdr:nvSpPr>
      <xdr:spPr>
        <a:xfrm>
          <a:off x="828675" y="381000"/>
          <a:ext cx="60960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8</xdr:row>
      <xdr:rowOff>0</xdr:rowOff>
    </xdr:from>
    <xdr:to>
      <xdr:col>3</xdr:col>
      <xdr:colOff>0</xdr:colOff>
      <xdr:row>9</xdr:row>
      <xdr:rowOff>0</xdr:rowOff>
    </xdr:to>
    <xdr:sp macro="" textlink="">
      <xdr:nvSpPr>
        <xdr:cNvPr id="27" name="OpenSolver3">
          <a:extLst>
            <a:ext uri="{FF2B5EF4-FFF2-40B4-BE49-F238E27FC236}">
              <a16:creationId xmlns:a16="http://schemas.microsoft.com/office/drawing/2014/main" id="{00000000-0008-0000-4B00-00001B000000}"/>
            </a:ext>
          </a:extLst>
        </xdr:cNvPr>
        <xdr:cNvSpPr/>
      </xdr:nvSpPr>
      <xdr:spPr>
        <a:xfrm>
          <a:off x="828675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593725</xdr:colOff>
      <xdr:row>7</xdr:row>
      <xdr:rowOff>114300</xdr:rowOff>
    </xdr:from>
    <xdr:to>
      <xdr:col>2</xdr:col>
      <xdr:colOff>215214</xdr:colOff>
      <xdr:row>8</xdr:row>
      <xdr:rowOff>50800</xdr:rowOff>
    </xdr:to>
    <xdr:sp macro="" textlink="">
      <xdr:nvSpPr>
        <xdr:cNvPr id="28" name="OpenSolver4">
          <a:extLst>
            <a:ext uri="{FF2B5EF4-FFF2-40B4-BE49-F238E27FC236}">
              <a16:creationId xmlns:a16="http://schemas.microsoft.com/office/drawing/2014/main" id="{00000000-0008-0000-4B00-00001C000000}"/>
            </a:ext>
          </a:extLst>
        </xdr:cNvPr>
        <xdr:cNvSpPr/>
      </xdr:nvSpPr>
      <xdr:spPr>
        <a:xfrm>
          <a:off x="8128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</xdr:col>
      <xdr:colOff>0</xdr:colOff>
      <xdr:row>19</xdr:row>
      <xdr:rowOff>0</xdr:rowOff>
    </xdr:from>
    <xdr:to>
      <xdr:col>2</xdr:col>
      <xdr:colOff>0</xdr:colOff>
      <xdr:row>20</xdr:row>
      <xdr:rowOff>0</xdr:rowOff>
    </xdr:to>
    <xdr:sp macro="" textlink="">
      <xdr:nvSpPr>
        <xdr:cNvPr id="29" name="OpenSolver5">
          <a:extLst>
            <a:ext uri="{FF2B5EF4-FFF2-40B4-BE49-F238E27FC236}">
              <a16:creationId xmlns:a16="http://schemas.microsoft.com/office/drawing/2014/main" id="{00000000-0008-0000-4B00-00001D000000}"/>
            </a:ext>
          </a:extLst>
        </xdr:cNvPr>
        <xdr:cNvSpPr/>
      </xdr:nvSpPr>
      <xdr:spPr>
        <a:xfrm>
          <a:off x="219075" y="3619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30" name="OpenSolver6">
          <a:extLst>
            <a:ext uri="{FF2B5EF4-FFF2-40B4-BE49-F238E27FC236}">
              <a16:creationId xmlns:a16="http://schemas.microsoft.com/office/drawing/2014/main" id="{00000000-0008-0000-4B00-00001E000000}"/>
            </a:ext>
          </a:extLst>
        </xdr:cNvPr>
        <xdr:cNvSpPr/>
      </xdr:nvSpPr>
      <xdr:spPr>
        <a:xfrm>
          <a:off x="1438275" y="36195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2</xdr:col>
      <xdr:colOff>0</xdr:colOff>
      <xdr:row>19</xdr:row>
      <xdr:rowOff>95250</xdr:rowOff>
    </xdr:from>
    <xdr:to>
      <xdr:col>3</xdr:col>
      <xdr:colOff>0</xdr:colOff>
      <xdr:row>19</xdr:row>
      <xdr:rowOff>95250</xdr:rowOff>
    </xdr:to>
    <xdr:cxnSp macro="">
      <xdr:nvCxnSpPr>
        <xdr:cNvPr id="31" name="OpenSolver7">
          <a:extLst>
            <a:ext uri="{FF2B5EF4-FFF2-40B4-BE49-F238E27FC236}">
              <a16:creationId xmlns:a16="http://schemas.microsoft.com/office/drawing/2014/main" id="{00000000-0008-0000-4B00-00001F000000}"/>
            </a:ext>
          </a:extLst>
        </xdr:cNvPr>
        <xdr:cNvCxnSpPr>
          <a:stCxn id="29" idx="3"/>
          <a:endCxn id="30" idx="1"/>
        </xdr:cNvCxnSpPr>
      </xdr:nvCxnSpPr>
      <xdr:spPr>
        <a:xfrm>
          <a:off x="828675" y="37147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18</xdr:row>
      <xdr:rowOff>158750</xdr:rowOff>
    </xdr:from>
    <xdr:to>
      <xdr:col>2</xdr:col>
      <xdr:colOff>495300</xdr:colOff>
      <xdr:row>20</xdr:row>
      <xdr:rowOff>31750</xdr:rowOff>
    </xdr:to>
    <xdr:sp macro="" textlink="">
      <xdr:nvSpPr>
        <xdr:cNvPr id="32" name="OpenSolver8">
          <a:extLst>
            <a:ext uri="{FF2B5EF4-FFF2-40B4-BE49-F238E27FC236}">
              <a16:creationId xmlns:a16="http://schemas.microsoft.com/office/drawing/2014/main" id="{00000000-0008-0000-4B00-000020000000}"/>
            </a:ext>
          </a:extLst>
        </xdr:cNvPr>
        <xdr:cNvSpPr/>
      </xdr:nvSpPr>
      <xdr:spPr>
        <a:xfrm>
          <a:off x="942975" y="3587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0</xdr:colOff>
      <xdr:row>14</xdr:row>
      <xdr:rowOff>0</xdr:rowOff>
    </xdr:to>
    <xdr:sp macro="" textlink="">
      <xdr:nvSpPr>
        <xdr:cNvPr id="33" name="OpenSolver9">
          <a:extLst>
            <a:ext uri="{FF2B5EF4-FFF2-40B4-BE49-F238E27FC236}">
              <a16:creationId xmlns:a16="http://schemas.microsoft.com/office/drawing/2014/main" id="{00000000-0008-0000-4B00-000021000000}"/>
            </a:ext>
          </a:extLst>
        </xdr:cNvPr>
        <xdr:cNvSpPr/>
      </xdr:nvSpPr>
      <xdr:spPr>
        <a:xfrm>
          <a:off x="219075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13</xdr:row>
      <xdr:rowOff>0</xdr:rowOff>
    </xdr:from>
    <xdr:to>
      <xdr:col>4</xdr:col>
      <xdr:colOff>0</xdr:colOff>
      <xdr:row>14</xdr:row>
      <xdr:rowOff>0</xdr:rowOff>
    </xdr:to>
    <xdr:sp macro="" textlink="">
      <xdr:nvSpPr>
        <xdr:cNvPr id="34" name="OpenSolver10">
          <a:extLst>
            <a:ext uri="{FF2B5EF4-FFF2-40B4-BE49-F238E27FC236}">
              <a16:creationId xmlns:a16="http://schemas.microsoft.com/office/drawing/2014/main" id="{00000000-0008-0000-4B00-000022000000}"/>
            </a:ext>
          </a:extLst>
        </xdr:cNvPr>
        <xdr:cNvSpPr/>
      </xdr:nvSpPr>
      <xdr:spPr>
        <a:xfrm>
          <a:off x="1438275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2</xdr:col>
      <xdr:colOff>0</xdr:colOff>
      <xdr:row>13</xdr:row>
      <xdr:rowOff>95250</xdr:rowOff>
    </xdr:from>
    <xdr:to>
      <xdr:col>3</xdr:col>
      <xdr:colOff>0</xdr:colOff>
      <xdr:row>13</xdr:row>
      <xdr:rowOff>95250</xdr:rowOff>
    </xdr:to>
    <xdr:cxnSp macro="">
      <xdr:nvCxnSpPr>
        <xdr:cNvPr id="35" name="OpenSolver11">
          <a:extLst>
            <a:ext uri="{FF2B5EF4-FFF2-40B4-BE49-F238E27FC236}">
              <a16:creationId xmlns:a16="http://schemas.microsoft.com/office/drawing/2014/main" id="{00000000-0008-0000-4B00-000023000000}"/>
            </a:ext>
          </a:extLst>
        </xdr:cNvPr>
        <xdr:cNvCxnSpPr>
          <a:stCxn id="33" idx="3"/>
          <a:endCxn id="34" idx="1"/>
        </xdr:cNvCxnSpPr>
      </xdr:nvCxnSpPr>
      <xdr:spPr>
        <a:xfrm>
          <a:off x="828675" y="2571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12</xdr:row>
      <xdr:rowOff>158750</xdr:rowOff>
    </xdr:from>
    <xdr:to>
      <xdr:col>2</xdr:col>
      <xdr:colOff>495300</xdr:colOff>
      <xdr:row>14</xdr:row>
      <xdr:rowOff>31750</xdr:rowOff>
    </xdr:to>
    <xdr:sp macro="" textlink="">
      <xdr:nvSpPr>
        <xdr:cNvPr id="36" name="OpenSolver12">
          <a:extLst>
            <a:ext uri="{FF2B5EF4-FFF2-40B4-BE49-F238E27FC236}">
              <a16:creationId xmlns:a16="http://schemas.microsoft.com/office/drawing/2014/main" id="{00000000-0008-0000-4B00-000024000000}"/>
            </a:ext>
          </a:extLst>
        </xdr:cNvPr>
        <xdr:cNvSpPr/>
      </xdr:nvSpPr>
      <xdr:spPr>
        <a:xfrm>
          <a:off x="942975" y="244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0</xdr:colOff>
      <xdr:row>16</xdr:row>
      <xdr:rowOff>0</xdr:rowOff>
    </xdr:from>
    <xdr:to>
      <xdr:col>2</xdr:col>
      <xdr:colOff>0</xdr:colOff>
      <xdr:row>17</xdr:row>
      <xdr:rowOff>0</xdr:rowOff>
    </xdr:to>
    <xdr:sp macro="" textlink="">
      <xdr:nvSpPr>
        <xdr:cNvPr id="37" name="OpenSolver13">
          <a:extLst>
            <a:ext uri="{FF2B5EF4-FFF2-40B4-BE49-F238E27FC236}">
              <a16:creationId xmlns:a16="http://schemas.microsoft.com/office/drawing/2014/main" id="{00000000-0008-0000-4B00-000025000000}"/>
            </a:ext>
          </a:extLst>
        </xdr:cNvPr>
        <xdr:cNvSpPr/>
      </xdr:nvSpPr>
      <xdr:spPr>
        <a:xfrm>
          <a:off x="219075" y="3048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4</xdr:col>
      <xdr:colOff>0</xdr:colOff>
      <xdr:row>17</xdr:row>
      <xdr:rowOff>0</xdr:rowOff>
    </xdr:to>
    <xdr:sp macro="" textlink="">
      <xdr:nvSpPr>
        <xdr:cNvPr id="38" name="OpenSolver14">
          <a:extLst>
            <a:ext uri="{FF2B5EF4-FFF2-40B4-BE49-F238E27FC236}">
              <a16:creationId xmlns:a16="http://schemas.microsoft.com/office/drawing/2014/main" id="{00000000-0008-0000-4B00-000026000000}"/>
            </a:ext>
          </a:extLst>
        </xdr:cNvPr>
        <xdr:cNvSpPr/>
      </xdr:nvSpPr>
      <xdr:spPr>
        <a:xfrm>
          <a:off x="1438275" y="3048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2</xdr:col>
      <xdr:colOff>0</xdr:colOff>
      <xdr:row>16</xdr:row>
      <xdr:rowOff>95250</xdr:rowOff>
    </xdr:from>
    <xdr:to>
      <xdr:col>3</xdr:col>
      <xdr:colOff>0</xdr:colOff>
      <xdr:row>16</xdr:row>
      <xdr:rowOff>95250</xdr:rowOff>
    </xdr:to>
    <xdr:cxnSp macro="">
      <xdr:nvCxnSpPr>
        <xdr:cNvPr id="39" name="OpenSolver15">
          <a:extLst>
            <a:ext uri="{FF2B5EF4-FFF2-40B4-BE49-F238E27FC236}">
              <a16:creationId xmlns:a16="http://schemas.microsoft.com/office/drawing/2014/main" id="{00000000-0008-0000-4B00-000027000000}"/>
            </a:ext>
          </a:extLst>
        </xdr:cNvPr>
        <xdr:cNvCxnSpPr>
          <a:stCxn id="37" idx="3"/>
          <a:endCxn id="38" idx="1"/>
        </xdr:cNvCxnSpPr>
      </xdr:nvCxnSpPr>
      <xdr:spPr>
        <a:xfrm>
          <a:off x="828675" y="31432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15</xdr:row>
      <xdr:rowOff>158750</xdr:rowOff>
    </xdr:from>
    <xdr:to>
      <xdr:col>2</xdr:col>
      <xdr:colOff>495300</xdr:colOff>
      <xdr:row>17</xdr:row>
      <xdr:rowOff>31750</xdr:rowOff>
    </xdr:to>
    <xdr:sp macro="" textlink="">
      <xdr:nvSpPr>
        <xdr:cNvPr id="40" name="OpenSolver16">
          <a:extLst>
            <a:ext uri="{FF2B5EF4-FFF2-40B4-BE49-F238E27FC236}">
              <a16:creationId xmlns:a16="http://schemas.microsoft.com/office/drawing/2014/main" id="{00000000-0008-0000-4B00-000028000000}"/>
            </a:ext>
          </a:extLst>
        </xdr:cNvPr>
        <xdr:cNvSpPr/>
      </xdr:nvSpPr>
      <xdr:spPr>
        <a:xfrm>
          <a:off x="942975" y="3016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32</xdr:row>
      <xdr:rowOff>0</xdr:rowOff>
    </xdr:from>
    <xdr:to>
      <xdr:col>4</xdr:col>
      <xdr:colOff>0</xdr:colOff>
      <xdr:row>33</xdr:row>
      <xdr:rowOff>0</xdr:rowOff>
    </xdr:to>
    <xdr:sp macro="" textlink="">
      <xdr:nvSpPr>
        <xdr:cNvPr id="41" name="OpenSolver17">
          <a:extLst>
            <a:ext uri="{FF2B5EF4-FFF2-40B4-BE49-F238E27FC236}">
              <a16:creationId xmlns:a16="http://schemas.microsoft.com/office/drawing/2014/main" id="{00000000-0008-0000-4B00-000029000000}"/>
            </a:ext>
          </a:extLst>
        </xdr:cNvPr>
        <xdr:cNvSpPr/>
      </xdr:nvSpPr>
      <xdr:spPr>
        <a:xfrm>
          <a:off x="1438275" y="6096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</xdr:col>
      <xdr:colOff>0</xdr:colOff>
      <xdr:row>34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42" name="OpenSolver18">
          <a:extLst>
            <a:ext uri="{FF2B5EF4-FFF2-40B4-BE49-F238E27FC236}">
              <a16:creationId xmlns:a16="http://schemas.microsoft.com/office/drawing/2014/main" id="{00000000-0008-0000-4B00-00002A000000}"/>
            </a:ext>
          </a:extLst>
        </xdr:cNvPr>
        <xdr:cNvSpPr/>
      </xdr:nvSpPr>
      <xdr:spPr>
        <a:xfrm>
          <a:off x="1438275" y="647700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3</xdr:col>
      <xdr:colOff>304800</xdr:colOff>
      <xdr:row>33</xdr:row>
      <xdr:rowOff>0</xdr:rowOff>
    </xdr:from>
    <xdr:to>
      <xdr:col>3</xdr:col>
      <xdr:colOff>304800</xdr:colOff>
      <xdr:row>34</xdr:row>
      <xdr:rowOff>0</xdr:rowOff>
    </xdr:to>
    <xdr:cxnSp macro="">
      <xdr:nvCxnSpPr>
        <xdr:cNvPr id="43" name="OpenSolver19">
          <a:extLst>
            <a:ext uri="{FF2B5EF4-FFF2-40B4-BE49-F238E27FC236}">
              <a16:creationId xmlns:a16="http://schemas.microsoft.com/office/drawing/2014/main" id="{00000000-0008-0000-4B00-00002B000000}"/>
            </a:ext>
          </a:extLst>
        </xdr:cNvPr>
        <xdr:cNvCxnSpPr>
          <a:stCxn id="41" idx="2"/>
          <a:endCxn id="42" idx="0"/>
        </xdr:cNvCxnSpPr>
      </xdr:nvCxnSpPr>
      <xdr:spPr>
        <a:xfrm>
          <a:off x="1743075" y="6286500"/>
          <a:ext cx="0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114300</xdr:colOff>
      <xdr:row>32</xdr:row>
      <xdr:rowOff>158750</xdr:rowOff>
    </xdr:from>
    <xdr:to>
      <xdr:col>3</xdr:col>
      <xdr:colOff>495300</xdr:colOff>
      <xdr:row>34</xdr:row>
      <xdr:rowOff>31750</xdr:rowOff>
    </xdr:to>
    <xdr:sp macro="" textlink="">
      <xdr:nvSpPr>
        <xdr:cNvPr id="44" name="OpenSolver20">
          <a:extLst>
            <a:ext uri="{FF2B5EF4-FFF2-40B4-BE49-F238E27FC236}">
              <a16:creationId xmlns:a16="http://schemas.microsoft.com/office/drawing/2014/main" id="{00000000-0008-0000-4B00-00002C000000}"/>
            </a:ext>
          </a:extLst>
        </xdr:cNvPr>
        <xdr:cNvSpPr/>
      </xdr:nvSpPr>
      <xdr:spPr>
        <a:xfrm>
          <a:off x="1552575" y="625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</xdr:col>
      <xdr:colOff>9525</xdr:colOff>
      <xdr:row>27</xdr:row>
      <xdr:rowOff>12700</xdr:rowOff>
    </xdr:from>
    <xdr:to>
      <xdr:col>1</xdr:col>
      <xdr:colOff>61655</xdr:colOff>
      <xdr:row>27</xdr:row>
      <xdr:rowOff>127000</xdr:rowOff>
    </xdr:to>
    <xdr:sp macro="" textlink="">
      <xdr:nvSpPr>
        <xdr:cNvPr id="45" name="OpenSolver21">
          <a:extLst>
            <a:ext uri="{FF2B5EF4-FFF2-40B4-BE49-F238E27FC236}">
              <a16:creationId xmlns:a16="http://schemas.microsoft.com/office/drawing/2014/main" id="{00000000-0008-0000-4B00-00002D000000}"/>
            </a:ext>
          </a:extLst>
        </xdr:cNvPr>
        <xdr:cNvSpPr/>
      </xdr:nvSpPr>
      <xdr:spPr>
        <a:xfrm>
          <a:off x="2286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2</xdr:col>
      <xdr:colOff>9525</xdr:colOff>
      <xdr:row>27</xdr:row>
      <xdr:rowOff>12700</xdr:rowOff>
    </xdr:from>
    <xdr:to>
      <xdr:col>2</xdr:col>
      <xdr:colOff>61655</xdr:colOff>
      <xdr:row>27</xdr:row>
      <xdr:rowOff>127000</xdr:rowOff>
    </xdr:to>
    <xdr:sp macro="" textlink="">
      <xdr:nvSpPr>
        <xdr:cNvPr id="46" name="OpenSolver22">
          <a:extLst>
            <a:ext uri="{FF2B5EF4-FFF2-40B4-BE49-F238E27FC236}">
              <a16:creationId xmlns:a16="http://schemas.microsoft.com/office/drawing/2014/main" id="{00000000-0008-0000-4B00-00002E000000}"/>
            </a:ext>
          </a:extLst>
        </xdr:cNvPr>
        <xdr:cNvSpPr/>
      </xdr:nvSpPr>
      <xdr:spPr>
        <a:xfrm>
          <a:off x="8382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9525</xdr:colOff>
      <xdr:row>27</xdr:row>
      <xdr:rowOff>12700</xdr:rowOff>
    </xdr:from>
    <xdr:to>
      <xdr:col>3</xdr:col>
      <xdr:colOff>61655</xdr:colOff>
      <xdr:row>27</xdr:row>
      <xdr:rowOff>127000</xdr:rowOff>
    </xdr:to>
    <xdr:sp macro="" textlink="">
      <xdr:nvSpPr>
        <xdr:cNvPr id="47" name="OpenSolver23">
          <a:extLst>
            <a:ext uri="{FF2B5EF4-FFF2-40B4-BE49-F238E27FC236}">
              <a16:creationId xmlns:a16="http://schemas.microsoft.com/office/drawing/2014/main" id="{00000000-0008-0000-4B00-00002F000000}"/>
            </a:ext>
          </a:extLst>
        </xdr:cNvPr>
        <xdr:cNvSpPr/>
      </xdr:nvSpPr>
      <xdr:spPr>
        <a:xfrm>
          <a:off x="1447800" y="515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ck/Downloads/Lecture%201%20Mixed%20v29%202014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Step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2.xml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zData"/>
  <dimension ref="A1:H7"/>
  <sheetViews>
    <sheetView workbookViewId="0">
      <selection activeCell="V8" sqref="V8"/>
    </sheetView>
  </sheetViews>
  <sheetFormatPr defaultColWidth="8.85546875" defaultRowHeight="15" x14ac:dyDescent="0.25"/>
  <cols>
    <col min="1" max="2" width="8.85546875" style="61"/>
    <col min="4" max="5" width="8.85546875" style="61"/>
    <col min="7" max="8" width="8.85546875" style="61"/>
  </cols>
  <sheetData>
    <row r="1" spans="1:7" x14ac:dyDescent="0.25">
      <c r="A1" s="61" t="s">
        <v>197</v>
      </c>
      <c r="B1" s="61">
        <v>-3</v>
      </c>
      <c r="D1" s="61" t="s">
        <v>204</v>
      </c>
      <c r="G1" s="61" t="s">
        <v>206</v>
      </c>
    </row>
    <row r="2" spans="1:7" x14ac:dyDescent="0.25">
      <c r="A2" s="61" t="s">
        <v>199</v>
      </c>
      <c r="B2" s="61">
        <v>-2</v>
      </c>
      <c r="D2" s="61" t="s">
        <v>205</v>
      </c>
      <c r="G2" s="61" t="s">
        <v>207</v>
      </c>
    </row>
    <row r="3" spans="1:7" x14ac:dyDescent="0.25">
      <c r="A3" s="61" t="s">
        <v>198</v>
      </c>
      <c r="B3" s="61">
        <v>-1</v>
      </c>
    </row>
    <row r="4" spans="1:7" x14ac:dyDescent="0.25">
      <c r="A4" s="61" t="s">
        <v>200</v>
      </c>
      <c r="B4" s="61">
        <v>0</v>
      </c>
    </row>
    <row r="5" spans="1:7" x14ac:dyDescent="0.25">
      <c r="A5" s="61" t="s">
        <v>201</v>
      </c>
      <c r="B5" s="61">
        <v>4</v>
      </c>
    </row>
    <row r="6" spans="1:7" x14ac:dyDescent="0.25">
      <c r="A6" s="61" t="s">
        <v>27</v>
      </c>
      <c r="B6" s="61">
        <v>5</v>
      </c>
    </row>
    <row r="7" spans="1:7" x14ac:dyDescent="0.25">
      <c r="A7" s="61" t="s">
        <v>202</v>
      </c>
      <c r="B7" s="61">
        <v>10</v>
      </c>
    </row>
  </sheetData>
  <dataConsolidate/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S1814"/>
  <sheetViews>
    <sheetView workbookViewId="0">
      <selection activeCell="I19" sqref="I19"/>
    </sheetView>
  </sheetViews>
  <sheetFormatPr defaultColWidth="8.85546875" defaultRowHeight="15" x14ac:dyDescent="0.25"/>
  <sheetData>
    <row r="1" spans="1:71" x14ac:dyDescent="0.25">
      <c r="A1" t="e">
        <f>ModelSheet=Data!A:Z</f>
        <v>#NAME?</v>
      </c>
      <c r="B1" t="e">
        <f>ModelSheet=Results!A:Z</f>
        <v>#NAME?</v>
      </c>
      <c r="C1" t="e">
        <f>ModelSheet=SimpleLP!A:Z</f>
        <v>#NAME?</v>
      </c>
      <c r="D1" t="e">
        <f>ModelSheet=SimpleIP!A:Z</f>
        <v>#NAME?</v>
      </c>
      <c r="E1" t="e">
        <f>ModelSheet=OverlappingVars!A:Z</f>
        <v>#NAME?</v>
      </c>
      <c r="F1" t="e">
        <f>ModelSheet=BlankRHS!A:Z</f>
        <v>#NAME?</v>
      </c>
      <c r="G1" t="e">
        <f>ModelSheet=BlankLHS!A:Z</f>
        <v>#NAME?</v>
      </c>
      <c r="H1" t="e">
        <f>ModelSheet=TextRHS!A:Z</f>
        <v>#NAME?</v>
      </c>
      <c r="I1" t="e">
        <f>ModelSheet=ErrorRHS!A:Z</f>
        <v>#NAME?</v>
      </c>
      <c r="J1" t="e">
        <f>ModelSheet=ErrorLHS!A:Z</f>
        <v>#NAME?</v>
      </c>
      <c r="K1" t="e">
        <f>ModelSheet=ErrorObj!A:Z</f>
        <v>#NAME?</v>
      </c>
      <c r="L1" t="e">
        <f>ModelSheet=TextObj!A:Z</f>
        <v>#NAME?</v>
      </c>
      <c r="M1" t="e">
        <f>ModelSheet=MergedVarsSubset!A:Z</f>
        <v>#NAME?</v>
      </c>
      <c r="N1" t="e">
        <f>ModelSheet=MergedVarsOK!A:Z</f>
        <v>#NAME?</v>
      </c>
      <c r="O1" t="e">
        <f>ModelSheet=MergedVarsBad!A:Z</f>
        <v>#NAME?</v>
      </c>
      <c r="P1" t="e">
        <f>ModelSheet=MergedRHS_OK!A:Z</f>
        <v>#NAME?</v>
      </c>
      <c r="Q1" t="e">
        <f>ModelSheet=MergedLHS_OK!A:Z</f>
        <v>#NAME?</v>
      </c>
      <c r="R1" t="e">
        <f>ModelSheet=MergedLHSMultiple_OK!A:Z</f>
        <v>#NAME?</v>
      </c>
      <c r="S1" t="e">
        <f>ModelSheet=BinIntOverlap!A:Z</f>
        <v>#NAME?</v>
      </c>
      <c r="T1" t="e">
        <f>ModelSheet=ConFormula!A:Z</f>
        <v>#NAME?</v>
      </c>
      <c r="U1" t="e">
        <f>ModelSheet=ConFormulaInf!A:Z</f>
        <v>#NAME?</v>
      </c>
      <c r="V1" t="e">
        <f>ModelSheet='BadName!'!A:Z</f>
        <v>#NAME?</v>
      </c>
      <c r="W1" t="e">
        <f>ModelSheet='EscapeSheetName(1)+2-1'!A:Z</f>
        <v>#NAME?</v>
      </c>
      <c r="X1" t="e">
        <f>ModelSheet=DeletedConRef!A:Z</f>
        <v>#NAME?</v>
      </c>
      <c r="Y1" t="e">
        <f>ModelSheet=DeletedObjRef!A:Z</f>
        <v>#NAME?</v>
      </c>
      <c r="Z1" t="e">
        <f>ModelSheet=InfConstConstraint!A:Z</f>
        <v>#NAME?</v>
      </c>
      <c r="AA1" t="e">
        <f>ModelSheet=FeasConstConstraint!A:Z</f>
        <v>#NAME?</v>
      </c>
      <c r="AB1" t="e">
        <f>ModelSheet=Unbounded!A:Z</f>
        <v>#NAME?</v>
      </c>
      <c r="AC1" t="e">
        <f>ModelSheet=ProtectedSheet!A:Z</f>
        <v>#NAME?</v>
      </c>
      <c r="AD1" t="e">
        <f>ModelSheet=IndirectLBs!A:Z</f>
        <v>#NAME?</v>
      </c>
      <c r="AE1" t="e">
        <f>ModelSheet=DirectLBs!A:Z</f>
        <v>#NAME?</v>
      </c>
      <c r="AF1" t="e">
        <f>ModelSheet=SingleRangeLB!A:Z</f>
        <v>#NAME?</v>
      </c>
      <c r="AG1" t="e">
        <f>ModelSheet=BinLB!A:Z</f>
        <v>#NAME?</v>
      </c>
      <c r="AH1" t="e">
        <f>ModelSheet=BinIntLB!A:Z</f>
        <v>#NAME?</v>
      </c>
      <c r="AI1" t="e">
        <f>ModelSheet=Relaxation!A:Z</f>
        <v>#NAME?</v>
      </c>
      <c r="AJ1" t="e">
        <f>ModelSheet=LargeRangeLB!A:Z</f>
        <v>#NAME?</v>
      </c>
      <c r="AK1" t="e">
        <f>ModelSheet=OverlapRangeLB!A:Z</f>
        <v>#NAME?</v>
      </c>
      <c r="AL1" t="e">
        <f>ModelSheet=OverlapRangeLBwithFormula!A:Z</f>
        <v>#NAME?</v>
      </c>
      <c r="AM1" t="e">
        <f>ModelSheet=ConstFormulaRangeLB!A:Z</f>
        <v>#NAME?</v>
      </c>
      <c r="AN1" t="e">
        <f>ModelSheet=VariableFormulaRangeLB!A:Z</f>
        <v>#NAME?</v>
      </c>
      <c r="AO1" t="e">
        <f>ModelSheet=ConstraintLB!A:Z</f>
        <v>#NAME?</v>
      </c>
      <c r="AP1" t="e">
        <f>ModelSheet=ConstantLB!A:Z</f>
        <v>#NAME?</v>
      </c>
      <c r="AQ1" t="e">
        <f>ModelSheet=FormulaLB!A:Z</f>
        <v>#NAME?</v>
      </c>
      <c r="AR1" t="e">
        <f>ModelSheet=VarConstraintLB!A:Z</f>
        <v>#NAME?</v>
      </c>
      <c r="AS1" t="e">
        <f>ModelSheet=FractionalCoeffs!A:Z</f>
        <v>#NAME?</v>
      </c>
      <c r="AT1" t="e">
        <f>ModelSheet=ComplexLayout!A:Z</f>
        <v>#NAME?</v>
      </c>
      <c r="AU1" t="e">
        <f>ModelSheet=InfModel!A:Z</f>
        <v>#NAME?</v>
      </c>
      <c r="AV1" t="e">
        <f>ModelSheet=IterativeCalc!A:Z</f>
        <v>#NAME?</v>
      </c>
      <c r="AW1" t="e">
        <f>ModelSheet=NoObj!A:Z</f>
        <v>#NAME?</v>
      </c>
      <c r="AX1" t="e">
        <f>ModelSheet=SeekObj!A:Z</f>
        <v>#NAME?</v>
      </c>
      <c r="AY1" t="e">
        <f>ModelSheet=DiffSheetObj!A:Z</f>
        <v>#NAME?</v>
      </c>
      <c r="AZ1" t="e">
        <f>ModelSheet=NamedRanges!A:Z</f>
        <v>#NAME?</v>
      </c>
      <c r="BA1" t="e">
        <f>ModelSheet=QuickSolve!A:Z</f>
        <v>#NAME?</v>
      </c>
      <c r="BB1" t="e">
        <f>ModelSheet=SolverParameters!A:Z</f>
        <v>#NAME?</v>
      </c>
      <c r="BC1" t="e">
        <f>ModelSheet=Sensitivity!A:Z</f>
        <v>#NAME?</v>
      </c>
      <c r="BD1" t="e">
        <f>ModelSheet=SensitivityNames!A:Z</f>
        <v>#NAME?</v>
      </c>
      <c r="BE1" t="e">
        <f>ModelSheet=NonLinSimple!A:Z</f>
        <v>#NAME?</v>
      </c>
      <c r="BF1" t="e">
        <f>ModelSheet=NonLinLarge!A:Z</f>
        <v>#NAME?</v>
      </c>
      <c r="BG1" t="e">
        <f>ModelSheet=NonLinObj!A:Z</f>
        <v>#NAME?</v>
      </c>
      <c r="BH1" t="e">
        <f>ModelSheet=NonLinPruning!A:Z</f>
        <v>#NAME?</v>
      </c>
      <c r="BI1" t="e">
        <f>ModelSheet=NonLinMinMax!A:Z</f>
        <v>#NAME?</v>
      </c>
      <c r="BJ1" t="e">
        <f>ModelSheet=NonLinConstraints!A:Z</f>
        <v>#NAME?</v>
      </c>
      <c r="BK1" t="e">
        <f>ModelSheet=NonLinBinary!A:Z</f>
        <v>#NAME?</v>
      </c>
      <c r="BL1" t="e">
        <f>ModelSheet=NonLin!A:Z</f>
        <v>#NAME?</v>
      </c>
      <c r="BM1" t="e">
        <f>ModelSheet=NonLin2!A:Z</f>
        <v>#NAME?</v>
      </c>
      <c r="BN1" t="e">
        <f>ModelSheet=NonLin3!A:Z</f>
        <v>#NAME?</v>
      </c>
      <c r="BO1" t="e">
        <f>ModelSheet=NonLin4!A:Z</f>
        <v>#NAME?</v>
      </c>
      <c r="BP1" t="e">
        <f>ModelSheet=NonLin5!A:Z</f>
        <v>#NAME?</v>
      </c>
      <c r="BQ1" t="e">
        <f>ModelSheet=NonLin6!A:Z</f>
        <v>#NAME?</v>
      </c>
      <c r="BR1" t="e">
        <f>ModelSheet=Highlighting!A:Z</f>
        <v>#NAME?</v>
      </c>
      <c r="BS1" t="e">
        <f>ModelSheet=AutoModel!A:Z</f>
        <v>#NAME?</v>
      </c>
    </row>
    <row r="2" spans="1:71" x14ac:dyDescent="0.25">
      <c r="B2" t="e">
        <f t="shared" ref="B2:AG2" si="0">OpenSolver_ChosenSolver=CBC</f>
        <v>#NAME?</v>
      </c>
      <c r="C2" t="e">
        <f t="shared" si="0"/>
        <v>#NAME?</v>
      </c>
      <c r="D2" t="e">
        <f t="shared" si="0"/>
        <v>#NAME?</v>
      </c>
      <c r="E2" t="e">
        <f t="shared" si="0"/>
        <v>#NAME?</v>
      </c>
      <c r="F2" t="e">
        <f t="shared" si="0"/>
        <v>#NAME?</v>
      </c>
      <c r="G2" t="e">
        <f t="shared" si="0"/>
        <v>#NAME?</v>
      </c>
      <c r="H2" t="e">
        <f t="shared" si="0"/>
        <v>#NAME?</v>
      </c>
      <c r="I2" t="e">
        <f t="shared" si="0"/>
        <v>#NAME?</v>
      </c>
      <c r="J2" t="e">
        <f t="shared" si="0"/>
        <v>#NAME?</v>
      </c>
      <c r="K2" t="e">
        <f t="shared" si="0"/>
        <v>#NAME?</v>
      </c>
      <c r="L2" t="e">
        <f t="shared" si="0"/>
        <v>#NAME?</v>
      </c>
      <c r="M2" t="e">
        <f t="shared" si="0"/>
        <v>#NAME?</v>
      </c>
      <c r="N2" t="e">
        <f t="shared" si="0"/>
        <v>#NAME?</v>
      </c>
      <c r="O2" t="e">
        <f t="shared" si="0"/>
        <v>#NAME?</v>
      </c>
      <c r="P2" t="e">
        <f t="shared" si="0"/>
        <v>#NAME?</v>
      </c>
      <c r="Q2" t="e">
        <f t="shared" si="0"/>
        <v>#NAME?</v>
      </c>
      <c r="R2" t="e">
        <f t="shared" si="0"/>
        <v>#NAME?</v>
      </c>
      <c r="S2" t="e">
        <f t="shared" si="0"/>
        <v>#NAME?</v>
      </c>
      <c r="T2" t="e">
        <f t="shared" si="0"/>
        <v>#NAME?</v>
      </c>
      <c r="U2" t="e">
        <f t="shared" si="0"/>
        <v>#NAME?</v>
      </c>
      <c r="V2" t="e">
        <f t="shared" si="0"/>
        <v>#NAME?</v>
      </c>
      <c r="W2" t="e">
        <f t="shared" si="0"/>
        <v>#NAME?</v>
      </c>
      <c r="X2" t="e">
        <f t="shared" si="0"/>
        <v>#NAME?</v>
      </c>
      <c r="Y2" t="e">
        <f t="shared" si="0"/>
        <v>#NAME?</v>
      </c>
      <c r="Z2" t="e">
        <f t="shared" si="0"/>
        <v>#NAME?</v>
      </c>
      <c r="AA2" t="e">
        <f t="shared" si="0"/>
        <v>#NAME?</v>
      </c>
      <c r="AB2" t="e">
        <f t="shared" si="0"/>
        <v>#NAME?</v>
      </c>
      <c r="AC2" t="e">
        <f t="shared" si="0"/>
        <v>#NAME?</v>
      </c>
      <c r="AD2" t="e">
        <f t="shared" si="0"/>
        <v>#NAME?</v>
      </c>
      <c r="AE2" t="e">
        <f t="shared" si="0"/>
        <v>#NAME?</v>
      </c>
      <c r="AF2" t="e">
        <f t="shared" si="0"/>
        <v>#NAME?</v>
      </c>
      <c r="AG2" t="e">
        <f t="shared" si="0"/>
        <v>#NAME?</v>
      </c>
      <c r="AH2" t="e">
        <f t="shared" ref="AH2:BA2" si="1">OpenSolver_ChosenSolver=CBC</f>
        <v>#NAME?</v>
      </c>
      <c r="AI2" t="e">
        <f t="shared" si="1"/>
        <v>#NAME?</v>
      </c>
      <c r="AJ2" t="e">
        <f t="shared" si="1"/>
        <v>#NAME?</v>
      </c>
      <c r="AK2" t="e">
        <f t="shared" si="1"/>
        <v>#NAME?</v>
      </c>
      <c r="AL2" t="e">
        <f t="shared" si="1"/>
        <v>#NAME?</v>
      </c>
      <c r="AM2" t="e">
        <f t="shared" si="1"/>
        <v>#NAME?</v>
      </c>
      <c r="AN2" t="e">
        <f t="shared" si="1"/>
        <v>#NAME?</v>
      </c>
      <c r="AO2" t="e">
        <f t="shared" si="1"/>
        <v>#NAME?</v>
      </c>
      <c r="AP2" t="e">
        <f t="shared" si="1"/>
        <v>#NAME?</v>
      </c>
      <c r="AQ2" t="e">
        <f t="shared" si="1"/>
        <v>#NAME?</v>
      </c>
      <c r="AR2" t="e">
        <f t="shared" si="1"/>
        <v>#NAME?</v>
      </c>
      <c r="AS2" t="e">
        <f t="shared" si="1"/>
        <v>#NAME?</v>
      </c>
      <c r="AT2" t="e">
        <f t="shared" si="1"/>
        <v>#NAME?</v>
      </c>
      <c r="AU2" t="e">
        <f t="shared" si="1"/>
        <v>#NAME?</v>
      </c>
      <c r="AV2" t="e">
        <f t="shared" si="1"/>
        <v>#NAME?</v>
      </c>
      <c r="AW2" t="e">
        <f t="shared" si="1"/>
        <v>#NAME?</v>
      </c>
      <c r="AX2" t="e">
        <f t="shared" si="1"/>
        <v>#NAME?</v>
      </c>
      <c r="AY2" t="e">
        <f t="shared" si="1"/>
        <v>#NAME?</v>
      </c>
      <c r="AZ2" t="e">
        <f t="shared" si="1"/>
        <v>#NAME?</v>
      </c>
      <c r="BA2" t="e">
        <f t="shared" si="1"/>
        <v>#NAME?</v>
      </c>
      <c r="BB2" t="e">
        <f>OpenSolver_CBCParameters=SolverParameters!$C$5:$D$7</f>
        <v>#NAME?</v>
      </c>
      <c r="BC2" t="e">
        <f t="shared" ref="BC2:BQ2" si="2">OpenSolver_ChosenSolver=CBC</f>
        <v>#NAME?</v>
      </c>
      <c r="BD2" t="e">
        <f t="shared" si="2"/>
        <v>#NAME?</v>
      </c>
      <c r="BE2" t="e">
        <f t="shared" si="2"/>
        <v>#NAME?</v>
      </c>
      <c r="BF2" t="e">
        <f t="shared" si="2"/>
        <v>#NAME?</v>
      </c>
      <c r="BG2" t="e">
        <f t="shared" si="2"/>
        <v>#NAME?</v>
      </c>
      <c r="BH2" t="e">
        <f t="shared" si="2"/>
        <v>#NAME?</v>
      </c>
      <c r="BI2" t="e">
        <f t="shared" si="2"/>
        <v>#NAME?</v>
      </c>
      <c r="BJ2" t="e">
        <f t="shared" si="2"/>
        <v>#NAME?</v>
      </c>
      <c r="BK2" t="e">
        <f t="shared" si="2"/>
        <v>#NAME?</v>
      </c>
      <c r="BL2" t="e">
        <f t="shared" si="2"/>
        <v>#NAME?</v>
      </c>
      <c r="BM2" t="e">
        <f t="shared" si="2"/>
        <v>#NAME?</v>
      </c>
      <c r="BN2" t="e">
        <f t="shared" si="2"/>
        <v>#NAME?</v>
      </c>
      <c r="BO2" t="e">
        <f t="shared" si="2"/>
        <v>#NAME?</v>
      </c>
      <c r="BP2" t="e">
        <f t="shared" si="2"/>
        <v>#NAME?</v>
      </c>
      <c r="BQ2" t="e">
        <f t="shared" si="2"/>
        <v>#NAME?</v>
      </c>
    </row>
    <row r="3" spans="1:71" x14ac:dyDescent="0.25">
      <c r="B3" t="e">
        <f>OpenSolver_LinearityCheck=1</f>
        <v>#NAME?</v>
      </c>
      <c r="C3" t="e">
        <f>OpenSolver_DualsNewSheet=0</f>
        <v>#NAME?</v>
      </c>
      <c r="D3" t="e">
        <f>OpenSolver_DualsNewSheet=0</f>
        <v>#NAME?</v>
      </c>
      <c r="E3" t="e">
        <f>OpenSolver_DualsNewSheet=0</f>
        <v>#NAME?</v>
      </c>
      <c r="F3" t="e">
        <f>OpenSolver_DualsNewSheet=0</f>
        <v>#NAME?</v>
      </c>
      <c r="G3" t="e">
        <f>OpenSolver_DualsNewSheet=0</f>
        <v>#NAME?</v>
      </c>
      <c r="H3" t="e">
        <f t="shared" ref="H3:M3" si="3">OpenSolver_LinearityCheck=1</f>
        <v>#NAME?</v>
      </c>
      <c r="I3" t="e">
        <f t="shared" si="3"/>
        <v>#NAME?</v>
      </c>
      <c r="J3" t="e">
        <f t="shared" si="3"/>
        <v>#NAME?</v>
      </c>
      <c r="K3" t="e">
        <f t="shared" si="3"/>
        <v>#NAME?</v>
      </c>
      <c r="L3" t="e">
        <f t="shared" si="3"/>
        <v>#NAME?</v>
      </c>
      <c r="M3" t="e">
        <f t="shared" si="3"/>
        <v>#NAME?</v>
      </c>
      <c r="N3" t="e">
        <f>OpenSolver_DualsNewSheet=0</f>
        <v>#NAME?</v>
      </c>
      <c r="O3" t="e">
        <f>OpenSolver_LinearityCheck=1</f>
        <v>#NAME?</v>
      </c>
      <c r="P3" t="e">
        <f>OpenSolver_DualsNewSheet=0</f>
        <v>#NAME?</v>
      </c>
      <c r="Q3" t="e">
        <f>OpenSolver_DualsNewSheet=0</f>
        <v>#NAME?</v>
      </c>
      <c r="R3" t="e">
        <f>OpenSolver_LinearityCheck=1</f>
        <v>#NAME?</v>
      </c>
      <c r="S3" t="e">
        <f>OpenSolver_DualsNewSheet=0</f>
        <v>#NAME?</v>
      </c>
      <c r="T3" t="e">
        <f>OpenSolver_DualsNewSheet=0</f>
        <v>#NAME?</v>
      </c>
      <c r="U3" t="e">
        <f>OpenSolver_LinearityCheck=1</f>
        <v>#NAME?</v>
      </c>
      <c r="V3" t="e">
        <f>OpenSolver_LinearityCheck=1</f>
        <v>#NAME?</v>
      </c>
      <c r="W3" t="e">
        <f>OpenSolver_DualsNewSheet=0</f>
        <v>#NAME?</v>
      </c>
      <c r="X3" t="e">
        <f>OpenSolver_LinearityCheck=1</f>
        <v>#NAME?</v>
      </c>
      <c r="Y3" t="e">
        <f>OpenSolver_LinearityCheck=1</f>
        <v>#NAME?</v>
      </c>
      <c r="Z3" t="e">
        <f>OpenSolver_LinearityCheck=1</f>
        <v>#NAME?</v>
      </c>
      <c r="AA3" t="e">
        <f>OpenSolver_DualsNewSheet=0</f>
        <v>#NAME?</v>
      </c>
      <c r="AB3" t="e">
        <f>OpenSolver_DualsNewSheet=0</f>
        <v>#NAME?</v>
      </c>
      <c r="AC3" t="e">
        <f>OpenSolver_LinearityCheck=1</f>
        <v>#NAME?</v>
      </c>
      <c r="AD3" t="e">
        <f t="shared" ref="AD3:AW3" si="4">OpenSolver_DualsNewSheet=0</f>
        <v>#NAME?</v>
      </c>
      <c r="AE3" t="e">
        <f t="shared" si="4"/>
        <v>#NAME?</v>
      </c>
      <c r="AF3" t="e">
        <f t="shared" si="4"/>
        <v>#NAME?</v>
      </c>
      <c r="AG3" t="e">
        <f t="shared" si="4"/>
        <v>#NAME?</v>
      </c>
      <c r="AH3" t="e">
        <f t="shared" si="4"/>
        <v>#NAME?</v>
      </c>
      <c r="AI3" t="e">
        <f t="shared" si="4"/>
        <v>#NAME?</v>
      </c>
      <c r="AJ3" t="e">
        <f t="shared" si="4"/>
        <v>#NAME?</v>
      </c>
      <c r="AK3" t="e">
        <f t="shared" si="4"/>
        <v>#NAME?</v>
      </c>
      <c r="AL3" t="e">
        <f t="shared" si="4"/>
        <v>#NAME?</v>
      </c>
      <c r="AM3" t="e">
        <f t="shared" si="4"/>
        <v>#NAME?</v>
      </c>
      <c r="AN3" t="e">
        <f t="shared" si="4"/>
        <v>#NAME?</v>
      </c>
      <c r="AO3" t="e">
        <f t="shared" si="4"/>
        <v>#NAME?</v>
      </c>
      <c r="AP3" t="e">
        <f t="shared" si="4"/>
        <v>#NAME?</v>
      </c>
      <c r="AQ3" t="e">
        <f t="shared" si="4"/>
        <v>#NAME?</v>
      </c>
      <c r="AR3" t="e">
        <f t="shared" si="4"/>
        <v>#NAME?</v>
      </c>
      <c r="AS3" t="e">
        <f t="shared" si="4"/>
        <v>#NAME?</v>
      </c>
      <c r="AT3" t="e">
        <f t="shared" si="4"/>
        <v>#NAME?</v>
      </c>
      <c r="AU3" t="e">
        <f t="shared" si="4"/>
        <v>#NAME?</v>
      </c>
      <c r="AV3" t="e">
        <f t="shared" si="4"/>
        <v>#NAME?</v>
      </c>
      <c r="AW3" t="e">
        <f t="shared" si="4"/>
        <v>#NAME?</v>
      </c>
      <c r="AX3" t="e">
        <f>OpenSolver_DualsNewSheet=1</f>
        <v>#NAME?</v>
      </c>
      <c r="AY3" t="e">
        <f>OpenSolver_DualsNewSheet=0</f>
        <v>#NAME?</v>
      </c>
      <c r="AZ3" t="e">
        <f>OpenSolver_DualsNewSheet=0</f>
        <v>#NAME?</v>
      </c>
      <c r="BA3" t="e">
        <f>OpenSolver_DualsNewSheet=0</f>
        <v>#NAME?</v>
      </c>
      <c r="BB3" t="e">
        <f>OpenSolver_ChosenSolver=CBC</f>
        <v>#NAME?</v>
      </c>
      <c r="BC3" t="e">
        <f>OpenSolver_Duals=Sensitivity!$K$1</f>
        <v>#NAME?</v>
      </c>
      <c r="BD3" t="e">
        <f>OpenSolver_DualsNewSheet=1</f>
        <v>#NAME?</v>
      </c>
      <c r="BE3" t="e">
        <f t="shared" ref="BE3:BN3" si="5">OpenSolver_LinearityCheck=1</f>
        <v>#NAME?</v>
      </c>
      <c r="BF3" t="e">
        <f t="shared" si="5"/>
        <v>#NAME?</v>
      </c>
      <c r="BG3" t="e">
        <f t="shared" si="5"/>
        <v>#NAME?</v>
      </c>
      <c r="BH3" t="e">
        <f t="shared" si="5"/>
        <v>#NAME?</v>
      </c>
      <c r="BI3" t="e">
        <f t="shared" si="5"/>
        <v>#NAME?</v>
      </c>
      <c r="BJ3" t="e">
        <f t="shared" si="5"/>
        <v>#NAME?</v>
      </c>
      <c r="BK3" t="e">
        <f t="shared" si="5"/>
        <v>#NAME?</v>
      </c>
      <c r="BL3" t="e">
        <f t="shared" si="5"/>
        <v>#NAME?</v>
      </c>
      <c r="BM3" t="e">
        <f t="shared" si="5"/>
        <v>#NAME?</v>
      </c>
      <c r="BN3" t="e">
        <f t="shared" si="5"/>
        <v>#NAME?</v>
      </c>
      <c r="BO3" t="e">
        <f>solver_adj=NonLin4!$D$11</f>
        <v>#NAME?</v>
      </c>
      <c r="BP3" t="e">
        <f>OpenSolver_LinearityCheck=1</f>
        <v>#NAME?</v>
      </c>
      <c r="BQ3" t="e">
        <f>OpenSolver_LinearityCheck=1</f>
        <v>#NAME?</v>
      </c>
    </row>
    <row r="4" spans="1:71" x14ac:dyDescent="0.25">
      <c r="C4" t="e">
        <f>OpenSolver_LinearityCheck=1</f>
        <v>#NAME?</v>
      </c>
      <c r="D4" t="e">
        <f>OpenSolver_LinearityCheck=1</f>
        <v>#NAME?</v>
      </c>
      <c r="E4" t="e">
        <f>OpenSolver_LinearityCheck=1</f>
        <v>#NAME?</v>
      </c>
      <c r="F4" t="e">
        <f>OpenSolver_LinearityCheck=1</f>
        <v>#NAME?</v>
      </c>
      <c r="G4" t="e">
        <f>OpenSolver_LinearityCheck=1</f>
        <v>#NAME?</v>
      </c>
      <c r="H4" t="e">
        <f>solver_adj=TextRHS!$D$4:$F$4</f>
        <v>#NAME?</v>
      </c>
      <c r="I4" t="e">
        <f>solver_adj=ErrorRHS!$D$4:$F$4</f>
        <v>#NAME?</v>
      </c>
      <c r="J4" t="e">
        <f>solver_adj=ErrorLHS!$D$4:$F$4</f>
        <v>#NAME?</v>
      </c>
      <c r="K4" t="e">
        <f>solver_adj=ErrorObj!$D$4:$F$4</f>
        <v>#NAME?</v>
      </c>
      <c r="L4" t="e">
        <f>solver_adj=TextObj!$D$4:$F$4</f>
        <v>#NAME?</v>
      </c>
      <c r="M4" t="e">
        <f>solver_adj=MergedVarsSubset!$D$5:$F$5</f>
        <v>#NAME?</v>
      </c>
      <c r="N4" t="e">
        <f>OpenSolver_LinearityCheck=1</f>
        <v>#NAME?</v>
      </c>
      <c r="O4" t="e">
        <f>solver_adj=MergedVarsBad!$D$5:$F$5</f>
        <v>#NAME?</v>
      </c>
      <c r="P4" t="e">
        <f>OpenSolver_LinearityCheck=1</f>
        <v>#NAME?</v>
      </c>
      <c r="Q4" t="e">
        <f>OpenSolver_LinearityCheck=1</f>
        <v>#NAME?</v>
      </c>
      <c r="R4" t="e">
        <f>solver_adj=MergedLHSMultiple_OK!$D$5:$F$5</f>
        <v>#NAME?</v>
      </c>
      <c r="S4" t="e">
        <f>OpenSolver_LinearityCheck=1</f>
        <v>#NAME?</v>
      </c>
      <c r="T4" t="e">
        <f>OpenSolver_LinearityCheck=1</f>
        <v>#NAME?</v>
      </c>
      <c r="U4" t="e">
        <f>solver_adj=ConFormulaInf!$D$5:$G$5,ConFormulaInf!$Q$4:$R$5,ConFormulaInf!$N$4:$N$5</f>
        <v>#NAME?</v>
      </c>
      <c r="V4" t="e">
        <f>solver_adj='BadName!'!$D$5:$F$5</f>
        <v>#NAME?</v>
      </c>
      <c r="W4" t="e">
        <f>OpenSolver_LinearityCheck=1</f>
        <v>#NAME?</v>
      </c>
      <c r="X4" t="e">
        <f>solver_adj=DeletedConRef!$D$5:$F$5</f>
        <v>#NAME?</v>
      </c>
      <c r="Y4" t="e">
        <f>solver_adj=DeletedObjRef!$D$5:$F$5</f>
        <v>#NAME?</v>
      </c>
      <c r="Z4" t="e">
        <f>solver_adj=InfConstConstraint!$D$4:$F$4</f>
        <v>#NAME?</v>
      </c>
      <c r="AA4" t="e">
        <f>OpenSolver_LinearityCheck=1</f>
        <v>#NAME?</v>
      </c>
      <c r="AB4" t="e">
        <f>OpenSolver_LinearityCheck=1</f>
        <v>#NAME?</v>
      </c>
      <c r="AC4" t="e">
        <f>solver_adj=ProtectedSheet!$D$4:$F$4</f>
        <v>#NAME?</v>
      </c>
      <c r="AD4" t="e">
        <f t="shared" ref="AD4:BA4" si="6">OpenSolver_LinearityCheck=1</f>
        <v>#NAME?</v>
      </c>
      <c r="AE4" t="e">
        <f t="shared" si="6"/>
        <v>#NAME?</v>
      </c>
      <c r="AF4" t="e">
        <f t="shared" si="6"/>
        <v>#NAME?</v>
      </c>
      <c r="AG4" t="e">
        <f t="shared" si="6"/>
        <v>#NAME?</v>
      </c>
      <c r="AH4" t="e">
        <f t="shared" si="6"/>
        <v>#NAME?</v>
      </c>
      <c r="AI4" t="e">
        <f t="shared" si="6"/>
        <v>#NAME?</v>
      </c>
      <c r="AJ4" t="e">
        <f t="shared" si="6"/>
        <v>#NAME?</v>
      </c>
      <c r="AK4" t="e">
        <f t="shared" si="6"/>
        <v>#NAME?</v>
      </c>
      <c r="AL4" t="e">
        <f t="shared" si="6"/>
        <v>#NAME?</v>
      </c>
      <c r="AM4" t="e">
        <f t="shared" si="6"/>
        <v>#NAME?</v>
      </c>
      <c r="AN4" t="e">
        <f t="shared" si="6"/>
        <v>#NAME?</v>
      </c>
      <c r="AO4" t="e">
        <f t="shared" si="6"/>
        <v>#NAME?</v>
      </c>
      <c r="AP4" t="e">
        <f t="shared" si="6"/>
        <v>#NAME?</v>
      </c>
      <c r="AQ4" t="e">
        <f t="shared" si="6"/>
        <v>#NAME?</v>
      </c>
      <c r="AR4" t="e">
        <f t="shared" si="6"/>
        <v>#NAME?</v>
      </c>
      <c r="AS4" t="e">
        <f t="shared" si="6"/>
        <v>#NAME?</v>
      </c>
      <c r="AT4" t="e">
        <f t="shared" si="6"/>
        <v>#NAME?</v>
      </c>
      <c r="AU4" t="e">
        <f t="shared" si="6"/>
        <v>#NAME?</v>
      </c>
      <c r="AV4" t="e">
        <f t="shared" si="6"/>
        <v>#NAME?</v>
      </c>
      <c r="AW4" t="e">
        <f t="shared" si="6"/>
        <v>#NAME?</v>
      </c>
      <c r="AX4" t="e">
        <f t="shared" si="6"/>
        <v>#NAME?</v>
      </c>
      <c r="AY4" t="e">
        <f t="shared" si="6"/>
        <v>#NAME?</v>
      </c>
      <c r="AZ4" t="e">
        <f t="shared" si="6"/>
        <v>#NAME?</v>
      </c>
      <c r="BA4" t="e">
        <f t="shared" si="6"/>
        <v>#NAME?</v>
      </c>
      <c r="BB4" t="e">
        <f>OpenSolver_DualsNewSheet=0</f>
        <v>#NAME?</v>
      </c>
      <c r="BC4" t="e">
        <f>OpenSolver_DualsNewSheet=1</f>
        <v>#NAME?</v>
      </c>
      <c r="BD4" t="e">
        <f>OpenSolver_LinearityCheck=1</f>
        <v>#NAME?</v>
      </c>
      <c r="BE4" t="e">
        <f>solver_adj=NonLinSimple!$D$3:$F$3</f>
        <v>#NAME?</v>
      </c>
      <c r="BF4" t="e">
        <f>solver_adj=NonLinLarge!$D$3:$F$3</f>
        <v>#NAME?</v>
      </c>
      <c r="BG4" t="e">
        <f>solver_adj=NonLinObj!$D$3:$F$3</f>
        <v>#NAME?</v>
      </c>
      <c r="BH4" t="e">
        <f>solver_adj=NonLinPruning!$D$5:$E$5</f>
        <v>#NAME?</v>
      </c>
      <c r="BI4" t="e">
        <f>solver_adj=NonLinMinMax!$D$4:$F$4</f>
        <v>#NAME?</v>
      </c>
      <c r="BJ4" t="e">
        <f>solver_adj=NonLinConstraints!$D$5:$H$5</f>
        <v>#NAME?</v>
      </c>
      <c r="BK4" t="e">
        <f>solver_adj=NonLinBinary!$C$4:$D$4</f>
        <v>#NAME?</v>
      </c>
      <c r="BL4" t="e">
        <f>solver_adj=NonLin!$D$3:$D$35</f>
        <v>#NAME?</v>
      </c>
      <c r="BM4" t="e">
        <f>solver_adj=NonLin2!$C$4:$D$4</f>
        <v>#NAME?</v>
      </c>
      <c r="BN4" t="e">
        <f>solver_adj=NonLin3!$S$10:$S$11</f>
        <v>#NAME?</v>
      </c>
      <c r="BO4" t="e">
        <f>solver_opt=NonLin4!$D$16</f>
        <v>#NAME?</v>
      </c>
      <c r="BP4" t="e">
        <f>solver_adj=NonLin5!$F$2:$I$2</f>
        <v>#NAME?</v>
      </c>
      <c r="BQ4" t="e">
        <f>solver_adj=NonLin6!$D$7:$D$8</f>
        <v>#NAME?</v>
      </c>
    </row>
    <row r="5" spans="1:71" x14ac:dyDescent="0.25">
      <c r="C5" t="e">
        <f>solver_adj=SimpleLP!$D$4:$F$4</f>
        <v>#NAME?</v>
      </c>
      <c r="D5" t="e">
        <f>solver_adj=SimpleIP!$E$5:$E$7</f>
        <v>#NAME?</v>
      </c>
      <c r="E5" t="e">
        <f>solver_adj=OverlappingVars!$D$4:$E$4,OverlappingVars!$E$4:$F$4</f>
        <v>#NAME?</v>
      </c>
      <c r="F5" t="e">
        <f>solver_adj=BlankRHS!$D$4:$F$4</f>
        <v>#NAME?</v>
      </c>
      <c r="G5" t="e">
        <f>solver_adj=BlankLHS!$D$4:$F$4</f>
        <v>#NAME?</v>
      </c>
      <c r="H5" t="e">
        <f>solver_itr=999999999</f>
        <v>#NAME?</v>
      </c>
      <c r="I5" t="e">
        <f>solver_itr=999999999</f>
        <v>#NAME?</v>
      </c>
      <c r="J5" t="e">
        <f>solver_itr=999999999</f>
        <v>#NAME?</v>
      </c>
      <c r="K5" t="e">
        <f>solver_lhs1=ErrorObj!$H$8:$H$9</f>
        <v>#NAME?</v>
      </c>
      <c r="L5" t="e">
        <f>solver_lhs1=TextObj!$H$8:$H$9</f>
        <v>#NAME?</v>
      </c>
      <c r="M5" t="e">
        <f>solver_lhs1=MergedVarsSubset!$H$9:$H$10</f>
        <v>#NAME?</v>
      </c>
      <c r="N5" t="e">
        <f>solver_adj=MergedVarsOK!$D$5:$E$5</f>
        <v>#NAME?</v>
      </c>
      <c r="O5" t="e">
        <f>solver_lhs1=MergedVarsBad!$H$9:$H$10</f>
        <v>#NAME?</v>
      </c>
      <c r="P5" t="e">
        <f>solver_adj=MergedRHS_OK!$D$5:$E$5</f>
        <v>#NAME?</v>
      </c>
      <c r="Q5" t="e">
        <f>solver_adj=MergedLHS_OK!$D$5:$E$5</f>
        <v>#NAME?</v>
      </c>
      <c r="R5" t="e">
        <f>solver_itr=999999999</f>
        <v>#NAME?</v>
      </c>
      <c r="S5" t="e">
        <f>solver_adj=BinIntOverlap!$D$4:$G$4</f>
        <v>#NAME?</v>
      </c>
      <c r="T5" t="e">
        <f>solver_adj=ConFormula!$D$5:$G$5,ConFormula!$Q$4:$R$5,ConFormula!$N$4:$N$5</f>
        <v>#NAME?</v>
      </c>
      <c r="U5" t="e">
        <f>solver_itr=999999999</f>
        <v>#NAME?</v>
      </c>
      <c r="V5" t="e">
        <f>solver_lhs1='BadName!'!$H$12</f>
        <v>#NAME?</v>
      </c>
      <c r="W5" t="e">
        <f>solver_adj='EscapeSheetName(1)+2-1'!$D$4:$F$4</f>
        <v>#NAME?</v>
      </c>
      <c r="X5" t="e">
        <f>solver_itr=999999999</f>
        <v>#NAME?</v>
      </c>
      <c r="Y5" t="e">
        <f>solver_lhs1=DeletedObjRef!$H$9:$H$10</f>
        <v>#NAME?</v>
      </c>
      <c r="Z5" t="e">
        <f>solver_itr=999999999</f>
        <v>#NAME?</v>
      </c>
      <c r="AA5" t="e">
        <f>solver_adj=FeasConstConstraint!$D$4:$F$4</f>
        <v>#NAME?</v>
      </c>
      <c r="AB5" t="e">
        <f>solver_adj=Unbounded!$D$4:$F$4</f>
        <v>#NAME?</v>
      </c>
      <c r="AC5" t="e">
        <f>solver_lhs1=ProtectedSheet!$H$8:$H$9</f>
        <v>#NAME?</v>
      </c>
      <c r="AD5" t="e">
        <f>solver_adj=IndirectLBs!$D$5:$F$5</f>
        <v>#NAME?</v>
      </c>
      <c r="AE5" t="e">
        <f>solver_adj=DirectLBs!$D$4:$F$4</f>
        <v>#NAME?</v>
      </c>
      <c r="AF5" t="e">
        <f>solver_adj=SingleRangeLB!$D$4:$F$4</f>
        <v>#NAME?</v>
      </c>
      <c r="AG5" t="e">
        <f>solver_adj=BinLB!$D$5:$F$5</f>
        <v>#NAME?</v>
      </c>
      <c r="AH5" t="e">
        <f>solver_adj=BinIntLB!$D$5:$F$5</f>
        <v>#NAME?</v>
      </c>
      <c r="AI5" t="e">
        <f>solver_adj=Relaxation!$D$5:$F$5</f>
        <v>#NAME?</v>
      </c>
      <c r="AJ5" t="e">
        <f>solver_adj=LargeRangeLB!$D$6:$F$6</f>
        <v>#NAME?</v>
      </c>
      <c r="AK5" t="e">
        <f>solver_adj=OverlapRangeLB!$D$6:$F$6</f>
        <v>#NAME?</v>
      </c>
      <c r="AL5" t="e">
        <f>solver_adj=OverlapRangeLBwithFormula!$D$6:$F$6</f>
        <v>#NAME?</v>
      </c>
      <c r="AM5" t="e">
        <f>solver_adj=ConstFormulaRangeLB!$D$4:$F$4</f>
        <v>#NAME?</v>
      </c>
      <c r="AN5" t="e">
        <f>solver_adj=VariableFormulaRangeLB!$D$5:$F$5</f>
        <v>#NAME?</v>
      </c>
      <c r="AO5" t="e">
        <f>solver_adj=ConstraintLB!$D$5:$F$5</f>
        <v>#NAME?</v>
      </c>
      <c r="AP5" t="e">
        <f>solver_adj=ConstantLB!$D$5:$F$5</f>
        <v>#NAME?</v>
      </c>
      <c r="AQ5" t="e">
        <f>solver_adj=FormulaLB!$D$5:$F$5</f>
        <v>#NAME?</v>
      </c>
      <c r="AR5" t="e">
        <f>solver_adj=VarConstraintLB!$D$5:$F$5</f>
        <v>#NAME?</v>
      </c>
      <c r="AS5" t="e">
        <f>solver_adj=FractionalCoeffs!$D$2:$F$2</f>
        <v>#NAME?</v>
      </c>
      <c r="AT5" t="e">
        <f>solver_adj=ComplexLayout!$D$4:$G$4,ComplexLayout!$Q$3:$R$4,ComplexLayout!$N$3:$N$4</f>
        <v>#NAME?</v>
      </c>
      <c r="AU5" t="e">
        <f>solver_adj=InfModel!$D$5:$F$5</f>
        <v>#NAME?</v>
      </c>
      <c r="AV5" t="e">
        <f>solver_adj=IterativeCalc!$D$5:$F$5</f>
        <v>#NAME?</v>
      </c>
      <c r="AW5" t="e">
        <f>solver_adj=NoObj!$D$5:$F$5</f>
        <v>#NAME?</v>
      </c>
      <c r="AX5" t="e">
        <f>OpenSolver_UpdateSensitivity=1</f>
        <v>#NAME?</v>
      </c>
      <c r="AY5" t="e">
        <f>solver_adj=DiffSheetObj!$D$2:$F$2</f>
        <v>#NAME?</v>
      </c>
      <c r="AZ5" t="e">
        <f>solver_adj=NamedRanges!$D$4:$H$4</f>
        <v>#NAME?</v>
      </c>
      <c r="BA5" t="e">
        <f>solver_adj=QuickSolve!$D$4:$F$4</f>
        <v>#NAME?</v>
      </c>
      <c r="BB5" t="e">
        <f>OpenSolver_LinearityCheck=1</f>
        <v>#NAME?</v>
      </c>
      <c r="BC5" t="e">
        <f>OpenSolver_LinearityCheck=1</f>
        <v>#NAME?</v>
      </c>
      <c r="BD5" t="e">
        <f>OpenSolver_UpdateSensitivity=1</f>
        <v>#NAME?</v>
      </c>
      <c r="BE5" t="e">
        <f t="shared" ref="BE5:BN5" si="7">solver_itr=999999999</f>
        <v>#NAME?</v>
      </c>
      <c r="BF5" t="e">
        <f t="shared" si="7"/>
        <v>#NAME?</v>
      </c>
      <c r="BG5" t="e">
        <f t="shared" si="7"/>
        <v>#NAME?</v>
      </c>
      <c r="BH5" t="e">
        <f t="shared" si="7"/>
        <v>#NAME?</v>
      </c>
      <c r="BI5" t="e">
        <f t="shared" si="7"/>
        <v>#NAME?</v>
      </c>
      <c r="BJ5" t="e">
        <f t="shared" si="7"/>
        <v>#NAME?</v>
      </c>
      <c r="BK5" t="e">
        <f t="shared" si="7"/>
        <v>#NAME?</v>
      </c>
      <c r="BL5" t="e">
        <f t="shared" si="7"/>
        <v>#NAME?</v>
      </c>
      <c r="BM5" t="e">
        <f t="shared" si="7"/>
        <v>#NAME?</v>
      </c>
      <c r="BN5" t="e">
        <f t="shared" si="7"/>
        <v>#NAME?</v>
      </c>
      <c r="BP5" t="e">
        <f>solver_itr=999999999</f>
        <v>#NAME?</v>
      </c>
      <c r="BQ5" t="e">
        <f>solver_itr=999999999</f>
        <v>#NAME?</v>
      </c>
    </row>
    <row r="6" spans="1:71" x14ac:dyDescent="0.25">
      <c r="C6" t="e">
        <f>solver_itr=999999999</f>
        <v>#NAME?</v>
      </c>
      <c r="D6" t="e">
        <f>solver_itr=999999999</f>
        <v>#NAME?</v>
      </c>
      <c r="E6" t="e">
        <f>solver_itr=999999999</f>
        <v>#NAME?</v>
      </c>
      <c r="F6" t="e">
        <f>solver_itr=999999999</f>
        <v>#NAME?</v>
      </c>
      <c r="G6" t="e">
        <f>solver_itr=999999999</f>
        <v>#NAME?</v>
      </c>
      <c r="H6" t="e">
        <f>solver_lhs1=TextRHS!$H$8:$H$9</f>
        <v>#NAME?</v>
      </c>
      <c r="I6" t="e">
        <f>solver_lhs1=ErrorRHS!$H$8:$H$9</f>
        <v>#NAME?</v>
      </c>
      <c r="J6" t="e">
        <f>solver_lhs1=ErrorLHS!$H$8:$H$9</f>
        <v>#NAME?</v>
      </c>
      <c r="K6" t="e">
        <f>solver_lhs2=ErrorObj!$H$10</f>
        <v>#NAME?</v>
      </c>
      <c r="L6" t="e">
        <f>solver_lhs2=TextObj!$H$10</f>
        <v>#NAME?</v>
      </c>
      <c r="M6" t="e">
        <f>solver_lhs2=MergedVarsSubset!$H$11</f>
        <v>#NAME?</v>
      </c>
      <c r="N6" t="e">
        <f>solver_itr=999999999</f>
        <v>#NAME?</v>
      </c>
      <c r="O6" t="e">
        <f>solver_lhs2=MergedVarsBad!$H$11</f>
        <v>#NAME?</v>
      </c>
      <c r="P6" t="e">
        <f>solver_itr=999999999</f>
        <v>#NAME?</v>
      </c>
      <c r="Q6" t="e">
        <f>solver_itr=999999999</f>
        <v>#NAME?</v>
      </c>
      <c r="R6" t="e">
        <f>solver_lhs1=MergedLHSMultiple_OK!$H$9:$H$10</f>
        <v>#NAME?</v>
      </c>
      <c r="S6" t="e">
        <f>solver_itr=999999999</f>
        <v>#NAME?</v>
      </c>
      <c r="T6" t="e">
        <f>solver_itr=999999999</f>
        <v>#NAME?</v>
      </c>
      <c r="U6" t="e">
        <f>solver_lhs1=ConFormulaInf!$I$9:$I$10</f>
        <v>#NAME?</v>
      </c>
      <c r="V6" t="e">
        <f>solver_num=1</f>
        <v>#NAME?</v>
      </c>
      <c r="W6" t="e">
        <f>solver_itr=999999999</f>
        <v>#NAME?</v>
      </c>
      <c r="X6" t="e">
        <f>solver_lhs1=DeletedConRef!$H$9:$H$10</f>
        <v>#NAME?</v>
      </c>
      <c r="Y6" t="e">
        <f>solver_lhs2=DeletedObjRef!$H$11</f>
        <v>#NAME?</v>
      </c>
      <c r="Z6" t="e">
        <f>solver_lhs1=InfConstConstraint!$J$8:$J$9</f>
        <v>#NAME?</v>
      </c>
      <c r="AA6" t="e">
        <f>solver_itr=999999999</f>
        <v>#NAME?</v>
      </c>
      <c r="AB6" t="e">
        <f>solver_itr=999999999</f>
        <v>#NAME?</v>
      </c>
      <c r="AC6" t="e">
        <f>solver_lhs2=ProtectedSheet!$H$10</f>
        <v>#NAME?</v>
      </c>
      <c r="AD6" t="e">
        <f t="shared" ref="AD6:AW6" si="8">solver_itr=999999999</f>
        <v>#NAME?</v>
      </c>
      <c r="AE6" t="e">
        <f t="shared" si="8"/>
        <v>#NAME?</v>
      </c>
      <c r="AF6" t="e">
        <f t="shared" si="8"/>
        <v>#NAME?</v>
      </c>
      <c r="AG6" t="e">
        <f t="shared" si="8"/>
        <v>#NAME?</v>
      </c>
      <c r="AH6" t="e">
        <f t="shared" si="8"/>
        <v>#NAME?</v>
      </c>
      <c r="AI6" t="e">
        <f t="shared" si="8"/>
        <v>#NAME?</v>
      </c>
      <c r="AJ6" t="e">
        <f t="shared" si="8"/>
        <v>#NAME?</v>
      </c>
      <c r="AK6" t="e">
        <f t="shared" si="8"/>
        <v>#NAME?</v>
      </c>
      <c r="AL6" t="e">
        <f t="shared" si="8"/>
        <v>#NAME?</v>
      </c>
      <c r="AM6" t="e">
        <f t="shared" si="8"/>
        <v>#NAME?</v>
      </c>
      <c r="AN6" t="e">
        <f t="shared" si="8"/>
        <v>#NAME?</v>
      </c>
      <c r="AO6" t="e">
        <f t="shared" si="8"/>
        <v>#NAME?</v>
      </c>
      <c r="AP6" t="e">
        <f t="shared" si="8"/>
        <v>#NAME?</v>
      </c>
      <c r="AQ6" t="e">
        <f t="shared" si="8"/>
        <v>#NAME?</v>
      </c>
      <c r="AR6" t="e">
        <f t="shared" si="8"/>
        <v>#NAME?</v>
      </c>
      <c r="AS6" t="e">
        <f t="shared" si="8"/>
        <v>#NAME?</v>
      </c>
      <c r="AT6" t="e">
        <f t="shared" si="8"/>
        <v>#NAME?</v>
      </c>
      <c r="AU6" t="e">
        <f t="shared" si="8"/>
        <v>#NAME?</v>
      </c>
      <c r="AV6" t="e">
        <f t="shared" si="8"/>
        <v>#NAME?</v>
      </c>
      <c r="AW6" t="e">
        <f t="shared" si="8"/>
        <v>#NAME?</v>
      </c>
      <c r="AX6" t="e">
        <f>solver_adj=SeekObj!$D$2:$F$2</f>
        <v>#NAME?</v>
      </c>
      <c r="AY6" t="e">
        <f>solver_itr=999999999</f>
        <v>#NAME?</v>
      </c>
      <c r="AZ6" t="e">
        <f>solver_itr=999999999</f>
        <v>#NAME?</v>
      </c>
      <c r="BA6" t="e">
        <f>solver_itr=999999999</f>
        <v>#NAME?</v>
      </c>
      <c r="BB6" t="e">
        <f>solver_adj=SolverParameters!$D$13:$F$13</f>
        <v>#NAME?</v>
      </c>
      <c r="BC6" t="e">
        <f>OpenSolver_UpdateSensitivity=1</f>
        <v>#NAME?</v>
      </c>
      <c r="BD6" t="e">
        <f>solver_adj=SensitivityNames!$J$21,SensitivityNames!$D$14:$H$16</f>
        <v>#NAME?</v>
      </c>
      <c r="BE6" t="e">
        <f>solver_lhs1=NonLinSimple!$H$7:$H$8</f>
        <v>#NAME?</v>
      </c>
      <c r="BF6" t="e">
        <f>solver_lhs1=NonLinLarge!$H$7:$H$8</f>
        <v>#NAME?</v>
      </c>
      <c r="BG6" t="e">
        <f>solver_lhs1=NonLinObj!$H$7:$H$8</f>
        <v>#NAME?</v>
      </c>
      <c r="BH6" t="e">
        <f>solver_lhs1=NonLinPruning!$F$8:$F$9</f>
        <v>#NAME?</v>
      </c>
      <c r="BI6" t="e">
        <f>solver_lhs1=NonLinMinMax!$G$8</f>
        <v>#NAME?</v>
      </c>
      <c r="BJ6" t="e">
        <f>solver_lhs1=NonLinConstraints!$I$7:$I$9</f>
        <v>#NAME?</v>
      </c>
      <c r="BK6" t="e">
        <f>solver_lhs1=NonLinBinary!$E$8:$E$9</f>
        <v>#NAME?</v>
      </c>
      <c r="BL6" t="e">
        <f>solver_lhs1=NonLin!$J$40</f>
        <v>#NAME?</v>
      </c>
      <c r="BM6" t="e">
        <f>solver_lhs1=NonLin2!$E$6:$E$7</f>
        <v>#NAME?</v>
      </c>
      <c r="BN6" t="e">
        <f>solver_lhs1=NonLin3!$S$10:$S$11</f>
        <v>#NAME?</v>
      </c>
      <c r="BP6" t="e">
        <f>solver_neg=1</f>
        <v>#NAME?</v>
      </c>
      <c r="BQ6" t="e">
        <f>solver_lhs1=NonLin6!$D$7</f>
        <v>#NAME?</v>
      </c>
    </row>
    <row r="7" spans="1:71" x14ac:dyDescent="0.25">
      <c r="C7" t="e">
        <f>solver_lhs1=SimpleLP!$H$8:$H$9</f>
        <v>#NAME?</v>
      </c>
      <c r="D7" t="e">
        <f>solver_lhs1=SimpleIP!$D$10</f>
        <v>#NAME?</v>
      </c>
      <c r="E7" t="e">
        <f>solver_lhs1=OverlappingVars!$H$8:$H$9</f>
        <v>#NAME?</v>
      </c>
      <c r="F7" t="e">
        <f>solver_lhs1=BlankRHS!$H$8:$H$9</f>
        <v>#NAME?</v>
      </c>
      <c r="G7" t="e">
        <f>solver_lhs1=BlankLHS!$H$8:$H$9</f>
        <v>#NAME?</v>
      </c>
      <c r="H7" t="e">
        <f>solver_lhs2=TextRHS!$H$10</f>
        <v>#NAME?</v>
      </c>
      <c r="I7" t="e">
        <f>solver_lhs2=ErrorRHS!$H$10</f>
        <v>#NAME?</v>
      </c>
      <c r="J7" t="e">
        <f>solver_lhs2=ErrorLHS!$H$10</f>
        <v>#NAME?</v>
      </c>
      <c r="K7" t="e">
        <f>solver_lhs3=ErrorObj!$H$11</f>
        <v>#NAME?</v>
      </c>
      <c r="L7" t="e">
        <f>solver_lhs3=TextObj!$H$11</f>
        <v>#NAME?</v>
      </c>
      <c r="M7" t="e">
        <f>solver_lhs3=MergedVarsSubset!$H$12</f>
        <v>#NAME?</v>
      </c>
      <c r="N7" t="e">
        <f>solver_lhs1=MergedVarsOK!$H$9:$H$10</f>
        <v>#NAME?</v>
      </c>
      <c r="O7" t="e">
        <f>solver_lhs3=MergedVarsBad!$H$12</f>
        <v>#NAME?</v>
      </c>
      <c r="P7" t="e">
        <f>solver_lhs1=MergedRHS_OK!$H$9:$H$10</f>
        <v>#NAME?</v>
      </c>
      <c r="Q7" t="e">
        <f>solver_lhs1=MergedLHS_OK!$H$9:$H$10</f>
        <v>#NAME?</v>
      </c>
      <c r="R7" t="e">
        <f>solver_lhs2=MergedLHSMultiple_OK!$H$11</f>
        <v>#NAME?</v>
      </c>
      <c r="S7" t="e">
        <f>solver_lhs1=BinIntOverlap!$I$8:$I$9</f>
        <v>#NAME?</v>
      </c>
      <c r="T7" t="e">
        <f>solver_lhs1=ConFormula!$I$9:$I$10</f>
        <v>#NAME?</v>
      </c>
      <c r="U7" t="e">
        <f>solver_lhs2=ConFormulaInf!$K$11</f>
        <v>#NAME?</v>
      </c>
      <c r="V7" t="e">
        <f>solver_opt='BadName!'!$H$7</f>
        <v>#NAME?</v>
      </c>
      <c r="W7" t="e">
        <f>solver_lhs1='EscapeSheetName(1)+2-1'!$H$8:$H$9</f>
        <v>#NAME?</v>
      </c>
      <c r="X7" t="e">
        <f>solver_lhs2=DeletedConRef!$H$11</f>
        <v>#NAME?</v>
      </c>
      <c r="Y7" t="e">
        <f>solver_lhs3=DeletedObjRef!$H$12</f>
        <v>#NAME?</v>
      </c>
      <c r="Z7" t="e">
        <f>solver_lhs2=InfConstConstraint!$J$10</f>
        <v>#NAME?</v>
      </c>
      <c r="AA7" t="e">
        <f>solver_lhs1=FeasConstConstraint!$J$8:$J$9</f>
        <v>#NAME?</v>
      </c>
      <c r="AB7" t="e">
        <f>solver_lhs1=Unbounded!$H$8:$H$9</f>
        <v>#NAME?</v>
      </c>
      <c r="AC7" t="e">
        <f>solver_lhs3=ProtectedSheet!$H$11</f>
        <v>#NAME?</v>
      </c>
      <c r="AD7" t="e">
        <f>solver_lhs1=IndirectLBs!$H$10:$H$11</f>
        <v>#NAME?</v>
      </c>
      <c r="AE7" t="e">
        <f>solver_lhs1=DirectLBs!$H$10:$H$12</f>
        <v>#NAME?</v>
      </c>
      <c r="AF7" t="e">
        <f>solver_lhs1=SingleRangeLB!$H$10:$H$12</f>
        <v>#NAME?</v>
      </c>
      <c r="AG7" t="e">
        <f>solver_lhs1=BinLB!$H$11:$H$13</f>
        <v>#NAME?</v>
      </c>
      <c r="AH7" t="e">
        <f>solver_lhs1=BinIntLB!$H$11:$H$13</f>
        <v>#NAME?</v>
      </c>
      <c r="AI7" t="e">
        <f>solver_lhs1=Relaxation!$H$11:$H$13</f>
        <v>#NAME?</v>
      </c>
      <c r="AJ7" t="e">
        <f>solver_lhs1=LargeRangeLB!$H$12:$H$14</f>
        <v>#NAME?</v>
      </c>
      <c r="AK7" t="e">
        <f>solver_lhs1=OverlapRangeLB!$H$12:$H$14</f>
        <v>#NAME?</v>
      </c>
      <c r="AL7" t="e">
        <f>solver_lhs1=OverlapRangeLBwithFormula!$H$12:$H$14</f>
        <v>#NAME?</v>
      </c>
      <c r="AM7" t="e">
        <f>solver_lhs1=ConstFormulaRangeLB!$H$10:$H$12</f>
        <v>#NAME?</v>
      </c>
      <c r="AN7" t="e">
        <f>solver_lhs1=VariableFormulaRangeLB!$H$11:$H$13</f>
        <v>#NAME?</v>
      </c>
      <c r="AO7" t="e">
        <f>solver_lhs1=ConstraintLB!$H$11:$H$13</f>
        <v>#NAME?</v>
      </c>
      <c r="AP7" t="e">
        <f>solver_lhs1=ConstantLB!$H$11:$H$13</f>
        <v>#NAME?</v>
      </c>
      <c r="AQ7" t="e">
        <f>solver_lhs1=FormulaLB!$H$11:$H$13</f>
        <v>#NAME?</v>
      </c>
      <c r="AR7" t="e">
        <f>solver_lhs1=VarConstraintLB!$H$11:$H$13</f>
        <v>#NAME?</v>
      </c>
      <c r="AS7" t="e">
        <f>solver_lhs1=FractionalCoeffs!$G$6</f>
        <v>#NAME?</v>
      </c>
      <c r="AT7" t="e">
        <f>solver_lhs1=ComplexLayout!$I$8:$I$9</f>
        <v>#NAME?</v>
      </c>
      <c r="AU7" t="e">
        <f>solver_lhs1=InfModel!$H$9:$H$10</f>
        <v>#NAME?</v>
      </c>
      <c r="AV7" t="e">
        <f>solver_lhs1=IterativeCalc!$H$9:$H$10</f>
        <v>#NAME?</v>
      </c>
      <c r="AW7" t="e">
        <f>solver_lhs1=NoObj!$H$9:$H$10</f>
        <v>#NAME?</v>
      </c>
      <c r="AX7" t="e">
        <f>solver_itr=999999999</f>
        <v>#NAME?</v>
      </c>
      <c r="AY7" t="e">
        <f>solver_lhs1=DiffSheetObj!$G$6</f>
        <v>#NAME?</v>
      </c>
      <c r="AZ7" t="e">
        <f>solver_lhs1=NamedRanges!$I$8</f>
        <v>#NAME?</v>
      </c>
      <c r="BA7" t="e">
        <f>solver_lhs1=QuickSolve!$H$8</f>
        <v>#NAME?</v>
      </c>
      <c r="BB7" t="e">
        <f>solver_itr=9999999</f>
        <v>#NAME?</v>
      </c>
      <c r="BC7" t="e">
        <f>solver_adj=Sensitivity!$D$4:$F$4</f>
        <v>#NAME?</v>
      </c>
      <c r="BD7" t="e">
        <f>solver_itr=999999999</f>
        <v>#NAME?</v>
      </c>
      <c r="BE7" t="e">
        <f>solver_lhs2=NonLinSimple!$H$9</f>
        <v>#NAME?</v>
      </c>
      <c r="BF7" t="e">
        <f>solver_lhs10=NonLinLarge!$H$74</f>
        <v>#NAME?</v>
      </c>
      <c r="BG7" t="e">
        <f>solver_lhs2=NonLinObj!$H$9</f>
        <v>#NAME?</v>
      </c>
      <c r="BH7" t="e">
        <f>solver_lhs2=NonLinPruning!$F$10:$F$11</f>
        <v>#NAME?</v>
      </c>
      <c r="BI7" t="e">
        <f>solver_lhs2=NonLinMinMax!$D$4:$F$4</f>
        <v>#NAME?</v>
      </c>
      <c r="BJ7" t="e">
        <f>solver_neg=1</f>
        <v>#NAME?</v>
      </c>
      <c r="BK7" t="e">
        <f>solver_lhs2=NonLinBinary!$C$4:$D$4</f>
        <v>#NAME?</v>
      </c>
      <c r="BL7" t="e">
        <f>solver_lhs2=NonLin!$J$41:$J$42</f>
        <v>#NAME?</v>
      </c>
      <c r="BM7" t="e">
        <f>solver_neg=1</f>
        <v>#NAME?</v>
      </c>
      <c r="BN7" t="e">
        <f>solver_lhs2=NonLin3!$S$10:$S$11</f>
        <v>#NAME?</v>
      </c>
      <c r="BP7" t="e">
        <f>solver_num=0</f>
        <v>#NAME?</v>
      </c>
      <c r="BQ7" t="e">
        <f>solver_lhs2=NonLin6!$D$7</f>
        <v>#NAME?</v>
      </c>
    </row>
    <row r="8" spans="1:71" x14ac:dyDescent="0.25">
      <c r="C8" t="e">
        <f>solver_lhs2=SimpleLP!$H$10</f>
        <v>#NAME?</v>
      </c>
      <c r="D8" t="e">
        <f>solver_lhs2=SimpleIP!$E$5:$E$7</f>
        <v>#NAME?</v>
      </c>
      <c r="E8" t="e">
        <f>solver_lhs2=OverlappingVars!$H$10</f>
        <v>#NAME?</v>
      </c>
      <c r="F8" t="e">
        <f>solver_lhs2=BlankRHS!$H$10</f>
        <v>#NAME?</v>
      </c>
      <c r="G8" t="e">
        <f>solver_lhs2=BlankLHS!$H$10</f>
        <v>#NAME?</v>
      </c>
      <c r="H8" t="e">
        <f>solver_lhs3=TextRHS!$H$11</f>
        <v>#NAME?</v>
      </c>
      <c r="I8" t="e">
        <f>solver_lhs3=ErrorRHS!$H$11</f>
        <v>#NAME?</v>
      </c>
      <c r="J8" t="e">
        <f>solver_lhs3=ErrorLHS!$H$11</f>
        <v>#NAME?</v>
      </c>
      <c r="K8" t="e">
        <f>solver_num=3</f>
        <v>#NAME?</v>
      </c>
      <c r="L8" t="e">
        <f>solver_num=3</f>
        <v>#NAME?</v>
      </c>
      <c r="M8" t="e">
        <f>solver_num=3</f>
        <v>#NAME?</v>
      </c>
      <c r="N8" t="e">
        <f>solver_lhs2=MergedVarsOK!$H$11</f>
        <v>#NAME?</v>
      </c>
      <c r="O8" t="e">
        <f>solver_num=3</f>
        <v>#NAME?</v>
      </c>
      <c r="P8" t="e">
        <f>solver_lhs2=MergedRHS_OK!$H$11</f>
        <v>#NAME?</v>
      </c>
      <c r="Q8" t="e">
        <f>solver_lhs2=MergedLHS_OK!$H$11</f>
        <v>#NAME?</v>
      </c>
      <c r="R8" t="e">
        <f>solver_lhs3=MergedLHSMultiple_OK!$H$12</f>
        <v>#NAME?</v>
      </c>
      <c r="S8" t="e">
        <f>solver_lhs2=BinIntOverlap!$I$10</f>
        <v>#NAME?</v>
      </c>
      <c r="T8" t="e">
        <f>solver_lhs2=ConFormula!$I$11</f>
        <v>#NAME?</v>
      </c>
      <c r="U8" t="e">
        <f>solver_lhs3=ConFormulaInf!$I$12</f>
        <v>#NAME?</v>
      </c>
      <c r="V8" t="e">
        <f>solver_rel1=1</f>
        <v>#NAME?</v>
      </c>
      <c r="W8" t="e">
        <f>solver_lhs2='EscapeSheetName(1)+2-1'!$H$10</f>
        <v>#NAME?</v>
      </c>
      <c r="X8" t="e">
        <f>solver_lhs3=DeletedConRef!$H$12</f>
        <v>#NAME?</v>
      </c>
      <c r="Y8" t="e">
        <f>solver_num=3</f>
        <v>#NAME?</v>
      </c>
      <c r="Z8" t="e">
        <f>solver_lhs3=InfConstConstraint!$J$11</f>
        <v>#NAME?</v>
      </c>
      <c r="AA8" t="e">
        <f>solver_lhs2=FeasConstConstraint!$J$10</f>
        <v>#NAME?</v>
      </c>
      <c r="AB8" t="e">
        <f>solver_lhs2=Unbounded!$H$10</f>
        <v>#NAME?</v>
      </c>
      <c r="AC8" t="e">
        <f>solver_num=3</f>
        <v>#NAME?</v>
      </c>
      <c r="AD8" t="e">
        <f>solver_lhs2=IndirectLBs!$H$12</f>
        <v>#NAME?</v>
      </c>
      <c r="AE8" t="e">
        <f>solver_lhs2=DirectLBs!$D$4:$F$4</f>
        <v>#NAME?</v>
      </c>
      <c r="AF8" t="e">
        <f>solver_lhs2=SingleRangeLB!$D$4:$F$4</f>
        <v>#NAME?</v>
      </c>
      <c r="AG8" t="e">
        <f>solver_lhs2=BinLB!$D$5:$F$5</f>
        <v>#NAME?</v>
      </c>
      <c r="AH8" t="e">
        <f>solver_lhs2=BinIntLB!$D$5:$F$5</f>
        <v>#NAME?</v>
      </c>
      <c r="AI8" t="e">
        <f>solver_lhs2=Relaxation!$D$5:$F$5</f>
        <v>#NAME?</v>
      </c>
      <c r="AJ8" t="e">
        <f>solver_lhs2=LargeRangeLB!$D$6:$H$6</f>
        <v>#NAME?</v>
      </c>
      <c r="AK8" t="e">
        <f>solver_lhs2=OverlapRangeLB!$E$6:$H$6</f>
        <v>#NAME?</v>
      </c>
      <c r="AL8" t="e">
        <f>solver_lhs2=OverlapRangeLBwithFormula!$D$6:$H$6</f>
        <v>#NAME?</v>
      </c>
      <c r="AM8" t="e">
        <f>solver_lhs2=ConstFormulaRangeLB!$D$4:$F$4</f>
        <v>#NAME?</v>
      </c>
      <c r="AN8" t="e">
        <f>solver_lhs2=VariableFormulaRangeLB!$D$5:$F$5</f>
        <v>#NAME?</v>
      </c>
      <c r="AO8" t="e">
        <f>solver_neg=1</f>
        <v>#NAME?</v>
      </c>
      <c r="AP8" t="e">
        <f>solver_lhs2=ConstantLB!$D$5</f>
        <v>#NAME?</v>
      </c>
      <c r="AQ8" t="e">
        <f>solver_lhs2=FormulaLB!$D$5</f>
        <v>#NAME?</v>
      </c>
      <c r="AR8" t="e">
        <f>solver_lhs2=VarConstraintLB!$D$7</f>
        <v>#NAME?</v>
      </c>
      <c r="AS8" t="e">
        <f>solver_lhs2=FractionalCoeffs!$G$7</f>
        <v>#NAME?</v>
      </c>
      <c r="AT8" t="e">
        <f>solver_lhs2=ComplexLayout!$I$10</f>
        <v>#NAME?</v>
      </c>
      <c r="AU8" t="e">
        <f>solver_lhs2=InfModel!$H$11</f>
        <v>#NAME?</v>
      </c>
      <c r="AV8" t="e">
        <f>solver_lhs2=IterativeCalc!$H$11</f>
        <v>#NAME?</v>
      </c>
      <c r="AW8" t="e">
        <f>solver_lhs2=NoObj!$H$11</f>
        <v>#NAME?</v>
      </c>
      <c r="AX8" t="e">
        <f>solver_lhs1=SeekObj!$G$6</f>
        <v>#NAME?</v>
      </c>
      <c r="AY8" t="e">
        <f>solver_lhs2=DiffSheetObj!$G$7</f>
        <v>#NAME?</v>
      </c>
      <c r="AZ8" t="e">
        <f>solver_lhs2=NamedRanges!$I$9</f>
        <v>#NAME?</v>
      </c>
      <c r="BA8" t="e">
        <f>solver_lhs2=QuickSolve!$H$9:$H$10</f>
        <v>#NAME?</v>
      </c>
      <c r="BB8" t="e">
        <f>solver_lhs1=SolverParameters!$H$17:$H$18</f>
        <v>#NAME?</v>
      </c>
      <c r="BC8" t="e">
        <f>solver_itr=999999999</f>
        <v>#NAME?</v>
      </c>
      <c r="BD8" t="e">
        <f>solver_lhs1=SensitivityNames!$I$14:$I$16</f>
        <v>#NAME?</v>
      </c>
      <c r="BE8" t="e">
        <f>solver_lhs3=NonLinSimple!$H$10</f>
        <v>#NAME?</v>
      </c>
      <c r="BF8" t="e">
        <f>solver_lhs100=NonLinLarge!$H$74</f>
        <v>#NAME?</v>
      </c>
      <c r="BG8" t="e">
        <f>solver_lhs3=NonLinObj!$H$10</f>
        <v>#NAME?</v>
      </c>
      <c r="BH8" t="e">
        <f>solver_lhs3=NonLinPruning!$F$12:$F$18</f>
        <v>#NAME?</v>
      </c>
      <c r="BI8" t="e">
        <f>solver_neg=1</f>
        <v>#NAME?</v>
      </c>
      <c r="BJ8" t="e">
        <f>solver_num=1</f>
        <v>#NAME?</v>
      </c>
      <c r="BK8" t="e">
        <f>solver_neg=1</f>
        <v>#NAME?</v>
      </c>
      <c r="BL8" t="e">
        <f>solver_lhs3=NonLin!$J$43</f>
        <v>#NAME?</v>
      </c>
      <c r="BM8" t="e">
        <f>solver_num=1</f>
        <v>#NAME?</v>
      </c>
      <c r="BN8" t="e">
        <f>solver_neg=1</f>
        <v>#NAME?</v>
      </c>
      <c r="BP8" t="e">
        <f>solver_opt=NonLin5!$J$7</f>
        <v>#NAME?</v>
      </c>
      <c r="BQ8" t="e">
        <f>solver_lhs3=NonLin6!$D$8</f>
        <v>#NAME?</v>
      </c>
    </row>
    <row r="9" spans="1:71" x14ac:dyDescent="0.25">
      <c r="C9" t="e">
        <f>solver_lhs3=SimpleLP!$H$11</f>
        <v>#NAME?</v>
      </c>
      <c r="D9" t="e">
        <f>solver_neg=1</f>
        <v>#NAME?</v>
      </c>
      <c r="E9" t="e">
        <f>solver_lhs3=OverlappingVars!$H$11</f>
        <v>#NAME?</v>
      </c>
      <c r="F9" t="e">
        <f>solver_lhs3=BlankRHS!$H$11</f>
        <v>#NAME?</v>
      </c>
      <c r="G9" t="e">
        <f>solver_lhs3=BlankLHS!$H$11</f>
        <v>#NAME?</v>
      </c>
      <c r="H9" t="e">
        <f>solver_neg=1</f>
        <v>#NAME?</v>
      </c>
      <c r="I9" t="e">
        <f>solver_neg=1</f>
        <v>#NAME?</v>
      </c>
      <c r="J9" t="e">
        <f>solver_neg=1</f>
        <v>#NAME?</v>
      </c>
      <c r="K9" t="e">
        <f>solver_opt=ErrorObj!$H$6</f>
        <v>#NAME?</v>
      </c>
      <c r="L9" t="e">
        <f>solver_opt=TextObj!$H$6</f>
        <v>#NAME?</v>
      </c>
      <c r="M9" t="e">
        <f>solver_opt=MergedVarsSubset!$H$7</f>
        <v>#NAME?</v>
      </c>
      <c r="N9" t="e">
        <f>solver_lhs3=MergedVarsOK!$H$12</f>
        <v>#NAME?</v>
      </c>
      <c r="O9" t="e">
        <f>solver_opt=MergedVarsBad!$H$7</f>
        <v>#NAME?</v>
      </c>
      <c r="P9" t="e">
        <f>solver_lhs3=MergedRHS_OK!$H$12</f>
        <v>#NAME?</v>
      </c>
      <c r="Q9" t="e">
        <f>solver_lhs3=MergedLHS_OK!$H$12</f>
        <v>#NAME?</v>
      </c>
      <c r="R9" t="e">
        <f>solver_neg=1</f>
        <v>#NAME?</v>
      </c>
      <c r="S9" t="e">
        <f>solver_lhs3=BinIntOverlap!$I$11</f>
        <v>#NAME?</v>
      </c>
      <c r="T9" t="e">
        <f>solver_lhs3=ConFormula!$I$12</f>
        <v>#NAME?</v>
      </c>
      <c r="U9" t="e">
        <f>solver_lhs4=ConFormulaInf!$E$5:$F$5</f>
        <v>#NAME?</v>
      </c>
      <c r="V9" t="e">
        <f>solver_rhs1='BadName!'!$J$12</f>
        <v>#NAME?</v>
      </c>
      <c r="W9" t="e">
        <f>solver_lhs3='EscapeSheetName(1)+2-1'!$H$11</f>
        <v>#NAME?</v>
      </c>
      <c r="X9" t="e">
        <f>solver_lhs4=DeletedConRef!$K$1</f>
        <v>#NAME?</v>
      </c>
      <c r="Y9" t="e">
        <f>solver_opt=DeletedObjRef!#REF!</f>
        <v>#NAME?</v>
      </c>
      <c r="Z9" t="e">
        <f>solver_neg=1</f>
        <v>#NAME?</v>
      </c>
      <c r="AA9" t="e">
        <f>solver_lhs3=FeasConstConstraint!$J$11</f>
        <v>#NAME?</v>
      </c>
      <c r="AB9" t="e">
        <f>solver_lhs3=Unbounded!$H$11</f>
        <v>#NAME?</v>
      </c>
      <c r="AC9" t="e">
        <f>solver_opt=ProtectedSheet!$H$6</f>
        <v>#NAME?</v>
      </c>
      <c r="AD9" t="e">
        <f>solver_lhs3=IndirectLBs!$H$13</f>
        <v>#NAME?</v>
      </c>
      <c r="AE9" t="e">
        <f>solver_neg=1</f>
        <v>#NAME?</v>
      </c>
      <c r="AF9" t="e">
        <f>solver_neg=1</f>
        <v>#NAME?</v>
      </c>
      <c r="AG9" t="e">
        <f>solver_lhs3=BinLB!$F$5</f>
        <v>#NAME?</v>
      </c>
      <c r="AH9" t="e">
        <f>solver_lhs3=BinIntLB!$F$5</f>
        <v>#NAME?</v>
      </c>
      <c r="AI9" t="e">
        <f>solver_lhs3=Relaxation!$F$5</f>
        <v>#NAME?</v>
      </c>
      <c r="AJ9" t="e">
        <f>solver_neg=1</f>
        <v>#NAME?</v>
      </c>
      <c r="AK9" t="e">
        <f>solver_neg=1</f>
        <v>#NAME?</v>
      </c>
      <c r="AL9" t="e">
        <f>solver_neg=1</f>
        <v>#NAME?</v>
      </c>
      <c r="AM9" t="e">
        <f>solver_neg=1</f>
        <v>#NAME?</v>
      </c>
      <c r="AN9" t="e">
        <f>solver_neg=1</f>
        <v>#NAME?</v>
      </c>
      <c r="AO9" t="e">
        <f>solver_num=1</f>
        <v>#NAME?</v>
      </c>
      <c r="AP9" t="e">
        <f>solver_neg=1</f>
        <v>#NAME?</v>
      </c>
      <c r="AQ9" t="e">
        <f>solver_neg=1</f>
        <v>#NAME?</v>
      </c>
      <c r="AR9" t="e">
        <f>solver_neg=1</f>
        <v>#NAME?</v>
      </c>
      <c r="AS9" t="e">
        <f>solver_lhs3=FractionalCoeffs!$G$8:$G$9</f>
        <v>#NAME?</v>
      </c>
      <c r="AT9" t="e">
        <f>solver_lhs3=ComplexLayout!$I$11</f>
        <v>#NAME?</v>
      </c>
      <c r="AU9" t="e">
        <f>solver_lhs3=InfModel!$H$12</f>
        <v>#NAME?</v>
      </c>
      <c r="AV9" t="e">
        <f>solver_lhs3=IterativeCalc!$H$12</f>
        <v>#NAME?</v>
      </c>
      <c r="AW9" t="e">
        <f>solver_lhs3=NoObj!$H$12</f>
        <v>#NAME?</v>
      </c>
      <c r="AX9" t="e">
        <f>solver_lhs2=SeekObj!$G$7</f>
        <v>#NAME?</v>
      </c>
      <c r="AY9" t="e">
        <f>solver_lhs3=DiffSheetObj!$G$8:$G$9</f>
        <v>#NAME?</v>
      </c>
      <c r="AZ9" t="e">
        <f>solver_lhs3=NamedRanges!$I$10:$I$11</f>
        <v>#NAME?</v>
      </c>
      <c r="BA9" t="e">
        <f>solver_neg=1</f>
        <v>#NAME?</v>
      </c>
      <c r="BB9" t="e">
        <f>solver_lhs2=SolverParameters!$H$19</f>
        <v>#NAME?</v>
      </c>
      <c r="BC9" t="e">
        <f>solver_lhs1=Sensitivity!$G$8</f>
        <v>#NAME?</v>
      </c>
      <c r="BD9" t="e">
        <f>solver_lhs2=SensitivityNames!$D$17:$H$17</f>
        <v>#NAME?</v>
      </c>
      <c r="BE9" t="e">
        <f>solver_neg=1</f>
        <v>#NAME?</v>
      </c>
      <c r="BF9" t="e">
        <f>solver_lhs101=NonLinLarge!$H$75:$H$138</f>
        <v>#NAME?</v>
      </c>
      <c r="BG9" t="e">
        <f>solver_neg=1</f>
        <v>#NAME?</v>
      </c>
      <c r="BH9" t="e">
        <f>solver_neg=1</f>
        <v>#NAME?</v>
      </c>
      <c r="BI9" t="e">
        <f>solver_num=2</f>
        <v>#NAME?</v>
      </c>
      <c r="BJ9" t="e">
        <f>solver_opt=NonLinConstraints!$I$6</f>
        <v>#NAME?</v>
      </c>
      <c r="BK9" t="e">
        <f>solver_num=2</f>
        <v>#NAME?</v>
      </c>
      <c r="BL9" t="e">
        <f>solver_lhs4=NonLin!$J$44</f>
        <v>#NAME?</v>
      </c>
      <c r="BM9" t="e">
        <f>solver_opt=NonLin2!$F$4</f>
        <v>#NAME?</v>
      </c>
      <c r="BN9" t="e">
        <f>solver_num=2</f>
        <v>#NAME?</v>
      </c>
      <c r="BP9" t="e">
        <f>solver_rlx=0</f>
        <v>#NAME?</v>
      </c>
      <c r="BQ9" t="e">
        <f>solver_lhs4=NonLin6!$D$8</f>
        <v>#NAME?</v>
      </c>
    </row>
    <row r="10" spans="1:71" x14ac:dyDescent="0.25">
      <c r="C10" t="e">
        <f>solver_neg=1</f>
        <v>#NAME?</v>
      </c>
      <c r="D10" t="e">
        <f>solver_num=2</f>
        <v>#NAME?</v>
      </c>
      <c r="E10" t="e">
        <f>solver_neg=1</f>
        <v>#NAME?</v>
      </c>
      <c r="F10" t="e">
        <f>solver_neg=1</f>
        <v>#NAME?</v>
      </c>
      <c r="G10" t="e">
        <f>solver_neg=1</f>
        <v>#NAME?</v>
      </c>
      <c r="H10" t="e">
        <f>solver_num=3</f>
        <v>#NAME?</v>
      </c>
      <c r="I10" t="e">
        <f>solver_num=3</f>
        <v>#NAME?</v>
      </c>
      <c r="J10" t="e">
        <f>solver_num=3</f>
        <v>#NAME?</v>
      </c>
      <c r="K10" t="e">
        <f>solver_rel1=1</f>
        <v>#NAME?</v>
      </c>
      <c r="L10" t="e">
        <f>solver_rel1=1</f>
        <v>#NAME?</v>
      </c>
      <c r="M10" t="e">
        <f>solver_rel1=1</f>
        <v>#NAME?</v>
      </c>
      <c r="N10" t="e">
        <f>solver_neg=1</f>
        <v>#NAME?</v>
      </c>
      <c r="O10" t="e">
        <f>solver_rel1=1</f>
        <v>#NAME?</v>
      </c>
      <c r="P10" t="e">
        <f>solver_neg=1</f>
        <v>#NAME?</v>
      </c>
      <c r="Q10" t="e">
        <f>solver_neg=1</f>
        <v>#NAME?</v>
      </c>
      <c r="R10" t="e">
        <f>solver_num=3</f>
        <v>#NAME?</v>
      </c>
      <c r="S10" t="e">
        <f>solver_lhs4=BinIntOverlap!$E$4:$F$4</f>
        <v>#NAME?</v>
      </c>
      <c r="T10" t="e">
        <f>solver_lhs4=ConFormula!$E$5:$F$5</f>
        <v>#NAME?</v>
      </c>
      <c r="U10" t="e">
        <f>solver_lhs5=ConFormulaInf!$D$5:$F$5</f>
        <v>#NAME?</v>
      </c>
      <c r="W10" t="e">
        <f>solver_neg=1</f>
        <v>#NAME?</v>
      </c>
      <c r="X10" t="e">
        <f>solver_neg=1</f>
        <v>#NAME?</v>
      </c>
      <c r="Y10" t="e">
        <f>solver_rel1=1</f>
        <v>#NAME?</v>
      </c>
      <c r="Z10" t="e">
        <f>solver_num=3</f>
        <v>#NAME?</v>
      </c>
      <c r="AA10" t="e">
        <f>solver_neg=1</f>
        <v>#NAME?</v>
      </c>
      <c r="AB10" t="e">
        <f>solver_neg=0</f>
        <v>#NAME?</v>
      </c>
      <c r="AC10" t="e">
        <f>solver_rel1=1</f>
        <v>#NAME?</v>
      </c>
      <c r="AD10" t="e">
        <f>solver_lhs4=IndirectLBs!$D$5:$E$5</f>
        <v>#NAME?</v>
      </c>
      <c r="AE10" t="e">
        <f>solver_num=2</f>
        <v>#NAME?</v>
      </c>
      <c r="AF10" t="e">
        <f>solver_num=2</f>
        <v>#NAME?</v>
      </c>
      <c r="AG10" t="e">
        <f>solver_neg=1</f>
        <v>#NAME?</v>
      </c>
      <c r="AH10" t="e">
        <f>solver_lhs4=BinIntLB!$E$5:$F$5</f>
        <v>#NAME?</v>
      </c>
      <c r="AI10" t="e">
        <f>solver_lhs4=Relaxation!$E$5:$F$5</f>
        <v>#NAME?</v>
      </c>
      <c r="AJ10" t="e">
        <f>solver_num=2</f>
        <v>#NAME?</v>
      </c>
      <c r="AK10" t="e">
        <f>solver_num=2</f>
        <v>#NAME?</v>
      </c>
      <c r="AL10" t="e">
        <f>solver_num=2</f>
        <v>#NAME?</v>
      </c>
      <c r="AM10" t="e">
        <f>solver_num=2</f>
        <v>#NAME?</v>
      </c>
      <c r="AN10" t="e">
        <f>solver_num=2</f>
        <v>#NAME?</v>
      </c>
      <c r="AO10" t="e">
        <f>solver_opt=ConstraintLB!$H$9</f>
        <v>#NAME?</v>
      </c>
      <c r="AP10" t="e">
        <f>solver_num=2</f>
        <v>#NAME?</v>
      </c>
      <c r="AQ10" t="e">
        <f>solver_num=2</f>
        <v>#NAME?</v>
      </c>
      <c r="AR10" t="e">
        <f>solver_num=2</f>
        <v>#NAME?</v>
      </c>
      <c r="AS10" t="e">
        <f>solver_neg=1</f>
        <v>#NAME?</v>
      </c>
      <c r="AT10" t="e">
        <f>solver_lhs4=ComplexLayout!$E$4:$F$4</f>
        <v>#NAME?</v>
      </c>
      <c r="AU10" t="e">
        <f>solver_lhs4=InfModel!$D$5</f>
        <v>#NAME?</v>
      </c>
      <c r="AV10" t="e">
        <f>solver_neg=1</f>
        <v>#NAME?</v>
      </c>
      <c r="AW10" t="e">
        <f>solver_neg=1</f>
        <v>#NAME?</v>
      </c>
      <c r="AX10" t="e">
        <f>solver_lhs3=SeekObj!$G$8:$G$9</f>
        <v>#NAME?</v>
      </c>
      <c r="AY10" t="e">
        <f>solver_neg=1</f>
        <v>#NAME?</v>
      </c>
      <c r="AZ10" t="e">
        <f>solver_lhs4=NamedRanges!$I$12</f>
        <v>#NAME?</v>
      </c>
      <c r="BA10" t="e">
        <f>solver_num=2</f>
        <v>#NAME?</v>
      </c>
      <c r="BB10" t="e">
        <f>solver_lhs3=SolverParameters!$H$20</f>
        <v>#NAME?</v>
      </c>
      <c r="BC10" t="e">
        <f>solver_lhs2=Sensitivity!$G$9</f>
        <v>#NAME?</v>
      </c>
      <c r="BD10" t="e">
        <f>solver_lhs3=SensitivityNames!$J$24</f>
        <v>#NAME?</v>
      </c>
      <c r="BE10" t="e">
        <f>solver_num=3</f>
        <v>#NAME?</v>
      </c>
      <c r="BF10" t="e">
        <f>solver_lhs102=NonLinLarge!$H$139</f>
        <v>#NAME?</v>
      </c>
      <c r="BG10" t="e">
        <f>solver_num=3</f>
        <v>#NAME?</v>
      </c>
      <c r="BH10" t="e">
        <f>solver_num=3</f>
        <v>#NAME?</v>
      </c>
      <c r="BI10" t="e">
        <f>solver_opt=NonLinMinMax!$G$6</f>
        <v>#NAME?</v>
      </c>
      <c r="BJ10" t="e">
        <f>solver_rel1=1</f>
        <v>#NAME?</v>
      </c>
      <c r="BK10" t="e">
        <f>solver_opt=NonLinBinary!$C$6</f>
        <v>#NAME?</v>
      </c>
      <c r="BL10" t="e">
        <f>solver_lhs5=NonLin!$D$3:$D$35</f>
        <v>#NAME?</v>
      </c>
      <c r="BM10" t="e">
        <f>solver_rel1=3</f>
        <v>#NAME?</v>
      </c>
      <c r="BN10" t="e">
        <f>solver_opt=NonLin3!$S$13</f>
        <v>#NAME?</v>
      </c>
      <c r="BP10" t="e">
        <f>solver_sho=0</f>
        <v>#NAME?</v>
      </c>
      <c r="BQ10" t="e">
        <f>solver_neg=1</f>
        <v>#NAME?</v>
      </c>
    </row>
    <row r="11" spans="1:71" x14ac:dyDescent="0.25">
      <c r="C11" t="e">
        <f>solver_num=3</f>
        <v>#NAME?</v>
      </c>
      <c r="D11" t="e">
        <f>solver_opt=SimpleIP!$E$10</f>
        <v>#NAME?</v>
      </c>
      <c r="E11" t="e">
        <f>solver_num=3</f>
        <v>#NAME?</v>
      </c>
      <c r="F11" t="e">
        <f>solver_num=3</f>
        <v>#NAME?</v>
      </c>
      <c r="G11" t="e">
        <f>solver_num=3</f>
        <v>#NAME?</v>
      </c>
      <c r="H11" t="e">
        <f>solver_opt=TextRHS!$H$6</f>
        <v>#NAME?</v>
      </c>
      <c r="I11" t="e">
        <f>solver_opt=ErrorRHS!$H$6</f>
        <v>#NAME?</v>
      </c>
      <c r="J11" t="e">
        <f>solver_opt=ErrorLHS!$H$6</f>
        <v>#NAME?</v>
      </c>
      <c r="K11" t="e">
        <f>solver_rel2=3</f>
        <v>#NAME?</v>
      </c>
      <c r="L11" t="e">
        <f>solver_rel2=3</f>
        <v>#NAME?</v>
      </c>
      <c r="M11" t="e">
        <f>solver_rel2=3</f>
        <v>#NAME?</v>
      </c>
      <c r="N11" t="e">
        <f>solver_num=3</f>
        <v>#NAME?</v>
      </c>
      <c r="O11" t="e">
        <f>solver_rel2=3</f>
        <v>#NAME?</v>
      </c>
      <c r="P11" t="e">
        <f>solver_num=3</f>
        <v>#NAME?</v>
      </c>
      <c r="Q11" t="e">
        <f>solver_num=3</f>
        <v>#NAME?</v>
      </c>
      <c r="R11" t="e">
        <f>solver_opt=MergedLHSMultiple_OK!$H$7</f>
        <v>#NAME?</v>
      </c>
      <c r="S11" t="e">
        <f>solver_lhs5=BinIntOverlap!$D$4:$F$4</f>
        <v>#NAME?</v>
      </c>
      <c r="T11" t="e">
        <f>solver_lhs5=ConFormula!$D$5:$F$5</f>
        <v>#NAME?</v>
      </c>
      <c r="U11" t="e">
        <f>solver_lhs6=ConFormulaInf!$S$4:$S$5</f>
        <v>#NAME?</v>
      </c>
      <c r="W11" t="e">
        <f>solver_num=3</f>
        <v>#NAME?</v>
      </c>
      <c r="X11" t="e">
        <f>solver_num=4</f>
        <v>#NAME?</v>
      </c>
      <c r="Y11" t="e">
        <f>solver_rel2=3</f>
        <v>#NAME?</v>
      </c>
      <c r="Z11" t="e">
        <f>solver_opt=InfConstConstraint!$J$6</f>
        <v>#NAME?</v>
      </c>
      <c r="AA11" t="e">
        <f>solver_num=3</f>
        <v>#NAME?</v>
      </c>
      <c r="AB11" t="e">
        <f>solver_num=3</f>
        <v>#NAME?</v>
      </c>
      <c r="AC11" t="e">
        <f>solver_rel2=3</f>
        <v>#NAME?</v>
      </c>
      <c r="AD11" t="e">
        <f>solver_lhs5=IndirectLBs!$D$5</f>
        <v>#NAME?</v>
      </c>
      <c r="AE11" t="e">
        <f>solver_opt=DirectLBs!$H$8</f>
        <v>#NAME?</v>
      </c>
      <c r="AF11" t="e">
        <f>solver_opt=SingleRangeLB!$H$8</f>
        <v>#NAME?</v>
      </c>
      <c r="AG11" t="e">
        <f>solver_num=3</f>
        <v>#NAME?</v>
      </c>
      <c r="AH11" t="e">
        <f>solver_neg=1</f>
        <v>#NAME?</v>
      </c>
      <c r="AI11" t="e">
        <f>solver_neg=1</f>
        <v>#NAME?</v>
      </c>
      <c r="AJ11" t="e">
        <f>solver_opt=LargeRangeLB!$H$10</f>
        <v>#NAME?</v>
      </c>
      <c r="AK11" t="e">
        <f>solver_opt=OverlapRangeLB!$H$10</f>
        <v>#NAME?</v>
      </c>
      <c r="AL11" t="e">
        <f>solver_opt=OverlapRangeLBwithFormula!$H$10</f>
        <v>#NAME?</v>
      </c>
      <c r="AM11" t="e">
        <f>solver_opt=ConstFormulaRangeLB!$H$8</f>
        <v>#NAME?</v>
      </c>
      <c r="AN11" t="e">
        <f>solver_opt=VariableFormulaRangeLB!$H$9</f>
        <v>#NAME?</v>
      </c>
      <c r="AO11" t="e">
        <f>solver_rel1=3</f>
        <v>#NAME?</v>
      </c>
      <c r="AP11" t="e">
        <f>solver_opt=ConstantLB!$H$9</f>
        <v>#NAME?</v>
      </c>
      <c r="AQ11" t="e">
        <f>solver_opt=FormulaLB!$H$9</f>
        <v>#NAME?</v>
      </c>
      <c r="AR11" t="e">
        <f>solver_opt=VarConstraintLB!$H$9</f>
        <v>#NAME?</v>
      </c>
      <c r="AS11" t="e">
        <f>solver_num=3</f>
        <v>#NAME?</v>
      </c>
      <c r="AT11" t="e">
        <f>solver_lhs5=ComplexLayout!$D$4:$F$4</f>
        <v>#NAME?</v>
      </c>
      <c r="AU11" t="e">
        <f>solver_neg=1</f>
        <v>#NAME?</v>
      </c>
      <c r="AV11" t="e">
        <f>solver_num=3</f>
        <v>#NAME?</v>
      </c>
      <c r="AW11" t="e">
        <f>solver_num=3</f>
        <v>#NAME?</v>
      </c>
      <c r="AX11" t="e">
        <f>solver_neg=1</f>
        <v>#NAME?</v>
      </c>
      <c r="AY11" t="e">
        <f>solver_num=3</f>
        <v>#NAME?</v>
      </c>
      <c r="AZ11" t="e">
        <f>solver_neg=1</f>
        <v>#NAME?</v>
      </c>
      <c r="BA11" t="e">
        <f>solver_opt=QuickSolve!$H$6</f>
        <v>#NAME?</v>
      </c>
      <c r="BB11" t="e">
        <f>solver_neg=0</f>
        <v>#NAME?</v>
      </c>
      <c r="BC11" t="e">
        <f>solver_lhs3=Sensitivity!$G$10:$G$11</f>
        <v>#NAME?</v>
      </c>
      <c r="BD11" t="e">
        <f>solver_lhs4=SensitivityNames!$D$14:$H$16</f>
        <v>#NAME?</v>
      </c>
      <c r="BE11" t="e">
        <f>solver_opt=NonLinSimple!$H$5</f>
        <v>#NAME?</v>
      </c>
      <c r="BF11" t="e">
        <f>solver_lhs103=NonLinLarge!$H$7:$H$8</f>
        <v>#NAME?</v>
      </c>
      <c r="BG11" t="e">
        <f>solver_opt=NonLinObj!$H$5</f>
        <v>#NAME?</v>
      </c>
      <c r="BH11" t="e">
        <f>solver_opt=NonLinPruning!$F$6</f>
        <v>#NAME?</v>
      </c>
      <c r="BI11" t="e">
        <f>solver_rel1=1</f>
        <v>#NAME?</v>
      </c>
      <c r="BJ11" t="e">
        <f>solver_rhs1=NonLinConstraints!$K$7:$K$9</f>
        <v>#NAME?</v>
      </c>
      <c r="BK11" t="e">
        <f>solver_rel1=3</f>
        <v>#NAME?</v>
      </c>
      <c r="BL11" t="e">
        <f>solver_neg=1</f>
        <v>#NAME?</v>
      </c>
      <c r="BM11" t="e">
        <f>solver_rhs1=NonLin2!$G$6:$G$7</f>
        <v>#NAME?</v>
      </c>
      <c r="BN11" t="e">
        <f>solver_rel1=3</f>
        <v>#NAME?</v>
      </c>
      <c r="BP11" t="e">
        <f>solver_tim=999999999</f>
        <v>#NAME?</v>
      </c>
      <c r="BQ11" t="e">
        <f>solver_num=4</f>
        <v>#NAME?</v>
      </c>
    </row>
    <row r="12" spans="1:71" x14ac:dyDescent="0.25">
      <c r="C12" t="e">
        <f>solver_opt=SimpleLP!$H$6</f>
        <v>#NAME?</v>
      </c>
      <c r="D12" t="e">
        <f>solver_rel1=1</f>
        <v>#NAME?</v>
      </c>
      <c r="E12" t="e">
        <f>solver_opt=OverlappingVars!$H$6</f>
        <v>#NAME?</v>
      </c>
      <c r="F12" t="e">
        <f>solver_opt=BlankRHS!$H$6</f>
        <v>#NAME?</v>
      </c>
      <c r="G12" t="e">
        <f>solver_opt=BlankLHS!$H$6</f>
        <v>#NAME?</v>
      </c>
      <c r="H12" t="e">
        <f>solver_rel1=1</f>
        <v>#NAME?</v>
      </c>
      <c r="I12" t="e">
        <f>solver_rel1=1</f>
        <v>#NAME?</v>
      </c>
      <c r="J12" t="e">
        <f>solver_rel1=1</f>
        <v>#NAME?</v>
      </c>
      <c r="K12" t="e">
        <f>solver_rel3=2</f>
        <v>#NAME?</v>
      </c>
      <c r="L12" t="e">
        <f>solver_rel3=2</f>
        <v>#NAME?</v>
      </c>
      <c r="M12" t="e">
        <f>solver_rel3=2</f>
        <v>#NAME?</v>
      </c>
      <c r="N12" t="e">
        <f>solver_opt=MergedVarsOK!$H$7</f>
        <v>#NAME?</v>
      </c>
      <c r="O12" t="e">
        <f>solver_rel3=2</f>
        <v>#NAME?</v>
      </c>
      <c r="P12" t="e">
        <f>solver_opt=MergedRHS_OK!$H$7</f>
        <v>#NAME?</v>
      </c>
      <c r="Q12" t="e">
        <f>solver_opt=MergedLHS_OK!$H$7</f>
        <v>#NAME?</v>
      </c>
      <c r="R12" t="e">
        <f>solver_rel1=1</f>
        <v>#NAME?</v>
      </c>
      <c r="S12" t="e">
        <f>solver_neg=1</f>
        <v>#NAME?</v>
      </c>
      <c r="T12" t="e">
        <f>solver_lhs6=ConFormula!$S$4:$S$5</f>
        <v>#NAME?</v>
      </c>
      <c r="U12" t="e">
        <f>solver_lhs7=ConFormulaInf!$Q$6:$R$6</f>
        <v>#NAME?</v>
      </c>
      <c r="W12" t="e">
        <f>solver_opt='EscapeSheetName(1)+2-1'!$H$6</f>
        <v>#NAME?</v>
      </c>
      <c r="X12" t="e">
        <f>solver_opt=DeletedConRef!$H$7</f>
        <v>#NAME?</v>
      </c>
      <c r="Y12" t="e">
        <f>solver_rel3=1</f>
        <v>#NAME?</v>
      </c>
      <c r="Z12" t="e">
        <f>solver_rel1=1</f>
        <v>#NAME?</v>
      </c>
      <c r="AA12" t="e">
        <f>solver_opt=FeasConstConstraint!$J$6</f>
        <v>#NAME?</v>
      </c>
      <c r="AB12" t="e">
        <f>solver_opt=Unbounded!$H$6</f>
        <v>#NAME?</v>
      </c>
      <c r="AC12" t="e">
        <f>solver_rel3=2</f>
        <v>#NAME?</v>
      </c>
      <c r="AD12" t="e">
        <f>solver_neg=1</f>
        <v>#NAME?</v>
      </c>
      <c r="AE12" t="e">
        <f>solver_rel1=3</f>
        <v>#NAME?</v>
      </c>
      <c r="AF12" t="e">
        <f>solver_rel1=3</f>
        <v>#NAME?</v>
      </c>
      <c r="AG12" t="e">
        <f>solver_opt=BinLB!$H$9</f>
        <v>#NAME?</v>
      </c>
      <c r="AH12" t="e">
        <f>solver_num=4</f>
        <v>#NAME?</v>
      </c>
      <c r="AI12" t="e">
        <f>solver_num=4</f>
        <v>#NAME?</v>
      </c>
      <c r="AJ12" t="e">
        <f>solver_rel1=3</f>
        <v>#NAME?</v>
      </c>
      <c r="AK12" t="e">
        <f>solver_rel1=3</f>
        <v>#NAME?</v>
      </c>
      <c r="AL12" t="e">
        <f>solver_rel1=3</f>
        <v>#NAME?</v>
      </c>
      <c r="AM12" t="e">
        <f>solver_rel1=3</f>
        <v>#NAME?</v>
      </c>
      <c r="AN12" t="e">
        <f>solver_rel1=3</f>
        <v>#NAME?</v>
      </c>
      <c r="AO12" t="e">
        <f>solver_rhs1=ConstraintLB!$J$11:$J$13</f>
        <v>#NAME?</v>
      </c>
      <c r="AP12" t="e">
        <f>solver_rel1=3</f>
        <v>#NAME?</v>
      </c>
      <c r="AQ12" t="e">
        <f>solver_rel1=3</f>
        <v>#NAME?</v>
      </c>
      <c r="AR12" t="e">
        <f>solver_rel1=3</f>
        <v>#NAME?</v>
      </c>
      <c r="AS12" t="e">
        <f>solver_opt=FractionalCoeffs!$G$4</f>
        <v>#NAME?</v>
      </c>
      <c r="AT12" t="e">
        <f>solver_lhs6=ComplexLayout!$S$3:$S$4</f>
        <v>#NAME?</v>
      </c>
      <c r="AU12" t="e">
        <f>solver_num=4</f>
        <v>#NAME?</v>
      </c>
      <c r="AV12" t="e">
        <f>solver_opt=IterativeCalc!$H$7</f>
        <v>#NAME?</v>
      </c>
      <c r="AW12" t="e">
        <f>solver_rel1=1</f>
        <v>#NAME?</v>
      </c>
      <c r="AX12" t="e">
        <f>solver_num=3</f>
        <v>#NAME?</v>
      </c>
      <c r="AY12" t="e">
        <f>solver_opt=SeekObj!$G$17</f>
        <v>#NAME?</v>
      </c>
      <c r="AZ12" t="e">
        <f>solver_num=4</f>
        <v>#NAME?</v>
      </c>
      <c r="BA12" t="e">
        <f>solver_rel1=1</f>
        <v>#NAME?</v>
      </c>
      <c r="BB12" t="e">
        <f>solver_num=3</f>
        <v>#NAME?</v>
      </c>
      <c r="BC12" t="e">
        <f>solver_lhs4=Sensitivity!$G$20</f>
        <v>#NAME?</v>
      </c>
      <c r="BD12" t="e">
        <f>solver_neg=0</f>
        <v>#NAME?</v>
      </c>
      <c r="BE12" t="e">
        <f>solver_rel1=1</f>
        <v>#NAME?</v>
      </c>
      <c r="BF12" t="e">
        <f>solver_lhs104=NonLinLarge!$H$9:$H$72</f>
        <v>#NAME?</v>
      </c>
      <c r="BG12" t="e">
        <f>solver_rel1=1</f>
        <v>#NAME?</v>
      </c>
      <c r="BH12" t="e">
        <f>solver_pre=0.001</f>
        <v>#NAME?</v>
      </c>
      <c r="BI12" t="e">
        <f>solver_rel2=4</f>
        <v>#NAME?</v>
      </c>
      <c r="BJ12" t="e">
        <f>solver_rlx=0</f>
        <v>#NAME?</v>
      </c>
      <c r="BK12" t="e">
        <f>solver_rel2=5</f>
        <v>#NAME?</v>
      </c>
      <c r="BL12" t="e">
        <f>solver_num=5</f>
        <v>#NAME?</v>
      </c>
      <c r="BM12" t="e">
        <f>solver_rlx=0</f>
        <v>#NAME?</v>
      </c>
      <c r="BN12" t="e">
        <f>solver_rel2=1</f>
        <v>#NAME?</v>
      </c>
      <c r="BP12" t="e">
        <f>solver_tol=0.05</f>
        <v>#NAME?</v>
      </c>
      <c r="BQ12" t="e">
        <f>solver_opt=NonLin6!$F$15</f>
        <v>#NAME?</v>
      </c>
    </row>
    <row r="13" spans="1:71" x14ac:dyDescent="0.25">
      <c r="C13" t="e">
        <f>solver_rel1=1</f>
        <v>#NAME?</v>
      </c>
      <c r="D13" t="e">
        <f>solver_rel2=5</f>
        <v>#NAME?</v>
      </c>
      <c r="E13" t="e">
        <f>solver_rel1=1</f>
        <v>#NAME?</v>
      </c>
      <c r="F13" t="e">
        <f>solver_rel1=1</f>
        <v>#NAME?</v>
      </c>
      <c r="G13" t="e">
        <f>solver_rel1=1</f>
        <v>#NAME?</v>
      </c>
      <c r="H13" t="e">
        <f>solver_rel2=3</f>
        <v>#NAME?</v>
      </c>
      <c r="I13" t="e">
        <f>solver_rel2=3</f>
        <v>#NAME?</v>
      </c>
      <c r="J13" t="e">
        <f>solver_rel2=3</f>
        <v>#NAME?</v>
      </c>
      <c r="K13" t="e">
        <f>solver_rhs1=ErrorObj!$J$8:$J$9</f>
        <v>#NAME?</v>
      </c>
      <c r="L13" t="e">
        <f>solver_rhs1=TextObj!$J$8:$J$9</f>
        <v>#NAME?</v>
      </c>
      <c r="M13" t="e">
        <f>solver_rhs1=MergedVarsSubset!$J$9:$J$10</f>
        <v>#NAME?</v>
      </c>
      <c r="N13" t="e">
        <f>solver_rel1=1</f>
        <v>#NAME?</v>
      </c>
      <c r="O13" t="e">
        <f>solver_rhs1=MergedVarsBad!$J$9:$J$10</f>
        <v>#NAME?</v>
      </c>
      <c r="P13" t="e">
        <f>solver_rel1=1</f>
        <v>#NAME?</v>
      </c>
      <c r="Q13" t="e">
        <f>solver_rel1=1</f>
        <v>#NAME?</v>
      </c>
      <c r="R13" t="e">
        <f>solver_rel2=3</f>
        <v>#NAME?</v>
      </c>
      <c r="S13" t="e">
        <f>solver_num=5</f>
        <v>#NAME?</v>
      </c>
      <c r="T13" t="e">
        <f>solver_lhs7=ConFormula!$Q$6:$R$6</f>
        <v>#NAME?</v>
      </c>
      <c r="U13" t="e">
        <f>solver_lhs8=ConFormulaInf!$I$10</f>
        <v>#NAME?</v>
      </c>
      <c r="W13" t="e">
        <f>solver_rel1=1</f>
        <v>#NAME?</v>
      </c>
      <c r="X13" t="e">
        <f>solver_rel1=1</f>
        <v>#NAME?</v>
      </c>
      <c r="Y13" t="e">
        <f>solver_rhs1=DeletedObjRef!$J$9:$J$10</f>
        <v>#NAME?</v>
      </c>
      <c r="Z13" t="e">
        <f>solver_rel2=3</f>
        <v>#NAME?</v>
      </c>
      <c r="AA13" t="e">
        <f>solver_rel1=1</f>
        <v>#NAME?</v>
      </c>
      <c r="AB13" t="e">
        <f>solver_rel1=1</f>
        <v>#NAME?</v>
      </c>
      <c r="AC13" t="e">
        <f>solver_rhs1=ProtectedSheet!$J$8:$J$9</f>
        <v>#NAME?</v>
      </c>
      <c r="AD13" t="e">
        <f>solver_num=5</f>
        <v>#NAME?</v>
      </c>
      <c r="AE13" t="e">
        <f>solver_rel2=3</f>
        <v>#NAME?</v>
      </c>
      <c r="AF13" t="e">
        <f>solver_rel2=3</f>
        <v>#NAME?</v>
      </c>
      <c r="AG13" t="e">
        <f>solver_rel1=3</f>
        <v>#NAME?</v>
      </c>
      <c r="AH13" t="e">
        <f>solver_opt=BinIntLB!$H$9</f>
        <v>#NAME?</v>
      </c>
      <c r="AI13" t="e">
        <f>solver_opt=Relaxation!$H$9</f>
        <v>#NAME?</v>
      </c>
      <c r="AJ13" t="e">
        <f>solver_rel2=3</f>
        <v>#NAME?</v>
      </c>
      <c r="AK13" t="e">
        <f>solver_rel2=3</f>
        <v>#NAME?</v>
      </c>
      <c r="AL13" t="e">
        <f>solver_rel2=3</f>
        <v>#NAME?</v>
      </c>
      <c r="AM13" t="e">
        <f>solver_rel2=3</f>
        <v>#NAME?</v>
      </c>
      <c r="AN13" t="e">
        <f>solver_rel2=3</f>
        <v>#NAME?</v>
      </c>
      <c r="AO13" t="e">
        <f>solver_rlx=0</f>
        <v>#NAME?</v>
      </c>
      <c r="AP13" t="e">
        <f>solver_rel2=3</f>
        <v>#NAME?</v>
      </c>
      <c r="AQ13" t="e">
        <f>solver_rel2=3</f>
        <v>#NAME?</v>
      </c>
      <c r="AR13" t="e">
        <f>solver_rel2=1</f>
        <v>#NAME?</v>
      </c>
      <c r="AS13" t="e">
        <f>solver_rel1=2</f>
        <v>#NAME?</v>
      </c>
      <c r="AT13" t="e">
        <f>solver_lhs7=ComplexLayout!$Q$5:$R$5</f>
        <v>#NAME?</v>
      </c>
      <c r="AU13" t="e">
        <f>solver_opt=InfModel!$H$7</f>
        <v>#NAME?</v>
      </c>
      <c r="AV13" t="e">
        <f>solver_rel1=1</f>
        <v>#NAME?</v>
      </c>
      <c r="AW13" t="e">
        <f>solver_rel2=3</f>
        <v>#NAME?</v>
      </c>
      <c r="AX13" t="e">
        <f>solver_opt=SeekObj!$G$4</f>
        <v>#NAME?</v>
      </c>
      <c r="AY13" t="e">
        <f>solver_rel1=2</f>
        <v>#NAME?</v>
      </c>
      <c r="AZ13" t="e">
        <f>solver_opt=NamedRanges!$I$6</f>
        <v>#NAME?</v>
      </c>
      <c r="BA13" t="e">
        <f>solver_rel2=3</f>
        <v>#NAME?</v>
      </c>
      <c r="BB13" t="e">
        <f>solver_opt=SolverParameters!$H$15</f>
        <v>#NAME?</v>
      </c>
      <c r="BC13" t="e">
        <f>solver_neg=1</f>
        <v>#NAME?</v>
      </c>
      <c r="BD13" t="e">
        <f>solver_num=4</f>
        <v>#NAME?</v>
      </c>
      <c r="BE13" t="e">
        <f>solver_rel2=3</f>
        <v>#NAME?</v>
      </c>
      <c r="BF13" t="e">
        <f>solver_lhs105=NonLinLarge!$H$73</f>
        <v>#NAME?</v>
      </c>
      <c r="BG13" t="e">
        <f>solver_rel2=3</f>
        <v>#NAME?</v>
      </c>
      <c r="BH13" t="e">
        <f>solver_rel1=1</f>
        <v>#NAME?</v>
      </c>
      <c r="BI13" t="e">
        <f>solver_rhs1=NonLinMinMax!$I$8</f>
        <v>#NAME?</v>
      </c>
      <c r="BJ13" t="e">
        <f>solver_sho=0</f>
        <v>#NAME?</v>
      </c>
      <c r="BK13" t="e">
        <f>solver_rhs1=NonLinBinary!$G$8:$G$9</f>
        <v>#NAME?</v>
      </c>
      <c r="BL13" t="e">
        <f>solver_opt=NonLin!$I$39</f>
        <v>#NAME?</v>
      </c>
      <c r="BM13" t="e">
        <f>solver_sho=0</f>
        <v>#NAME?</v>
      </c>
      <c r="BN13" t="e">
        <f>solver_rhs1=NonLin3!$Q$10:$Q$11</f>
        <v>#NAME?</v>
      </c>
      <c r="BP13" t="e">
        <f>solver_typ=2</f>
        <v>#NAME?</v>
      </c>
      <c r="BQ13" t="e">
        <f>solver_rel1=3</f>
        <v>#NAME?</v>
      </c>
    </row>
    <row r="14" spans="1:71" x14ac:dyDescent="0.25">
      <c r="C14" t="e">
        <f>solver_rel2=3</f>
        <v>#NAME?</v>
      </c>
      <c r="D14" t="e">
        <f>solver_rhs1=SimpleIP!$C$10</f>
        <v>#NAME?</v>
      </c>
      <c r="E14" t="e">
        <f>solver_rel2=3</f>
        <v>#NAME?</v>
      </c>
      <c r="F14" t="e">
        <f>solver_rel2=3</f>
        <v>#NAME?</v>
      </c>
      <c r="G14" t="e">
        <f>solver_rel2=3</f>
        <v>#NAME?</v>
      </c>
      <c r="H14" t="e">
        <f>solver_rel3=2</f>
        <v>#NAME?</v>
      </c>
      <c r="I14" t="e">
        <f>solver_rel3=2</f>
        <v>#NAME?</v>
      </c>
      <c r="J14" t="e">
        <f>solver_rel3=2</f>
        <v>#NAME?</v>
      </c>
      <c r="K14" t="e">
        <f>solver_rhs2=ErrorObj!$J$10</f>
        <v>#NAME?</v>
      </c>
      <c r="L14" t="e">
        <f>solver_rhs2=TextObj!$J$10</f>
        <v>#NAME?</v>
      </c>
      <c r="M14" t="e">
        <f>solver_rhs2=MergedVarsSubset!$J$11</f>
        <v>#NAME?</v>
      </c>
      <c r="N14" t="e">
        <f>solver_rel2=3</f>
        <v>#NAME?</v>
      </c>
      <c r="O14" t="e">
        <f>solver_rhs2=MergedVarsBad!$J$11</f>
        <v>#NAME?</v>
      </c>
      <c r="P14" t="e">
        <f>solver_rel2=3</f>
        <v>#NAME?</v>
      </c>
      <c r="Q14" t="e">
        <f>solver_rel2=3</f>
        <v>#NAME?</v>
      </c>
      <c r="R14" t="e">
        <f>solver_rel3=2</f>
        <v>#NAME?</v>
      </c>
      <c r="S14" t="e">
        <f>solver_opt=BinIntOverlap!$I$6</f>
        <v>#NAME?</v>
      </c>
      <c r="T14" t="e">
        <f>solver_lhs8=ConFormula!$I$10</f>
        <v>#NAME?</v>
      </c>
      <c r="U14" t="e">
        <f>solver_lhs9=ConFormulaInf!$I$14</f>
        <v>#NAME?</v>
      </c>
      <c r="W14" t="e">
        <f>solver_rel2=3</f>
        <v>#NAME?</v>
      </c>
      <c r="X14" t="e">
        <f>solver_rel2=3</f>
        <v>#NAME?</v>
      </c>
      <c r="Y14" t="e">
        <f>solver_rhs2=DeletedObjRef!$J$11</f>
        <v>#NAME?</v>
      </c>
      <c r="Z14" t="e">
        <f>solver_rel3=2</f>
        <v>#NAME?</v>
      </c>
      <c r="AA14" t="e">
        <f>solver_rel2=3</f>
        <v>#NAME?</v>
      </c>
      <c r="AB14" t="e">
        <f>solver_rel2=3</f>
        <v>#NAME?</v>
      </c>
      <c r="AC14" t="e">
        <f>solver_rhs2=ProtectedSheet!$J$10</f>
        <v>#NAME?</v>
      </c>
      <c r="AD14" t="e">
        <f>solver_opt=IndirectLBs!$H$8</f>
        <v>#NAME?</v>
      </c>
      <c r="AE14" t="e">
        <f>solver_rhs1=DirectLBs!$J$10:$J$12</f>
        <v>#NAME?</v>
      </c>
      <c r="AF14" t="e">
        <f>solver_rhs1=SingleRangeLB!$J$10:$J$12</f>
        <v>#NAME?</v>
      </c>
      <c r="AG14" t="e">
        <f>solver_rel2=3</f>
        <v>#NAME?</v>
      </c>
      <c r="AH14" t="e">
        <f>solver_rel1=3</f>
        <v>#NAME?</v>
      </c>
      <c r="AI14" t="e">
        <f>solver_rel1=3</f>
        <v>#NAME?</v>
      </c>
      <c r="AJ14" t="e">
        <f>solver_rhs1=LargeRangeLB!$J$12:$J$14</f>
        <v>#NAME?</v>
      </c>
      <c r="AK14" t="e">
        <f>solver_rhs1=OverlapRangeLB!$J$12:$J$14</f>
        <v>#NAME?</v>
      </c>
      <c r="AL14" t="e">
        <f>solver_rhs1=OverlapRangeLBwithFormula!$J$12:$J$14</f>
        <v>#NAME?</v>
      </c>
      <c r="AM14" t="e">
        <f>solver_rhs1=ConstFormulaRangeLB!$J$10:$J$12</f>
        <v>#NAME?</v>
      </c>
      <c r="AN14" t="e">
        <f>solver_rhs1=VariableFormulaRangeLB!$J$11:$J$13</f>
        <v>#NAME?</v>
      </c>
      <c r="AO14" t="e">
        <f>solver_sho=0</f>
        <v>#NAME?</v>
      </c>
      <c r="AP14" t="e">
        <f>solver_rhs1=ConstantLB!$J$11:$J$13</f>
        <v>#NAME?</v>
      </c>
      <c r="AQ14" t="e">
        <f>solver_rhs1=FormulaLB!$J$11:$J$13</f>
        <v>#NAME?</v>
      </c>
      <c r="AR14" t="e">
        <f>solver_rhs1=VarConstraintLB!$J$11:$J$13</f>
        <v>#NAME?</v>
      </c>
      <c r="AS14" t="e">
        <f>solver_rel2=3</f>
        <v>#NAME?</v>
      </c>
      <c r="AT14" t="e">
        <f>solver_neg=1</f>
        <v>#NAME?</v>
      </c>
      <c r="AU14" t="e">
        <f>solver_rel1=1</f>
        <v>#NAME?</v>
      </c>
      <c r="AV14" t="e">
        <f>solver_rel2=3</f>
        <v>#NAME?</v>
      </c>
      <c r="AW14" t="e">
        <f>solver_rel3=2</f>
        <v>#NAME?</v>
      </c>
      <c r="AX14" t="e">
        <f>solver_rel1=2</f>
        <v>#NAME?</v>
      </c>
      <c r="AY14" t="e">
        <f>solver_rel2=3</f>
        <v>#NAME?</v>
      </c>
      <c r="AZ14" t="e">
        <f>solver_rel1=1</f>
        <v>#NAME?</v>
      </c>
      <c r="BA14" t="e">
        <f>solver_rhs1=QuickSolve!$J$8</f>
        <v>#NAME?</v>
      </c>
      <c r="BB14" t="e">
        <f>solver_rel1=1</f>
        <v>#NAME?</v>
      </c>
      <c r="BC14" t="e">
        <f>solver_num=4</f>
        <v>#NAME?</v>
      </c>
      <c r="BD14" t="e">
        <f>solver_opt=SensitivityNames!$D$20</f>
        <v>#NAME?</v>
      </c>
      <c r="BE14" t="e">
        <f>solver_rel3=2</f>
        <v>#NAME?</v>
      </c>
      <c r="BF14" t="e">
        <f>solver_lhs106=NonLinLarge!$H$74</f>
        <v>#NAME?</v>
      </c>
      <c r="BG14" t="e">
        <f>solver_rel3=2</f>
        <v>#NAME?</v>
      </c>
      <c r="BH14" t="e">
        <f>solver_rel2=3</f>
        <v>#NAME?</v>
      </c>
      <c r="BI14" t="e">
        <f>solver_rhs2=integer</f>
        <v>#NAME?</v>
      </c>
      <c r="BJ14" t="e">
        <f>solver_tim=999999999</f>
        <v>#NAME?</v>
      </c>
      <c r="BK14" t="e">
        <f>solver_rhs2=binary</f>
        <v>#NAME?</v>
      </c>
      <c r="BL14" t="e">
        <f>solver_rel1=3</f>
        <v>#NAME?</v>
      </c>
      <c r="BM14" t="e">
        <f>solver_tim=999999999</f>
        <v>#NAME?</v>
      </c>
      <c r="BN14" t="e">
        <f>solver_rhs2=NonLin3!$U$10:$U$11</f>
        <v>#NAME?</v>
      </c>
      <c r="BP14" t="e">
        <f>solver_val=0</f>
        <v>#NAME?</v>
      </c>
      <c r="BQ14" t="e">
        <f>solver_rel2=1</f>
        <v>#NAME?</v>
      </c>
    </row>
    <row r="15" spans="1:71" x14ac:dyDescent="0.25">
      <c r="C15" t="e">
        <f>solver_rel3=2</f>
        <v>#NAME?</v>
      </c>
      <c r="D15" t="e">
        <f>solver_rhs2=binary</f>
        <v>#NAME?</v>
      </c>
      <c r="E15" t="e">
        <f>solver_rel3=2</f>
        <v>#NAME?</v>
      </c>
      <c r="F15" t="e">
        <f>solver_rel3=2</f>
        <v>#NAME?</v>
      </c>
      <c r="G15" t="e">
        <f>solver_rel3=2</f>
        <v>#NAME?</v>
      </c>
      <c r="H15" t="e">
        <f>solver_rhs1=TextRHS!$J$8:$J$9</f>
        <v>#NAME?</v>
      </c>
      <c r="I15" t="e">
        <f>solver_rhs1=ErrorRHS!$J$8:$J$9</f>
        <v>#NAME?</v>
      </c>
      <c r="J15" t="e">
        <f>solver_rhs1=ErrorLHS!$J$8:$J$9</f>
        <v>#NAME?</v>
      </c>
      <c r="K15" t="e">
        <f>solver_rhs3=ErrorObj!$J$11</f>
        <v>#NAME?</v>
      </c>
      <c r="L15" t="e">
        <f>solver_rhs3=TextObj!$J$11</f>
        <v>#NAME?</v>
      </c>
      <c r="M15" t="e">
        <f>solver_rhs3=MergedVarsSubset!$J$12</f>
        <v>#NAME?</v>
      </c>
      <c r="N15" t="e">
        <f>solver_rel3=2</f>
        <v>#NAME?</v>
      </c>
      <c r="O15" t="e">
        <f>solver_rhs3=MergedVarsBad!$J$12</f>
        <v>#NAME?</v>
      </c>
      <c r="P15" t="e">
        <f>solver_rel3=2</f>
        <v>#NAME?</v>
      </c>
      <c r="Q15" t="e">
        <f>solver_rel3=2</f>
        <v>#NAME?</v>
      </c>
      <c r="R15" t="e">
        <f>solver_rhs1=MergedLHSMultiple_OK!$J$9:$J$10</f>
        <v>#NAME?</v>
      </c>
      <c r="S15" t="e">
        <f>solver_rel1=1</f>
        <v>#NAME?</v>
      </c>
      <c r="T15" t="e">
        <f>solver_neg=1</f>
        <v>#NAME?</v>
      </c>
      <c r="U15" t="e">
        <f>solver_neg=1</f>
        <v>#NAME?</v>
      </c>
      <c r="W15" t="e">
        <f>solver_rel3=2</f>
        <v>#NAME?</v>
      </c>
      <c r="X15" t="e">
        <f>solver_rel3=1</f>
        <v>#NAME?</v>
      </c>
      <c r="Y15" t="e">
        <f>solver_rhs3=DeletedObjRef!$J$12</f>
        <v>#NAME?</v>
      </c>
      <c r="Z15" t="e">
        <f>solver_rhs1=InfConstConstraint!$L$8:$L$9</f>
        <v>#NAME?</v>
      </c>
      <c r="AA15" t="e">
        <f>solver_rel3=3</f>
        <v>#NAME?</v>
      </c>
      <c r="AB15" t="e">
        <f>solver_rel3=2</f>
        <v>#NAME?</v>
      </c>
      <c r="AC15" t="e">
        <f>solver_rhs3=ProtectedSheet!$J$11</f>
        <v>#NAME?</v>
      </c>
      <c r="AD15" t="e">
        <f>solver_rel1=1</f>
        <v>#NAME?</v>
      </c>
      <c r="AE15" t="e">
        <f>solver_rhs2=DirectLBs!$D$6:$F$6</f>
        <v>#NAME?</v>
      </c>
      <c r="AF15" t="e">
        <f>solver_rhs2=-2</f>
        <v>#NAME?</v>
      </c>
      <c r="AG15" t="e">
        <f>solver_rel3=5</f>
        <v>#NAME?</v>
      </c>
      <c r="AH15" t="e">
        <f>solver_rel2=3</f>
        <v>#NAME?</v>
      </c>
      <c r="AI15" t="e">
        <f>solver_rel2=3</f>
        <v>#NAME?</v>
      </c>
      <c r="AJ15" t="e">
        <f>solver_rhs2=LargeRangeLB!$D$8:$H$8</f>
        <v>#NAME?</v>
      </c>
      <c r="AK15" t="e">
        <f>solver_rhs2=OverlapRangeLB!$E$8:$H$8</f>
        <v>#NAME?</v>
      </c>
      <c r="AL15" t="e">
        <f>solver_rhs2=OverlapRangeLBwithFormula!$D$8:$H$8</f>
        <v>#NAME?</v>
      </c>
      <c r="AM15" t="e">
        <f>solver_rhs2=ConstFormulaRangeLB!$D$6:$F$6</f>
        <v>#NAME?</v>
      </c>
      <c r="AN15" t="e">
        <f>solver_rhs2=VariableFormulaRangeLB!$D$7:$F$7</f>
        <v>#NAME?</v>
      </c>
      <c r="AO15" t="e">
        <f>solver_tim=999999999</f>
        <v>#NAME?</v>
      </c>
      <c r="AP15" t="e">
        <f>solver_rhs2=-10</f>
        <v>#NAME?</v>
      </c>
      <c r="AQ15" t="e">
        <f>solver_rhs2=-10*2</f>
        <v>#NAME?</v>
      </c>
      <c r="AR15" t="e">
        <f>solver_rhs2=VarConstraintLB!$D$5</f>
        <v>#NAME?</v>
      </c>
      <c r="AS15" t="e">
        <f>solver_rel3=1</f>
        <v>#NAME?</v>
      </c>
      <c r="AT15" t="e">
        <f>solver_num=7</f>
        <v>#NAME?</v>
      </c>
      <c r="AU15" t="e">
        <f>solver_rel2=3</f>
        <v>#NAME?</v>
      </c>
      <c r="AV15" t="e">
        <f>solver_rel3=2</f>
        <v>#NAME?</v>
      </c>
      <c r="AW15" t="e">
        <f>solver_rhs1=NoObj!$J$9:$J$10</f>
        <v>#NAME?</v>
      </c>
      <c r="AX15" t="e">
        <f>solver_rel2=3</f>
        <v>#NAME?</v>
      </c>
      <c r="AY15" t="e">
        <f>solver_rel3=1</f>
        <v>#NAME?</v>
      </c>
      <c r="AZ15" t="e">
        <f>solver_rel2=3</f>
        <v>#NAME?</v>
      </c>
      <c r="BA15" t="e">
        <f>solver_rhs2=QuickSolve!$J$9:$J$10</f>
        <v>#NAME?</v>
      </c>
      <c r="BB15" t="e">
        <f>solver_rel2=3</f>
        <v>#NAME?</v>
      </c>
      <c r="BC15" t="e">
        <f>solver_opt=Sensitivity!$G$6</f>
        <v>#NAME?</v>
      </c>
      <c r="BD15" t="e">
        <f>solver_pre=0.0001</f>
        <v>#NAME?</v>
      </c>
      <c r="BE15" t="e">
        <f>solver_rhs1=NonLinSimple!$J$7:$J$8</f>
        <v>#NAME?</v>
      </c>
      <c r="BF15" t="e">
        <f>solver_lhs107=NonLinLarge!$H$75:$H$138</f>
        <v>#NAME?</v>
      </c>
      <c r="BG15" t="e">
        <f>solver_rhs1=NonLinObj!$J$7:$J$8</f>
        <v>#NAME?</v>
      </c>
      <c r="BH15" t="e">
        <f>solver_rel3=1</f>
        <v>#NAME?</v>
      </c>
      <c r="BI15" t="e">
        <f>solver_rlx=0</f>
        <v>#NAME?</v>
      </c>
      <c r="BJ15" t="e">
        <f>solver_tol=0.05</f>
        <v>#NAME?</v>
      </c>
      <c r="BK15" t="e">
        <f>solver_rlx=0</f>
        <v>#NAME?</v>
      </c>
      <c r="BL15" t="e">
        <f>solver_rel2=1</f>
        <v>#NAME?</v>
      </c>
      <c r="BM15" t="e">
        <f>solver_tol=0.05</f>
        <v>#NAME?</v>
      </c>
      <c r="BN15" t="e">
        <f>solver_rlx=0</f>
        <v>#NAME?</v>
      </c>
      <c r="BQ15" t="e">
        <f>solver_rel3=3</f>
        <v>#NAME?</v>
      </c>
    </row>
    <row r="16" spans="1:71" x14ac:dyDescent="0.25">
      <c r="C16" t="e">
        <f>solver_rhs1=SimpleLP!$J$8:$J$9</f>
        <v>#NAME?</v>
      </c>
      <c r="D16" t="e">
        <f>solver_rlx=0</f>
        <v>#NAME?</v>
      </c>
      <c r="E16" t="e">
        <f>solver_rhs1=OverlappingVars!$J$8:$J$9</f>
        <v>#NAME?</v>
      </c>
      <c r="F16" t="e">
        <f>solver_rhs1=BlankRHS!$J$8:$J$9</f>
        <v>#NAME?</v>
      </c>
      <c r="G16" t="e">
        <f>solver_rhs1=BlankLHS!$J$8:$J$9</f>
        <v>#NAME?</v>
      </c>
      <c r="H16" t="e">
        <f>solver_rhs2=TextRHS!$J$10</f>
        <v>#NAME?</v>
      </c>
      <c r="I16" t="e">
        <f>solver_rhs2=ErrorRHS!$J$10</f>
        <v>#NAME?</v>
      </c>
      <c r="J16" t="e">
        <f>solver_rhs2=ErrorLHS!$J$10</f>
        <v>#NAME?</v>
      </c>
      <c r="K16" t="e">
        <f>solver_typ=2</f>
        <v>#NAME?</v>
      </c>
      <c r="L16" t="e">
        <f>solver_typ=2</f>
        <v>#NAME?</v>
      </c>
      <c r="N16" t="e">
        <f>solver_rhs1=MergedVarsOK!$J$9:$J$10</f>
        <v>#NAME?</v>
      </c>
      <c r="P16" t="e">
        <f>solver_rhs1=MergedRHS_OK!$J$9:$J$10</f>
        <v>#NAME?</v>
      </c>
      <c r="Q16" t="e">
        <f>solver_rhs1=MergedLHS_OK!$J$9:$J$10</f>
        <v>#NAME?</v>
      </c>
      <c r="R16" t="e">
        <f>solver_rhs2=MergedLHSMultiple_OK!$J$11</f>
        <v>#NAME?</v>
      </c>
      <c r="S16" t="e">
        <f>solver_rel2=3</f>
        <v>#NAME?</v>
      </c>
      <c r="T16" t="e">
        <f>solver_num=8</f>
        <v>#NAME?</v>
      </c>
      <c r="U16" t="e">
        <f>solver_num=9</f>
        <v>#NAME?</v>
      </c>
      <c r="W16" t="e">
        <f>solver_rhs1='EscapeSheetName(1)+2-1'!$J$8:$J$9</f>
        <v>#NAME?</v>
      </c>
      <c r="X16" t="e">
        <f>solver_rel4=1</f>
        <v>#NAME?</v>
      </c>
      <c r="Y16" t="e">
        <f>solver_typ=2</f>
        <v>#NAME?</v>
      </c>
      <c r="Z16" t="e">
        <f>solver_rhs2=InfConstConstraint!$L$10</f>
        <v>#NAME?</v>
      </c>
      <c r="AA16" t="e">
        <f>solver_rhs1=FeasConstConstraint!$L$8:$L$9</f>
        <v>#NAME?</v>
      </c>
      <c r="AB16" t="e">
        <f>solver_rhs1=Unbounded!$J$8:$J$9</f>
        <v>#NAME?</v>
      </c>
      <c r="AD16" t="e">
        <f>solver_rel2=3</f>
        <v>#NAME?</v>
      </c>
      <c r="AE16" t="e">
        <f>solver_rlx=0</f>
        <v>#NAME?</v>
      </c>
      <c r="AF16" t="e">
        <f>solver_rlx=0</f>
        <v>#NAME?</v>
      </c>
      <c r="AG16" t="e">
        <f>solver_rhs1=BinLB!$J$11:$J$13</f>
        <v>#NAME?</v>
      </c>
      <c r="AH16" t="e">
        <f>solver_rel3=5</f>
        <v>#NAME?</v>
      </c>
      <c r="AI16" t="e">
        <f>solver_rel3=5</f>
        <v>#NAME?</v>
      </c>
      <c r="AJ16" t="e">
        <f>solver_rlx=0</f>
        <v>#NAME?</v>
      </c>
      <c r="AK16" t="e">
        <f>solver_rlx=0</f>
        <v>#NAME?</v>
      </c>
      <c r="AL16" t="e">
        <f>solver_rlx=0</f>
        <v>#NAME?</v>
      </c>
      <c r="AM16" t="e">
        <f>solver_rlx=0</f>
        <v>#NAME?</v>
      </c>
      <c r="AN16" t="e">
        <f>solver_rlx=0</f>
        <v>#NAME?</v>
      </c>
      <c r="AO16" t="e">
        <f>solver_tol=0.05</f>
        <v>#NAME?</v>
      </c>
      <c r="AP16" t="e">
        <f>solver_rlx=0</f>
        <v>#NAME?</v>
      </c>
      <c r="AQ16" t="e">
        <f>solver_rlx=0</f>
        <v>#NAME?</v>
      </c>
      <c r="AR16" t="e">
        <f>solver_rlx=0</f>
        <v>#NAME?</v>
      </c>
      <c r="AS16" t="e">
        <f>solver_rhs1=FractionalCoeffs!$I$6</f>
        <v>#NAME?</v>
      </c>
      <c r="AT16" t="e">
        <f>solver_opt=ComplexLayout!$I$6</f>
        <v>#NAME?</v>
      </c>
      <c r="AU16" t="e">
        <f>solver_rel3=1</f>
        <v>#NAME?</v>
      </c>
      <c r="AV16" t="e">
        <f>solver_rhs1=IterativeCalc!$J$9:$J$10</f>
        <v>#NAME?</v>
      </c>
      <c r="AW16" t="e">
        <f>solver_rhs2=NoObj!$J$11</f>
        <v>#NAME?</v>
      </c>
      <c r="AX16" t="e">
        <f>solver_rel3=1</f>
        <v>#NAME?</v>
      </c>
      <c r="AY16" t="e">
        <f>solver_rhs1=DiffSheetObj!$I$6</f>
        <v>#NAME?</v>
      </c>
      <c r="AZ16" t="e">
        <f>solver_rel3=1</f>
        <v>#NAME?</v>
      </c>
      <c r="BA16" t="e">
        <f>solver_rlx=0</f>
        <v>#NAME?</v>
      </c>
      <c r="BB16" t="e">
        <f>solver_rel3=2</f>
        <v>#NAME?</v>
      </c>
      <c r="BC16" t="e">
        <f>solver_rel1=1</f>
        <v>#NAME?</v>
      </c>
      <c r="BD16" t="e">
        <f>solver_rel1=1</f>
        <v>#NAME?</v>
      </c>
      <c r="BE16" t="e">
        <f>solver_rhs2=NonLinSimple!$J$9</f>
        <v>#NAME?</v>
      </c>
      <c r="BF16" t="e">
        <f>solver_lhs108=NonLinLarge!$H$139</f>
        <v>#NAME?</v>
      </c>
      <c r="BG16" t="e">
        <f>solver_rhs2=NonLinObj!$J$9</f>
        <v>#NAME?</v>
      </c>
      <c r="BH16" t="e">
        <f>solver_rhs1=NonLinPruning!$H$8:$H$9</f>
        <v>#NAME?</v>
      </c>
      <c r="BI16" t="e">
        <f>solver_sho=0</f>
        <v>#NAME?</v>
      </c>
      <c r="BJ16" t="e">
        <f>solver_typ=2</f>
        <v>#NAME?</v>
      </c>
      <c r="BK16" t="e">
        <f>solver_sho=0</f>
        <v>#NAME?</v>
      </c>
      <c r="BL16" t="e">
        <f>solver_rel3=3</f>
        <v>#NAME?</v>
      </c>
      <c r="BM16" t="e">
        <f>solver_typ=2</f>
        <v>#NAME?</v>
      </c>
      <c r="BN16" t="e">
        <f>solver_sho=0</f>
        <v>#NAME?</v>
      </c>
      <c r="BQ16" t="e">
        <f>solver_rel4=1</f>
        <v>#NAME?</v>
      </c>
    </row>
    <row r="17" spans="3:69" x14ac:dyDescent="0.25">
      <c r="C17" t="e">
        <f>solver_rhs2=SimpleLP!$J$10</f>
        <v>#NAME?</v>
      </c>
      <c r="D17" t="e">
        <f>solver_sho=0</f>
        <v>#NAME?</v>
      </c>
      <c r="E17" t="e">
        <f>solver_rhs2=OverlappingVars!$J$10</f>
        <v>#NAME?</v>
      </c>
      <c r="F17" t="e">
        <f>solver_rhs2=BlankRHS!$J$10</f>
        <v>#NAME?</v>
      </c>
      <c r="G17" t="e">
        <f>solver_rhs2=BlankLHS!$J$10</f>
        <v>#NAME?</v>
      </c>
      <c r="H17" t="e">
        <f>solver_rhs3=TextRHS!$J$11</f>
        <v>#NAME?</v>
      </c>
      <c r="I17" t="e">
        <f>solver_rhs3=ErrorRHS!$J$11</f>
        <v>#NAME?</v>
      </c>
      <c r="J17" t="e">
        <f>solver_rhs3=ErrorLHS!$J$11</f>
        <v>#NAME?</v>
      </c>
      <c r="K17" t="e">
        <f>solver_val=0</f>
        <v>#NAME?</v>
      </c>
      <c r="L17" t="e">
        <f>solver_val=0</f>
        <v>#NAME?</v>
      </c>
      <c r="N17" t="e">
        <f>solver_rhs2=MergedVarsOK!$J$11</f>
        <v>#NAME?</v>
      </c>
      <c r="P17" t="e">
        <f>solver_rhs2=MergedRHS_OK!$J$11</f>
        <v>#NAME?</v>
      </c>
      <c r="Q17" t="e">
        <f>solver_rhs2=MergedLHS_OK!$J$11</f>
        <v>#NAME?</v>
      </c>
      <c r="R17" t="e">
        <f>solver_rhs3=MergedLHSMultiple_OK!$J$12</f>
        <v>#NAME?</v>
      </c>
      <c r="S17" t="e">
        <f>solver_rel3=1</f>
        <v>#NAME?</v>
      </c>
      <c r="T17" t="e">
        <f>solver_opt=ConFormula!$I$7</f>
        <v>#NAME?</v>
      </c>
      <c r="U17" t="e">
        <f>solver_opt=ConFormulaInf!$I$7</f>
        <v>#NAME?</v>
      </c>
      <c r="W17" t="e">
        <f>solver_rhs2='EscapeSheetName(1)+2-1'!$J$10</f>
        <v>#NAME?</v>
      </c>
      <c r="X17" t="e">
        <f>solver_rhs1=DeletedConRef!$J$9:$J$10</f>
        <v>#NAME?</v>
      </c>
      <c r="Y17" t="e">
        <f>solver_val=0</f>
        <v>#NAME?</v>
      </c>
      <c r="Z17" t="e">
        <f>solver_rhs3=InfConstConstraint!$L$11</f>
        <v>#NAME?</v>
      </c>
      <c r="AA17" t="e">
        <f>solver_rhs2=FeasConstConstraint!$L$10</f>
        <v>#NAME?</v>
      </c>
      <c r="AB17" t="e">
        <f>solver_rhs2=Unbounded!$J$10</f>
        <v>#NAME?</v>
      </c>
      <c r="AD17" t="e">
        <f>solver_rel3=2</f>
        <v>#NAME?</v>
      </c>
      <c r="AE17" t="e">
        <f>solver_sho=0</f>
        <v>#NAME?</v>
      </c>
      <c r="AF17" t="e">
        <f>solver_sho=0</f>
        <v>#NAME?</v>
      </c>
      <c r="AG17" t="e">
        <f>solver_rhs2=BinLB!$E$7</f>
        <v>#NAME?</v>
      </c>
      <c r="AH17" t="e">
        <f>solver_rel4=4</f>
        <v>#NAME?</v>
      </c>
      <c r="AI17" t="e">
        <f>solver_rel4=4</f>
        <v>#NAME?</v>
      </c>
      <c r="AJ17" t="e">
        <f>solver_sho=0</f>
        <v>#NAME?</v>
      </c>
      <c r="AK17" t="e">
        <f>solver_sho=0</f>
        <v>#NAME?</v>
      </c>
      <c r="AL17" t="e">
        <f>solver_sho=0</f>
        <v>#NAME?</v>
      </c>
      <c r="AM17" t="e">
        <f>solver_sho=0</f>
        <v>#NAME?</v>
      </c>
      <c r="AN17" t="e">
        <f>solver_sho=0</f>
        <v>#NAME?</v>
      </c>
      <c r="AO17" t="e">
        <f>solver_typ=2</f>
        <v>#NAME?</v>
      </c>
      <c r="AP17" t="e">
        <f>solver_sho=0</f>
        <v>#NAME?</v>
      </c>
      <c r="AQ17" t="e">
        <f>solver_sho=0</f>
        <v>#NAME?</v>
      </c>
      <c r="AR17" t="e">
        <f>solver_sho=0</f>
        <v>#NAME?</v>
      </c>
      <c r="AS17" t="e">
        <f>solver_rhs2=FractionalCoeffs!$I$7</f>
        <v>#NAME?</v>
      </c>
      <c r="AT17" t="e">
        <f>solver_rel1=1</f>
        <v>#NAME?</v>
      </c>
      <c r="AU17" t="e">
        <f>solver_rel4=1</f>
        <v>#NAME?</v>
      </c>
      <c r="AV17" t="e">
        <f>solver_rhs2=IterativeCalc!$J$11</f>
        <v>#NAME?</v>
      </c>
      <c r="AW17" t="e">
        <f>solver_rhs3=NoObj!$J$12</f>
        <v>#NAME?</v>
      </c>
      <c r="AX17" t="e">
        <f>solver_rhs1=SeekObj!$I$6</f>
        <v>#NAME?</v>
      </c>
      <c r="AY17" t="e">
        <f>solver_rhs2=DiffSheetObj!$I$7</f>
        <v>#NAME?</v>
      </c>
      <c r="AZ17" t="e">
        <f>solver_rel4=2</f>
        <v>#NAME?</v>
      </c>
      <c r="BA17" t="e">
        <f>solver_sho=0</f>
        <v>#NAME?</v>
      </c>
      <c r="BB17" t="e">
        <f>solver_rhs1=SolverParameters!$J$17:$J$18</f>
        <v>#NAME?</v>
      </c>
      <c r="BC17" t="e">
        <f>solver_rel2=3</f>
        <v>#NAME?</v>
      </c>
      <c r="BD17" t="e">
        <f>solver_rel2=2</f>
        <v>#NAME?</v>
      </c>
      <c r="BE17" t="e">
        <f>solver_rhs3=NonLinSimple!$J$10</f>
        <v>#NAME?</v>
      </c>
      <c r="BF17" t="e">
        <f>solver_lhs109=NonLinLarge!$H$7:$H$8</f>
        <v>#NAME?</v>
      </c>
      <c r="BG17" t="e">
        <f>solver_rhs3=NonLinObj!$J$10</f>
        <v>#NAME?</v>
      </c>
      <c r="BH17" t="e">
        <f>solver_rhs2=NonLinPruning!$H$10:$H$11</f>
        <v>#NAME?</v>
      </c>
      <c r="BI17" t="e">
        <f>solver_tim=999999999</f>
        <v>#NAME?</v>
      </c>
      <c r="BJ17" t="e">
        <f>solver_val=0</f>
        <v>#NAME?</v>
      </c>
      <c r="BK17" t="e">
        <f>solver_tim=999999999</f>
        <v>#NAME?</v>
      </c>
      <c r="BL17" t="e">
        <f>solver_rel4=1</f>
        <v>#NAME?</v>
      </c>
      <c r="BM17" t="e">
        <f>solver_val=0</f>
        <v>#NAME?</v>
      </c>
      <c r="BN17" t="e">
        <f>solver_tim=999999999</f>
        <v>#NAME?</v>
      </c>
      <c r="BQ17" t="e">
        <f>solver_rhs1=0</f>
        <v>#NAME?</v>
      </c>
    </row>
    <row r="18" spans="3:69" x14ac:dyDescent="0.25">
      <c r="C18" t="e">
        <f>solver_rhs3=SimpleLP!$J$11</f>
        <v>#NAME?</v>
      </c>
      <c r="D18" t="e">
        <f>solver_tim=999999999</f>
        <v>#NAME?</v>
      </c>
      <c r="E18" t="e">
        <f>solver_rhs3=OverlappingVars!$J$11</f>
        <v>#NAME?</v>
      </c>
      <c r="F18" t="e">
        <f>solver_rhs3=BlankRHS!$J$11</f>
        <v>#NAME?</v>
      </c>
      <c r="G18" t="e">
        <f>solver_rhs3=BlankLHS!$J$11</f>
        <v>#NAME?</v>
      </c>
      <c r="H18" t="e">
        <f>solver_rlx=0</f>
        <v>#NAME?</v>
      </c>
      <c r="I18" t="e">
        <f>solver_rlx=0</f>
        <v>#NAME?</v>
      </c>
      <c r="J18" t="e">
        <f>solver_rlx=0</f>
        <v>#NAME?</v>
      </c>
      <c r="N18" t="e">
        <f>solver_rhs3=MergedVarsOK!$J$12</f>
        <v>#NAME?</v>
      </c>
      <c r="P18" t="e">
        <f>solver_rhs3=MergedRHS_OK!$J$12</f>
        <v>#NAME?</v>
      </c>
      <c r="Q18" t="e">
        <f>solver_rhs3=MergedLHS_OK!$J$12</f>
        <v>#NAME?</v>
      </c>
      <c r="R18" t="e">
        <f>solver_rlx=0</f>
        <v>#NAME?</v>
      </c>
      <c r="S18" t="e">
        <f>solver_rel4=5</f>
        <v>#NAME?</v>
      </c>
      <c r="T18" t="e">
        <f>solver_rel1=1</f>
        <v>#NAME?</v>
      </c>
      <c r="U18" t="e">
        <f>solver_rel1=1</f>
        <v>#NAME?</v>
      </c>
      <c r="W18" t="e">
        <f>solver_rhs3='EscapeSheetName(1)+2-1'!$J$11</f>
        <v>#NAME?</v>
      </c>
      <c r="X18" t="e">
        <f>solver_rhs2=DeletedConRef!$J$11</f>
        <v>#NAME?</v>
      </c>
      <c r="Z18" t="e">
        <f>solver_rlx=0</f>
        <v>#NAME?</v>
      </c>
      <c r="AA18" t="e">
        <f>solver_rhs3=FeasConstConstraint!$L$11</f>
        <v>#NAME?</v>
      </c>
      <c r="AB18" t="e">
        <f>solver_rhs3=Unbounded!$J$11</f>
        <v>#NAME?</v>
      </c>
      <c r="AD18" t="e">
        <f>solver_rel4=3</f>
        <v>#NAME?</v>
      </c>
      <c r="AE18" t="e">
        <f>solver_tim=999999999</f>
        <v>#NAME?</v>
      </c>
      <c r="AF18" t="e">
        <f>solver_tim=999999999</f>
        <v>#NAME?</v>
      </c>
      <c r="AG18" t="e">
        <f>solver_rhs3=binary</f>
        <v>#NAME?</v>
      </c>
      <c r="AH18" t="e">
        <f>solver_rhs1=BinIntLB!$J$11:$J$13</f>
        <v>#NAME?</v>
      </c>
      <c r="AI18" t="e">
        <f>solver_rhs1=Relaxation!$J$11:$J$13</f>
        <v>#NAME?</v>
      </c>
      <c r="AJ18" t="e">
        <f>solver_tim=999999999</f>
        <v>#NAME?</v>
      </c>
      <c r="AK18" t="e">
        <f>solver_tim=999999999</f>
        <v>#NAME?</v>
      </c>
      <c r="AL18" t="e">
        <f>solver_tim=999999999</f>
        <v>#NAME?</v>
      </c>
      <c r="AM18" t="e">
        <f>solver_tim=999999999</f>
        <v>#NAME?</v>
      </c>
      <c r="AN18" t="e">
        <f>solver_tim=999999999</f>
        <v>#NAME?</v>
      </c>
      <c r="AO18" t="e">
        <f>solver_val=0</f>
        <v>#NAME?</v>
      </c>
      <c r="AP18" t="e">
        <f>solver_tim=999999999</f>
        <v>#NAME?</v>
      </c>
      <c r="AQ18" t="e">
        <f>solver_tim=999999999</f>
        <v>#NAME?</v>
      </c>
      <c r="AR18" t="e">
        <f>solver_tim=999999999</f>
        <v>#NAME?</v>
      </c>
      <c r="AS18" t="e">
        <f>solver_rhs3=FractionalCoeffs!$I$8:$I$9</f>
        <v>#NAME?</v>
      </c>
      <c r="AT18" t="e">
        <f>solver_rel2=3</f>
        <v>#NAME?</v>
      </c>
      <c r="AU18" t="e">
        <f>solver_rhs1=InfModel!$J$9:$J$10</f>
        <v>#NAME?</v>
      </c>
      <c r="AV18" t="e">
        <f>solver_rhs3=IterativeCalc!$J$12</f>
        <v>#NAME?</v>
      </c>
      <c r="AW18" t="e">
        <f>solver_rlx=0</f>
        <v>#NAME?</v>
      </c>
      <c r="AX18" t="e">
        <f>solver_rhs2=SeekObj!$I$7</f>
        <v>#NAME?</v>
      </c>
      <c r="AY18" t="e">
        <f>solver_rhs3=DiffSheetObj!$I$8:$I$9</f>
        <v>#NAME?</v>
      </c>
      <c r="AZ18" t="e">
        <f>solver_rhs1=NamedRanges!$K$8</f>
        <v>#NAME?</v>
      </c>
      <c r="BA18" t="e">
        <f>solver_tim=999999999</f>
        <v>#NAME?</v>
      </c>
      <c r="BB18" t="e">
        <f>solver_rhs2=SolverParameters!$J$19</f>
        <v>#NAME?</v>
      </c>
      <c r="BC18" t="e">
        <f>solver_rel3=1</f>
        <v>#NAME?</v>
      </c>
      <c r="BD18" t="e">
        <f>solver_rel3=2</f>
        <v>#NAME?</v>
      </c>
      <c r="BE18" t="e">
        <f>solver_rlx=0</f>
        <v>#NAME?</v>
      </c>
      <c r="BF18" t="e">
        <f>solver_lhs11=NonLinLarge!$H$75:$H$138</f>
        <v>#NAME?</v>
      </c>
      <c r="BG18" t="e">
        <f>solver_rlx=0</f>
        <v>#NAME?</v>
      </c>
      <c r="BH18" t="e">
        <f>solver_rhs3=NonLinPruning!$H$12:$H$18</f>
        <v>#NAME?</v>
      </c>
      <c r="BI18" t="e">
        <f>solver_tol=0.05</f>
        <v>#NAME?</v>
      </c>
      <c r="BK18" t="e">
        <f>solver_tol=0.05</f>
        <v>#NAME?</v>
      </c>
      <c r="BL18" t="e">
        <f>solver_rel5=4</f>
        <v>#NAME?</v>
      </c>
      <c r="BN18" t="e">
        <f>solver_tol=0.05</f>
        <v>#NAME?</v>
      </c>
      <c r="BQ18" t="e">
        <f>solver_rhs2=90</f>
        <v>#NAME?</v>
      </c>
    </row>
    <row r="19" spans="3:69" x14ac:dyDescent="0.25">
      <c r="C19" t="e">
        <f>solver_rlx=0</f>
        <v>#NAME?</v>
      </c>
      <c r="D19" t="e">
        <f>solver_tol=0.05</f>
        <v>#NAME?</v>
      </c>
      <c r="E19" t="e">
        <f>solver_rlx=0</f>
        <v>#NAME?</v>
      </c>
      <c r="F19" t="e">
        <f>solver_rlx=0</f>
        <v>#NAME?</v>
      </c>
      <c r="G19" t="e">
        <f>solver_rlx=0</f>
        <v>#NAME?</v>
      </c>
      <c r="H19" t="e">
        <f>solver_sho=0</f>
        <v>#NAME?</v>
      </c>
      <c r="I19" t="e">
        <f>solver_sho=0</f>
        <v>#NAME?</v>
      </c>
      <c r="J19" t="e">
        <f>solver_sho=0</f>
        <v>#NAME?</v>
      </c>
      <c r="N19" t="e">
        <f>solver_rlx=0</f>
        <v>#NAME?</v>
      </c>
      <c r="P19" t="e">
        <f>solver_rlx=0</f>
        <v>#NAME?</v>
      </c>
      <c r="Q19" t="e">
        <f>solver_rlx=0</f>
        <v>#NAME?</v>
      </c>
      <c r="R19" t="e">
        <f>solver_sho=0</f>
        <v>#NAME?</v>
      </c>
      <c r="S19" t="e">
        <f>solver_rel5=4</f>
        <v>#NAME?</v>
      </c>
      <c r="T19" t="e">
        <f>solver_rel2=3</f>
        <v>#NAME?</v>
      </c>
      <c r="U19" t="e">
        <f>solver_rel2=1</f>
        <v>#NAME?</v>
      </c>
      <c r="W19" t="e">
        <f>solver_rlx=0</f>
        <v>#NAME?</v>
      </c>
      <c r="X19" t="e">
        <f>solver_rhs3=DeletedConRef!$J$12</f>
        <v>#NAME?</v>
      </c>
      <c r="Z19" t="e">
        <f>solver_sho=0</f>
        <v>#NAME?</v>
      </c>
      <c r="AA19" t="e">
        <f>solver_rlx=0</f>
        <v>#NAME?</v>
      </c>
      <c r="AB19" t="e">
        <f>solver_rlx=0</f>
        <v>#NAME?</v>
      </c>
      <c r="AD19" t="e">
        <f>solver_rel5=1</f>
        <v>#NAME?</v>
      </c>
      <c r="AE19" t="e">
        <f>solver_tol=0.05</f>
        <v>#NAME?</v>
      </c>
      <c r="AF19" t="e">
        <f>solver_tol=0.05</f>
        <v>#NAME?</v>
      </c>
      <c r="AG19" t="e">
        <f>solver_rlx=0</f>
        <v>#NAME?</v>
      </c>
      <c r="AH19" t="e">
        <f>solver_rhs2=BinIntLB!$E$7</f>
        <v>#NAME?</v>
      </c>
      <c r="AI19" t="e">
        <f>solver_rhs2=Relaxation!$E$7</f>
        <v>#NAME?</v>
      </c>
      <c r="AJ19" t="e">
        <f>solver_tol=0.05</f>
        <v>#NAME?</v>
      </c>
      <c r="AK19" t="e">
        <f>solver_tol=0.05</f>
        <v>#NAME?</v>
      </c>
      <c r="AL19" t="e">
        <f>solver_tol=0.05</f>
        <v>#NAME?</v>
      </c>
      <c r="AM19" t="e">
        <f>solver_tol=0.05</f>
        <v>#NAME?</v>
      </c>
      <c r="AN19" t="e">
        <f>solver_tol=0.05</f>
        <v>#NAME?</v>
      </c>
      <c r="AP19" t="e">
        <f>solver_tol=0.05</f>
        <v>#NAME?</v>
      </c>
      <c r="AQ19" t="e">
        <f>solver_tol=0.05</f>
        <v>#NAME?</v>
      </c>
      <c r="AR19" t="e">
        <f>solver_tol=0.05</f>
        <v>#NAME?</v>
      </c>
      <c r="AS19" t="e">
        <f>solver_rlx=0</f>
        <v>#NAME?</v>
      </c>
      <c r="AT19" t="e">
        <f>solver_rel3=1</f>
        <v>#NAME?</v>
      </c>
      <c r="AU19" t="e">
        <f>solver_rhs2=InfModel!$J$11</f>
        <v>#NAME?</v>
      </c>
      <c r="AV19" t="e">
        <f>solver_rlx=0</f>
        <v>#NAME?</v>
      </c>
      <c r="AW19" t="e">
        <f>solver_sho=0</f>
        <v>#NAME?</v>
      </c>
      <c r="AX19" t="e">
        <f>solver_rhs3=SeekObj!$I$8:$I$9</f>
        <v>#NAME?</v>
      </c>
      <c r="AY19" t="e">
        <f>solver_rlx=0</f>
        <v>#NAME?</v>
      </c>
      <c r="AZ19" t="e">
        <f>solver_rhs2=NamedRanges!$K$9</f>
        <v>#NAME?</v>
      </c>
      <c r="BA19" t="e">
        <f>solver_tol=0.05</f>
        <v>#NAME?</v>
      </c>
      <c r="BB19" t="e">
        <f>solver_rhs3=SolverParameters!$J$20</f>
        <v>#NAME?</v>
      </c>
      <c r="BC19" t="e">
        <f>solver_rel4=2</f>
        <v>#NAME?</v>
      </c>
      <c r="BD19" t="e">
        <f>solver_rel4=3</f>
        <v>#NAME?</v>
      </c>
      <c r="BE19" t="e">
        <f>solver_sho=0</f>
        <v>#NAME?</v>
      </c>
      <c r="BF19" t="e">
        <f>solver_lhs110=NonLinLarge!$H$9:$H$72</f>
        <v>#NAME?</v>
      </c>
      <c r="BG19" t="e">
        <f>solver_sho=0</f>
        <v>#NAME?</v>
      </c>
      <c r="BH19" t="e">
        <f>solver_rlx=0</f>
        <v>#NAME?</v>
      </c>
      <c r="BI19" t="e">
        <f>solver_typ=1</f>
        <v>#NAME?</v>
      </c>
      <c r="BK19" t="e">
        <f>solver_typ=2</f>
        <v>#NAME?</v>
      </c>
      <c r="BL19" t="e">
        <f>solver_rhs1=NonLin!$L$40</f>
        <v>#NAME?</v>
      </c>
      <c r="BN19" t="e">
        <f>solver_typ=2</f>
        <v>#NAME?</v>
      </c>
      <c r="BQ19" t="e">
        <f>solver_rhs3=-180</f>
        <v>#NAME?</v>
      </c>
    </row>
    <row r="20" spans="3:69" x14ac:dyDescent="0.25">
      <c r="C20" t="e">
        <f>solver_sho=0</f>
        <v>#NAME?</v>
      </c>
      <c r="D20" t="e">
        <f>solver_typ=1</f>
        <v>#NAME?</v>
      </c>
      <c r="E20" t="e">
        <f>solver_sho=0</f>
        <v>#NAME?</v>
      </c>
      <c r="F20" t="e">
        <f>solver_sho=0</f>
        <v>#NAME?</v>
      </c>
      <c r="G20" t="e">
        <f>solver_sho=0</f>
        <v>#NAME?</v>
      </c>
      <c r="H20" t="e">
        <f>solver_tim=999999999</f>
        <v>#NAME?</v>
      </c>
      <c r="I20" t="e">
        <f>solver_tim=999999999</f>
        <v>#NAME?</v>
      </c>
      <c r="J20" t="e">
        <f>solver_tim=999999999</f>
        <v>#NAME?</v>
      </c>
      <c r="N20" t="e">
        <f>solver_sho=0</f>
        <v>#NAME?</v>
      </c>
      <c r="P20" t="e">
        <f>solver_sho=0</f>
        <v>#NAME?</v>
      </c>
      <c r="Q20" t="e">
        <f>solver_sho=0</f>
        <v>#NAME?</v>
      </c>
      <c r="R20" t="e">
        <f>solver_tim=999999999</f>
        <v>#NAME?</v>
      </c>
      <c r="S20" t="e">
        <f>solver_rhs1=BinIntOverlap!$K$8:$K$9</f>
        <v>#NAME?</v>
      </c>
      <c r="T20" t="e">
        <f>solver_rel3=1</f>
        <v>#NAME?</v>
      </c>
      <c r="U20" t="e">
        <f>solver_rel3=1</f>
        <v>#NAME?</v>
      </c>
      <c r="W20" t="e">
        <f>solver_sho=0</f>
        <v>#NAME?</v>
      </c>
      <c r="X20" t="e">
        <f>solver_rhs4=DeletedConRef!#REF!</f>
        <v>#NAME?</v>
      </c>
      <c r="Z20" t="e">
        <f>solver_tim=999999999</f>
        <v>#NAME?</v>
      </c>
      <c r="AA20" t="e">
        <f>solver_sho=0</f>
        <v>#NAME?</v>
      </c>
      <c r="AB20" t="e">
        <f>solver_sho=0</f>
        <v>#NAME?</v>
      </c>
      <c r="AD20" t="e">
        <f>solver_rhs1=IndirectLBs!$J$10:$J$11</f>
        <v>#NAME?</v>
      </c>
      <c r="AE20" t="e">
        <f>solver_typ=2</f>
        <v>#NAME?</v>
      </c>
      <c r="AF20" t="e">
        <f>solver_typ=2</f>
        <v>#NAME?</v>
      </c>
      <c r="AG20" t="e">
        <f>solver_sho=0</f>
        <v>#NAME?</v>
      </c>
      <c r="AH20" t="e">
        <f>solver_rhs3=binary</f>
        <v>#NAME?</v>
      </c>
      <c r="AI20" t="e">
        <f>solver_rhs3=binary</f>
        <v>#NAME?</v>
      </c>
      <c r="AJ20" t="e">
        <f>solver_typ=2</f>
        <v>#NAME?</v>
      </c>
      <c r="AK20" t="e">
        <f>solver_typ=2</f>
        <v>#NAME?</v>
      </c>
      <c r="AL20" t="e">
        <f>solver_typ=2</f>
        <v>#NAME?</v>
      </c>
      <c r="AM20" t="e">
        <f>solver_typ=2</f>
        <v>#NAME?</v>
      </c>
      <c r="AN20" t="e">
        <f>solver_typ=2</f>
        <v>#NAME?</v>
      </c>
      <c r="AP20" t="e">
        <f>solver_typ=2</f>
        <v>#NAME?</v>
      </c>
      <c r="AQ20" t="e">
        <f>solver_typ=2</f>
        <v>#NAME?</v>
      </c>
      <c r="AR20" t="e">
        <f>solver_typ=2</f>
        <v>#NAME?</v>
      </c>
      <c r="AS20" t="e">
        <f>solver_sho=0</f>
        <v>#NAME?</v>
      </c>
      <c r="AT20" t="e">
        <f>solver_rel4=5</f>
        <v>#NAME?</v>
      </c>
      <c r="AU20" t="e">
        <f>solver_rhs3=InfModel!$J$12</f>
        <v>#NAME?</v>
      </c>
      <c r="AV20" t="e">
        <f>solver_sho=0</f>
        <v>#NAME?</v>
      </c>
      <c r="AW20" t="e">
        <f>solver_tim=999999999</f>
        <v>#NAME?</v>
      </c>
      <c r="AX20" t="e">
        <f>solver_rlx=0</f>
        <v>#NAME?</v>
      </c>
      <c r="AY20" t="e">
        <f>solver_sho=0</f>
        <v>#NAME?</v>
      </c>
      <c r="AZ20" t="e">
        <f>solver_rhs3=NamedRanges!$K$10:$K$11</f>
        <v>#NAME?</v>
      </c>
      <c r="BA20" t="e">
        <f>solver_typ=2</f>
        <v>#NAME?</v>
      </c>
      <c r="BB20" t="e">
        <f>solver_rlx=0</f>
        <v>#NAME?</v>
      </c>
      <c r="BC20" t="e">
        <f>solver_rhs1=Sensitivity!$I$8</f>
        <v>#NAME?</v>
      </c>
      <c r="BD20" t="e">
        <f>solver_rhs1=SensitivityNames!$J$14:$J$16</f>
        <v>#NAME?</v>
      </c>
      <c r="BE20" t="e">
        <f>solver_tim=999999999</f>
        <v>#NAME?</v>
      </c>
      <c r="BF20" t="e">
        <f>solver_lhs111=NonLinLarge!$H$73</f>
        <v>#NAME?</v>
      </c>
      <c r="BG20" t="e">
        <f>solver_tim=999999999</f>
        <v>#NAME?</v>
      </c>
      <c r="BH20" t="e">
        <f>solver_sho=0</f>
        <v>#NAME?</v>
      </c>
      <c r="BI20" t="e">
        <f>solver_val=0</f>
        <v>#NAME?</v>
      </c>
      <c r="BK20" t="e">
        <f>solver_val=0</f>
        <v>#NAME?</v>
      </c>
      <c r="BL20" t="e">
        <f>solver_rhs2=NonLin!$L$41:$L$42</f>
        <v>#NAME?</v>
      </c>
      <c r="BN20" t="e">
        <f>solver_val=0</f>
        <v>#NAME?</v>
      </c>
      <c r="BQ20" t="e">
        <f>solver_rhs4=0</f>
        <v>#NAME?</v>
      </c>
    </row>
    <row r="21" spans="3:69" x14ac:dyDescent="0.25">
      <c r="C21" t="e">
        <f>solver_tim=999999999</f>
        <v>#NAME?</v>
      </c>
      <c r="D21" t="e">
        <f>solver_val=0</f>
        <v>#NAME?</v>
      </c>
      <c r="E21" t="e">
        <f>solver_tim=999999999</f>
        <v>#NAME?</v>
      </c>
      <c r="F21" t="e">
        <f>solver_tim=999999999</f>
        <v>#NAME?</v>
      </c>
      <c r="G21" t="e">
        <f>solver_tim=999999999</f>
        <v>#NAME?</v>
      </c>
      <c r="H21" t="e">
        <f>solver_tol=0.05</f>
        <v>#NAME?</v>
      </c>
      <c r="I21" t="e">
        <f>solver_tol=0.05</f>
        <v>#NAME?</v>
      </c>
      <c r="J21" t="e">
        <f>solver_tol=0.05</f>
        <v>#NAME?</v>
      </c>
      <c r="N21" t="e">
        <f>solver_tim=999999999</f>
        <v>#NAME?</v>
      </c>
      <c r="P21" t="e">
        <f>solver_tim=999999999</f>
        <v>#NAME?</v>
      </c>
      <c r="Q21" t="e">
        <f>solver_tim=999999999</f>
        <v>#NAME?</v>
      </c>
      <c r="R21" t="e">
        <f>solver_tol=0.05</f>
        <v>#NAME?</v>
      </c>
      <c r="S21" t="e">
        <f>solver_rhs2=BinIntOverlap!$K$10</f>
        <v>#NAME?</v>
      </c>
      <c r="T21" t="e">
        <f>solver_rel4=5</f>
        <v>#NAME?</v>
      </c>
      <c r="U21" t="e">
        <f>solver_rel4=5</f>
        <v>#NAME?</v>
      </c>
      <c r="W21" t="e">
        <f>solver_tim=999999999</f>
        <v>#NAME?</v>
      </c>
      <c r="X21" t="e">
        <f>solver_rlx=0</f>
        <v>#NAME?</v>
      </c>
      <c r="Z21" t="e">
        <f>solver_tol=0.05</f>
        <v>#NAME?</v>
      </c>
      <c r="AA21" t="e">
        <f>solver_tim=999999999</f>
        <v>#NAME?</v>
      </c>
      <c r="AB21" t="e">
        <f>solver_tim=999999999</f>
        <v>#NAME?</v>
      </c>
      <c r="AD21" t="e">
        <f>solver_rhs2=IndirectLBs!$J$12</f>
        <v>#NAME?</v>
      </c>
      <c r="AE21" t="e">
        <f>solver_val=0</f>
        <v>#NAME?</v>
      </c>
      <c r="AF21" t="e">
        <f>solver_val=0</f>
        <v>#NAME?</v>
      </c>
      <c r="AG21" t="e">
        <f>solver_tim=999999999</f>
        <v>#NAME?</v>
      </c>
      <c r="AH21" t="e">
        <f>solver_rhs4=integer</f>
        <v>#NAME?</v>
      </c>
      <c r="AI21" t="e">
        <f>solver_rhs4=integer</f>
        <v>#NAME?</v>
      </c>
      <c r="AJ21" t="e">
        <f>solver_val=0</f>
        <v>#NAME?</v>
      </c>
      <c r="AK21" t="e">
        <f>solver_val=0</f>
        <v>#NAME?</v>
      </c>
      <c r="AL21" t="e">
        <f>solver_val=0</f>
        <v>#NAME?</v>
      </c>
      <c r="AM21" t="e">
        <f>solver_val=0</f>
        <v>#NAME?</v>
      </c>
      <c r="AN21" t="e">
        <f>solver_val=0</f>
        <v>#NAME?</v>
      </c>
      <c r="AP21" t="e">
        <f>solver_val=0</f>
        <v>#NAME?</v>
      </c>
      <c r="AQ21" t="e">
        <f>solver_val=0</f>
        <v>#NAME?</v>
      </c>
      <c r="AR21" t="e">
        <f>solver_val=0</f>
        <v>#NAME?</v>
      </c>
      <c r="AS21" t="e">
        <f>solver_tim=999999999</f>
        <v>#NAME?</v>
      </c>
      <c r="AT21" t="e">
        <f>solver_rel5=4</f>
        <v>#NAME?</v>
      </c>
      <c r="AU21" t="e">
        <f>solver_rhs4=2</f>
        <v>#NAME?</v>
      </c>
      <c r="AV21" t="e">
        <f>solver_tim=999999999</f>
        <v>#NAME?</v>
      </c>
      <c r="AW21" t="e">
        <f>solver_tol=0.05</f>
        <v>#NAME?</v>
      </c>
      <c r="AX21" t="e">
        <f>solver_sho=0</f>
        <v>#NAME?</v>
      </c>
      <c r="AY21" t="e">
        <f>solver_tim=999999999</f>
        <v>#NAME?</v>
      </c>
      <c r="AZ21" t="e">
        <f>solver_rhs4=NamedRanges!$K$12</f>
        <v>#NAME?</v>
      </c>
      <c r="BA21" t="e">
        <f>solver_val=0</f>
        <v>#NAME?</v>
      </c>
      <c r="BB21" t="e">
        <f>solver_sho=0</f>
        <v>#NAME?</v>
      </c>
      <c r="BC21" t="e">
        <f>solver_rhs2=Sensitivity!$I$9</f>
        <v>#NAME?</v>
      </c>
      <c r="BD21" t="e">
        <f>solver_rhs2=SensitivityNames!$D$18:$H$18</f>
        <v>#NAME?</v>
      </c>
      <c r="BE21" t="e">
        <f>solver_tol=0.05</f>
        <v>#NAME?</v>
      </c>
      <c r="BF21" t="e">
        <f>solver_lhs112=NonLinLarge!$H$74</f>
        <v>#NAME?</v>
      </c>
      <c r="BG21" t="e">
        <f>solver_tol=0.05</f>
        <v>#NAME?</v>
      </c>
      <c r="BH21" t="e">
        <f>solver_tim=999999999</f>
        <v>#NAME?</v>
      </c>
      <c r="BL21" t="e">
        <f>solver_rhs3=NonLin!$L$43</f>
        <v>#NAME?</v>
      </c>
      <c r="BQ21" t="e">
        <f>solver_rlx=0</f>
        <v>#NAME?</v>
      </c>
    </row>
    <row r="22" spans="3:69" x14ac:dyDescent="0.25">
      <c r="C22" t="e">
        <f>solver_tol=0.05</f>
        <v>#NAME?</v>
      </c>
      <c r="E22" t="e">
        <f>solver_tol=0.05</f>
        <v>#NAME?</v>
      </c>
      <c r="F22" t="e">
        <f>solver_tol=0.05</f>
        <v>#NAME?</v>
      </c>
      <c r="G22" t="e">
        <f>solver_tol=0.05</f>
        <v>#NAME?</v>
      </c>
      <c r="H22" t="e">
        <f>solver_typ=2</f>
        <v>#NAME?</v>
      </c>
      <c r="I22" t="e">
        <f>solver_typ=2</f>
        <v>#NAME?</v>
      </c>
      <c r="J22" t="e">
        <f>solver_typ=2</f>
        <v>#NAME?</v>
      </c>
      <c r="N22" t="e">
        <f>solver_tol=0.05</f>
        <v>#NAME?</v>
      </c>
      <c r="P22" t="e">
        <f>solver_tol=0.05</f>
        <v>#NAME?</v>
      </c>
      <c r="Q22" t="e">
        <f>solver_tol=0.05</f>
        <v>#NAME?</v>
      </c>
      <c r="R22" t="e">
        <f>solver_typ=2</f>
        <v>#NAME?</v>
      </c>
      <c r="S22" t="e">
        <f>solver_rhs3=BinIntOverlap!$K$11</f>
        <v>#NAME?</v>
      </c>
      <c r="T22" t="e">
        <f>solver_rel5=4</f>
        <v>#NAME?</v>
      </c>
      <c r="U22" t="e">
        <f>solver_rel5=4</f>
        <v>#NAME?</v>
      </c>
      <c r="W22" t="e">
        <f>solver_tol=0.05</f>
        <v>#NAME?</v>
      </c>
      <c r="X22" t="e">
        <f>solver_sho=0</f>
        <v>#NAME?</v>
      </c>
      <c r="Z22" t="e">
        <f>solver_typ=2</f>
        <v>#NAME?</v>
      </c>
      <c r="AA22" t="e">
        <f>solver_tol=0.05</f>
        <v>#NAME?</v>
      </c>
      <c r="AB22" t="e">
        <f>solver_tol=0.05</f>
        <v>#NAME?</v>
      </c>
      <c r="AD22" t="e">
        <f>solver_rhs3=IndirectLBs!$J$13</f>
        <v>#NAME?</v>
      </c>
      <c r="AG22" t="e">
        <f>solver_tol=0.05</f>
        <v>#NAME?</v>
      </c>
      <c r="AH22" t="e">
        <f>solver_rlx=0</f>
        <v>#NAME?</v>
      </c>
      <c r="AI22" t="e">
        <f>solver_rlx=1</f>
        <v>#NAME?</v>
      </c>
      <c r="AS22" t="e">
        <f>solver_tol=0.05</f>
        <v>#NAME?</v>
      </c>
      <c r="AT22" t="e">
        <f>solver_rel6=1</f>
        <v>#NAME?</v>
      </c>
      <c r="AU22" t="e">
        <f>solver_rlx=0</f>
        <v>#NAME?</v>
      </c>
      <c r="AV22" t="e">
        <f>solver_tol=0.05</f>
        <v>#NAME?</v>
      </c>
      <c r="AW22" t="e">
        <f>solver_typ=2</f>
        <v>#NAME?</v>
      </c>
      <c r="AX22" t="e">
        <f>solver_tim=999999999</f>
        <v>#NAME?</v>
      </c>
      <c r="AY22" t="e">
        <f>solver_tol=0.05</f>
        <v>#NAME?</v>
      </c>
      <c r="AZ22" t="e">
        <f>solver_rlx=0</f>
        <v>#NAME?</v>
      </c>
      <c r="BB22" t="e">
        <f>solver_tim=999999999</f>
        <v>#NAME?</v>
      </c>
      <c r="BC22" t="e">
        <f>solver_rhs3=Sensitivity!$I$10:$I$11</f>
        <v>#NAME?</v>
      </c>
      <c r="BD22" t="e">
        <f>solver_rhs3=SensitivityNames!$J$24</f>
        <v>#NAME?</v>
      </c>
      <c r="BE22" t="e">
        <f>solver_typ=2</f>
        <v>#NAME?</v>
      </c>
      <c r="BF22" t="e">
        <f>solver_lhs113=NonLinLarge!$H$75:$H$138</f>
        <v>#NAME?</v>
      </c>
      <c r="BG22" t="e">
        <f>solver_typ=2</f>
        <v>#NAME?</v>
      </c>
      <c r="BH22" t="e">
        <f>solver_tol=0.05</f>
        <v>#NAME?</v>
      </c>
      <c r="BL22" t="e">
        <f>solver_rhs4=NonLin!$L$44</f>
        <v>#NAME?</v>
      </c>
      <c r="BQ22" t="e">
        <f>solver_sho=0</f>
        <v>#NAME?</v>
      </c>
    </row>
    <row r="23" spans="3:69" x14ac:dyDescent="0.25">
      <c r="C23" t="e">
        <f>solver_typ=2</f>
        <v>#NAME?</v>
      </c>
      <c r="E23" t="e">
        <f>solver_typ=2</f>
        <v>#NAME?</v>
      </c>
      <c r="F23" t="e">
        <f>solver_typ=2</f>
        <v>#NAME?</v>
      </c>
      <c r="G23" t="e">
        <f>solver_typ=2</f>
        <v>#NAME?</v>
      </c>
      <c r="H23" t="e">
        <f>solver_val=0</f>
        <v>#NAME?</v>
      </c>
      <c r="I23" t="e">
        <f>solver_val=0</f>
        <v>#NAME?</v>
      </c>
      <c r="J23" t="e">
        <f>solver_val=0</f>
        <v>#NAME?</v>
      </c>
      <c r="N23" t="e">
        <f>solver_typ=2</f>
        <v>#NAME?</v>
      </c>
      <c r="P23" t="e">
        <f>solver_typ=2</f>
        <v>#NAME?</v>
      </c>
      <c r="Q23" t="e">
        <f>solver_typ=2</f>
        <v>#NAME?</v>
      </c>
      <c r="R23" t="e">
        <f>solver_val=0</f>
        <v>#NAME?</v>
      </c>
      <c r="S23" t="e">
        <f>solver_rhs4=binary</f>
        <v>#NAME?</v>
      </c>
      <c r="T23" t="e">
        <f>solver_rel6=1</f>
        <v>#NAME?</v>
      </c>
      <c r="U23" t="e">
        <f>solver_rel6=1</f>
        <v>#NAME?</v>
      </c>
      <c r="W23" t="e">
        <f>solver_typ=2</f>
        <v>#NAME?</v>
      </c>
      <c r="X23" t="e">
        <f>solver_tim=999999999</f>
        <v>#NAME?</v>
      </c>
      <c r="Z23" t="e">
        <f>solver_val=0</f>
        <v>#NAME?</v>
      </c>
      <c r="AA23" t="e">
        <f>solver_typ=2</f>
        <v>#NAME?</v>
      </c>
      <c r="AB23" t="e">
        <f>solver_typ=2</f>
        <v>#NAME?</v>
      </c>
      <c r="AD23" t="e">
        <f>solver_rhs4=IndirectLBs!$D$6:$E$6</f>
        <v>#NAME?</v>
      </c>
      <c r="AG23" t="e">
        <f>solver_typ=2</f>
        <v>#NAME?</v>
      </c>
      <c r="AH23" t="e">
        <f>solver_sho=0</f>
        <v>#NAME?</v>
      </c>
      <c r="AI23" t="e">
        <f>solver_sho=0</f>
        <v>#NAME?</v>
      </c>
      <c r="AS23" t="e">
        <f>solver_typ=2</f>
        <v>#NAME?</v>
      </c>
      <c r="AT23" t="e">
        <f>solver_rel7=3</f>
        <v>#NAME?</v>
      </c>
      <c r="AU23" t="e">
        <f>solver_sho=0</f>
        <v>#NAME?</v>
      </c>
      <c r="AV23" t="e">
        <f>solver_typ=2</f>
        <v>#NAME?</v>
      </c>
      <c r="AW23" t="e">
        <f>solver_val=0</f>
        <v>#NAME?</v>
      </c>
      <c r="AX23" t="e">
        <f>solver_tol=0.05</f>
        <v>#NAME?</v>
      </c>
      <c r="AY23" t="e">
        <f>solver_typ=2</f>
        <v>#NAME?</v>
      </c>
      <c r="AZ23" t="e">
        <f>solver_sho=0</f>
        <v>#NAME?</v>
      </c>
      <c r="BB23" t="e">
        <f>solver_tol=0.05</f>
        <v>#NAME?</v>
      </c>
      <c r="BC23" t="e">
        <f>solver_rhs4=Sensitivity!$G$20</f>
        <v>#NAME?</v>
      </c>
      <c r="BD23" t="e">
        <f>solver_rhs4=0</f>
        <v>#NAME?</v>
      </c>
      <c r="BE23" t="e">
        <f>solver_val=0</f>
        <v>#NAME?</v>
      </c>
      <c r="BF23" t="e">
        <f>solver_lhs114=NonLinLarge!$H$139</f>
        <v>#NAME?</v>
      </c>
      <c r="BG23" t="e">
        <f>solver_val=0</f>
        <v>#NAME?</v>
      </c>
      <c r="BH23" t="e">
        <f>solver_typ=1</f>
        <v>#NAME?</v>
      </c>
      <c r="BL23" t="e">
        <f>solver_rhs5=integer</f>
        <v>#NAME?</v>
      </c>
      <c r="BQ23" t="e">
        <f>solver_tim=999999999</f>
        <v>#NAME?</v>
      </c>
    </row>
    <row r="24" spans="3:69" x14ac:dyDescent="0.25">
      <c r="C24" t="e">
        <f>solver_val=0</f>
        <v>#NAME?</v>
      </c>
      <c r="E24" t="e">
        <f>solver_val=0</f>
        <v>#NAME?</v>
      </c>
      <c r="F24" t="e">
        <f>solver_val=0</f>
        <v>#NAME?</v>
      </c>
      <c r="G24" t="e">
        <f>solver_val=0</f>
        <v>#NAME?</v>
      </c>
      <c r="N24" t="e">
        <f>solver_val=0</f>
        <v>#NAME?</v>
      </c>
      <c r="P24" t="e">
        <f>solver_val=0</f>
        <v>#NAME?</v>
      </c>
      <c r="Q24" t="e">
        <f>solver_val=0</f>
        <v>#NAME?</v>
      </c>
      <c r="S24" t="e">
        <f>solver_rhs5=integer</f>
        <v>#NAME?</v>
      </c>
      <c r="T24" t="e">
        <f>solver_rel7=3</f>
        <v>#NAME?</v>
      </c>
      <c r="U24" t="e">
        <f>solver_rel7=3</f>
        <v>#NAME?</v>
      </c>
      <c r="W24" t="e">
        <f>solver_val=0</f>
        <v>#NAME?</v>
      </c>
      <c r="X24" t="e">
        <f>solver_tol=0.05</f>
        <v>#NAME?</v>
      </c>
      <c r="AA24" t="e">
        <f>solver_val=0</f>
        <v>#NAME?</v>
      </c>
      <c r="AB24" t="e">
        <f>solver_val=0</f>
        <v>#NAME?</v>
      </c>
      <c r="AD24" t="e">
        <f>solver_rhs5=2</f>
        <v>#NAME?</v>
      </c>
      <c r="AG24" t="e">
        <f>solver_val=0</f>
        <v>#NAME?</v>
      </c>
      <c r="AH24" t="e">
        <f>solver_tim=999999999</f>
        <v>#NAME?</v>
      </c>
      <c r="AI24" t="e">
        <f>solver_tim=999999999</f>
        <v>#NAME?</v>
      </c>
      <c r="AS24" t="e">
        <f>solver_val=0</f>
        <v>#NAME?</v>
      </c>
      <c r="AT24" t="e">
        <f>solver_rhs1=ComplexLayout!$K$8:$K$9</f>
        <v>#NAME?</v>
      </c>
      <c r="AU24" t="e">
        <f>solver_tim=999999999</f>
        <v>#NAME?</v>
      </c>
      <c r="AV24" t="e">
        <f>solver_val=0</f>
        <v>#NAME?</v>
      </c>
      <c r="AX24" t="e">
        <f>solver_typ=3</f>
        <v>#NAME?</v>
      </c>
      <c r="AY24" t="e">
        <f>solver_val=0</f>
        <v>#NAME?</v>
      </c>
      <c r="AZ24" t="e">
        <f>solver_tim=999999999</f>
        <v>#NAME?</v>
      </c>
      <c r="BB24" t="e">
        <f>solver_typ=2</f>
        <v>#NAME?</v>
      </c>
      <c r="BC24" t="e">
        <f>solver_rlx=0</f>
        <v>#NAME?</v>
      </c>
      <c r="BD24" t="e">
        <f>solver_rlx=0</f>
        <v>#NAME?</v>
      </c>
      <c r="BF24" t="e">
        <f>solver_lhs115=NonLinLarge!$H$7:$H$8</f>
        <v>#NAME?</v>
      </c>
      <c r="BH24" t="e">
        <f>solver_val=0</f>
        <v>#NAME?</v>
      </c>
      <c r="BL24" t="e">
        <f>solver_rlx=0</f>
        <v>#NAME?</v>
      </c>
      <c r="BQ24" t="e">
        <f>solver_tol=0.05</f>
        <v>#NAME?</v>
      </c>
    </row>
    <row r="25" spans="3:69" x14ac:dyDescent="0.25">
      <c r="S25" t="e">
        <f>solver_rlx=0</f>
        <v>#NAME?</v>
      </c>
      <c r="T25" t="e">
        <f>solver_rel8=3</f>
        <v>#NAME?</v>
      </c>
      <c r="U25" t="e">
        <f>solver_rel8=3</f>
        <v>#NAME?</v>
      </c>
      <c r="X25" t="e">
        <f>solver_typ=2</f>
        <v>#NAME?</v>
      </c>
      <c r="AD25" t="e">
        <f>solver_rlx=0</f>
        <v>#NAME?</v>
      </c>
      <c r="AH25" t="e">
        <f>solver_tol=0.05</f>
        <v>#NAME?</v>
      </c>
      <c r="AI25" t="e">
        <f>solver_tol=0.05</f>
        <v>#NAME?</v>
      </c>
      <c r="AT25" t="e">
        <f>solver_rhs2=ComplexLayout!$K$10</f>
        <v>#NAME?</v>
      </c>
      <c r="AU25" t="e">
        <f>solver_tol=0.05</f>
        <v>#NAME?</v>
      </c>
      <c r="AX25" t="e">
        <f>solver_val=50</f>
        <v>#NAME?</v>
      </c>
      <c r="AZ25" t="e">
        <f>solver_tol=0.05</f>
        <v>#NAME?</v>
      </c>
      <c r="BB25" t="e">
        <f>solver_val=0</f>
        <v>#NAME?</v>
      </c>
      <c r="BC25" t="e">
        <f>solver_sho=0</f>
        <v>#NAME?</v>
      </c>
      <c r="BD25" t="e">
        <f>solver_sho=0</f>
        <v>#NAME?</v>
      </c>
      <c r="BF25" t="e">
        <f>solver_lhs116=NonLinLarge!$H$9:$H$72</f>
        <v>#NAME?</v>
      </c>
      <c r="BL25" t="e">
        <f>solver_sho=0</f>
        <v>#NAME?</v>
      </c>
      <c r="BQ25" t="e">
        <f>solver_typ=2</f>
        <v>#NAME?</v>
      </c>
    </row>
    <row r="26" spans="3:69" x14ac:dyDescent="0.25">
      <c r="S26" t="e">
        <f>solver_sho=0</f>
        <v>#NAME?</v>
      </c>
      <c r="T26" t="e">
        <f>solver_rhs1=ConFormula!$K$9:$K$10</f>
        <v>#NAME?</v>
      </c>
      <c r="U26" t="e">
        <f>solver_rel9=1</f>
        <v>#NAME?</v>
      </c>
      <c r="X26" t="e">
        <f>solver_val=0</f>
        <v>#NAME?</v>
      </c>
      <c r="AD26" t="e">
        <f>solver_sho=0</f>
        <v>#NAME?</v>
      </c>
      <c r="AH26" t="e">
        <f>solver_typ=2</f>
        <v>#NAME?</v>
      </c>
      <c r="AI26" t="e">
        <f>solver_typ=2</f>
        <v>#NAME?</v>
      </c>
      <c r="AT26" t="e">
        <f>solver_rhs3=ComplexLayout!$K$11</f>
        <v>#NAME?</v>
      </c>
      <c r="AU26" t="e">
        <f>solver_typ=2</f>
        <v>#NAME?</v>
      </c>
      <c r="AZ26" t="e">
        <f>solver_typ=2</f>
        <v>#NAME?</v>
      </c>
      <c r="BC26" t="e">
        <f>solver_tim=999999999</f>
        <v>#NAME?</v>
      </c>
      <c r="BD26" t="e">
        <f>solver_tim=999999999</f>
        <v>#NAME?</v>
      </c>
      <c r="BF26" t="e">
        <f>solver_lhs117=NonLinLarge!$H$73</f>
        <v>#NAME?</v>
      </c>
      <c r="BL26" t="e">
        <f>solver_tim=999999999</f>
        <v>#NAME?</v>
      </c>
      <c r="BQ26" t="e">
        <f>solver_val=0</f>
        <v>#NAME?</v>
      </c>
    </row>
    <row r="27" spans="3:69" x14ac:dyDescent="0.25">
      <c r="S27" t="e">
        <f>solver_tim=999999999</f>
        <v>#NAME?</v>
      </c>
      <c r="T27" t="e">
        <f>solver_rhs2=ConFormula!$K$11</f>
        <v>#NAME?</v>
      </c>
      <c r="U27" t="e">
        <f>solver_rhs1=ConFormulaInf!$K$9:$K$10</f>
        <v>#NAME?</v>
      </c>
      <c r="AD27" t="e">
        <f>solver_tim=999999999</f>
        <v>#NAME?</v>
      </c>
      <c r="AH27" t="e">
        <f>solver_val=0</f>
        <v>#NAME?</v>
      </c>
      <c r="AI27" t="e">
        <f>solver_val=0</f>
        <v>#NAME?</v>
      </c>
      <c r="AT27" t="e">
        <f>solver_rhs4=binary</f>
        <v>#NAME?</v>
      </c>
      <c r="AU27" t="e">
        <f>solver_val=0</f>
        <v>#NAME?</v>
      </c>
      <c r="AZ27" t="e">
        <f>solver_val=0</f>
        <v>#NAME?</v>
      </c>
      <c r="BC27" t="e">
        <f>solver_tol=0.05</f>
        <v>#NAME?</v>
      </c>
      <c r="BD27" t="e">
        <f>solver_tol=0.05</f>
        <v>#NAME?</v>
      </c>
      <c r="BF27" t="e">
        <f>solver_lhs118=NonLinLarge!$H$74</f>
        <v>#NAME?</v>
      </c>
      <c r="BL27" t="e">
        <f>solver_tol=0.01</f>
        <v>#NAME?</v>
      </c>
    </row>
    <row r="28" spans="3:69" x14ac:dyDescent="0.25">
      <c r="S28" t="e">
        <f>solver_tol=0.05</f>
        <v>#NAME?</v>
      </c>
      <c r="T28" t="e">
        <f>solver_rhs3=ConFormula!$K$12</f>
        <v>#NAME?</v>
      </c>
      <c r="U28" t="e">
        <f>solver_rhs2=ConFormulaInf!$N$11</f>
        <v>#NAME?</v>
      </c>
      <c r="AD28" t="e">
        <f>solver_tol=0.05</f>
        <v>#NAME?</v>
      </c>
      <c r="AT28" t="e">
        <f>solver_rhs5=integer</f>
        <v>#NAME?</v>
      </c>
      <c r="BC28" t="e">
        <f>solver_typ=1</f>
        <v>#NAME?</v>
      </c>
      <c r="BD28" t="e">
        <f>solver_typ=2</f>
        <v>#NAME?</v>
      </c>
      <c r="BF28" t="e">
        <f>solver_lhs119=NonLinLarge!$H$75:$H$138</f>
        <v>#NAME?</v>
      </c>
      <c r="BL28" t="e">
        <f>solver_typ=2</f>
        <v>#NAME?</v>
      </c>
    </row>
    <row r="29" spans="3:69" x14ac:dyDescent="0.25">
      <c r="S29" t="e">
        <f>solver_typ=2</f>
        <v>#NAME?</v>
      </c>
      <c r="T29" t="e">
        <f>solver_rhs4=binary</f>
        <v>#NAME?</v>
      </c>
      <c r="U29" t="e">
        <f>solver_rhs3=ConFormulaInf!$K$12</f>
        <v>#NAME?</v>
      </c>
      <c r="AD29" t="e">
        <f>solver_typ=2</f>
        <v>#NAME?</v>
      </c>
      <c r="AT29" t="e">
        <f>solver_rhs6=ComplexLayout!$U$3:$U$4</f>
        <v>#NAME?</v>
      </c>
      <c r="BC29" t="e">
        <f>solver_val=0</f>
        <v>#NAME?</v>
      </c>
      <c r="BD29" t="e">
        <f>solver_val=0</f>
        <v>#NAME?</v>
      </c>
      <c r="BF29" t="e">
        <f>solver_lhs12=NonLinLarge!$H$139</f>
        <v>#NAME?</v>
      </c>
      <c r="BL29" t="e">
        <f>solver_val=0</f>
        <v>#NAME?</v>
      </c>
    </row>
    <row r="30" spans="3:69" x14ac:dyDescent="0.25">
      <c r="S30" t="e">
        <f>solver_val=0</f>
        <v>#NAME?</v>
      </c>
      <c r="T30" t="e">
        <f>solver_rhs5=integer</f>
        <v>#NAME?</v>
      </c>
      <c r="U30" t="e">
        <f>solver_rhs4=binary</f>
        <v>#NAME?</v>
      </c>
      <c r="AD30" t="e">
        <f>solver_val=0</f>
        <v>#NAME?</v>
      </c>
      <c r="AT30" t="e">
        <f>solver_rhs7=ComplexLayout!$Q$7:$R$7</f>
        <v>#NAME?</v>
      </c>
      <c r="BF30" t="e">
        <f>solver_lhs120=NonLinLarge!$H$139</f>
        <v>#NAME?</v>
      </c>
    </row>
    <row r="31" spans="3:69" x14ac:dyDescent="0.25">
      <c r="T31" t="e">
        <f>solver_rhs6=ConFormula!$U$4:$U$5</f>
        <v>#NAME?</v>
      </c>
      <c r="U31" t="e">
        <f>solver_rhs5=integer</f>
        <v>#NAME?</v>
      </c>
      <c r="AT31" t="e">
        <f>solver_rlx=0</f>
        <v>#NAME?</v>
      </c>
      <c r="BF31" t="e">
        <f>solver_lhs121=NonLinLarge!$H$7:$H$8</f>
        <v>#NAME?</v>
      </c>
    </row>
    <row r="32" spans="3:69" x14ac:dyDescent="0.25">
      <c r="T32" t="e">
        <f>solver_rhs7=ConFormula!$Q$8:$R$8</f>
        <v>#NAME?</v>
      </c>
      <c r="U32" t="e">
        <f>solver_rhs6=ConFormulaInf!$U$4:$U$5</f>
        <v>#NAME?</v>
      </c>
      <c r="AT32" t="e">
        <f>solver_sho=0</f>
        <v>#NAME?</v>
      </c>
      <c r="BF32" t="e">
        <f>solver_lhs122=NonLinLarge!$H$9:$H$72</f>
        <v>#NAME?</v>
      </c>
    </row>
    <row r="33" spans="20:58" x14ac:dyDescent="0.25">
      <c r="T33" t="e">
        <f>solver_rhs8=ConFormula!$I$11/4+ConFormula!$B$3</f>
        <v>#NAME?</v>
      </c>
      <c r="U33" t="e">
        <f>solver_rhs7=ConFormulaInf!$Q$8:$R$8</f>
        <v>#NAME?</v>
      </c>
      <c r="AT33" t="e">
        <f>solver_tim=999999999</f>
        <v>#NAME?</v>
      </c>
      <c r="BF33" t="e">
        <f>solver_lhs123=NonLinLarge!$H$73</f>
        <v>#NAME?</v>
      </c>
    </row>
    <row r="34" spans="20:58" x14ac:dyDescent="0.25">
      <c r="T34" t="e">
        <f>solver_rlx=0</f>
        <v>#NAME?</v>
      </c>
      <c r="U34" t="e">
        <f>solver_rhs8=ConFormulaInf!$I$11/4+ConFormulaInf!$B$3</f>
        <v>#NAME?</v>
      </c>
      <c r="AT34" t="e">
        <f>solver_tol=0.05</f>
        <v>#NAME?</v>
      </c>
      <c r="BF34" t="e">
        <f>solver_lhs124=NonLinLarge!$H$74</f>
        <v>#NAME?</v>
      </c>
    </row>
    <row r="35" spans="20:58" x14ac:dyDescent="0.25">
      <c r="T35" t="e">
        <f>solver_sho=0</f>
        <v>#NAME?</v>
      </c>
      <c r="U35" t="e">
        <f>solver_rhs9=5*ConFormulaInf!$I$15-1</f>
        <v>#NAME?</v>
      </c>
      <c r="AT35" t="e">
        <f>solver_typ=2</f>
        <v>#NAME?</v>
      </c>
      <c r="BF35" t="e">
        <f>solver_lhs125=NonLinLarge!$H$75:$H$138</f>
        <v>#NAME?</v>
      </c>
    </row>
    <row r="36" spans="20:58" x14ac:dyDescent="0.25">
      <c r="T36" t="e">
        <f>solver_tim=999999999</f>
        <v>#NAME?</v>
      </c>
      <c r="U36" t="e">
        <f>solver_rlx=0</f>
        <v>#NAME?</v>
      </c>
      <c r="AT36" t="e">
        <f>solver_val=0</f>
        <v>#NAME?</v>
      </c>
      <c r="BF36" t="e">
        <f>solver_lhs126=NonLinLarge!$H$139</f>
        <v>#NAME?</v>
      </c>
    </row>
    <row r="37" spans="20:58" x14ac:dyDescent="0.25">
      <c r="T37" t="e">
        <f>solver_tol=0.05</f>
        <v>#NAME?</v>
      </c>
      <c r="U37" t="e">
        <f>solver_sho=0</f>
        <v>#NAME?</v>
      </c>
      <c r="BF37" t="e">
        <f>solver_lhs127=NonLinLarge!$H$7:$H$8</f>
        <v>#NAME?</v>
      </c>
    </row>
    <row r="38" spans="20:58" x14ac:dyDescent="0.25">
      <c r="T38" t="e">
        <f>solver_typ=2</f>
        <v>#NAME?</v>
      </c>
      <c r="U38" t="e">
        <f>solver_tim=999999999</f>
        <v>#NAME?</v>
      </c>
      <c r="BF38" t="e">
        <f>solver_lhs128=NonLinLarge!$H$9:$H$72</f>
        <v>#NAME?</v>
      </c>
    </row>
    <row r="39" spans="20:58" x14ac:dyDescent="0.25">
      <c r="T39" t="e">
        <f>solver_val=0</f>
        <v>#NAME?</v>
      </c>
      <c r="U39" t="e">
        <f>solver_tol=0.05</f>
        <v>#NAME?</v>
      </c>
      <c r="BF39" t="e">
        <f>solver_lhs129=NonLinLarge!$H$73</f>
        <v>#NAME?</v>
      </c>
    </row>
    <row r="40" spans="20:58" x14ac:dyDescent="0.25">
      <c r="U40" t="e">
        <f>solver_typ=2</f>
        <v>#NAME?</v>
      </c>
      <c r="BF40" t="e">
        <f>solver_lhs13=NonLinLarge!$H$7:$H$8</f>
        <v>#NAME?</v>
      </c>
    </row>
    <row r="41" spans="20:58" x14ac:dyDescent="0.25">
      <c r="U41" t="e">
        <f>solver_val=0</f>
        <v>#NAME?</v>
      </c>
      <c r="BF41" t="e">
        <f>solver_lhs130=NonLinLarge!$H$74</f>
        <v>#NAME?</v>
      </c>
    </row>
    <row r="42" spans="20:58" x14ac:dyDescent="0.25">
      <c r="BF42" t="e">
        <f>solver_lhs131=NonLinLarge!$H$75:$H$138</f>
        <v>#NAME?</v>
      </c>
    </row>
    <row r="43" spans="20:58" x14ac:dyDescent="0.25">
      <c r="BF43" t="e">
        <f>solver_lhs132=NonLinLarge!$H$139</f>
        <v>#NAME?</v>
      </c>
    </row>
    <row r="44" spans="20:58" x14ac:dyDescent="0.25">
      <c r="BF44" t="e">
        <f>solver_lhs133=NonLinLarge!$H$7:$H$8</f>
        <v>#NAME?</v>
      </c>
    </row>
    <row r="45" spans="20:58" x14ac:dyDescent="0.25">
      <c r="BF45" t="e">
        <f>solver_lhs134=NonLinLarge!$H$9:$H$72</f>
        <v>#NAME?</v>
      </c>
    </row>
    <row r="46" spans="20:58" x14ac:dyDescent="0.25">
      <c r="BF46" t="e">
        <f>solver_lhs135=NonLinLarge!$H$73</f>
        <v>#NAME?</v>
      </c>
    </row>
    <row r="47" spans="20:58" x14ac:dyDescent="0.25">
      <c r="BF47" t="e">
        <f>solver_lhs136=NonLinLarge!$H$74</f>
        <v>#NAME?</v>
      </c>
    </row>
    <row r="48" spans="20:58" x14ac:dyDescent="0.25">
      <c r="BF48" t="e">
        <f>solver_lhs137=NonLinLarge!$H$75:$H$138</f>
        <v>#NAME?</v>
      </c>
    </row>
    <row r="49" spans="58:58" x14ac:dyDescent="0.25">
      <c r="BF49" t="e">
        <f>solver_lhs138=NonLinLarge!$H$139</f>
        <v>#NAME?</v>
      </c>
    </row>
    <row r="50" spans="58:58" x14ac:dyDescent="0.25">
      <c r="BF50" t="e">
        <f>solver_lhs139=NonLinLarge!$H$7:$H$8</f>
        <v>#NAME?</v>
      </c>
    </row>
    <row r="51" spans="58:58" x14ac:dyDescent="0.25">
      <c r="BF51" t="e">
        <f>solver_lhs14=NonLinLarge!$H$9:$H$72</f>
        <v>#NAME?</v>
      </c>
    </row>
    <row r="52" spans="58:58" x14ac:dyDescent="0.25">
      <c r="BF52" t="e">
        <f>solver_lhs140=NonLinLarge!$H$9:$H$72</f>
        <v>#NAME?</v>
      </c>
    </row>
    <row r="53" spans="58:58" x14ac:dyDescent="0.25">
      <c r="BF53" t="e">
        <f>solver_lhs141=NonLinLarge!$H$73</f>
        <v>#NAME?</v>
      </c>
    </row>
    <row r="54" spans="58:58" x14ac:dyDescent="0.25">
      <c r="BF54" t="e">
        <f>solver_lhs142=NonLinLarge!$H$74</f>
        <v>#NAME?</v>
      </c>
    </row>
    <row r="55" spans="58:58" x14ac:dyDescent="0.25">
      <c r="BF55" t="e">
        <f>solver_lhs143=NonLinLarge!$H$75:$H$138</f>
        <v>#NAME?</v>
      </c>
    </row>
    <row r="56" spans="58:58" x14ac:dyDescent="0.25">
      <c r="BF56" t="e">
        <f>solver_lhs144=NonLinLarge!$H$139</f>
        <v>#NAME?</v>
      </c>
    </row>
    <row r="57" spans="58:58" x14ac:dyDescent="0.25">
      <c r="BF57" t="e">
        <f>solver_lhs145=NonLinLarge!$H$7:$H$8</f>
        <v>#NAME?</v>
      </c>
    </row>
    <row r="58" spans="58:58" x14ac:dyDescent="0.25">
      <c r="BF58" t="e">
        <f>solver_lhs146=NonLinLarge!$H$9:$H$72</f>
        <v>#NAME?</v>
      </c>
    </row>
    <row r="59" spans="58:58" x14ac:dyDescent="0.25">
      <c r="BF59" t="e">
        <f>solver_lhs147=NonLinLarge!$H$73</f>
        <v>#NAME?</v>
      </c>
    </row>
    <row r="60" spans="58:58" x14ac:dyDescent="0.25">
      <c r="BF60" t="e">
        <f>solver_lhs148=NonLinLarge!$H$74</f>
        <v>#NAME?</v>
      </c>
    </row>
    <row r="61" spans="58:58" x14ac:dyDescent="0.25">
      <c r="BF61" t="e">
        <f>solver_lhs149=NonLinLarge!$H$75:$H$138</f>
        <v>#NAME?</v>
      </c>
    </row>
    <row r="62" spans="58:58" x14ac:dyDescent="0.25">
      <c r="BF62" t="e">
        <f>solver_lhs15=NonLinLarge!$H$73</f>
        <v>#NAME?</v>
      </c>
    </row>
    <row r="63" spans="58:58" x14ac:dyDescent="0.25">
      <c r="BF63" t="e">
        <f>solver_lhs150=NonLinLarge!$H$139</f>
        <v>#NAME?</v>
      </c>
    </row>
    <row r="64" spans="58:58" x14ac:dyDescent="0.25">
      <c r="BF64" t="e">
        <f>solver_lhs151=NonLinLarge!$H$7:$H$8</f>
        <v>#NAME?</v>
      </c>
    </row>
    <row r="65" spans="58:58" x14ac:dyDescent="0.25">
      <c r="BF65" t="e">
        <f>solver_lhs152=NonLinLarge!$H$9:$H$72</f>
        <v>#NAME?</v>
      </c>
    </row>
    <row r="66" spans="58:58" x14ac:dyDescent="0.25">
      <c r="BF66" t="e">
        <f>solver_lhs153=NonLinLarge!$H$73</f>
        <v>#NAME?</v>
      </c>
    </row>
    <row r="67" spans="58:58" x14ac:dyDescent="0.25">
      <c r="BF67" t="e">
        <f>solver_lhs154=NonLinLarge!$H$74</f>
        <v>#NAME?</v>
      </c>
    </row>
    <row r="68" spans="58:58" x14ac:dyDescent="0.25">
      <c r="BF68" t="e">
        <f>solver_lhs155=NonLinLarge!$H$75:$H$138</f>
        <v>#NAME?</v>
      </c>
    </row>
    <row r="69" spans="58:58" x14ac:dyDescent="0.25">
      <c r="BF69" t="e">
        <f>solver_lhs156=NonLinLarge!$H$139</f>
        <v>#NAME?</v>
      </c>
    </row>
    <row r="70" spans="58:58" x14ac:dyDescent="0.25">
      <c r="BF70" t="e">
        <f>solver_lhs157=NonLinLarge!$H$7:$H$8</f>
        <v>#NAME?</v>
      </c>
    </row>
    <row r="71" spans="58:58" x14ac:dyDescent="0.25">
      <c r="BF71" t="e">
        <f>solver_lhs158=NonLinLarge!$H$9:$H$72</f>
        <v>#NAME?</v>
      </c>
    </row>
    <row r="72" spans="58:58" x14ac:dyDescent="0.25">
      <c r="BF72" t="e">
        <f>solver_lhs159=NonLinLarge!$H$73</f>
        <v>#NAME?</v>
      </c>
    </row>
    <row r="73" spans="58:58" x14ac:dyDescent="0.25">
      <c r="BF73" t="e">
        <f>solver_lhs16=NonLinLarge!$H$74</f>
        <v>#NAME?</v>
      </c>
    </row>
    <row r="74" spans="58:58" x14ac:dyDescent="0.25">
      <c r="BF74" t="e">
        <f>solver_lhs160=NonLinLarge!$H$74</f>
        <v>#NAME?</v>
      </c>
    </row>
    <row r="75" spans="58:58" x14ac:dyDescent="0.25">
      <c r="BF75" t="e">
        <f>solver_lhs161=NonLinLarge!$H$75:$H$138</f>
        <v>#NAME?</v>
      </c>
    </row>
    <row r="76" spans="58:58" x14ac:dyDescent="0.25">
      <c r="BF76" t="e">
        <f>solver_lhs162=NonLinLarge!$H$139</f>
        <v>#NAME?</v>
      </c>
    </row>
    <row r="77" spans="58:58" x14ac:dyDescent="0.25">
      <c r="BF77" t="e">
        <f>solver_lhs163=NonLinLarge!$H$7:$H$8</f>
        <v>#NAME?</v>
      </c>
    </row>
    <row r="78" spans="58:58" x14ac:dyDescent="0.25">
      <c r="BF78" t="e">
        <f>solver_lhs164=NonLinLarge!$H$9:$H$72</f>
        <v>#NAME?</v>
      </c>
    </row>
    <row r="79" spans="58:58" x14ac:dyDescent="0.25">
      <c r="BF79" t="e">
        <f>solver_lhs165=NonLinLarge!$H$73</f>
        <v>#NAME?</v>
      </c>
    </row>
    <row r="80" spans="58:58" x14ac:dyDescent="0.25">
      <c r="BF80" t="e">
        <f>solver_lhs166=NonLinLarge!$H$74</f>
        <v>#NAME?</v>
      </c>
    </row>
    <row r="81" spans="58:58" x14ac:dyDescent="0.25">
      <c r="BF81" t="e">
        <f>solver_lhs167=NonLinLarge!$H$75:$H$138</f>
        <v>#NAME?</v>
      </c>
    </row>
    <row r="82" spans="58:58" x14ac:dyDescent="0.25">
      <c r="BF82" t="e">
        <f>solver_lhs168=NonLinLarge!$H$139</f>
        <v>#NAME?</v>
      </c>
    </row>
    <row r="83" spans="58:58" x14ac:dyDescent="0.25">
      <c r="BF83" t="e">
        <f>solver_lhs169=NonLinLarge!$H$7:$H$8</f>
        <v>#NAME?</v>
      </c>
    </row>
    <row r="84" spans="58:58" x14ac:dyDescent="0.25">
      <c r="BF84" t="e">
        <f>solver_lhs17=NonLinLarge!$H$75:$H$138</f>
        <v>#NAME?</v>
      </c>
    </row>
    <row r="85" spans="58:58" x14ac:dyDescent="0.25">
      <c r="BF85" t="e">
        <f>solver_lhs170=NonLinLarge!$H$9:$H$72</f>
        <v>#NAME?</v>
      </c>
    </row>
    <row r="86" spans="58:58" x14ac:dyDescent="0.25">
      <c r="BF86" t="e">
        <f>solver_lhs171=NonLinLarge!$H$73</f>
        <v>#NAME?</v>
      </c>
    </row>
    <row r="87" spans="58:58" x14ac:dyDescent="0.25">
      <c r="BF87" t="e">
        <f>solver_lhs172=NonLinLarge!$H$74</f>
        <v>#NAME?</v>
      </c>
    </row>
    <row r="88" spans="58:58" x14ac:dyDescent="0.25">
      <c r="BF88" t="e">
        <f>solver_lhs173=NonLinLarge!$H$75:$H$138</f>
        <v>#NAME?</v>
      </c>
    </row>
    <row r="89" spans="58:58" x14ac:dyDescent="0.25">
      <c r="BF89" t="e">
        <f>solver_lhs174=NonLinLarge!$H$139</f>
        <v>#NAME?</v>
      </c>
    </row>
    <row r="90" spans="58:58" x14ac:dyDescent="0.25">
      <c r="BF90" t="e">
        <f>solver_lhs175=NonLinLarge!$H$7:$H$8</f>
        <v>#NAME?</v>
      </c>
    </row>
    <row r="91" spans="58:58" x14ac:dyDescent="0.25">
      <c r="BF91" t="e">
        <f>solver_lhs176=NonLinLarge!$H$9:$H$72</f>
        <v>#NAME?</v>
      </c>
    </row>
    <row r="92" spans="58:58" x14ac:dyDescent="0.25">
      <c r="BF92" t="e">
        <f>solver_lhs177=NonLinLarge!$H$73</f>
        <v>#NAME?</v>
      </c>
    </row>
    <row r="93" spans="58:58" x14ac:dyDescent="0.25">
      <c r="BF93" t="e">
        <f>solver_lhs178=NonLinLarge!$H$74</f>
        <v>#NAME?</v>
      </c>
    </row>
    <row r="94" spans="58:58" x14ac:dyDescent="0.25">
      <c r="BF94" t="e">
        <f>solver_lhs179=NonLinLarge!$H$75:$H$138</f>
        <v>#NAME?</v>
      </c>
    </row>
    <row r="95" spans="58:58" x14ac:dyDescent="0.25">
      <c r="BF95" t="e">
        <f>solver_lhs18=NonLinLarge!$H$139</f>
        <v>#NAME?</v>
      </c>
    </row>
    <row r="96" spans="58:58" x14ac:dyDescent="0.25">
      <c r="BF96" t="e">
        <f>solver_lhs180=NonLinLarge!$H$139</f>
        <v>#NAME?</v>
      </c>
    </row>
    <row r="97" spans="58:58" x14ac:dyDescent="0.25">
      <c r="BF97" t="e">
        <f>solver_lhs181=NonLinLarge!$H$7:$H$8</f>
        <v>#NAME?</v>
      </c>
    </row>
    <row r="98" spans="58:58" x14ac:dyDescent="0.25">
      <c r="BF98" t="e">
        <f>solver_lhs182=NonLinLarge!$H$9:$H$72</f>
        <v>#NAME?</v>
      </c>
    </row>
    <row r="99" spans="58:58" x14ac:dyDescent="0.25">
      <c r="BF99" t="e">
        <f>solver_lhs183=NonLinLarge!$H$73</f>
        <v>#NAME?</v>
      </c>
    </row>
    <row r="100" spans="58:58" x14ac:dyDescent="0.25">
      <c r="BF100" t="e">
        <f>solver_lhs184=NonLinLarge!$H$74</f>
        <v>#NAME?</v>
      </c>
    </row>
    <row r="101" spans="58:58" x14ac:dyDescent="0.25">
      <c r="BF101" t="e">
        <f>solver_lhs185=NonLinLarge!$H$75:$H$138</f>
        <v>#NAME?</v>
      </c>
    </row>
    <row r="102" spans="58:58" x14ac:dyDescent="0.25">
      <c r="BF102" t="e">
        <f>solver_lhs186=NonLinLarge!$H$139</f>
        <v>#NAME?</v>
      </c>
    </row>
    <row r="103" spans="58:58" x14ac:dyDescent="0.25">
      <c r="BF103" t="e">
        <f>solver_lhs187=NonLinLarge!$H$7:$H$8</f>
        <v>#NAME?</v>
      </c>
    </row>
    <row r="104" spans="58:58" x14ac:dyDescent="0.25">
      <c r="BF104" t="e">
        <f>solver_lhs188=NonLinLarge!$H$9:$H$72</f>
        <v>#NAME?</v>
      </c>
    </row>
    <row r="105" spans="58:58" x14ac:dyDescent="0.25">
      <c r="BF105" t="e">
        <f>solver_lhs189=NonLinLarge!$H$73</f>
        <v>#NAME?</v>
      </c>
    </row>
    <row r="106" spans="58:58" x14ac:dyDescent="0.25">
      <c r="BF106" t="e">
        <f>solver_lhs19=NonLinLarge!$H$7:$H$8</f>
        <v>#NAME?</v>
      </c>
    </row>
    <row r="107" spans="58:58" x14ac:dyDescent="0.25">
      <c r="BF107" t="e">
        <f>solver_lhs190=NonLinLarge!$H$74</f>
        <v>#NAME?</v>
      </c>
    </row>
    <row r="108" spans="58:58" x14ac:dyDescent="0.25">
      <c r="BF108" t="e">
        <f>solver_lhs191=NonLinLarge!$H$75:$H$138</f>
        <v>#NAME?</v>
      </c>
    </row>
    <row r="109" spans="58:58" x14ac:dyDescent="0.25">
      <c r="BF109" t="e">
        <f>solver_lhs192=NonLinLarge!$H$139</f>
        <v>#NAME?</v>
      </c>
    </row>
    <row r="110" spans="58:58" x14ac:dyDescent="0.25">
      <c r="BF110" t="e">
        <f>solver_lhs193=NonLinLarge!$H$7:$H$8</f>
        <v>#NAME?</v>
      </c>
    </row>
    <row r="111" spans="58:58" x14ac:dyDescent="0.25">
      <c r="BF111" t="e">
        <f>solver_lhs194=NonLinLarge!$H$9:$H$72</f>
        <v>#NAME?</v>
      </c>
    </row>
    <row r="112" spans="58:58" x14ac:dyDescent="0.25">
      <c r="BF112" t="e">
        <f>solver_lhs195=NonLinLarge!$H$73</f>
        <v>#NAME?</v>
      </c>
    </row>
    <row r="113" spans="58:58" x14ac:dyDescent="0.25">
      <c r="BF113" t="e">
        <f>solver_lhs196=NonLinLarge!$H$74</f>
        <v>#NAME?</v>
      </c>
    </row>
    <row r="114" spans="58:58" x14ac:dyDescent="0.25">
      <c r="BF114" t="e">
        <f>solver_lhs197=NonLinLarge!$H$75:$H$138</f>
        <v>#NAME?</v>
      </c>
    </row>
    <row r="115" spans="58:58" x14ac:dyDescent="0.25">
      <c r="BF115" t="e">
        <f>solver_lhs198=NonLinLarge!$H$139</f>
        <v>#NAME?</v>
      </c>
    </row>
    <row r="116" spans="58:58" x14ac:dyDescent="0.25">
      <c r="BF116" t="e">
        <f>solver_lhs199=NonLinLarge!$H$7:$H$8</f>
        <v>#NAME?</v>
      </c>
    </row>
    <row r="117" spans="58:58" x14ac:dyDescent="0.25">
      <c r="BF117" t="e">
        <f>solver_lhs2=NonLinLarge!$H$9:$H$72</f>
        <v>#NAME?</v>
      </c>
    </row>
    <row r="118" spans="58:58" x14ac:dyDescent="0.25">
      <c r="BF118" t="e">
        <f>solver_lhs20=NonLinLarge!$H$9:$H$72</f>
        <v>#NAME?</v>
      </c>
    </row>
    <row r="119" spans="58:58" x14ac:dyDescent="0.25">
      <c r="BF119" t="e">
        <f>solver_lhs200=NonLinLarge!$H$9:$H$72</f>
        <v>#NAME?</v>
      </c>
    </row>
    <row r="120" spans="58:58" x14ac:dyDescent="0.25">
      <c r="BF120" t="e">
        <f>solver_lhs201=NonLinLarge!$H$73</f>
        <v>#NAME?</v>
      </c>
    </row>
    <row r="121" spans="58:58" x14ac:dyDescent="0.25">
      <c r="BF121" t="e">
        <f>solver_lhs202=NonLinLarge!$H$74</f>
        <v>#NAME?</v>
      </c>
    </row>
    <row r="122" spans="58:58" x14ac:dyDescent="0.25">
      <c r="BF122" t="e">
        <f>solver_lhs203=NonLinLarge!$H$75:$H$138</f>
        <v>#NAME?</v>
      </c>
    </row>
    <row r="123" spans="58:58" x14ac:dyDescent="0.25">
      <c r="BF123" t="e">
        <f>solver_lhs204=NonLinLarge!$H$139</f>
        <v>#NAME?</v>
      </c>
    </row>
    <row r="124" spans="58:58" x14ac:dyDescent="0.25">
      <c r="BF124" t="e">
        <f>solver_lhs205=NonLinLarge!$H$7:$H$8</f>
        <v>#NAME?</v>
      </c>
    </row>
    <row r="125" spans="58:58" x14ac:dyDescent="0.25">
      <c r="BF125" t="e">
        <f>solver_lhs206=NonLinLarge!$H$9:$H$72</f>
        <v>#NAME?</v>
      </c>
    </row>
    <row r="126" spans="58:58" x14ac:dyDescent="0.25">
      <c r="BF126" t="e">
        <f>solver_lhs207=NonLinLarge!$H$73</f>
        <v>#NAME?</v>
      </c>
    </row>
    <row r="127" spans="58:58" x14ac:dyDescent="0.25">
      <c r="BF127" t="e">
        <f>solver_lhs208=NonLinLarge!$H$74</f>
        <v>#NAME?</v>
      </c>
    </row>
    <row r="128" spans="58:58" x14ac:dyDescent="0.25">
      <c r="BF128" t="e">
        <f>solver_lhs209=NonLinLarge!$H$75:$H$138</f>
        <v>#NAME?</v>
      </c>
    </row>
    <row r="129" spans="58:58" x14ac:dyDescent="0.25">
      <c r="BF129" t="e">
        <f>solver_lhs21=NonLinLarge!$H$73</f>
        <v>#NAME?</v>
      </c>
    </row>
    <row r="130" spans="58:58" x14ac:dyDescent="0.25">
      <c r="BF130" t="e">
        <f>solver_lhs210=NonLinLarge!$H$139</f>
        <v>#NAME?</v>
      </c>
    </row>
    <row r="131" spans="58:58" x14ac:dyDescent="0.25">
      <c r="BF131" t="e">
        <f>solver_lhs211=NonLinLarge!$H$7:$H$8</f>
        <v>#NAME?</v>
      </c>
    </row>
    <row r="132" spans="58:58" x14ac:dyDescent="0.25">
      <c r="BF132" t="e">
        <f>solver_lhs212=NonLinLarge!$H$9:$H$72</f>
        <v>#NAME?</v>
      </c>
    </row>
    <row r="133" spans="58:58" x14ac:dyDescent="0.25">
      <c r="BF133" t="e">
        <f>solver_lhs213=NonLinLarge!$H$73</f>
        <v>#NAME?</v>
      </c>
    </row>
    <row r="134" spans="58:58" x14ac:dyDescent="0.25">
      <c r="BF134" t="e">
        <f>solver_lhs214=NonLinLarge!$H$74</f>
        <v>#NAME?</v>
      </c>
    </row>
    <row r="135" spans="58:58" x14ac:dyDescent="0.25">
      <c r="BF135" t="e">
        <f>solver_lhs215=NonLinLarge!$H$75:$H$138</f>
        <v>#NAME?</v>
      </c>
    </row>
    <row r="136" spans="58:58" x14ac:dyDescent="0.25">
      <c r="BF136" t="e">
        <f>solver_lhs216=NonLinLarge!$H$139</f>
        <v>#NAME?</v>
      </c>
    </row>
    <row r="137" spans="58:58" x14ac:dyDescent="0.25">
      <c r="BF137" t="e">
        <f>solver_lhs217=NonLinLarge!$H$7:$H$8</f>
        <v>#NAME?</v>
      </c>
    </row>
    <row r="138" spans="58:58" x14ac:dyDescent="0.25">
      <c r="BF138" t="e">
        <f>solver_lhs218=NonLinLarge!$H$9:$H$72</f>
        <v>#NAME?</v>
      </c>
    </row>
    <row r="139" spans="58:58" x14ac:dyDescent="0.25">
      <c r="BF139" t="e">
        <f>solver_lhs219=NonLinLarge!$H$73</f>
        <v>#NAME?</v>
      </c>
    </row>
    <row r="140" spans="58:58" x14ac:dyDescent="0.25">
      <c r="BF140" t="e">
        <f>solver_lhs22=NonLinLarge!$H$74</f>
        <v>#NAME?</v>
      </c>
    </row>
    <row r="141" spans="58:58" x14ac:dyDescent="0.25">
      <c r="BF141" t="e">
        <f>solver_lhs220=NonLinLarge!$H$74</f>
        <v>#NAME?</v>
      </c>
    </row>
    <row r="142" spans="58:58" x14ac:dyDescent="0.25">
      <c r="BF142" t="e">
        <f>solver_lhs221=NonLinLarge!$H$75:$H$138</f>
        <v>#NAME?</v>
      </c>
    </row>
    <row r="143" spans="58:58" x14ac:dyDescent="0.25">
      <c r="BF143" t="e">
        <f>solver_lhs222=NonLinLarge!$H$139</f>
        <v>#NAME?</v>
      </c>
    </row>
    <row r="144" spans="58:58" x14ac:dyDescent="0.25">
      <c r="BF144" t="e">
        <f>solver_lhs223=NonLinLarge!$H$7:$H$8</f>
        <v>#NAME?</v>
      </c>
    </row>
    <row r="145" spans="58:58" x14ac:dyDescent="0.25">
      <c r="BF145" t="e">
        <f>solver_lhs224=NonLinLarge!$H$9:$H$72</f>
        <v>#NAME?</v>
      </c>
    </row>
    <row r="146" spans="58:58" x14ac:dyDescent="0.25">
      <c r="BF146" t="e">
        <f>solver_lhs225=NonLinLarge!$H$73</f>
        <v>#NAME?</v>
      </c>
    </row>
    <row r="147" spans="58:58" x14ac:dyDescent="0.25">
      <c r="BF147" t="e">
        <f>solver_lhs226=NonLinLarge!$H$74</f>
        <v>#NAME?</v>
      </c>
    </row>
    <row r="148" spans="58:58" x14ac:dyDescent="0.25">
      <c r="BF148" t="e">
        <f>solver_lhs227=NonLinLarge!$H$75:$H$138</f>
        <v>#NAME?</v>
      </c>
    </row>
    <row r="149" spans="58:58" x14ac:dyDescent="0.25">
      <c r="BF149" t="e">
        <f>solver_lhs228=NonLinLarge!$H$139</f>
        <v>#NAME?</v>
      </c>
    </row>
    <row r="150" spans="58:58" x14ac:dyDescent="0.25">
      <c r="BF150" t="e">
        <f>solver_lhs229=NonLinLarge!$H$7:$H$8</f>
        <v>#NAME?</v>
      </c>
    </row>
    <row r="151" spans="58:58" x14ac:dyDescent="0.25">
      <c r="BF151" t="e">
        <f>solver_lhs23=NonLinLarge!$H$75:$H$138</f>
        <v>#NAME?</v>
      </c>
    </row>
    <row r="152" spans="58:58" x14ac:dyDescent="0.25">
      <c r="BF152" t="e">
        <f>solver_lhs230=NonLinLarge!$H$9:$H$72</f>
        <v>#NAME?</v>
      </c>
    </row>
    <row r="153" spans="58:58" x14ac:dyDescent="0.25">
      <c r="BF153" t="e">
        <f>solver_lhs231=NonLinLarge!$H$73</f>
        <v>#NAME?</v>
      </c>
    </row>
    <row r="154" spans="58:58" x14ac:dyDescent="0.25">
      <c r="BF154" t="e">
        <f>solver_lhs232=NonLinLarge!$H$74</f>
        <v>#NAME?</v>
      </c>
    </row>
    <row r="155" spans="58:58" x14ac:dyDescent="0.25">
      <c r="BF155" t="e">
        <f>solver_lhs233=NonLinLarge!$H$75:$H$138</f>
        <v>#NAME?</v>
      </c>
    </row>
    <row r="156" spans="58:58" x14ac:dyDescent="0.25">
      <c r="BF156" t="e">
        <f>solver_lhs234=NonLinLarge!$H$139</f>
        <v>#NAME?</v>
      </c>
    </row>
    <row r="157" spans="58:58" x14ac:dyDescent="0.25">
      <c r="BF157" t="e">
        <f>solver_lhs235=NonLinLarge!$H$7:$H$8</f>
        <v>#NAME?</v>
      </c>
    </row>
    <row r="158" spans="58:58" x14ac:dyDescent="0.25">
      <c r="BF158" t="e">
        <f>solver_lhs236=NonLinLarge!$H$9:$H$72</f>
        <v>#NAME?</v>
      </c>
    </row>
    <row r="159" spans="58:58" x14ac:dyDescent="0.25">
      <c r="BF159" t="e">
        <f>solver_lhs237=NonLinLarge!$H$73</f>
        <v>#NAME?</v>
      </c>
    </row>
    <row r="160" spans="58:58" x14ac:dyDescent="0.25">
      <c r="BF160" t="e">
        <f>solver_lhs238=NonLinLarge!$H$74</f>
        <v>#NAME?</v>
      </c>
    </row>
    <row r="161" spans="58:58" x14ac:dyDescent="0.25">
      <c r="BF161" t="e">
        <f>solver_lhs239=NonLinLarge!$H$75:$H$138</f>
        <v>#NAME?</v>
      </c>
    </row>
    <row r="162" spans="58:58" x14ac:dyDescent="0.25">
      <c r="BF162" t="e">
        <f>solver_lhs24=NonLinLarge!$H$139</f>
        <v>#NAME?</v>
      </c>
    </row>
    <row r="163" spans="58:58" x14ac:dyDescent="0.25">
      <c r="BF163" t="e">
        <f>solver_lhs240=NonLinLarge!$H$139</f>
        <v>#NAME?</v>
      </c>
    </row>
    <row r="164" spans="58:58" x14ac:dyDescent="0.25">
      <c r="BF164" t="e">
        <f>solver_lhs241=NonLinLarge!$H$7:$H$8</f>
        <v>#NAME?</v>
      </c>
    </row>
    <row r="165" spans="58:58" x14ac:dyDescent="0.25">
      <c r="BF165" t="e">
        <f>solver_lhs242=NonLinLarge!$H$9:$H$72</f>
        <v>#NAME?</v>
      </c>
    </row>
    <row r="166" spans="58:58" x14ac:dyDescent="0.25">
      <c r="BF166" t="e">
        <f>solver_lhs243=NonLinLarge!$H$73</f>
        <v>#NAME?</v>
      </c>
    </row>
    <row r="167" spans="58:58" x14ac:dyDescent="0.25">
      <c r="BF167" t="e">
        <f>solver_lhs244=NonLinLarge!$H$74</f>
        <v>#NAME?</v>
      </c>
    </row>
    <row r="168" spans="58:58" x14ac:dyDescent="0.25">
      <c r="BF168" t="e">
        <f>solver_lhs245=NonLinLarge!$H$75:$H$138</f>
        <v>#NAME?</v>
      </c>
    </row>
    <row r="169" spans="58:58" x14ac:dyDescent="0.25">
      <c r="BF169" t="e">
        <f>solver_lhs246=NonLinLarge!$H$139</f>
        <v>#NAME?</v>
      </c>
    </row>
    <row r="170" spans="58:58" x14ac:dyDescent="0.25">
      <c r="BF170" t="e">
        <f>solver_lhs247=NonLinLarge!$H$7:$H$8</f>
        <v>#NAME?</v>
      </c>
    </row>
    <row r="171" spans="58:58" x14ac:dyDescent="0.25">
      <c r="BF171" t="e">
        <f>solver_lhs248=NonLinLarge!$H$9:$H$72</f>
        <v>#NAME?</v>
      </c>
    </row>
    <row r="172" spans="58:58" x14ac:dyDescent="0.25">
      <c r="BF172" t="e">
        <f>solver_lhs249=NonLinLarge!$H$73</f>
        <v>#NAME?</v>
      </c>
    </row>
    <row r="173" spans="58:58" x14ac:dyDescent="0.25">
      <c r="BF173" t="e">
        <f>solver_lhs25=NonLinLarge!$H$7:$H$8</f>
        <v>#NAME?</v>
      </c>
    </row>
    <row r="174" spans="58:58" x14ac:dyDescent="0.25">
      <c r="BF174" t="e">
        <f>solver_lhs250=NonLinLarge!$H$74</f>
        <v>#NAME?</v>
      </c>
    </row>
    <row r="175" spans="58:58" x14ac:dyDescent="0.25">
      <c r="BF175" t="e">
        <f>solver_lhs251=NonLinLarge!$H$75:$H$138</f>
        <v>#NAME?</v>
      </c>
    </row>
    <row r="176" spans="58:58" x14ac:dyDescent="0.25">
      <c r="BF176" t="e">
        <f>solver_lhs252=NonLinLarge!$H$139</f>
        <v>#NAME?</v>
      </c>
    </row>
    <row r="177" spans="58:58" x14ac:dyDescent="0.25">
      <c r="BF177" t="e">
        <f>solver_lhs253=NonLinLarge!$H$7:$H$8</f>
        <v>#NAME?</v>
      </c>
    </row>
    <row r="178" spans="58:58" x14ac:dyDescent="0.25">
      <c r="BF178" t="e">
        <f>solver_lhs254=NonLinLarge!$H$9:$H$72</f>
        <v>#NAME?</v>
      </c>
    </row>
    <row r="179" spans="58:58" x14ac:dyDescent="0.25">
      <c r="BF179" t="e">
        <f>solver_lhs255=NonLinLarge!$H$73</f>
        <v>#NAME?</v>
      </c>
    </row>
    <row r="180" spans="58:58" x14ac:dyDescent="0.25">
      <c r="BF180" t="e">
        <f>solver_lhs256=NonLinLarge!$H$74</f>
        <v>#NAME?</v>
      </c>
    </row>
    <row r="181" spans="58:58" x14ac:dyDescent="0.25">
      <c r="BF181" t="e">
        <f>solver_lhs257=NonLinLarge!$H$75:$H$138</f>
        <v>#NAME?</v>
      </c>
    </row>
    <row r="182" spans="58:58" x14ac:dyDescent="0.25">
      <c r="BF182" t="e">
        <f>solver_lhs258=NonLinLarge!$H$139</f>
        <v>#NAME?</v>
      </c>
    </row>
    <row r="183" spans="58:58" x14ac:dyDescent="0.25">
      <c r="BF183" t="e">
        <f>solver_lhs259=NonLinLarge!$H$7:$H$8</f>
        <v>#NAME?</v>
      </c>
    </row>
    <row r="184" spans="58:58" x14ac:dyDescent="0.25">
      <c r="BF184" t="e">
        <f>solver_lhs26=NonLinLarge!$H$9:$H$72</f>
        <v>#NAME?</v>
      </c>
    </row>
    <row r="185" spans="58:58" x14ac:dyDescent="0.25">
      <c r="BF185" t="e">
        <f>solver_lhs260=NonLinLarge!$H$9:$H$72</f>
        <v>#NAME?</v>
      </c>
    </row>
    <row r="186" spans="58:58" x14ac:dyDescent="0.25">
      <c r="BF186" t="e">
        <f>solver_lhs261=NonLinLarge!$H$73</f>
        <v>#NAME?</v>
      </c>
    </row>
    <row r="187" spans="58:58" x14ac:dyDescent="0.25">
      <c r="BF187" t="e">
        <f>solver_lhs262=NonLinLarge!$H$74</f>
        <v>#NAME?</v>
      </c>
    </row>
    <row r="188" spans="58:58" x14ac:dyDescent="0.25">
      <c r="BF188" t="e">
        <f>solver_lhs263=NonLinLarge!$H$75:$H$138</f>
        <v>#NAME?</v>
      </c>
    </row>
    <row r="189" spans="58:58" x14ac:dyDescent="0.25">
      <c r="BF189" t="e">
        <f>solver_lhs264=NonLinLarge!$H$139</f>
        <v>#NAME?</v>
      </c>
    </row>
    <row r="190" spans="58:58" x14ac:dyDescent="0.25">
      <c r="BF190" t="e">
        <f>solver_lhs265=NonLinLarge!$H$7:$H$8</f>
        <v>#NAME?</v>
      </c>
    </row>
    <row r="191" spans="58:58" x14ac:dyDescent="0.25">
      <c r="BF191" t="e">
        <f>solver_lhs266=NonLinLarge!$H$9:$H$72</f>
        <v>#NAME?</v>
      </c>
    </row>
    <row r="192" spans="58:58" x14ac:dyDescent="0.25">
      <c r="BF192" t="e">
        <f>solver_lhs267=NonLinLarge!$H$73</f>
        <v>#NAME?</v>
      </c>
    </row>
    <row r="193" spans="58:58" x14ac:dyDescent="0.25">
      <c r="BF193" t="e">
        <f>solver_lhs268=NonLinLarge!$H$74</f>
        <v>#NAME?</v>
      </c>
    </row>
    <row r="194" spans="58:58" x14ac:dyDescent="0.25">
      <c r="BF194" t="e">
        <f>solver_lhs269=NonLinLarge!$H$75:$H$138</f>
        <v>#NAME?</v>
      </c>
    </row>
    <row r="195" spans="58:58" x14ac:dyDescent="0.25">
      <c r="BF195" t="e">
        <f>solver_lhs27=NonLinLarge!$H$73</f>
        <v>#NAME?</v>
      </c>
    </row>
    <row r="196" spans="58:58" x14ac:dyDescent="0.25">
      <c r="BF196" t="e">
        <f>solver_lhs270=NonLinLarge!$H$139</f>
        <v>#NAME?</v>
      </c>
    </row>
    <row r="197" spans="58:58" x14ac:dyDescent="0.25">
      <c r="BF197" t="e">
        <f>solver_lhs271=NonLinLarge!$H$7:$H$8</f>
        <v>#NAME?</v>
      </c>
    </row>
    <row r="198" spans="58:58" x14ac:dyDescent="0.25">
      <c r="BF198" t="e">
        <f>solver_lhs272=NonLinLarge!$H$9:$H$72</f>
        <v>#NAME?</v>
      </c>
    </row>
    <row r="199" spans="58:58" x14ac:dyDescent="0.25">
      <c r="BF199" t="e">
        <f>solver_lhs273=NonLinLarge!$H$73</f>
        <v>#NAME?</v>
      </c>
    </row>
    <row r="200" spans="58:58" x14ac:dyDescent="0.25">
      <c r="BF200" t="e">
        <f>solver_lhs274=NonLinLarge!$H$74</f>
        <v>#NAME?</v>
      </c>
    </row>
    <row r="201" spans="58:58" x14ac:dyDescent="0.25">
      <c r="BF201" t="e">
        <f>solver_lhs275=NonLinLarge!$H$75:$H$138</f>
        <v>#NAME?</v>
      </c>
    </row>
    <row r="202" spans="58:58" x14ac:dyDescent="0.25">
      <c r="BF202" t="e">
        <f>solver_lhs276=NonLinLarge!$H$139</f>
        <v>#NAME?</v>
      </c>
    </row>
    <row r="203" spans="58:58" x14ac:dyDescent="0.25">
      <c r="BF203" t="e">
        <f>solver_lhs277=NonLinLarge!$H$7:$H$8</f>
        <v>#NAME?</v>
      </c>
    </row>
    <row r="204" spans="58:58" x14ac:dyDescent="0.25">
      <c r="BF204" t="e">
        <f>solver_lhs278=NonLinLarge!$H$9:$H$72</f>
        <v>#NAME?</v>
      </c>
    </row>
    <row r="205" spans="58:58" x14ac:dyDescent="0.25">
      <c r="BF205" t="e">
        <f>solver_lhs279=NonLinLarge!$H$73</f>
        <v>#NAME?</v>
      </c>
    </row>
    <row r="206" spans="58:58" x14ac:dyDescent="0.25">
      <c r="BF206" t="e">
        <f>solver_lhs28=NonLinLarge!$H$74</f>
        <v>#NAME?</v>
      </c>
    </row>
    <row r="207" spans="58:58" x14ac:dyDescent="0.25">
      <c r="BF207" t="e">
        <f>solver_lhs280=NonLinLarge!$H$74</f>
        <v>#NAME?</v>
      </c>
    </row>
    <row r="208" spans="58:58" x14ac:dyDescent="0.25">
      <c r="BF208" t="e">
        <f>solver_lhs281=NonLinLarge!$H$75:$H$138</f>
        <v>#NAME?</v>
      </c>
    </row>
    <row r="209" spans="58:58" x14ac:dyDescent="0.25">
      <c r="BF209" t="e">
        <f>solver_lhs282=NonLinLarge!$H$139</f>
        <v>#NAME?</v>
      </c>
    </row>
    <row r="210" spans="58:58" x14ac:dyDescent="0.25">
      <c r="BF210" t="e">
        <f>solver_lhs283=NonLinLarge!$H$7:$H$8</f>
        <v>#NAME?</v>
      </c>
    </row>
    <row r="211" spans="58:58" x14ac:dyDescent="0.25">
      <c r="BF211" t="e">
        <f>solver_lhs284=NonLinLarge!$H$9:$H$72</f>
        <v>#NAME?</v>
      </c>
    </row>
    <row r="212" spans="58:58" x14ac:dyDescent="0.25">
      <c r="BF212" t="e">
        <f>solver_lhs285=NonLinLarge!$H$73</f>
        <v>#NAME?</v>
      </c>
    </row>
    <row r="213" spans="58:58" x14ac:dyDescent="0.25">
      <c r="BF213" t="e">
        <f>solver_lhs286=NonLinLarge!$H$74</f>
        <v>#NAME?</v>
      </c>
    </row>
    <row r="214" spans="58:58" x14ac:dyDescent="0.25">
      <c r="BF214" t="e">
        <f>solver_lhs287=NonLinLarge!$H$75:$H$138</f>
        <v>#NAME?</v>
      </c>
    </row>
    <row r="215" spans="58:58" x14ac:dyDescent="0.25">
      <c r="BF215" t="e">
        <f>solver_lhs288=NonLinLarge!$H$139</f>
        <v>#NAME?</v>
      </c>
    </row>
    <row r="216" spans="58:58" x14ac:dyDescent="0.25">
      <c r="BF216" t="e">
        <f>solver_lhs289=NonLinLarge!$H$7:$H$8</f>
        <v>#NAME?</v>
      </c>
    </row>
    <row r="217" spans="58:58" x14ac:dyDescent="0.25">
      <c r="BF217" t="e">
        <f>solver_lhs29=NonLinLarge!$H$75:$H$138</f>
        <v>#NAME?</v>
      </c>
    </row>
    <row r="218" spans="58:58" x14ac:dyDescent="0.25">
      <c r="BF218" t="e">
        <f>solver_lhs290=NonLinLarge!$H$9:$H$72</f>
        <v>#NAME?</v>
      </c>
    </row>
    <row r="219" spans="58:58" x14ac:dyDescent="0.25">
      <c r="BF219" t="e">
        <f>solver_lhs291=NonLinLarge!$H$73</f>
        <v>#NAME?</v>
      </c>
    </row>
    <row r="220" spans="58:58" x14ac:dyDescent="0.25">
      <c r="BF220" t="e">
        <f>solver_lhs292=NonLinLarge!$H$74</f>
        <v>#NAME?</v>
      </c>
    </row>
    <row r="221" spans="58:58" x14ac:dyDescent="0.25">
      <c r="BF221" t="e">
        <f>solver_lhs293=NonLinLarge!$H$75:$H$138</f>
        <v>#NAME?</v>
      </c>
    </row>
    <row r="222" spans="58:58" x14ac:dyDescent="0.25">
      <c r="BF222" t="e">
        <f>solver_lhs294=NonLinLarge!$H$139</f>
        <v>#NAME?</v>
      </c>
    </row>
    <row r="223" spans="58:58" x14ac:dyDescent="0.25">
      <c r="BF223" t="e">
        <f>solver_lhs295=NonLinLarge!$H$7:$H$8</f>
        <v>#NAME?</v>
      </c>
    </row>
    <row r="224" spans="58:58" x14ac:dyDescent="0.25">
      <c r="BF224" t="e">
        <f>solver_lhs296=NonLinLarge!$H$9:$H$72</f>
        <v>#NAME?</v>
      </c>
    </row>
    <row r="225" spans="58:58" x14ac:dyDescent="0.25">
      <c r="BF225" t="e">
        <f>solver_lhs297=NonLinLarge!$H$73</f>
        <v>#NAME?</v>
      </c>
    </row>
    <row r="226" spans="58:58" x14ac:dyDescent="0.25">
      <c r="BF226" t="e">
        <f>solver_lhs298=NonLinLarge!$H$74</f>
        <v>#NAME?</v>
      </c>
    </row>
    <row r="227" spans="58:58" x14ac:dyDescent="0.25">
      <c r="BF227" t="e">
        <f>solver_lhs299=NonLinLarge!$H$75:$H$138</f>
        <v>#NAME?</v>
      </c>
    </row>
    <row r="228" spans="58:58" x14ac:dyDescent="0.25">
      <c r="BF228" t="e">
        <f>solver_lhs3=NonLinLarge!$H$73</f>
        <v>#NAME?</v>
      </c>
    </row>
    <row r="229" spans="58:58" x14ac:dyDescent="0.25">
      <c r="BF229" t="e">
        <f>solver_lhs30=NonLinLarge!$H$139</f>
        <v>#NAME?</v>
      </c>
    </row>
    <row r="230" spans="58:58" x14ac:dyDescent="0.25">
      <c r="BF230" t="e">
        <f>solver_lhs300=NonLinLarge!$H$139</f>
        <v>#NAME?</v>
      </c>
    </row>
    <row r="231" spans="58:58" x14ac:dyDescent="0.25">
      <c r="BF231" t="e">
        <f>solver_lhs301=NonLinLarge!$H$7:$H$8</f>
        <v>#NAME?</v>
      </c>
    </row>
    <row r="232" spans="58:58" x14ac:dyDescent="0.25">
      <c r="BF232" t="e">
        <f>solver_lhs302=NonLinLarge!$H$9:$H$72</f>
        <v>#NAME?</v>
      </c>
    </row>
    <row r="233" spans="58:58" x14ac:dyDescent="0.25">
      <c r="BF233" t="e">
        <f>solver_lhs303=NonLinLarge!$H$73</f>
        <v>#NAME?</v>
      </c>
    </row>
    <row r="234" spans="58:58" x14ac:dyDescent="0.25">
      <c r="BF234" t="e">
        <f>solver_lhs304=NonLinLarge!$H$74</f>
        <v>#NAME?</v>
      </c>
    </row>
    <row r="235" spans="58:58" x14ac:dyDescent="0.25">
      <c r="BF235" t="e">
        <f>solver_lhs305=NonLinLarge!$H$75:$H$138</f>
        <v>#NAME?</v>
      </c>
    </row>
    <row r="236" spans="58:58" x14ac:dyDescent="0.25">
      <c r="BF236" t="e">
        <f>solver_lhs306=NonLinLarge!$H$139</f>
        <v>#NAME?</v>
      </c>
    </row>
    <row r="237" spans="58:58" x14ac:dyDescent="0.25">
      <c r="BF237" t="e">
        <f>solver_lhs307=NonLinLarge!$H$7:$H$8</f>
        <v>#NAME?</v>
      </c>
    </row>
    <row r="238" spans="58:58" x14ac:dyDescent="0.25">
      <c r="BF238" t="e">
        <f>solver_lhs308=NonLinLarge!$H$9:$H$72</f>
        <v>#NAME?</v>
      </c>
    </row>
    <row r="239" spans="58:58" x14ac:dyDescent="0.25">
      <c r="BF239" t="e">
        <f>solver_lhs309=NonLinLarge!$H$73</f>
        <v>#NAME?</v>
      </c>
    </row>
    <row r="240" spans="58:58" x14ac:dyDescent="0.25">
      <c r="BF240" t="e">
        <f>solver_lhs31=NonLinLarge!$H$7:$H$8</f>
        <v>#NAME?</v>
      </c>
    </row>
    <row r="241" spans="58:58" x14ac:dyDescent="0.25">
      <c r="BF241" t="e">
        <f>solver_lhs310=NonLinLarge!$H$74</f>
        <v>#NAME?</v>
      </c>
    </row>
    <row r="242" spans="58:58" x14ac:dyDescent="0.25">
      <c r="BF242" t="e">
        <f>solver_lhs311=NonLinLarge!$H$75:$H$138</f>
        <v>#NAME?</v>
      </c>
    </row>
    <row r="243" spans="58:58" x14ac:dyDescent="0.25">
      <c r="BF243" t="e">
        <f>solver_lhs312=NonLinLarge!$H$139</f>
        <v>#NAME?</v>
      </c>
    </row>
    <row r="244" spans="58:58" x14ac:dyDescent="0.25">
      <c r="BF244" t="e">
        <f>solver_lhs313=NonLinLarge!$H$7:$H$8</f>
        <v>#NAME?</v>
      </c>
    </row>
    <row r="245" spans="58:58" x14ac:dyDescent="0.25">
      <c r="BF245" t="e">
        <f>solver_lhs314=NonLinLarge!$H$9:$H$72</f>
        <v>#NAME?</v>
      </c>
    </row>
    <row r="246" spans="58:58" x14ac:dyDescent="0.25">
      <c r="BF246" t="e">
        <f>solver_lhs315=NonLinLarge!$H$73</f>
        <v>#NAME?</v>
      </c>
    </row>
    <row r="247" spans="58:58" x14ac:dyDescent="0.25">
      <c r="BF247" t="e">
        <f>solver_lhs316=NonLinLarge!$H$74</f>
        <v>#NAME?</v>
      </c>
    </row>
    <row r="248" spans="58:58" x14ac:dyDescent="0.25">
      <c r="BF248" t="e">
        <f>solver_lhs317=NonLinLarge!$H$75:$H$138</f>
        <v>#NAME?</v>
      </c>
    </row>
    <row r="249" spans="58:58" x14ac:dyDescent="0.25">
      <c r="BF249" t="e">
        <f>solver_lhs318=NonLinLarge!$H$139</f>
        <v>#NAME?</v>
      </c>
    </row>
    <row r="250" spans="58:58" x14ac:dyDescent="0.25">
      <c r="BF250" t="e">
        <f>solver_lhs319=NonLinLarge!$H$7:$H$8</f>
        <v>#NAME?</v>
      </c>
    </row>
    <row r="251" spans="58:58" x14ac:dyDescent="0.25">
      <c r="BF251" t="e">
        <f>solver_lhs32=NonLinLarge!$H$9:$H$72</f>
        <v>#NAME?</v>
      </c>
    </row>
    <row r="252" spans="58:58" x14ac:dyDescent="0.25">
      <c r="BF252" t="e">
        <f>solver_lhs320=NonLinLarge!$H$9:$H$72</f>
        <v>#NAME?</v>
      </c>
    </row>
    <row r="253" spans="58:58" x14ac:dyDescent="0.25">
      <c r="BF253" t="e">
        <f>solver_lhs321=NonLinLarge!$H$73</f>
        <v>#NAME?</v>
      </c>
    </row>
    <row r="254" spans="58:58" x14ac:dyDescent="0.25">
      <c r="BF254" t="e">
        <f>solver_lhs322=NonLinLarge!$H$74</f>
        <v>#NAME?</v>
      </c>
    </row>
    <row r="255" spans="58:58" x14ac:dyDescent="0.25">
      <c r="BF255" t="e">
        <f>solver_lhs323=NonLinLarge!$H$75:$H$138</f>
        <v>#NAME?</v>
      </c>
    </row>
    <row r="256" spans="58:58" x14ac:dyDescent="0.25">
      <c r="BF256" t="e">
        <f>solver_lhs324=NonLinLarge!$H$139</f>
        <v>#NAME?</v>
      </c>
    </row>
    <row r="257" spans="58:58" x14ac:dyDescent="0.25">
      <c r="BF257" t="e">
        <f>solver_lhs325=NonLinLarge!$H$7:$H$8</f>
        <v>#NAME?</v>
      </c>
    </row>
    <row r="258" spans="58:58" x14ac:dyDescent="0.25">
      <c r="BF258" t="e">
        <f>solver_lhs326=NonLinLarge!$H$9:$H$72</f>
        <v>#NAME?</v>
      </c>
    </row>
    <row r="259" spans="58:58" x14ac:dyDescent="0.25">
      <c r="BF259" t="e">
        <f>solver_lhs327=NonLinLarge!$H$73</f>
        <v>#NAME?</v>
      </c>
    </row>
    <row r="260" spans="58:58" x14ac:dyDescent="0.25">
      <c r="BF260" t="e">
        <f>solver_lhs328=NonLinLarge!$H$74</f>
        <v>#NAME?</v>
      </c>
    </row>
    <row r="261" spans="58:58" x14ac:dyDescent="0.25">
      <c r="BF261" t="e">
        <f>solver_lhs329=NonLinLarge!$H$75:$H$138</f>
        <v>#NAME?</v>
      </c>
    </row>
    <row r="262" spans="58:58" x14ac:dyDescent="0.25">
      <c r="BF262" t="e">
        <f>solver_lhs33=NonLinLarge!$H$73</f>
        <v>#NAME?</v>
      </c>
    </row>
    <row r="263" spans="58:58" x14ac:dyDescent="0.25">
      <c r="BF263" t="e">
        <f>solver_lhs330=NonLinLarge!$H$139</f>
        <v>#NAME?</v>
      </c>
    </row>
    <row r="264" spans="58:58" x14ac:dyDescent="0.25">
      <c r="BF264" t="e">
        <f>solver_lhs331=NonLinLarge!$H$7:$H$8</f>
        <v>#NAME?</v>
      </c>
    </row>
    <row r="265" spans="58:58" x14ac:dyDescent="0.25">
      <c r="BF265" t="e">
        <f>solver_lhs332=NonLinLarge!$H$9:$H$72</f>
        <v>#NAME?</v>
      </c>
    </row>
    <row r="266" spans="58:58" x14ac:dyDescent="0.25">
      <c r="BF266" t="e">
        <f>solver_lhs333=NonLinLarge!$H$73</f>
        <v>#NAME?</v>
      </c>
    </row>
    <row r="267" spans="58:58" x14ac:dyDescent="0.25">
      <c r="BF267" t="e">
        <f>solver_lhs334=NonLinLarge!$H$74</f>
        <v>#NAME?</v>
      </c>
    </row>
    <row r="268" spans="58:58" x14ac:dyDescent="0.25">
      <c r="BF268" t="e">
        <f>solver_lhs335=NonLinLarge!$H$75:$H$138</f>
        <v>#NAME?</v>
      </c>
    </row>
    <row r="269" spans="58:58" x14ac:dyDescent="0.25">
      <c r="BF269" t="e">
        <f>solver_lhs336=NonLinLarge!$H$139</f>
        <v>#NAME?</v>
      </c>
    </row>
    <row r="270" spans="58:58" x14ac:dyDescent="0.25">
      <c r="BF270" t="e">
        <f>solver_lhs337=NonLinLarge!$H$7:$H$8</f>
        <v>#NAME?</v>
      </c>
    </row>
    <row r="271" spans="58:58" x14ac:dyDescent="0.25">
      <c r="BF271" t="e">
        <f>solver_lhs338=NonLinLarge!$H$9:$H$72</f>
        <v>#NAME?</v>
      </c>
    </row>
    <row r="272" spans="58:58" x14ac:dyDescent="0.25">
      <c r="BF272" t="e">
        <f>solver_lhs339=NonLinLarge!$H$73</f>
        <v>#NAME?</v>
      </c>
    </row>
    <row r="273" spans="58:58" x14ac:dyDescent="0.25">
      <c r="BF273" t="e">
        <f>solver_lhs34=NonLinLarge!$H$74</f>
        <v>#NAME?</v>
      </c>
    </row>
    <row r="274" spans="58:58" x14ac:dyDescent="0.25">
      <c r="BF274" t="e">
        <f>solver_lhs340=NonLinLarge!$H$74</f>
        <v>#NAME?</v>
      </c>
    </row>
    <row r="275" spans="58:58" x14ac:dyDescent="0.25">
      <c r="BF275" t="e">
        <f>solver_lhs341=NonLinLarge!$H$75:$H$138</f>
        <v>#NAME?</v>
      </c>
    </row>
    <row r="276" spans="58:58" x14ac:dyDescent="0.25">
      <c r="BF276" t="e">
        <f>solver_lhs342=NonLinLarge!$H$139</f>
        <v>#NAME?</v>
      </c>
    </row>
    <row r="277" spans="58:58" x14ac:dyDescent="0.25">
      <c r="BF277" t="e">
        <f>solver_lhs343=NonLinLarge!$H$7:$H$8</f>
        <v>#NAME?</v>
      </c>
    </row>
    <row r="278" spans="58:58" x14ac:dyDescent="0.25">
      <c r="BF278" t="e">
        <f>solver_lhs344=NonLinLarge!$H$9:$H$72</f>
        <v>#NAME?</v>
      </c>
    </row>
    <row r="279" spans="58:58" x14ac:dyDescent="0.25">
      <c r="BF279" t="e">
        <f>solver_lhs345=NonLinLarge!$H$73</f>
        <v>#NAME?</v>
      </c>
    </row>
    <row r="280" spans="58:58" x14ac:dyDescent="0.25">
      <c r="BF280" t="e">
        <f>solver_lhs346=NonLinLarge!$H$74</f>
        <v>#NAME?</v>
      </c>
    </row>
    <row r="281" spans="58:58" x14ac:dyDescent="0.25">
      <c r="BF281" t="e">
        <f>solver_lhs347=NonLinLarge!$H$75:$H$138</f>
        <v>#NAME?</v>
      </c>
    </row>
    <row r="282" spans="58:58" x14ac:dyDescent="0.25">
      <c r="BF282" t="e">
        <f>solver_lhs348=NonLinLarge!$H$139</f>
        <v>#NAME?</v>
      </c>
    </row>
    <row r="283" spans="58:58" x14ac:dyDescent="0.25">
      <c r="BF283" t="e">
        <f>solver_lhs349=NonLinLarge!$H$7:$H$8</f>
        <v>#NAME?</v>
      </c>
    </row>
    <row r="284" spans="58:58" x14ac:dyDescent="0.25">
      <c r="BF284" t="e">
        <f>solver_lhs35=NonLinLarge!$H$75:$H$138</f>
        <v>#NAME?</v>
      </c>
    </row>
    <row r="285" spans="58:58" x14ac:dyDescent="0.25">
      <c r="BF285" t="e">
        <f>solver_lhs350=NonLinLarge!$H$9:$H$72</f>
        <v>#NAME?</v>
      </c>
    </row>
    <row r="286" spans="58:58" x14ac:dyDescent="0.25">
      <c r="BF286" t="e">
        <f>solver_lhs351=NonLinLarge!$H$73</f>
        <v>#NAME?</v>
      </c>
    </row>
    <row r="287" spans="58:58" x14ac:dyDescent="0.25">
      <c r="BF287" t="e">
        <f>solver_lhs352=NonLinLarge!$H$74</f>
        <v>#NAME?</v>
      </c>
    </row>
    <row r="288" spans="58:58" x14ac:dyDescent="0.25">
      <c r="BF288" t="e">
        <f>solver_lhs353=NonLinLarge!$H$75:$H$138</f>
        <v>#NAME?</v>
      </c>
    </row>
    <row r="289" spans="58:58" x14ac:dyDescent="0.25">
      <c r="BF289" t="e">
        <f>solver_lhs354=NonLinLarge!$H$139</f>
        <v>#NAME?</v>
      </c>
    </row>
    <row r="290" spans="58:58" x14ac:dyDescent="0.25">
      <c r="BF290" t="e">
        <f>solver_lhs355=NonLinLarge!$H$7:$H$8</f>
        <v>#NAME?</v>
      </c>
    </row>
    <row r="291" spans="58:58" x14ac:dyDescent="0.25">
      <c r="BF291" t="e">
        <f>solver_lhs356=NonLinLarge!$H$9:$H$72</f>
        <v>#NAME?</v>
      </c>
    </row>
    <row r="292" spans="58:58" x14ac:dyDescent="0.25">
      <c r="BF292" t="e">
        <f>solver_lhs357=NonLinLarge!$H$73</f>
        <v>#NAME?</v>
      </c>
    </row>
    <row r="293" spans="58:58" x14ac:dyDescent="0.25">
      <c r="BF293" t="e">
        <f>solver_lhs358=NonLinLarge!$H$74</f>
        <v>#NAME?</v>
      </c>
    </row>
    <row r="294" spans="58:58" x14ac:dyDescent="0.25">
      <c r="BF294" t="e">
        <f>solver_lhs359=NonLinLarge!$H$75:$H$138</f>
        <v>#NAME?</v>
      </c>
    </row>
    <row r="295" spans="58:58" x14ac:dyDescent="0.25">
      <c r="BF295" t="e">
        <f>solver_lhs36=NonLinLarge!$H$139</f>
        <v>#NAME?</v>
      </c>
    </row>
    <row r="296" spans="58:58" x14ac:dyDescent="0.25">
      <c r="BF296" t="e">
        <f>solver_lhs360=NonLinLarge!$H$139</f>
        <v>#NAME?</v>
      </c>
    </row>
    <row r="297" spans="58:58" x14ac:dyDescent="0.25">
      <c r="BF297" t="e">
        <f>solver_lhs361=NonLinLarge!$H$7:$H$8</f>
        <v>#NAME?</v>
      </c>
    </row>
    <row r="298" spans="58:58" x14ac:dyDescent="0.25">
      <c r="BF298" t="e">
        <f>solver_lhs362=NonLinLarge!$H$9:$H$72</f>
        <v>#NAME?</v>
      </c>
    </row>
    <row r="299" spans="58:58" x14ac:dyDescent="0.25">
      <c r="BF299" t="e">
        <f>solver_lhs363=NonLinLarge!$H$73</f>
        <v>#NAME?</v>
      </c>
    </row>
    <row r="300" spans="58:58" x14ac:dyDescent="0.25">
      <c r="BF300" t="e">
        <f>solver_lhs364=NonLinLarge!$H$74</f>
        <v>#NAME?</v>
      </c>
    </row>
    <row r="301" spans="58:58" x14ac:dyDescent="0.25">
      <c r="BF301" t="e">
        <f>solver_lhs365=NonLinLarge!$H$75:$H$138</f>
        <v>#NAME?</v>
      </c>
    </row>
    <row r="302" spans="58:58" x14ac:dyDescent="0.25">
      <c r="BF302" t="e">
        <f>solver_lhs366=NonLinLarge!$H$139</f>
        <v>#NAME?</v>
      </c>
    </row>
    <row r="303" spans="58:58" x14ac:dyDescent="0.25">
      <c r="BF303" t="e">
        <f>solver_lhs367=NonLinLarge!$H$7:$H$8</f>
        <v>#NAME?</v>
      </c>
    </row>
    <row r="304" spans="58:58" x14ac:dyDescent="0.25">
      <c r="BF304" t="e">
        <f>solver_lhs368=NonLinLarge!$H$9:$H$72</f>
        <v>#NAME?</v>
      </c>
    </row>
    <row r="305" spans="58:58" x14ac:dyDescent="0.25">
      <c r="BF305" t="e">
        <f>solver_lhs369=NonLinLarge!$H$73</f>
        <v>#NAME?</v>
      </c>
    </row>
    <row r="306" spans="58:58" x14ac:dyDescent="0.25">
      <c r="BF306" t="e">
        <f>solver_lhs37=NonLinLarge!$H$7:$H$8</f>
        <v>#NAME?</v>
      </c>
    </row>
    <row r="307" spans="58:58" x14ac:dyDescent="0.25">
      <c r="BF307" t="e">
        <f>solver_lhs370=NonLinLarge!$H$74</f>
        <v>#NAME?</v>
      </c>
    </row>
    <row r="308" spans="58:58" x14ac:dyDescent="0.25">
      <c r="BF308" t="e">
        <f>solver_lhs371=NonLinLarge!$H$75:$H$138</f>
        <v>#NAME?</v>
      </c>
    </row>
    <row r="309" spans="58:58" x14ac:dyDescent="0.25">
      <c r="BF309" t="e">
        <f>solver_lhs372=NonLinLarge!$H$139</f>
        <v>#NAME?</v>
      </c>
    </row>
    <row r="310" spans="58:58" x14ac:dyDescent="0.25">
      <c r="BF310" t="e">
        <f>solver_lhs373=NonLinLarge!$H$7:$H$8</f>
        <v>#NAME?</v>
      </c>
    </row>
    <row r="311" spans="58:58" x14ac:dyDescent="0.25">
      <c r="BF311" t="e">
        <f>solver_lhs374=NonLinLarge!$H$9:$H$72</f>
        <v>#NAME?</v>
      </c>
    </row>
    <row r="312" spans="58:58" x14ac:dyDescent="0.25">
      <c r="BF312" t="e">
        <f>solver_lhs375=NonLinLarge!$H$73</f>
        <v>#NAME?</v>
      </c>
    </row>
    <row r="313" spans="58:58" x14ac:dyDescent="0.25">
      <c r="BF313" t="e">
        <f>solver_lhs376=NonLinLarge!$H$74</f>
        <v>#NAME?</v>
      </c>
    </row>
    <row r="314" spans="58:58" x14ac:dyDescent="0.25">
      <c r="BF314" t="e">
        <f>solver_lhs377=NonLinLarge!$H$75:$H$138</f>
        <v>#NAME?</v>
      </c>
    </row>
    <row r="315" spans="58:58" x14ac:dyDescent="0.25">
      <c r="BF315" t="e">
        <f>solver_lhs378=NonLinLarge!$H$139</f>
        <v>#NAME?</v>
      </c>
    </row>
    <row r="316" spans="58:58" x14ac:dyDescent="0.25">
      <c r="BF316" t="e">
        <f>solver_lhs379=NonLinLarge!$H$7:$H$8</f>
        <v>#NAME?</v>
      </c>
    </row>
    <row r="317" spans="58:58" x14ac:dyDescent="0.25">
      <c r="BF317" t="e">
        <f>solver_lhs38=NonLinLarge!$H$9:$H$72</f>
        <v>#NAME?</v>
      </c>
    </row>
    <row r="318" spans="58:58" x14ac:dyDescent="0.25">
      <c r="BF318" t="e">
        <f>solver_lhs380=NonLinLarge!$H$9:$H$72</f>
        <v>#NAME?</v>
      </c>
    </row>
    <row r="319" spans="58:58" x14ac:dyDescent="0.25">
      <c r="BF319" t="e">
        <f>solver_lhs381=NonLinLarge!$H$73</f>
        <v>#NAME?</v>
      </c>
    </row>
    <row r="320" spans="58:58" x14ac:dyDescent="0.25">
      <c r="BF320" t="e">
        <f>solver_lhs382=NonLinLarge!$H$74</f>
        <v>#NAME?</v>
      </c>
    </row>
    <row r="321" spans="58:58" x14ac:dyDescent="0.25">
      <c r="BF321" t="e">
        <f>solver_lhs383=NonLinLarge!$H$75:$H$138</f>
        <v>#NAME?</v>
      </c>
    </row>
    <row r="322" spans="58:58" x14ac:dyDescent="0.25">
      <c r="BF322" t="e">
        <f>solver_lhs384=NonLinLarge!$H$139</f>
        <v>#NAME?</v>
      </c>
    </row>
    <row r="323" spans="58:58" x14ac:dyDescent="0.25">
      <c r="BF323" t="e">
        <f>solver_lhs385=NonLinLarge!$H$7:$H$8</f>
        <v>#NAME?</v>
      </c>
    </row>
    <row r="324" spans="58:58" x14ac:dyDescent="0.25">
      <c r="BF324" t="e">
        <f>solver_lhs386=NonLinLarge!$H$9:$H$72</f>
        <v>#NAME?</v>
      </c>
    </row>
    <row r="325" spans="58:58" x14ac:dyDescent="0.25">
      <c r="BF325" t="e">
        <f>solver_lhs387=NonLinLarge!$H$73</f>
        <v>#NAME?</v>
      </c>
    </row>
    <row r="326" spans="58:58" x14ac:dyDescent="0.25">
      <c r="BF326" t="e">
        <f>solver_lhs388=NonLinLarge!$H$74</f>
        <v>#NAME?</v>
      </c>
    </row>
    <row r="327" spans="58:58" x14ac:dyDescent="0.25">
      <c r="BF327" t="e">
        <f>solver_lhs389=NonLinLarge!$H$75:$H$138</f>
        <v>#NAME?</v>
      </c>
    </row>
    <row r="328" spans="58:58" x14ac:dyDescent="0.25">
      <c r="BF328" t="e">
        <f>solver_lhs39=NonLinLarge!$H$73</f>
        <v>#NAME?</v>
      </c>
    </row>
    <row r="329" spans="58:58" x14ac:dyDescent="0.25">
      <c r="BF329" t="e">
        <f>solver_lhs390=NonLinLarge!$H$139</f>
        <v>#NAME?</v>
      </c>
    </row>
    <row r="330" spans="58:58" x14ac:dyDescent="0.25">
      <c r="BF330" t="e">
        <f>solver_lhs391=NonLinLarge!$H$7:$H$8</f>
        <v>#NAME?</v>
      </c>
    </row>
    <row r="331" spans="58:58" x14ac:dyDescent="0.25">
      <c r="BF331" t="e">
        <f>solver_lhs392=NonLinLarge!$H$9:$H$72</f>
        <v>#NAME?</v>
      </c>
    </row>
    <row r="332" spans="58:58" x14ac:dyDescent="0.25">
      <c r="BF332" t="e">
        <f>solver_lhs393=NonLinLarge!$H$73</f>
        <v>#NAME?</v>
      </c>
    </row>
    <row r="333" spans="58:58" x14ac:dyDescent="0.25">
      <c r="BF333" t="e">
        <f>solver_lhs394=NonLinLarge!$H$74</f>
        <v>#NAME?</v>
      </c>
    </row>
    <row r="334" spans="58:58" x14ac:dyDescent="0.25">
      <c r="BF334" t="e">
        <f>solver_lhs395=NonLinLarge!$H$75:$H$138</f>
        <v>#NAME?</v>
      </c>
    </row>
    <row r="335" spans="58:58" x14ac:dyDescent="0.25">
      <c r="BF335" t="e">
        <f>solver_lhs396=NonLinLarge!$H$139</f>
        <v>#NAME?</v>
      </c>
    </row>
    <row r="336" spans="58:58" x14ac:dyDescent="0.25">
      <c r="BF336" t="e">
        <f>solver_lhs397=NonLinLarge!$H$7:$H$8</f>
        <v>#NAME?</v>
      </c>
    </row>
    <row r="337" spans="58:58" x14ac:dyDescent="0.25">
      <c r="BF337" t="e">
        <f>solver_lhs398=NonLinLarge!$H$9:$H$72</f>
        <v>#NAME?</v>
      </c>
    </row>
    <row r="338" spans="58:58" x14ac:dyDescent="0.25">
      <c r="BF338" t="e">
        <f>solver_lhs399=NonLinLarge!$H$73</f>
        <v>#NAME?</v>
      </c>
    </row>
    <row r="339" spans="58:58" x14ac:dyDescent="0.25">
      <c r="BF339" t="e">
        <f>solver_lhs4=NonLinLarge!$H$74</f>
        <v>#NAME?</v>
      </c>
    </row>
    <row r="340" spans="58:58" x14ac:dyDescent="0.25">
      <c r="BF340" t="e">
        <f>solver_lhs40=NonLinLarge!$H$74</f>
        <v>#NAME?</v>
      </c>
    </row>
    <row r="341" spans="58:58" x14ac:dyDescent="0.25">
      <c r="BF341" t="e">
        <f>solver_lhs400=NonLinLarge!$H$74</f>
        <v>#NAME?</v>
      </c>
    </row>
    <row r="342" spans="58:58" x14ac:dyDescent="0.25">
      <c r="BF342" t="e">
        <f>solver_lhs401=NonLinLarge!$H$75:$H$138</f>
        <v>#NAME?</v>
      </c>
    </row>
    <row r="343" spans="58:58" x14ac:dyDescent="0.25">
      <c r="BF343" t="e">
        <f>solver_lhs402=NonLinLarge!$H$139</f>
        <v>#NAME?</v>
      </c>
    </row>
    <row r="344" spans="58:58" x14ac:dyDescent="0.25">
      <c r="BF344" t="e">
        <f>solver_lhs403=NonLinLarge!$H$7:$H$8</f>
        <v>#NAME?</v>
      </c>
    </row>
    <row r="345" spans="58:58" x14ac:dyDescent="0.25">
      <c r="BF345" t="e">
        <f>solver_lhs404=NonLinLarge!$H$9:$H$72</f>
        <v>#NAME?</v>
      </c>
    </row>
    <row r="346" spans="58:58" x14ac:dyDescent="0.25">
      <c r="BF346" t="e">
        <f>solver_lhs405=NonLinLarge!$H$73</f>
        <v>#NAME?</v>
      </c>
    </row>
    <row r="347" spans="58:58" x14ac:dyDescent="0.25">
      <c r="BF347" t="e">
        <f>solver_lhs406=NonLinLarge!$H$74</f>
        <v>#NAME?</v>
      </c>
    </row>
    <row r="348" spans="58:58" x14ac:dyDescent="0.25">
      <c r="BF348" t="e">
        <f>solver_lhs407=NonLinLarge!$H$75:$H$138</f>
        <v>#NAME?</v>
      </c>
    </row>
    <row r="349" spans="58:58" x14ac:dyDescent="0.25">
      <c r="BF349" t="e">
        <f>solver_lhs408=NonLinLarge!$H$139</f>
        <v>#NAME?</v>
      </c>
    </row>
    <row r="350" spans="58:58" x14ac:dyDescent="0.25">
      <c r="BF350" t="e">
        <f>solver_lhs409=NonLinLarge!$H$7:$H$8</f>
        <v>#NAME?</v>
      </c>
    </row>
    <row r="351" spans="58:58" x14ac:dyDescent="0.25">
      <c r="BF351" t="e">
        <f>solver_lhs41=NonLinLarge!$H$75:$H$138</f>
        <v>#NAME?</v>
      </c>
    </row>
    <row r="352" spans="58:58" x14ac:dyDescent="0.25">
      <c r="BF352" t="e">
        <f>solver_lhs410=NonLinLarge!$H$9:$H$72</f>
        <v>#NAME?</v>
      </c>
    </row>
    <row r="353" spans="58:58" x14ac:dyDescent="0.25">
      <c r="BF353" t="e">
        <f>solver_lhs411=NonLinLarge!$H$73</f>
        <v>#NAME?</v>
      </c>
    </row>
    <row r="354" spans="58:58" x14ac:dyDescent="0.25">
      <c r="BF354" t="e">
        <f>solver_lhs412=NonLinLarge!$H$74</f>
        <v>#NAME?</v>
      </c>
    </row>
    <row r="355" spans="58:58" x14ac:dyDescent="0.25">
      <c r="BF355" t="e">
        <f>solver_lhs413=NonLinLarge!$H$75:$H$138</f>
        <v>#NAME?</v>
      </c>
    </row>
    <row r="356" spans="58:58" x14ac:dyDescent="0.25">
      <c r="BF356" t="e">
        <f>solver_lhs414=NonLinLarge!$H$139</f>
        <v>#NAME?</v>
      </c>
    </row>
    <row r="357" spans="58:58" x14ac:dyDescent="0.25">
      <c r="BF357" t="e">
        <f>solver_lhs415=NonLinLarge!$H$7:$H$8</f>
        <v>#NAME?</v>
      </c>
    </row>
    <row r="358" spans="58:58" x14ac:dyDescent="0.25">
      <c r="BF358" t="e">
        <f>solver_lhs416=NonLinLarge!$H$9:$H$72</f>
        <v>#NAME?</v>
      </c>
    </row>
    <row r="359" spans="58:58" x14ac:dyDescent="0.25">
      <c r="BF359" t="e">
        <f>solver_lhs417=NonLinLarge!$H$73</f>
        <v>#NAME?</v>
      </c>
    </row>
    <row r="360" spans="58:58" x14ac:dyDescent="0.25">
      <c r="BF360" t="e">
        <f>solver_lhs418=NonLinLarge!$H$74</f>
        <v>#NAME?</v>
      </c>
    </row>
    <row r="361" spans="58:58" x14ac:dyDescent="0.25">
      <c r="BF361" t="e">
        <f>solver_lhs419=NonLinLarge!$H$75:$H$138</f>
        <v>#NAME?</v>
      </c>
    </row>
    <row r="362" spans="58:58" x14ac:dyDescent="0.25">
      <c r="BF362" t="e">
        <f>solver_lhs42=NonLinLarge!$H$139</f>
        <v>#NAME?</v>
      </c>
    </row>
    <row r="363" spans="58:58" x14ac:dyDescent="0.25">
      <c r="BF363" t="e">
        <f>solver_lhs420=NonLinLarge!$H$139</f>
        <v>#NAME?</v>
      </c>
    </row>
    <row r="364" spans="58:58" x14ac:dyDescent="0.25">
      <c r="BF364" t="e">
        <f>solver_lhs421=NonLinLarge!$H$7:$H$8</f>
        <v>#NAME?</v>
      </c>
    </row>
    <row r="365" spans="58:58" x14ac:dyDescent="0.25">
      <c r="BF365" t="e">
        <f>solver_lhs422=NonLinLarge!$H$9:$H$72</f>
        <v>#NAME?</v>
      </c>
    </row>
    <row r="366" spans="58:58" x14ac:dyDescent="0.25">
      <c r="BF366" t="e">
        <f>solver_lhs423=NonLinLarge!$H$73</f>
        <v>#NAME?</v>
      </c>
    </row>
    <row r="367" spans="58:58" x14ac:dyDescent="0.25">
      <c r="BF367" t="e">
        <f>solver_lhs424=NonLinLarge!$H$74</f>
        <v>#NAME?</v>
      </c>
    </row>
    <row r="368" spans="58:58" x14ac:dyDescent="0.25">
      <c r="BF368" t="e">
        <f>solver_lhs425=NonLinLarge!$H$75:$H$138</f>
        <v>#NAME?</v>
      </c>
    </row>
    <row r="369" spans="58:58" x14ac:dyDescent="0.25">
      <c r="BF369" t="e">
        <f>solver_lhs426=NonLinLarge!$H$139</f>
        <v>#NAME?</v>
      </c>
    </row>
    <row r="370" spans="58:58" x14ac:dyDescent="0.25">
      <c r="BF370" t="e">
        <f>solver_lhs427=NonLinLarge!$H$7:$H$8</f>
        <v>#NAME?</v>
      </c>
    </row>
    <row r="371" spans="58:58" x14ac:dyDescent="0.25">
      <c r="BF371" t="e">
        <f>solver_lhs428=NonLinLarge!$H$9:$H$72</f>
        <v>#NAME?</v>
      </c>
    </row>
    <row r="372" spans="58:58" x14ac:dyDescent="0.25">
      <c r="BF372" t="e">
        <f>solver_lhs429=NonLinLarge!$H$73</f>
        <v>#NAME?</v>
      </c>
    </row>
    <row r="373" spans="58:58" x14ac:dyDescent="0.25">
      <c r="BF373" t="e">
        <f>solver_lhs43=NonLinLarge!$H$7:$H$8</f>
        <v>#NAME?</v>
      </c>
    </row>
    <row r="374" spans="58:58" x14ac:dyDescent="0.25">
      <c r="BF374" t="e">
        <f>solver_lhs430=NonLinLarge!$H$74</f>
        <v>#NAME?</v>
      </c>
    </row>
    <row r="375" spans="58:58" x14ac:dyDescent="0.25">
      <c r="BF375" t="e">
        <f>solver_lhs431=NonLinLarge!$H$75:$H$138</f>
        <v>#NAME?</v>
      </c>
    </row>
    <row r="376" spans="58:58" x14ac:dyDescent="0.25">
      <c r="BF376" t="e">
        <f>solver_lhs432=NonLinLarge!$H$139</f>
        <v>#NAME?</v>
      </c>
    </row>
    <row r="377" spans="58:58" x14ac:dyDescent="0.25">
      <c r="BF377" t="e">
        <f>solver_lhs433=NonLinLarge!$H$7:$H$8</f>
        <v>#NAME?</v>
      </c>
    </row>
    <row r="378" spans="58:58" x14ac:dyDescent="0.25">
      <c r="BF378" t="e">
        <f>solver_lhs434=NonLinLarge!$H$9:$H$72</f>
        <v>#NAME?</v>
      </c>
    </row>
    <row r="379" spans="58:58" x14ac:dyDescent="0.25">
      <c r="BF379" t="e">
        <f>solver_lhs435=NonLinLarge!$H$73</f>
        <v>#NAME?</v>
      </c>
    </row>
    <row r="380" spans="58:58" x14ac:dyDescent="0.25">
      <c r="BF380" t="e">
        <f>solver_lhs436=NonLinLarge!$H$74</f>
        <v>#NAME?</v>
      </c>
    </row>
    <row r="381" spans="58:58" x14ac:dyDescent="0.25">
      <c r="BF381" t="e">
        <f>solver_lhs437=NonLinLarge!$H$75:$H$138</f>
        <v>#NAME?</v>
      </c>
    </row>
    <row r="382" spans="58:58" x14ac:dyDescent="0.25">
      <c r="BF382" t="e">
        <f>solver_lhs438=NonLinLarge!$H$139</f>
        <v>#NAME?</v>
      </c>
    </row>
    <row r="383" spans="58:58" x14ac:dyDescent="0.25">
      <c r="BF383" t="e">
        <f>solver_lhs439=NonLinLarge!$H$7:$H$8</f>
        <v>#NAME?</v>
      </c>
    </row>
    <row r="384" spans="58:58" x14ac:dyDescent="0.25">
      <c r="BF384" t="e">
        <f>solver_lhs44=NonLinLarge!$H$9:$H$72</f>
        <v>#NAME?</v>
      </c>
    </row>
    <row r="385" spans="58:58" x14ac:dyDescent="0.25">
      <c r="BF385" t="e">
        <f>solver_lhs440=NonLinLarge!$H$9:$H$72</f>
        <v>#NAME?</v>
      </c>
    </row>
    <row r="386" spans="58:58" x14ac:dyDescent="0.25">
      <c r="BF386" t="e">
        <f>solver_lhs441=NonLinLarge!$H$73</f>
        <v>#NAME?</v>
      </c>
    </row>
    <row r="387" spans="58:58" x14ac:dyDescent="0.25">
      <c r="BF387" t="e">
        <f>solver_lhs442=NonLinLarge!$H$74</f>
        <v>#NAME?</v>
      </c>
    </row>
    <row r="388" spans="58:58" x14ac:dyDescent="0.25">
      <c r="BF388" t="e">
        <f>solver_lhs443=NonLinLarge!$H$75:$H$138</f>
        <v>#NAME?</v>
      </c>
    </row>
    <row r="389" spans="58:58" x14ac:dyDescent="0.25">
      <c r="BF389" t="e">
        <f>solver_lhs444=NonLinLarge!$H$139</f>
        <v>#NAME?</v>
      </c>
    </row>
    <row r="390" spans="58:58" x14ac:dyDescent="0.25">
      <c r="BF390" t="e">
        <f>solver_lhs445=NonLinLarge!$H$7:$H$8</f>
        <v>#NAME?</v>
      </c>
    </row>
    <row r="391" spans="58:58" x14ac:dyDescent="0.25">
      <c r="BF391" t="e">
        <f>solver_lhs446=NonLinLarge!$H$9:$H$72</f>
        <v>#NAME?</v>
      </c>
    </row>
    <row r="392" spans="58:58" x14ac:dyDescent="0.25">
      <c r="BF392" t="e">
        <f>solver_lhs447=NonLinLarge!$H$73</f>
        <v>#NAME?</v>
      </c>
    </row>
    <row r="393" spans="58:58" x14ac:dyDescent="0.25">
      <c r="BF393" t="e">
        <f>solver_lhs448=NonLinLarge!$H$74</f>
        <v>#NAME?</v>
      </c>
    </row>
    <row r="394" spans="58:58" x14ac:dyDescent="0.25">
      <c r="BF394" t="e">
        <f>solver_lhs449=NonLinLarge!$H$75:$H$138</f>
        <v>#NAME?</v>
      </c>
    </row>
    <row r="395" spans="58:58" x14ac:dyDescent="0.25">
      <c r="BF395" t="e">
        <f>solver_lhs45=NonLinLarge!$H$73</f>
        <v>#NAME?</v>
      </c>
    </row>
    <row r="396" spans="58:58" x14ac:dyDescent="0.25">
      <c r="BF396" t="e">
        <f>solver_lhs450=NonLinLarge!$H$139</f>
        <v>#NAME?</v>
      </c>
    </row>
    <row r="397" spans="58:58" x14ac:dyDescent="0.25">
      <c r="BF397" t="e">
        <f>solver_lhs451=NonLinLarge!$H$7:$H$8</f>
        <v>#NAME?</v>
      </c>
    </row>
    <row r="398" spans="58:58" x14ac:dyDescent="0.25">
      <c r="BF398" t="e">
        <f>solver_lhs452=NonLinLarge!$H$9:$H$72</f>
        <v>#NAME?</v>
      </c>
    </row>
    <row r="399" spans="58:58" x14ac:dyDescent="0.25">
      <c r="BF399" t="e">
        <f>solver_lhs453=NonLinLarge!$H$73</f>
        <v>#NAME?</v>
      </c>
    </row>
    <row r="400" spans="58:58" x14ac:dyDescent="0.25">
      <c r="BF400" t="e">
        <f>solver_lhs454=NonLinLarge!$H$74</f>
        <v>#NAME?</v>
      </c>
    </row>
    <row r="401" spans="58:58" x14ac:dyDescent="0.25">
      <c r="BF401" t="e">
        <f>solver_lhs455=NonLinLarge!$H$75:$H$138</f>
        <v>#NAME?</v>
      </c>
    </row>
    <row r="402" spans="58:58" x14ac:dyDescent="0.25">
      <c r="BF402" t="e">
        <f>solver_lhs456=NonLinLarge!$H$139</f>
        <v>#NAME?</v>
      </c>
    </row>
    <row r="403" spans="58:58" x14ac:dyDescent="0.25">
      <c r="BF403" t="e">
        <f>solver_lhs457=NonLinLarge!$H$7:$H$8</f>
        <v>#NAME?</v>
      </c>
    </row>
    <row r="404" spans="58:58" x14ac:dyDescent="0.25">
      <c r="BF404" t="e">
        <f>solver_lhs458=NonLinLarge!$H$9:$H$72</f>
        <v>#NAME?</v>
      </c>
    </row>
    <row r="405" spans="58:58" x14ac:dyDescent="0.25">
      <c r="BF405" t="e">
        <f>solver_lhs459=NonLinLarge!$H$73</f>
        <v>#NAME?</v>
      </c>
    </row>
    <row r="406" spans="58:58" x14ac:dyDescent="0.25">
      <c r="BF406" t="e">
        <f>solver_lhs46=NonLinLarge!$H$74</f>
        <v>#NAME?</v>
      </c>
    </row>
    <row r="407" spans="58:58" x14ac:dyDescent="0.25">
      <c r="BF407" t="e">
        <f>solver_lhs460=NonLinLarge!$H$74</f>
        <v>#NAME?</v>
      </c>
    </row>
    <row r="408" spans="58:58" x14ac:dyDescent="0.25">
      <c r="BF408" t="e">
        <f>solver_lhs461=NonLinLarge!$H$75:$H$138</f>
        <v>#NAME?</v>
      </c>
    </row>
    <row r="409" spans="58:58" x14ac:dyDescent="0.25">
      <c r="BF409" t="e">
        <f>solver_lhs462=NonLinLarge!$H$139</f>
        <v>#NAME?</v>
      </c>
    </row>
    <row r="410" spans="58:58" x14ac:dyDescent="0.25">
      <c r="BF410" t="e">
        <f>solver_lhs463=NonLinLarge!$H$7:$H$8</f>
        <v>#NAME?</v>
      </c>
    </row>
    <row r="411" spans="58:58" x14ac:dyDescent="0.25">
      <c r="BF411" t="e">
        <f>solver_lhs464=NonLinLarge!$H$9:$H$72</f>
        <v>#NAME?</v>
      </c>
    </row>
    <row r="412" spans="58:58" x14ac:dyDescent="0.25">
      <c r="BF412" t="e">
        <f>solver_lhs465=NonLinLarge!$H$73</f>
        <v>#NAME?</v>
      </c>
    </row>
    <row r="413" spans="58:58" x14ac:dyDescent="0.25">
      <c r="BF413" t="e">
        <f>solver_lhs466=NonLinLarge!$H$74</f>
        <v>#NAME?</v>
      </c>
    </row>
    <row r="414" spans="58:58" x14ac:dyDescent="0.25">
      <c r="BF414" t="e">
        <f>solver_lhs467=NonLinLarge!$H$75:$H$138</f>
        <v>#NAME?</v>
      </c>
    </row>
    <row r="415" spans="58:58" x14ac:dyDescent="0.25">
      <c r="BF415" t="e">
        <f>solver_lhs468=NonLinLarge!$H$139</f>
        <v>#NAME?</v>
      </c>
    </row>
    <row r="416" spans="58:58" x14ac:dyDescent="0.25">
      <c r="BF416" t="e">
        <f>solver_lhs469=NonLinLarge!$H$7:$H$8</f>
        <v>#NAME?</v>
      </c>
    </row>
    <row r="417" spans="58:58" x14ac:dyDescent="0.25">
      <c r="BF417" t="e">
        <f>solver_lhs47=NonLinLarge!$H$75:$H$138</f>
        <v>#NAME?</v>
      </c>
    </row>
    <row r="418" spans="58:58" x14ac:dyDescent="0.25">
      <c r="BF418" t="e">
        <f>solver_lhs470=NonLinLarge!$H$9:$H$72</f>
        <v>#NAME?</v>
      </c>
    </row>
    <row r="419" spans="58:58" x14ac:dyDescent="0.25">
      <c r="BF419" t="e">
        <f>solver_lhs471=NonLinLarge!$H$73</f>
        <v>#NAME?</v>
      </c>
    </row>
    <row r="420" spans="58:58" x14ac:dyDescent="0.25">
      <c r="BF420" t="e">
        <f>solver_lhs472=NonLinLarge!$H$74</f>
        <v>#NAME?</v>
      </c>
    </row>
    <row r="421" spans="58:58" x14ac:dyDescent="0.25">
      <c r="BF421" t="e">
        <f>solver_lhs473=NonLinLarge!$H$75:$H$138</f>
        <v>#NAME?</v>
      </c>
    </row>
    <row r="422" spans="58:58" x14ac:dyDescent="0.25">
      <c r="BF422" t="e">
        <f>solver_lhs474=NonLinLarge!$H$139</f>
        <v>#NAME?</v>
      </c>
    </row>
    <row r="423" spans="58:58" x14ac:dyDescent="0.25">
      <c r="BF423" t="e">
        <f>solver_lhs475=NonLinLarge!$H$7:$H$8</f>
        <v>#NAME?</v>
      </c>
    </row>
    <row r="424" spans="58:58" x14ac:dyDescent="0.25">
      <c r="BF424" t="e">
        <f>solver_lhs476=NonLinLarge!$H$9:$H$72</f>
        <v>#NAME?</v>
      </c>
    </row>
    <row r="425" spans="58:58" x14ac:dyDescent="0.25">
      <c r="BF425" t="e">
        <f>solver_lhs477=NonLinLarge!$H$73</f>
        <v>#NAME?</v>
      </c>
    </row>
    <row r="426" spans="58:58" x14ac:dyDescent="0.25">
      <c r="BF426" t="e">
        <f>solver_lhs478=NonLinLarge!$H$74</f>
        <v>#NAME?</v>
      </c>
    </row>
    <row r="427" spans="58:58" x14ac:dyDescent="0.25">
      <c r="BF427" t="e">
        <f>solver_lhs479=NonLinLarge!$H$75:$H$138</f>
        <v>#NAME?</v>
      </c>
    </row>
    <row r="428" spans="58:58" x14ac:dyDescent="0.25">
      <c r="BF428" t="e">
        <f>solver_lhs48=NonLinLarge!$H$139</f>
        <v>#NAME?</v>
      </c>
    </row>
    <row r="429" spans="58:58" x14ac:dyDescent="0.25">
      <c r="BF429" t="e">
        <f>solver_lhs480=NonLinLarge!$H$139</f>
        <v>#NAME?</v>
      </c>
    </row>
    <row r="430" spans="58:58" x14ac:dyDescent="0.25">
      <c r="BF430" t="e">
        <f>solver_lhs481=NonLinLarge!$H$7:$H$8</f>
        <v>#NAME?</v>
      </c>
    </row>
    <row r="431" spans="58:58" x14ac:dyDescent="0.25">
      <c r="BF431" t="e">
        <f>solver_lhs482=NonLinLarge!$H$9:$H$72</f>
        <v>#NAME?</v>
      </c>
    </row>
    <row r="432" spans="58:58" x14ac:dyDescent="0.25">
      <c r="BF432" t="e">
        <f>solver_lhs483=NonLinLarge!$H$73</f>
        <v>#NAME?</v>
      </c>
    </row>
    <row r="433" spans="58:58" x14ac:dyDescent="0.25">
      <c r="BF433" t="e">
        <f>solver_lhs484=NonLinLarge!$H$74</f>
        <v>#NAME?</v>
      </c>
    </row>
    <row r="434" spans="58:58" x14ac:dyDescent="0.25">
      <c r="BF434" t="e">
        <f>solver_lhs485=NonLinLarge!$H$75:$H$138</f>
        <v>#NAME?</v>
      </c>
    </row>
    <row r="435" spans="58:58" x14ac:dyDescent="0.25">
      <c r="BF435" t="e">
        <f>solver_lhs486=NonLinLarge!$H$139</f>
        <v>#NAME?</v>
      </c>
    </row>
    <row r="436" spans="58:58" x14ac:dyDescent="0.25">
      <c r="BF436" t="e">
        <f>solver_lhs487=NonLinLarge!$H$7:$H$8</f>
        <v>#NAME?</v>
      </c>
    </row>
    <row r="437" spans="58:58" x14ac:dyDescent="0.25">
      <c r="BF437" t="e">
        <f>solver_lhs488=NonLinLarge!$H$9:$H$72</f>
        <v>#NAME?</v>
      </c>
    </row>
    <row r="438" spans="58:58" x14ac:dyDescent="0.25">
      <c r="BF438" t="e">
        <f>solver_lhs489=NonLinLarge!$H$73</f>
        <v>#NAME?</v>
      </c>
    </row>
    <row r="439" spans="58:58" x14ac:dyDescent="0.25">
      <c r="BF439" t="e">
        <f>solver_lhs49=NonLinLarge!$H$7:$H$8</f>
        <v>#NAME?</v>
      </c>
    </row>
    <row r="440" spans="58:58" x14ac:dyDescent="0.25">
      <c r="BF440" t="e">
        <f>solver_lhs490=NonLinLarge!$H$74</f>
        <v>#NAME?</v>
      </c>
    </row>
    <row r="441" spans="58:58" x14ac:dyDescent="0.25">
      <c r="BF441" t="e">
        <f>solver_lhs491=NonLinLarge!$H$75:$H$138</f>
        <v>#NAME?</v>
      </c>
    </row>
    <row r="442" spans="58:58" x14ac:dyDescent="0.25">
      <c r="BF442" t="e">
        <f>solver_lhs492=NonLinLarge!$H$139</f>
        <v>#NAME?</v>
      </c>
    </row>
    <row r="443" spans="58:58" x14ac:dyDescent="0.25">
      <c r="BF443" t="e">
        <f>solver_lhs493=NonLinLarge!$H$7:$H$8</f>
        <v>#NAME?</v>
      </c>
    </row>
    <row r="444" spans="58:58" x14ac:dyDescent="0.25">
      <c r="BF444" t="e">
        <f>solver_lhs494=NonLinLarge!$H$9:$H$72</f>
        <v>#NAME?</v>
      </c>
    </row>
    <row r="445" spans="58:58" x14ac:dyDescent="0.25">
      <c r="BF445" t="e">
        <f>solver_lhs495=NonLinLarge!$H$73</f>
        <v>#NAME?</v>
      </c>
    </row>
    <row r="446" spans="58:58" x14ac:dyDescent="0.25">
      <c r="BF446" t="e">
        <f>solver_lhs496=NonLinLarge!$H$74</f>
        <v>#NAME?</v>
      </c>
    </row>
    <row r="447" spans="58:58" x14ac:dyDescent="0.25">
      <c r="BF447" t="e">
        <f>solver_lhs497=NonLinLarge!$H$75:$H$138</f>
        <v>#NAME?</v>
      </c>
    </row>
    <row r="448" spans="58:58" x14ac:dyDescent="0.25">
      <c r="BF448" t="e">
        <f>solver_lhs498=NonLinLarge!$H$139</f>
        <v>#NAME?</v>
      </c>
    </row>
    <row r="449" spans="58:58" x14ac:dyDescent="0.25">
      <c r="BF449" t="e">
        <f>solver_lhs499=NonLinLarge!$H$7:$H$8</f>
        <v>#NAME?</v>
      </c>
    </row>
    <row r="450" spans="58:58" x14ac:dyDescent="0.25">
      <c r="BF450" t="e">
        <f>solver_lhs5=NonLinLarge!$H$75:$H$138</f>
        <v>#NAME?</v>
      </c>
    </row>
    <row r="451" spans="58:58" x14ac:dyDescent="0.25">
      <c r="BF451" t="e">
        <f>solver_lhs50=NonLinLarge!$H$9:$H$72</f>
        <v>#NAME?</v>
      </c>
    </row>
    <row r="452" spans="58:58" x14ac:dyDescent="0.25">
      <c r="BF452" t="e">
        <f>solver_lhs500=NonLinLarge!$H$9:$H$72</f>
        <v>#NAME?</v>
      </c>
    </row>
    <row r="453" spans="58:58" x14ac:dyDescent="0.25">
      <c r="BF453" t="e">
        <f>solver_lhs501=NonLinLarge!$H$73</f>
        <v>#NAME?</v>
      </c>
    </row>
    <row r="454" spans="58:58" x14ac:dyDescent="0.25">
      <c r="BF454" t="e">
        <f>solver_lhs502=NonLinLarge!$H$74</f>
        <v>#NAME?</v>
      </c>
    </row>
    <row r="455" spans="58:58" x14ac:dyDescent="0.25">
      <c r="BF455" t="e">
        <f>solver_lhs503=NonLinLarge!$H$75:$H$138</f>
        <v>#NAME?</v>
      </c>
    </row>
    <row r="456" spans="58:58" x14ac:dyDescent="0.25">
      <c r="BF456" t="e">
        <f>solver_lhs504=NonLinLarge!$H$139</f>
        <v>#NAME?</v>
      </c>
    </row>
    <row r="457" spans="58:58" x14ac:dyDescent="0.25">
      <c r="BF457" t="e">
        <f>solver_lhs505=NonLinLarge!$H$7:$H$8</f>
        <v>#NAME?</v>
      </c>
    </row>
    <row r="458" spans="58:58" x14ac:dyDescent="0.25">
      <c r="BF458" t="e">
        <f>solver_lhs506=NonLinLarge!$H$9:$H$72</f>
        <v>#NAME?</v>
      </c>
    </row>
    <row r="459" spans="58:58" x14ac:dyDescent="0.25">
      <c r="BF459" t="e">
        <f>solver_lhs507=NonLinLarge!$H$73</f>
        <v>#NAME?</v>
      </c>
    </row>
    <row r="460" spans="58:58" x14ac:dyDescent="0.25">
      <c r="BF460" t="e">
        <f>solver_lhs508=NonLinLarge!$H$74</f>
        <v>#NAME?</v>
      </c>
    </row>
    <row r="461" spans="58:58" x14ac:dyDescent="0.25">
      <c r="BF461" t="e">
        <f>solver_lhs509=NonLinLarge!$H$75:$H$138</f>
        <v>#NAME?</v>
      </c>
    </row>
    <row r="462" spans="58:58" x14ac:dyDescent="0.25">
      <c r="BF462" t="e">
        <f>solver_lhs51=NonLinLarge!$H$73</f>
        <v>#NAME?</v>
      </c>
    </row>
    <row r="463" spans="58:58" x14ac:dyDescent="0.25">
      <c r="BF463" t="e">
        <f>solver_lhs510=NonLinLarge!$H$139</f>
        <v>#NAME?</v>
      </c>
    </row>
    <row r="464" spans="58:58" x14ac:dyDescent="0.25">
      <c r="BF464" t="e">
        <f>solver_lhs511=NonLinLarge!$H$7:$H$8</f>
        <v>#NAME?</v>
      </c>
    </row>
    <row r="465" spans="58:58" x14ac:dyDescent="0.25">
      <c r="BF465" t="e">
        <f>solver_lhs512=NonLinLarge!$H$9:$H$72</f>
        <v>#NAME?</v>
      </c>
    </row>
    <row r="466" spans="58:58" x14ac:dyDescent="0.25">
      <c r="BF466" t="e">
        <f>solver_lhs513=NonLinLarge!$H$73</f>
        <v>#NAME?</v>
      </c>
    </row>
    <row r="467" spans="58:58" x14ac:dyDescent="0.25">
      <c r="BF467" t="e">
        <f>solver_lhs514=NonLinLarge!$H$74</f>
        <v>#NAME?</v>
      </c>
    </row>
    <row r="468" spans="58:58" x14ac:dyDescent="0.25">
      <c r="BF468" t="e">
        <f>solver_lhs515=NonLinLarge!$H$75:$H$138</f>
        <v>#NAME?</v>
      </c>
    </row>
    <row r="469" spans="58:58" x14ac:dyDescent="0.25">
      <c r="BF469" t="e">
        <f>solver_lhs516=NonLinLarge!$H$139</f>
        <v>#NAME?</v>
      </c>
    </row>
    <row r="470" spans="58:58" x14ac:dyDescent="0.25">
      <c r="BF470" t="e">
        <f>solver_lhs517=NonLinLarge!$H$7:$H$8</f>
        <v>#NAME?</v>
      </c>
    </row>
    <row r="471" spans="58:58" x14ac:dyDescent="0.25">
      <c r="BF471" t="e">
        <f>solver_lhs518=NonLinLarge!$H$9:$H$72</f>
        <v>#NAME?</v>
      </c>
    </row>
    <row r="472" spans="58:58" x14ac:dyDescent="0.25">
      <c r="BF472" t="e">
        <f>solver_lhs519=NonLinLarge!$H$73</f>
        <v>#NAME?</v>
      </c>
    </row>
    <row r="473" spans="58:58" x14ac:dyDescent="0.25">
      <c r="BF473" t="e">
        <f>solver_lhs52=NonLinLarge!$H$74</f>
        <v>#NAME?</v>
      </c>
    </row>
    <row r="474" spans="58:58" x14ac:dyDescent="0.25">
      <c r="BF474" t="e">
        <f>solver_lhs520=NonLinLarge!$H$74</f>
        <v>#NAME?</v>
      </c>
    </row>
    <row r="475" spans="58:58" x14ac:dyDescent="0.25">
      <c r="BF475" t="e">
        <f>solver_lhs521=NonLinLarge!$H$75:$H$138</f>
        <v>#NAME?</v>
      </c>
    </row>
    <row r="476" spans="58:58" x14ac:dyDescent="0.25">
      <c r="BF476" t="e">
        <f>solver_lhs522=NonLinLarge!$H$139</f>
        <v>#NAME?</v>
      </c>
    </row>
    <row r="477" spans="58:58" x14ac:dyDescent="0.25">
      <c r="BF477" t="e">
        <f>solver_lhs523=NonLinLarge!$H$7:$H$8</f>
        <v>#NAME?</v>
      </c>
    </row>
    <row r="478" spans="58:58" x14ac:dyDescent="0.25">
      <c r="BF478" t="e">
        <f>solver_lhs524=NonLinLarge!$H$9:$H$72</f>
        <v>#NAME?</v>
      </c>
    </row>
    <row r="479" spans="58:58" x14ac:dyDescent="0.25">
      <c r="BF479" t="e">
        <f>solver_lhs525=NonLinLarge!$H$73</f>
        <v>#NAME?</v>
      </c>
    </row>
    <row r="480" spans="58:58" x14ac:dyDescent="0.25">
      <c r="BF480" t="e">
        <f>solver_lhs526=NonLinLarge!$H$74</f>
        <v>#NAME?</v>
      </c>
    </row>
    <row r="481" spans="58:58" x14ac:dyDescent="0.25">
      <c r="BF481" t="e">
        <f>solver_lhs527=NonLinLarge!$H$75:$H$138</f>
        <v>#NAME?</v>
      </c>
    </row>
    <row r="482" spans="58:58" x14ac:dyDescent="0.25">
      <c r="BF482" t="e">
        <f>solver_lhs528=NonLinLarge!$H$139</f>
        <v>#NAME?</v>
      </c>
    </row>
    <row r="483" spans="58:58" x14ac:dyDescent="0.25">
      <c r="BF483" t="e">
        <f>solver_lhs529=NonLinLarge!$H$7:$H$8</f>
        <v>#NAME?</v>
      </c>
    </row>
    <row r="484" spans="58:58" x14ac:dyDescent="0.25">
      <c r="BF484" t="e">
        <f>solver_lhs53=NonLinLarge!$H$75:$H$138</f>
        <v>#NAME?</v>
      </c>
    </row>
    <row r="485" spans="58:58" x14ac:dyDescent="0.25">
      <c r="BF485" t="e">
        <f>solver_lhs530=NonLinLarge!$H$9:$H$72</f>
        <v>#NAME?</v>
      </c>
    </row>
    <row r="486" spans="58:58" x14ac:dyDescent="0.25">
      <c r="BF486" t="e">
        <f>solver_lhs531=NonLinLarge!$H$73</f>
        <v>#NAME?</v>
      </c>
    </row>
    <row r="487" spans="58:58" x14ac:dyDescent="0.25">
      <c r="BF487" t="e">
        <f>solver_lhs532=NonLinLarge!$H$74</f>
        <v>#NAME?</v>
      </c>
    </row>
    <row r="488" spans="58:58" x14ac:dyDescent="0.25">
      <c r="BF488" t="e">
        <f>solver_lhs533=NonLinLarge!$H$75:$H$138</f>
        <v>#NAME?</v>
      </c>
    </row>
    <row r="489" spans="58:58" x14ac:dyDescent="0.25">
      <c r="BF489" t="e">
        <f>solver_lhs534=NonLinLarge!$H$139</f>
        <v>#NAME?</v>
      </c>
    </row>
    <row r="490" spans="58:58" x14ac:dyDescent="0.25">
      <c r="BF490" t="e">
        <f>solver_lhs535=NonLinLarge!$H$7:$H$8</f>
        <v>#NAME?</v>
      </c>
    </row>
    <row r="491" spans="58:58" x14ac:dyDescent="0.25">
      <c r="BF491" t="e">
        <f>solver_lhs536=NonLinLarge!$H$9:$H$72</f>
        <v>#NAME?</v>
      </c>
    </row>
    <row r="492" spans="58:58" x14ac:dyDescent="0.25">
      <c r="BF492" t="e">
        <f>solver_lhs537=NonLinLarge!$H$73</f>
        <v>#NAME?</v>
      </c>
    </row>
    <row r="493" spans="58:58" x14ac:dyDescent="0.25">
      <c r="BF493" t="e">
        <f>solver_lhs538=NonLinLarge!$H$74</f>
        <v>#NAME?</v>
      </c>
    </row>
    <row r="494" spans="58:58" x14ac:dyDescent="0.25">
      <c r="BF494" t="e">
        <f>solver_lhs539=NonLinLarge!$H$75:$H$138</f>
        <v>#NAME?</v>
      </c>
    </row>
    <row r="495" spans="58:58" x14ac:dyDescent="0.25">
      <c r="BF495" t="e">
        <f>solver_lhs54=NonLinLarge!$H$139</f>
        <v>#NAME?</v>
      </c>
    </row>
    <row r="496" spans="58:58" x14ac:dyDescent="0.25">
      <c r="BF496" t="e">
        <f>solver_lhs540=NonLinLarge!$H$139</f>
        <v>#NAME?</v>
      </c>
    </row>
    <row r="497" spans="58:58" x14ac:dyDescent="0.25">
      <c r="BF497" t="e">
        <f>solver_lhs541=NonLinLarge!$H$7:$H$8</f>
        <v>#NAME?</v>
      </c>
    </row>
    <row r="498" spans="58:58" x14ac:dyDescent="0.25">
      <c r="BF498" t="e">
        <f>solver_lhs542=NonLinLarge!$H$9:$H$72</f>
        <v>#NAME?</v>
      </c>
    </row>
    <row r="499" spans="58:58" x14ac:dyDescent="0.25">
      <c r="BF499" t="e">
        <f>solver_lhs543=NonLinLarge!$H$73</f>
        <v>#NAME?</v>
      </c>
    </row>
    <row r="500" spans="58:58" x14ac:dyDescent="0.25">
      <c r="BF500" t="e">
        <f>solver_lhs544=NonLinLarge!$H$74</f>
        <v>#NAME?</v>
      </c>
    </row>
    <row r="501" spans="58:58" x14ac:dyDescent="0.25">
      <c r="BF501" t="e">
        <f>solver_lhs545=NonLinLarge!$H$75:$H$138</f>
        <v>#NAME?</v>
      </c>
    </row>
    <row r="502" spans="58:58" x14ac:dyDescent="0.25">
      <c r="BF502" t="e">
        <f>solver_lhs546=NonLinLarge!$H$139</f>
        <v>#NAME?</v>
      </c>
    </row>
    <row r="503" spans="58:58" x14ac:dyDescent="0.25">
      <c r="BF503" t="e">
        <f>solver_lhs547=NonLinLarge!$H$7:$H$8</f>
        <v>#NAME?</v>
      </c>
    </row>
    <row r="504" spans="58:58" x14ac:dyDescent="0.25">
      <c r="BF504" t="e">
        <f>solver_lhs548=NonLinLarge!$H$9:$H$72</f>
        <v>#NAME?</v>
      </c>
    </row>
    <row r="505" spans="58:58" x14ac:dyDescent="0.25">
      <c r="BF505" t="e">
        <f>solver_lhs549=NonLinLarge!$H$73</f>
        <v>#NAME?</v>
      </c>
    </row>
    <row r="506" spans="58:58" x14ac:dyDescent="0.25">
      <c r="BF506" t="e">
        <f>solver_lhs55=NonLinLarge!$H$7:$H$8</f>
        <v>#NAME?</v>
      </c>
    </row>
    <row r="507" spans="58:58" x14ac:dyDescent="0.25">
      <c r="BF507" t="e">
        <f>solver_lhs550=NonLinLarge!$H$74</f>
        <v>#NAME?</v>
      </c>
    </row>
    <row r="508" spans="58:58" x14ac:dyDescent="0.25">
      <c r="BF508" t="e">
        <f>solver_lhs551=NonLinLarge!$H$75:$H$138</f>
        <v>#NAME?</v>
      </c>
    </row>
    <row r="509" spans="58:58" x14ac:dyDescent="0.25">
      <c r="BF509" t="e">
        <f>solver_lhs552=NonLinLarge!$H$139</f>
        <v>#NAME?</v>
      </c>
    </row>
    <row r="510" spans="58:58" x14ac:dyDescent="0.25">
      <c r="BF510" t="e">
        <f>solver_lhs553=NonLinLarge!$H$7:$H$8</f>
        <v>#NAME?</v>
      </c>
    </row>
    <row r="511" spans="58:58" x14ac:dyDescent="0.25">
      <c r="BF511" t="e">
        <f>solver_lhs554=NonLinLarge!$H$9:$H$72</f>
        <v>#NAME?</v>
      </c>
    </row>
    <row r="512" spans="58:58" x14ac:dyDescent="0.25">
      <c r="BF512" t="e">
        <f>solver_lhs555=NonLinLarge!$H$73</f>
        <v>#NAME?</v>
      </c>
    </row>
    <row r="513" spans="58:58" x14ac:dyDescent="0.25">
      <c r="BF513" t="e">
        <f>solver_lhs556=NonLinLarge!$H$74</f>
        <v>#NAME?</v>
      </c>
    </row>
    <row r="514" spans="58:58" x14ac:dyDescent="0.25">
      <c r="BF514" t="e">
        <f>solver_lhs557=NonLinLarge!$H$75:$H$138</f>
        <v>#NAME?</v>
      </c>
    </row>
    <row r="515" spans="58:58" x14ac:dyDescent="0.25">
      <c r="BF515" t="e">
        <f>solver_lhs558=NonLinLarge!$H$139</f>
        <v>#NAME?</v>
      </c>
    </row>
    <row r="516" spans="58:58" x14ac:dyDescent="0.25">
      <c r="BF516" t="e">
        <f>solver_lhs559=NonLinLarge!$H$7:$H$8</f>
        <v>#NAME?</v>
      </c>
    </row>
    <row r="517" spans="58:58" x14ac:dyDescent="0.25">
      <c r="BF517" t="e">
        <f>solver_lhs56=NonLinLarge!$H$9:$H$72</f>
        <v>#NAME?</v>
      </c>
    </row>
    <row r="518" spans="58:58" x14ac:dyDescent="0.25">
      <c r="BF518" t="e">
        <f>solver_lhs560=NonLinLarge!$H$9:$H$72</f>
        <v>#NAME?</v>
      </c>
    </row>
    <row r="519" spans="58:58" x14ac:dyDescent="0.25">
      <c r="BF519" t="e">
        <f>solver_lhs561=NonLinLarge!$H$73</f>
        <v>#NAME?</v>
      </c>
    </row>
    <row r="520" spans="58:58" x14ac:dyDescent="0.25">
      <c r="BF520" t="e">
        <f>solver_lhs562=NonLinLarge!$H$74</f>
        <v>#NAME?</v>
      </c>
    </row>
    <row r="521" spans="58:58" x14ac:dyDescent="0.25">
      <c r="BF521" t="e">
        <f>solver_lhs563=NonLinLarge!$H$75:$H$138</f>
        <v>#NAME?</v>
      </c>
    </row>
    <row r="522" spans="58:58" x14ac:dyDescent="0.25">
      <c r="BF522" t="e">
        <f>solver_lhs564=NonLinLarge!$H$139</f>
        <v>#NAME?</v>
      </c>
    </row>
    <row r="523" spans="58:58" x14ac:dyDescent="0.25">
      <c r="BF523" t="e">
        <f>solver_lhs565=NonLinLarge!$H$7:$H$8</f>
        <v>#NAME?</v>
      </c>
    </row>
    <row r="524" spans="58:58" x14ac:dyDescent="0.25">
      <c r="BF524" t="e">
        <f>solver_lhs566=NonLinLarge!$H$9:$H$72</f>
        <v>#NAME?</v>
      </c>
    </row>
    <row r="525" spans="58:58" x14ac:dyDescent="0.25">
      <c r="BF525" t="e">
        <f>solver_lhs567=NonLinLarge!$H$73</f>
        <v>#NAME?</v>
      </c>
    </row>
    <row r="526" spans="58:58" x14ac:dyDescent="0.25">
      <c r="BF526" t="e">
        <f>solver_lhs568=NonLinLarge!$H$74</f>
        <v>#NAME?</v>
      </c>
    </row>
    <row r="527" spans="58:58" x14ac:dyDescent="0.25">
      <c r="BF527" t="e">
        <f>solver_lhs569=NonLinLarge!$H$75:$H$138</f>
        <v>#NAME?</v>
      </c>
    </row>
    <row r="528" spans="58:58" x14ac:dyDescent="0.25">
      <c r="BF528" t="e">
        <f>solver_lhs57=NonLinLarge!$H$73</f>
        <v>#NAME?</v>
      </c>
    </row>
    <row r="529" spans="58:58" x14ac:dyDescent="0.25">
      <c r="BF529" t="e">
        <f>solver_lhs570=NonLinLarge!$H$139</f>
        <v>#NAME?</v>
      </c>
    </row>
    <row r="530" spans="58:58" x14ac:dyDescent="0.25">
      <c r="BF530" t="e">
        <f>solver_lhs571=NonLinLarge!$H$7:$H$8</f>
        <v>#NAME?</v>
      </c>
    </row>
    <row r="531" spans="58:58" x14ac:dyDescent="0.25">
      <c r="BF531" t="e">
        <f>solver_lhs572=NonLinLarge!$H$9:$H$72</f>
        <v>#NAME?</v>
      </c>
    </row>
    <row r="532" spans="58:58" x14ac:dyDescent="0.25">
      <c r="BF532" t="e">
        <f>solver_lhs573=NonLinLarge!$H$73</f>
        <v>#NAME?</v>
      </c>
    </row>
    <row r="533" spans="58:58" x14ac:dyDescent="0.25">
      <c r="BF533" t="e">
        <f>solver_lhs574=NonLinLarge!$H$74</f>
        <v>#NAME?</v>
      </c>
    </row>
    <row r="534" spans="58:58" x14ac:dyDescent="0.25">
      <c r="BF534" t="e">
        <f>solver_lhs575=NonLinLarge!$H$75:$H$138</f>
        <v>#NAME?</v>
      </c>
    </row>
    <row r="535" spans="58:58" x14ac:dyDescent="0.25">
      <c r="BF535" t="e">
        <f>solver_lhs576=NonLinLarge!$H$139</f>
        <v>#NAME?</v>
      </c>
    </row>
    <row r="536" spans="58:58" x14ac:dyDescent="0.25">
      <c r="BF536" t="e">
        <f>solver_lhs577=NonLinLarge!$H$7:$H$8</f>
        <v>#NAME?</v>
      </c>
    </row>
    <row r="537" spans="58:58" x14ac:dyDescent="0.25">
      <c r="BF537" t="e">
        <f>solver_lhs578=NonLinLarge!$H$9:$H$72</f>
        <v>#NAME?</v>
      </c>
    </row>
    <row r="538" spans="58:58" x14ac:dyDescent="0.25">
      <c r="BF538" t="e">
        <f>solver_lhs579=NonLinLarge!$H$73</f>
        <v>#NAME?</v>
      </c>
    </row>
    <row r="539" spans="58:58" x14ac:dyDescent="0.25">
      <c r="BF539" t="e">
        <f>solver_lhs58=NonLinLarge!$H$74</f>
        <v>#NAME?</v>
      </c>
    </row>
    <row r="540" spans="58:58" x14ac:dyDescent="0.25">
      <c r="BF540" t="e">
        <f>solver_lhs580=NonLinLarge!$H$74</f>
        <v>#NAME?</v>
      </c>
    </row>
    <row r="541" spans="58:58" x14ac:dyDescent="0.25">
      <c r="BF541" t="e">
        <f>solver_lhs581=NonLinLarge!$H$75:$H$138</f>
        <v>#NAME?</v>
      </c>
    </row>
    <row r="542" spans="58:58" x14ac:dyDescent="0.25">
      <c r="BF542" t="e">
        <f>solver_lhs582=NonLinLarge!$H$139</f>
        <v>#NAME?</v>
      </c>
    </row>
    <row r="543" spans="58:58" x14ac:dyDescent="0.25">
      <c r="BF543" t="e">
        <f>solver_lhs583=NonLinLarge!$H$7:$H$8</f>
        <v>#NAME?</v>
      </c>
    </row>
    <row r="544" spans="58:58" x14ac:dyDescent="0.25">
      <c r="BF544" t="e">
        <f>solver_lhs584=NonLinLarge!$H$9:$H$72</f>
        <v>#NAME?</v>
      </c>
    </row>
    <row r="545" spans="58:58" x14ac:dyDescent="0.25">
      <c r="BF545" t="e">
        <f>solver_lhs585=NonLinLarge!$H$73</f>
        <v>#NAME?</v>
      </c>
    </row>
    <row r="546" spans="58:58" x14ac:dyDescent="0.25">
      <c r="BF546" t="e">
        <f>solver_lhs586=NonLinLarge!$H$74</f>
        <v>#NAME?</v>
      </c>
    </row>
    <row r="547" spans="58:58" x14ac:dyDescent="0.25">
      <c r="BF547" t="e">
        <f>solver_lhs587=NonLinLarge!$H$75:$H$138</f>
        <v>#NAME?</v>
      </c>
    </row>
    <row r="548" spans="58:58" x14ac:dyDescent="0.25">
      <c r="BF548" t="e">
        <f>solver_lhs588=NonLinLarge!$H$139</f>
        <v>#NAME?</v>
      </c>
    </row>
    <row r="549" spans="58:58" x14ac:dyDescent="0.25">
      <c r="BF549" t="e">
        <f>solver_lhs589=NonLinLarge!$H$7:$H$8</f>
        <v>#NAME?</v>
      </c>
    </row>
    <row r="550" spans="58:58" x14ac:dyDescent="0.25">
      <c r="BF550" t="e">
        <f>solver_lhs59=NonLinLarge!$H$75:$H$138</f>
        <v>#NAME?</v>
      </c>
    </row>
    <row r="551" spans="58:58" x14ac:dyDescent="0.25">
      <c r="BF551" t="e">
        <f>solver_lhs590=NonLinLarge!$H$9:$H$72</f>
        <v>#NAME?</v>
      </c>
    </row>
    <row r="552" spans="58:58" x14ac:dyDescent="0.25">
      <c r="BF552" t="e">
        <f>solver_lhs591=NonLinLarge!$H$73</f>
        <v>#NAME?</v>
      </c>
    </row>
    <row r="553" spans="58:58" x14ac:dyDescent="0.25">
      <c r="BF553" t="e">
        <f>solver_lhs592=NonLinLarge!$H$74</f>
        <v>#NAME?</v>
      </c>
    </row>
    <row r="554" spans="58:58" x14ac:dyDescent="0.25">
      <c r="BF554" t="e">
        <f>solver_lhs593=NonLinLarge!$H$75:$H$138</f>
        <v>#NAME?</v>
      </c>
    </row>
    <row r="555" spans="58:58" x14ac:dyDescent="0.25">
      <c r="BF555" t="e">
        <f>solver_lhs594=NonLinLarge!$H$139</f>
        <v>#NAME?</v>
      </c>
    </row>
    <row r="556" spans="58:58" x14ac:dyDescent="0.25">
      <c r="BF556" t="e">
        <f>solver_lhs595=NonLinLarge!$H$7:$H$8</f>
        <v>#NAME?</v>
      </c>
    </row>
    <row r="557" spans="58:58" x14ac:dyDescent="0.25">
      <c r="BF557" t="e">
        <f>solver_lhs596=NonLinLarge!$H$9:$H$72</f>
        <v>#NAME?</v>
      </c>
    </row>
    <row r="558" spans="58:58" x14ac:dyDescent="0.25">
      <c r="BF558" t="e">
        <f>solver_lhs597=NonLinLarge!$H$73</f>
        <v>#NAME?</v>
      </c>
    </row>
    <row r="559" spans="58:58" x14ac:dyDescent="0.25">
      <c r="BF559" t="e">
        <f>solver_lhs598=NonLinLarge!$H$74</f>
        <v>#NAME?</v>
      </c>
    </row>
    <row r="560" spans="58:58" x14ac:dyDescent="0.25">
      <c r="BF560" t="e">
        <f>solver_lhs599=NonLinLarge!$H$75:$H$138</f>
        <v>#NAME?</v>
      </c>
    </row>
    <row r="561" spans="58:58" x14ac:dyDescent="0.25">
      <c r="BF561" t="e">
        <f>solver_lhs6=NonLinLarge!$H$139</f>
        <v>#NAME?</v>
      </c>
    </row>
    <row r="562" spans="58:58" x14ac:dyDescent="0.25">
      <c r="BF562" t="e">
        <f>solver_lhs60=NonLinLarge!$H$139</f>
        <v>#NAME?</v>
      </c>
    </row>
    <row r="563" spans="58:58" x14ac:dyDescent="0.25">
      <c r="BF563" t="e">
        <f>solver_lhs600=NonLinLarge!$H$139</f>
        <v>#NAME?</v>
      </c>
    </row>
    <row r="564" spans="58:58" x14ac:dyDescent="0.25">
      <c r="BF564" t="e">
        <f>solver_lhs61=NonLinLarge!$H$7:$H$8</f>
        <v>#NAME?</v>
      </c>
    </row>
    <row r="565" spans="58:58" x14ac:dyDescent="0.25">
      <c r="BF565" t="e">
        <f>solver_lhs62=NonLinLarge!$H$9:$H$72</f>
        <v>#NAME?</v>
      </c>
    </row>
    <row r="566" spans="58:58" x14ac:dyDescent="0.25">
      <c r="BF566" t="e">
        <f>solver_lhs63=NonLinLarge!$H$73</f>
        <v>#NAME?</v>
      </c>
    </row>
    <row r="567" spans="58:58" x14ac:dyDescent="0.25">
      <c r="BF567" t="e">
        <f>solver_lhs64=NonLinLarge!$H$74</f>
        <v>#NAME?</v>
      </c>
    </row>
    <row r="568" spans="58:58" x14ac:dyDescent="0.25">
      <c r="BF568" t="e">
        <f>solver_lhs65=NonLinLarge!$H$75:$H$138</f>
        <v>#NAME?</v>
      </c>
    </row>
    <row r="569" spans="58:58" x14ac:dyDescent="0.25">
      <c r="BF569" t="e">
        <f>solver_lhs66=NonLinLarge!$H$139</f>
        <v>#NAME?</v>
      </c>
    </row>
    <row r="570" spans="58:58" x14ac:dyDescent="0.25">
      <c r="BF570" t="e">
        <f>solver_lhs67=NonLinLarge!$H$7:$H$8</f>
        <v>#NAME?</v>
      </c>
    </row>
    <row r="571" spans="58:58" x14ac:dyDescent="0.25">
      <c r="BF571" t="e">
        <f>solver_lhs68=NonLinLarge!$H$9:$H$72</f>
        <v>#NAME?</v>
      </c>
    </row>
    <row r="572" spans="58:58" x14ac:dyDescent="0.25">
      <c r="BF572" t="e">
        <f>solver_lhs69=NonLinLarge!$H$73</f>
        <v>#NAME?</v>
      </c>
    </row>
    <row r="573" spans="58:58" x14ac:dyDescent="0.25">
      <c r="BF573" t="e">
        <f>solver_lhs7=NonLinLarge!$H$7:$H$8</f>
        <v>#NAME?</v>
      </c>
    </row>
    <row r="574" spans="58:58" x14ac:dyDescent="0.25">
      <c r="BF574" t="e">
        <f>solver_lhs70=NonLinLarge!$H$74</f>
        <v>#NAME?</v>
      </c>
    </row>
    <row r="575" spans="58:58" x14ac:dyDescent="0.25">
      <c r="BF575" t="e">
        <f>solver_lhs71=NonLinLarge!$H$75:$H$138</f>
        <v>#NAME?</v>
      </c>
    </row>
    <row r="576" spans="58:58" x14ac:dyDescent="0.25">
      <c r="BF576" t="e">
        <f>solver_lhs72=NonLinLarge!$H$139</f>
        <v>#NAME?</v>
      </c>
    </row>
    <row r="577" spans="58:58" x14ac:dyDescent="0.25">
      <c r="BF577" t="e">
        <f>solver_lhs73=NonLinLarge!$H$7:$H$8</f>
        <v>#NAME?</v>
      </c>
    </row>
    <row r="578" spans="58:58" x14ac:dyDescent="0.25">
      <c r="BF578" t="e">
        <f>solver_lhs74=NonLinLarge!$H$9:$H$72</f>
        <v>#NAME?</v>
      </c>
    </row>
    <row r="579" spans="58:58" x14ac:dyDescent="0.25">
      <c r="BF579" t="e">
        <f>solver_lhs75=NonLinLarge!$H$73</f>
        <v>#NAME?</v>
      </c>
    </row>
    <row r="580" spans="58:58" x14ac:dyDescent="0.25">
      <c r="BF580" t="e">
        <f>solver_lhs76=NonLinLarge!$H$74</f>
        <v>#NAME?</v>
      </c>
    </row>
    <row r="581" spans="58:58" x14ac:dyDescent="0.25">
      <c r="BF581" t="e">
        <f>solver_lhs77=NonLinLarge!$H$75:$H$138</f>
        <v>#NAME?</v>
      </c>
    </row>
    <row r="582" spans="58:58" x14ac:dyDescent="0.25">
      <c r="BF582" t="e">
        <f>solver_lhs78=NonLinLarge!$H$139</f>
        <v>#NAME?</v>
      </c>
    </row>
    <row r="583" spans="58:58" x14ac:dyDescent="0.25">
      <c r="BF583" t="e">
        <f>solver_lhs79=NonLinLarge!$H$7:$H$8</f>
        <v>#NAME?</v>
      </c>
    </row>
    <row r="584" spans="58:58" x14ac:dyDescent="0.25">
      <c r="BF584" t="e">
        <f>solver_lhs8=NonLinLarge!$H$9:$H$72</f>
        <v>#NAME?</v>
      </c>
    </row>
    <row r="585" spans="58:58" x14ac:dyDescent="0.25">
      <c r="BF585" t="e">
        <f>solver_lhs80=NonLinLarge!$H$9:$H$72</f>
        <v>#NAME?</v>
      </c>
    </row>
    <row r="586" spans="58:58" x14ac:dyDescent="0.25">
      <c r="BF586" t="e">
        <f>solver_lhs81=NonLinLarge!$H$73</f>
        <v>#NAME?</v>
      </c>
    </row>
    <row r="587" spans="58:58" x14ac:dyDescent="0.25">
      <c r="BF587" t="e">
        <f>solver_lhs82=NonLinLarge!$H$74</f>
        <v>#NAME?</v>
      </c>
    </row>
    <row r="588" spans="58:58" x14ac:dyDescent="0.25">
      <c r="BF588" t="e">
        <f>solver_lhs83=NonLinLarge!$H$75:$H$138</f>
        <v>#NAME?</v>
      </c>
    </row>
    <row r="589" spans="58:58" x14ac:dyDescent="0.25">
      <c r="BF589" t="e">
        <f>solver_lhs84=NonLinLarge!$H$139</f>
        <v>#NAME?</v>
      </c>
    </row>
    <row r="590" spans="58:58" x14ac:dyDescent="0.25">
      <c r="BF590" t="e">
        <f>solver_lhs85=NonLinLarge!$H$7:$H$8</f>
        <v>#NAME?</v>
      </c>
    </row>
    <row r="591" spans="58:58" x14ac:dyDescent="0.25">
      <c r="BF591" t="e">
        <f>solver_lhs86=NonLinLarge!$H$9:$H$72</f>
        <v>#NAME?</v>
      </c>
    </row>
    <row r="592" spans="58:58" x14ac:dyDescent="0.25">
      <c r="BF592" t="e">
        <f>solver_lhs87=NonLinLarge!$H$73</f>
        <v>#NAME?</v>
      </c>
    </row>
    <row r="593" spans="58:58" x14ac:dyDescent="0.25">
      <c r="BF593" t="e">
        <f>solver_lhs88=NonLinLarge!$H$74</f>
        <v>#NAME?</v>
      </c>
    </row>
    <row r="594" spans="58:58" x14ac:dyDescent="0.25">
      <c r="BF594" t="e">
        <f>solver_lhs89=NonLinLarge!$H$75:$H$138</f>
        <v>#NAME?</v>
      </c>
    </row>
    <row r="595" spans="58:58" x14ac:dyDescent="0.25">
      <c r="BF595" t="e">
        <f>solver_lhs9=NonLinLarge!$H$73</f>
        <v>#NAME?</v>
      </c>
    </row>
    <row r="596" spans="58:58" x14ac:dyDescent="0.25">
      <c r="BF596" t="e">
        <f>solver_lhs90=NonLinLarge!$H$139</f>
        <v>#NAME?</v>
      </c>
    </row>
    <row r="597" spans="58:58" x14ac:dyDescent="0.25">
      <c r="BF597" t="e">
        <f>solver_lhs91=NonLinLarge!$H$7:$H$8</f>
        <v>#NAME?</v>
      </c>
    </row>
    <row r="598" spans="58:58" x14ac:dyDescent="0.25">
      <c r="BF598" t="e">
        <f>solver_lhs92=NonLinLarge!$H$9:$H$72</f>
        <v>#NAME?</v>
      </c>
    </row>
    <row r="599" spans="58:58" x14ac:dyDescent="0.25">
      <c r="BF599" t="e">
        <f>solver_lhs93=NonLinLarge!$H$73</f>
        <v>#NAME?</v>
      </c>
    </row>
    <row r="600" spans="58:58" x14ac:dyDescent="0.25">
      <c r="BF600" t="e">
        <f>solver_lhs94=NonLinLarge!$H$74</f>
        <v>#NAME?</v>
      </c>
    </row>
    <row r="601" spans="58:58" x14ac:dyDescent="0.25">
      <c r="BF601" t="e">
        <f>solver_lhs95=NonLinLarge!$H$75:$H$138</f>
        <v>#NAME?</v>
      </c>
    </row>
    <row r="602" spans="58:58" x14ac:dyDescent="0.25">
      <c r="BF602" t="e">
        <f>solver_lhs96=NonLinLarge!$H$139</f>
        <v>#NAME?</v>
      </c>
    </row>
    <row r="603" spans="58:58" x14ac:dyDescent="0.25">
      <c r="BF603" t="e">
        <f>solver_lhs97=NonLinLarge!$H$7:$H$8</f>
        <v>#NAME?</v>
      </c>
    </row>
    <row r="604" spans="58:58" x14ac:dyDescent="0.25">
      <c r="BF604" t="e">
        <f>solver_lhs98=NonLinLarge!$H$9:$H$72</f>
        <v>#NAME?</v>
      </c>
    </row>
    <row r="605" spans="58:58" x14ac:dyDescent="0.25">
      <c r="BF605" t="e">
        <f>solver_lhs99=NonLinLarge!$H$73</f>
        <v>#NAME?</v>
      </c>
    </row>
    <row r="606" spans="58:58" x14ac:dyDescent="0.25">
      <c r="BF606" t="e">
        <f>solver_neg=1</f>
        <v>#NAME?</v>
      </c>
    </row>
    <row r="607" spans="58:58" x14ac:dyDescent="0.25">
      <c r="BF607" t="e">
        <f>solver_num=600</f>
        <v>#NAME?</v>
      </c>
    </row>
    <row r="608" spans="58:58" x14ac:dyDescent="0.25">
      <c r="BF608" t="e">
        <f>solver_opt=NonLinLarge!$H$5</f>
        <v>#NAME?</v>
      </c>
    </row>
    <row r="609" spans="58:58" x14ac:dyDescent="0.25">
      <c r="BF609" t="e">
        <f>solver_rel1=1</f>
        <v>#NAME?</v>
      </c>
    </row>
    <row r="610" spans="58:58" x14ac:dyDescent="0.25">
      <c r="BF610" t="e">
        <f>solver_rel10=1</f>
        <v>#NAME?</v>
      </c>
    </row>
    <row r="611" spans="58:58" x14ac:dyDescent="0.25">
      <c r="BF611" t="e">
        <f>solver_rel100=1</f>
        <v>#NAME?</v>
      </c>
    </row>
    <row r="612" spans="58:58" x14ac:dyDescent="0.25">
      <c r="BF612" t="e">
        <f>solver_rel101=3</f>
        <v>#NAME?</v>
      </c>
    </row>
    <row r="613" spans="58:58" x14ac:dyDescent="0.25">
      <c r="BF613" t="e">
        <f>solver_rel102=2</f>
        <v>#NAME?</v>
      </c>
    </row>
    <row r="614" spans="58:58" x14ac:dyDescent="0.25">
      <c r="BF614" t="e">
        <f>solver_rel103=1</f>
        <v>#NAME?</v>
      </c>
    </row>
    <row r="615" spans="58:58" x14ac:dyDescent="0.25">
      <c r="BF615" t="e">
        <f>solver_rel104=3</f>
        <v>#NAME?</v>
      </c>
    </row>
    <row r="616" spans="58:58" x14ac:dyDescent="0.25">
      <c r="BF616" t="e">
        <f>solver_rel105=2</f>
        <v>#NAME?</v>
      </c>
    </row>
    <row r="617" spans="58:58" x14ac:dyDescent="0.25">
      <c r="BF617" t="e">
        <f>solver_rel106=1</f>
        <v>#NAME?</v>
      </c>
    </row>
    <row r="618" spans="58:58" x14ac:dyDescent="0.25">
      <c r="BF618" t="e">
        <f>solver_rel107=3</f>
        <v>#NAME?</v>
      </c>
    </row>
    <row r="619" spans="58:58" x14ac:dyDescent="0.25">
      <c r="BF619" t="e">
        <f>solver_rel108=2</f>
        <v>#NAME?</v>
      </c>
    </row>
    <row r="620" spans="58:58" x14ac:dyDescent="0.25">
      <c r="BF620" t="e">
        <f>solver_rel109=1</f>
        <v>#NAME?</v>
      </c>
    </row>
    <row r="621" spans="58:58" x14ac:dyDescent="0.25">
      <c r="BF621" t="e">
        <f>solver_rel11=3</f>
        <v>#NAME?</v>
      </c>
    </row>
    <row r="622" spans="58:58" x14ac:dyDescent="0.25">
      <c r="BF622" t="e">
        <f>solver_rel110=3</f>
        <v>#NAME?</v>
      </c>
    </row>
    <row r="623" spans="58:58" x14ac:dyDescent="0.25">
      <c r="BF623" t="e">
        <f>solver_rel111=2</f>
        <v>#NAME?</v>
      </c>
    </row>
    <row r="624" spans="58:58" x14ac:dyDescent="0.25">
      <c r="BF624" t="e">
        <f>solver_rel112=1</f>
        <v>#NAME?</v>
      </c>
    </row>
    <row r="625" spans="58:58" x14ac:dyDescent="0.25">
      <c r="BF625" t="e">
        <f>solver_rel113=3</f>
        <v>#NAME?</v>
      </c>
    </row>
    <row r="626" spans="58:58" x14ac:dyDescent="0.25">
      <c r="BF626" t="e">
        <f>solver_rel114=2</f>
        <v>#NAME?</v>
      </c>
    </row>
    <row r="627" spans="58:58" x14ac:dyDescent="0.25">
      <c r="BF627" t="e">
        <f>solver_rel115=1</f>
        <v>#NAME?</v>
      </c>
    </row>
    <row r="628" spans="58:58" x14ac:dyDescent="0.25">
      <c r="BF628" t="e">
        <f>solver_rel116=3</f>
        <v>#NAME?</v>
      </c>
    </row>
    <row r="629" spans="58:58" x14ac:dyDescent="0.25">
      <c r="BF629" t="e">
        <f>solver_rel117=2</f>
        <v>#NAME?</v>
      </c>
    </row>
    <row r="630" spans="58:58" x14ac:dyDescent="0.25">
      <c r="BF630" t="e">
        <f>solver_rel118=1</f>
        <v>#NAME?</v>
      </c>
    </row>
    <row r="631" spans="58:58" x14ac:dyDescent="0.25">
      <c r="BF631" t="e">
        <f>solver_rel119=3</f>
        <v>#NAME?</v>
      </c>
    </row>
    <row r="632" spans="58:58" x14ac:dyDescent="0.25">
      <c r="BF632" t="e">
        <f>solver_rel12=2</f>
        <v>#NAME?</v>
      </c>
    </row>
    <row r="633" spans="58:58" x14ac:dyDescent="0.25">
      <c r="BF633" t="e">
        <f>solver_rel120=2</f>
        <v>#NAME?</v>
      </c>
    </row>
    <row r="634" spans="58:58" x14ac:dyDescent="0.25">
      <c r="BF634" t="e">
        <f>solver_rel121=1</f>
        <v>#NAME?</v>
      </c>
    </row>
    <row r="635" spans="58:58" x14ac:dyDescent="0.25">
      <c r="BF635" t="e">
        <f>solver_rel122=3</f>
        <v>#NAME?</v>
      </c>
    </row>
    <row r="636" spans="58:58" x14ac:dyDescent="0.25">
      <c r="BF636" t="e">
        <f>solver_rel123=2</f>
        <v>#NAME?</v>
      </c>
    </row>
    <row r="637" spans="58:58" x14ac:dyDescent="0.25">
      <c r="BF637" t="e">
        <f>solver_rel124=1</f>
        <v>#NAME?</v>
      </c>
    </row>
    <row r="638" spans="58:58" x14ac:dyDescent="0.25">
      <c r="BF638" t="e">
        <f>solver_rel125=3</f>
        <v>#NAME?</v>
      </c>
    </row>
    <row r="639" spans="58:58" x14ac:dyDescent="0.25">
      <c r="BF639" t="e">
        <f>solver_rel126=2</f>
        <v>#NAME?</v>
      </c>
    </row>
    <row r="640" spans="58:58" x14ac:dyDescent="0.25">
      <c r="BF640" t="e">
        <f>solver_rel127=1</f>
        <v>#NAME?</v>
      </c>
    </row>
    <row r="641" spans="58:58" x14ac:dyDescent="0.25">
      <c r="BF641" t="e">
        <f>solver_rel128=3</f>
        <v>#NAME?</v>
      </c>
    </row>
    <row r="642" spans="58:58" x14ac:dyDescent="0.25">
      <c r="BF642" t="e">
        <f>solver_rel129=2</f>
        <v>#NAME?</v>
      </c>
    </row>
    <row r="643" spans="58:58" x14ac:dyDescent="0.25">
      <c r="BF643" t="e">
        <f>solver_rel13=1</f>
        <v>#NAME?</v>
      </c>
    </row>
    <row r="644" spans="58:58" x14ac:dyDescent="0.25">
      <c r="BF644" t="e">
        <f>solver_rel130=1</f>
        <v>#NAME?</v>
      </c>
    </row>
    <row r="645" spans="58:58" x14ac:dyDescent="0.25">
      <c r="BF645" t="e">
        <f>solver_rel131=3</f>
        <v>#NAME?</v>
      </c>
    </row>
    <row r="646" spans="58:58" x14ac:dyDescent="0.25">
      <c r="BF646" t="e">
        <f>solver_rel132=2</f>
        <v>#NAME?</v>
      </c>
    </row>
    <row r="647" spans="58:58" x14ac:dyDescent="0.25">
      <c r="BF647" t="e">
        <f>solver_rel133=1</f>
        <v>#NAME?</v>
      </c>
    </row>
    <row r="648" spans="58:58" x14ac:dyDescent="0.25">
      <c r="BF648" t="e">
        <f>solver_rel134=3</f>
        <v>#NAME?</v>
      </c>
    </row>
    <row r="649" spans="58:58" x14ac:dyDescent="0.25">
      <c r="BF649" t="e">
        <f>solver_rel135=2</f>
        <v>#NAME?</v>
      </c>
    </row>
    <row r="650" spans="58:58" x14ac:dyDescent="0.25">
      <c r="BF650" t="e">
        <f>solver_rel136=1</f>
        <v>#NAME?</v>
      </c>
    </row>
    <row r="651" spans="58:58" x14ac:dyDescent="0.25">
      <c r="BF651" t="e">
        <f>solver_rel137=3</f>
        <v>#NAME?</v>
      </c>
    </row>
    <row r="652" spans="58:58" x14ac:dyDescent="0.25">
      <c r="BF652" t="e">
        <f>solver_rel138=2</f>
        <v>#NAME?</v>
      </c>
    </row>
    <row r="653" spans="58:58" x14ac:dyDescent="0.25">
      <c r="BF653" t="e">
        <f>solver_rel139=1</f>
        <v>#NAME?</v>
      </c>
    </row>
    <row r="654" spans="58:58" x14ac:dyDescent="0.25">
      <c r="BF654" t="e">
        <f>solver_rel14=3</f>
        <v>#NAME?</v>
      </c>
    </row>
    <row r="655" spans="58:58" x14ac:dyDescent="0.25">
      <c r="BF655" t="e">
        <f>solver_rel140=3</f>
        <v>#NAME?</v>
      </c>
    </row>
    <row r="656" spans="58:58" x14ac:dyDescent="0.25">
      <c r="BF656" t="e">
        <f>solver_rel141=2</f>
        <v>#NAME?</v>
      </c>
    </row>
    <row r="657" spans="58:58" x14ac:dyDescent="0.25">
      <c r="BF657" t="e">
        <f>solver_rel142=1</f>
        <v>#NAME?</v>
      </c>
    </row>
    <row r="658" spans="58:58" x14ac:dyDescent="0.25">
      <c r="BF658" t="e">
        <f>solver_rel143=3</f>
        <v>#NAME?</v>
      </c>
    </row>
    <row r="659" spans="58:58" x14ac:dyDescent="0.25">
      <c r="BF659" t="e">
        <f>solver_rel144=2</f>
        <v>#NAME?</v>
      </c>
    </row>
    <row r="660" spans="58:58" x14ac:dyDescent="0.25">
      <c r="BF660" t="e">
        <f>solver_rel145=1</f>
        <v>#NAME?</v>
      </c>
    </row>
    <row r="661" spans="58:58" x14ac:dyDescent="0.25">
      <c r="BF661" t="e">
        <f>solver_rel146=3</f>
        <v>#NAME?</v>
      </c>
    </row>
    <row r="662" spans="58:58" x14ac:dyDescent="0.25">
      <c r="BF662" t="e">
        <f>solver_rel147=2</f>
        <v>#NAME?</v>
      </c>
    </row>
    <row r="663" spans="58:58" x14ac:dyDescent="0.25">
      <c r="BF663" t="e">
        <f>solver_rel148=1</f>
        <v>#NAME?</v>
      </c>
    </row>
    <row r="664" spans="58:58" x14ac:dyDescent="0.25">
      <c r="BF664" t="e">
        <f>solver_rel149=3</f>
        <v>#NAME?</v>
      </c>
    </row>
    <row r="665" spans="58:58" x14ac:dyDescent="0.25">
      <c r="BF665" t="e">
        <f>solver_rel15=2</f>
        <v>#NAME?</v>
      </c>
    </row>
    <row r="666" spans="58:58" x14ac:dyDescent="0.25">
      <c r="BF666" t="e">
        <f>solver_rel150=2</f>
        <v>#NAME?</v>
      </c>
    </row>
    <row r="667" spans="58:58" x14ac:dyDescent="0.25">
      <c r="BF667" t="e">
        <f>solver_rel151=1</f>
        <v>#NAME?</v>
      </c>
    </row>
    <row r="668" spans="58:58" x14ac:dyDescent="0.25">
      <c r="BF668" t="e">
        <f>solver_rel152=3</f>
        <v>#NAME?</v>
      </c>
    </row>
    <row r="669" spans="58:58" x14ac:dyDescent="0.25">
      <c r="BF669" t="e">
        <f>solver_rel153=2</f>
        <v>#NAME?</v>
      </c>
    </row>
    <row r="670" spans="58:58" x14ac:dyDescent="0.25">
      <c r="BF670" t="e">
        <f>solver_rel154=1</f>
        <v>#NAME?</v>
      </c>
    </row>
    <row r="671" spans="58:58" x14ac:dyDescent="0.25">
      <c r="BF671" t="e">
        <f>solver_rel155=3</f>
        <v>#NAME?</v>
      </c>
    </row>
    <row r="672" spans="58:58" x14ac:dyDescent="0.25">
      <c r="BF672" t="e">
        <f>solver_rel156=2</f>
        <v>#NAME?</v>
      </c>
    </row>
    <row r="673" spans="58:58" x14ac:dyDescent="0.25">
      <c r="BF673" t="e">
        <f>solver_rel157=1</f>
        <v>#NAME?</v>
      </c>
    </row>
    <row r="674" spans="58:58" x14ac:dyDescent="0.25">
      <c r="BF674" t="e">
        <f>solver_rel158=3</f>
        <v>#NAME?</v>
      </c>
    </row>
    <row r="675" spans="58:58" x14ac:dyDescent="0.25">
      <c r="BF675" t="e">
        <f>solver_rel159=2</f>
        <v>#NAME?</v>
      </c>
    </row>
    <row r="676" spans="58:58" x14ac:dyDescent="0.25">
      <c r="BF676" t="e">
        <f>solver_rel16=1</f>
        <v>#NAME?</v>
      </c>
    </row>
    <row r="677" spans="58:58" x14ac:dyDescent="0.25">
      <c r="BF677" t="e">
        <f>solver_rel160=1</f>
        <v>#NAME?</v>
      </c>
    </row>
    <row r="678" spans="58:58" x14ac:dyDescent="0.25">
      <c r="BF678" t="e">
        <f>solver_rel161=3</f>
        <v>#NAME?</v>
      </c>
    </row>
    <row r="679" spans="58:58" x14ac:dyDescent="0.25">
      <c r="BF679" t="e">
        <f>solver_rel162=2</f>
        <v>#NAME?</v>
      </c>
    </row>
    <row r="680" spans="58:58" x14ac:dyDescent="0.25">
      <c r="BF680" t="e">
        <f>solver_rel163=1</f>
        <v>#NAME?</v>
      </c>
    </row>
    <row r="681" spans="58:58" x14ac:dyDescent="0.25">
      <c r="BF681" t="e">
        <f>solver_rel164=3</f>
        <v>#NAME?</v>
      </c>
    </row>
    <row r="682" spans="58:58" x14ac:dyDescent="0.25">
      <c r="BF682" t="e">
        <f>solver_rel165=2</f>
        <v>#NAME?</v>
      </c>
    </row>
    <row r="683" spans="58:58" x14ac:dyDescent="0.25">
      <c r="BF683" t="e">
        <f>solver_rel166=1</f>
        <v>#NAME?</v>
      </c>
    </row>
    <row r="684" spans="58:58" x14ac:dyDescent="0.25">
      <c r="BF684" t="e">
        <f>solver_rel167=3</f>
        <v>#NAME?</v>
      </c>
    </row>
    <row r="685" spans="58:58" x14ac:dyDescent="0.25">
      <c r="BF685" t="e">
        <f>solver_rel168=2</f>
        <v>#NAME?</v>
      </c>
    </row>
    <row r="686" spans="58:58" x14ac:dyDescent="0.25">
      <c r="BF686" t="e">
        <f>solver_rel169=1</f>
        <v>#NAME?</v>
      </c>
    </row>
    <row r="687" spans="58:58" x14ac:dyDescent="0.25">
      <c r="BF687" t="e">
        <f>solver_rel17=3</f>
        <v>#NAME?</v>
      </c>
    </row>
    <row r="688" spans="58:58" x14ac:dyDescent="0.25">
      <c r="BF688" t="e">
        <f>solver_rel170=3</f>
        <v>#NAME?</v>
      </c>
    </row>
    <row r="689" spans="58:58" x14ac:dyDescent="0.25">
      <c r="BF689" t="e">
        <f>solver_rel171=2</f>
        <v>#NAME?</v>
      </c>
    </row>
    <row r="690" spans="58:58" x14ac:dyDescent="0.25">
      <c r="BF690" t="e">
        <f>solver_rel172=1</f>
        <v>#NAME?</v>
      </c>
    </row>
    <row r="691" spans="58:58" x14ac:dyDescent="0.25">
      <c r="BF691" t="e">
        <f>solver_rel173=3</f>
        <v>#NAME?</v>
      </c>
    </row>
    <row r="692" spans="58:58" x14ac:dyDescent="0.25">
      <c r="BF692" t="e">
        <f>solver_rel174=2</f>
        <v>#NAME?</v>
      </c>
    </row>
    <row r="693" spans="58:58" x14ac:dyDescent="0.25">
      <c r="BF693" t="e">
        <f>solver_rel175=1</f>
        <v>#NAME?</v>
      </c>
    </row>
    <row r="694" spans="58:58" x14ac:dyDescent="0.25">
      <c r="BF694" t="e">
        <f>solver_rel176=3</f>
        <v>#NAME?</v>
      </c>
    </row>
    <row r="695" spans="58:58" x14ac:dyDescent="0.25">
      <c r="BF695" t="e">
        <f>solver_rel177=2</f>
        <v>#NAME?</v>
      </c>
    </row>
    <row r="696" spans="58:58" x14ac:dyDescent="0.25">
      <c r="BF696" t="e">
        <f>solver_rel178=1</f>
        <v>#NAME?</v>
      </c>
    </row>
    <row r="697" spans="58:58" x14ac:dyDescent="0.25">
      <c r="BF697" t="e">
        <f>solver_rel179=3</f>
        <v>#NAME?</v>
      </c>
    </row>
    <row r="698" spans="58:58" x14ac:dyDescent="0.25">
      <c r="BF698" t="e">
        <f>solver_rel18=2</f>
        <v>#NAME?</v>
      </c>
    </row>
    <row r="699" spans="58:58" x14ac:dyDescent="0.25">
      <c r="BF699" t="e">
        <f>solver_rel180=2</f>
        <v>#NAME?</v>
      </c>
    </row>
    <row r="700" spans="58:58" x14ac:dyDescent="0.25">
      <c r="BF700" t="e">
        <f>solver_rel181=1</f>
        <v>#NAME?</v>
      </c>
    </row>
    <row r="701" spans="58:58" x14ac:dyDescent="0.25">
      <c r="BF701" t="e">
        <f>solver_rel182=3</f>
        <v>#NAME?</v>
      </c>
    </row>
    <row r="702" spans="58:58" x14ac:dyDescent="0.25">
      <c r="BF702" t="e">
        <f>solver_rel183=2</f>
        <v>#NAME?</v>
      </c>
    </row>
    <row r="703" spans="58:58" x14ac:dyDescent="0.25">
      <c r="BF703" t="e">
        <f>solver_rel184=1</f>
        <v>#NAME?</v>
      </c>
    </row>
    <row r="704" spans="58:58" x14ac:dyDescent="0.25">
      <c r="BF704" t="e">
        <f>solver_rel185=3</f>
        <v>#NAME?</v>
      </c>
    </row>
    <row r="705" spans="58:58" x14ac:dyDescent="0.25">
      <c r="BF705" t="e">
        <f>solver_rel186=2</f>
        <v>#NAME?</v>
      </c>
    </row>
    <row r="706" spans="58:58" x14ac:dyDescent="0.25">
      <c r="BF706" t="e">
        <f>solver_rel187=1</f>
        <v>#NAME?</v>
      </c>
    </row>
    <row r="707" spans="58:58" x14ac:dyDescent="0.25">
      <c r="BF707" t="e">
        <f>solver_rel188=3</f>
        <v>#NAME?</v>
      </c>
    </row>
    <row r="708" spans="58:58" x14ac:dyDescent="0.25">
      <c r="BF708" t="e">
        <f>solver_rel189=2</f>
        <v>#NAME?</v>
      </c>
    </row>
    <row r="709" spans="58:58" x14ac:dyDescent="0.25">
      <c r="BF709" t="e">
        <f>solver_rel19=1</f>
        <v>#NAME?</v>
      </c>
    </row>
    <row r="710" spans="58:58" x14ac:dyDescent="0.25">
      <c r="BF710" t="e">
        <f>solver_rel190=1</f>
        <v>#NAME?</v>
      </c>
    </row>
    <row r="711" spans="58:58" x14ac:dyDescent="0.25">
      <c r="BF711" t="e">
        <f>solver_rel191=3</f>
        <v>#NAME?</v>
      </c>
    </row>
    <row r="712" spans="58:58" x14ac:dyDescent="0.25">
      <c r="BF712" t="e">
        <f>solver_rel192=2</f>
        <v>#NAME?</v>
      </c>
    </row>
    <row r="713" spans="58:58" x14ac:dyDescent="0.25">
      <c r="BF713" t="e">
        <f>solver_rel193=1</f>
        <v>#NAME?</v>
      </c>
    </row>
    <row r="714" spans="58:58" x14ac:dyDescent="0.25">
      <c r="BF714" t="e">
        <f>solver_rel194=3</f>
        <v>#NAME?</v>
      </c>
    </row>
    <row r="715" spans="58:58" x14ac:dyDescent="0.25">
      <c r="BF715" t="e">
        <f>solver_rel195=2</f>
        <v>#NAME?</v>
      </c>
    </row>
    <row r="716" spans="58:58" x14ac:dyDescent="0.25">
      <c r="BF716" t="e">
        <f>solver_rel196=1</f>
        <v>#NAME?</v>
      </c>
    </row>
    <row r="717" spans="58:58" x14ac:dyDescent="0.25">
      <c r="BF717" t="e">
        <f>solver_rel197=3</f>
        <v>#NAME?</v>
      </c>
    </row>
    <row r="718" spans="58:58" x14ac:dyDescent="0.25">
      <c r="BF718" t="e">
        <f>solver_rel198=2</f>
        <v>#NAME?</v>
      </c>
    </row>
    <row r="719" spans="58:58" x14ac:dyDescent="0.25">
      <c r="BF719" t="e">
        <f>solver_rel199=1</f>
        <v>#NAME?</v>
      </c>
    </row>
    <row r="720" spans="58:58" x14ac:dyDescent="0.25">
      <c r="BF720" t="e">
        <f>solver_rel2=3</f>
        <v>#NAME?</v>
      </c>
    </row>
    <row r="721" spans="58:58" x14ac:dyDescent="0.25">
      <c r="BF721" t="e">
        <f>solver_rel20=3</f>
        <v>#NAME?</v>
      </c>
    </row>
    <row r="722" spans="58:58" x14ac:dyDescent="0.25">
      <c r="BF722" t="e">
        <f>solver_rel200=3</f>
        <v>#NAME?</v>
      </c>
    </row>
    <row r="723" spans="58:58" x14ac:dyDescent="0.25">
      <c r="BF723" t="e">
        <f>solver_rel201=2</f>
        <v>#NAME?</v>
      </c>
    </row>
    <row r="724" spans="58:58" x14ac:dyDescent="0.25">
      <c r="BF724" t="e">
        <f>solver_rel202=1</f>
        <v>#NAME?</v>
      </c>
    </row>
    <row r="725" spans="58:58" x14ac:dyDescent="0.25">
      <c r="BF725" t="e">
        <f>solver_rel203=3</f>
        <v>#NAME?</v>
      </c>
    </row>
    <row r="726" spans="58:58" x14ac:dyDescent="0.25">
      <c r="BF726" t="e">
        <f>solver_rel204=2</f>
        <v>#NAME?</v>
      </c>
    </row>
    <row r="727" spans="58:58" x14ac:dyDescent="0.25">
      <c r="BF727" t="e">
        <f>solver_rel205=1</f>
        <v>#NAME?</v>
      </c>
    </row>
    <row r="728" spans="58:58" x14ac:dyDescent="0.25">
      <c r="BF728" t="e">
        <f>solver_rel206=3</f>
        <v>#NAME?</v>
      </c>
    </row>
    <row r="729" spans="58:58" x14ac:dyDescent="0.25">
      <c r="BF729" t="e">
        <f>solver_rel207=2</f>
        <v>#NAME?</v>
      </c>
    </row>
    <row r="730" spans="58:58" x14ac:dyDescent="0.25">
      <c r="BF730" t="e">
        <f>solver_rel208=1</f>
        <v>#NAME?</v>
      </c>
    </row>
    <row r="731" spans="58:58" x14ac:dyDescent="0.25">
      <c r="BF731" t="e">
        <f>solver_rel209=3</f>
        <v>#NAME?</v>
      </c>
    </row>
    <row r="732" spans="58:58" x14ac:dyDescent="0.25">
      <c r="BF732" t="e">
        <f>solver_rel21=2</f>
        <v>#NAME?</v>
      </c>
    </row>
    <row r="733" spans="58:58" x14ac:dyDescent="0.25">
      <c r="BF733" t="e">
        <f>solver_rel210=2</f>
        <v>#NAME?</v>
      </c>
    </row>
    <row r="734" spans="58:58" x14ac:dyDescent="0.25">
      <c r="BF734" t="e">
        <f>solver_rel211=1</f>
        <v>#NAME?</v>
      </c>
    </row>
    <row r="735" spans="58:58" x14ac:dyDescent="0.25">
      <c r="BF735" t="e">
        <f>solver_rel212=3</f>
        <v>#NAME?</v>
      </c>
    </row>
    <row r="736" spans="58:58" x14ac:dyDescent="0.25">
      <c r="BF736" t="e">
        <f>solver_rel213=2</f>
        <v>#NAME?</v>
      </c>
    </row>
    <row r="737" spans="58:58" x14ac:dyDescent="0.25">
      <c r="BF737" t="e">
        <f>solver_rel214=1</f>
        <v>#NAME?</v>
      </c>
    </row>
    <row r="738" spans="58:58" x14ac:dyDescent="0.25">
      <c r="BF738" t="e">
        <f>solver_rel215=3</f>
        <v>#NAME?</v>
      </c>
    </row>
    <row r="739" spans="58:58" x14ac:dyDescent="0.25">
      <c r="BF739" t="e">
        <f>solver_rel216=2</f>
        <v>#NAME?</v>
      </c>
    </row>
    <row r="740" spans="58:58" x14ac:dyDescent="0.25">
      <c r="BF740" t="e">
        <f>solver_rel217=1</f>
        <v>#NAME?</v>
      </c>
    </row>
    <row r="741" spans="58:58" x14ac:dyDescent="0.25">
      <c r="BF741" t="e">
        <f>solver_rel218=3</f>
        <v>#NAME?</v>
      </c>
    </row>
    <row r="742" spans="58:58" x14ac:dyDescent="0.25">
      <c r="BF742" t="e">
        <f>solver_rel219=2</f>
        <v>#NAME?</v>
      </c>
    </row>
    <row r="743" spans="58:58" x14ac:dyDescent="0.25">
      <c r="BF743" t="e">
        <f>solver_rel22=1</f>
        <v>#NAME?</v>
      </c>
    </row>
    <row r="744" spans="58:58" x14ac:dyDescent="0.25">
      <c r="BF744" t="e">
        <f>solver_rel220=1</f>
        <v>#NAME?</v>
      </c>
    </row>
    <row r="745" spans="58:58" x14ac:dyDescent="0.25">
      <c r="BF745" t="e">
        <f>solver_rel221=3</f>
        <v>#NAME?</v>
      </c>
    </row>
    <row r="746" spans="58:58" x14ac:dyDescent="0.25">
      <c r="BF746" t="e">
        <f>solver_rel222=2</f>
        <v>#NAME?</v>
      </c>
    </row>
    <row r="747" spans="58:58" x14ac:dyDescent="0.25">
      <c r="BF747" t="e">
        <f>solver_rel223=1</f>
        <v>#NAME?</v>
      </c>
    </row>
    <row r="748" spans="58:58" x14ac:dyDescent="0.25">
      <c r="BF748" t="e">
        <f>solver_rel224=3</f>
        <v>#NAME?</v>
      </c>
    </row>
    <row r="749" spans="58:58" x14ac:dyDescent="0.25">
      <c r="BF749" t="e">
        <f>solver_rel225=2</f>
        <v>#NAME?</v>
      </c>
    </row>
    <row r="750" spans="58:58" x14ac:dyDescent="0.25">
      <c r="BF750" t="e">
        <f>solver_rel226=1</f>
        <v>#NAME?</v>
      </c>
    </row>
    <row r="751" spans="58:58" x14ac:dyDescent="0.25">
      <c r="BF751" t="e">
        <f>solver_rel227=3</f>
        <v>#NAME?</v>
      </c>
    </row>
    <row r="752" spans="58:58" x14ac:dyDescent="0.25">
      <c r="BF752" t="e">
        <f>solver_rel228=2</f>
        <v>#NAME?</v>
      </c>
    </row>
    <row r="753" spans="58:58" x14ac:dyDescent="0.25">
      <c r="BF753" t="e">
        <f>solver_rel229=1</f>
        <v>#NAME?</v>
      </c>
    </row>
    <row r="754" spans="58:58" x14ac:dyDescent="0.25">
      <c r="BF754" t="e">
        <f>solver_rel23=3</f>
        <v>#NAME?</v>
      </c>
    </row>
    <row r="755" spans="58:58" x14ac:dyDescent="0.25">
      <c r="BF755" t="e">
        <f>solver_rel230=3</f>
        <v>#NAME?</v>
      </c>
    </row>
    <row r="756" spans="58:58" x14ac:dyDescent="0.25">
      <c r="BF756" t="e">
        <f>solver_rel231=2</f>
        <v>#NAME?</v>
      </c>
    </row>
    <row r="757" spans="58:58" x14ac:dyDescent="0.25">
      <c r="BF757" t="e">
        <f>solver_rel232=1</f>
        <v>#NAME?</v>
      </c>
    </row>
    <row r="758" spans="58:58" x14ac:dyDescent="0.25">
      <c r="BF758" t="e">
        <f>solver_rel233=3</f>
        <v>#NAME?</v>
      </c>
    </row>
    <row r="759" spans="58:58" x14ac:dyDescent="0.25">
      <c r="BF759" t="e">
        <f>solver_rel234=2</f>
        <v>#NAME?</v>
      </c>
    </row>
    <row r="760" spans="58:58" x14ac:dyDescent="0.25">
      <c r="BF760" t="e">
        <f>solver_rel235=1</f>
        <v>#NAME?</v>
      </c>
    </row>
    <row r="761" spans="58:58" x14ac:dyDescent="0.25">
      <c r="BF761" t="e">
        <f>solver_rel236=3</f>
        <v>#NAME?</v>
      </c>
    </row>
    <row r="762" spans="58:58" x14ac:dyDescent="0.25">
      <c r="BF762" t="e">
        <f>solver_rel237=2</f>
        <v>#NAME?</v>
      </c>
    </row>
    <row r="763" spans="58:58" x14ac:dyDescent="0.25">
      <c r="BF763" t="e">
        <f>solver_rel238=1</f>
        <v>#NAME?</v>
      </c>
    </row>
    <row r="764" spans="58:58" x14ac:dyDescent="0.25">
      <c r="BF764" t="e">
        <f>solver_rel239=3</f>
        <v>#NAME?</v>
      </c>
    </row>
    <row r="765" spans="58:58" x14ac:dyDescent="0.25">
      <c r="BF765" t="e">
        <f>solver_rel24=2</f>
        <v>#NAME?</v>
      </c>
    </row>
    <row r="766" spans="58:58" x14ac:dyDescent="0.25">
      <c r="BF766" t="e">
        <f>solver_rel240=2</f>
        <v>#NAME?</v>
      </c>
    </row>
    <row r="767" spans="58:58" x14ac:dyDescent="0.25">
      <c r="BF767" t="e">
        <f>solver_rel241=1</f>
        <v>#NAME?</v>
      </c>
    </row>
    <row r="768" spans="58:58" x14ac:dyDescent="0.25">
      <c r="BF768" t="e">
        <f>solver_rel242=3</f>
        <v>#NAME?</v>
      </c>
    </row>
    <row r="769" spans="58:58" x14ac:dyDescent="0.25">
      <c r="BF769" t="e">
        <f>solver_rel243=2</f>
        <v>#NAME?</v>
      </c>
    </row>
    <row r="770" spans="58:58" x14ac:dyDescent="0.25">
      <c r="BF770" t="e">
        <f>solver_rel244=1</f>
        <v>#NAME?</v>
      </c>
    </row>
    <row r="771" spans="58:58" x14ac:dyDescent="0.25">
      <c r="BF771" t="e">
        <f>solver_rel245=3</f>
        <v>#NAME?</v>
      </c>
    </row>
    <row r="772" spans="58:58" x14ac:dyDescent="0.25">
      <c r="BF772" t="e">
        <f>solver_rel246=2</f>
        <v>#NAME?</v>
      </c>
    </row>
    <row r="773" spans="58:58" x14ac:dyDescent="0.25">
      <c r="BF773" t="e">
        <f>solver_rel247=1</f>
        <v>#NAME?</v>
      </c>
    </row>
    <row r="774" spans="58:58" x14ac:dyDescent="0.25">
      <c r="BF774" t="e">
        <f>solver_rel248=3</f>
        <v>#NAME?</v>
      </c>
    </row>
    <row r="775" spans="58:58" x14ac:dyDescent="0.25">
      <c r="BF775" t="e">
        <f>solver_rel249=2</f>
        <v>#NAME?</v>
      </c>
    </row>
    <row r="776" spans="58:58" x14ac:dyDescent="0.25">
      <c r="BF776" t="e">
        <f>solver_rel25=1</f>
        <v>#NAME?</v>
      </c>
    </row>
    <row r="777" spans="58:58" x14ac:dyDescent="0.25">
      <c r="BF777" t="e">
        <f>solver_rel250=1</f>
        <v>#NAME?</v>
      </c>
    </row>
    <row r="778" spans="58:58" x14ac:dyDescent="0.25">
      <c r="BF778" t="e">
        <f>solver_rel251=3</f>
        <v>#NAME?</v>
      </c>
    </row>
    <row r="779" spans="58:58" x14ac:dyDescent="0.25">
      <c r="BF779" t="e">
        <f>solver_rel252=2</f>
        <v>#NAME?</v>
      </c>
    </row>
    <row r="780" spans="58:58" x14ac:dyDescent="0.25">
      <c r="BF780" t="e">
        <f>solver_rel253=1</f>
        <v>#NAME?</v>
      </c>
    </row>
    <row r="781" spans="58:58" x14ac:dyDescent="0.25">
      <c r="BF781" t="e">
        <f>solver_rel254=3</f>
        <v>#NAME?</v>
      </c>
    </row>
    <row r="782" spans="58:58" x14ac:dyDescent="0.25">
      <c r="BF782" t="e">
        <f>solver_rel255=2</f>
        <v>#NAME?</v>
      </c>
    </row>
    <row r="783" spans="58:58" x14ac:dyDescent="0.25">
      <c r="BF783" t="e">
        <f>solver_rel256=1</f>
        <v>#NAME?</v>
      </c>
    </row>
    <row r="784" spans="58:58" x14ac:dyDescent="0.25">
      <c r="BF784" t="e">
        <f>solver_rel257=3</f>
        <v>#NAME?</v>
      </c>
    </row>
    <row r="785" spans="58:58" x14ac:dyDescent="0.25">
      <c r="BF785" t="e">
        <f>solver_rel258=2</f>
        <v>#NAME?</v>
      </c>
    </row>
    <row r="786" spans="58:58" x14ac:dyDescent="0.25">
      <c r="BF786" t="e">
        <f>solver_rel259=1</f>
        <v>#NAME?</v>
      </c>
    </row>
    <row r="787" spans="58:58" x14ac:dyDescent="0.25">
      <c r="BF787" t="e">
        <f>solver_rel26=3</f>
        <v>#NAME?</v>
      </c>
    </row>
    <row r="788" spans="58:58" x14ac:dyDescent="0.25">
      <c r="BF788" t="e">
        <f>solver_rel260=3</f>
        <v>#NAME?</v>
      </c>
    </row>
    <row r="789" spans="58:58" x14ac:dyDescent="0.25">
      <c r="BF789" t="e">
        <f>solver_rel261=2</f>
        <v>#NAME?</v>
      </c>
    </row>
    <row r="790" spans="58:58" x14ac:dyDescent="0.25">
      <c r="BF790" t="e">
        <f>solver_rel262=1</f>
        <v>#NAME?</v>
      </c>
    </row>
    <row r="791" spans="58:58" x14ac:dyDescent="0.25">
      <c r="BF791" t="e">
        <f>solver_rel263=3</f>
        <v>#NAME?</v>
      </c>
    </row>
    <row r="792" spans="58:58" x14ac:dyDescent="0.25">
      <c r="BF792" t="e">
        <f>solver_rel264=2</f>
        <v>#NAME?</v>
      </c>
    </row>
    <row r="793" spans="58:58" x14ac:dyDescent="0.25">
      <c r="BF793" t="e">
        <f>solver_rel265=1</f>
        <v>#NAME?</v>
      </c>
    </row>
    <row r="794" spans="58:58" x14ac:dyDescent="0.25">
      <c r="BF794" t="e">
        <f>solver_rel266=3</f>
        <v>#NAME?</v>
      </c>
    </row>
    <row r="795" spans="58:58" x14ac:dyDescent="0.25">
      <c r="BF795" t="e">
        <f>solver_rel267=2</f>
        <v>#NAME?</v>
      </c>
    </row>
    <row r="796" spans="58:58" x14ac:dyDescent="0.25">
      <c r="BF796" t="e">
        <f>solver_rel268=1</f>
        <v>#NAME?</v>
      </c>
    </row>
    <row r="797" spans="58:58" x14ac:dyDescent="0.25">
      <c r="BF797" t="e">
        <f>solver_rel269=3</f>
        <v>#NAME?</v>
      </c>
    </row>
    <row r="798" spans="58:58" x14ac:dyDescent="0.25">
      <c r="BF798" t="e">
        <f>solver_rel27=2</f>
        <v>#NAME?</v>
      </c>
    </row>
    <row r="799" spans="58:58" x14ac:dyDescent="0.25">
      <c r="BF799" t="e">
        <f>solver_rel270=2</f>
        <v>#NAME?</v>
      </c>
    </row>
    <row r="800" spans="58:58" x14ac:dyDescent="0.25">
      <c r="BF800" t="e">
        <f>solver_rel271=1</f>
        <v>#NAME?</v>
      </c>
    </row>
    <row r="801" spans="58:58" x14ac:dyDescent="0.25">
      <c r="BF801" t="e">
        <f>solver_rel272=3</f>
        <v>#NAME?</v>
      </c>
    </row>
    <row r="802" spans="58:58" x14ac:dyDescent="0.25">
      <c r="BF802" t="e">
        <f>solver_rel273=2</f>
        <v>#NAME?</v>
      </c>
    </row>
    <row r="803" spans="58:58" x14ac:dyDescent="0.25">
      <c r="BF803" t="e">
        <f>solver_rel274=1</f>
        <v>#NAME?</v>
      </c>
    </row>
    <row r="804" spans="58:58" x14ac:dyDescent="0.25">
      <c r="BF804" t="e">
        <f>solver_rel275=3</f>
        <v>#NAME?</v>
      </c>
    </row>
    <row r="805" spans="58:58" x14ac:dyDescent="0.25">
      <c r="BF805" t="e">
        <f>solver_rel276=2</f>
        <v>#NAME?</v>
      </c>
    </row>
    <row r="806" spans="58:58" x14ac:dyDescent="0.25">
      <c r="BF806" t="e">
        <f>solver_rel277=1</f>
        <v>#NAME?</v>
      </c>
    </row>
    <row r="807" spans="58:58" x14ac:dyDescent="0.25">
      <c r="BF807" t="e">
        <f>solver_rel278=3</f>
        <v>#NAME?</v>
      </c>
    </row>
    <row r="808" spans="58:58" x14ac:dyDescent="0.25">
      <c r="BF808" t="e">
        <f>solver_rel279=2</f>
        <v>#NAME?</v>
      </c>
    </row>
    <row r="809" spans="58:58" x14ac:dyDescent="0.25">
      <c r="BF809" t="e">
        <f>solver_rel28=1</f>
        <v>#NAME?</v>
      </c>
    </row>
    <row r="810" spans="58:58" x14ac:dyDescent="0.25">
      <c r="BF810" t="e">
        <f>solver_rel280=1</f>
        <v>#NAME?</v>
      </c>
    </row>
    <row r="811" spans="58:58" x14ac:dyDescent="0.25">
      <c r="BF811" t="e">
        <f>solver_rel281=3</f>
        <v>#NAME?</v>
      </c>
    </row>
    <row r="812" spans="58:58" x14ac:dyDescent="0.25">
      <c r="BF812" t="e">
        <f>solver_rel282=2</f>
        <v>#NAME?</v>
      </c>
    </row>
    <row r="813" spans="58:58" x14ac:dyDescent="0.25">
      <c r="BF813" t="e">
        <f>solver_rel283=1</f>
        <v>#NAME?</v>
      </c>
    </row>
    <row r="814" spans="58:58" x14ac:dyDescent="0.25">
      <c r="BF814" t="e">
        <f>solver_rel284=3</f>
        <v>#NAME?</v>
      </c>
    </row>
    <row r="815" spans="58:58" x14ac:dyDescent="0.25">
      <c r="BF815" t="e">
        <f>solver_rel285=2</f>
        <v>#NAME?</v>
      </c>
    </row>
    <row r="816" spans="58:58" x14ac:dyDescent="0.25">
      <c r="BF816" t="e">
        <f>solver_rel286=1</f>
        <v>#NAME?</v>
      </c>
    </row>
    <row r="817" spans="58:58" x14ac:dyDescent="0.25">
      <c r="BF817" t="e">
        <f>solver_rel287=3</f>
        <v>#NAME?</v>
      </c>
    </row>
    <row r="818" spans="58:58" x14ac:dyDescent="0.25">
      <c r="BF818" t="e">
        <f>solver_rel288=2</f>
        <v>#NAME?</v>
      </c>
    </row>
    <row r="819" spans="58:58" x14ac:dyDescent="0.25">
      <c r="BF819" t="e">
        <f>solver_rel289=1</f>
        <v>#NAME?</v>
      </c>
    </row>
    <row r="820" spans="58:58" x14ac:dyDescent="0.25">
      <c r="BF820" t="e">
        <f>solver_rel29=3</f>
        <v>#NAME?</v>
      </c>
    </row>
    <row r="821" spans="58:58" x14ac:dyDescent="0.25">
      <c r="BF821" t="e">
        <f>solver_rel290=3</f>
        <v>#NAME?</v>
      </c>
    </row>
    <row r="822" spans="58:58" x14ac:dyDescent="0.25">
      <c r="BF822" t="e">
        <f>solver_rel291=2</f>
        <v>#NAME?</v>
      </c>
    </row>
    <row r="823" spans="58:58" x14ac:dyDescent="0.25">
      <c r="BF823" t="e">
        <f>solver_rel292=1</f>
        <v>#NAME?</v>
      </c>
    </row>
    <row r="824" spans="58:58" x14ac:dyDescent="0.25">
      <c r="BF824" t="e">
        <f>solver_rel293=3</f>
        <v>#NAME?</v>
      </c>
    </row>
    <row r="825" spans="58:58" x14ac:dyDescent="0.25">
      <c r="BF825" t="e">
        <f>solver_rel294=2</f>
        <v>#NAME?</v>
      </c>
    </row>
    <row r="826" spans="58:58" x14ac:dyDescent="0.25">
      <c r="BF826" t="e">
        <f>solver_rel295=1</f>
        <v>#NAME?</v>
      </c>
    </row>
    <row r="827" spans="58:58" x14ac:dyDescent="0.25">
      <c r="BF827" t="e">
        <f>solver_rel296=3</f>
        <v>#NAME?</v>
      </c>
    </row>
    <row r="828" spans="58:58" x14ac:dyDescent="0.25">
      <c r="BF828" t="e">
        <f>solver_rel297=2</f>
        <v>#NAME?</v>
      </c>
    </row>
    <row r="829" spans="58:58" x14ac:dyDescent="0.25">
      <c r="BF829" t="e">
        <f>solver_rel298=1</f>
        <v>#NAME?</v>
      </c>
    </row>
    <row r="830" spans="58:58" x14ac:dyDescent="0.25">
      <c r="BF830" t="e">
        <f>solver_rel299=3</f>
        <v>#NAME?</v>
      </c>
    </row>
    <row r="831" spans="58:58" x14ac:dyDescent="0.25">
      <c r="BF831" t="e">
        <f>solver_rel3=2</f>
        <v>#NAME?</v>
      </c>
    </row>
    <row r="832" spans="58:58" x14ac:dyDescent="0.25">
      <c r="BF832" t="e">
        <f>solver_rel30=2</f>
        <v>#NAME?</v>
      </c>
    </row>
    <row r="833" spans="58:58" x14ac:dyDescent="0.25">
      <c r="BF833" t="e">
        <f>solver_rel300=2</f>
        <v>#NAME?</v>
      </c>
    </row>
    <row r="834" spans="58:58" x14ac:dyDescent="0.25">
      <c r="BF834" t="e">
        <f>solver_rel301=1</f>
        <v>#NAME?</v>
      </c>
    </row>
    <row r="835" spans="58:58" x14ac:dyDescent="0.25">
      <c r="BF835" t="e">
        <f>solver_rel302=3</f>
        <v>#NAME?</v>
      </c>
    </row>
    <row r="836" spans="58:58" x14ac:dyDescent="0.25">
      <c r="BF836" t="e">
        <f>solver_rel303=2</f>
        <v>#NAME?</v>
      </c>
    </row>
    <row r="837" spans="58:58" x14ac:dyDescent="0.25">
      <c r="BF837" t="e">
        <f>solver_rel304=1</f>
        <v>#NAME?</v>
      </c>
    </row>
    <row r="838" spans="58:58" x14ac:dyDescent="0.25">
      <c r="BF838" t="e">
        <f>solver_rel305=3</f>
        <v>#NAME?</v>
      </c>
    </row>
    <row r="839" spans="58:58" x14ac:dyDescent="0.25">
      <c r="BF839" t="e">
        <f>solver_rel306=2</f>
        <v>#NAME?</v>
      </c>
    </row>
    <row r="840" spans="58:58" x14ac:dyDescent="0.25">
      <c r="BF840" t="e">
        <f>solver_rel307=1</f>
        <v>#NAME?</v>
      </c>
    </row>
    <row r="841" spans="58:58" x14ac:dyDescent="0.25">
      <c r="BF841" t="e">
        <f>solver_rel308=3</f>
        <v>#NAME?</v>
      </c>
    </row>
    <row r="842" spans="58:58" x14ac:dyDescent="0.25">
      <c r="BF842" t="e">
        <f>solver_rel309=2</f>
        <v>#NAME?</v>
      </c>
    </row>
    <row r="843" spans="58:58" x14ac:dyDescent="0.25">
      <c r="BF843" t="e">
        <f>solver_rel31=1</f>
        <v>#NAME?</v>
      </c>
    </row>
    <row r="844" spans="58:58" x14ac:dyDescent="0.25">
      <c r="BF844" t="e">
        <f>solver_rel310=1</f>
        <v>#NAME?</v>
      </c>
    </row>
    <row r="845" spans="58:58" x14ac:dyDescent="0.25">
      <c r="BF845" t="e">
        <f>solver_rel311=3</f>
        <v>#NAME?</v>
      </c>
    </row>
    <row r="846" spans="58:58" x14ac:dyDescent="0.25">
      <c r="BF846" t="e">
        <f>solver_rel312=2</f>
        <v>#NAME?</v>
      </c>
    </row>
    <row r="847" spans="58:58" x14ac:dyDescent="0.25">
      <c r="BF847" t="e">
        <f>solver_rel313=1</f>
        <v>#NAME?</v>
      </c>
    </row>
    <row r="848" spans="58:58" x14ac:dyDescent="0.25">
      <c r="BF848" t="e">
        <f>solver_rel314=3</f>
        <v>#NAME?</v>
      </c>
    </row>
    <row r="849" spans="58:58" x14ac:dyDescent="0.25">
      <c r="BF849" t="e">
        <f>solver_rel315=2</f>
        <v>#NAME?</v>
      </c>
    </row>
    <row r="850" spans="58:58" x14ac:dyDescent="0.25">
      <c r="BF850" t="e">
        <f>solver_rel316=1</f>
        <v>#NAME?</v>
      </c>
    </row>
    <row r="851" spans="58:58" x14ac:dyDescent="0.25">
      <c r="BF851" t="e">
        <f>solver_rel317=3</f>
        <v>#NAME?</v>
      </c>
    </row>
    <row r="852" spans="58:58" x14ac:dyDescent="0.25">
      <c r="BF852" t="e">
        <f>solver_rel318=2</f>
        <v>#NAME?</v>
      </c>
    </row>
    <row r="853" spans="58:58" x14ac:dyDescent="0.25">
      <c r="BF853" t="e">
        <f>solver_rel319=1</f>
        <v>#NAME?</v>
      </c>
    </row>
    <row r="854" spans="58:58" x14ac:dyDescent="0.25">
      <c r="BF854" t="e">
        <f>solver_rel32=3</f>
        <v>#NAME?</v>
      </c>
    </row>
    <row r="855" spans="58:58" x14ac:dyDescent="0.25">
      <c r="BF855" t="e">
        <f>solver_rel320=3</f>
        <v>#NAME?</v>
      </c>
    </row>
    <row r="856" spans="58:58" x14ac:dyDescent="0.25">
      <c r="BF856" t="e">
        <f>solver_rel321=2</f>
        <v>#NAME?</v>
      </c>
    </row>
    <row r="857" spans="58:58" x14ac:dyDescent="0.25">
      <c r="BF857" t="e">
        <f>solver_rel322=1</f>
        <v>#NAME?</v>
      </c>
    </row>
    <row r="858" spans="58:58" x14ac:dyDescent="0.25">
      <c r="BF858" t="e">
        <f>solver_rel323=3</f>
        <v>#NAME?</v>
      </c>
    </row>
    <row r="859" spans="58:58" x14ac:dyDescent="0.25">
      <c r="BF859" t="e">
        <f>solver_rel324=2</f>
        <v>#NAME?</v>
      </c>
    </row>
    <row r="860" spans="58:58" x14ac:dyDescent="0.25">
      <c r="BF860" t="e">
        <f>solver_rel325=1</f>
        <v>#NAME?</v>
      </c>
    </row>
    <row r="861" spans="58:58" x14ac:dyDescent="0.25">
      <c r="BF861" t="e">
        <f>solver_rel326=3</f>
        <v>#NAME?</v>
      </c>
    </row>
    <row r="862" spans="58:58" x14ac:dyDescent="0.25">
      <c r="BF862" t="e">
        <f>solver_rel327=2</f>
        <v>#NAME?</v>
      </c>
    </row>
    <row r="863" spans="58:58" x14ac:dyDescent="0.25">
      <c r="BF863" t="e">
        <f>solver_rel328=1</f>
        <v>#NAME?</v>
      </c>
    </row>
    <row r="864" spans="58:58" x14ac:dyDescent="0.25">
      <c r="BF864" t="e">
        <f>solver_rel329=3</f>
        <v>#NAME?</v>
      </c>
    </row>
    <row r="865" spans="58:58" x14ac:dyDescent="0.25">
      <c r="BF865" t="e">
        <f>solver_rel33=2</f>
        <v>#NAME?</v>
      </c>
    </row>
    <row r="866" spans="58:58" x14ac:dyDescent="0.25">
      <c r="BF866" t="e">
        <f>solver_rel330=2</f>
        <v>#NAME?</v>
      </c>
    </row>
    <row r="867" spans="58:58" x14ac:dyDescent="0.25">
      <c r="BF867" t="e">
        <f>solver_rel331=1</f>
        <v>#NAME?</v>
      </c>
    </row>
    <row r="868" spans="58:58" x14ac:dyDescent="0.25">
      <c r="BF868" t="e">
        <f>solver_rel332=3</f>
        <v>#NAME?</v>
      </c>
    </row>
    <row r="869" spans="58:58" x14ac:dyDescent="0.25">
      <c r="BF869" t="e">
        <f>solver_rel333=2</f>
        <v>#NAME?</v>
      </c>
    </row>
    <row r="870" spans="58:58" x14ac:dyDescent="0.25">
      <c r="BF870" t="e">
        <f>solver_rel334=1</f>
        <v>#NAME?</v>
      </c>
    </row>
    <row r="871" spans="58:58" x14ac:dyDescent="0.25">
      <c r="BF871" t="e">
        <f>solver_rel335=3</f>
        <v>#NAME?</v>
      </c>
    </row>
    <row r="872" spans="58:58" x14ac:dyDescent="0.25">
      <c r="BF872" t="e">
        <f>solver_rel336=2</f>
        <v>#NAME?</v>
      </c>
    </row>
    <row r="873" spans="58:58" x14ac:dyDescent="0.25">
      <c r="BF873" t="e">
        <f>solver_rel337=1</f>
        <v>#NAME?</v>
      </c>
    </row>
    <row r="874" spans="58:58" x14ac:dyDescent="0.25">
      <c r="BF874" t="e">
        <f>solver_rel338=3</f>
        <v>#NAME?</v>
      </c>
    </row>
    <row r="875" spans="58:58" x14ac:dyDescent="0.25">
      <c r="BF875" t="e">
        <f>solver_rel339=2</f>
        <v>#NAME?</v>
      </c>
    </row>
    <row r="876" spans="58:58" x14ac:dyDescent="0.25">
      <c r="BF876" t="e">
        <f>solver_rel34=1</f>
        <v>#NAME?</v>
      </c>
    </row>
    <row r="877" spans="58:58" x14ac:dyDescent="0.25">
      <c r="BF877" t="e">
        <f>solver_rel340=1</f>
        <v>#NAME?</v>
      </c>
    </row>
    <row r="878" spans="58:58" x14ac:dyDescent="0.25">
      <c r="BF878" t="e">
        <f>solver_rel341=3</f>
        <v>#NAME?</v>
      </c>
    </row>
    <row r="879" spans="58:58" x14ac:dyDescent="0.25">
      <c r="BF879" t="e">
        <f>solver_rel342=2</f>
        <v>#NAME?</v>
      </c>
    </row>
    <row r="880" spans="58:58" x14ac:dyDescent="0.25">
      <c r="BF880" t="e">
        <f>solver_rel343=1</f>
        <v>#NAME?</v>
      </c>
    </row>
    <row r="881" spans="58:58" x14ac:dyDescent="0.25">
      <c r="BF881" t="e">
        <f>solver_rel344=3</f>
        <v>#NAME?</v>
      </c>
    </row>
    <row r="882" spans="58:58" x14ac:dyDescent="0.25">
      <c r="BF882" t="e">
        <f>solver_rel345=2</f>
        <v>#NAME?</v>
      </c>
    </row>
    <row r="883" spans="58:58" x14ac:dyDescent="0.25">
      <c r="BF883" t="e">
        <f>solver_rel346=1</f>
        <v>#NAME?</v>
      </c>
    </row>
    <row r="884" spans="58:58" x14ac:dyDescent="0.25">
      <c r="BF884" t="e">
        <f>solver_rel347=3</f>
        <v>#NAME?</v>
      </c>
    </row>
    <row r="885" spans="58:58" x14ac:dyDescent="0.25">
      <c r="BF885" t="e">
        <f>solver_rel348=2</f>
        <v>#NAME?</v>
      </c>
    </row>
    <row r="886" spans="58:58" x14ac:dyDescent="0.25">
      <c r="BF886" t="e">
        <f>solver_rel349=1</f>
        <v>#NAME?</v>
      </c>
    </row>
    <row r="887" spans="58:58" x14ac:dyDescent="0.25">
      <c r="BF887" t="e">
        <f>solver_rel35=3</f>
        <v>#NAME?</v>
      </c>
    </row>
    <row r="888" spans="58:58" x14ac:dyDescent="0.25">
      <c r="BF888" t="e">
        <f>solver_rel350=3</f>
        <v>#NAME?</v>
      </c>
    </row>
    <row r="889" spans="58:58" x14ac:dyDescent="0.25">
      <c r="BF889" t="e">
        <f>solver_rel351=2</f>
        <v>#NAME?</v>
      </c>
    </row>
    <row r="890" spans="58:58" x14ac:dyDescent="0.25">
      <c r="BF890" t="e">
        <f>solver_rel352=1</f>
        <v>#NAME?</v>
      </c>
    </row>
    <row r="891" spans="58:58" x14ac:dyDescent="0.25">
      <c r="BF891" t="e">
        <f>solver_rel353=3</f>
        <v>#NAME?</v>
      </c>
    </row>
    <row r="892" spans="58:58" x14ac:dyDescent="0.25">
      <c r="BF892" t="e">
        <f>solver_rel354=2</f>
        <v>#NAME?</v>
      </c>
    </row>
    <row r="893" spans="58:58" x14ac:dyDescent="0.25">
      <c r="BF893" t="e">
        <f>solver_rel355=1</f>
        <v>#NAME?</v>
      </c>
    </row>
    <row r="894" spans="58:58" x14ac:dyDescent="0.25">
      <c r="BF894" t="e">
        <f>solver_rel356=3</f>
        <v>#NAME?</v>
      </c>
    </row>
    <row r="895" spans="58:58" x14ac:dyDescent="0.25">
      <c r="BF895" t="e">
        <f>solver_rel357=2</f>
        <v>#NAME?</v>
      </c>
    </row>
    <row r="896" spans="58:58" x14ac:dyDescent="0.25">
      <c r="BF896" t="e">
        <f>solver_rel358=1</f>
        <v>#NAME?</v>
      </c>
    </row>
    <row r="897" spans="58:58" x14ac:dyDescent="0.25">
      <c r="BF897" t="e">
        <f>solver_rel359=3</f>
        <v>#NAME?</v>
      </c>
    </row>
    <row r="898" spans="58:58" x14ac:dyDescent="0.25">
      <c r="BF898" t="e">
        <f>solver_rel36=2</f>
        <v>#NAME?</v>
      </c>
    </row>
    <row r="899" spans="58:58" x14ac:dyDescent="0.25">
      <c r="BF899" t="e">
        <f>solver_rel360=2</f>
        <v>#NAME?</v>
      </c>
    </row>
    <row r="900" spans="58:58" x14ac:dyDescent="0.25">
      <c r="BF900" t="e">
        <f>solver_rel361=1</f>
        <v>#NAME?</v>
      </c>
    </row>
    <row r="901" spans="58:58" x14ac:dyDescent="0.25">
      <c r="BF901" t="e">
        <f>solver_rel362=3</f>
        <v>#NAME?</v>
      </c>
    </row>
    <row r="902" spans="58:58" x14ac:dyDescent="0.25">
      <c r="BF902" t="e">
        <f>solver_rel363=2</f>
        <v>#NAME?</v>
      </c>
    </row>
    <row r="903" spans="58:58" x14ac:dyDescent="0.25">
      <c r="BF903" t="e">
        <f>solver_rel364=1</f>
        <v>#NAME?</v>
      </c>
    </row>
    <row r="904" spans="58:58" x14ac:dyDescent="0.25">
      <c r="BF904" t="e">
        <f>solver_rel365=3</f>
        <v>#NAME?</v>
      </c>
    </row>
    <row r="905" spans="58:58" x14ac:dyDescent="0.25">
      <c r="BF905" t="e">
        <f>solver_rel366=2</f>
        <v>#NAME?</v>
      </c>
    </row>
    <row r="906" spans="58:58" x14ac:dyDescent="0.25">
      <c r="BF906" t="e">
        <f>solver_rel367=1</f>
        <v>#NAME?</v>
      </c>
    </row>
    <row r="907" spans="58:58" x14ac:dyDescent="0.25">
      <c r="BF907" t="e">
        <f>solver_rel368=3</f>
        <v>#NAME?</v>
      </c>
    </row>
    <row r="908" spans="58:58" x14ac:dyDescent="0.25">
      <c r="BF908" t="e">
        <f>solver_rel369=2</f>
        <v>#NAME?</v>
      </c>
    </row>
    <row r="909" spans="58:58" x14ac:dyDescent="0.25">
      <c r="BF909" t="e">
        <f>solver_rel37=1</f>
        <v>#NAME?</v>
      </c>
    </row>
    <row r="910" spans="58:58" x14ac:dyDescent="0.25">
      <c r="BF910" t="e">
        <f>solver_rel370=1</f>
        <v>#NAME?</v>
      </c>
    </row>
    <row r="911" spans="58:58" x14ac:dyDescent="0.25">
      <c r="BF911" t="e">
        <f>solver_rel371=3</f>
        <v>#NAME?</v>
      </c>
    </row>
    <row r="912" spans="58:58" x14ac:dyDescent="0.25">
      <c r="BF912" t="e">
        <f>solver_rel372=2</f>
        <v>#NAME?</v>
      </c>
    </row>
    <row r="913" spans="58:58" x14ac:dyDescent="0.25">
      <c r="BF913" t="e">
        <f>solver_rel373=1</f>
        <v>#NAME?</v>
      </c>
    </row>
    <row r="914" spans="58:58" x14ac:dyDescent="0.25">
      <c r="BF914" t="e">
        <f>solver_rel374=3</f>
        <v>#NAME?</v>
      </c>
    </row>
    <row r="915" spans="58:58" x14ac:dyDescent="0.25">
      <c r="BF915" t="e">
        <f>solver_rel375=2</f>
        <v>#NAME?</v>
      </c>
    </row>
    <row r="916" spans="58:58" x14ac:dyDescent="0.25">
      <c r="BF916" t="e">
        <f>solver_rel376=1</f>
        <v>#NAME?</v>
      </c>
    </row>
    <row r="917" spans="58:58" x14ac:dyDescent="0.25">
      <c r="BF917" t="e">
        <f>solver_rel377=3</f>
        <v>#NAME?</v>
      </c>
    </row>
    <row r="918" spans="58:58" x14ac:dyDescent="0.25">
      <c r="BF918" t="e">
        <f>solver_rel378=2</f>
        <v>#NAME?</v>
      </c>
    </row>
    <row r="919" spans="58:58" x14ac:dyDescent="0.25">
      <c r="BF919" t="e">
        <f>solver_rel379=1</f>
        <v>#NAME?</v>
      </c>
    </row>
    <row r="920" spans="58:58" x14ac:dyDescent="0.25">
      <c r="BF920" t="e">
        <f>solver_rel38=3</f>
        <v>#NAME?</v>
      </c>
    </row>
    <row r="921" spans="58:58" x14ac:dyDescent="0.25">
      <c r="BF921" t="e">
        <f>solver_rel380=3</f>
        <v>#NAME?</v>
      </c>
    </row>
    <row r="922" spans="58:58" x14ac:dyDescent="0.25">
      <c r="BF922" t="e">
        <f>solver_rel381=2</f>
        <v>#NAME?</v>
      </c>
    </row>
    <row r="923" spans="58:58" x14ac:dyDescent="0.25">
      <c r="BF923" t="e">
        <f>solver_rel382=1</f>
        <v>#NAME?</v>
      </c>
    </row>
    <row r="924" spans="58:58" x14ac:dyDescent="0.25">
      <c r="BF924" t="e">
        <f>solver_rel383=3</f>
        <v>#NAME?</v>
      </c>
    </row>
    <row r="925" spans="58:58" x14ac:dyDescent="0.25">
      <c r="BF925" t="e">
        <f>solver_rel384=2</f>
        <v>#NAME?</v>
      </c>
    </row>
    <row r="926" spans="58:58" x14ac:dyDescent="0.25">
      <c r="BF926" t="e">
        <f>solver_rel385=1</f>
        <v>#NAME?</v>
      </c>
    </row>
    <row r="927" spans="58:58" x14ac:dyDescent="0.25">
      <c r="BF927" t="e">
        <f>solver_rel386=3</f>
        <v>#NAME?</v>
      </c>
    </row>
    <row r="928" spans="58:58" x14ac:dyDescent="0.25">
      <c r="BF928" t="e">
        <f>solver_rel387=2</f>
        <v>#NAME?</v>
      </c>
    </row>
    <row r="929" spans="58:58" x14ac:dyDescent="0.25">
      <c r="BF929" t="e">
        <f>solver_rel388=1</f>
        <v>#NAME?</v>
      </c>
    </row>
    <row r="930" spans="58:58" x14ac:dyDescent="0.25">
      <c r="BF930" t="e">
        <f>solver_rel389=3</f>
        <v>#NAME?</v>
      </c>
    </row>
    <row r="931" spans="58:58" x14ac:dyDescent="0.25">
      <c r="BF931" t="e">
        <f>solver_rel39=2</f>
        <v>#NAME?</v>
      </c>
    </row>
    <row r="932" spans="58:58" x14ac:dyDescent="0.25">
      <c r="BF932" t="e">
        <f>solver_rel390=2</f>
        <v>#NAME?</v>
      </c>
    </row>
    <row r="933" spans="58:58" x14ac:dyDescent="0.25">
      <c r="BF933" t="e">
        <f>solver_rel391=1</f>
        <v>#NAME?</v>
      </c>
    </row>
    <row r="934" spans="58:58" x14ac:dyDescent="0.25">
      <c r="BF934" t="e">
        <f>solver_rel392=3</f>
        <v>#NAME?</v>
      </c>
    </row>
    <row r="935" spans="58:58" x14ac:dyDescent="0.25">
      <c r="BF935" t="e">
        <f>solver_rel393=2</f>
        <v>#NAME?</v>
      </c>
    </row>
    <row r="936" spans="58:58" x14ac:dyDescent="0.25">
      <c r="BF936" t="e">
        <f>solver_rel394=1</f>
        <v>#NAME?</v>
      </c>
    </row>
    <row r="937" spans="58:58" x14ac:dyDescent="0.25">
      <c r="BF937" t="e">
        <f>solver_rel395=3</f>
        <v>#NAME?</v>
      </c>
    </row>
    <row r="938" spans="58:58" x14ac:dyDescent="0.25">
      <c r="BF938" t="e">
        <f>solver_rel396=2</f>
        <v>#NAME?</v>
      </c>
    </row>
    <row r="939" spans="58:58" x14ac:dyDescent="0.25">
      <c r="BF939" t="e">
        <f>solver_rel397=1</f>
        <v>#NAME?</v>
      </c>
    </row>
    <row r="940" spans="58:58" x14ac:dyDescent="0.25">
      <c r="BF940" t="e">
        <f>solver_rel398=3</f>
        <v>#NAME?</v>
      </c>
    </row>
    <row r="941" spans="58:58" x14ac:dyDescent="0.25">
      <c r="BF941" t="e">
        <f>solver_rel399=2</f>
        <v>#NAME?</v>
      </c>
    </row>
    <row r="942" spans="58:58" x14ac:dyDescent="0.25">
      <c r="BF942" t="e">
        <f>solver_rel4=1</f>
        <v>#NAME?</v>
      </c>
    </row>
    <row r="943" spans="58:58" x14ac:dyDescent="0.25">
      <c r="BF943" t="e">
        <f>solver_rel40=1</f>
        <v>#NAME?</v>
      </c>
    </row>
    <row r="944" spans="58:58" x14ac:dyDescent="0.25">
      <c r="BF944" t="e">
        <f>solver_rel400=1</f>
        <v>#NAME?</v>
      </c>
    </row>
    <row r="945" spans="58:58" x14ac:dyDescent="0.25">
      <c r="BF945" t="e">
        <f>solver_rel401=3</f>
        <v>#NAME?</v>
      </c>
    </row>
    <row r="946" spans="58:58" x14ac:dyDescent="0.25">
      <c r="BF946" t="e">
        <f>solver_rel402=2</f>
        <v>#NAME?</v>
      </c>
    </row>
    <row r="947" spans="58:58" x14ac:dyDescent="0.25">
      <c r="BF947" t="e">
        <f>solver_rel403=1</f>
        <v>#NAME?</v>
      </c>
    </row>
    <row r="948" spans="58:58" x14ac:dyDescent="0.25">
      <c r="BF948" t="e">
        <f>solver_rel404=3</f>
        <v>#NAME?</v>
      </c>
    </row>
    <row r="949" spans="58:58" x14ac:dyDescent="0.25">
      <c r="BF949" t="e">
        <f>solver_rel405=2</f>
        <v>#NAME?</v>
      </c>
    </row>
    <row r="950" spans="58:58" x14ac:dyDescent="0.25">
      <c r="BF950" t="e">
        <f>solver_rel406=1</f>
        <v>#NAME?</v>
      </c>
    </row>
    <row r="951" spans="58:58" x14ac:dyDescent="0.25">
      <c r="BF951" t="e">
        <f>solver_rel407=3</f>
        <v>#NAME?</v>
      </c>
    </row>
    <row r="952" spans="58:58" x14ac:dyDescent="0.25">
      <c r="BF952" t="e">
        <f>solver_rel408=2</f>
        <v>#NAME?</v>
      </c>
    </row>
    <row r="953" spans="58:58" x14ac:dyDescent="0.25">
      <c r="BF953" t="e">
        <f>solver_rel409=1</f>
        <v>#NAME?</v>
      </c>
    </row>
    <row r="954" spans="58:58" x14ac:dyDescent="0.25">
      <c r="BF954" t="e">
        <f>solver_rel41=3</f>
        <v>#NAME?</v>
      </c>
    </row>
    <row r="955" spans="58:58" x14ac:dyDescent="0.25">
      <c r="BF955" t="e">
        <f>solver_rel410=3</f>
        <v>#NAME?</v>
      </c>
    </row>
    <row r="956" spans="58:58" x14ac:dyDescent="0.25">
      <c r="BF956" t="e">
        <f>solver_rel411=2</f>
        <v>#NAME?</v>
      </c>
    </row>
    <row r="957" spans="58:58" x14ac:dyDescent="0.25">
      <c r="BF957" t="e">
        <f>solver_rel412=1</f>
        <v>#NAME?</v>
      </c>
    </row>
    <row r="958" spans="58:58" x14ac:dyDescent="0.25">
      <c r="BF958" t="e">
        <f>solver_rel413=3</f>
        <v>#NAME?</v>
      </c>
    </row>
    <row r="959" spans="58:58" x14ac:dyDescent="0.25">
      <c r="BF959" t="e">
        <f>solver_rel414=2</f>
        <v>#NAME?</v>
      </c>
    </row>
    <row r="960" spans="58:58" x14ac:dyDescent="0.25">
      <c r="BF960" t="e">
        <f>solver_rel415=1</f>
        <v>#NAME?</v>
      </c>
    </row>
    <row r="961" spans="58:58" x14ac:dyDescent="0.25">
      <c r="BF961" t="e">
        <f>solver_rel416=3</f>
        <v>#NAME?</v>
      </c>
    </row>
    <row r="962" spans="58:58" x14ac:dyDescent="0.25">
      <c r="BF962" t="e">
        <f>solver_rel417=2</f>
        <v>#NAME?</v>
      </c>
    </row>
    <row r="963" spans="58:58" x14ac:dyDescent="0.25">
      <c r="BF963" t="e">
        <f>solver_rel418=1</f>
        <v>#NAME?</v>
      </c>
    </row>
    <row r="964" spans="58:58" x14ac:dyDescent="0.25">
      <c r="BF964" t="e">
        <f>solver_rel419=3</f>
        <v>#NAME?</v>
      </c>
    </row>
    <row r="965" spans="58:58" x14ac:dyDescent="0.25">
      <c r="BF965" t="e">
        <f>solver_rel42=2</f>
        <v>#NAME?</v>
      </c>
    </row>
    <row r="966" spans="58:58" x14ac:dyDescent="0.25">
      <c r="BF966" t="e">
        <f>solver_rel420=2</f>
        <v>#NAME?</v>
      </c>
    </row>
    <row r="967" spans="58:58" x14ac:dyDescent="0.25">
      <c r="BF967" t="e">
        <f>solver_rel421=1</f>
        <v>#NAME?</v>
      </c>
    </row>
    <row r="968" spans="58:58" x14ac:dyDescent="0.25">
      <c r="BF968" t="e">
        <f>solver_rel422=3</f>
        <v>#NAME?</v>
      </c>
    </row>
    <row r="969" spans="58:58" x14ac:dyDescent="0.25">
      <c r="BF969" t="e">
        <f>solver_rel423=2</f>
        <v>#NAME?</v>
      </c>
    </row>
    <row r="970" spans="58:58" x14ac:dyDescent="0.25">
      <c r="BF970" t="e">
        <f>solver_rel424=1</f>
        <v>#NAME?</v>
      </c>
    </row>
    <row r="971" spans="58:58" x14ac:dyDescent="0.25">
      <c r="BF971" t="e">
        <f>solver_rel425=3</f>
        <v>#NAME?</v>
      </c>
    </row>
    <row r="972" spans="58:58" x14ac:dyDescent="0.25">
      <c r="BF972" t="e">
        <f>solver_rel426=2</f>
        <v>#NAME?</v>
      </c>
    </row>
    <row r="973" spans="58:58" x14ac:dyDescent="0.25">
      <c r="BF973" t="e">
        <f>solver_rel427=1</f>
        <v>#NAME?</v>
      </c>
    </row>
    <row r="974" spans="58:58" x14ac:dyDescent="0.25">
      <c r="BF974" t="e">
        <f>solver_rel428=3</f>
        <v>#NAME?</v>
      </c>
    </row>
    <row r="975" spans="58:58" x14ac:dyDescent="0.25">
      <c r="BF975" t="e">
        <f>solver_rel429=2</f>
        <v>#NAME?</v>
      </c>
    </row>
    <row r="976" spans="58:58" x14ac:dyDescent="0.25">
      <c r="BF976" t="e">
        <f>solver_rel43=1</f>
        <v>#NAME?</v>
      </c>
    </row>
    <row r="977" spans="58:58" x14ac:dyDescent="0.25">
      <c r="BF977" t="e">
        <f>solver_rel430=1</f>
        <v>#NAME?</v>
      </c>
    </row>
    <row r="978" spans="58:58" x14ac:dyDescent="0.25">
      <c r="BF978" t="e">
        <f>solver_rel431=3</f>
        <v>#NAME?</v>
      </c>
    </row>
    <row r="979" spans="58:58" x14ac:dyDescent="0.25">
      <c r="BF979" t="e">
        <f>solver_rel432=2</f>
        <v>#NAME?</v>
      </c>
    </row>
    <row r="980" spans="58:58" x14ac:dyDescent="0.25">
      <c r="BF980" t="e">
        <f>solver_rel433=1</f>
        <v>#NAME?</v>
      </c>
    </row>
    <row r="981" spans="58:58" x14ac:dyDescent="0.25">
      <c r="BF981" t="e">
        <f>solver_rel434=3</f>
        <v>#NAME?</v>
      </c>
    </row>
    <row r="982" spans="58:58" x14ac:dyDescent="0.25">
      <c r="BF982" t="e">
        <f>solver_rel435=2</f>
        <v>#NAME?</v>
      </c>
    </row>
    <row r="983" spans="58:58" x14ac:dyDescent="0.25">
      <c r="BF983" t="e">
        <f>solver_rel436=1</f>
        <v>#NAME?</v>
      </c>
    </row>
    <row r="984" spans="58:58" x14ac:dyDescent="0.25">
      <c r="BF984" t="e">
        <f>solver_rel437=3</f>
        <v>#NAME?</v>
      </c>
    </row>
    <row r="985" spans="58:58" x14ac:dyDescent="0.25">
      <c r="BF985" t="e">
        <f>solver_rel438=2</f>
        <v>#NAME?</v>
      </c>
    </row>
    <row r="986" spans="58:58" x14ac:dyDescent="0.25">
      <c r="BF986" t="e">
        <f>solver_rel439=1</f>
        <v>#NAME?</v>
      </c>
    </row>
    <row r="987" spans="58:58" x14ac:dyDescent="0.25">
      <c r="BF987" t="e">
        <f>solver_rel44=3</f>
        <v>#NAME?</v>
      </c>
    </row>
    <row r="988" spans="58:58" x14ac:dyDescent="0.25">
      <c r="BF988" t="e">
        <f>solver_rel440=3</f>
        <v>#NAME?</v>
      </c>
    </row>
    <row r="989" spans="58:58" x14ac:dyDescent="0.25">
      <c r="BF989" t="e">
        <f>solver_rel441=2</f>
        <v>#NAME?</v>
      </c>
    </row>
    <row r="990" spans="58:58" x14ac:dyDescent="0.25">
      <c r="BF990" t="e">
        <f>solver_rel442=1</f>
        <v>#NAME?</v>
      </c>
    </row>
    <row r="991" spans="58:58" x14ac:dyDescent="0.25">
      <c r="BF991" t="e">
        <f>solver_rel443=3</f>
        <v>#NAME?</v>
      </c>
    </row>
    <row r="992" spans="58:58" x14ac:dyDescent="0.25">
      <c r="BF992" t="e">
        <f>solver_rel444=2</f>
        <v>#NAME?</v>
      </c>
    </row>
    <row r="993" spans="58:58" x14ac:dyDescent="0.25">
      <c r="BF993" t="e">
        <f>solver_rel445=1</f>
        <v>#NAME?</v>
      </c>
    </row>
    <row r="994" spans="58:58" x14ac:dyDescent="0.25">
      <c r="BF994" t="e">
        <f>solver_rel446=3</f>
        <v>#NAME?</v>
      </c>
    </row>
    <row r="995" spans="58:58" x14ac:dyDescent="0.25">
      <c r="BF995" t="e">
        <f>solver_rel447=2</f>
        <v>#NAME?</v>
      </c>
    </row>
    <row r="996" spans="58:58" x14ac:dyDescent="0.25">
      <c r="BF996" t="e">
        <f>solver_rel448=1</f>
        <v>#NAME?</v>
      </c>
    </row>
    <row r="997" spans="58:58" x14ac:dyDescent="0.25">
      <c r="BF997" t="e">
        <f>solver_rel449=3</f>
        <v>#NAME?</v>
      </c>
    </row>
    <row r="998" spans="58:58" x14ac:dyDescent="0.25">
      <c r="BF998" t="e">
        <f>solver_rel45=2</f>
        <v>#NAME?</v>
      </c>
    </row>
    <row r="999" spans="58:58" x14ac:dyDescent="0.25">
      <c r="BF999" t="e">
        <f>solver_rel450=2</f>
        <v>#NAME?</v>
      </c>
    </row>
    <row r="1000" spans="58:58" x14ac:dyDescent="0.25">
      <c r="BF1000" t="e">
        <f>solver_rel451=1</f>
        <v>#NAME?</v>
      </c>
    </row>
    <row r="1001" spans="58:58" x14ac:dyDescent="0.25">
      <c r="BF1001" t="e">
        <f>solver_rel452=3</f>
        <v>#NAME?</v>
      </c>
    </row>
    <row r="1002" spans="58:58" x14ac:dyDescent="0.25">
      <c r="BF1002" t="e">
        <f>solver_rel453=2</f>
        <v>#NAME?</v>
      </c>
    </row>
    <row r="1003" spans="58:58" x14ac:dyDescent="0.25">
      <c r="BF1003" t="e">
        <f>solver_rel454=1</f>
        <v>#NAME?</v>
      </c>
    </row>
    <row r="1004" spans="58:58" x14ac:dyDescent="0.25">
      <c r="BF1004" t="e">
        <f>solver_rel455=3</f>
        <v>#NAME?</v>
      </c>
    </row>
    <row r="1005" spans="58:58" x14ac:dyDescent="0.25">
      <c r="BF1005" t="e">
        <f>solver_rel456=2</f>
        <v>#NAME?</v>
      </c>
    </row>
    <row r="1006" spans="58:58" x14ac:dyDescent="0.25">
      <c r="BF1006" t="e">
        <f>solver_rel457=1</f>
        <v>#NAME?</v>
      </c>
    </row>
    <row r="1007" spans="58:58" x14ac:dyDescent="0.25">
      <c r="BF1007" t="e">
        <f>solver_rel458=3</f>
        <v>#NAME?</v>
      </c>
    </row>
    <row r="1008" spans="58:58" x14ac:dyDescent="0.25">
      <c r="BF1008" t="e">
        <f>solver_rel459=2</f>
        <v>#NAME?</v>
      </c>
    </row>
    <row r="1009" spans="58:58" x14ac:dyDescent="0.25">
      <c r="BF1009" t="e">
        <f>solver_rel46=1</f>
        <v>#NAME?</v>
      </c>
    </row>
    <row r="1010" spans="58:58" x14ac:dyDescent="0.25">
      <c r="BF1010" t="e">
        <f>solver_rel460=1</f>
        <v>#NAME?</v>
      </c>
    </row>
    <row r="1011" spans="58:58" x14ac:dyDescent="0.25">
      <c r="BF1011" t="e">
        <f>solver_rel461=3</f>
        <v>#NAME?</v>
      </c>
    </row>
    <row r="1012" spans="58:58" x14ac:dyDescent="0.25">
      <c r="BF1012" t="e">
        <f>solver_rel462=2</f>
        <v>#NAME?</v>
      </c>
    </row>
    <row r="1013" spans="58:58" x14ac:dyDescent="0.25">
      <c r="BF1013" t="e">
        <f>solver_rel463=1</f>
        <v>#NAME?</v>
      </c>
    </row>
    <row r="1014" spans="58:58" x14ac:dyDescent="0.25">
      <c r="BF1014" t="e">
        <f>solver_rel464=3</f>
        <v>#NAME?</v>
      </c>
    </row>
    <row r="1015" spans="58:58" x14ac:dyDescent="0.25">
      <c r="BF1015" t="e">
        <f>solver_rel465=2</f>
        <v>#NAME?</v>
      </c>
    </row>
    <row r="1016" spans="58:58" x14ac:dyDescent="0.25">
      <c r="BF1016" t="e">
        <f>solver_rel466=1</f>
        <v>#NAME?</v>
      </c>
    </row>
    <row r="1017" spans="58:58" x14ac:dyDescent="0.25">
      <c r="BF1017" t="e">
        <f>solver_rel467=3</f>
        <v>#NAME?</v>
      </c>
    </row>
    <row r="1018" spans="58:58" x14ac:dyDescent="0.25">
      <c r="BF1018" t="e">
        <f>solver_rel468=2</f>
        <v>#NAME?</v>
      </c>
    </row>
    <row r="1019" spans="58:58" x14ac:dyDescent="0.25">
      <c r="BF1019" t="e">
        <f>solver_rel469=1</f>
        <v>#NAME?</v>
      </c>
    </row>
    <row r="1020" spans="58:58" x14ac:dyDescent="0.25">
      <c r="BF1020" t="e">
        <f>solver_rel47=3</f>
        <v>#NAME?</v>
      </c>
    </row>
    <row r="1021" spans="58:58" x14ac:dyDescent="0.25">
      <c r="BF1021" t="e">
        <f>solver_rel470=3</f>
        <v>#NAME?</v>
      </c>
    </row>
    <row r="1022" spans="58:58" x14ac:dyDescent="0.25">
      <c r="BF1022" t="e">
        <f>solver_rel471=2</f>
        <v>#NAME?</v>
      </c>
    </row>
    <row r="1023" spans="58:58" x14ac:dyDescent="0.25">
      <c r="BF1023" t="e">
        <f>solver_rel472=1</f>
        <v>#NAME?</v>
      </c>
    </row>
    <row r="1024" spans="58:58" x14ac:dyDescent="0.25">
      <c r="BF1024" t="e">
        <f>solver_rel473=3</f>
        <v>#NAME?</v>
      </c>
    </row>
    <row r="1025" spans="58:58" x14ac:dyDescent="0.25">
      <c r="BF1025" t="e">
        <f>solver_rel474=2</f>
        <v>#NAME?</v>
      </c>
    </row>
    <row r="1026" spans="58:58" x14ac:dyDescent="0.25">
      <c r="BF1026" t="e">
        <f>solver_rel475=1</f>
        <v>#NAME?</v>
      </c>
    </row>
    <row r="1027" spans="58:58" x14ac:dyDescent="0.25">
      <c r="BF1027" t="e">
        <f>solver_rel476=3</f>
        <v>#NAME?</v>
      </c>
    </row>
    <row r="1028" spans="58:58" x14ac:dyDescent="0.25">
      <c r="BF1028" t="e">
        <f>solver_rel477=2</f>
        <v>#NAME?</v>
      </c>
    </row>
    <row r="1029" spans="58:58" x14ac:dyDescent="0.25">
      <c r="BF1029" t="e">
        <f>solver_rel478=1</f>
        <v>#NAME?</v>
      </c>
    </row>
    <row r="1030" spans="58:58" x14ac:dyDescent="0.25">
      <c r="BF1030" t="e">
        <f>solver_rel479=3</f>
        <v>#NAME?</v>
      </c>
    </row>
    <row r="1031" spans="58:58" x14ac:dyDescent="0.25">
      <c r="BF1031" t="e">
        <f>solver_rel48=2</f>
        <v>#NAME?</v>
      </c>
    </row>
    <row r="1032" spans="58:58" x14ac:dyDescent="0.25">
      <c r="BF1032" t="e">
        <f>solver_rel480=2</f>
        <v>#NAME?</v>
      </c>
    </row>
    <row r="1033" spans="58:58" x14ac:dyDescent="0.25">
      <c r="BF1033" t="e">
        <f>solver_rel481=1</f>
        <v>#NAME?</v>
      </c>
    </row>
    <row r="1034" spans="58:58" x14ac:dyDescent="0.25">
      <c r="BF1034" t="e">
        <f>solver_rel482=3</f>
        <v>#NAME?</v>
      </c>
    </row>
    <row r="1035" spans="58:58" x14ac:dyDescent="0.25">
      <c r="BF1035" t="e">
        <f>solver_rel483=2</f>
        <v>#NAME?</v>
      </c>
    </row>
    <row r="1036" spans="58:58" x14ac:dyDescent="0.25">
      <c r="BF1036" t="e">
        <f>solver_rel484=1</f>
        <v>#NAME?</v>
      </c>
    </row>
    <row r="1037" spans="58:58" x14ac:dyDescent="0.25">
      <c r="BF1037" t="e">
        <f>solver_rel485=3</f>
        <v>#NAME?</v>
      </c>
    </row>
    <row r="1038" spans="58:58" x14ac:dyDescent="0.25">
      <c r="BF1038" t="e">
        <f>solver_rel486=2</f>
        <v>#NAME?</v>
      </c>
    </row>
    <row r="1039" spans="58:58" x14ac:dyDescent="0.25">
      <c r="BF1039" t="e">
        <f>solver_rel487=1</f>
        <v>#NAME?</v>
      </c>
    </row>
    <row r="1040" spans="58:58" x14ac:dyDescent="0.25">
      <c r="BF1040" t="e">
        <f>solver_rel488=3</f>
        <v>#NAME?</v>
      </c>
    </row>
    <row r="1041" spans="58:58" x14ac:dyDescent="0.25">
      <c r="BF1041" t="e">
        <f>solver_rel489=2</f>
        <v>#NAME?</v>
      </c>
    </row>
    <row r="1042" spans="58:58" x14ac:dyDescent="0.25">
      <c r="BF1042" t="e">
        <f>solver_rel49=1</f>
        <v>#NAME?</v>
      </c>
    </row>
    <row r="1043" spans="58:58" x14ac:dyDescent="0.25">
      <c r="BF1043" t="e">
        <f>solver_rel490=1</f>
        <v>#NAME?</v>
      </c>
    </row>
    <row r="1044" spans="58:58" x14ac:dyDescent="0.25">
      <c r="BF1044" t="e">
        <f>solver_rel491=3</f>
        <v>#NAME?</v>
      </c>
    </row>
    <row r="1045" spans="58:58" x14ac:dyDescent="0.25">
      <c r="BF1045" t="e">
        <f>solver_rel492=2</f>
        <v>#NAME?</v>
      </c>
    </row>
    <row r="1046" spans="58:58" x14ac:dyDescent="0.25">
      <c r="BF1046" t="e">
        <f>solver_rel493=1</f>
        <v>#NAME?</v>
      </c>
    </row>
    <row r="1047" spans="58:58" x14ac:dyDescent="0.25">
      <c r="BF1047" t="e">
        <f>solver_rel494=3</f>
        <v>#NAME?</v>
      </c>
    </row>
    <row r="1048" spans="58:58" x14ac:dyDescent="0.25">
      <c r="BF1048" t="e">
        <f>solver_rel495=2</f>
        <v>#NAME?</v>
      </c>
    </row>
    <row r="1049" spans="58:58" x14ac:dyDescent="0.25">
      <c r="BF1049" t="e">
        <f>solver_rel496=1</f>
        <v>#NAME?</v>
      </c>
    </row>
    <row r="1050" spans="58:58" x14ac:dyDescent="0.25">
      <c r="BF1050" t="e">
        <f>solver_rel497=3</f>
        <v>#NAME?</v>
      </c>
    </row>
    <row r="1051" spans="58:58" x14ac:dyDescent="0.25">
      <c r="BF1051" t="e">
        <f>solver_rel498=2</f>
        <v>#NAME?</v>
      </c>
    </row>
    <row r="1052" spans="58:58" x14ac:dyDescent="0.25">
      <c r="BF1052" t="e">
        <f>solver_rel499=1</f>
        <v>#NAME?</v>
      </c>
    </row>
    <row r="1053" spans="58:58" x14ac:dyDescent="0.25">
      <c r="BF1053" t="e">
        <f>solver_rel5=3</f>
        <v>#NAME?</v>
      </c>
    </row>
    <row r="1054" spans="58:58" x14ac:dyDescent="0.25">
      <c r="BF1054" t="e">
        <f>solver_rel50=3</f>
        <v>#NAME?</v>
      </c>
    </row>
    <row r="1055" spans="58:58" x14ac:dyDescent="0.25">
      <c r="BF1055" t="e">
        <f>solver_rel500=3</f>
        <v>#NAME?</v>
      </c>
    </row>
    <row r="1056" spans="58:58" x14ac:dyDescent="0.25">
      <c r="BF1056" t="e">
        <f>solver_rel501=2</f>
        <v>#NAME?</v>
      </c>
    </row>
    <row r="1057" spans="58:58" x14ac:dyDescent="0.25">
      <c r="BF1057" t="e">
        <f>solver_rel502=1</f>
        <v>#NAME?</v>
      </c>
    </row>
    <row r="1058" spans="58:58" x14ac:dyDescent="0.25">
      <c r="BF1058" t="e">
        <f>solver_rel503=3</f>
        <v>#NAME?</v>
      </c>
    </row>
    <row r="1059" spans="58:58" x14ac:dyDescent="0.25">
      <c r="BF1059" t="e">
        <f>solver_rel504=2</f>
        <v>#NAME?</v>
      </c>
    </row>
    <row r="1060" spans="58:58" x14ac:dyDescent="0.25">
      <c r="BF1060" t="e">
        <f>solver_rel505=1</f>
        <v>#NAME?</v>
      </c>
    </row>
    <row r="1061" spans="58:58" x14ac:dyDescent="0.25">
      <c r="BF1061" t="e">
        <f>solver_rel506=3</f>
        <v>#NAME?</v>
      </c>
    </row>
    <row r="1062" spans="58:58" x14ac:dyDescent="0.25">
      <c r="BF1062" t="e">
        <f>solver_rel507=2</f>
        <v>#NAME?</v>
      </c>
    </row>
    <row r="1063" spans="58:58" x14ac:dyDescent="0.25">
      <c r="BF1063" t="e">
        <f>solver_rel508=1</f>
        <v>#NAME?</v>
      </c>
    </row>
    <row r="1064" spans="58:58" x14ac:dyDescent="0.25">
      <c r="BF1064" t="e">
        <f>solver_rel509=3</f>
        <v>#NAME?</v>
      </c>
    </row>
    <row r="1065" spans="58:58" x14ac:dyDescent="0.25">
      <c r="BF1065" t="e">
        <f>solver_rel51=2</f>
        <v>#NAME?</v>
      </c>
    </row>
    <row r="1066" spans="58:58" x14ac:dyDescent="0.25">
      <c r="BF1066" t="e">
        <f>solver_rel510=2</f>
        <v>#NAME?</v>
      </c>
    </row>
    <row r="1067" spans="58:58" x14ac:dyDescent="0.25">
      <c r="BF1067" t="e">
        <f>solver_rel511=1</f>
        <v>#NAME?</v>
      </c>
    </row>
    <row r="1068" spans="58:58" x14ac:dyDescent="0.25">
      <c r="BF1068" t="e">
        <f>solver_rel512=3</f>
        <v>#NAME?</v>
      </c>
    </row>
    <row r="1069" spans="58:58" x14ac:dyDescent="0.25">
      <c r="BF1069" t="e">
        <f>solver_rel513=2</f>
        <v>#NAME?</v>
      </c>
    </row>
    <row r="1070" spans="58:58" x14ac:dyDescent="0.25">
      <c r="BF1070" t="e">
        <f>solver_rel514=1</f>
        <v>#NAME?</v>
      </c>
    </row>
    <row r="1071" spans="58:58" x14ac:dyDescent="0.25">
      <c r="BF1071" t="e">
        <f>solver_rel515=3</f>
        <v>#NAME?</v>
      </c>
    </row>
    <row r="1072" spans="58:58" x14ac:dyDescent="0.25">
      <c r="BF1072" t="e">
        <f>solver_rel516=2</f>
        <v>#NAME?</v>
      </c>
    </row>
    <row r="1073" spans="58:58" x14ac:dyDescent="0.25">
      <c r="BF1073" t="e">
        <f>solver_rel517=1</f>
        <v>#NAME?</v>
      </c>
    </row>
    <row r="1074" spans="58:58" x14ac:dyDescent="0.25">
      <c r="BF1074" t="e">
        <f>solver_rel518=3</f>
        <v>#NAME?</v>
      </c>
    </row>
    <row r="1075" spans="58:58" x14ac:dyDescent="0.25">
      <c r="BF1075" t="e">
        <f>solver_rel519=2</f>
        <v>#NAME?</v>
      </c>
    </row>
    <row r="1076" spans="58:58" x14ac:dyDescent="0.25">
      <c r="BF1076" t="e">
        <f>solver_rel52=1</f>
        <v>#NAME?</v>
      </c>
    </row>
    <row r="1077" spans="58:58" x14ac:dyDescent="0.25">
      <c r="BF1077" t="e">
        <f>solver_rel520=1</f>
        <v>#NAME?</v>
      </c>
    </row>
    <row r="1078" spans="58:58" x14ac:dyDescent="0.25">
      <c r="BF1078" t="e">
        <f>solver_rel521=3</f>
        <v>#NAME?</v>
      </c>
    </row>
    <row r="1079" spans="58:58" x14ac:dyDescent="0.25">
      <c r="BF1079" t="e">
        <f>solver_rel522=2</f>
        <v>#NAME?</v>
      </c>
    </row>
    <row r="1080" spans="58:58" x14ac:dyDescent="0.25">
      <c r="BF1080" t="e">
        <f>solver_rel523=1</f>
        <v>#NAME?</v>
      </c>
    </row>
    <row r="1081" spans="58:58" x14ac:dyDescent="0.25">
      <c r="BF1081" t="e">
        <f>solver_rel524=3</f>
        <v>#NAME?</v>
      </c>
    </row>
    <row r="1082" spans="58:58" x14ac:dyDescent="0.25">
      <c r="BF1082" t="e">
        <f>solver_rel525=2</f>
        <v>#NAME?</v>
      </c>
    </row>
    <row r="1083" spans="58:58" x14ac:dyDescent="0.25">
      <c r="BF1083" t="e">
        <f>solver_rel526=1</f>
        <v>#NAME?</v>
      </c>
    </row>
    <row r="1084" spans="58:58" x14ac:dyDescent="0.25">
      <c r="BF1084" t="e">
        <f>solver_rel527=3</f>
        <v>#NAME?</v>
      </c>
    </row>
    <row r="1085" spans="58:58" x14ac:dyDescent="0.25">
      <c r="BF1085" t="e">
        <f>solver_rel528=2</f>
        <v>#NAME?</v>
      </c>
    </row>
    <row r="1086" spans="58:58" x14ac:dyDescent="0.25">
      <c r="BF1086" t="e">
        <f>solver_rel529=1</f>
        <v>#NAME?</v>
      </c>
    </row>
    <row r="1087" spans="58:58" x14ac:dyDescent="0.25">
      <c r="BF1087" t="e">
        <f>solver_rel53=3</f>
        <v>#NAME?</v>
      </c>
    </row>
    <row r="1088" spans="58:58" x14ac:dyDescent="0.25">
      <c r="BF1088" t="e">
        <f>solver_rel530=3</f>
        <v>#NAME?</v>
      </c>
    </row>
    <row r="1089" spans="58:58" x14ac:dyDescent="0.25">
      <c r="BF1089" t="e">
        <f>solver_rel531=2</f>
        <v>#NAME?</v>
      </c>
    </row>
    <row r="1090" spans="58:58" x14ac:dyDescent="0.25">
      <c r="BF1090" t="e">
        <f>solver_rel532=1</f>
        <v>#NAME?</v>
      </c>
    </row>
    <row r="1091" spans="58:58" x14ac:dyDescent="0.25">
      <c r="BF1091" t="e">
        <f>solver_rel533=3</f>
        <v>#NAME?</v>
      </c>
    </row>
    <row r="1092" spans="58:58" x14ac:dyDescent="0.25">
      <c r="BF1092" t="e">
        <f>solver_rel534=2</f>
        <v>#NAME?</v>
      </c>
    </row>
    <row r="1093" spans="58:58" x14ac:dyDescent="0.25">
      <c r="BF1093" t="e">
        <f>solver_rel535=1</f>
        <v>#NAME?</v>
      </c>
    </row>
    <row r="1094" spans="58:58" x14ac:dyDescent="0.25">
      <c r="BF1094" t="e">
        <f>solver_rel536=3</f>
        <v>#NAME?</v>
      </c>
    </row>
    <row r="1095" spans="58:58" x14ac:dyDescent="0.25">
      <c r="BF1095" t="e">
        <f>solver_rel537=2</f>
        <v>#NAME?</v>
      </c>
    </row>
    <row r="1096" spans="58:58" x14ac:dyDescent="0.25">
      <c r="BF1096" t="e">
        <f>solver_rel538=1</f>
        <v>#NAME?</v>
      </c>
    </row>
    <row r="1097" spans="58:58" x14ac:dyDescent="0.25">
      <c r="BF1097" t="e">
        <f>solver_rel539=3</f>
        <v>#NAME?</v>
      </c>
    </row>
    <row r="1098" spans="58:58" x14ac:dyDescent="0.25">
      <c r="BF1098" t="e">
        <f>solver_rel54=2</f>
        <v>#NAME?</v>
      </c>
    </row>
    <row r="1099" spans="58:58" x14ac:dyDescent="0.25">
      <c r="BF1099" t="e">
        <f>solver_rel540=2</f>
        <v>#NAME?</v>
      </c>
    </row>
    <row r="1100" spans="58:58" x14ac:dyDescent="0.25">
      <c r="BF1100" t="e">
        <f>solver_rel541=1</f>
        <v>#NAME?</v>
      </c>
    </row>
    <row r="1101" spans="58:58" x14ac:dyDescent="0.25">
      <c r="BF1101" t="e">
        <f>solver_rel542=3</f>
        <v>#NAME?</v>
      </c>
    </row>
    <row r="1102" spans="58:58" x14ac:dyDescent="0.25">
      <c r="BF1102" t="e">
        <f>solver_rel543=2</f>
        <v>#NAME?</v>
      </c>
    </row>
    <row r="1103" spans="58:58" x14ac:dyDescent="0.25">
      <c r="BF1103" t="e">
        <f>solver_rel544=1</f>
        <v>#NAME?</v>
      </c>
    </row>
    <row r="1104" spans="58:58" x14ac:dyDescent="0.25">
      <c r="BF1104" t="e">
        <f>solver_rel545=3</f>
        <v>#NAME?</v>
      </c>
    </row>
    <row r="1105" spans="58:58" x14ac:dyDescent="0.25">
      <c r="BF1105" t="e">
        <f>solver_rel546=2</f>
        <v>#NAME?</v>
      </c>
    </row>
    <row r="1106" spans="58:58" x14ac:dyDescent="0.25">
      <c r="BF1106" t="e">
        <f>solver_rel547=1</f>
        <v>#NAME?</v>
      </c>
    </row>
    <row r="1107" spans="58:58" x14ac:dyDescent="0.25">
      <c r="BF1107" t="e">
        <f>solver_rel548=3</f>
        <v>#NAME?</v>
      </c>
    </row>
    <row r="1108" spans="58:58" x14ac:dyDescent="0.25">
      <c r="BF1108" t="e">
        <f>solver_rel549=2</f>
        <v>#NAME?</v>
      </c>
    </row>
    <row r="1109" spans="58:58" x14ac:dyDescent="0.25">
      <c r="BF1109" t="e">
        <f>solver_rel55=1</f>
        <v>#NAME?</v>
      </c>
    </row>
    <row r="1110" spans="58:58" x14ac:dyDescent="0.25">
      <c r="BF1110" t="e">
        <f>solver_rel550=1</f>
        <v>#NAME?</v>
      </c>
    </row>
    <row r="1111" spans="58:58" x14ac:dyDescent="0.25">
      <c r="BF1111" t="e">
        <f>solver_rel551=3</f>
        <v>#NAME?</v>
      </c>
    </row>
    <row r="1112" spans="58:58" x14ac:dyDescent="0.25">
      <c r="BF1112" t="e">
        <f>solver_rel552=2</f>
        <v>#NAME?</v>
      </c>
    </row>
    <row r="1113" spans="58:58" x14ac:dyDescent="0.25">
      <c r="BF1113" t="e">
        <f>solver_rel553=1</f>
        <v>#NAME?</v>
      </c>
    </row>
    <row r="1114" spans="58:58" x14ac:dyDescent="0.25">
      <c r="BF1114" t="e">
        <f>solver_rel554=3</f>
        <v>#NAME?</v>
      </c>
    </row>
    <row r="1115" spans="58:58" x14ac:dyDescent="0.25">
      <c r="BF1115" t="e">
        <f>solver_rel555=2</f>
        <v>#NAME?</v>
      </c>
    </row>
    <row r="1116" spans="58:58" x14ac:dyDescent="0.25">
      <c r="BF1116" t="e">
        <f>solver_rel556=1</f>
        <v>#NAME?</v>
      </c>
    </row>
    <row r="1117" spans="58:58" x14ac:dyDescent="0.25">
      <c r="BF1117" t="e">
        <f>solver_rel557=3</f>
        <v>#NAME?</v>
      </c>
    </row>
    <row r="1118" spans="58:58" x14ac:dyDescent="0.25">
      <c r="BF1118" t="e">
        <f>solver_rel558=2</f>
        <v>#NAME?</v>
      </c>
    </row>
    <row r="1119" spans="58:58" x14ac:dyDescent="0.25">
      <c r="BF1119" t="e">
        <f>solver_rel559=1</f>
        <v>#NAME?</v>
      </c>
    </row>
    <row r="1120" spans="58:58" x14ac:dyDescent="0.25">
      <c r="BF1120" t="e">
        <f>solver_rel56=3</f>
        <v>#NAME?</v>
      </c>
    </row>
    <row r="1121" spans="58:58" x14ac:dyDescent="0.25">
      <c r="BF1121" t="e">
        <f>solver_rel560=3</f>
        <v>#NAME?</v>
      </c>
    </row>
    <row r="1122" spans="58:58" x14ac:dyDescent="0.25">
      <c r="BF1122" t="e">
        <f>solver_rel561=2</f>
        <v>#NAME?</v>
      </c>
    </row>
    <row r="1123" spans="58:58" x14ac:dyDescent="0.25">
      <c r="BF1123" t="e">
        <f>solver_rel562=1</f>
        <v>#NAME?</v>
      </c>
    </row>
    <row r="1124" spans="58:58" x14ac:dyDescent="0.25">
      <c r="BF1124" t="e">
        <f>solver_rel563=3</f>
        <v>#NAME?</v>
      </c>
    </row>
    <row r="1125" spans="58:58" x14ac:dyDescent="0.25">
      <c r="BF1125" t="e">
        <f>solver_rel564=2</f>
        <v>#NAME?</v>
      </c>
    </row>
    <row r="1126" spans="58:58" x14ac:dyDescent="0.25">
      <c r="BF1126" t="e">
        <f>solver_rel565=1</f>
        <v>#NAME?</v>
      </c>
    </row>
    <row r="1127" spans="58:58" x14ac:dyDescent="0.25">
      <c r="BF1127" t="e">
        <f>solver_rel566=3</f>
        <v>#NAME?</v>
      </c>
    </row>
    <row r="1128" spans="58:58" x14ac:dyDescent="0.25">
      <c r="BF1128" t="e">
        <f>solver_rel567=2</f>
        <v>#NAME?</v>
      </c>
    </row>
    <row r="1129" spans="58:58" x14ac:dyDescent="0.25">
      <c r="BF1129" t="e">
        <f>solver_rel568=1</f>
        <v>#NAME?</v>
      </c>
    </row>
    <row r="1130" spans="58:58" x14ac:dyDescent="0.25">
      <c r="BF1130" t="e">
        <f>solver_rel569=3</f>
        <v>#NAME?</v>
      </c>
    </row>
    <row r="1131" spans="58:58" x14ac:dyDescent="0.25">
      <c r="BF1131" t="e">
        <f>solver_rel57=2</f>
        <v>#NAME?</v>
      </c>
    </row>
    <row r="1132" spans="58:58" x14ac:dyDescent="0.25">
      <c r="BF1132" t="e">
        <f>solver_rel570=2</f>
        <v>#NAME?</v>
      </c>
    </row>
    <row r="1133" spans="58:58" x14ac:dyDescent="0.25">
      <c r="BF1133" t="e">
        <f>solver_rel571=1</f>
        <v>#NAME?</v>
      </c>
    </row>
    <row r="1134" spans="58:58" x14ac:dyDescent="0.25">
      <c r="BF1134" t="e">
        <f>solver_rel572=3</f>
        <v>#NAME?</v>
      </c>
    </row>
    <row r="1135" spans="58:58" x14ac:dyDescent="0.25">
      <c r="BF1135" t="e">
        <f>solver_rel573=2</f>
        <v>#NAME?</v>
      </c>
    </row>
    <row r="1136" spans="58:58" x14ac:dyDescent="0.25">
      <c r="BF1136" t="e">
        <f>solver_rel574=1</f>
        <v>#NAME?</v>
      </c>
    </row>
    <row r="1137" spans="58:58" x14ac:dyDescent="0.25">
      <c r="BF1137" t="e">
        <f>solver_rel575=3</f>
        <v>#NAME?</v>
      </c>
    </row>
    <row r="1138" spans="58:58" x14ac:dyDescent="0.25">
      <c r="BF1138" t="e">
        <f>solver_rel576=2</f>
        <v>#NAME?</v>
      </c>
    </row>
    <row r="1139" spans="58:58" x14ac:dyDescent="0.25">
      <c r="BF1139" t="e">
        <f>solver_rel577=1</f>
        <v>#NAME?</v>
      </c>
    </row>
    <row r="1140" spans="58:58" x14ac:dyDescent="0.25">
      <c r="BF1140" t="e">
        <f>solver_rel578=3</f>
        <v>#NAME?</v>
      </c>
    </row>
    <row r="1141" spans="58:58" x14ac:dyDescent="0.25">
      <c r="BF1141" t="e">
        <f>solver_rel579=2</f>
        <v>#NAME?</v>
      </c>
    </row>
    <row r="1142" spans="58:58" x14ac:dyDescent="0.25">
      <c r="BF1142" t="e">
        <f>solver_rel58=1</f>
        <v>#NAME?</v>
      </c>
    </row>
    <row r="1143" spans="58:58" x14ac:dyDescent="0.25">
      <c r="BF1143" t="e">
        <f>solver_rel580=1</f>
        <v>#NAME?</v>
      </c>
    </row>
    <row r="1144" spans="58:58" x14ac:dyDescent="0.25">
      <c r="BF1144" t="e">
        <f>solver_rel581=3</f>
        <v>#NAME?</v>
      </c>
    </row>
    <row r="1145" spans="58:58" x14ac:dyDescent="0.25">
      <c r="BF1145" t="e">
        <f>solver_rel582=2</f>
        <v>#NAME?</v>
      </c>
    </row>
    <row r="1146" spans="58:58" x14ac:dyDescent="0.25">
      <c r="BF1146" t="e">
        <f>solver_rel583=1</f>
        <v>#NAME?</v>
      </c>
    </row>
    <row r="1147" spans="58:58" x14ac:dyDescent="0.25">
      <c r="BF1147" t="e">
        <f>solver_rel584=3</f>
        <v>#NAME?</v>
      </c>
    </row>
    <row r="1148" spans="58:58" x14ac:dyDescent="0.25">
      <c r="BF1148" t="e">
        <f>solver_rel585=2</f>
        <v>#NAME?</v>
      </c>
    </row>
    <row r="1149" spans="58:58" x14ac:dyDescent="0.25">
      <c r="BF1149" t="e">
        <f>solver_rel586=1</f>
        <v>#NAME?</v>
      </c>
    </row>
    <row r="1150" spans="58:58" x14ac:dyDescent="0.25">
      <c r="BF1150" t="e">
        <f>solver_rel587=3</f>
        <v>#NAME?</v>
      </c>
    </row>
    <row r="1151" spans="58:58" x14ac:dyDescent="0.25">
      <c r="BF1151" t="e">
        <f>solver_rel588=2</f>
        <v>#NAME?</v>
      </c>
    </row>
    <row r="1152" spans="58:58" x14ac:dyDescent="0.25">
      <c r="BF1152" t="e">
        <f>solver_rel589=1</f>
        <v>#NAME?</v>
      </c>
    </row>
    <row r="1153" spans="58:58" x14ac:dyDescent="0.25">
      <c r="BF1153" t="e">
        <f>solver_rel59=3</f>
        <v>#NAME?</v>
      </c>
    </row>
    <row r="1154" spans="58:58" x14ac:dyDescent="0.25">
      <c r="BF1154" t="e">
        <f>solver_rel590=3</f>
        <v>#NAME?</v>
      </c>
    </row>
    <row r="1155" spans="58:58" x14ac:dyDescent="0.25">
      <c r="BF1155" t="e">
        <f>solver_rel591=2</f>
        <v>#NAME?</v>
      </c>
    </row>
    <row r="1156" spans="58:58" x14ac:dyDescent="0.25">
      <c r="BF1156" t="e">
        <f>solver_rel592=1</f>
        <v>#NAME?</v>
      </c>
    </row>
    <row r="1157" spans="58:58" x14ac:dyDescent="0.25">
      <c r="BF1157" t="e">
        <f>solver_rel593=3</f>
        <v>#NAME?</v>
      </c>
    </row>
    <row r="1158" spans="58:58" x14ac:dyDescent="0.25">
      <c r="BF1158" t="e">
        <f>solver_rel594=2</f>
        <v>#NAME?</v>
      </c>
    </row>
    <row r="1159" spans="58:58" x14ac:dyDescent="0.25">
      <c r="BF1159" t="e">
        <f>solver_rel595=1</f>
        <v>#NAME?</v>
      </c>
    </row>
    <row r="1160" spans="58:58" x14ac:dyDescent="0.25">
      <c r="BF1160" t="e">
        <f>solver_rel596=3</f>
        <v>#NAME?</v>
      </c>
    </row>
    <row r="1161" spans="58:58" x14ac:dyDescent="0.25">
      <c r="BF1161" t="e">
        <f>solver_rel597=2</f>
        <v>#NAME?</v>
      </c>
    </row>
    <row r="1162" spans="58:58" x14ac:dyDescent="0.25">
      <c r="BF1162" t="e">
        <f>solver_rel598=1</f>
        <v>#NAME?</v>
      </c>
    </row>
    <row r="1163" spans="58:58" x14ac:dyDescent="0.25">
      <c r="BF1163" t="e">
        <f>solver_rel599=3</f>
        <v>#NAME?</v>
      </c>
    </row>
    <row r="1164" spans="58:58" x14ac:dyDescent="0.25">
      <c r="BF1164" t="e">
        <f>solver_rel6=2</f>
        <v>#NAME?</v>
      </c>
    </row>
    <row r="1165" spans="58:58" x14ac:dyDescent="0.25">
      <c r="BF1165" t="e">
        <f>solver_rel60=2</f>
        <v>#NAME?</v>
      </c>
    </row>
    <row r="1166" spans="58:58" x14ac:dyDescent="0.25">
      <c r="BF1166" t="e">
        <f>solver_rel600=2</f>
        <v>#NAME?</v>
      </c>
    </row>
    <row r="1167" spans="58:58" x14ac:dyDescent="0.25">
      <c r="BF1167" t="e">
        <f>solver_rel61=1</f>
        <v>#NAME?</v>
      </c>
    </row>
    <row r="1168" spans="58:58" x14ac:dyDescent="0.25">
      <c r="BF1168" t="e">
        <f>solver_rel62=3</f>
        <v>#NAME?</v>
      </c>
    </row>
    <row r="1169" spans="58:58" x14ac:dyDescent="0.25">
      <c r="BF1169" t="e">
        <f>solver_rel63=2</f>
        <v>#NAME?</v>
      </c>
    </row>
    <row r="1170" spans="58:58" x14ac:dyDescent="0.25">
      <c r="BF1170" t="e">
        <f>solver_rel64=1</f>
        <v>#NAME?</v>
      </c>
    </row>
    <row r="1171" spans="58:58" x14ac:dyDescent="0.25">
      <c r="BF1171" t="e">
        <f>solver_rel65=3</f>
        <v>#NAME?</v>
      </c>
    </row>
    <row r="1172" spans="58:58" x14ac:dyDescent="0.25">
      <c r="BF1172" t="e">
        <f>solver_rel66=2</f>
        <v>#NAME?</v>
      </c>
    </row>
    <row r="1173" spans="58:58" x14ac:dyDescent="0.25">
      <c r="BF1173" t="e">
        <f>solver_rel67=1</f>
        <v>#NAME?</v>
      </c>
    </row>
    <row r="1174" spans="58:58" x14ac:dyDescent="0.25">
      <c r="BF1174" t="e">
        <f>solver_rel68=3</f>
        <v>#NAME?</v>
      </c>
    </row>
    <row r="1175" spans="58:58" x14ac:dyDescent="0.25">
      <c r="BF1175" t="e">
        <f>solver_rel69=2</f>
        <v>#NAME?</v>
      </c>
    </row>
    <row r="1176" spans="58:58" x14ac:dyDescent="0.25">
      <c r="BF1176" t="e">
        <f>solver_rel7=1</f>
        <v>#NAME?</v>
      </c>
    </row>
    <row r="1177" spans="58:58" x14ac:dyDescent="0.25">
      <c r="BF1177" t="e">
        <f>solver_rel70=1</f>
        <v>#NAME?</v>
      </c>
    </row>
    <row r="1178" spans="58:58" x14ac:dyDescent="0.25">
      <c r="BF1178" t="e">
        <f>solver_rel71=3</f>
        <v>#NAME?</v>
      </c>
    </row>
    <row r="1179" spans="58:58" x14ac:dyDescent="0.25">
      <c r="BF1179" t="e">
        <f>solver_rel72=2</f>
        <v>#NAME?</v>
      </c>
    </row>
    <row r="1180" spans="58:58" x14ac:dyDescent="0.25">
      <c r="BF1180" t="e">
        <f>solver_rel73=1</f>
        <v>#NAME?</v>
      </c>
    </row>
    <row r="1181" spans="58:58" x14ac:dyDescent="0.25">
      <c r="BF1181" t="e">
        <f>solver_rel74=3</f>
        <v>#NAME?</v>
      </c>
    </row>
    <row r="1182" spans="58:58" x14ac:dyDescent="0.25">
      <c r="BF1182" t="e">
        <f>solver_rel75=2</f>
        <v>#NAME?</v>
      </c>
    </row>
    <row r="1183" spans="58:58" x14ac:dyDescent="0.25">
      <c r="BF1183" t="e">
        <f>solver_rel76=1</f>
        <v>#NAME?</v>
      </c>
    </row>
    <row r="1184" spans="58:58" x14ac:dyDescent="0.25">
      <c r="BF1184" t="e">
        <f>solver_rel77=3</f>
        <v>#NAME?</v>
      </c>
    </row>
    <row r="1185" spans="58:58" x14ac:dyDescent="0.25">
      <c r="BF1185" t="e">
        <f>solver_rel78=2</f>
        <v>#NAME?</v>
      </c>
    </row>
    <row r="1186" spans="58:58" x14ac:dyDescent="0.25">
      <c r="BF1186" t="e">
        <f>solver_rel79=1</f>
        <v>#NAME?</v>
      </c>
    </row>
    <row r="1187" spans="58:58" x14ac:dyDescent="0.25">
      <c r="BF1187" t="e">
        <f>solver_rel8=3</f>
        <v>#NAME?</v>
      </c>
    </row>
    <row r="1188" spans="58:58" x14ac:dyDescent="0.25">
      <c r="BF1188" t="e">
        <f>solver_rel80=3</f>
        <v>#NAME?</v>
      </c>
    </row>
    <row r="1189" spans="58:58" x14ac:dyDescent="0.25">
      <c r="BF1189" t="e">
        <f>solver_rel81=2</f>
        <v>#NAME?</v>
      </c>
    </row>
    <row r="1190" spans="58:58" x14ac:dyDescent="0.25">
      <c r="BF1190" t="e">
        <f>solver_rel82=1</f>
        <v>#NAME?</v>
      </c>
    </row>
    <row r="1191" spans="58:58" x14ac:dyDescent="0.25">
      <c r="BF1191" t="e">
        <f>solver_rel83=3</f>
        <v>#NAME?</v>
      </c>
    </row>
    <row r="1192" spans="58:58" x14ac:dyDescent="0.25">
      <c r="BF1192" t="e">
        <f>solver_rel84=2</f>
        <v>#NAME?</v>
      </c>
    </row>
    <row r="1193" spans="58:58" x14ac:dyDescent="0.25">
      <c r="BF1193" t="e">
        <f>solver_rel85=1</f>
        <v>#NAME?</v>
      </c>
    </row>
    <row r="1194" spans="58:58" x14ac:dyDescent="0.25">
      <c r="BF1194" t="e">
        <f>solver_rel86=3</f>
        <v>#NAME?</v>
      </c>
    </row>
    <row r="1195" spans="58:58" x14ac:dyDescent="0.25">
      <c r="BF1195" t="e">
        <f>solver_rel87=2</f>
        <v>#NAME?</v>
      </c>
    </row>
    <row r="1196" spans="58:58" x14ac:dyDescent="0.25">
      <c r="BF1196" t="e">
        <f>solver_rel88=1</f>
        <v>#NAME?</v>
      </c>
    </row>
    <row r="1197" spans="58:58" x14ac:dyDescent="0.25">
      <c r="BF1197" t="e">
        <f>solver_rel89=3</f>
        <v>#NAME?</v>
      </c>
    </row>
    <row r="1198" spans="58:58" x14ac:dyDescent="0.25">
      <c r="BF1198" t="e">
        <f>solver_rel9=2</f>
        <v>#NAME?</v>
      </c>
    </row>
    <row r="1199" spans="58:58" x14ac:dyDescent="0.25">
      <c r="BF1199" t="e">
        <f>solver_rel90=2</f>
        <v>#NAME?</v>
      </c>
    </row>
    <row r="1200" spans="58:58" x14ac:dyDescent="0.25">
      <c r="BF1200" t="e">
        <f>solver_rel91=1</f>
        <v>#NAME?</v>
      </c>
    </row>
    <row r="1201" spans="58:58" x14ac:dyDescent="0.25">
      <c r="BF1201" t="e">
        <f>solver_rel92=3</f>
        <v>#NAME?</v>
      </c>
    </row>
    <row r="1202" spans="58:58" x14ac:dyDescent="0.25">
      <c r="BF1202" t="e">
        <f>solver_rel93=2</f>
        <v>#NAME?</v>
      </c>
    </row>
    <row r="1203" spans="58:58" x14ac:dyDescent="0.25">
      <c r="BF1203" t="e">
        <f>solver_rel94=1</f>
        <v>#NAME?</v>
      </c>
    </row>
    <row r="1204" spans="58:58" x14ac:dyDescent="0.25">
      <c r="BF1204" t="e">
        <f>solver_rel95=3</f>
        <v>#NAME?</v>
      </c>
    </row>
    <row r="1205" spans="58:58" x14ac:dyDescent="0.25">
      <c r="BF1205" t="e">
        <f>solver_rel96=2</f>
        <v>#NAME?</v>
      </c>
    </row>
    <row r="1206" spans="58:58" x14ac:dyDescent="0.25">
      <c r="BF1206" t="e">
        <f>solver_rel97=1</f>
        <v>#NAME?</v>
      </c>
    </row>
    <row r="1207" spans="58:58" x14ac:dyDescent="0.25">
      <c r="BF1207" t="e">
        <f>solver_rel98=3</f>
        <v>#NAME?</v>
      </c>
    </row>
    <row r="1208" spans="58:58" x14ac:dyDescent="0.25">
      <c r="BF1208" t="e">
        <f>solver_rel99=2</f>
        <v>#NAME?</v>
      </c>
    </row>
    <row r="1209" spans="58:58" x14ac:dyDescent="0.25">
      <c r="BF1209" t="e">
        <f>solver_rhs1=NonLinLarge!$J$7:$J$8</f>
        <v>#NAME?</v>
      </c>
    </row>
    <row r="1210" spans="58:58" x14ac:dyDescent="0.25">
      <c r="BF1210" t="e">
        <f>solver_rhs10=NonLinLarge!$J$74</f>
        <v>#NAME?</v>
      </c>
    </row>
    <row r="1211" spans="58:58" x14ac:dyDescent="0.25">
      <c r="BF1211" t="e">
        <f>solver_rhs100=NonLinLarge!$J$74</f>
        <v>#NAME?</v>
      </c>
    </row>
    <row r="1212" spans="58:58" x14ac:dyDescent="0.25">
      <c r="BF1212" t="e">
        <f>solver_rhs101=NonLinLarge!$J$75:$J$138</f>
        <v>#NAME?</v>
      </c>
    </row>
    <row r="1213" spans="58:58" x14ac:dyDescent="0.25">
      <c r="BF1213" t="e">
        <f>solver_rhs102=NonLinLarge!$J$139</f>
        <v>#NAME?</v>
      </c>
    </row>
    <row r="1214" spans="58:58" x14ac:dyDescent="0.25">
      <c r="BF1214" t="e">
        <f>solver_rhs103=NonLinLarge!$J$7:$J$8</f>
        <v>#NAME?</v>
      </c>
    </row>
    <row r="1215" spans="58:58" x14ac:dyDescent="0.25">
      <c r="BF1215" t="e">
        <f>solver_rhs104=NonLinLarge!$J$9:$J$72</f>
        <v>#NAME?</v>
      </c>
    </row>
    <row r="1216" spans="58:58" x14ac:dyDescent="0.25">
      <c r="BF1216" t="e">
        <f>solver_rhs105=NonLinLarge!$J$73</f>
        <v>#NAME?</v>
      </c>
    </row>
    <row r="1217" spans="58:58" x14ac:dyDescent="0.25">
      <c r="BF1217" t="e">
        <f>solver_rhs106=NonLinLarge!$J$74</f>
        <v>#NAME?</v>
      </c>
    </row>
    <row r="1218" spans="58:58" x14ac:dyDescent="0.25">
      <c r="BF1218" t="e">
        <f>solver_rhs107=NonLinLarge!$J$75:$J$138</f>
        <v>#NAME?</v>
      </c>
    </row>
    <row r="1219" spans="58:58" x14ac:dyDescent="0.25">
      <c r="BF1219" t="e">
        <f>solver_rhs108=NonLinLarge!$J$139</f>
        <v>#NAME?</v>
      </c>
    </row>
    <row r="1220" spans="58:58" x14ac:dyDescent="0.25">
      <c r="BF1220" t="e">
        <f>solver_rhs109=NonLinLarge!$J$7:$J$8</f>
        <v>#NAME?</v>
      </c>
    </row>
    <row r="1221" spans="58:58" x14ac:dyDescent="0.25">
      <c r="BF1221" t="e">
        <f>solver_rhs11=NonLinLarge!$J$75:$J$138</f>
        <v>#NAME?</v>
      </c>
    </row>
    <row r="1222" spans="58:58" x14ac:dyDescent="0.25">
      <c r="BF1222" t="e">
        <f>solver_rhs110=NonLinLarge!$J$9:$J$72</f>
        <v>#NAME?</v>
      </c>
    </row>
    <row r="1223" spans="58:58" x14ac:dyDescent="0.25">
      <c r="BF1223" t="e">
        <f>solver_rhs111=NonLinLarge!$J$73</f>
        <v>#NAME?</v>
      </c>
    </row>
    <row r="1224" spans="58:58" x14ac:dyDescent="0.25">
      <c r="BF1224" t="e">
        <f>solver_rhs112=NonLinLarge!$J$74</f>
        <v>#NAME?</v>
      </c>
    </row>
    <row r="1225" spans="58:58" x14ac:dyDescent="0.25">
      <c r="BF1225" t="e">
        <f>solver_rhs113=NonLinLarge!$J$75:$J$138</f>
        <v>#NAME?</v>
      </c>
    </row>
    <row r="1226" spans="58:58" x14ac:dyDescent="0.25">
      <c r="BF1226" t="e">
        <f>solver_rhs114=NonLinLarge!$J$139</f>
        <v>#NAME?</v>
      </c>
    </row>
    <row r="1227" spans="58:58" x14ac:dyDescent="0.25">
      <c r="BF1227" t="e">
        <f>solver_rhs115=NonLinLarge!$J$7:$J$8</f>
        <v>#NAME?</v>
      </c>
    </row>
    <row r="1228" spans="58:58" x14ac:dyDescent="0.25">
      <c r="BF1228" t="e">
        <f>solver_rhs116=NonLinLarge!$J$9:$J$72</f>
        <v>#NAME?</v>
      </c>
    </row>
    <row r="1229" spans="58:58" x14ac:dyDescent="0.25">
      <c r="BF1229" t="e">
        <f>solver_rhs117=NonLinLarge!$J$73</f>
        <v>#NAME?</v>
      </c>
    </row>
    <row r="1230" spans="58:58" x14ac:dyDescent="0.25">
      <c r="BF1230" t="e">
        <f>solver_rhs118=NonLinLarge!$J$74</f>
        <v>#NAME?</v>
      </c>
    </row>
    <row r="1231" spans="58:58" x14ac:dyDescent="0.25">
      <c r="BF1231" t="e">
        <f>solver_rhs119=NonLinLarge!$J$75:$J$138</f>
        <v>#NAME?</v>
      </c>
    </row>
    <row r="1232" spans="58:58" x14ac:dyDescent="0.25">
      <c r="BF1232" t="e">
        <f>solver_rhs12=NonLinLarge!$J$139</f>
        <v>#NAME?</v>
      </c>
    </row>
    <row r="1233" spans="58:58" x14ac:dyDescent="0.25">
      <c r="BF1233" t="e">
        <f>solver_rhs120=NonLinLarge!$J$139</f>
        <v>#NAME?</v>
      </c>
    </row>
    <row r="1234" spans="58:58" x14ac:dyDescent="0.25">
      <c r="BF1234" t="e">
        <f>solver_rhs121=NonLinLarge!$J$7:$J$8</f>
        <v>#NAME?</v>
      </c>
    </row>
    <row r="1235" spans="58:58" x14ac:dyDescent="0.25">
      <c r="BF1235" t="e">
        <f>solver_rhs122=NonLinLarge!$J$9:$J$72</f>
        <v>#NAME?</v>
      </c>
    </row>
    <row r="1236" spans="58:58" x14ac:dyDescent="0.25">
      <c r="BF1236" t="e">
        <f>solver_rhs123=NonLinLarge!$J$73</f>
        <v>#NAME?</v>
      </c>
    </row>
    <row r="1237" spans="58:58" x14ac:dyDescent="0.25">
      <c r="BF1237" t="e">
        <f>solver_rhs124=NonLinLarge!$J$74</f>
        <v>#NAME?</v>
      </c>
    </row>
    <row r="1238" spans="58:58" x14ac:dyDescent="0.25">
      <c r="BF1238" t="e">
        <f>solver_rhs125=NonLinLarge!$J$75:$J$138</f>
        <v>#NAME?</v>
      </c>
    </row>
    <row r="1239" spans="58:58" x14ac:dyDescent="0.25">
      <c r="BF1239" t="e">
        <f>solver_rhs126=NonLinLarge!$J$139</f>
        <v>#NAME?</v>
      </c>
    </row>
    <row r="1240" spans="58:58" x14ac:dyDescent="0.25">
      <c r="BF1240" t="e">
        <f>solver_rhs127=NonLinLarge!$J$7:$J$8</f>
        <v>#NAME?</v>
      </c>
    </row>
    <row r="1241" spans="58:58" x14ac:dyDescent="0.25">
      <c r="BF1241" t="e">
        <f>solver_rhs128=NonLinLarge!$J$9:$J$72</f>
        <v>#NAME?</v>
      </c>
    </row>
    <row r="1242" spans="58:58" x14ac:dyDescent="0.25">
      <c r="BF1242" t="e">
        <f>solver_rhs129=NonLinLarge!$J$73</f>
        <v>#NAME?</v>
      </c>
    </row>
    <row r="1243" spans="58:58" x14ac:dyDescent="0.25">
      <c r="BF1243" t="e">
        <f>solver_rhs13=NonLinLarge!$J$7:$J$8</f>
        <v>#NAME?</v>
      </c>
    </row>
    <row r="1244" spans="58:58" x14ac:dyDescent="0.25">
      <c r="BF1244" t="e">
        <f>solver_rhs130=NonLinLarge!$J$74</f>
        <v>#NAME?</v>
      </c>
    </row>
    <row r="1245" spans="58:58" x14ac:dyDescent="0.25">
      <c r="BF1245" t="e">
        <f>solver_rhs131=NonLinLarge!$J$75:$J$138</f>
        <v>#NAME?</v>
      </c>
    </row>
    <row r="1246" spans="58:58" x14ac:dyDescent="0.25">
      <c r="BF1246" t="e">
        <f>solver_rhs132=NonLinLarge!$J$139</f>
        <v>#NAME?</v>
      </c>
    </row>
    <row r="1247" spans="58:58" x14ac:dyDescent="0.25">
      <c r="BF1247" t="e">
        <f>solver_rhs133=NonLinLarge!$J$7:$J$8</f>
        <v>#NAME?</v>
      </c>
    </row>
    <row r="1248" spans="58:58" x14ac:dyDescent="0.25">
      <c r="BF1248" t="e">
        <f>solver_rhs134=NonLinLarge!$J$9:$J$72</f>
        <v>#NAME?</v>
      </c>
    </row>
    <row r="1249" spans="58:58" x14ac:dyDescent="0.25">
      <c r="BF1249" t="e">
        <f>solver_rhs135=NonLinLarge!$J$73</f>
        <v>#NAME?</v>
      </c>
    </row>
    <row r="1250" spans="58:58" x14ac:dyDescent="0.25">
      <c r="BF1250" t="e">
        <f>solver_rhs136=NonLinLarge!$J$74</f>
        <v>#NAME?</v>
      </c>
    </row>
    <row r="1251" spans="58:58" x14ac:dyDescent="0.25">
      <c r="BF1251" t="e">
        <f>solver_rhs137=NonLinLarge!$J$75:$J$138</f>
        <v>#NAME?</v>
      </c>
    </row>
    <row r="1252" spans="58:58" x14ac:dyDescent="0.25">
      <c r="BF1252" t="e">
        <f>solver_rhs138=NonLinLarge!$J$139</f>
        <v>#NAME?</v>
      </c>
    </row>
    <row r="1253" spans="58:58" x14ac:dyDescent="0.25">
      <c r="BF1253" t="e">
        <f>solver_rhs139=NonLinLarge!$J$7:$J$8</f>
        <v>#NAME?</v>
      </c>
    </row>
    <row r="1254" spans="58:58" x14ac:dyDescent="0.25">
      <c r="BF1254" t="e">
        <f>solver_rhs14=NonLinLarge!$J$9:$J$72</f>
        <v>#NAME?</v>
      </c>
    </row>
    <row r="1255" spans="58:58" x14ac:dyDescent="0.25">
      <c r="BF1255" t="e">
        <f>solver_rhs140=NonLinLarge!$J$9:$J$72</f>
        <v>#NAME?</v>
      </c>
    </row>
    <row r="1256" spans="58:58" x14ac:dyDescent="0.25">
      <c r="BF1256" t="e">
        <f>solver_rhs141=NonLinLarge!$J$73</f>
        <v>#NAME?</v>
      </c>
    </row>
    <row r="1257" spans="58:58" x14ac:dyDescent="0.25">
      <c r="BF1257" t="e">
        <f>solver_rhs142=NonLinLarge!$J$74</f>
        <v>#NAME?</v>
      </c>
    </row>
    <row r="1258" spans="58:58" x14ac:dyDescent="0.25">
      <c r="BF1258" t="e">
        <f>solver_rhs143=NonLinLarge!$J$75:$J$138</f>
        <v>#NAME?</v>
      </c>
    </row>
    <row r="1259" spans="58:58" x14ac:dyDescent="0.25">
      <c r="BF1259" t="e">
        <f>solver_rhs144=NonLinLarge!$J$139</f>
        <v>#NAME?</v>
      </c>
    </row>
    <row r="1260" spans="58:58" x14ac:dyDescent="0.25">
      <c r="BF1260" t="e">
        <f>solver_rhs145=NonLinLarge!$J$7:$J$8</f>
        <v>#NAME?</v>
      </c>
    </row>
    <row r="1261" spans="58:58" x14ac:dyDescent="0.25">
      <c r="BF1261" t="e">
        <f>solver_rhs146=NonLinLarge!$J$9:$J$72</f>
        <v>#NAME?</v>
      </c>
    </row>
    <row r="1262" spans="58:58" x14ac:dyDescent="0.25">
      <c r="BF1262" t="e">
        <f>solver_rhs147=NonLinLarge!$J$73</f>
        <v>#NAME?</v>
      </c>
    </row>
    <row r="1263" spans="58:58" x14ac:dyDescent="0.25">
      <c r="BF1263" t="e">
        <f>solver_rhs148=NonLinLarge!$J$74</f>
        <v>#NAME?</v>
      </c>
    </row>
    <row r="1264" spans="58:58" x14ac:dyDescent="0.25">
      <c r="BF1264" t="e">
        <f>solver_rhs149=NonLinLarge!$J$75:$J$138</f>
        <v>#NAME?</v>
      </c>
    </row>
    <row r="1265" spans="58:58" x14ac:dyDescent="0.25">
      <c r="BF1265" t="e">
        <f>solver_rhs15=NonLinLarge!$J$73</f>
        <v>#NAME?</v>
      </c>
    </row>
    <row r="1266" spans="58:58" x14ac:dyDescent="0.25">
      <c r="BF1266" t="e">
        <f>solver_rhs150=NonLinLarge!$J$139</f>
        <v>#NAME?</v>
      </c>
    </row>
    <row r="1267" spans="58:58" x14ac:dyDescent="0.25">
      <c r="BF1267" t="e">
        <f>solver_rhs151=NonLinLarge!$J$7:$J$8</f>
        <v>#NAME?</v>
      </c>
    </row>
    <row r="1268" spans="58:58" x14ac:dyDescent="0.25">
      <c r="BF1268" t="e">
        <f>solver_rhs152=NonLinLarge!$J$9:$J$72</f>
        <v>#NAME?</v>
      </c>
    </row>
    <row r="1269" spans="58:58" x14ac:dyDescent="0.25">
      <c r="BF1269" t="e">
        <f>solver_rhs153=NonLinLarge!$J$73</f>
        <v>#NAME?</v>
      </c>
    </row>
    <row r="1270" spans="58:58" x14ac:dyDescent="0.25">
      <c r="BF1270" t="e">
        <f>solver_rhs154=NonLinLarge!$J$74</f>
        <v>#NAME?</v>
      </c>
    </row>
    <row r="1271" spans="58:58" x14ac:dyDescent="0.25">
      <c r="BF1271" t="e">
        <f>solver_rhs155=NonLinLarge!$J$75:$J$138</f>
        <v>#NAME?</v>
      </c>
    </row>
    <row r="1272" spans="58:58" x14ac:dyDescent="0.25">
      <c r="BF1272" t="e">
        <f>solver_rhs156=NonLinLarge!$J$139</f>
        <v>#NAME?</v>
      </c>
    </row>
    <row r="1273" spans="58:58" x14ac:dyDescent="0.25">
      <c r="BF1273" t="e">
        <f>solver_rhs157=NonLinLarge!$J$7:$J$8</f>
        <v>#NAME?</v>
      </c>
    </row>
    <row r="1274" spans="58:58" x14ac:dyDescent="0.25">
      <c r="BF1274" t="e">
        <f>solver_rhs158=NonLinLarge!$J$9:$J$72</f>
        <v>#NAME?</v>
      </c>
    </row>
    <row r="1275" spans="58:58" x14ac:dyDescent="0.25">
      <c r="BF1275" t="e">
        <f>solver_rhs159=NonLinLarge!$J$73</f>
        <v>#NAME?</v>
      </c>
    </row>
    <row r="1276" spans="58:58" x14ac:dyDescent="0.25">
      <c r="BF1276" t="e">
        <f>solver_rhs16=NonLinLarge!$J$74</f>
        <v>#NAME?</v>
      </c>
    </row>
    <row r="1277" spans="58:58" x14ac:dyDescent="0.25">
      <c r="BF1277" t="e">
        <f>solver_rhs160=NonLinLarge!$J$74</f>
        <v>#NAME?</v>
      </c>
    </row>
    <row r="1278" spans="58:58" x14ac:dyDescent="0.25">
      <c r="BF1278" t="e">
        <f>solver_rhs161=NonLinLarge!$J$75:$J$138</f>
        <v>#NAME?</v>
      </c>
    </row>
    <row r="1279" spans="58:58" x14ac:dyDescent="0.25">
      <c r="BF1279" t="e">
        <f>solver_rhs162=NonLinLarge!$J$139</f>
        <v>#NAME?</v>
      </c>
    </row>
    <row r="1280" spans="58:58" x14ac:dyDescent="0.25">
      <c r="BF1280" t="e">
        <f>solver_rhs163=NonLinLarge!$J$7:$J$8</f>
        <v>#NAME?</v>
      </c>
    </row>
    <row r="1281" spans="58:58" x14ac:dyDescent="0.25">
      <c r="BF1281" t="e">
        <f>solver_rhs164=NonLinLarge!$J$9:$J$72</f>
        <v>#NAME?</v>
      </c>
    </row>
    <row r="1282" spans="58:58" x14ac:dyDescent="0.25">
      <c r="BF1282" t="e">
        <f>solver_rhs165=NonLinLarge!$J$73</f>
        <v>#NAME?</v>
      </c>
    </row>
    <row r="1283" spans="58:58" x14ac:dyDescent="0.25">
      <c r="BF1283" t="e">
        <f>solver_rhs166=NonLinLarge!$J$74</f>
        <v>#NAME?</v>
      </c>
    </row>
    <row r="1284" spans="58:58" x14ac:dyDescent="0.25">
      <c r="BF1284" t="e">
        <f>solver_rhs167=NonLinLarge!$J$75:$J$138</f>
        <v>#NAME?</v>
      </c>
    </row>
    <row r="1285" spans="58:58" x14ac:dyDescent="0.25">
      <c r="BF1285" t="e">
        <f>solver_rhs168=NonLinLarge!$J$139</f>
        <v>#NAME?</v>
      </c>
    </row>
    <row r="1286" spans="58:58" x14ac:dyDescent="0.25">
      <c r="BF1286" t="e">
        <f>solver_rhs169=NonLinLarge!$J$7:$J$8</f>
        <v>#NAME?</v>
      </c>
    </row>
    <row r="1287" spans="58:58" x14ac:dyDescent="0.25">
      <c r="BF1287" t="e">
        <f>solver_rhs17=NonLinLarge!$J$75:$J$138</f>
        <v>#NAME?</v>
      </c>
    </row>
    <row r="1288" spans="58:58" x14ac:dyDescent="0.25">
      <c r="BF1288" t="e">
        <f>solver_rhs170=NonLinLarge!$J$9:$J$72</f>
        <v>#NAME?</v>
      </c>
    </row>
    <row r="1289" spans="58:58" x14ac:dyDescent="0.25">
      <c r="BF1289" t="e">
        <f>solver_rhs171=NonLinLarge!$J$73</f>
        <v>#NAME?</v>
      </c>
    </row>
    <row r="1290" spans="58:58" x14ac:dyDescent="0.25">
      <c r="BF1290" t="e">
        <f>solver_rhs172=NonLinLarge!$J$74</f>
        <v>#NAME?</v>
      </c>
    </row>
    <row r="1291" spans="58:58" x14ac:dyDescent="0.25">
      <c r="BF1291" t="e">
        <f>solver_rhs173=NonLinLarge!$J$75:$J$138</f>
        <v>#NAME?</v>
      </c>
    </row>
    <row r="1292" spans="58:58" x14ac:dyDescent="0.25">
      <c r="BF1292" t="e">
        <f>solver_rhs174=NonLinLarge!$J$139</f>
        <v>#NAME?</v>
      </c>
    </row>
    <row r="1293" spans="58:58" x14ac:dyDescent="0.25">
      <c r="BF1293" t="e">
        <f>solver_rhs175=NonLinLarge!$J$7:$J$8</f>
        <v>#NAME?</v>
      </c>
    </row>
    <row r="1294" spans="58:58" x14ac:dyDescent="0.25">
      <c r="BF1294" t="e">
        <f>solver_rhs176=NonLinLarge!$J$9:$J$72</f>
        <v>#NAME?</v>
      </c>
    </row>
    <row r="1295" spans="58:58" x14ac:dyDescent="0.25">
      <c r="BF1295" t="e">
        <f>solver_rhs177=NonLinLarge!$J$73</f>
        <v>#NAME?</v>
      </c>
    </row>
    <row r="1296" spans="58:58" x14ac:dyDescent="0.25">
      <c r="BF1296" t="e">
        <f>solver_rhs178=NonLinLarge!$J$74</f>
        <v>#NAME?</v>
      </c>
    </row>
    <row r="1297" spans="58:58" x14ac:dyDescent="0.25">
      <c r="BF1297" t="e">
        <f>solver_rhs179=NonLinLarge!$J$75:$J$138</f>
        <v>#NAME?</v>
      </c>
    </row>
    <row r="1298" spans="58:58" x14ac:dyDescent="0.25">
      <c r="BF1298" t="e">
        <f>solver_rhs18=NonLinLarge!$J$139</f>
        <v>#NAME?</v>
      </c>
    </row>
    <row r="1299" spans="58:58" x14ac:dyDescent="0.25">
      <c r="BF1299" t="e">
        <f>solver_rhs180=NonLinLarge!$J$139</f>
        <v>#NAME?</v>
      </c>
    </row>
    <row r="1300" spans="58:58" x14ac:dyDescent="0.25">
      <c r="BF1300" t="e">
        <f>solver_rhs181=NonLinLarge!$J$7:$J$8</f>
        <v>#NAME?</v>
      </c>
    </row>
    <row r="1301" spans="58:58" x14ac:dyDescent="0.25">
      <c r="BF1301" t="e">
        <f>solver_rhs182=NonLinLarge!$J$9:$J$72</f>
        <v>#NAME?</v>
      </c>
    </row>
    <row r="1302" spans="58:58" x14ac:dyDescent="0.25">
      <c r="BF1302" t="e">
        <f>solver_rhs183=NonLinLarge!$J$73</f>
        <v>#NAME?</v>
      </c>
    </row>
    <row r="1303" spans="58:58" x14ac:dyDescent="0.25">
      <c r="BF1303" t="e">
        <f>solver_rhs184=NonLinLarge!$J$74</f>
        <v>#NAME?</v>
      </c>
    </row>
    <row r="1304" spans="58:58" x14ac:dyDescent="0.25">
      <c r="BF1304" t="e">
        <f>solver_rhs185=NonLinLarge!$J$75:$J$138</f>
        <v>#NAME?</v>
      </c>
    </row>
    <row r="1305" spans="58:58" x14ac:dyDescent="0.25">
      <c r="BF1305" t="e">
        <f>solver_rhs186=NonLinLarge!$J$139</f>
        <v>#NAME?</v>
      </c>
    </row>
    <row r="1306" spans="58:58" x14ac:dyDescent="0.25">
      <c r="BF1306" t="e">
        <f>solver_rhs187=NonLinLarge!$J$7:$J$8</f>
        <v>#NAME?</v>
      </c>
    </row>
    <row r="1307" spans="58:58" x14ac:dyDescent="0.25">
      <c r="BF1307" t="e">
        <f>solver_rhs188=NonLinLarge!$J$9:$J$72</f>
        <v>#NAME?</v>
      </c>
    </row>
    <row r="1308" spans="58:58" x14ac:dyDescent="0.25">
      <c r="BF1308" t="e">
        <f>solver_rhs189=NonLinLarge!$J$73</f>
        <v>#NAME?</v>
      </c>
    </row>
    <row r="1309" spans="58:58" x14ac:dyDescent="0.25">
      <c r="BF1309" t="e">
        <f>solver_rhs19=NonLinLarge!$J$7:$J$8</f>
        <v>#NAME?</v>
      </c>
    </row>
    <row r="1310" spans="58:58" x14ac:dyDescent="0.25">
      <c r="BF1310" t="e">
        <f>solver_rhs190=NonLinLarge!$J$74</f>
        <v>#NAME?</v>
      </c>
    </row>
    <row r="1311" spans="58:58" x14ac:dyDescent="0.25">
      <c r="BF1311" t="e">
        <f>solver_rhs191=NonLinLarge!$J$75:$J$138</f>
        <v>#NAME?</v>
      </c>
    </row>
    <row r="1312" spans="58:58" x14ac:dyDescent="0.25">
      <c r="BF1312" t="e">
        <f>solver_rhs192=NonLinLarge!$J$139</f>
        <v>#NAME?</v>
      </c>
    </row>
    <row r="1313" spans="58:58" x14ac:dyDescent="0.25">
      <c r="BF1313" t="e">
        <f>solver_rhs193=NonLinLarge!$J$7:$J$8</f>
        <v>#NAME?</v>
      </c>
    </row>
    <row r="1314" spans="58:58" x14ac:dyDescent="0.25">
      <c r="BF1314" t="e">
        <f>solver_rhs194=NonLinLarge!$J$9:$J$72</f>
        <v>#NAME?</v>
      </c>
    </row>
    <row r="1315" spans="58:58" x14ac:dyDescent="0.25">
      <c r="BF1315" t="e">
        <f>solver_rhs195=NonLinLarge!$J$73</f>
        <v>#NAME?</v>
      </c>
    </row>
    <row r="1316" spans="58:58" x14ac:dyDescent="0.25">
      <c r="BF1316" t="e">
        <f>solver_rhs196=NonLinLarge!$J$74</f>
        <v>#NAME?</v>
      </c>
    </row>
    <row r="1317" spans="58:58" x14ac:dyDescent="0.25">
      <c r="BF1317" t="e">
        <f>solver_rhs197=NonLinLarge!$J$75:$J$138</f>
        <v>#NAME?</v>
      </c>
    </row>
    <row r="1318" spans="58:58" x14ac:dyDescent="0.25">
      <c r="BF1318" t="e">
        <f>solver_rhs198=NonLinLarge!$J$139</f>
        <v>#NAME?</v>
      </c>
    </row>
    <row r="1319" spans="58:58" x14ac:dyDescent="0.25">
      <c r="BF1319" t="e">
        <f>solver_rhs199=NonLinLarge!$J$7:$J$8</f>
        <v>#NAME?</v>
      </c>
    </row>
    <row r="1320" spans="58:58" x14ac:dyDescent="0.25">
      <c r="BF1320" t="e">
        <f>solver_rhs2=NonLinLarge!$J$9:$J$72</f>
        <v>#NAME?</v>
      </c>
    </row>
    <row r="1321" spans="58:58" x14ac:dyDescent="0.25">
      <c r="BF1321" t="e">
        <f>solver_rhs20=NonLinLarge!$J$9:$J$72</f>
        <v>#NAME?</v>
      </c>
    </row>
    <row r="1322" spans="58:58" x14ac:dyDescent="0.25">
      <c r="BF1322" t="e">
        <f>solver_rhs200=NonLinLarge!$J$9:$J$72</f>
        <v>#NAME?</v>
      </c>
    </row>
    <row r="1323" spans="58:58" x14ac:dyDescent="0.25">
      <c r="BF1323" t="e">
        <f>solver_rhs201=NonLinLarge!$J$73</f>
        <v>#NAME?</v>
      </c>
    </row>
    <row r="1324" spans="58:58" x14ac:dyDescent="0.25">
      <c r="BF1324" t="e">
        <f>solver_rhs202=NonLinLarge!$J$74</f>
        <v>#NAME?</v>
      </c>
    </row>
    <row r="1325" spans="58:58" x14ac:dyDescent="0.25">
      <c r="BF1325" t="e">
        <f>solver_rhs203=NonLinLarge!$J$75:$J$138</f>
        <v>#NAME?</v>
      </c>
    </row>
    <row r="1326" spans="58:58" x14ac:dyDescent="0.25">
      <c r="BF1326" t="e">
        <f>solver_rhs204=NonLinLarge!$J$139</f>
        <v>#NAME?</v>
      </c>
    </row>
    <row r="1327" spans="58:58" x14ac:dyDescent="0.25">
      <c r="BF1327" t="e">
        <f>solver_rhs205=NonLinLarge!$J$7:$J$8</f>
        <v>#NAME?</v>
      </c>
    </row>
    <row r="1328" spans="58:58" x14ac:dyDescent="0.25">
      <c r="BF1328" t="e">
        <f>solver_rhs206=NonLinLarge!$J$9:$J$72</f>
        <v>#NAME?</v>
      </c>
    </row>
    <row r="1329" spans="58:58" x14ac:dyDescent="0.25">
      <c r="BF1329" t="e">
        <f>solver_rhs207=NonLinLarge!$J$73</f>
        <v>#NAME?</v>
      </c>
    </row>
    <row r="1330" spans="58:58" x14ac:dyDescent="0.25">
      <c r="BF1330" t="e">
        <f>solver_rhs208=NonLinLarge!$J$74</f>
        <v>#NAME?</v>
      </c>
    </row>
    <row r="1331" spans="58:58" x14ac:dyDescent="0.25">
      <c r="BF1331" t="e">
        <f>solver_rhs209=NonLinLarge!$J$75:$J$138</f>
        <v>#NAME?</v>
      </c>
    </row>
    <row r="1332" spans="58:58" x14ac:dyDescent="0.25">
      <c r="BF1332" t="e">
        <f>solver_rhs21=NonLinLarge!$J$73</f>
        <v>#NAME?</v>
      </c>
    </row>
    <row r="1333" spans="58:58" x14ac:dyDescent="0.25">
      <c r="BF1333" t="e">
        <f>solver_rhs210=NonLinLarge!$J$139</f>
        <v>#NAME?</v>
      </c>
    </row>
    <row r="1334" spans="58:58" x14ac:dyDescent="0.25">
      <c r="BF1334" t="e">
        <f>solver_rhs211=NonLinLarge!$J$7:$J$8</f>
        <v>#NAME?</v>
      </c>
    </row>
    <row r="1335" spans="58:58" x14ac:dyDescent="0.25">
      <c r="BF1335" t="e">
        <f>solver_rhs212=NonLinLarge!$J$9:$J$72</f>
        <v>#NAME?</v>
      </c>
    </row>
    <row r="1336" spans="58:58" x14ac:dyDescent="0.25">
      <c r="BF1336" t="e">
        <f>solver_rhs213=NonLinLarge!$J$73</f>
        <v>#NAME?</v>
      </c>
    </row>
    <row r="1337" spans="58:58" x14ac:dyDescent="0.25">
      <c r="BF1337" t="e">
        <f>solver_rhs214=NonLinLarge!$J$74</f>
        <v>#NAME?</v>
      </c>
    </row>
    <row r="1338" spans="58:58" x14ac:dyDescent="0.25">
      <c r="BF1338" t="e">
        <f>solver_rhs215=NonLinLarge!$J$75:$J$138</f>
        <v>#NAME?</v>
      </c>
    </row>
    <row r="1339" spans="58:58" x14ac:dyDescent="0.25">
      <c r="BF1339" t="e">
        <f>solver_rhs216=NonLinLarge!$J$139</f>
        <v>#NAME?</v>
      </c>
    </row>
    <row r="1340" spans="58:58" x14ac:dyDescent="0.25">
      <c r="BF1340" t="e">
        <f>solver_rhs217=NonLinLarge!$J$7:$J$8</f>
        <v>#NAME?</v>
      </c>
    </row>
    <row r="1341" spans="58:58" x14ac:dyDescent="0.25">
      <c r="BF1341" t="e">
        <f>solver_rhs218=NonLinLarge!$J$9:$J$72</f>
        <v>#NAME?</v>
      </c>
    </row>
    <row r="1342" spans="58:58" x14ac:dyDescent="0.25">
      <c r="BF1342" t="e">
        <f>solver_rhs219=NonLinLarge!$J$73</f>
        <v>#NAME?</v>
      </c>
    </row>
    <row r="1343" spans="58:58" x14ac:dyDescent="0.25">
      <c r="BF1343" t="e">
        <f>solver_rhs22=NonLinLarge!$J$74</f>
        <v>#NAME?</v>
      </c>
    </row>
    <row r="1344" spans="58:58" x14ac:dyDescent="0.25">
      <c r="BF1344" t="e">
        <f>solver_rhs220=NonLinLarge!$J$74</f>
        <v>#NAME?</v>
      </c>
    </row>
    <row r="1345" spans="58:58" x14ac:dyDescent="0.25">
      <c r="BF1345" t="e">
        <f>solver_rhs221=NonLinLarge!$J$75:$J$138</f>
        <v>#NAME?</v>
      </c>
    </row>
    <row r="1346" spans="58:58" x14ac:dyDescent="0.25">
      <c r="BF1346" t="e">
        <f>solver_rhs222=NonLinLarge!$J$139</f>
        <v>#NAME?</v>
      </c>
    </row>
    <row r="1347" spans="58:58" x14ac:dyDescent="0.25">
      <c r="BF1347" t="e">
        <f>solver_rhs223=NonLinLarge!$J$7:$J$8</f>
        <v>#NAME?</v>
      </c>
    </row>
    <row r="1348" spans="58:58" x14ac:dyDescent="0.25">
      <c r="BF1348" t="e">
        <f>solver_rhs224=NonLinLarge!$J$9:$J$72</f>
        <v>#NAME?</v>
      </c>
    </row>
    <row r="1349" spans="58:58" x14ac:dyDescent="0.25">
      <c r="BF1349" t="e">
        <f>solver_rhs225=NonLinLarge!$J$73</f>
        <v>#NAME?</v>
      </c>
    </row>
    <row r="1350" spans="58:58" x14ac:dyDescent="0.25">
      <c r="BF1350" t="e">
        <f>solver_rhs226=NonLinLarge!$J$74</f>
        <v>#NAME?</v>
      </c>
    </row>
    <row r="1351" spans="58:58" x14ac:dyDescent="0.25">
      <c r="BF1351" t="e">
        <f>solver_rhs227=NonLinLarge!$J$75:$J$138</f>
        <v>#NAME?</v>
      </c>
    </row>
    <row r="1352" spans="58:58" x14ac:dyDescent="0.25">
      <c r="BF1352" t="e">
        <f>solver_rhs228=NonLinLarge!$J$139</f>
        <v>#NAME?</v>
      </c>
    </row>
    <row r="1353" spans="58:58" x14ac:dyDescent="0.25">
      <c r="BF1353" t="e">
        <f>solver_rhs229=NonLinLarge!$J$7:$J$8</f>
        <v>#NAME?</v>
      </c>
    </row>
    <row r="1354" spans="58:58" x14ac:dyDescent="0.25">
      <c r="BF1354" t="e">
        <f>solver_rhs23=NonLinLarge!$J$75:$J$138</f>
        <v>#NAME?</v>
      </c>
    </row>
    <row r="1355" spans="58:58" x14ac:dyDescent="0.25">
      <c r="BF1355" t="e">
        <f>solver_rhs230=NonLinLarge!$J$9:$J$72</f>
        <v>#NAME?</v>
      </c>
    </row>
    <row r="1356" spans="58:58" x14ac:dyDescent="0.25">
      <c r="BF1356" t="e">
        <f>solver_rhs231=NonLinLarge!$J$73</f>
        <v>#NAME?</v>
      </c>
    </row>
    <row r="1357" spans="58:58" x14ac:dyDescent="0.25">
      <c r="BF1357" t="e">
        <f>solver_rhs232=NonLinLarge!$J$74</f>
        <v>#NAME?</v>
      </c>
    </row>
    <row r="1358" spans="58:58" x14ac:dyDescent="0.25">
      <c r="BF1358" t="e">
        <f>solver_rhs233=NonLinLarge!$J$75:$J$138</f>
        <v>#NAME?</v>
      </c>
    </row>
    <row r="1359" spans="58:58" x14ac:dyDescent="0.25">
      <c r="BF1359" t="e">
        <f>solver_rhs234=NonLinLarge!$J$139</f>
        <v>#NAME?</v>
      </c>
    </row>
    <row r="1360" spans="58:58" x14ac:dyDescent="0.25">
      <c r="BF1360" t="e">
        <f>solver_rhs235=NonLinLarge!$J$7:$J$8</f>
        <v>#NAME?</v>
      </c>
    </row>
    <row r="1361" spans="58:58" x14ac:dyDescent="0.25">
      <c r="BF1361" t="e">
        <f>solver_rhs236=NonLinLarge!$J$9:$J$72</f>
        <v>#NAME?</v>
      </c>
    </row>
    <row r="1362" spans="58:58" x14ac:dyDescent="0.25">
      <c r="BF1362" t="e">
        <f>solver_rhs237=NonLinLarge!$J$73</f>
        <v>#NAME?</v>
      </c>
    </row>
    <row r="1363" spans="58:58" x14ac:dyDescent="0.25">
      <c r="BF1363" t="e">
        <f>solver_rhs238=NonLinLarge!$J$74</f>
        <v>#NAME?</v>
      </c>
    </row>
    <row r="1364" spans="58:58" x14ac:dyDescent="0.25">
      <c r="BF1364" t="e">
        <f>solver_rhs239=NonLinLarge!$J$75:$J$138</f>
        <v>#NAME?</v>
      </c>
    </row>
    <row r="1365" spans="58:58" x14ac:dyDescent="0.25">
      <c r="BF1365" t="e">
        <f>solver_rhs24=NonLinLarge!$J$139</f>
        <v>#NAME?</v>
      </c>
    </row>
    <row r="1366" spans="58:58" x14ac:dyDescent="0.25">
      <c r="BF1366" t="e">
        <f>solver_rhs240=NonLinLarge!$J$139</f>
        <v>#NAME?</v>
      </c>
    </row>
    <row r="1367" spans="58:58" x14ac:dyDescent="0.25">
      <c r="BF1367" t="e">
        <f>solver_rhs241=NonLinLarge!$J$7:$J$8</f>
        <v>#NAME?</v>
      </c>
    </row>
    <row r="1368" spans="58:58" x14ac:dyDescent="0.25">
      <c r="BF1368" t="e">
        <f>solver_rhs242=NonLinLarge!$J$9:$J$72</f>
        <v>#NAME?</v>
      </c>
    </row>
    <row r="1369" spans="58:58" x14ac:dyDescent="0.25">
      <c r="BF1369" t="e">
        <f>solver_rhs243=NonLinLarge!$J$73</f>
        <v>#NAME?</v>
      </c>
    </row>
    <row r="1370" spans="58:58" x14ac:dyDescent="0.25">
      <c r="BF1370" t="e">
        <f>solver_rhs244=NonLinLarge!$J$74</f>
        <v>#NAME?</v>
      </c>
    </row>
    <row r="1371" spans="58:58" x14ac:dyDescent="0.25">
      <c r="BF1371" t="e">
        <f>solver_rhs245=NonLinLarge!$J$75:$J$138</f>
        <v>#NAME?</v>
      </c>
    </row>
    <row r="1372" spans="58:58" x14ac:dyDescent="0.25">
      <c r="BF1372" t="e">
        <f>solver_rhs246=NonLinLarge!$J$139</f>
        <v>#NAME?</v>
      </c>
    </row>
    <row r="1373" spans="58:58" x14ac:dyDescent="0.25">
      <c r="BF1373" t="e">
        <f>solver_rhs247=NonLinLarge!$J$7:$J$8</f>
        <v>#NAME?</v>
      </c>
    </row>
    <row r="1374" spans="58:58" x14ac:dyDescent="0.25">
      <c r="BF1374" t="e">
        <f>solver_rhs248=NonLinLarge!$J$9:$J$72</f>
        <v>#NAME?</v>
      </c>
    </row>
    <row r="1375" spans="58:58" x14ac:dyDescent="0.25">
      <c r="BF1375" t="e">
        <f>solver_rhs249=NonLinLarge!$J$73</f>
        <v>#NAME?</v>
      </c>
    </row>
    <row r="1376" spans="58:58" x14ac:dyDescent="0.25">
      <c r="BF1376" t="e">
        <f>solver_rhs25=NonLinLarge!$J$7:$J$8</f>
        <v>#NAME?</v>
      </c>
    </row>
    <row r="1377" spans="58:58" x14ac:dyDescent="0.25">
      <c r="BF1377" t="e">
        <f>solver_rhs250=NonLinLarge!$J$74</f>
        <v>#NAME?</v>
      </c>
    </row>
    <row r="1378" spans="58:58" x14ac:dyDescent="0.25">
      <c r="BF1378" t="e">
        <f>solver_rhs251=NonLinLarge!$J$75:$J$138</f>
        <v>#NAME?</v>
      </c>
    </row>
    <row r="1379" spans="58:58" x14ac:dyDescent="0.25">
      <c r="BF1379" t="e">
        <f>solver_rhs252=NonLinLarge!$J$139</f>
        <v>#NAME?</v>
      </c>
    </row>
    <row r="1380" spans="58:58" x14ac:dyDescent="0.25">
      <c r="BF1380" t="e">
        <f>solver_rhs253=NonLinLarge!$J$7:$J$8</f>
        <v>#NAME?</v>
      </c>
    </row>
    <row r="1381" spans="58:58" x14ac:dyDescent="0.25">
      <c r="BF1381" t="e">
        <f>solver_rhs254=NonLinLarge!$J$9:$J$72</f>
        <v>#NAME?</v>
      </c>
    </row>
    <row r="1382" spans="58:58" x14ac:dyDescent="0.25">
      <c r="BF1382" t="e">
        <f>solver_rhs255=NonLinLarge!$J$73</f>
        <v>#NAME?</v>
      </c>
    </row>
    <row r="1383" spans="58:58" x14ac:dyDescent="0.25">
      <c r="BF1383" t="e">
        <f>solver_rhs256=NonLinLarge!$J$74</f>
        <v>#NAME?</v>
      </c>
    </row>
    <row r="1384" spans="58:58" x14ac:dyDescent="0.25">
      <c r="BF1384" t="e">
        <f>solver_rhs257=NonLinLarge!$J$75:$J$138</f>
        <v>#NAME?</v>
      </c>
    </row>
    <row r="1385" spans="58:58" x14ac:dyDescent="0.25">
      <c r="BF1385" t="e">
        <f>solver_rhs258=NonLinLarge!$J$139</f>
        <v>#NAME?</v>
      </c>
    </row>
    <row r="1386" spans="58:58" x14ac:dyDescent="0.25">
      <c r="BF1386" t="e">
        <f>solver_rhs259=NonLinLarge!$J$7:$J$8</f>
        <v>#NAME?</v>
      </c>
    </row>
    <row r="1387" spans="58:58" x14ac:dyDescent="0.25">
      <c r="BF1387" t="e">
        <f>solver_rhs26=NonLinLarge!$J$9:$J$72</f>
        <v>#NAME?</v>
      </c>
    </row>
    <row r="1388" spans="58:58" x14ac:dyDescent="0.25">
      <c r="BF1388" t="e">
        <f>solver_rhs260=NonLinLarge!$J$9:$J$72</f>
        <v>#NAME?</v>
      </c>
    </row>
    <row r="1389" spans="58:58" x14ac:dyDescent="0.25">
      <c r="BF1389" t="e">
        <f>solver_rhs261=NonLinLarge!$J$73</f>
        <v>#NAME?</v>
      </c>
    </row>
    <row r="1390" spans="58:58" x14ac:dyDescent="0.25">
      <c r="BF1390" t="e">
        <f>solver_rhs262=NonLinLarge!$J$74</f>
        <v>#NAME?</v>
      </c>
    </row>
    <row r="1391" spans="58:58" x14ac:dyDescent="0.25">
      <c r="BF1391" t="e">
        <f>solver_rhs263=NonLinLarge!$J$75:$J$138</f>
        <v>#NAME?</v>
      </c>
    </row>
    <row r="1392" spans="58:58" x14ac:dyDescent="0.25">
      <c r="BF1392" t="e">
        <f>solver_rhs264=NonLinLarge!$J$139</f>
        <v>#NAME?</v>
      </c>
    </row>
    <row r="1393" spans="58:58" x14ac:dyDescent="0.25">
      <c r="BF1393" t="e">
        <f>solver_rhs265=NonLinLarge!$J$7:$J$8</f>
        <v>#NAME?</v>
      </c>
    </row>
    <row r="1394" spans="58:58" x14ac:dyDescent="0.25">
      <c r="BF1394" t="e">
        <f>solver_rhs266=NonLinLarge!$J$9:$J$72</f>
        <v>#NAME?</v>
      </c>
    </row>
    <row r="1395" spans="58:58" x14ac:dyDescent="0.25">
      <c r="BF1395" t="e">
        <f>solver_rhs267=NonLinLarge!$J$73</f>
        <v>#NAME?</v>
      </c>
    </row>
    <row r="1396" spans="58:58" x14ac:dyDescent="0.25">
      <c r="BF1396" t="e">
        <f>solver_rhs268=NonLinLarge!$J$74</f>
        <v>#NAME?</v>
      </c>
    </row>
    <row r="1397" spans="58:58" x14ac:dyDescent="0.25">
      <c r="BF1397" t="e">
        <f>solver_rhs269=NonLinLarge!$J$75:$J$138</f>
        <v>#NAME?</v>
      </c>
    </row>
    <row r="1398" spans="58:58" x14ac:dyDescent="0.25">
      <c r="BF1398" t="e">
        <f>solver_rhs27=NonLinLarge!$J$73</f>
        <v>#NAME?</v>
      </c>
    </row>
    <row r="1399" spans="58:58" x14ac:dyDescent="0.25">
      <c r="BF1399" t="e">
        <f>solver_rhs270=NonLinLarge!$J$139</f>
        <v>#NAME?</v>
      </c>
    </row>
    <row r="1400" spans="58:58" x14ac:dyDescent="0.25">
      <c r="BF1400" t="e">
        <f>solver_rhs271=NonLinLarge!$J$7:$J$8</f>
        <v>#NAME?</v>
      </c>
    </row>
    <row r="1401" spans="58:58" x14ac:dyDescent="0.25">
      <c r="BF1401" t="e">
        <f>solver_rhs272=NonLinLarge!$J$9:$J$72</f>
        <v>#NAME?</v>
      </c>
    </row>
    <row r="1402" spans="58:58" x14ac:dyDescent="0.25">
      <c r="BF1402" t="e">
        <f>solver_rhs273=NonLinLarge!$J$73</f>
        <v>#NAME?</v>
      </c>
    </row>
    <row r="1403" spans="58:58" x14ac:dyDescent="0.25">
      <c r="BF1403" t="e">
        <f>solver_rhs274=NonLinLarge!$J$74</f>
        <v>#NAME?</v>
      </c>
    </row>
    <row r="1404" spans="58:58" x14ac:dyDescent="0.25">
      <c r="BF1404" t="e">
        <f>solver_rhs275=NonLinLarge!$J$75:$J$138</f>
        <v>#NAME?</v>
      </c>
    </row>
    <row r="1405" spans="58:58" x14ac:dyDescent="0.25">
      <c r="BF1405" t="e">
        <f>solver_rhs276=NonLinLarge!$J$139</f>
        <v>#NAME?</v>
      </c>
    </row>
    <row r="1406" spans="58:58" x14ac:dyDescent="0.25">
      <c r="BF1406" t="e">
        <f>solver_rhs277=NonLinLarge!$J$7:$J$8</f>
        <v>#NAME?</v>
      </c>
    </row>
    <row r="1407" spans="58:58" x14ac:dyDescent="0.25">
      <c r="BF1407" t="e">
        <f>solver_rhs278=NonLinLarge!$J$9:$J$72</f>
        <v>#NAME?</v>
      </c>
    </row>
    <row r="1408" spans="58:58" x14ac:dyDescent="0.25">
      <c r="BF1408" t="e">
        <f>solver_rhs279=NonLinLarge!$J$73</f>
        <v>#NAME?</v>
      </c>
    </row>
    <row r="1409" spans="58:58" x14ac:dyDescent="0.25">
      <c r="BF1409" t="e">
        <f>solver_rhs28=NonLinLarge!$J$74</f>
        <v>#NAME?</v>
      </c>
    </row>
    <row r="1410" spans="58:58" x14ac:dyDescent="0.25">
      <c r="BF1410" t="e">
        <f>solver_rhs280=NonLinLarge!$J$74</f>
        <v>#NAME?</v>
      </c>
    </row>
    <row r="1411" spans="58:58" x14ac:dyDescent="0.25">
      <c r="BF1411" t="e">
        <f>solver_rhs281=NonLinLarge!$J$75:$J$138</f>
        <v>#NAME?</v>
      </c>
    </row>
    <row r="1412" spans="58:58" x14ac:dyDescent="0.25">
      <c r="BF1412" t="e">
        <f>solver_rhs282=NonLinLarge!$J$139</f>
        <v>#NAME?</v>
      </c>
    </row>
    <row r="1413" spans="58:58" x14ac:dyDescent="0.25">
      <c r="BF1413" t="e">
        <f>solver_rhs283=NonLinLarge!$J$7:$J$8</f>
        <v>#NAME?</v>
      </c>
    </row>
    <row r="1414" spans="58:58" x14ac:dyDescent="0.25">
      <c r="BF1414" t="e">
        <f>solver_rhs284=NonLinLarge!$J$9:$J$72</f>
        <v>#NAME?</v>
      </c>
    </row>
    <row r="1415" spans="58:58" x14ac:dyDescent="0.25">
      <c r="BF1415" t="e">
        <f>solver_rhs285=NonLinLarge!$J$73</f>
        <v>#NAME?</v>
      </c>
    </row>
    <row r="1416" spans="58:58" x14ac:dyDescent="0.25">
      <c r="BF1416" t="e">
        <f>solver_rhs286=NonLinLarge!$J$74</f>
        <v>#NAME?</v>
      </c>
    </row>
    <row r="1417" spans="58:58" x14ac:dyDescent="0.25">
      <c r="BF1417" t="e">
        <f>solver_rhs287=NonLinLarge!$J$75:$J$138</f>
        <v>#NAME?</v>
      </c>
    </row>
    <row r="1418" spans="58:58" x14ac:dyDescent="0.25">
      <c r="BF1418" t="e">
        <f>solver_rhs288=NonLinLarge!$J$139</f>
        <v>#NAME?</v>
      </c>
    </row>
    <row r="1419" spans="58:58" x14ac:dyDescent="0.25">
      <c r="BF1419" t="e">
        <f>solver_rhs289=NonLinLarge!$J$7:$J$8</f>
        <v>#NAME?</v>
      </c>
    </row>
    <row r="1420" spans="58:58" x14ac:dyDescent="0.25">
      <c r="BF1420" t="e">
        <f>solver_rhs29=NonLinLarge!$J$75:$J$138</f>
        <v>#NAME?</v>
      </c>
    </row>
    <row r="1421" spans="58:58" x14ac:dyDescent="0.25">
      <c r="BF1421" t="e">
        <f>solver_rhs290=NonLinLarge!$J$9:$J$72</f>
        <v>#NAME?</v>
      </c>
    </row>
    <row r="1422" spans="58:58" x14ac:dyDescent="0.25">
      <c r="BF1422" t="e">
        <f>solver_rhs291=NonLinLarge!$J$73</f>
        <v>#NAME?</v>
      </c>
    </row>
    <row r="1423" spans="58:58" x14ac:dyDescent="0.25">
      <c r="BF1423" t="e">
        <f>solver_rhs292=NonLinLarge!$J$74</f>
        <v>#NAME?</v>
      </c>
    </row>
    <row r="1424" spans="58:58" x14ac:dyDescent="0.25">
      <c r="BF1424" t="e">
        <f>solver_rhs293=NonLinLarge!$J$75:$J$138</f>
        <v>#NAME?</v>
      </c>
    </row>
    <row r="1425" spans="58:58" x14ac:dyDescent="0.25">
      <c r="BF1425" t="e">
        <f>solver_rhs294=NonLinLarge!$J$139</f>
        <v>#NAME?</v>
      </c>
    </row>
    <row r="1426" spans="58:58" x14ac:dyDescent="0.25">
      <c r="BF1426" t="e">
        <f>solver_rhs295=NonLinLarge!$J$7:$J$8</f>
        <v>#NAME?</v>
      </c>
    </row>
    <row r="1427" spans="58:58" x14ac:dyDescent="0.25">
      <c r="BF1427" t="e">
        <f>solver_rhs296=NonLinLarge!$J$9:$J$72</f>
        <v>#NAME?</v>
      </c>
    </row>
    <row r="1428" spans="58:58" x14ac:dyDescent="0.25">
      <c r="BF1428" t="e">
        <f>solver_rhs297=NonLinLarge!$J$73</f>
        <v>#NAME?</v>
      </c>
    </row>
    <row r="1429" spans="58:58" x14ac:dyDescent="0.25">
      <c r="BF1429" t="e">
        <f>solver_rhs298=NonLinLarge!$J$74</f>
        <v>#NAME?</v>
      </c>
    </row>
    <row r="1430" spans="58:58" x14ac:dyDescent="0.25">
      <c r="BF1430" t="e">
        <f>solver_rhs299=NonLinLarge!$J$75:$J$138</f>
        <v>#NAME?</v>
      </c>
    </row>
    <row r="1431" spans="58:58" x14ac:dyDescent="0.25">
      <c r="BF1431" t="e">
        <f>solver_rhs3=NonLinLarge!$J$73</f>
        <v>#NAME?</v>
      </c>
    </row>
    <row r="1432" spans="58:58" x14ac:dyDescent="0.25">
      <c r="BF1432" t="e">
        <f>solver_rhs30=NonLinLarge!$J$139</f>
        <v>#NAME?</v>
      </c>
    </row>
    <row r="1433" spans="58:58" x14ac:dyDescent="0.25">
      <c r="BF1433" t="e">
        <f>solver_rhs300=NonLinLarge!$J$139</f>
        <v>#NAME?</v>
      </c>
    </row>
    <row r="1434" spans="58:58" x14ac:dyDescent="0.25">
      <c r="BF1434" t="e">
        <f>solver_rhs301=NonLinLarge!$J$7:$J$8</f>
        <v>#NAME?</v>
      </c>
    </row>
    <row r="1435" spans="58:58" x14ac:dyDescent="0.25">
      <c r="BF1435" t="e">
        <f>solver_rhs302=NonLinLarge!$J$9:$J$72</f>
        <v>#NAME?</v>
      </c>
    </row>
    <row r="1436" spans="58:58" x14ac:dyDescent="0.25">
      <c r="BF1436" t="e">
        <f>solver_rhs303=NonLinLarge!$J$73</f>
        <v>#NAME?</v>
      </c>
    </row>
    <row r="1437" spans="58:58" x14ac:dyDescent="0.25">
      <c r="BF1437" t="e">
        <f>solver_rhs304=NonLinLarge!$J$74</f>
        <v>#NAME?</v>
      </c>
    </row>
    <row r="1438" spans="58:58" x14ac:dyDescent="0.25">
      <c r="BF1438" t="e">
        <f>solver_rhs305=NonLinLarge!$J$75:$J$138</f>
        <v>#NAME?</v>
      </c>
    </row>
    <row r="1439" spans="58:58" x14ac:dyDescent="0.25">
      <c r="BF1439" t="e">
        <f>solver_rhs306=NonLinLarge!$J$139</f>
        <v>#NAME?</v>
      </c>
    </row>
    <row r="1440" spans="58:58" x14ac:dyDescent="0.25">
      <c r="BF1440" t="e">
        <f>solver_rhs307=NonLinLarge!$J$7:$J$8</f>
        <v>#NAME?</v>
      </c>
    </row>
    <row r="1441" spans="58:58" x14ac:dyDescent="0.25">
      <c r="BF1441" t="e">
        <f>solver_rhs308=NonLinLarge!$J$9:$J$72</f>
        <v>#NAME?</v>
      </c>
    </row>
    <row r="1442" spans="58:58" x14ac:dyDescent="0.25">
      <c r="BF1442" t="e">
        <f>solver_rhs309=NonLinLarge!$J$73</f>
        <v>#NAME?</v>
      </c>
    </row>
    <row r="1443" spans="58:58" x14ac:dyDescent="0.25">
      <c r="BF1443" t="e">
        <f>solver_rhs31=NonLinLarge!$J$7:$J$8</f>
        <v>#NAME?</v>
      </c>
    </row>
    <row r="1444" spans="58:58" x14ac:dyDescent="0.25">
      <c r="BF1444" t="e">
        <f>solver_rhs310=NonLinLarge!$J$74</f>
        <v>#NAME?</v>
      </c>
    </row>
    <row r="1445" spans="58:58" x14ac:dyDescent="0.25">
      <c r="BF1445" t="e">
        <f>solver_rhs311=NonLinLarge!$J$75:$J$138</f>
        <v>#NAME?</v>
      </c>
    </row>
    <row r="1446" spans="58:58" x14ac:dyDescent="0.25">
      <c r="BF1446" t="e">
        <f>solver_rhs312=NonLinLarge!$J$139</f>
        <v>#NAME?</v>
      </c>
    </row>
    <row r="1447" spans="58:58" x14ac:dyDescent="0.25">
      <c r="BF1447" t="e">
        <f>solver_rhs313=NonLinLarge!$J$7:$J$8</f>
        <v>#NAME?</v>
      </c>
    </row>
    <row r="1448" spans="58:58" x14ac:dyDescent="0.25">
      <c r="BF1448" t="e">
        <f>solver_rhs314=NonLinLarge!$J$9:$J$72</f>
        <v>#NAME?</v>
      </c>
    </row>
    <row r="1449" spans="58:58" x14ac:dyDescent="0.25">
      <c r="BF1449" t="e">
        <f>solver_rhs315=NonLinLarge!$J$73</f>
        <v>#NAME?</v>
      </c>
    </row>
    <row r="1450" spans="58:58" x14ac:dyDescent="0.25">
      <c r="BF1450" t="e">
        <f>solver_rhs316=NonLinLarge!$J$74</f>
        <v>#NAME?</v>
      </c>
    </row>
    <row r="1451" spans="58:58" x14ac:dyDescent="0.25">
      <c r="BF1451" t="e">
        <f>solver_rhs317=NonLinLarge!$J$75:$J$138</f>
        <v>#NAME?</v>
      </c>
    </row>
    <row r="1452" spans="58:58" x14ac:dyDescent="0.25">
      <c r="BF1452" t="e">
        <f>solver_rhs318=NonLinLarge!$J$139</f>
        <v>#NAME?</v>
      </c>
    </row>
    <row r="1453" spans="58:58" x14ac:dyDescent="0.25">
      <c r="BF1453" t="e">
        <f>solver_rhs319=NonLinLarge!$J$7:$J$8</f>
        <v>#NAME?</v>
      </c>
    </row>
    <row r="1454" spans="58:58" x14ac:dyDescent="0.25">
      <c r="BF1454" t="e">
        <f>solver_rhs32=NonLinLarge!$J$9:$J$72</f>
        <v>#NAME?</v>
      </c>
    </row>
    <row r="1455" spans="58:58" x14ac:dyDescent="0.25">
      <c r="BF1455" t="e">
        <f>solver_rhs320=NonLinLarge!$J$9:$J$72</f>
        <v>#NAME?</v>
      </c>
    </row>
    <row r="1456" spans="58:58" x14ac:dyDescent="0.25">
      <c r="BF1456" t="e">
        <f>solver_rhs321=NonLinLarge!$J$73</f>
        <v>#NAME?</v>
      </c>
    </row>
    <row r="1457" spans="58:58" x14ac:dyDescent="0.25">
      <c r="BF1457" t="e">
        <f>solver_rhs322=NonLinLarge!$J$74</f>
        <v>#NAME?</v>
      </c>
    </row>
    <row r="1458" spans="58:58" x14ac:dyDescent="0.25">
      <c r="BF1458" t="e">
        <f>solver_rhs323=NonLinLarge!$J$75:$J$138</f>
        <v>#NAME?</v>
      </c>
    </row>
    <row r="1459" spans="58:58" x14ac:dyDescent="0.25">
      <c r="BF1459" t="e">
        <f>solver_rhs324=NonLinLarge!$J$139</f>
        <v>#NAME?</v>
      </c>
    </row>
    <row r="1460" spans="58:58" x14ac:dyDescent="0.25">
      <c r="BF1460" t="e">
        <f>solver_rhs325=NonLinLarge!$J$7:$J$8</f>
        <v>#NAME?</v>
      </c>
    </row>
    <row r="1461" spans="58:58" x14ac:dyDescent="0.25">
      <c r="BF1461" t="e">
        <f>solver_rhs326=NonLinLarge!$J$9:$J$72</f>
        <v>#NAME?</v>
      </c>
    </row>
    <row r="1462" spans="58:58" x14ac:dyDescent="0.25">
      <c r="BF1462" t="e">
        <f>solver_rhs327=NonLinLarge!$J$73</f>
        <v>#NAME?</v>
      </c>
    </row>
    <row r="1463" spans="58:58" x14ac:dyDescent="0.25">
      <c r="BF1463" t="e">
        <f>solver_rhs328=NonLinLarge!$J$74</f>
        <v>#NAME?</v>
      </c>
    </row>
    <row r="1464" spans="58:58" x14ac:dyDescent="0.25">
      <c r="BF1464" t="e">
        <f>solver_rhs329=NonLinLarge!$J$75:$J$138</f>
        <v>#NAME?</v>
      </c>
    </row>
    <row r="1465" spans="58:58" x14ac:dyDescent="0.25">
      <c r="BF1465" t="e">
        <f>solver_rhs33=NonLinLarge!$J$73</f>
        <v>#NAME?</v>
      </c>
    </row>
    <row r="1466" spans="58:58" x14ac:dyDescent="0.25">
      <c r="BF1466" t="e">
        <f>solver_rhs330=NonLinLarge!$J$139</f>
        <v>#NAME?</v>
      </c>
    </row>
    <row r="1467" spans="58:58" x14ac:dyDescent="0.25">
      <c r="BF1467" t="e">
        <f>solver_rhs331=NonLinLarge!$J$7:$J$8</f>
        <v>#NAME?</v>
      </c>
    </row>
    <row r="1468" spans="58:58" x14ac:dyDescent="0.25">
      <c r="BF1468" t="e">
        <f>solver_rhs332=NonLinLarge!$J$9:$J$72</f>
        <v>#NAME?</v>
      </c>
    </row>
    <row r="1469" spans="58:58" x14ac:dyDescent="0.25">
      <c r="BF1469" t="e">
        <f>solver_rhs333=NonLinLarge!$J$73</f>
        <v>#NAME?</v>
      </c>
    </row>
    <row r="1470" spans="58:58" x14ac:dyDescent="0.25">
      <c r="BF1470" t="e">
        <f>solver_rhs334=NonLinLarge!$J$74</f>
        <v>#NAME?</v>
      </c>
    </row>
    <row r="1471" spans="58:58" x14ac:dyDescent="0.25">
      <c r="BF1471" t="e">
        <f>solver_rhs335=NonLinLarge!$J$75:$J$138</f>
        <v>#NAME?</v>
      </c>
    </row>
    <row r="1472" spans="58:58" x14ac:dyDescent="0.25">
      <c r="BF1472" t="e">
        <f>solver_rhs336=NonLinLarge!$J$139</f>
        <v>#NAME?</v>
      </c>
    </row>
    <row r="1473" spans="58:58" x14ac:dyDescent="0.25">
      <c r="BF1473" t="e">
        <f>solver_rhs337=NonLinLarge!$J$7:$J$8</f>
        <v>#NAME?</v>
      </c>
    </row>
    <row r="1474" spans="58:58" x14ac:dyDescent="0.25">
      <c r="BF1474" t="e">
        <f>solver_rhs338=NonLinLarge!$J$9:$J$72</f>
        <v>#NAME?</v>
      </c>
    </row>
    <row r="1475" spans="58:58" x14ac:dyDescent="0.25">
      <c r="BF1475" t="e">
        <f>solver_rhs339=NonLinLarge!$J$73</f>
        <v>#NAME?</v>
      </c>
    </row>
    <row r="1476" spans="58:58" x14ac:dyDescent="0.25">
      <c r="BF1476" t="e">
        <f>solver_rhs34=NonLinLarge!$J$74</f>
        <v>#NAME?</v>
      </c>
    </row>
    <row r="1477" spans="58:58" x14ac:dyDescent="0.25">
      <c r="BF1477" t="e">
        <f>solver_rhs340=NonLinLarge!$J$74</f>
        <v>#NAME?</v>
      </c>
    </row>
    <row r="1478" spans="58:58" x14ac:dyDescent="0.25">
      <c r="BF1478" t="e">
        <f>solver_rhs341=NonLinLarge!$J$75:$J$138</f>
        <v>#NAME?</v>
      </c>
    </row>
    <row r="1479" spans="58:58" x14ac:dyDescent="0.25">
      <c r="BF1479" t="e">
        <f>solver_rhs342=NonLinLarge!$J$139</f>
        <v>#NAME?</v>
      </c>
    </row>
    <row r="1480" spans="58:58" x14ac:dyDescent="0.25">
      <c r="BF1480" t="e">
        <f>solver_rhs343=NonLinLarge!$J$7:$J$8</f>
        <v>#NAME?</v>
      </c>
    </row>
    <row r="1481" spans="58:58" x14ac:dyDescent="0.25">
      <c r="BF1481" t="e">
        <f>solver_rhs344=NonLinLarge!$J$9:$J$72</f>
        <v>#NAME?</v>
      </c>
    </row>
    <row r="1482" spans="58:58" x14ac:dyDescent="0.25">
      <c r="BF1482" t="e">
        <f>solver_rhs345=NonLinLarge!$J$73</f>
        <v>#NAME?</v>
      </c>
    </row>
    <row r="1483" spans="58:58" x14ac:dyDescent="0.25">
      <c r="BF1483" t="e">
        <f>solver_rhs346=NonLinLarge!$J$74</f>
        <v>#NAME?</v>
      </c>
    </row>
    <row r="1484" spans="58:58" x14ac:dyDescent="0.25">
      <c r="BF1484" t="e">
        <f>solver_rhs347=NonLinLarge!$J$75:$J$138</f>
        <v>#NAME?</v>
      </c>
    </row>
    <row r="1485" spans="58:58" x14ac:dyDescent="0.25">
      <c r="BF1485" t="e">
        <f>solver_rhs348=NonLinLarge!$J$139</f>
        <v>#NAME?</v>
      </c>
    </row>
    <row r="1486" spans="58:58" x14ac:dyDescent="0.25">
      <c r="BF1486" t="e">
        <f>solver_rhs349=NonLinLarge!$J$7:$J$8</f>
        <v>#NAME?</v>
      </c>
    </row>
    <row r="1487" spans="58:58" x14ac:dyDescent="0.25">
      <c r="BF1487" t="e">
        <f>solver_rhs35=NonLinLarge!$J$75:$J$138</f>
        <v>#NAME?</v>
      </c>
    </row>
    <row r="1488" spans="58:58" x14ac:dyDescent="0.25">
      <c r="BF1488" t="e">
        <f>solver_rhs350=NonLinLarge!$J$9:$J$72</f>
        <v>#NAME?</v>
      </c>
    </row>
    <row r="1489" spans="58:58" x14ac:dyDescent="0.25">
      <c r="BF1489" t="e">
        <f>solver_rhs351=NonLinLarge!$J$73</f>
        <v>#NAME?</v>
      </c>
    </row>
    <row r="1490" spans="58:58" x14ac:dyDescent="0.25">
      <c r="BF1490" t="e">
        <f>solver_rhs352=NonLinLarge!$J$74</f>
        <v>#NAME?</v>
      </c>
    </row>
    <row r="1491" spans="58:58" x14ac:dyDescent="0.25">
      <c r="BF1491" t="e">
        <f>solver_rhs353=NonLinLarge!$J$75:$J$138</f>
        <v>#NAME?</v>
      </c>
    </row>
    <row r="1492" spans="58:58" x14ac:dyDescent="0.25">
      <c r="BF1492" t="e">
        <f>solver_rhs354=NonLinLarge!$J$139</f>
        <v>#NAME?</v>
      </c>
    </row>
    <row r="1493" spans="58:58" x14ac:dyDescent="0.25">
      <c r="BF1493" t="e">
        <f>solver_rhs355=NonLinLarge!$J$7:$J$8</f>
        <v>#NAME?</v>
      </c>
    </row>
    <row r="1494" spans="58:58" x14ac:dyDescent="0.25">
      <c r="BF1494" t="e">
        <f>solver_rhs356=NonLinLarge!$J$9:$J$72</f>
        <v>#NAME?</v>
      </c>
    </row>
    <row r="1495" spans="58:58" x14ac:dyDescent="0.25">
      <c r="BF1495" t="e">
        <f>solver_rhs357=NonLinLarge!$J$73</f>
        <v>#NAME?</v>
      </c>
    </row>
    <row r="1496" spans="58:58" x14ac:dyDescent="0.25">
      <c r="BF1496" t="e">
        <f>solver_rhs358=NonLinLarge!$J$74</f>
        <v>#NAME?</v>
      </c>
    </row>
    <row r="1497" spans="58:58" x14ac:dyDescent="0.25">
      <c r="BF1497" t="e">
        <f>solver_rhs359=NonLinLarge!$J$75:$J$138</f>
        <v>#NAME?</v>
      </c>
    </row>
    <row r="1498" spans="58:58" x14ac:dyDescent="0.25">
      <c r="BF1498" t="e">
        <f>solver_rhs36=NonLinLarge!$J$139</f>
        <v>#NAME?</v>
      </c>
    </row>
    <row r="1499" spans="58:58" x14ac:dyDescent="0.25">
      <c r="BF1499" t="e">
        <f>solver_rhs360=NonLinLarge!$J$139</f>
        <v>#NAME?</v>
      </c>
    </row>
    <row r="1500" spans="58:58" x14ac:dyDescent="0.25">
      <c r="BF1500" t="e">
        <f>solver_rhs361=NonLinLarge!$J$7:$J$8</f>
        <v>#NAME?</v>
      </c>
    </row>
    <row r="1501" spans="58:58" x14ac:dyDescent="0.25">
      <c r="BF1501" t="e">
        <f>solver_rhs362=NonLinLarge!$J$9:$J$72</f>
        <v>#NAME?</v>
      </c>
    </row>
    <row r="1502" spans="58:58" x14ac:dyDescent="0.25">
      <c r="BF1502" t="e">
        <f>solver_rhs363=NonLinLarge!$J$73</f>
        <v>#NAME?</v>
      </c>
    </row>
    <row r="1503" spans="58:58" x14ac:dyDescent="0.25">
      <c r="BF1503" t="e">
        <f>solver_rhs364=NonLinLarge!$J$74</f>
        <v>#NAME?</v>
      </c>
    </row>
    <row r="1504" spans="58:58" x14ac:dyDescent="0.25">
      <c r="BF1504" t="e">
        <f>solver_rhs365=NonLinLarge!$J$75:$J$138</f>
        <v>#NAME?</v>
      </c>
    </row>
    <row r="1505" spans="58:58" x14ac:dyDescent="0.25">
      <c r="BF1505" t="e">
        <f>solver_rhs366=NonLinLarge!$J$139</f>
        <v>#NAME?</v>
      </c>
    </row>
    <row r="1506" spans="58:58" x14ac:dyDescent="0.25">
      <c r="BF1506" t="e">
        <f>solver_rhs367=NonLinLarge!$J$7:$J$8</f>
        <v>#NAME?</v>
      </c>
    </row>
    <row r="1507" spans="58:58" x14ac:dyDescent="0.25">
      <c r="BF1507" t="e">
        <f>solver_rhs368=NonLinLarge!$J$9:$J$72</f>
        <v>#NAME?</v>
      </c>
    </row>
    <row r="1508" spans="58:58" x14ac:dyDescent="0.25">
      <c r="BF1508" t="e">
        <f>solver_rhs369=NonLinLarge!$J$73</f>
        <v>#NAME?</v>
      </c>
    </row>
    <row r="1509" spans="58:58" x14ac:dyDescent="0.25">
      <c r="BF1509" t="e">
        <f>solver_rhs37=NonLinLarge!$J$7:$J$8</f>
        <v>#NAME?</v>
      </c>
    </row>
    <row r="1510" spans="58:58" x14ac:dyDescent="0.25">
      <c r="BF1510" t="e">
        <f>solver_rhs370=NonLinLarge!$J$74</f>
        <v>#NAME?</v>
      </c>
    </row>
    <row r="1511" spans="58:58" x14ac:dyDescent="0.25">
      <c r="BF1511" t="e">
        <f>solver_rhs371=NonLinLarge!$J$75:$J$138</f>
        <v>#NAME?</v>
      </c>
    </row>
    <row r="1512" spans="58:58" x14ac:dyDescent="0.25">
      <c r="BF1512" t="e">
        <f>solver_rhs372=NonLinLarge!$J$139</f>
        <v>#NAME?</v>
      </c>
    </row>
    <row r="1513" spans="58:58" x14ac:dyDescent="0.25">
      <c r="BF1513" t="e">
        <f>solver_rhs373=NonLinLarge!$J$7:$J$8</f>
        <v>#NAME?</v>
      </c>
    </row>
    <row r="1514" spans="58:58" x14ac:dyDescent="0.25">
      <c r="BF1514" t="e">
        <f>solver_rhs374=NonLinLarge!$J$9:$J$72</f>
        <v>#NAME?</v>
      </c>
    </row>
    <row r="1515" spans="58:58" x14ac:dyDescent="0.25">
      <c r="BF1515" t="e">
        <f>solver_rhs375=NonLinLarge!$J$73</f>
        <v>#NAME?</v>
      </c>
    </row>
    <row r="1516" spans="58:58" x14ac:dyDescent="0.25">
      <c r="BF1516" t="e">
        <f>solver_rhs376=NonLinLarge!$J$74</f>
        <v>#NAME?</v>
      </c>
    </row>
    <row r="1517" spans="58:58" x14ac:dyDescent="0.25">
      <c r="BF1517" t="e">
        <f>solver_rhs377=NonLinLarge!$J$75:$J$138</f>
        <v>#NAME?</v>
      </c>
    </row>
    <row r="1518" spans="58:58" x14ac:dyDescent="0.25">
      <c r="BF1518" t="e">
        <f>solver_rhs378=NonLinLarge!$J$139</f>
        <v>#NAME?</v>
      </c>
    </row>
    <row r="1519" spans="58:58" x14ac:dyDescent="0.25">
      <c r="BF1519" t="e">
        <f>solver_rhs379=NonLinLarge!$J$7:$J$8</f>
        <v>#NAME?</v>
      </c>
    </row>
    <row r="1520" spans="58:58" x14ac:dyDescent="0.25">
      <c r="BF1520" t="e">
        <f>solver_rhs38=NonLinLarge!$J$9:$J$72</f>
        <v>#NAME?</v>
      </c>
    </row>
    <row r="1521" spans="58:58" x14ac:dyDescent="0.25">
      <c r="BF1521" t="e">
        <f>solver_rhs380=NonLinLarge!$J$9:$J$72</f>
        <v>#NAME?</v>
      </c>
    </row>
    <row r="1522" spans="58:58" x14ac:dyDescent="0.25">
      <c r="BF1522" t="e">
        <f>solver_rhs381=NonLinLarge!$J$73</f>
        <v>#NAME?</v>
      </c>
    </row>
    <row r="1523" spans="58:58" x14ac:dyDescent="0.25">
      <c r="BF1523" t="e">
        <f>solver_rhs382=NonLinLarge!$J$74</f>
        <v>#NAME?</v>
      </c>
    </row>
    <row r="1524" spans="58:58" x14ac:dyDescent="0.25">
      <c r="BF1524" t="e">
        <f>solver_rhs383=NonLinLarge!$J$75:$J$138</f>
        <v>#NAME?</v>
      </c>
    </row>
    <row r="1525" spans="58:58" x14ac:dyDescent="0.25">
      <c r="BF1525" t="e">
        <f>solver_rhs384=NonLinLarge!$J$139</f>
        <v>#NAME?</v>
      </c>
    </row>
    <row r="1526" spans="58:58" x14ac:dyDescent="0.25">
      <c r="BF1526" t="e">
        <f>solver_rhs385=NonLinLarge!$J$7:$J$8</f>
        <v>#NAME?</v>
      </c>
    </row>
    <row r="1527" spans="58:58" x14ac:dyDescent="0.25">
      <c r="BF1527" t="e">
        <f>solver_rhs386=NonLinLarge!$J$9:$J$72</f>
        <v>#NAME?</v>
      </c>
    </row>
    <row r="1528" spans="58:58" x14ac:dyDescent="0.25">
      <c r="BF1528" t="e">
        <f>solver_rhs387=NonLinLarge!$J$73</f>
        <v>#NAME?</v>
      </c>
    </row>
    <row r="1529" spans="58:58" x14ac:dyDescent="0.25">
      <c r="BF1529" t="e">
        <f>solver_rhs388=NonLinLarge!$J$74</f>
        <v>#NAME?</v>
      </c>
    </row>
    <row r="1530" spans="58:58" x14ac:dyDescent="0.25">
      <c r="BF1530" t="e">
        <f>solver_rhs389=NonLinLarge!$J$75:$J$138</f>
        <v>#NAME?</v>
      </c>
    </row>
    <row r="1531" spans="58:58" x14ac:dyDescent="0.25">
      <c r="BF1531" t="e">
        <f>solver_rhs39=NonLinLarge!$J$73</f>
        <v>#NAME?</v>
      </c>
    </row>
    <row r="1532" spans="58:58" x14ac:dyDescent="0.25">
      <c r="BF1532" t="e">
        <f>solver_rhs390=NonLinLarge!$J$139</f>
        <v>#NAME?</v>
      </c>
    </row>
    <row r="1533" spans="58:58" x14ac:dyDescent="0.25">
      <c r="BF1533" t="e">
        <f>solver_rhs391=NonLinLarge!$J$7:$J$8</f>
        <v>#NAME?</v>
      </c>
    </row>
    <row r="1534" spans="58:58" x14ac:dyDescent="0.25">
      <c r="BF1534" t="e">
        <f>solver_rhs392=NonLinLarge!$J$9:$J$72</f>
        <v>#NAME?</v>
      </c>
    </row>
    <row r="1535" spans="58:58" x14ac:dyDescent="0.25">
      <c r="BF1535" t="e">
        <f>solver_rhs393=NonLinLarge!$J$73</f>
        <v>#NAME?</v>
      </c>
    </row>
    <row r="1536" spans="58:58" x14ac:dyDescent="0.25">
      <c r="BF1536" t="e">
        <f>solver_rhs394=NonLinLarge!$J$74</f>
        <v>#NAME?</v>
      </c>
    </row>
    <row r="1537" spans="58:58" x14ac:dyDescent="0.25">
      <c r="BF1537" t="e">
        <f>solver_rhs395=NonLinLarge!$J$75:$J$138</f>
        <v>#NAME?</v>
      </c>
    </row>
    <row r="1538" spans="58:58" x14ac:dyDescent="0.25">
      <c r="BF1538" t="e">
        <f>solver_rhs396=NonLinLarge!$J$139</f>
        <v>#NAME?</v>
      </c>
    </row>
    <row r="1539" spans="58:58" x14ac:dyDescent="0.25">
      <c r="BF1539" t="e">
        <f>solver_rhs397=NonLinLarge!$J$7:$J$8</f>
        <v>#NAME?</v>
      </c>
    </row>
    <row r="1540" spans="58:58" x14ac:dyDescent="0.25">
      <c r="BF1540" t="e">
        <f>solver_rhs398=NonLinLarge!$J$9:$J$72</f>
        <v>#NAME?</v>
      </c>
    </row>
    <row r="1541" spans="58:58" x14ac:dyDescent="0.25">
      <c r="BF1541" t="e">
        <f>solver_rhs399=NonLinLarge!$J$73</f>
        <v>#NAME?</v>
      </c>
    </row>
    <row r="1542" spans="58:58" x14ac:dyDescent="0.25">
      <c r="BF1542" t="e">
        <f>solver_rhs4=NonLinLarge!$J$74</f>
        <v>#NAME?</v>
      </c>
    </row>
    <row r="1543" spans="58:58" x14ac:dyDescent="0.25">
      <c r="BF1543" t="e">
        <f>solver_rhs40=NonLinLarge!$J$74</f>
        <v>#NAME?</v>
      </c>
    </row>
    <row r="1544" spans="58:58" x14ac:dyDescent="0.25">
      <c r="BF1544" t="e">
        <f>solver_rhs400=NonLinLarge!$J$74</f>
        <v>#NAME?</v>
      </c>
    </row>
    <row r="1545" spans="58:58" x14ac:dyDescent="0.25">
      <c r="BF1545" t="e">
        <f>solver_rhs401=NonLinLarge!$J$75:$J$138</f>
        <v>#NAME?</v>
      </c>
    </row>
    <row r="1546" spans="58:58" x14ac:dyDescent="0.25">
      <c r="BF1546" t="e">
        <f>solver_rhs402=NonLinLarge!$J$139</f>
        <v>#NAME?</v>
      </c>
    </row>
    <row r="1547" spans="58:58" x14ac:dyDescent="0.25">
      <c r="BF1547" t="e">
        <f>solver_rhs403=NonLinLarge!$J$7:$J$8</f>
        <v>#NAME?</v>
      </c>
    </row>
    <row r="1548" spans="58:58" x14ac:dyDescent="0.25">
      <c r="BF1548" t="e">
        <f>solver_rhs404=NonLinLarge!$J$9:$J$72</f>
        <v>#NAME?</v>
      </c>
    </row>
    <row r="1549" spans="58:58" x14ac:dyDescent="0.25">
      <c r="BF1549" t="e">
        <f>solver_rhs405=NonLinLarge!$J$73</f>
        <v>#NAME?</v>
      </c>
    </row>
    <row r="1550" spans="58:58" x14ac:dyDescent="0.25">
      <c r="BF1550" t="e">
        <f>solver_rhs406=NonLinLarge!$J$74</f>
        <v>#NAME?</v>
      </c>
    </row>
    <row r="1551" spans="58:58" x14ac:dyDescent="0.25">
      <c r="BF1551" t="e">
        <f>solver_rhs407=NonLinLarge!$J$75:$J$138</f>
        <v>#NAME?</v>
      </c>
    </row>
    <row r="1552" spans="58:58" x14ac:dyDescent="0.25">
      <c r="BF1552" t="e">
        <f>solver_rhs408=NonLinLarge!$J$139</f>
        <v>#NAME?</v>
      </c>
    </row>
    <row r="1553" spans="58:58" x14ac:dyDescent="0.25">
      <c r="BF1553" t="e">
        <f>solver_rhs409=NonLinLarge!$J$7:$J$8</f>
        <v>#NAME?</v>
      </c>
    </row>
    <row r="1554" spans="58:58" x14ac:dyDescent="0.25">
      <c r="BF1554" t="e">
        <f>solver_rhs41=NonLinLarge!$J$75:$J$138</f>
        <v>#NAME?</v>
      </c>
    </row>
    <row r="1555" spans="58:58" x14ac:dyDescent="0.25">
      <c r="BF1555" t="e">
        <f>solver_rhs410=NonLinLarge!$J$9:$J$72</f>
        <v>#NAME?</v>
      </c>
    </row>
    <row r="1556" spans="58:58" x14ac:dyDescent="0.25">
      <c r="BF1556" t="e">
        <f>solver_rhs411=NonLinLarge!$J$73</f>
        <v>#NAME?</v>
      </c>
    </row>
    <row r="1557" spans="58:58" x14ac:dyDescent="0.25">
      <c r="BF1557" t="e">
        <f>solver_rhs412=NonLinLarge!$J$74</f>
        <v>#NAME?</v>
      </c>
    </row>
    <row r="1558" spans="58:58" x14ac:dyDescent="0.25">
      <c r="BF1558" t="e">
        <f>solver_rhs413=NonLinLarge!$J$75:$J$138</f>
        <v>#NAME?</v>
      </c>
    </row>
    <row r="1559" spans="58:58" x14ac:dyDescent="0.25">
      <c r="BF1559" t="e">
        <f>solver_rhs414=NonLinLarge!$J$139</f>
        <v>#NAME?</v>
      </c>
    </row>
    <row r="1560" spans="58:58" x14ac:dyDescent="0.25">
      <c r="BF1560" t="e">
        <f>solver_rhs415=NonLinLarge!$J$7:$J$8</f>
        <v>#NAME?</v>
      </c>
    </row>
    <row r="1561" spans="58:58" x14ac:dyDescent="0.25">
      <c r="BF1561" t="e">
        <f>solver_rhs416=NonLinLarge!$J$9:$J$72</f>
        <v>#NAME?</v>
      </c>
    </row>
    <row r="1562" spans="58:58" x14ac:dyDescent="0.25">
      <c r="BF1562" t="e">
        <f>solver_rhs417=NonLinLarge!$J$73</f>
        <v>#NAME?</v>
      </c>
    </row>
    <row r="1563" spans="58:58" x14ac:dyDescent="0.25">
      <c r="BF1563" t="e">
        <f>solver_rhs418=NonLinLarge!$J$74</f>
        <v>#NAME?</v>
      </c>
    </row>
    <row r="1564" spans="58:58" x14ac:dyDescent="0.25">
      <c r="BF1564" t="e">
        <f>solver_rhs419=NonLinLarge!$J$75:$J$138</f>
        <v>#NAME?</v>
      </c>
    </row>
    <row r="1565" spans="58:58" x14ac:dyDescent="0.25">
      <c r="BF1565" t="e">
        <f>solver_rhs42=NonLinLarge!$J$139</f>
        <v>#NAME?</v>
      </c>
    </row>
    <row r="1566" spans="58:58" x14ac:dyDescent="0.25">
      <c r="BF1566" t="e">
        <f>solver_rhs420=NonLinLarge!$J$139</f>
        <v>#NAME?</v>
      </c>
    </row>
    <row r="1567" spans="58:58" x14ac:dyDescent="0.25">
      <c r="BF1567" t="e">
        <f>solver_rhs421=NonLinLarge!$J$7:$J$8</f>
        <v>#NAME?</v>
      </c>
    </row>
    <row r="1568" spans="58:58" x14ac:dyDescent="0.25">
      <c r="BF1568" t="e">
        <f>solver_rhs422=NonLinLarge!$J$9:$J$72</f>
        <v>#NAME?</v>
      </c>
    </row>
    <row r="1569" spans="58:58" x14ac:dyDescent="0.25">
      <c r="BF1569" t="e">
        <f>solver_rhs423=NonLinLarge!$J$73</f>
        <v>#NAME?</v>
      </c>
    </row>
    <row r="1570" spans="58:58" x14ac:dyDescent="0.25">
      <c r="BF1570" t="e">
        <f>solver_rhs424=NonLinLarge!$J$74</f>
        <v>#NAME?</v>
      </c>
    </row>
    <row r="1571" spans="58:58" x14ac:dyDescent="0.25">
      <c r="BF1571" t="e">
        <f>solver_rhs425=NonLinLarge!$J$75:$J$138</f>
        <v>#NAME?</v>
      </c>
    </row>
    <row r="1572" spans="58:58" x14ac:dyDescent="0.25">
      <c r="BF1572" t="e">
        <f>solver_rhs426=NonLinLarge!$J$139</f>
        <v>#NAME?</v>
      </c>
    </row>
    <row r="1573" spans="58:58" x14ac:dyDescent="0.25">
      <c r="BF1573" t="e">
        <f>solver_rhs427=NonLinLarge!$J$7:$J$8</f>
        <v>#NAME?</v>
      </c>
    </row>
    <row r="1574" spans="58:58" x14ac:dyDescent="0.25">
      <c r="BF1574" t="e">
        <f>solver_rhs428=NonLinLarge!$J$9:$J$72</f>
        <v>#NAME?</v>
      </c>
    </row>
    <row r="1575" spans="58:58" x14ac:dyDescent="0.25">
      <c r="BF1575" t="e">
        <f>solver_rhs429=NonLinLarge!$J$73</f>
        <v>#NAME?</v>
      </c>
    </row>
    <row r="1576" spans="58:58" x14ac:dyDescent="0.25">
      <c r="BF1576" t="e">
        <f>solver_rhs43=NonLinLarge!$J$7:$J$8</f>
        <v>#NAME?</v>
      </c>
    </row>
    <row r="1577" spans="58:58" x14ac:dyDescent="0.25">
      <c r="BF1577" t="e">
        <f>solver_rhs430=NonLinLarge!$J$74</f>
        <v>#NAME?</v>
      </c>
    </row>
    <row r="1578" spans="58:58" x14ac:dyDescent="0.25">
      <c r="BF1578" t="e">
        <f>solver_rhs431=NonLinLarge!$J$75:$J$138</f>
        <v>#NAME?</v>
      </c>
    </row>
    <row r="1579" spans="58:58" x14ac:dyDescent="0.25">
      <c r="BF1579" t="e">
        <f>solver_rhs432=NonLinLarge!$J$139</f>
        <v>#NAME?</v>
      </c>
    </row>
    <row r="1580" spans="58:58" x14ac:dyDescent="0.25">
      <c r="BF1580" t="e">
        <f>solver_rhs433=NonLinLarge!$J$7:$J$8</f>
        <v>#NAME?</v>
      </c>
    </row>
    <row r="1581" spans="58:58" x14ac:dyDescent="0.25">
      <c r="BF1581" t="e">
        <f>solver_rhs434=NonLinLarge!$J$9:$J$72</f>
        <v>#NAME?</v>
      </c>
    </row>
    <row r="1582" spans="58:58" x14ac:dyDescent="0.25">
      <c r="BF1582" t="e">
        <f>solver_rhs435=NonLinLarge!$J$73</f>
        <v>#NAME?</v>
      </c>
    </row>
    <row r="1583" spans="58:58" x14ac:dyDescent="0.25">
      <c r="BF1583" t="e">
        <f>solver_rhs436=NonLinLarge!$J$74</f>
        <v>#NAME?</v>
      </c>
    </row>
    <row r="1584" spans="58:58" x14ac:dyDescent="0.25">
      <c r="BF1584" t="e">
        <f>solver_rhs437=NonLinLarge!$J$75:$J$138</f>
        <v>#NAME?</v>
      </c>
    </row>
    <row r="1585" spans="58:58" x14ac:dyDescent="0.25">
      <c r="BF1585" t="e">
        <f>solver_rhs438=NonLinLarge!$J$139</f>
        <v>#NAME?</v>
      </c>
    </row>
    <row r="1586" spans="58:58" x14ac:dyDescent="0.25">
      <c r="BF1586" t="e">
        <f>solver_rhs439=NonLinLarge!$J$7:$J$8</f>
        <v>#NAME?</v>
      </c>
    </row>
    <row r="1587" spans="58:58" x14ac:dyDescent="0.25">
      <c r="BF1587" t="e">
        <f>solver_rhs44=NonLinLarge!$J$9:$J$72</f>
        <v>#NAME?</v>
      </c>
    </row>
    <row r="1588" spans="58:58" x14ac:dyDescent="0.25">
      <c r="BF1588" t="e">
        <f>solver_rhs440=NonLinLarge!$J$9:$J$72</f>
        <v>#NAME?</v>
      </c>
    </row>
    <row r="1589" spans="58:58" x14ac:dyDescent="0.25">
      <c r="BF1589" t="e">
        <f>solver_rhs441=NonLinLarge!$J$73</f>
        <v>#NAME?</v>
      </c>
    </row>
    <row r="1590" spans="58:58" x14ac:dyDescent="0.25">
      <c r="BF1590" t="e">
        <f>solver_rhs442=NonLinLarge!$J$74</f>
        <v>#NAME?</v>
      </c>
    </row>
    <row r="1591" spans="58:58" x14ac:dyDescent="0.25">
      <c r="BF1591" t="e">
        <f>solver_rhs443=NonLinLarge!$J$75:$J$138</f>
        <v>#NAME?</v>
      </c>
    </row>
    <row r="1592" spans="58:58" x14ac:dyDescent="0.25">
      <c r="BF1592" t="e">
        <f>solver_rhs444=NonLinLarge!$J$139</f>
        <v>#NAME?</v>
      </c>
    </row>
    <row r="1593" spans="58:58" x14ac:dyDescent="0.25">
      <c r="BF1593" t="e">
        <f>solver_rhs445=NonLinLarge!$J$7:$J$8</f>
        <v>#NAME?</v>
      </c>
    </row>
    <row r="1594" spans="58:58" x14ac:dyDescent="0.25">
      <c r="BF1594" t="e">
        <f>solver_rhs446=NonLinLarge!$J$9:$J$72</f>
        <v>#NAME?</v>
      </c>
    </row>
    <row r="1595" spans="58:58" x14ac:dyDescent="0.25">
      <c r="BF1595" t="e">
        <f>solver_rhs447=NonLinLarge!$J$73</f>
        <v>#NAME?</v>
      </c>
    </row>
    <row r="1596" spans="58:58" x14ac:dyDescent="0.25">
      <c r="BF1596" t="e">
        <f>solver_rhs448=NonLinLarge!$J$74</f>
        <v>#NAME?</v>
      </c>
    </row>
    <row r="1597" spans="58:58" x14ac:dyDescent="0.25">
      <c r="BF1597" t="e">
        <f>solver_rhs449=NonLinLarge!$J$75:$J$138</f>
        <v>#NAME?</v>
      </c>
    </row>
    <row r="1598" spans="58:58" x14ac:dyDescent="0.25">
      <c r="BF1598" t="e">
        <f>solver_rhs45=NonLinLarge!$J$73</f>
        <v>#NAME?</v>
      </c>
    </row>
    <row r="1599" spans="58:58" x14ac:dyDescent="0.25">
      <c r="BF1599" t="e">
        <f>solver_rhs450=NonLinLarge!$J$139</f>
        <v>#NAME?</v>
      </c>
    </row>
    <row r="1600" spans="58:58" x14ac:dyDescent="0.25">
      <c r="BF1600" t="e">
        <f>solver_rhs451=NonLinLarge!$J$7:$J$8</f>
        <v>#NAME?</v>
      </c>
    </row>
    <row r="1601" spans="58:58" x14ac:dyDescent="0.25">
      <c r="BF1601" t="e">
        <f>solver_rhs452=NonLinLarge!$J$9:$J$72</f>
        <v>#NAME?</v>
      </c>
    </row>
    <row r="1602" spans="58:58" x14ac:dyDescent="0.25">
      <c r="BF1602" t="e">
        <f>solver_rhs453=NonLinLarge!$J$73</f>
        <v>#NAME?</v>
      </c>
    </row>
    <row r="1603" spans="58:58" x14ac:dyDescent="0.25">
      <c r="BF1603" t="e">
        <f>solver_rhs454=NonLinLarge!$J$74</f>
        <v>#NAME?</v>
      </c>
    </row>
    <row r="1604" spans="58:58" x14ac:dyDescent="0.25">
      <c r="BF1604" t="e">
        <f>solver_rhs455=NonLinLarge!$J$75:$J$138</f>
        <v>#NAME?</v>
      </c>
    </row>
    <row r="1605" spans="58:58" x14ac:dyDescent="0.25">
      <c r="BF1605" t="e">
        <f>solver_rhs456=NonLinLarge!$J$139</f>
        <v>#NAME?</v>
      </c>
    </row>
    <row r="1606" spans="58:58" x14ac:dyDescent="0.25">
      <c r="BF1606" t="e">
        <f>solver_rhs457=NonLinLarge!$J$7:$J$8</f>
        <v>#NAME?</v>
      </c>
    </row>
    <row r="1607" spans="58:58" x14ac:dyDescent="0.25">
      <c r="BF1607" t="e">
        <f>solver_rhs458=NonLinLarge!$J$9:$J$72</f>
        <v>#NAME?</v>
      </c>
    </row>
    <row r="1608" spans="58:58" x14ac:dyDescent="0.25">
      <c r="BF1608" t="e">
        <f>solver_rhs459=NonLinLarge!$J$73</f>
        <v>#NAME?</v>
      </c>
    </row>
    <row r="1609" spans="58:58" x14ac:dyDescent="0.25">
      <c r="BF1609" t="e">
        <f>solver_rhs46=NonLinLarge!$J$74</f>
        <v>#NAME?</v>
      </c>
    </row>
    <row r="1610" spans="58:58" x14ac:dyDescent="0.25">
      <c r="BF1610" t="e">
        <f>solver_rhs460=NonLinLarge!$J$74</f>
        <v>#NAME?</v>
      </c>
    </row>
    <row r="1611" spans="58:58" x14ac:dyDescent="0.25">
      <c r="BF1611" t="e">
        <f>solver_rhs461=NonLinLarge!$J$75:$J$138</f>
        <v>#NAME?</v>
      </c>
    </row>
    <row r="1612" spans="58:58" x14ac:dyDescent="0.25">
      <c r="BF1612" t="e">
        <f>solver_rhs462=NonLinLarge!$J$139</f>
        <v>#NAME?</v>
      </c>
    </row>
    <row r="1613" spans="58:58" x14ac:dyDescent="0.25">
      <c r="BF1613" t="e">
        <f>solver_rhs463=NonLinLarge!$J$7:$J$8</f>
        <v>#NAME?</v>
      </c>
    </row>
    <row r="1614" spans="58:58" x14ac:dyDescent="0.25">
      <c r="BF1614" t="e">
        <f>solver_rhs464=NonLinLarge!$J$9:$J$72</f>
        <v>#NAME?</v>
      </c>
    </row>
    <row r="1615" spans="58:58" x14ac:dyDescent="0.25">
      <c r="BF1615" t="e">
        <f>solver_rhs465=NonLinLarge!$J$73</f>
        <v>#NAME?</v>
      </c>
    </row>
    <row r="1616" spans="58:58" x14ac:dyDescent="0.25">
      <c r="BF1616" t="e">
        <f>solver_rhs466=NonLinLarge!$J$74</f>
        <v>#NAME?</v>
      </c>
    </row>
    <row r="1617" spans="58:58" x14ac:dyDescent="0.25">
      <c r="BF1617" t="e">
        <f>solver_rhs467=NonLinLarge!$J$75:$J$138</f>
        <v>#NAME?</v>
      </c>
    </row>
    <row r="1618" spans="58:58" x14ac:dyDescent="0.25">
      <c r="BF1618" t="e">
        <f>solver_rhs468=NonLinLarge!$J$139</f>
        <v>#NAME?</v>
      </c>
    </row>
    <row r="1619" spans="58:58" x14ac:dyDescent="0.25">
      <c r="BF1619" t="e">
        <f>solver_rhs469=NonLinLarge!$J$7:$J$8</f>
        <v>#NAME?</v>
      </c>
    </row>
    <row r="1620" spans="58:58" x14ac:dyDescent="0.25">
      <c r="BF1620" t="e">
        <f>solver_rhs47=NonLinLarge!$J$75:$J$138</f>
        <v>#NAME?</v>
      </c>
    </row>
    <row r="1621" spans="58:58" x14ac:dyDescent="0.25">
      <c r="BF1621" t="e">
        <f>solver_rhs470=NonLinLarge!$J$9:$J$72</f>
        <v>#NAME?</v>
      </c>
    </row>
    <row r="1622" spans="58:58" x14ac:dyDescent="0.25">
      <c r="BF1622" t="e">
        <f>solver_rhs471=NonLinLarge!$J$73</f>
        <v>#NAME?</v>
      </c>
    </row>
    <row r="1623" spans="58:58" x14ac:dyDescent="0.25">
      <c r="BF1623" t="e">
        <f>solver_rhs472=NonLinLarge!$J$74</f>
        <v>#NAME?</v>
      </c>
    </row>
    <row r="1624" spans="58:58" x14ac:dyDescent="0.25">
      <c r="BF1624" t="e">
        <f>solver_rhs473=NonLinLarge!$J$75:$J$138</f>
        <v>#NAME?</v>
      </c>
    </row>
    <row r="1625" spans="58:58" x14ac:dyDescent="0.25">
      <c r="BF1625" t="e">
        <f>solver_rhs474=NonLinLarge!$J$139</f>
        <v>#NAME?</v>
      </c>
    </row>
    <row r="1626" spans="58:58" x14ac:dyDescent="0.25">
      <c r="BF1626" t="e">
        <f>solver_rhs475=NonLinLarge!$J$7:$J$8</f>
        <v>#NAME?</v>
      </c>
    </row>
    <row r="1627" spans="58:58" x14ac:dyDescent="0.25">
      <c r="BF1627" t="e">
        <f>solver_rhs476=NonLinLarge!$J$9:$J$72</f>
        <v>#NAME?</v>
      </c>
    </row>
    <row r="1628" spans="58:58" x14ac:dyDescent="0.25">
      <c r="BF1628" t="e">
        <f>solver_rhs477=NonLinLarge!$J$73</f>
        <v>#NAME?</v>
      </c>
    </row>
    <row r="1629" spans="58:58" x14ac:dyDescent="0.25">
      <c r="BF1629" t="e">
        <f>solver_rhs478=NonLinLarge!$J$74</f>
        <v>#NAME?</v>
      </c>
    </row>
    <row r="1630" spans="58:58" x14ac:dyDescent="0.25">
      <c r="BF1630" t="e">
        <f>solver_rhs479=NonLinLarge!$J$75:$J$138</f>
        <v>#NAME?</v>
      </c>
    </row>
    <row r="1631" spans="58:58" x14ac:dyDescent="0.25">
      <c r="BF1631" t="e">
        <f>solver_rhs48=NonLinLarge!$J$139</f>
        <v>#NAME?</v>
      </c>
    </row>
    <row r="1632" spans="58:58" x14ac:dyDescent="0.25">
      <c r="BF1632" t="e">
        <f>solver_rhs480=NonLinLarge!$J$139</f>
        <v>#NAME?</v>
      </c>
    </row>
    <row r="1633" spans="58:58" x14ac:dyDescent="0.25">
      <c r="BF1633" t="e">
        <f>solver_rhs481=NonLinLarge!$J$7:$J$8</f>
        <v>#NAME?</v>
      </c>
    </row>
    <row r="1634" spans="58:58" x14ac:dyDescent="0.25">
      <c r="BF1634" t="e">
        <f>solver_rhs482=NonLinLarge!$J$9:$J$72</f>
        <v>#NAME?</v>
      </c>
    </row>
    <row r="1635" spans="58:58" x14ac:dyDescent="0.25">
      <c r="BF1635" t="e">
        <f>solver_rhs483=NonLinLarge!$J$73</f>
        <v>#NAME?</v>
      </c>
    </row>
    <row r="1636" spans="58:58" x14ac:dyDescent="0.25">
      <c r="BF1636" t="e">
        <f>solver_rhs484=NonLinLarge!$J$74</f>
        <v>#NAME?</v>
      </c>
    </row>
    <row r="1637" spans="58:58" x14ac:dyDescent="0.25">
      <c r="BF1637" t="e">
        <f>solver_rhs485=NonLinLarge!$J$75:$J$138</f>
        <v>#NAME?</v>
      </c>
    </row>
    <row r="1638" spans="58:58" x14ac:dyDescent="0.25">
      <c r="BF1638" t="e">
        <f>solver_rhs486=NonLinLarge!$J$139</f>
        <v>#NAME?</v>
      </c>
    </row>
    <row r="1639" spans="58:58" x14ac:dyDescent="0.25">
      <c r="BF1639" t="e">
        <f>solver_rhs487=NonLinLarge!$J$7:$J$8</f>
        <v>#NAME?</v>
      </c>
    </row>
    <row r="1640" spans="58:58" x14ac:dyDescent="0.25">
      <c r="BF1640" t="e">
        <f>solver_rhs488=NonLinLarge!$J$9:$J$72</f>
        <v>#NAME?</v>
      </c>
    </row>
    <row r="1641" spans="58:58" x14ac:dyDescent="0.25">
      <c r="BF1641" t="e">
        <f>solver_rhs489=NonLinLarge!$J$73</f>
        <v>#NAME?</v>
      </c>
    </row>
    <row r="1642" spans="58:58" x14ac:dyDescent="0.25">
      <c r="BF1642" t="e">
        <f>solver_rhs49=NonLinLarge!$J$7:$J$8</f>
        <v>#NAME?</v>
      </c>
    </row>
    <row r="1643" spans="58:58" x14ac:dyDescent="0.25">
      <c r="BF1643" t="e">
        <f>solver_rhs490=NonLinLarge!$J$74</f>
        <v>#NAME?</v>
      </c>
    </row>
    <row r="1644" spans="58:58" x14ac:dyDescent="0.25">
      <c r="BF1644" t="e">
        <f>solver_rhs491=NonLinLarge!$J$75:$J$138</f>
        <v>#NAME?</v>
      </c>
    </row>
    <row r="1645" spans="58:58" x14ac:dyDescent="0.25">
      <c r="BF1645" t="e">
        <f>solver_rhs492=NonLinLarge!$J$139</f>
        <v>#NAME?</v>
      </c>
    </row>
    <row r="1646" spans="58:58" x14ac:dyDescent="0.25">
      <c r="BF1646" t="e">
        <f>solver_rhs493=NonLinLarge!$J$7:$J$8</f>
        <v>#NAME?</v>
      </c>
    </row>
    <row r="1647" spans="58:58" x14ac:dyDescent="0.25">
      <c r="BF1647" t="e">
        <f>solver_rhs494=NonLinLarge!$J$9:$J$72</f>
        <v>#NAME?</v>
      </c>
    </row>
    <row r="1648" spans="58:58" x14ac:dyDescent="0.25">
      <c r="BF1648" t="e">
        <f>solver_rhs495=NonLinLarge!$J$73</f>
        <v>#NAME?</v>
      </c>
    </row>
    <row r="1649" spans="58:58" x14ac:dyDescent="0.25">
      <c r="BF1649" t="e">
        <f>solver_rhs496=NonLinLarge!$J$74</f>
        <v>#NAME?</v>
      </c>
    </row>
    <row r="1650" spans="58:58" x14ac:dyDescent="0.25">
      <c r="BF1650" t="e">
        <f>solver_rhs497=NonLinLarge!$J$75:$J$138</f>
        <v>#NAME?</v>
      </c>
    </row>
    <row r="1651" spans="58:58" x14ac:dyDescent="0.25">
      <c r="BF1651" t="e">
        <f>solver_rhs498=NonLinLarge!$J$139</f>
        <v>#NAME?</v>
      </c>
    </row>
    <row r="1652" spans="58:58" x14ac:dyDescent="0.25">
      <c r="BF1652" t="e">
        <f>solver_rhs499=NonLinLarge!$J$7:$J$8</f>
        <v>#NAME?</v>
      </c>
    </row>
    <row r="1653" spans="58:58" x14ac:dyDescent="0.25">
      <c r="BF1653" t="e">
        <f>solver_rhs5=NonLinLarge!$J$75:$J$138</f>
        <v>#NAME?</v>
      </c>
    </row>
    <row r="1654" spans="58:58" x14ac:dyDescent="0.25">
      <c r="BF1654" t="e">
        <f>solver_rhs50=NonLinLarge!$J$9:$J$72</f>
        <v>#NAME?</v>
      </c>
    </row>
    <row r="1655" spans="58:58" x14ac:dyDescent="0.25">
      <c r="BF1655" t="e">
        <f>solver_rhs500=NonLinLarge!$J$9:$J$72</f>
        <v>#NAME?</v>
      </c>
    </row>
    <row r="1656" spans="58:58" x14ac:dyDescent="0.25">
      <c r="BF1656" t="e">
        <f>solver_rhs501=NonLinLarge!$J$73</f>
        <v>#NAME?</v>
      </c>
    </row>
    <row r="1657" spans="58:58" x14ac:dyDescent="0.25">
      <c r="BF1657" t="e">
        <f>solver_rhs502=NonLinLarge!$J$74</f>
        <v>#NAME?</v>
      </c>
    </row>
    <row r="1658" spans="58:58" x14ac:dyDescent="0.25">
      <c r="BF1658" t="e">
        <f>solver_rhs503=NonLinLarge!$J$75:$J$138</f>
        <v>#NAME?</v>
      </c>
    </row>
    <row r="1659" spans="58:58" x14ac:dyDescent="0.25">
      <c r="BF1659" t="e">
        <f>solver_rhs504=NonLinLarge!$J$139</f>
        <v>#NAME?</v>
      </c>
    </row>
    <row r="1660" spans="58:58" x14ac:dyDescent="0.25">
      <c r="BF1660" t="e">
        <f>solver_rhs505=NonLinLarge!$J$7:$J$8</f>
        <v>#NAME?</v>
      </c>
    </row>
    <row r="1661" spans="58:58" x14ac:dyDescent="0.25">
      <c r="BF1661" t="e">
        <f>solver_rhs506=NonLinLarge!$J$9:$J$72</f>
        <v>#NAME?</v>
      </c>
    </row>
    <row r="1662" spans="58:58" x14ac:dyDescent="0.25">
      <c r="BF1662" t="e">
        <f>solver_rhs507=NonLinLarge!$J$73</f>
        <v>#NAME?</v>
      </c>
    </row>
    <row r="1663" spans="58:58" x14ac:dyDescent="0.25">
      <c r="BF1663" t="e">
        <f>solver_rhs508=NonLinLarge!$J$74</f>
        <v>#NAME?</v>
      </c>
    </row>
    <row r="1664" spans="58:58" x14ac:dyDescent="0.25">
      <c r="BF1664" t="e">
        <f>solver_rhs509=NonLinLarge!$J$75:$J$138</f>
        <v>#NAME?</v>
      </c>
    </row>
    <row r="1665" spans="58:58" x14ac:dyDescent="0.25">
      <c r="BF1665" t="e">
        <f>solver_rhs51=NonLinLarge!$J$73</f>
        <v>#NAME?</v>
      </c>
    </row>
    <row r="1666" spans="58:58" x14ac:dyDescent="0.25">
      <c r="BF1666" t="e">
        <f>solver_rhs510=NonLinLarge!$J$139</f>
        <v>#NAME?</v>
      </c>
    </row>
    <row r="1667" spans="58:58" x14ac:dyDescent="0.25">
      <c r="BF1667" t="e">
        <f>solver_rhs511=NonLinLarge!$J$7:$J$8</f>
        <v>#NAME?</v>
      </c>
    </row>
    <row r="1668" spans="58:58" x14ac:dyDescent="0.25">
      <c r="BF1668" t="e">
        <f>solver_rhs512=NonLinLarge!$J$9:$J$72</f>
        <v>#NAME?</v>
      </c>
    </row>
    <row r="1669" spans="58:58" x14ac:dyDescent="0.25">
      <c r="BF1669" t="e">
        <f>solver_rhs513=NonLinLarge!$J$73</f>
        <v>#NAME?</v>
      </c>
    </row>
    <row r="1670" spans="58:58" x14ac:dyDescent="0.25">
      <c r="BF1670" t="e">
        <f>solver_rhs514=NonLinLarge!$J$74</f>
        <v>#NAME?</v>
      </c>
    </row>
    <row r="1671" spans="58:58" x14ac:dyDescent="0.25">
      <c r="BF1671" t="e">
        <f>solver_rhs515=NonLinLarge!$J$75:$J$138</f>
        <v>#NAME?</v>
      </c>
    </row>
    <row r="1672" spans="58:58" x14ac:dyDescent="0.25">
      <c r="BF1672" t="e">
        <f>solver_rhs516=NonLinLarge!$J$139</f>
        <v>#NAME?</v>
      </c>
    </row>
    <row r="1673" spans="58:58" x14ac:dyDescent="0.25">
      <c r="BF1673" t="e">
        <f>solver_rhs517=NonLinLarge!$J$7:$J$8</f>
        <v>#NAME?</v>
      </c>
    </row>
    <row r="1674" spans="58:58" x14ac:dyDescent="0.25">
      <c r="BF1674" t="e">
        <f>solver_rhs518=NonLinLarge!$J$9:$J$72</f>
        <v>#NAME?</v>
      </c>
    </row>
    <row r="1675" spans="58:58" x14ac:dyDescent="0.25">
      <c r="BF1675" t="e">
        <f>solver_rhs519=NonLinLarge!$J$73</f>
        <v>#NAME?</v>
      </c>
    </row>
    <row r="1676" spans="58:58" x14ac:dyDescent="0.25">
      <c r="BF1676" t="e">
        <f>solver_rhs52=NonLinLarge!$J$74</f>
        <v>#NAME?</v>
      </c>
    </row>
    <row r="1677" spans="58:58" x14ac:dyDescent="0.25">
      <c r="BF1677" t="e">
        <f>solver_rhs520=NonLinLarge!$J$74</f>
        <v>#NAME?</v>
      </c>
    </row>
    <row r="1678" spans="58:58" x14ac:dyDescent="0.25">
      <c r="BF1678" t="e">
        <f>solver_rhs521=NonLinLarge!$J$75:$J$138</f>
        <v>#NAME?</v>
      </c>
    </row>
    <row r="1679" spans="58:58" x14ac:dyDescent="0.25">
      <c r="BF1679" t="e">
        <f>solver_rhs522=NonLinLarge!$J$139</f>
        <v>#NAME?</v>
      </c>
    </row>
    <row r="1680" spans="58:58" x14ac:dyDescent="0.25">
      <c r="BF1680" t="e">
        <f>solver_rhs523=NonLinLarge!$J$7:$J$8</f>
        <v>#NAME?</v>
      </c>
    </row>
    <row r="1681" spans="58:58" x14ac:dyDescent="0.25">
      <c r="BF1681" t="e">
        <f>solver_rhs524=NonLinLarge!$J$9:$J$72</f>
        <v>#NAME?</v>
      </c>
    </row>
    <row r="1682" spans="58:58" x14ac:dyDescent="0.25">
      <c r="BF1682" t="e">
        <f>solver_rhs525=NonLinLarge!$J$73</f>
        <v>#NAME?</v>
      </c>
    </row>
    <row r="1683" spans="58:58" x14ac:dyDescent="0.25">
      <c r="BF1683" t="e">
        <f>solver_rhs526=NonLinLarge!$J$74</f>
        <v>#NAME?</v>
      </c>
    </row>
    <row r="1684" spans="58:58" x14ac:dyDescent="0.25">
      <c r="BF1684" t="e">
        <f>solver_rhs527=NonLinLarge!$J$75:$J$138</f>
        <v>#NAME?</v>
      </c>
    </row>
    <row r="1685" spans="58:58" x14ac:dyDescent="0.25">
      <c r="BF1685" t="e">
        <f>solver_rhs528=NonLinLarge!$J$139</f>
        <v>#NAME?</v>
      </c>
    </row>
    <row r="1686" spans="58:58" x14ac:dyDescent="0.25">
      <c r="BF1686" t="e">
        <f>solver_rhs529=NonLinLarge!$J$7:$J$8</f>
        <v>#NAME?</v>
      </c>
    </row>
    <row r="1687" spans="58:58" x14ac:dyDescent="0.25">
      <c r="BF1687" t="e">
        <f>solver_rhs53=NonLinLarge!$J$75:$J$138</f>
        <v>#NAME?</v>
      </c>
    </row>
    <row r="1688" spans="58:58" x14ac:dyDescent="0.25">
      <c r="BF1688" t="e">
        <f>solver_rhs530=NonLinLarge!$J$9:$J$72</f>
        <v>#NAME?</v>
      </c>
    </row>
    <row r="1689" spans="58:58" x14ac:dyDescent="0.25">
      <c r="BF1689" t="e">
        <f>solver_rhs531=NonLinLarge!$J$73</f>
        <v>#NAME?</v>
      </c>
    </row>
    <row r="1690" spans="58:58" x14ac:dyDescent="0.25">
      <c r="BF1690" t="e">
        <f>solver_rhs532=NonLinLarge!$J$74</f>
        <v>#NAME?</v>
      </c>
    </row>
    <row r="1691" spans="58:58" x14ac:dyDescent="0.25">
      <c r="BF1691" t="e">
        <f>solver_rhs533=NonLinLarge!$J$75:$J$138</f>
        <v>#NAME?</v>
      </c>
    </row>
    <row r="1692" spans="58:58" x14ac:dyDescent="0.25">
      <c r="BF1692" t="e">
        <f>solver_rhs534=NonLinLarge!$J$139</f>
        <v>#NAME?</v>
      </c>
    </row>
    <row r="1693" spans="58:58" x14ac:dyDescent="0.25">
      <c r="BF1693" t="e">
        <f>solver_rhs535=NonLinLarge!$J$7:$J$8</f>
        <v>#NAME?</v>
      </c>
    </row>
    <row r="1694" spans="58:58" x14ac:dyDescent="0.25">
      <c r="BF1694" t="e">
        <f>solver_rhs536=NonLinLarge!$J$9:$J$72</f>
        <v>#NAME?</v>
      </c>
    </row>
    <row r="1695" spans="58:58" x14ac:dyDescent="0.25">
      <c r="BF1695" t="e">
        <f>solver_rhs537=NonLinLarge!$J$73</f>
        <v>#NAME?</v>
      </c>
    </row>
    <row r="1696" spans="58:58" x14ac:dyDescent="0.25">
      <c r="BF1696" t="e">
        <f>solver_rhs538=NonLinLarge!$J$74</f>
        <v>#NAME?</v>
      </c>
    </row>
    <row r="1697" spans="58:58" x14ac:dyDescent="0.25">
      <c r="BF1697" t="e">
        <f>solver_rhs539=NonLinLarge!$J$75:$J$138</f>
        <v>#NAME?</v>
      </c>
    </row>
    <row r="1698" spans="58:58" x14ac:dyDescent="0.25">
      <c r="BF1698" t="e">
        <f>solver_rhs54=NonLinLarge!$J$139</f>
        <v>#NAME?</v>
      </c>
    </row>
    <row r="1699" spans="58:58" x14ac:dyDescent="0.25">
      <c r="BF1699" t="e">
        <f>solver_rhs540=NonLinLarge!$J$139</f>
        <v>#NAME?</v>
      </c>
    </row>
    <row r="1700" spans="58:58" x14ac:dyDescent="0.25">
      <c r="BF1700" t="e">
        <f>solver_rhs541=NonLinLarge!$J$7:$J$8</f>
        <v>#NAME?</v>
      </c>
    </row>
    <row r="1701" spans="58:58" x14ac:dyDescent="0.25">
      <c r="BF1701" t="e">
        <f>solver_rhs542=NonLinLarge!$J$9:$J$72</f>
        <v>#NAME?</v>
      </c>
    </row>
    <row r="1702" spans="58:58" x14ac:dyDescent="0.25">
      <c r="BF1702" t="e">
        <f>solver_rhs543=NonLinLarge!$J$73</f>
        <v>#NAME?</v>
      </c>
    </row>
    <row r="1703" spans="58:58" x14ac:dyDescent="0.25">
      <c r="BF1703" t="e">
        <f>solver_rhs544=NonLinLarge!$J$74</f>
        <v>#NAME?</v>
      </c>
    </row>
    <row r="1704" spans="58:58" x14ac:dyDescent="0.25">
      <c r="BF1704" t="e">
        <f>solver_rhs545=NonLinLarge!$J$75:$J$138</f>
        <v>#NAME?</v>
      </c>
    </row>
    <row r="1705" spans="58:58" x14ac:dyDescent="0.25">
      <c r="BF1705" t="e">
        <f>solver_rhs546=NonLinLarge!$J$139</f>
        <v>#NAME?</v>
      </c>
    </row>
    <row r="1706" spans="58:58" x14ac:dyDescent="0.25">
      <c r="BF1706" t="e">
        <f>solver_rhs547=NonLinLarge!$J$7:$J$8</f>
        <v>#NAME?</v>
      </c>
    </row>
    <row r="1707" spans="58:58" x14ac:dyDescent="0.25">
      <c r="BF1707" t="e">
        <f>solver_rhs548=NonLinLarge!$J$9:$J$72</f>
        <v>#NAME?</v>
      </c>
    </row>
    <row r="1708" spans="58:58" x14ac:dyDescent="0.25">
      <c r="BF1708" t="e">
        <f>solver_rhs549=NonLinLarge!$J$73</f>
        <v>#NAME?</v>
      </c>
    </row>
    <row r="1709" spans="58:58" x14ac:dyDescent="0.25">
      <c r="BF1709" t="e">
        <f>solver_rhs55=NonLinLarge!$J$7:$J$8</f>
        <v>#NAME?</v>
      </c>
    </row>
    <row r="1710" spans="58:58" x14ac:dyDescent="0.25">
      <c r="BF1710" t="e">
        <f>solver_rhs550=NonLinLarge!$J$74</f>
        <v>#NAME?</v>
      </c>
    </row>
    <row r="1711" spans="58:58" x14ac:dyDescent="0.25">
      <c r="BF1711" t="e">
        <f>solver_rhs551=NonLinLarge!$J$75:$J$138</f>
        <v>#NAME?</v>
      </c>
    </row>
    <row r="1712" spans="58:58" x14ac:dyDescent="0.25">
      <c r="BF1712" t="e">
        <f>solver_rhs552=NonLinLarge!$J$139</f>
        <v>#NAME?</v>
      </c>
    </row>
    <row r="1713" spans="58:58" x14ac:dyDescent="0.25">
      <c r="BF1713" t="e">
        <f>solver_rhs553=NonLinLarge!$J$7:$J$8</f>
        <v>#NAME?</v>
      </c>
    </row>
    <row r="1714" spans="58:58" x14ac:dyDescent="0.25">
      <c r="BF1714" t="e">
        <f>solver_rhs554=NonLinLarge!$J$9:$J$72</f>
        <v>#NAME?</v>
      </c>
    </row>
    <row r="1715" spans="58:58" x14ac:dyDescent="0.25">
      <c r="BF1715" t="e">
        <f>solver_rhs555=NonLinLarge!$J$73</f>
        <v>#NAME?</v>
      </c>
    </row>
    <row r="1716" spans="58:58" x14ac:dyDescent="0.25">
      <c r="BF1716" t="e">
        <f>solver_rhs556=NonLinLarge!$J$74</f>
        <v>#NAME?</v>
      </c>
    </row>
    <row r="1717" spans="58:58" x14ac:dyDescent="0.25">
      <c r="BF1717" t="e">
        <f>solver_rhs557=NonLinLarge!$J$75:$J$138</f>
        <v>#NAME?</v>
      </c>
    </row>
    <row r="1718" spans="58:58" x14ac:dyDescent="0.25">
      <c r="BF1718" t="e">
        <f>solver_rhs558=NonLinLarge!$J$139</f>
        <v>#NAME?</v>
      </c>
    </row>
    <row r="1719" spans="58:58" x14ac:dyDescent="0.25">
      <c r="BF1719" t="e">
        <f>solver_rhs559=NonLinLarge!$J$7:$J$8</f>
        <v>#NAME?</v>
      </c>
    </row>
    <row r="1720" spans="58:58" x14ac:dyDescent="0.25">
      <c r="BF1720" t="e">
        <f>solver_rhs56=NonLinLarge!$J$9:$J$72</f>
        <v>#NAME?</v>
      </c>
    </row>
    <row r="1721" spans="58:58" x14ac:dyDescent="0.25">
      <c r="BF1721" t="e">
        <f>solver_rhs560=NonLinLarge!$J$9:$J$72</f>
        <v>#NAME?</v>
      </c>
    </row>
    <row r="1722" spans="58:58" x14ac:dyDescent="0.25">
      <c r="BF1722" t="e">
        <f>solver_rhs561=NonLinLarge!$J$73</f>
        <v>#NAME?</v>
      </c>
    </row>
    <row r="1723" spans="58:58" x14ac:dyDescent="0.25">
      <c r="BF1723" t="e">
        <f>solver_rhs562=NonLinLarge!$J$74</f>
        <v>#NAME?</v>
      </c>
    </row>
    <row r="1724" spans="58:58" x14ac:dyDescent="0.25">
      <c r="BF1724" t="e">
        <f>solver_rhs563=NonLinLarge!$J$75:$J$138</f>
        <v>#NAME?</v>
      </c>
    </row>
    <row r="1725" spans="58:58" x14ac:dyDescent="0.25">
      <c r="BF1725" t="e">
        <f>solver_rhs564=NonLinLarge!$J$139</f>
        <v>#NAME?</v>
      </c>
    </row>
    <row r="1726" spans="58:58" x14ac:dyDescent="0.25">
      <c r="BF1726" t="e">
        <f>solver_rhs565=NonLinLarge!$J$7:$J$8</f>
        <v>#NAME?</v>
      </c>
    </row>
    <row r="1727" spans="58:58" x14ac:dyDescent="0.25">
      <c r="BF1727" t="e">
        <f>solver_rhs566=NonLinLarge!$J$9:$J$72</f>
        <v>#NAME?</v>
      </c>
    </row>
    <row r="1728" spans="58:58" x14ac:dyDescent="0.25">
      <c r="BF1728" t="e">
        <f>solver_rhs567=NonLinLarge!$J$73</f>
        <v>#NAME?</v>
      </c>
    </row>
    <row r="1729" spans="58:58" x14ac:dyDescent="0.25">
      <c r="BF1729" t="e">
        <f>solver_rhs568=NonLinLarge!$J$74</f>
        <v>#NAME?</v>
      </c>
    </row>
    <row r="1730" spans="58:58" x14ac:dyDescent="0.25">
      <c r="BF1730" t="e">
        <f>solver_rhs569=NonLinLarge!$J$75:$J$138</f>
        <v>#NAME?</v>
      </c>
    </row>
    <row r="1731" spans="58:58" x14ac:dyDescent="0.25">
      <c r="BF1731" t="e">
        <f>solver_rhs57=NonLinLarge!$J$73</f>
        <v>#NAME?</v>
      </c>
    </row>
    <row r="1732" spans="58:58" x14ac:dyDescent="0.25">
      <c r="BF1732" t="e">
        <f>solver_rhs570=NonLinLarge!$J$139</f>
        <v>#NAME?</v>
      </c>
    </row>
    <row r="1733" spans="58:58" x14ac:dyDescent="0.25">
      <c r="BF1733" t="e">
        <f>solver_rhs571=NonLinLarge!$J$7:$J$8</f>
        <v>#NAME?</v>
      </c>
    </row>
    <row r="1734" spans="58:58" x14ac:dyDescent="0.25">
      <c r="BF1734" t="e">
        <f>solver_rhs572=NonLinLarge!$J$9:$J$72</f>
        <v>#NAME?</v>
      </c>
    </row>
    <row r="1735" spans="58:58" x14ac:dyDescent="0.25">
      <c r="BF1735" t="e">
        <f>solver_rhs573=NonLinLarge!$J$73</f>
        <v>#NAME?</v>
      </c>
    </row>
    <row r="1736" spans="58:58" x14ac:dyDescent="0.25">
      <c r="BF1736" t="e">
        <f>solver_rhs574=NonLinLarge!$J$74</f>
        <v>#NAME?</v>
      </c>
    </row>
    <row r="1737" spans="58:58" x14ac:dyDescent="0.25">
      <c r="BF1737" t="e">
        <f>solver_rhs575=NonLinLarge!$J$75:$J$138</f>
        <v>#NAME?</v>
      </c>
    </row>
    <row r="1738" spans="58:58" x14ac:dyDescent="0.25">
      <c r="BF1738" t="e">
        <f>solver_rhs576=NonLinLarge!$J$139</f>
        <v>#NAME?</v>
      </c>
    </row>
    <row r="1739" spans="58:58" x14ac:dyDescent="0.25">
      <c r="BF1739" t="e">
        <f>solver_rhs577=NonLinLarge!$J$7:$J$8</f>
        <v>#NAME?</v>
      </c>
    </row>
    <row r="1740" spans="58:58" x14ac:dyDescent="0.25">
      <c r="BF1740" t="e">
        <f>solver_rhs578=NonLinLarge!$J$9:$J$72</f>
        <v>#NAME?</v>
      </c>
    </row>
    <row r="1741" spans="58:58" x14ac:dyDescent="0.25">
      <c r="BF1741" t="e">
        <f>solver_rhs579=NonLinLarge!$J$73</f>
        <v>#NAME?</v>
      </c>
    </row>
    <row r="1742" spans="58:58" x14ac:dyDescent="0.25">
      <c r="BF1742" t="e">
        <f>solver_rhs58=NonLinLarge!$J$74</f>
        <v>#NAME?</v>
      </c>
    </row>
    <row r="1743" spans="58:58" x14ac:dyDescent="0.25">
      <c r="BF1743" t="e">
        <f>solver_rhs580=NonLinLarge!$J$74</f>
        <v>#NAME?</v>
      </c>
    </row>
    <row r="1744" spans="58:58" x14ac:dyDescent="0.25">
      <c r="BF1744" t="e">
        <f>solver_rhs581=NonLinLarge!$J$75:$J$138</f>
        <v>#NAME?</v>
      </c>
    </row>
    <row r="1745" spans="58:58" x14ac:dyDescent="0.25">
      <c r="BF1745" t="e">
        <f>solver_rhs582=NonLinLarge!$J$139</f>
        <v>#NAME?</v>
      </c>
    </row>
    <row r="1746" spans="58:58" x14ac:dyDescent="0.25">
      <c r="BF1746" t="e">
        <f>solver_rhs583=NonLinLarge!$J$7:$J$8</f>
        <v>#NAME?</v>
      </c>
    </row>
    <row r="1747" spans="58:58" x14ac:dyDescent="0.25">
      <c r="BF1747" t="e">
        <f>solver_rhs584=NonLinLarge!$J$9:$J$72</f>
        <v>#NAME?</v>
      </c>
    </row>
    <row r="1748" spans="58:58" x14ac:dyDescent="0.25">
      <c r="BF1748" t="e">
        <f>solver_rhs585=NonLinLarge!$J$73</f>
        <v>#NAME?</v>
      </c>
    </row>
    <row r="1749" spans="58:58" x14ac:dyDescent="0.25">
      <c r="BF1749" t="e">
        <f>solver_rhs586=NonLinLarge!$J$74</f>
        <v>#NAME?</v>
      </c>
    </row>
    <row r="1750" spans="58:58" x14ac:dyDescent="0.25">
      <c r="BF1750" t="e">
        <f>solver_rhs587=NonLinLarge!$J$75:$J$138</f>
        <v>#NAME?</v>
      </c>
    </row>
    <row r="1751" spans="58:58" x14ac:dyDescent="0.25">
      <c r="BF1751" t="e">
        <f>solver_rhs588=NonLinLarge!$J$139</f>
        <v>#NAME?</v>
      </c>
    </row>
    <row r="1752" spans="58:58" x14ac:dyDescent="0.25">
      <c r="BF1752" t="e">
        <f>solver_rhs589=NonLinLarge!$J$7:$J$8</f>
        <v>#NAME?</v>
      </c>
    </row>
    <row r="1753" spans="58:58" x14ac:dyDescent="0.25">
      <c r="BF1753" t="e">
        <f>solver_rhs59=NonLinLarge!$J$75:$J$138</f>
        <v>#NAME?</v>
      </c>
    </row>
    <row r="1754" spans="58:58" x14ac:dyDescent="0.25">
      <c r="BF1754" t="e">
        <f>solver_rhs590=NonLinLarge!$J$9:$J$72</f>
        <v>#NAME?</v>
      </c>
    </row>
    <row r="1755" spans="58:58" x14ac:dyDescent="0.25">
      <c r="BF1755" t="e">
        <f>solver_rhs591=NonLinLarge!$J$73</f>
        <v>#NAME?</v>
      </c>
    </row>
    <row r="1756" spans="58:58" x14ac:dyDescent="0.25">
      <c r="BF1756" t="e">
        <f>solver_rhs592=NonLinLarge!$J$74</f>
        <v>#NAME?</v>
      </c>
    </row>
    <row r="1757" spans="58:58" x14ac:dyDescent="0.25">
      <c r="BF1757" t="e">
        <f>solver_rhs593=NonLinLarge!$J$75:$J$138</f>
        <v>#NAME?</v>
      </c>
    </row>
    <row r="1758" spans="58:58" x14ac:dyDescent="0.25">
      <c r="BF1758" t="e">
        <f>solver_rhs594=NonLinLarge!$J$139</f>
        <v>#NAME?</v>
      </c>
    </row>
    <row r="1759" spans="58:58" x14ac:dyDescent="0.25">
      <c r="BF1759" t="e">
        <f>solver_rhs595=NonLinLarge!$J$7:$J$8</f>
        <v>#NAME?</v>
      </c>
    </row>
    <row r="1760" spans="58:58" x14ac:dyDescent="0.25">
      <c r="BF1760" t="e">
        <f>solver_rhs596=NonLinLarge!$J$9:$J$72</f>
        <v>#NAME?</v>
      </c>
    </row>
    <row r="1761" spans="58:58" x14ac:dyDescent="0.25">
      <c r="BF1761" t="e">
        <f>solver_rhs597=NonLinLarge!$J$73</f>
        <v>#NAME?</v>
      </c>
    </row>
    <row r="1762" spans="58:58" x14ac:dyDescent="0.25">
      <c r="BF1762" t="e">
        <f>solver_rhs598=NonLinLarge!$J$74</f>
        <v>#NAME?</v>
      </c>
    </row>
    <row r="1763" spans="58:58" x14ac:dyDescent="0.25">
      <c r="BF1763" t="e">
        <f>solver_rhs599=NonLinLarge!$J$75:$J$138</f>
        <v>#NAME?</v>
      </c>
    </row>
    <row r="1764" spans="58:58" x14ac:dyDescent="0.25">
      <c r="BF1764" t="e">
        <f>solver_rhs6=NonLinLarge!$J$139</f>
        <v>#NAME?</v>
      </c>
    </row>
    <row r="1765" spans="58:58" x14ac:dyDescent="0.25">
      <c r="BF1765" t="e">
        <f>solver_rhs60=NonLinLarge!$J$139</f>
        <v>#NAME?</v>
      </c>
    </row>
    <row r="1766" spans="58:58" x14ac:dyDescent="0.25">
      <c r="BF1766" t="e">
        <f>solver_rhs600=NonLinLarge!$J$139</f>
        <v>#NAME?</v>
      </c>
    </row>
    <row r="1767" spans="58:58" x14ac:dyDescent="0.25">
      <c r="BF1767" t="e">
        <f>solver_rhs61=NonLinLarge!$J$7:$J$8</f>
        <v>#NAME?</v>
      </c>
    </row>
    <row r="1768" spans="58:58" x14ac:dyDescent="0.25">
      <c r="BF1768" t="e">
        <f>solver_rhs62=NonLinLarge!$J$9:$J$72</f>
        <v>#NAME?</v>
      </c>
    </row>
    <row r="1769" spans="58:58" x14ac:dyDescent="0.25">
      <c r="BF1769" t="e">
        <f>solver_rhs63=NonLinLarge!$J$73</f>
        <v>#NAME?</v>
      </c>
    </row>
    <row r="1770" spans="58:58" x14ac:dyDescent="0.25">
      <c r="BF1770" t="e">
        <f>solver_rhs64=NonLinLarge!$J$74</f>
        <v>#NAME?</v>
      </c>
    </row>
    <row r="1771" spans="58:58" x14ac:dyDescent="0.25">
      <c r="BF1771" t="e">
        <f>solver_rhs65=NonLinLarge!$J$75:$J$138</f>
        <v>#NAME?</v>
      </c>
    </row>
    <row r="1772" spans="58:58" x14ac:dyDescent="0.25">
      <c r="BF1772" t="e">
        <f>solver_rhs66=NonLinLarge!$J$139</f>
        <v>#NAME?</v>
      </c>
    </row>
    <row r="1773" spans="58:58" x14ac:dyDescent="0.25">
      <c r="BF1773" t="e">
        <f>solver_rhs67=NonLinLarge!$J$7:$J$8</f>
        <v>#NAME?</v>
      </c>
    </row>
    <row r="1774" spans="58:58" x14ac:dyDescent="0.25">
      <c r="BF1774" t="e">
        <f>solver_rhs68=NonLinLarge!$J$9:$J$72</f>
        <v>#NAME?</v>
      </c>
    </row>
    <row r="1775" spans="58:58" x14ac:dyDescent="0.25">
      <c r="BF1775" t="e">
        <f>solver_rhs69=NonLinLarge!$J$73</f>
        <v>#NAME?</v>
      </c>
    </row>
    <row r="1776" spans="58:58" x14ac:dyDescent="0.25">
      <c r="BF1776" t="e">
        <f>solver_rhs7=NonLinLarge!$J$7:$J$8</f>
        <v>#NAME?</v>
      </c>
    </row>
    <row r="1777" spans="58:58" x14ac:dyDescent="0.25">
      <c r="BF1777" t="e">
        <f>solver_rhs70=NonLinLarge!$J$74</f>
        <v>#NAME?</v>
      </c>
    </row>
    <row r="1778" spans="58:58" x14ac:dyDescent="0.25">
      <c r="BF1778" t="e">
        <f>solver_rhs71=NonLinLarge!$J$75:$J$138</f>
        <v>#NAME?</v>
      </c>
    </row>
    <row r="1779" spans="58:58" x14ac:dyDescent="0.25">
      <c r="BF1779" t="e">
        <f>solver_rhs72=NonLinLarge!$J$139</f>
        <v>#NAME?</v>
      </c>
    </row>
    <row r="1780" spans="58:58" x14ac:dyDescent="0.25">
      <c r="BF1780" t="e">
        <f>solver_rhs73=NonLinLarge!$J$7:$J$8</f>
        <v>#NAME?</v>
      </c>
    </row>
    <row r="1781" spans="58:58" x14ac:dyDescent="0.25">
      <c r="BF1781" t="e">
        <f>solver_rhs74=NonLinLarge!$J$9:$J$72</f>
        <v>#NAME?</v>
      </c>
    </row>
    <row r="1782" spans="58:58" x14ac:dyDescent="0.25">
      <c r="BF1782" t="e">
        <f>solver_rhs75=NonLinLarge!$J$73</f>
        <v>#NAME?</v>
      </c>
    </row>
    <row r="1783" spans="58:58" x14ac:dyDescent="0.25">
      <c r="BF1783" t="e">
        <f>solver_rhs76=NonLinLarge!$J$74</f>
        <v>#NAME?</v>
      </c>
    </row>
    <row r="1784" spans="58:58" x14ac:dyDescent="0.25">
      <c r="BF1784" t="e">
        <f>solver_rhs77=NonLinLarge!$J$75:$J$138</f>
        <v>#NAME?</v>
      </c>
    </row>
    <row r="1785" spans="58:58" x14ac:dyDescent="0.25">
      <c r="BF1785" t="e">
        <f>solver_rhs78=NonLinLarge!$J$139</f>
        <v>#NAME?</v>
      </c>
    </row>
    <row r="1786" spans="58:58" x14ac:dyDescent="0.25">
      <c r="BF1786" t="e">
        <f>solver_rhs79=NonLinLarge!$J$7:$J$8</f>
        <v>#NAME?</v>
      </c>
    </row>
    <row r="1787" spans="58:58" x14ac:dyDescent="0.25">
      <c r="BF1787" t="e">
        <f>solver_rhs8=NonLinLarge!$J$9:$J$72</f>
        <v>#NAME?</v>
      </c>
    </row>
    <row r="1788" spans="58:58" x14ac:dyDescent="0.25">
      <c r="BF1788" t="e">
        <f>solver_rhs80=NonLinLarge!$J$9:$J$72</f>
        <v>#NAME?</v>
      </c>
    </row>
    <row r="1789" spans="58:58" x14ac:dyDescent="0.25">
      <c r="BF1789" t="e">
        <f>solver_rhs81=NonLinLarge!$J$73</f>
        <v>#NAME?</v>
      </c>
    </row>
    <row r="1790" spans="58:58" x14ac:dyDescent="0.25">
      <c r="BF1790" t="e">
        <f>solver_rhs82=NonLinLarge!$J$74</f>
        <v>#NAME?</v>
      </c>
    </row>
    <row r="1791" spans="58:58" x14ac:dyDescent="0.25">
      <c r="BF1791" t="e">
        <f>solver_rhs83=NonLinLarge!$J$75:$J$138</f>
        <v>#NAME?</v>
      </c>
    </row>
    <row r="1792" spans="58:58" x14ac:dyDescent="0.25">
      <c r="BF1792" t="e">
        <f>solver_rhs84=NonLinLarge!$J$139</f>
        <v>#NAME?</v>
      </c>
    </row>
    <row r="1793" spans="58:58" x14ac:dyDescent="0.25">
      <c r="BF1793" t="e">
        <f>solver_rhs85=NonLinLarge!$J$7:$J$8</f>
        <v>#NAME?</v>
      </c>
    </row>
    <row r="1794" spans="58:58" x14ac:dyDescent="0.25">
      <c r="BF1794" t="e">
        <f>solver_rhs86=NonLinLarge!$J$9:$J$72</f>
        <v>#NAME?</v>
      </c>
    </row>
    <row r="1795" spans="58:58" x14ac:dyDescent="0.25">
      <c r="BF1795" t="e">
        <f>solver_rhs87=NonLinLarge!$J$73</f>
        <v>#NAME?</v>
      </c>
    </row>
    <row r="1796" spans="58:58" x14ac:dyDescent="0.25">
      <c r="BF1796" t="e">
        <f>solver_rhs88=NonLinLarge!$J$74</f>
        <v>#NAME?</v>
      </c>
    </row>
    <row r="1797" spans="58:58" x14ac:dyDescent="0.25">
      <c r="BF1797" t="e">
        <f>solver_rhs89=NonLinLarge!$J$75:$J$138</f>
        <v>#NAME?</v>
      </c>
    </row>
    <row r="1798" spans="58:58" x14ac:dyDescent="0.25">
      <c r="BF1798" t="e">
        <f>solver_rhs9=NonLinLarge!$J$73</f>
        <v>#NAME?</v>
      </c>
    </row>
    <row r="1799" spans="58:58" x14ac:dyDescent="0.25">
      <c r="BF1799" t="e">
        <f>solver_rhs90=NonLinLarge!$J$139</f>
        <v>#NAME?</v>
      </c>
    </row>
    <row r="1800" spans="58:58" x14ac:dyDescent="0.25">
      <c r="BF1800" t="e">
        <f>solver_rhs91=NonLinLarge!$J$7:$J$8</f>
        <v>#NAME?</v>
      </c>
    </row>
    <row r="1801" spans="58:58" x14ac:dyDescent="0.25">
      <c r="BF1801" t="e">
        <f>solver_rhs92=NonLinLarge!$J$9:$J$72</f>
        <v>#NAME?</v>
      </c>
    </row>
    <row r="1802" spans="58:58" x14ac:dyDescent="0.25">
      <c r="BF1802" t="e">
        <f>solver_rhs93=NonLinLarge!$J$73</f>
        <v>#NAME?</v>
      </c>
    </row>
    <row r="1803" spans="58:58" x14ac:dyDescent="0.25">
      <c r="BF1803" t="e">
        <f>solver_rhs94=NonLinLarge!$J$74</f>
        <v>#NAME?</v>
      </c>
    </row>
    <row r="1804" spans="58:58" x14ac:dyDescent="0.25">
      <c r="BF1804" t="e">
        <f>solver_rhs95=NonLinLarge!$J$75:$J$138</f>
        <v>#NAME?</v>
      </c>
    </row>
    <row r="1805" spans="58:58" x14ac:dyDescent="0.25">
      <c r="BF1805" t="e">
        <f>solver_rhs96=NonLinLarge!$J$139</f>
        <v>#NAME?</v>
      </c>
    </row>
    <row r="1806" spans="58:58" x14ac:dyDescent="0.25">
      <c r="BF1806" t="e">
        <f>solver_rhs97=NonLinLarge!$J$7:$J$8</f>
        <v>#NAME?</v>
      </c>
    </row>
    <row r="1807" spans="58:58" x14ac:dyDescent="0.25">
      <c r="BF1807" t="e">
        <f>solver_rhs98=NonLinLarge!$J$9:$J$72</f>
        <v>#NAME?</v>
      </c>
    </row>
    <row r="1808" spans="58:58" x14ac:dyDescent="0.25">
      <c r="BF1808" t="e">
        <f>solver_rhs99=NonLinLarge!$J$73</f>
        <v>#NAME?</v>
      </c>
    </row>
    <row r="1809" spans="58:58" x14ac:dyDescent="0.25">
      <c r="BF1809" t="e">
        <f>solver_rlx=0</f>
        <v>#NAME?</v>
      </c>
    </row>
    <row r="1810" spans="58:58" x14ac:dyDescent="0.25">
      <c r="BF1810" t="e">
        <f>solver_sho=0</f>
        <v>#NAME?</v>
      </c>
    </row>
    <row r="1811" spans="58:58" x14ac:dyDescent="0.25">
      <c r="BF1811" t="e">
        <f>solver_tim=999999999</f>
        <v>#NAME?</v>
      </c>
    </row>
    <row r="1812" spans="58:58" x14ac:dyDescent="0.25">
      <c r="BF1812" t="e">
        <f>solver_tol=0.05</f>
        <v>#NAME?</v>
      </c>
    </row>
    <row r="1813" spans="58:58" x14ac:dyDescent="0.25">
      <c r="BF1813" t="e">
        <f>solver_typ=2</f>
        <v>#NAME?</v>
      </c>
    </row>
    <row r="1814" spans="58:58" x14ac:dyDescent="0.25">
      <c r="BF1814" t="e">
        <f>solver_val=0</f>
        <v>#NAME?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zResults"/>
  <dimension ref="A1:S73"/>
  <sheetViews>
    <sheetView tabSelected="1" topLeftCell="A31" zoomScale="85" zoomScaleNormal="85" zoomScalePageLayoutView="85" workbookViewId="0">
      <selection activeCell="H50" sqref="H50"/>
    </sheetView>
  </sheetViews>
  <sheetFormatPr defaultColWidth="9.140625" defaultRowHeight="15" x14ac:dyDescent="0.25"/>
  <cols>
    <col min="1" max="1" width="26.7109375" style="154" customWidth="1"/>
    <col min="2" max="16384" width="9.140625" style="59"/>
  </cols>
  <sheetData>
    <row r="1" spans="1:19" s="150" customFormat="1" ht="63" customHeight="1" thickBot="1" x14ac:dyDescent="0.3">
      <c r="A1" s="152"/>
      <c r="C1" s="188" t="s">
        <v>318</v>
      </c>
      <c r="D1" s="188"/>
      <c r="E1" s="188"/>
      <c r="F1" s="188"/>
    </row>
    <row r="2" spans="1:19" s="149" customFormat="1" ht="15.75" thickBot="1" x14ac:dyDescent="0.3">
      <c r="A2" s="153" t="s">
        <v>193</v>
      </c>
      <c r="B2" s="148" t="s">
        <v>194</v>
      </c>
      <c r="C2" s="149" t="s">
        <v>195</v>
      </c>
      <c r="D2" s="149" t="s">
        <v>214</v>
      </c>
      <c r="E2" s="149" t="s">
        <v>431</v>
      </c>
      <c r="F2" s="149" t="s">
        <v>312</v>
      </c>
      <c r="G2" s="149" t="s">
        <v>196</v>
      </c>
      <c r="H2" s="149" t="s">
        <v>232</v>
      </c>
      <c r="I2" s="149" t="s">
        <v>231</v>
      </c>
      <c r="J2" s="149" t="s">
        <v>429</v>
      </c>
      <c r="K2" s="149" t="s">
        <v>306</v>
      </c>
    </row>
    <row r="3" spans="1:19" x14ac:dyDescent="0.25">
      <c r="A3" s="155" t="str">
        <f>HYPERLINK("[OpenSolver Tester.xlsm]'SimpleLP'!A1", "SimpleLP")</f>
        <v>SimpleLP</v>
      </c>
      <c r="E3" s="59" t="s">
        <v>332</v>
      </c>
    </row>
    <row r="4" spans="1:19" x14ac:dyDescent="0.25">
      <c r="A4" s="155" t="str">
        <f>HYPERLINK("[OpenSolver Tester.xlsm]'SimpleIP'!A1", "SimpleIP")</f>
        <v>SimpleIP</v>
      </c>
      <c r="E4" s="59" t="s">
        <v>332</v>
      </c>
    </row>
    <row r="5" spans="1:19" x14ac:dyDescent="0.25">
      <c r="A5" s="155" t="str">
        <f>HYPERLINK("[OpenSolver Tester.xlsm]'IP_SUMIF'!A1", "IP_SUMIF")</f>
        <v>IP_SUMIF</v>
      </c>
      <c r="E5" s="59" t="s">
        <v>430</v>
      </c>
      <c r="H5"/>
    </row>
    <row r="6" spans="1:19" x14ac:dyDescent="0.25">
      <c r="A6" s="155" t="str">
        <f>HYPERLINK("[OpenSolver Tester.xlsm]'OverlappingVars'!A1", "OverlappingVars")</f>
        <v>OverlappingVars</v>
      </c>
      <c r="E6" s="59" t="s">
        <v>332</v>
      </c>
      <c r="H6"/>
    </row>
    <row r="7" spans="1:19" x14ac:dyDescent="0.25">
      <c r="A7" s="155" t="str">
        <f>HYPERLINK("[OpenSolver Tester.xlsm]'BlankRHS'!A1", "BlankRHS")</f>
        <v>BlankRHS</v>
      </c>
      <c r="E7" s="59" t="s">
        <v>332</v>
      </c>
      <c r="H7"/>
    </row>
    <row r="8" spans="1:19" x14ac:dyDescent="0.25">
      <c r="A8" s="155" t="str">
        <f>HYPERLINK("[OpenSolver Tester.xlsm]'BlankLHS'!A1", "BlankLHS")</f>
        <v>BlankLHS</v>
      </c>
      <c r="E8" s="59" t="s">
        <v>332</v>
      </c>
      <c r="H8"/>
    </row>
    <row r="9" spans="1:19" x14ac:dyDescent="0.25">
      <c r="A9" s="155" t="str">
        <f>HYPERLINK("[OpenSolver Tester.xlsm]'TextRHS'!A1", "TextRHS")</f>
        <v>TextRHS</v>
      </c>
      <c r="E9" s="59" t="s">
        <v>332</v>
      </c>
      <c r="H9"/>
    </row>
    <row r="10" spans="1:19" x14ac:dyDescent="0.25">
      <c r="A10" s="155" t="str">
        <f>HYPERLINK("[OpenSolver Tester.xlsm]'ErrorRHS'!A1", "ErrorRHS")</f>
        <v>ErrorRHS</v>
      </c>
      <c r="E10" s="59" t="s">
        <v>332</v>
      </c>
    </row>
    <row r="11" spans="1:19" x14ac:dyDescent="0.25">
      <c r="A11" s="155" t="str">
        <f>HYPERLINK("[OpenSolver Tester.xlsm]'ErrorLHS'!A1", "ErrorLHS")</f>
        <v>ErrorLHS</v>
      </c>
      <c r="E11" s="59" t="s">
        <v>332</v>
      </c>
      <c r="R11" s="177"/>
      <c r="S11" s="177"/>
    </row>
    <row r="12" spans="1:19" x14ac:dyDescent="0.25">
      <c r="A12" s="155" t="str">
        <f>HYPERLINK("[OpenSolver Tester.xlsm]'ErrorObj'!A1", "ErrorObj")</f>
        <v>ErrorObj</v>
      </c>
      <c r="E12" s="59" t="s">
        <v>332</v>
      </c>
      <c r="R12" s="177"/>
      <c r="S12" s="177"/>
    </row>
    <row r="13" spans="1:19" x14ac:dyDescent="0.25">
      <c r="A13" s="155" t="str">
        <f>HYPERLINK("[OpenSolver Tester.xlsm]'TextObj'!A1", "TextObj")</f>
        <v>TextObj</v>
      </c>
      <c r="E13" s="59" t="s">
        <v>332</v>
      </c>
      <c r="R13" s="177"/>
      <c r="S13" s="177"/>
    </row>
    <row r="14" spans="1:19" x14ac:dyDescent="0.25">
      <c r="A14" s="155" t="str">
        <f>HYPERLINK("[OpenSolver Tester.xlsm]'MergedVarsSubset'!A1", "MergedVarsSubset")</f>
        <v>MergedVarsSubset</v>
      </c>
      <c r="E14" s="59" t="s">
        <v>332</v>
      </c>
      <c r="R14" s="177"/>
      <c r="S14" s="177"/>
    </row>
    <row r="15" spans="1:19" x14ac:dyDescent="0.25">
      <c r="A15" s="155" t="str">
        <f>HYPERLINK("[OpenSolver Tester.xlsm]'MergedVarsOK'!A1", "MergedVarsOK")</f>
        <v>MergedVarsOK</v>
      </c>
      <c r="E15" s="59" t="s">
        <v>332</v>
      </c>
      <c r="R15" s="177"/>
      <c r="S15" s="177"/>
    </row>
    <row r="16" spans="1:19" x14ac:dyDescent="0.25">
      <c r="A16" s="155" t="str">
        <f>HYPERLINK("[OpenSolver Tester.xlsm]'MergedVarsBad'!A1", "MergedVarsBad")</f>
        <v>MergedVarsBad</v>
      </c>
      <c r="E16" s="59" t="s">
        <v>332</v>
      </c>
    </row>
    <row r="17" spans="1:5" x14ac:dyDescent="0.25">
      <c r="A17" s="155" t="str">
        <f>HYPERLINK("[OpenSolver Tester.xlsm]'MergedRHS_OK'!A1", "MergedRHS_OK")</f>
        <v>MergedRHS_OK</v>
      </c>
      <c r="E17" s="59" t="s">
        <v>332</v>
      </c>
    </row>
    <row r="18" spans="1:5" x14ac:dyDescent="0.25">
      <c r="A18" s="155" t="str">
        <f>HYPERLINK("[OpenSolver Tester.xlsm]'MergedLHS_OK'!A1", "MergedLHS_OK")</f>
        <v>MergedLHS_OK</v>
      </c>
      <c r="E18" s="59" t="s">
        <v>332</v>
      </c>
    </row>
    <row r="19" spans="1:5" x14ac:dyDescent="0.25">
      <c r="A19" s="155" t="str">
        <f>HYPERLINK("[OpenSolver Tester.xlsm]'MergedLHSMultiple_OK'!A1", "MergedLHSMultiple_OK")</f>
        <v>MergedLHSMultiple_OK</v>
      </c>
      <c r="E19" s="59" t="s">
        <v>332</v>
      </c>
    </row>
    <row r="20" spans="1:5" x14ac:dyDescent="0.25">
      <c r="A20" s="155" t="str">
        <f>HYPERLINK("[OpenSolver Tester.xlsm]'BinIntOverlap'!A1", "BinIntOverlap")</f>
        <v>BinIntOverlap</v>
      </c>
      <c r="E20" s="59" t="s">
        <v>332</v>
      </c>
    </row>
    <row r="21" spans="1:5" x14ac:dyDescent="0.25">
      <c r="A21" s="155" t="str">
        <f>HYPERLINK("[OpenSolver Tester.xlsm]'ConFormula'!A1", "ConFormula")</f>
        <v>ConFormula</v>
      </c>
      <c r="E21" s="59" t="s">
        <v>332</v>
      </c>
    </row>
    <row r="22" spans="1:5" x14ac:dyDescent="0.25">
      <c r="A22" s="155" t="str">
        <f>HYPERLINK("[OpenSolver Tester.xlsm]'ConFormulaInf'!A1", "ConFormulaInf")</f>
        <v>ConFormulaInf</v>
      </c>
      <c r="E22" s="59" t="s">
        <v>332</v>
      </c>
    </row>
    <row r="23" spans="1:5" x14ac:dyDescent="0.25">
      <c r="A23" s="155" t="str">
        <f>HYPERLINK("[OpenSolver Tester.xlsm]'BadName!'!A1", "BadName!")</f>
        <v>BadName!</v>
      </c>
      <c r="E23" s="59" t="s">
        <v>332</v>
      </c>
    </row>
    <row r="24" spans="1:5" x14ac:dyDescent="0.25">
      <c r="A24" s="155" t="str">
        <f>HYPERLINK("[OpenSolver Tester.xlsm]'EscapeSheetName(1)+2-1'!A1", "EscapeSheetName(1)+2-1")</f>
        <v>EscapeSheetName(1)+2-1</v>
      </c>
      <c r="E24" s="59" t="s">
        <v>332</v>
      </c>
    </row>
    <row r="25" spans="1:5" x14ac:dyDescent="0.25">
      <c r="A25" s="155" t="str">
        <f>HYPERLINK("[OpenSolver Tester.xlsm]'DeletedConRef'!A1", "DeletedConRef")</f>
        <v>DeletedConRef</v>
      </c>
      <c r="E25" s="59" t="s">
        <v>332</v>
      </c>
    </row>
    <row r="26" spans="1:5" x14ac:dyDescent="0.25">
      <c r="A26" s="155" t="str">
        <f>HYPERLINK("[OpenSolver Tester.xlsm]'DeletedObjRef'!A1", "DeletedObjRef")</f>
        <v>DeletedObjRef</v>
      </c>
      <c r="E26" s="59" t="s">
        <v>332</v>
      </c>
    </row>
    <row r="27" spans="1:5" x14ac:dyDescent="0.25">
      <c r="A27" s="155" t="str">
        <f>HYPERLINK("[OpenSolver Tester.xlsm]'InfConstConstraint'!A1", "InfConstConstraint")</f>
        <v>InfConstConstraint</v>
      </c>
      <c r="E27" s="59" t="s">
        <v>332</v>
      </c>
    </row>
    <row r="28" spans="1:5" x14ac:dyDescent="0.25">
      <c r="A28" s="155" t="str">
        <f>HYPERLINK("[OpenSolver Tester.xlsm]'FeasConstConstraint'!A1", "FeasConstConstraint")</f>
        <v>FeasConstConstraint</v>
      </c>
      <c r="E28" s="59" t="s">
        <v>332</v>
      </c>
    </row>
    <row r="29" spans="1:5" x14ac:dyDescent="0.25">
      <c r="A29" s="155" t="str">
        <f>HYPERLINK("[OpenSolver Tester.xlsm]'Unbounded'!A1", "Unbounded")</f>
        <v>Unbounded</v>
      </c>
      <c r="E29" s="59" t="s">
        <v>332</v>
      </c>
    </row>
    <row r="30" spans="1:5" x14ac:dyDescent="0.25">
      <c r="A30" s="155" t="str">
        <f>HYPERLINK("[OpenSolver Tester.xlsm]'ProtectedSheet'!A1", "ProtectedSheet")</f>
        <v>ProtectedSheet</v>
      </c>
      <c r="E30" s="59" t="s">
        <v>332</v>
      </c>
    </row>
    <row r="31" spans="1:5" x14ac:dyDescent="0.25">
      <c r="A31" s="155" t="str">
        <f>HYPERLINK("[OpenSolver Tester.xlsm]'IndirectLBs'!A1", "IndirectLBs")</f>
        <v>IndirectLBs</v>
      </c>
      <c r="E31" s="59" t="s">
        <v>332</v>
      </c>
    </row>
    <row r="32" spans="1:5" x14ac:dyDescent="0.25">
      <c r="A32" s="155" t="str">
        <f>HYPERLINK("[OpenSolver Tester.xlsm]'DirectLBs'!A1", "DirectLBs")</f>
        <v>DirectLBs</v>
      </c>
      <c r="E32" s="59" t="s">
        <v>332</v>
      </c>
    </row>
    <row r="33" spans="1:7" x14ac:dyDescent="0.25">
      <c r="A33" s="155" t="str">
        <f>HYPERLINK("[OpenSolver Tester.xlsm]'SingleRangeLB'!A1", "SingleRangeLB")</f>
        <v>SingleRangeLB</v>
      </c>
      <c r="E33" s="59" t="s">
        <v>332</v>
      </c>
    </row>
    <row r="34" spans="1:7" x14ac:dyDescent="0.25">
      <c r="A34" s="155" t="str">
        <f>HYPERLINK("[OpenSolver Tester.xlsm]'BinLB'!A1", "BinLB")</f>
        <v>BinLB</v>
      </c>
      <c r="E34" s="59" t="s">
        <v>332</v>
      </c>
    </row>
    <row r="35" spans="1:7" x14ac:dyDescent="0.25">
      <c r="A35" s="155" t="str">
        <f>HYPERLINK("[OpenSolver Tester.xlsm]'BinIntLB'!A1", "BinIntLB")</f>
        <v>BinIntLB</v>
      </c>
      <c r="E35" s="59" t="s">
        <v>332</v>
      </c>
    </row>
    <row r="36" spans="1:7" x14ac:dyDescent="0.25">
      <c r="A36" s="155" t="str">
        <f>HYPERLINK("[OpenSolver Tester.xlsm]'Relaxation'!A1", "Relaxation")</f>
        <v>Relaxation</v>
      </c>
      <c r="E36" s="59" t="s">
        <v>332</v>
      </c>
      <c r="G36" s="165"/>
    </row>
    <row r="37" spans="1:7" x14ac:dyDescent="0.25">
      <c r="A37" s="155" t="str">
        <f>HYPERLINK("[OpenSolver Tester.xlsm]'LargeRangeLB'!A1", "LargeRangeLB")</f>
        <v>LargeRangeLB</v>
      </c>
      <c r="E37" s="59" t="s">
        <v>332</v>
      </c>
      <c r="G37" s="165"/>
    </row>
    <row r="38" spans="1:7" x14ac:dyDescent="0.25">
      <c r="A38" s="155" t="str">
        <f>HYPERLINK("[OpenSolver Tester.xlsm]'OverlapRangeLB'!A1", "OverlapRangeLB")</f>
        <v>OverlapRangeLB</v>
      </c>
      <c r="C38" s="162"/>
      <c r="E38" s="59" t="s">
        <v>332</v>
      </c>
    </row>
    <row r="39" spans="1:7" x14ac:dyDescent="0.25">
      <c r="A39" s="155" t="str">
        <f>HYPERLINK("[OpenSolver Tester.xlsm]'OverlapRangeLBwithFormula'!A1", "OverlapRangeLBwithFormula")</f>
        <v>OverlapRangeLBwithFormula</v>
      </c>
      <c r="E39" s="59" t="s">
        <v>332</v>
      </c>
    </row>
    <row r="40" spans="1:7" x14ac:dyDescent="0.25">
      <c r="A40" s="155" t="str">
        <f>HYPERLINK("[OpenSolver Tester.xlsm]'ConstFormulaRangeLB'!A1", "ConstFormulaRangeLB")</f>
        <v>ConstFormulaRangeLB</v>
      </c>
      <c r="E40" s="59" t="s">
        <v>332</v>
      </c>
    </row>
    <row r="41" spans="1:7" x14ac:dyDescent="0.25">
      <c r="A41" s="155" t="str">
        <f>HYPERLINK("[OpenSolver Tester.xlsm]'VariableFormulaRangeLB'!A1", "VariableFormulaRangeLB")</f>
        <v>VariableFormulaRangeLB</v>
      </c>
      <c r="E41" s="59" t="s">
        <v>332</v>
      </c>
    </row>
    <row r="42" spans="1:7" x14ac:dyDescent="0.25">
      <c r="A42" s="155" t="str">
        <f>HYPERLINK("[OpenSolver Tester.xlsm]'ConstraintLB'!A1", "ConstraintLB")</f>
        <v>ConstraintLB</v>
      </c>
      <c r="E42" s="59" t="s">
        <v>332</v>
      </c>
    </row>
    <row r="43" spans="1:7" x14ac:dyDescent="0.25">
      <c r="A43" s="155" t="str">
        <f>HYPERLINK("[OpenSolver Tester.xlsm]'ConstantLB'!A1", "ConstantLB")</f>
        <v>ConstantLB</v>
      </c>
      <c r="E43" s="59" t="s">
        <v>332</v>
      </c>
    </row>
    <row r="44" spans="1:7" x14ac:dyDescent="0.25">
      <c r="A44" s="155" t="str">
        <f>HYPERLINK("[OpenSolver Tester.xlsm]'FormulaLB'!A1", "FormulaLB")</f>
        <v>FormulaLB</v>
      </c>
      <c r="E44" s="59" t="s">
        <v>332</v>
      </c>
    </row>
    <row r="45" spans="1:7" x14ac:dyDescent="0.25">
      <c r="A45" s="155" t="str">
        <f>HYPERLINK("[OpenSolver Tester.xlsm]'VarConstraintLB'!A1", "VarConstraintLB")</f>
        <v>VarConstraintLB</v>
      </c>
      <c r="E45" s="59" t="s">
        <v>332</v>
      </c>
    </row>
    <row r="46" spans="1:7" x14ac:dyDescent="0.25">
      <c r="A46" s="155" t="str">
        <f>HYPERLINK("[OpenSolver Tester.xlsm]'FractionalCoeffs'!A1", "FractionalCoeffs")</f>
        <v>FractionalCoeffs</v>
      </c>
      <c r="E46" s="59" t="s">
        <v>332</v>
      </c>
    </row>
    <row r="47" spans="1:7" x14ac:dyDescent="0.25">
      <c r="A47" s="155" t="str">
        <f>HYPERLINK("[OpenSolver Tester.xlsm]'ComplexLayout'!A1", "ComplexLayout")</f>
        <v>ComplexLayout</v>
      </c>
      <c r="E47" s="59" t="s">
        <v>332</v>
      </c>
    </row>
    <row r="48" spans="1:7" x14ac:dyDescent="0.25">
      <c r="A48" s="155" t="str">
        <f>HYPERLINK("[OpenSolver Tester.xlsm]'InfModel'!A1", "InfModel")</f>
        <v>InfModel</v>
      </c>
      <c r="E48" s="59" t="s">
        <v>332</v>
      </c>
    </row>
    <row r="49" spans="1:5" x14ac:dyDescent="0.25">
      <c r="A49" s="155" t="str">
        <f>HYPERLINK("[OpenSolver Tester.xlsm]'IterativeCalc'!A1", "IterativeCalc")</f>
        <v>IterativeCalc</v>
      </c>
      <c r="E49" s="59" t="s">
        <v>332</v>
      </c>
    </row>
    <row r="50" spans="1:5" x14ac:dyDescent="0.25">
      <c r="A50" s="155" t="str">
        <f>HYPERLINK("[OpenSolver Tester.xlsm]'NoObj'!A1", "NoObj")</f>
        <v>NoObj</v>
      </c>
      <c r="E50" s="59" t="s">
        <v>430</v>
      </c>
    </row>
    <row r="51" spans="1:5" x14ac:dyDescent="0.25">
      <c r="A51" s="155" t="str">
        <f>HYPERLINK("[OpenSolver Tester.xlsm]'SeekObj'!A1", "SeekObj")</f>
        <v>SeekObj</v>
      </c>
      <c r="E51" s="59" t="s">
        <v>430</v>
      </c>
    </row>
    <row r="52" spans="1:5" x14ac:dyDescent="0.25">
      <c r="A52" s="155" t="str">
        <f>HYPERLINK("[OpenSolver Tester.xlsm]'SeekObjInf'!A1", "SeekObjInf")</f>
        <v>SeekObjInf</v>
      </c>
      <c r="E52" s="59" t="s">
        <v>430</v>
      </c>
    </row>
    <row r="53" spans="1:5" x14ac:dyDescent="0.25">
      <c r="A53" s="155" t="str">
        <f>HYPERLINK("[OpenSolver Tester.xlsm]'DiffSheetObj'!A1", "DiffSheetObj")</f>
        <v>DiffSheetObj</v>
      </c>
      <c r="E53" s="59" t="s">
        <v>332</v>
      </c>
    </row>
    <row r="54" spans="1:5" x14ac:dyDescent="0.25">
      <c r="A54" s="155" t="str">
        <f>HYPERLINK("[OpenSolver Tester.xlsm]'NamedRanges'!A1", "NamedRanges")</f>
        <v>NamedRanges</v>
      </c>
      <c r="E54" s="59" t="s">
        <v>332</v>
      </c>
    </row>
    <row r="55" spans="1:5" x14ac:dyDescent="0.25">
      <c r="A55" s="155" t="str">
        <f>HYPERLINK("[OpenSolver Tester.xlsm]'QuickSolve'!A1", "QuickSolve")</f>
        <v>QuickSolve</v>
      </c>
      <c r="E55" s="59" t="s">
        <v>430</v>
      </c>
    </row>
    <row r="56" spans="1:5" x14ac:dyDescent="0.25">
      <c r="A56" s="155" t="str">
        <f>HYPERLINK("[OpenSolver Tester.xlsm]'SolverParameters'!A1", "SolverParameters")</f>
        <v>SolverParameters</v>
      </c>
      <c r="E56" s="59" t="s">
        <v>430</v>
      </c>
    </row>
    <row r="57" spans="1:5" x14ac:dyDescent="0.25">
      <c r="A57" s="155" t="str">
        <f>HYPERLINK("[OpenSolver Tester.xlsm]'Warmstart'!A1", "Warmstart")</f>
        <v>Warmstart</v>
      </c>
      <c r="E57" s="59" t="s">
        <v>419</v>
      </c>
    </row>
    <row r="58" spans="1:5" x14ac:dyDescent="0.25">
      <c r="A58" s="155" t="str">
        <f>HYPERLINK("[OpenSolver Tester.xlsm]'Sensitivity'!A1", "Sensitivity")</f>
        <v>Sensitivity</v>
      </c>
      <c r="E58" s="59" t="s">
        <v>332</v>
      </c>
    </row>
    <row r="59" spans="1:5" x14ac:dyDescent="0.25">
      <c r="A59" s="155" t="str">
        <f>HYPERLINK("[OpenSolver Tester.xlsm]'SensitivityNames'!A1", "SensitivityNames")</f>
        <v>SensitivityNames</v>
      </c>
      <c r="E59" s="59" t="s">
        <v>332</v>
      </c>
    </row>
    <row r="60" spans="1:5" x14ac:dyDescent="0.25">
      <c r="A60" s="155" t="str">
        <f>HYPERLINK("[OpenSolver Tester.xlsm]'NonLinSimple'!A1", "NonLinSimple")</f>
        <v>NonLinSimple</v>
      </c>
      <c r="E60" s="59" t="s">
        <v>430</v>
      </c>
    </row>
    <row r="61" spans="1:5" x14ac:dyDescent="0.25">
      <c r="A61" s="155" t="str">
        <f>HYPERLINK("[OpenSolver Tester.xlsm]'NonLinLarge'!A1", "NonLinLarge")</f>
        <v>NonLinLarge</v>
      </c>
      <c r="E61" s="59" t="s">
        <v>430</v>
      </c>
    </row>
    <row r="62" spans="1:5" x14ac:dyDescent="0.25">
      <c r="A62" s="155" t="str">
        <f>HYPERLINK("[OpenSolver Tester.xlsm]'NonLinObj'!A1", "NonLinObj")</f>
        <v>NonLinObj</v>
      </c>
      <c r="E62" s="59" t="s">
        <v>430</v>
      </c>
    </row>
    <row r="63" spans="1:5" x14ac:dyDescent="0.25">
      <c r="A63" s="155" t="str">
        <f>HYPERLINK("[OpenSolver Tester.xlsm]'NonLinPruning'!A1", "NonLinPruning")</f>
        <v>NonLinPruning</v>
      </c>
      <c r="E63" s="59" t="s">
        <v>430</v>
      </c>
    </row>
    <row r="64" spans="1:5" x14ac:dyDescent="0.25">
      <c r="A64" s="155" t="str">
        <f>HYPERLINK("[OpenSolver Tester.xlsm]'NonLinMinMax'!A1", "NonLinMinMax")</f>
        <v>NonLinMinMax</v>
      </c>
      <c r="E64" s="59" t="s">
        <v>430</v>
      </c>
    </row>
    <row r="65" spans="1:8" x14ac:dyDescent="0.25">
      <c r="A65" s="155" t="str">
        <f>HYPERLINK("[OpenSolver Tester.xlsm]'NonLinConstraints'!A1", "NonLinConstraints")</f>
        <v>NonLinConstraints</v>
      </c>
      <c r="E65" s="59" t="s">
        <v>430</v>
      </c>
      <c r="H65" s="165"/>
    </row>
    <row r="66" spans="1:8" x14ac:dyDescent="0.25">
      <c r="A66" s="155" t="str">
        <f>HYPERLINK("[OpenSolver Tester.xlsm]'NonLinBinary'!A1", "NonLinBinary")</f>
        <v>NonLinBinary</v>
      </c>
      <c r="E66" s="59" t="s">
        <v>430</v>
      </c>
      <c r="G66" s="163"/>
    </row>
    <row r="67" spans="1:8" x14ac:dyDescent="0.25">
      <c r="A67" s="155" t="str">
        <f>HYPERLINK("[OpenSolver Tester.xlsm]'NonLin'!A1", "NonLin")</f>
        <v>NonLin</v>
      </c>
      <c r="E67" s="59" t="s">
        <v>430</v>
      </c>
    </row>
    <row r="68" spans="1:8" x14ac:dyDescent="0.25">
      <c r="A68" s="155" t="str">
        <f>HYPERLINK("[OpenSolver Tester.xlsm]'NonLin2'!A1", "NonLin2")</f>
        <v>NonLin2</v>
      </c>
      <c r="E68" s="59" t="s">
        <v>430</v>
      </c>
    </row>
    <row r="69" spans="1:8" x14ac:dyDescent="0.25">
      <c r="A69" s="155" t="str">
        <f>HYPERLINK("[OpenSolver Tester.xlsm]'NonLin3'!A1", "NonLin3")</f>
        <v>NonLin3</v>
      </c>
      <c r="E69" s="59" t="s">
        <v>430</v>
      </c>
    </row>
    <row r="70" spans="1:8" x14ac:dyDescent="0.25">
      <c r="A70" s="155" t="str">
        <f>HYPERLINK("[OpenSolver Tester.xlsm]'NonLin4'!A1", "NonLin4")</f>
        <v>NonLin4</v>
      </c>
      <c r="E70" s="59" t="s">
        <v>332</v>
      </c>
    </row>
    <row r="71" spans="1:8" x14ac:dyDescent="0.25">
      <c r="A71" s="155" t="str">
        <f>HYPERLINK("[OpenSolver Tester.xlsm]'NonLin5'!A1", "NonLin5")</f>
        <v>NonLin5</v>
      </c>
      <c r="E71" s="59" t="s">
        <v>430</v>
      </c>
    </row>
    <row r="72" spans="1:8" x14ac:dyDescent="0.25">
      <c r="A72" s="155" t="str">
        <f>HYPERLINK("[OpenSolver Tester.xlsm]'NonLin6'!A1", "NonLin6")</f>
        <v>NonLin6</v>
      </c>
      <c r="E72" s="59" t="s">
        <v>430</v>
      </c>
    </row>
    <row r="73" spans="1:8" x14ac:dyDescent="0.25">
      <c r="A73" s="155" t="str">
        <f>HYPERLINK("[OpenSolver Tester.xlsm]'NOMADCallback'!A1", "NOMADCallback")</f>
        <v>NOMADCallback</v>
      </c>
      <c r="E73" s="59" t="s">
        <v>419</v>
      </c>
    </row>
  </sheetData>
  <dataConsolidate/>
  <mergeCells count="1">
    <mergeCell ref="C1:F1"/>
  </mergeCells>
  <conditionalFormatting sqref="B3:XFD1048576">
    <cfRule type="cellIs" dxfId="6" priority="1" operator="equal">
      <formula>"NA*"</formula>
    </cfRule>
    <cfRule type="cellIs" dxfId="5" priority="2" operator="equal">
      <formula>"PASS*"</formula>
    </cfRule>
    <cfRule type="cellIs" dxfId="4" priority="3" operator="equal">
      <formula>"FAIL*"</formula>
    </cfRule>
    <cfRule type="cellIs" dxfId="3" priority="4" operator="equal">
      <formula>"NA"</formula>
    </cfRule>
    <cfRule type="cellIs" dxfId="2" priority="5" operator="equal">
      <formula>"FAIL"</formula>
    </cfRule>
    <cfRule type="cellIs" dxfId="1" priority="6" operator="equal">
      <formula>"PASS"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LaunchForm">
                <anchor moveWithCells="1" sizeWithCells="1">
                  <from>
                    <xdr:col>0</xdr:col>
                    <xdr:colOff>152400</xdr:colOff>
                    <xdr:row>0</xdr:row>
                    <xdr:rowOff>200025</xdr:rowOff>
                  </from>
                  <to>
                    <xdr:col>1</xdr:col>
                    <xdr:colOff>447675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RemoveOS">
                <anchor moveWithCells="1" sizeWithCells="1">
                  <from>
                    <xdr:col>6</xdr:col>
                    <xdr:colOff>142875</xdr:colOff>
                    <xdr:row>0</xdr:row>
                    <xdr:rowOff>200025</xdr:rowOff>
                  </from>
                  <to>
                    <xdr:col>8</xdr:col>
                    <xdr:colOff>457200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ImportOS">
                <anchor moveWithCells="1" sizeWithCells="1">
                  <from>
                    <xdr:col>9</xdr:col>
                    <xdr:colOff>257175</xdr:colOff>
                    <xdr:row>0</xdr:row>
                    <xdr:rowOff>190500</xdr:rowOff>
                  </from>
                  <to>
                    <xdr:col>11</xdr:col>
                    <xdr:colOff>561975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ExportResults.ExportResults">
                <anchor moveWithCells="1" sizeWithCells="1">
                  <from>
                    <xdr:col>12</xdr:col>
                    <xdr:colOff>457200</xdr:colOff>
                    <xdr:row>0</xdr:row>
                    <xdr:rowOff>190500</xdr:rowOff>
                  </from>
                  <to>
                    <xdr:col>15</xdr:col>
                    <xdr:colOff>161925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impleLP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140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285156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31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34">
        <v>0</v>
      </c>
      <c r="E4" s="147">
        <v>5.2941176470588234</v>
      </c>
      <c r="F4" s="147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AND(D17,E17,F17,D21)</f>
        <v>1</v>
      </c>
      <c r="D6" s="1">
        <v>2</v>
      </c>
      <c r="E6" s="1">
        <v>3</v>
      </c>
      <c r="F6" s="1">
        <v>4</v>
      </c>
      <c r="H6" s="1">
        <f>SUMPRODUCT($D$4:$F$4,D6:F6)</f>
        <v>15.882352941176471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86">
        <f t="shared" ref="H8:H9" si="0">SUMPRODUCT($D$4:$F$4,D8:F8)</f>
        <v>58.235294117647058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86">
        <f t="shared" si="0"/>
        <v>116.47058823529412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116.47058823529412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180</v>
      </c>
      <c r="I11" s="1" t="s">
        <v>10</v>
      </c>
      <c r="J11" s="1">
        <v>180</v>
      </c>
    </row>
    <row r="12" spans="1:10" x14ac:dyDescent="0.25">
      <c r="I12" s="38"/>
    </row>
    <row r="13" spans="1:10" x14ac:dyDescent="0.25">
      <c r="I13" s="38"/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8:B8" xr:uid="{00000000-0002-0000-0300-000000000000}">
      <formula1>OpenSolverResult</formula1>
    </dataValidation>
    <dataValidation type="list" allowBlank="1" showInputMessage="1" showErrorMessage="1" sqref="A4:B4" xr:uid="{00000000-0002-0000-0300-000001000000}">
      <formula1>ModelType</formula1>
    </dataValidation>
    <dataValidation type="list" allowBlank="1" showInputMessage="1" showErrorMessage="1" sqref="A2:B2" xr:uid="{00000000-0002-0000-0300-000002000000}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impleIP"/>
  <dimension ref="A1:J21"/>
  <sheetViews>
    <sheetView workbookViewId="0">
      <selection activeCell="N1" sqref="N1"/>
    </sheetView>
  </sheetViews>
  <sheetFormatPr defaultColWidth="8.85546875" defaultRowHeight="15" x14ac:dyDescent="0.25"/>
  <cols>
    <col min="1" max="1" width="15" style="60" bestFit="1" customWidth="1"/>
    <col min="2" max="2" width="3.140625" customWidth="1"/>
    <col min="3" max="3" width="9" customWidth="1"/>
    <col min="4" max="4" width="13.7109375" style="170" customWidth="1"/>
    <col min="5" max="5" width="13" style="170" customWidth="1"/>
    <col min="6" max="6" width="5.140625" style="170" customWidth="1"/>
    <col min="7" max="7" width="3.140625" style="170" customWidth="1"/>
    <col min="8" max="8" width="8.28515625" style="170" customWidth="1"/>
    <col min="9" max="9" width="3" style="170" bestFit="1" customWidth="1"/>
    <col min="10" max="10" width="6" style="170" customWidth="1"/>
    <col min="14" max="14" width="7.7109375" customWidth="1"/>
  </cols>
  <sheetData>
    <row r="1" spans="1:10" x14ac:dyDescent="0.25">
      <c r="A1" s="62" t="s">
        <v>203</v>
      </c>
      <c r="D1" s="18" t="s">
        <v>350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C3" s="171"/>
      <c r="D3" s="172"/>
      <c r="E3" s="173"/>
    </row>
    <row r="4" spans="1:10" ht="15.75" thickBot="1" x14ac:dyDescent="0.3">
      <c r="A4" s="63" t="s">
        <v>206</v>
      </c>
      <c r="C4" s="140" t="s">
        <v>351</v>
      </c>
      <c r="D4" s="35" t="s">
        <v>244</v>
      </c>
      <c r="E4" s="141" t="s">
        <v>242</v>
      </c>
      <c r="H4"/>
      <c r="I4"/>
      <c r="J4"/>
    </row>
    <row r="5" spans="1:10" x14ac:dyDescent="0.25">
      <c r="A5" s="62" t="s">
        <v>209</v>
      </c>
      <c r="C5" s="140">
        <v>1</v>
      </c>
      <c r="D5" s="35">
        <v>2</v>
      </c>
      <c r="E5" s="187">
        <v>0</v>
      </c>
    </row>
    <row r="6" spans="1:10" ht="15.75" thickBot="1" x14ac:dyDescent="0.3">
      <c r="A6" s="63" t="b">
        <f>AND(D17,E17,F17,D21)</f>
        <v>1</v>
      </c>
      <c r="C6" s="140">
        <v>2</v>
      </c>
      <c r="D6" s="35">
        <v>3</v>
      </c>
      <c r="E6" s="141">
        <v>1</v>
      </c>
    </row>
    <row r="7" spans="1:10" x14ac:dyDescent="0.25">
      <c r="A7" s="62" t="s">
        <v>210</v>
      </c>
      <c r="C7" s="140">
        <v>3</v>
      </c>
      <c r="D7" s="35">
        <v>4</v>
      </c>
      <c r="E7" s="141">
        <v>1</v>
      </c>
    </row>
    <row r="8" spans="1:10" x14ac:dyDescent="0.25">
      <c r="A8" s="64" t="s">
        <v>200</v>
      </c>
      <c r="C8" s="140"/>
      <c r="D8" s="35"/>
      <c r="E8" s="141"/>
    </row>
    <row r="9" spans="1:10" ht="15.75" thickBot="1" x14ac:dyDescent="0.3">
      <c r="A9" s="63">
        <f>VLOOKUP(A8,OpenSolverResultCodes,2,FALSE)</f>
        <v>0</v>
      </c>
      <c r="C9" s="140" t="s">
        <v>352</v>
      </c>
      <c r="D9" s="35" t="s">
        <v>353</v>
      </c>
      <c r="E9" s="141" t="s">
        <v>354</v>
      </c>
    </row>
    <row r="10" spans="1:10" ht="15.75" thickBot="1" x14ac:dyDescent="0.3">
      <c r="A10" s="156" t="str">
        <f>HYPERLINK("[OpenSolver Tester.xlsm]Results!A1", "&lt;- Results")</f>
        <v>&lt;- Results</v>
      </c>
      <c r="C10" s="174">
        <v>5</v>
      </c>
      <c r="D10" s="175">
        <f>SUMPRODUCT(C5:C7,E5:E7)</f>
        <v>5</v>
      </c>
      <c r="E10" s="176">
        <f>SUMPRODUCT(D5:D7,E5:E7)</f>
        <v>7</v>
      </c>
    </row>
    <row r="15" spans="1:10" x14ac:dyDescent="0.25">
      <c r="C15" s="17" t="s">
        <v>15</v>
      </c>
    </row>
    <row r="16" spans="1:10" x14ac:dyDescent="0.25">
      <c r="D16" s="170">
        <v>0</v>
      </c>
      <c r="E16" s="170">
        <v>1</v>
      </c>
      <c r="F16" s="170">
        <v>1</v>
      </c>
    </row>
    <row r="17" spans="3:6" x14ac:dyDescent="0.25">
      <c r="C17" t="s">
        <v>17</v>
      </c>
      <c r="D17" s="8" t="b">
        <f>ABS(E5-D16)/(1+ABS(D16))&lt;=0.000001</f>
        <v>1</v>
      </c>
      <c r="E17" s="8" t="b">
        <f>ABS(E6-E16)/(1+ABS(E16))&lt;=0.000001</f>
        <v>1</v>
      </c>
      <c r="F17" s="8" t="b">
        <f>ABS(E7-F16)/(1+ABS(F16))&lt;=0.000001</f>
        <v>1</v>
      </c>
    </row>
    <row r="19" spans="3:6" x14ac:dyDescent="0.25">
      <c r="C19" s="17" t="s">
        <v>16</v>
      </c>
    </row>
    <row r="20" spans="3:6" x14ac:dyDescent="0.25">
      <c r="D20" s="170">
        <v>7</v>
      </c>
    </row>
    <row r="21" spans="3:6" x14ac:dyDescent="0.25">
      <c r="C21" t="s">
        <v>17</v>
      </c>
      <c r="D21" s="8" t="b">
        <f>ABS(D20-E10)/(1+ABS(D20))&lt;=0.000001</f>
        <v>1</v>
      </c>
    </row>
  </sheetData>
  <dataConsolidate/>
  <dataValidations count="3">
    <dataValidation type="list" allowBlank="1" showInputMessage="1" showErrorMessage="1" sqref="A2:B2" xr:uid="{00000000-0002-0000-0400-000000000000}">
      <formula1>TestType</formula1>
    </dataValidation>
    <dataValidation type="list" allowBlank="1" showInputMessage="1" showErrorMessage="1" sqref="A4:B4" xr:uid="{00000000-0002-0000-0400-000001000000}">
      <formula1>ModelType</formula1>
    </dataValidation>
    <dataValidation type="list" allowBlank="1" showInputMessage="1" showErrorMessage="1" sqref="A8:B8" xr:uid="{00000000-0002-0000-0400-000002000000}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IP_SUMIF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140625" customWidth="1"/>
    <col min="3" max="3" width="9" customWidth="1"/>
    <col min="4" max="4" width="13.7109375" style="178" customWidth="1"/>
    <col min="5" max="5" width="13" style="178" customWidth="1"/>
    <col min="6" max="6" width="5.140625" style="178" customWidth="1"/>
    <col min="7" max="7" width="3.140625" style="178" customWidth="1"/>
    <col min="8" max="8" width="8.28515625" style="178" customWidth="1"/>
    <col min="9" max="9" width="3" style="178" bestFit="1" customWidth="1"/>
    <col min="10" max="10" width="6" style="178" customWidth="1"/>
    <col min="14" max="14" width="7.7109375" customWidth="1"/>
  </cols>
  <sheetData>
    <row r="1" spans="1:10" x14ac:dyDescent="0.25">
      <c r="A1" s="62" t="s">
        <v>203</v>
      </c>
      <c r="D1" s="18" t="s">
        <v>406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C3" s="171"/>
      <c r="D3" s="172"/>
      <c r="E3" s="173"/>
    </row>
    <row r="4" spans="1:10" ht="15.75" thickBot="1" x14ac:dyDescent="0.3">
      <c r="A4" s="63" t="s">
        <v>206</v>
      </c>
      <c r="C4" s="140" t="s">
        <v>351</v>
      </c>
      <c r="D4" s="35" t="s">
        <v>244</v>
      </c>
      <c r="E4" s="141" t="s">
        <v>242</v>
      </c>
      <c r="H4"/>
      <c r="I4"/>
      <c r="J4"/>
    </row>
    <row r="5" spans="1:10" x14ac:dyDescent="0.25">
      <c r="A5" s="62" t="s">
        <v>209</v>
      </c>
      <c r="C5" s="140">
        <v>1</v>
      </c>
      <c r="D5" s="35">
        <v>2</v>
      </c>
      <c r="E5" s="141">
        <v>0</v>
      </c>
    </row>
    <row r="6" spans="1:10" ht="15.75" thickBot="1" x14ac:dyDescent="0.3">
      <c r="A6" s="63" t="b">
        <f>AND(D17,E17,F17,D21)</f>
        <v>1</v>
      </c>
      <c r="C6" s="140">
        <v>2</v>
      </c>
      <c r="D6" s="35">
        <v>3</v>
      </c>
      <c r="E6" s="141">
        <v>1</v>
      </c>
    </row>
    <row r="7" spans="1:10" x14ac:dyDescent="0.25">
      <c r="A7" s="62" t="s">
        <v>210</v>
      </c>
      <c r="C7" s="140">
        <v>3</v>
      </c>
      <c r="D7" s="35">
        <v>4</v>
      </c>
      <c r="E7" s="141">
        <v>1</v>
      </c>
    </row>
    <row r="8" spans="1:10" x14ac:dyDescent="0.25">
      <c r="A8" s="64" t="s">
        <v>200</v>
      </c>
      <c r="C8" s="140"/>
      <c r="D8" s="35"/>
      <c r="E8" s="141"/>
    </row>
    <row r="9" spans="1:10" ht="15.75" thickBot="1" x14ac:dyDescent="0.3">
      <c r="A9" s="63">
        <f>VLOOKUP(A8,OpenSolverResultCodes,2,FALSE)</f>
        <v>0</v>
      </c>
      <c r="C9" s="140" t="s">
        <v>352</v>
      </c>
      <c r="D9" s="35" t="s">
        <v>353</v>
      </c>
      <c r="E9" s="141" t="s">
        <v>354</v>
      </c>
    </row>
    <row r="10" spans="1:10" ht="15.75" thickBot="1" x14ac:dyDescent="0.3">
      <c r="A10" s="156" t="str">
        <f>HYPERLINK("[OpenSolver Tester.xlsm]Results!A1", "&lt;- Results")</f>
        <v>&lt;- Results</v>
      </c>
      <c r="C10" s="174">
        <v>5</v>
      </c>
      <c r="D10" s="175">
        <f>SUMIF(E5:E7,"=1",C5:C7)</f>
        <v>5</v>
      </c>
      <c r="E10" s="176">
        <f>SUMIF(E5:E7,"=1",D5:D7)</f>
        <v>7</v>
      </c>
    </row>
    <row r="15" spans="1:10" x14ac:dyDescent="0.25">
      <c r="C15" s="17" t="s">
        <v>15</v>
      </c>
    </row>
    <row r="16" spans="1:10" x14ac:dyDescent="0.25">
      <c r="D16" s="178">
        <v>0</v>
      </c>
      <c r="E16" s="178">
        <v>1</v>
      </c>
      <c r="F16" s="178">
        <v>1</v>
      </c>
    </row>
    <row r="17" spans="3:6" x14ac:dyDescent="0.25">
      <c r="C17" t="s">
        <v>17</v>
      </c>
      <c r="D17" s="8" t="b">
        <f>ABS(E5-D16)/(1+ABS(D16))&lt;=0.000001</f>
        <v>1</v>
      </c>
      <c r="E17" s="8" t="b">
        <f>ABS(E6-E16)/(1+ABS(E16))&lt;=0.000001</f>
        <v>1</v>
      </c>
      <c r="F17" s="8" t="b">
        <f>ABS(E7-F16)/(1+ABS(F16))&lt;=0.000001</f>
        <v>1</v>
      </c>
    </row>
    <row r="19" spans="3:6" x14ac:dyDescent="0.25">
      <c r="C19" s="17" t="s">
        <v>16</v>
      </c>
    </row>
    <row r="20" spans="3:6" x14ac:dyDescent="0.25">
      <c r="D20" s="178">
        <v>7</v>
      </c>
    </row>
    <row r="21" spans="3:6" x14ac:dyDescent="0.25">
      <c r="C21" t="s">
        <v>17</v>
      </c>
      <c r="D21" s="8" t="b">
        <f>ABS(D20-E10)/(1+ABS(D20))&lt;=0.000001</f>
        <v>1</v>
      </c>
    </row>
  </sheetData>
  <dataConsolidate/>
  <dataValidations count="3">
    <dataValidation type="list" allowBlank="1" showInputMessage="1" showErrorMessage="1" sqref="A8:B8" xr:uid="{00000000-0002-0000-0500-000000000000}">
      <formula1>OpenSolverResult</formula1>
    </dataValidation>
    <dataValidation type="list" allowBlank="1" showInputMessage="1" showErrorMessage="1" sqref="A4:B4" xr:uid="{00000000-0002-0000-0500-000001000000}">
      <formula1>ModelType</formula1>
    </dataValidation>
    <dataValidation type="list" allowBlank="1" showInputMessage="1" showErrorMessage="1" sqref="A2:B2" xr:uid="{00000000-0002-0000-0500-000002000000}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OverlappingVars"/>
  <dimension ref="A1:J21"/>
  <sheetViews>
    <sheetView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3.140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285156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84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">
        <v>0</v>
      </c>
      <c r="E4" s="1">
        <v>5.2941176470588234</v>
      </c>
      <c r="F4" s="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AND(D17,E17,F17,D21)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15.882352941176471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58.235294117647058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116.47058823529412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116.47058823529412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180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:B2" xr:uid="{00000000-0002-0000-0600-000000000000}">
      <formula1>TestType</formula1>
    </dataValidation>
    <dataValidation type="list" allowBlank="1" showInputMessage="1" showErrorMessage="1" sqref="A4:B4" xr:uid="{00000000-0002-0000-0600-000001000000}">
      <formula1>ModelType</formula1>
    </dataValidation>
    <dataValidation type="list" allowBlank="1" showInputMessage="1" showErrorMessage="1" sqref="A8:B8" xr:uid="{00000000-0002-0000-0600-000002000000}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BlankRHS"/>
  <dimension ref="A1:L21"/>
  <sheetViews>
    <sheetView workbookViewId="0">
      <selection activeCell="W13" sqref="W13"/>
    </sheetView>
  </sheetViews>
  <sheetFormatPr defaultColWidth="8.85546875" defaultRowHeight="15" x14ac:dyDescent="0.25"/>
  <cols>
    <col min="1" max="1" width="15" style="60" bestFit="1" customWidth="1"/>
    <col min="2" max="2" width="2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285156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211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5.2941176470588234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15.882352941176471</v>
      </c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58.235294117647058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116.47058823529412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116.47058823529412</v>
      </c>
      <c r="I10" s="1" t="s">
        <v>9</v>
      </c>
      <c r="L10" t="s">
        <v>90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180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8" xr:uid="{00000000-0002-0000-0700-000000000000}">
      <formula1>OpenSolverResult</formula1>
    </dataValidation>
    <dataValidation type="list" allowBlank="1" showInputMessage="1" showErrorMessage="1" sqref="A4" xr:uid="{00000000-0002-0000-0700-000001000000}">
      <formula1>ModelType</formula1>
    </dataValidation>
    <dataValidation type="list" allowBlank="1" showInputMessage="1" showErrorMessage="1" sqref="A2" xr:uid="{00000000-0002-0000-0700-000002000000}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BlankLHS"/>
  <dimension ref="A1:L21"/>
  <sheetViews>
    <sheetView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2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285156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212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5.2941176470588234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15.882352941176471</v>
      </c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58.235294117647058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116.47058823529412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I10" s="1" t="s">
        <v>9</v>
      </c>
      <c r="J10" s="1">
        <v>-10</v>
      </c>
      <c r="L10" t="s">
        <v>104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180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" xr:uid="{00000000-0002-0000-0800-000000000000}">
      <formula1>TestType</formula1>
    </dataValidation>
    <dataValidation type="list" allowBlank="1" showInputMessage="1" showErrorMessage="1" sqref="A4" xr:uid="{00000000-0002-0000-0800-000001000000}">
      <formula1>ModelType</formula1>
    </dataValidation>
    <dataValidation type="list" allowBlank="1" showInputMessage="1" showErrorMessage="1" sqref="A8" xr:uid="{00000000-0002-0000-0800-000002000000}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extRHS"/>
  <dimension ref="A1:L21"/>
  <sheetViews>
    <sheetView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2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285156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93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s">
        <v>91</v>
      </c>
      <c r="L10" t="s">
        <v>92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8" xr:uid="{00000000-0002-0000-0900-000000000000}">
      <formula1>OpenSolverResult</formula1>
    </dataValidation>
    <dataValidation type="list" allowBlank="1" showInputMessage="1" showErrorMessage="1" sqref="A4" xr:uid="{00000000-0002-0000-0900-000001000000}">
      <formula1>ModelType</formula1>
    </dataValidation>
    <dataValidation type="list" allowBlank="1" showInputMessage="1" showErrorMessage="1" sqref="A2" xr:uid="{00000000-0002-0000-0900-000002000000}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ErrorRHS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285156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95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e">
        <f>1/0</f>
        <v>#DIV/0!</v>
      </c>
      <c r="L10" t="s">
        <v>94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2" xr:uid="{00000000-0002-0000-0A00-000000000000}">
      <formula1>TestType</formula1>
    </dataValidation>
    <dataValidation type="list" allowBlank="1" showInputMessage="1" showErrorMessage="1" sqref="A4" xr:uid="{00000000-0002-0000-0A00-000001000000}">
      <formula1>ModelType</formula1>
    </dataValidation>
    <dataValidation type="list" allowBlank="1" showInputMessage="1" showErrorMessage="1" sqref="A8" xr:uid="{00000000-0002-0000-0A00-000002000000}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ErrorLHS"/>
  <dimension ref="A1:L21"/>
  <sheetViews>
    <sheetView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2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285156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105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 t="e">
        <f>1/0</f>
        <v>#DIV/0!</v>
      </c>
      <c r="I10" s="1" t="s">
        <v>9</v>
      </c>
      <c r="J10" s="1">
        <v>0</v>
      </c>
      <c r="L10" t="s">
        <v>96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Consolidate/>
  <dataValidations count="3">
    <dataValidation type="list" allowBlank="1" showInputMessage="1" showErrorMessage="1" sqref="A8" xr:uid="{00000000-0002-0000-0B00-000000000000}">
      <formula1>OpenSolverResult</formula1>
    </dataValidation>
    <dataValidation type="list" allowBlank="1" showInputMessage="1" showErrorMessage="1" sqref="A4" xr:uid="{00000000-0002-0000-0B00-000001000000}">
      <formula1>ModelType</formula1>
    </dataValidation>
    <dataValidation type="list" allowBlank="1" showInputMessage="1" showErrorMessage="1" sqref="A2" xr:uid="{00000000-0002-0000-0B00-000002000000}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ErrorObj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285156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97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 t="e">
        <f>1/0</f>
        <v>#DIV/0!</v>
      </c>
      <c r="L6" t="s">
        <v>99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#DIV/0!</v>
      </c>
    </row>
  </sheetData>
  <dataConsolidate/>
  <dataValidations count="3">
    <dataValidation type="list" allowBlank="1" showInputMessage="1" showErrorMessage="1" sqref="A2" xr:uid="{00000000-0002-0000-0C00-000000000000}">
      <formula1>TestType</formula1>
    </dataValidation>
    <dataValidation type="list" allowBlank="1" showInputMessage="1" showErrorMessage="1" sqref="A4" xr:uid="{00000000-0002-0000-0C00-000001000000}">
      <formula1>ModelType</formula1>
    </dataValidation>
    <dataValidation type="list" allowBlank="1" showInputMessage="1" showErrorMessage="1" sqref="A8" xr:uid="{00000000-0002-0000-0C00-000002000000}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extObj"/>
  <dimension ref="A1:L21"/>
  <sheetViews>
    <sheetView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2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285156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97</v>
      </c>
    </row>
    <row r="2" spans="1:12" ht="15.75" thickBot="1" x14ac:dyDescent="0.3">
      <c r="A2" s="63" t="s">
        <v>204</v>
      </c>
    </row>
    <row r="3" spans="1:12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2" t="s">
        <v>209</v>
      </c>
    </row>
    <row r="6" spans="1:12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 t="s">
        <v>98</v>
      </c>
      <c r="L6" t="s">
        <v>99</v>
      </c>
    </row>
    <row r="7" spans="1:12" x14ac:dyDescent="0.25">
      <c r="A7" s="62" t="s">
        <v>210</v>
      </c>
    </row>
    <row r="8" spans="1:12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#VALUE!</v>
      </c>
    </row>
  </sheetData>
  <dataConsolidate/>
  <dataValidations count="3">
    <dataValidation type="list" allowBlank="1" showInputMessage="1" showErrorMessage="1" sqref="A8" xr:uid="{00000000-0002-0000-0D00-000000000000}">
      <formula1>OpenSolverResult</formula1>
    </dataValidation>
    <dataValidation type="list" allowBlank="1" showInputMessage="1" showErrorMessage="1" sqref="A4" xr:uid="{00000000-0002-0000-0D00-000001000000}">
      <formula1>ModelType</formula1>
    </dataValidation>
    <dataValidation type="list" allowBlank="1" showInputMessage="1" showErrorMessage="1" sqref="A2" xr:uid="{00000000-0002-0000-0D00-000002000000}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MergedVarsSubset"/>
  <dimension ref="A1:L22"/>
  <sheetViews>
    <sheetView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2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285156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100</v>
      </c>
    </row>
    <row r="2" spans="1:12" ht="15.75" thickBot="1" x14ac:dyDescent="0.3">
      <c r="A2" s="63" t="s">
        <v>204</v>
      </c>
      <c r="D2" s="18" t="s">
        <v>102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</row>
    <row r="5" spans="1:12" x14ac:dyDescent="0.25">
      <c r="A5" s="62" t="s">
        <v>209</v>
      </c>
      <c r="D5" s="1">
        <v>0</v>
      </c>
      <c r="E5" s="189">
        <v>5.2941175999999999</v>
      </c>
      <c r="F5" s="189"/>
      <c r="H5"/>
      <c r="I5"/>
      <c r="J5"/>
      <c r="L5" t="s">
        <v>103</v>
      </c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15.8823528</v>
      </c>
    </row>
    <row r="8" spans="1:12" x14ac:dyDescent="0.25">
      <c r="A8" s="64" t="s">
        <v>199</v>
      </c>
    </row>
    <row r="9" spans="1:12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F11" s="1">
        <v>-23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F12" s="1">
        <v>-32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E5:F5"/>
  </mergeCells>
  <dataValidations count="3">
    <dataValidation type="list" allowBlank="1" showInputMessage="1" showErrorMessage="1" sqref="A2" xr:uid="{00000000-0002-0000-0E00-000000000000}">
      <formula1>TestType</formula1>
    </dataValidation>
    <dataValidation type="list" allowBlank="1" showInputMessage="1" showErrorMessage="1" sqref="A4" xr:uid="{00000000-0002-0000-0E00-000001000000}">
      <formula1>ModelType</formula1>
    </dataValidation>
    <dataValidation type="list" allowBlank="1" showInputMessage="1" showErrorMessage="1" sqref="A8" xr:uid="{00000000-0002-0000-0E00-000002000000}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MergedVarsOK"/>
  <dimension ref="A1:L22"/>
  <sheetViews>
    <sheetView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2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285156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101</v>
      </c>
    </row>
    <row r="2" spans="1:12" ht="15.75" thickBot="1" x14ac:dyDescent="0.3">
      <c r="A2" s="63" t="s">
        <v>204</v>
      </c>
      <c r="D2" s="18" t="s">
        <v>111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0</v>
      </c>
      <c r="E5" s="189">
        <v>5.2941176470588234</v>
      </c>
      <c r="F5" s="189"/>
      <c r="H5"/>
      <c r="I5"/>
      <c r="J5"/>
      <c r="L5" t="s">
        <v>109</v>
      </c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15.882352941176471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58.235294117647058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116.47058823529412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116.47058823529412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E5:F5"/>
  </mergeCells>
  <dataValidations count="3">
    <dataValidation type="list" allowBlank="1" showInputMessage="1" showErrorMessage="1" sqref="A8" xr:uid="{00000000-0002-0000-0F00-000000000000}">
      <formula1>OpenSolverResult</formula1>
    </dataValidation>
    <dataValidation type="list" allowBlank="1" showInputMessage="1" showErrorMessage="1" sqref="A4" xr:uid="{00000000-0002-0000-0F00-000001000000}">
      <formula1>ModelType</formula1>
    </dataValidation>
    <dataValidation type="list" allowBlank="1" showInputMessage="1" showErrorMessage="1" sqref="A2" xr:uid="{00000000-0002-0000-0F00-000002000000}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MergedVarsBad"/>
  <dimension ref="A1:L22"/>
  <sheetViews>
    <sheetView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2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285156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101</v>
      </c>
    </row>
    <row r="2" spans="1:12" ht="15.75" thickBot="1" x14ac:dyDescent="0.3">
      <c r="A2" s="63" t="s">
        <v>204</v>
      </c>
      <c r="D2" s="18" t="s">
        <v>102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>
        <v>0</v>
      </c>
      <c r="E4" s="1">
        <v>0</v>
      </c>
      <c r="F4" s="1">
        <v>0</v>
      </c>
    </row>
    <row r="5" spans="1:12" x14ac:dyDescent="0.25">
      <c r="A5" s="62" t="s">
        <v>209</v>
      </c>
      <c r="C5" s="189">
        <v>2</v>
      </c>
      <c r="D5" s="189"/>
      <c r="E5" s="1">
        <v>0</v>
      </c>
      <c r="H5"/>
      <c r="I5"/>
      <c r="J5"/>
      <c r="L5" t="s">
        <v>110</v>
      </c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4" t="s">
        <v>199</v>
      </c>
    </row>
    <row r="9" spans="1:12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H9" s="1">
        <f>SUMPRODUCT($D$5:$F$5,D9:F9)</f>
        <v>0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0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0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ABS(C5-D17)/(1+ABS(D17))&lt;=0.000001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0</v>
      </c>
      <c r="K22"/>
      <c r="L22"/>
    </row>
  </sheetData>
  <dataConsolidate/>
  <mergeCells count="1">
    <mergeCell ref="C5:D5"/>
  </mergeCells>
  <dataValidations count="3">
    <dataValidation type="list" allowBlank="1" showInputMessage="1" showErrorMessage="1" sqref="A2" xr:uid="{00000000-0002-0000-1000-000000000000}">
      <formula1>TestType</formula1>
    </dataValidation>
    <dataValidation type="list" allowBlank="1" showInputMessage="1" showErrorMessage="1" sqref="A4" xr:uid="{00000000-0002-0000-1000-000001000000}">
      <formula1>ModelType</formula1>
    </dataValidation>
    <dataValidation type="list" allowBlank="1" showInputMessage="1" showErrorMessage="1" sqref="A8" xr:uid="{00000000-0002-0000-1000-000002000000}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MergedRHS_OK"/>
  <dimension ref="A1:L22"/>
  <sheetViews>
    <sheetView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2.28515625" customWidth="1"/>
    <col min="3" max="3" width="4.85546875" customWidth="1"/>
    <col min="4" max="4" width="10.28515625" style="1" customWidth="1"/>
    <col min="5" max="5" width="5.140625" style="1" customWidth="1"/>
    <col min="6" max="6" width="7.140625" style="1" customWidth="1"/>
    <col min="7" max="7" width="3.140625" style="1" customWidth="1"/>
    <col min="8" max="8" width="8.285156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2" t="s">
        <v>203</v>
      </c>
      <c r="D1" s="18" t="s">
        <v>107</v>
      </c>
    </row>
    <row r="2" spans="1:12" ht="15.75" thickBot="1" x14ac:dyDescent="0.3">
      <c r="A2" s="63" t="s">
        <v>204</v>
      </c>
      <c r="D2" s="18"/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0</v>
      </c>
      <c r="E5" s="1">
        <v>5.2941176470588234</v>
      </c>
      <c r="F5" s="1">
        <v>0</v>
      </c>
      <c r="H5"/>
      <c r="I5"/>
      <c r="J5"/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15.882352941176471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58.235294117647058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116.47058823529412</v>
      </c>
      <c r="I10" s="1" t="s">
        <v>8</v>
      </c>
      <c r="J10" s="189">
        <v>150</v>
      </c>
      <c r="K10" s="189"/>
      <c r="L10" t="s">
        <v>106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116.47058823529412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J10:K10"/>
  </mergeCells>
  <dataValidations count="3">
    <dataValidation type="list" allowBlank="1" showInputMessage="1" showErrorMessage="1" sqref="A8" xr:uid="{00000000-0002-0000-1100-000000000000}">
      <formula1>OpenSolverResult</formula1>
    </dataValidation>
    <dataValidation type="list" allowBlank="1" showInputMessage="1" showErrorMessage="1" sqref="A4" xr:uid="{00000000-0002-0000-1100-000001000000}">
      <formula1>ModelType</formula1>
    </dataValidation>
    <dataValidation type="list" allowBlank="1" showInputMessage="1" showErrorMessage="1" sqref="A2" xr:uid="{00000000-0002-0000-1100-000002000000}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MergedLHS_OK"/>
  <dimension ref="A1:L22"/>
  <sheetViews>
    <sheetView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2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285156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2" t="s">
        <v>203</v>
      </c>
      <c r="D1" s="18" t="s">
        <v>108</v>
      </c>
    </row>
    <row r="2" spans="1:12" ht="15.75" thickBot="1" x14ac:dyDescent="0.3">
      <c r="A2" s="63" t="s">
        <v>204</v>
      </c>
      <c r="D2" s="18"/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34">
        <v>0</v>
      </c>
      <c r="E5" s="1">
        <v>5.2941176470588234</v>
      </c>
      <c r="F5" s="1">
        <v>0</v>
      </c>
      <c r="H5"/>
      <c r="I5"/>
      <c r="J5"/>
    </row>
    <row r="6" spans="1:12" ht="15.75" thickBot="1" x14ac:dyDescent="0.3">
      <c r="A6" s="63" t="b">
        <f>AND(D18,E18,F18,D22)</f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15.882352941176471</v>
      </c>
    </row>
    <row r="8" spans="1:12" x14ac:dyDescent="0.25">
      <c r="A8" s="64" t="s">
        <v>200</v>
      </c>
    </row>
    <row r="9" spans="1:12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58.235294117647058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89">
        <f>SUMPRODUCT($D$5:$F$5,D10:F10)</f>
        <v>116.47058823529412</v>
      </c>
      <c r="H10" s="189"/>
      <c r="I10" s="1" t="s">
        <v>8</v>
      </c>
      <c r="J10" s="1">
        <v>200</v>
      </c>
      <c r="K10" s="1"/>
      <c r="L10" t="s">
        <v>314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116.47058823529412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180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1</v>
      </c>
      <c r="K22"/>
      <c r="L22"/>
    </row>
  </sheetData>
  <dataConsolidate/>
  <mergeCells count="1">
    <mergeCell ref="G10:H10"/>
  </mergeCells>
  <dataValidations count="3">
    <dataValidation type="list" allowBlank="1" showInputMessage="1" showErrorMessage="1" sqref="A2" xr:uid="{00000000-0002-0000-1200-000000000000}">
      <formula1>TestType</formula1>
    </dataValidation>
    <dataValidation type="list" allowBlank="1" showInputMessage="1" showErrorMessage="1" sqref="A4" xr:uid="{00000000-0002-0000-1200-000001000000}">
      <formula1>ModelType</formula1>
    </dataValidation>
    <dataValidation type="list" allowBlank="1" showInputMessage="1" showErrorMessage="1" sqref="A8" xr:uid="{00000000-0002-0000-1200-000002000000}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MergedLHSMultiple_OK"/>
  <dimension ref="A1:L22"/>
  <sheetViews>
    <sheetView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2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285156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2" t="s">
        <v>203</v>
      </c>
      <c r="D1" s="18" t="s">
        <v>108</v>
      </c>
    </row>
    <row r="2" spans="1:12" ht="15.75" thickBot="1" x14ac:dyDescent="0.3">
      <c r="A2" s="63" t="s">
        <v>204</v>
      </c>
      <c r="D2" s="18" t="s">
        <v>184</v>
      </c>
    </row>
    <row r="3" spans="1:12" x14ac:dyDescent="0.25">
      <c r="A3" s="62" t="s">
        <v>208</v>
      </c>
      <c r="D3" s="18"/>
    </row>
    <row r="4" spans="1:12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2" x14ac:dyDescent="0.25">
      <c r="A5" s="62" t="s">
        <v>209</v>
      </c>
      <c r="D5" s="1">
        <v>10.423</v>
      </c>
      <c r="E5" s="1">
        <v>10.423</v>
      </c>
      <c r="F5" s="1">
        <v>10.423</v>
      </c>
      <c r="H5"/>
      <c r="I5"/>
      <c r="J5"/>
    </row>
    <row r="6" spans="1:12" ht="15.75" thickBot="1" x14ac:dyDescent="0.3">
      <c r="A6" s="63" t="b">
        <v>1</v>
      </c>
    </row>
    <row r="7" spans="1:12" x14ac:dyDescent="0.25">
      <c r="A7" s="62" t="s">
        <v>210</v>
      </c>
      <c r="C7" t="s">
        <v>0</v>
      </c>
      <c r="D7" s="1">
        <v>2</v>
      </c>
      <c r="E7" s="1">
        <v>3</v>
      </c>
      <c r="H7" s="1">
        <f>SUMPRODUCT($D$5:$F$5,D7:F7)</f>
        <v>52.114999999999995</v>
      </c>
    </row>
    <row r="8" spans="1:12" x14ac:dyDescent="0.25">
      <c r="A8" s="64" t="s">
        <v>27</v>
      </c>
    </row>
    <row r="9" spans="1:12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H9" s="1">
        <f>SUMPRODUCT($D$5:$F$5,D9:F9)+5*P8</f>
        <v>218.88300000000001</v>
      </c>
      <c r="I9" s="1" t="s">
        <v>8</v>
      </c>
      <c r="J9" s="1">
        <v>60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90">
        <v>5</v>
      </c>
      <c r="H10" s="190"/>
      <c r="I10" s="1" t="s">
        <v>8</v>
      </c>
      <c r="J10" s="1">
        <v>100</v>
      </c>
      <c r="K10" s="1"/>
      <c r="L10" t="s">
        <v>185</v>
      </c>
    </row>
    <row r="11" spans="1:12" x14ac:dyDescent="0.25">
      <c r="D11" s="1">
        <v>21</v>
      </c>
      <c r="E11" s="1">
        <v>22</v>
      </c>
      <c r="G11" s="190"/>
      <c r="H11" s="190"/>
      <c r="I11" s="1" t="s">
        <v>9</v>
      </c>
      <c r="J11" s="1">
        <v>5</v>
      </c>
    </row>
    <row r="12" spans="1:12" x14ac:dyDescent="0.25">
      <c r="D12" s="1">
        <v>19</v>
      </c>
      <c r="E12" s="1">
        <v>34</v>
      </c>
      <c r="H12" s="1">
        <f>SUMPRODUCT($D$5:$F$5,D12:F12)</f>
        <v>552.41899999999998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0"/>
      <c r="C18" t="s">
        <v>17</v>
      </c>
      <c r="D18" s="8" t="b">
        <f>ABS(D5-D17)/(1+ABS(D17))&lt;=0.000001</f>
        <v>0</v>
      </c>
      <c r="E18" s="8" t="b">
        <f>ABS(E5-E17)/(1+ABS(E17))&lt;=0.000001</f>
        <v>0</v>
      </c>
      <c r="F18" s="8" t="b">
        <f>ABS(F5-F17)/(1+ABS(F17))&lt;=0.000001</f>
        <v>0</v>
      </c>
      <c r="K18"/>
      <c r="L18"/>
    </row>
    <row r="20" spans="1:12" s="1" customFormat="1" x14ac:dyDescent="0.25">
      <c r="A20" s="60"/>
      <c r="C20" s="17" t="s">
        <v>16</v>
      </c>
      <c r="K20"/>
      <c r="L20"/>
    </row>
    <row r="21" spans="1:12" s="1" customFormat="1" x14ac:dyDescent="0.25">
      <c r="A21" s="60"/>
      <c r="C21"/>
      <c r="D21" s="1">
        <v>15.882352941176622</v>
      </c>
      <c r="K21"/>
      <c r="L21"/>
    </row>
    <row r="22" spans="1:12" s="1" customFormat="1" x14ac:dyDescent="0.25">
      <c r="A22" s="60"/>
      <c r="C22" t="s">
        <v>17</v>
      </c>
      <c r="D22" s="8" t="b">
        <f>ABS(D21-H7)/(1+ABS(D21))&lt;=0.000001</f>
        <v>0</v>
      </c>
      <c r="K22"/>
      <c r="L22"/>
    </row>
  </sheetData>
  <dataConsolidate/>
  <mergeCells count="1">
    <mergeCell ref="G10:H11"/>
  </mergeCells>
  <dataValidations count="3">
    <dataValidation type="list" allowBlank="1" showInputMessage="1" showErrorMessage="1" sqref="A8" xr:uid="{00000000-0002-0000-1300-000000000000}">
      <formula1>OpenSolverResult</formula1>
    </dataValidation>
    <dataValidation type="list" allowBlank="1" showInputMessage="1" showErrorMessage="1" sqref="A4" xr:uid="{00000000-0002-0000-1300-000001000000}">
      <formula1>ModelType</formula1>
    </dataValidation>
    <dataValidation type="list" allowBlank="1" showInputMessage="1" showErrorMessage="1" sqref="A2" xr:uid="{00000000-0002-0000-1300-000002000000}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BinIntOverlap"/>
  <dimension ref="A1:K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28515625" customWidth="1"/>
    <col min="3" max="3" width="4.85546875" customWidth="1"/>
    <col min="4" max="4" width="10.140625" style="1" customWidth="1"/>
    <col min="5" max="6" width="5.140625" style="1" customWidth="1"/>
    <col min="7" max="7" width="8.28515625" style="1" customWidth="1"/>
    <col min="8" max="8" width="3.140625" style="1" customWidth="1"/>
    <col min="9" max="9" width="8.28515625" style="1" customWidth="1"/>
    <col min="10" max="10" width="3" style="1" bestFit="1" customWidth="1"/>
    <col min="11" max="11" width="17.85546875" style="1" customWidth="1"/>
    <col min="15" max="15" width="7.7109375" customWidth="1"/>
  </cols>
  <sheetData>
    <row r="1" spans="1:11" x14ac:dyDescent="0.25">
      <c r="A1" s="62" t="s">
        <v>203</v>
      </c>
      <c r="D1" s="18" t="s">
        <v>25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  <c r="D3" s="1" t="s">
        <v>1</v>
      </c>
      <c r="E3" s="1" t="s">
        <v>2</v>
      </c>
      <c r="F3" s="1" t="s">
        <v>3</v>
      </c>
      <c r="G3" s="1" t="s">
        <v>18</v>
      </c>
    </row>
    <row r="4" spans="1:11" ht="15.75" thickBot="1" x14ac:dyDescent="0.3">
      <c r="A4" s="63" t="s">
        <v>206</v>
      </c>
      <c r="D4" s="134">
        <v>0</v>
      </c>
      <c r="E4" s="1">
        <v>1</v>
      </c>
      <c r="F4" s="1">
        <v>1</v>
      </c>
      <c r="G4" s="134">
        <v>0</v>
      </c>
      <c r="I4"/>
      <c r="J4"/>
      <c r="K4"/>
    </row>
    <row r="5" spans="1:11" x14ac:dyDescent="0.25">
      <c r="A5" s="62" t="s">
        <v>209</v>
      </c>
    </row>
    <row r="6" spans="1:11" ht="15.75" thickBot="1" x14ac:dyDescent="0.3">
      <c r="A6" s="63" t="b">
        <f>AND(D17,E17,F17,G17,D21)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</f>
        <v>10.123000000000001</v>
      </c>
    </row>
    <row r="7" spans="1:11" x14ac:dyDescent="0.25">
      <c r="A7" s="62" t="s">
        <v>210</v>
      </c>
    </row>
    <row r="8" spans="1:11" x14ac:dyDescent="0.25">
      <c r="A8" s="64" t="s">
        <v>200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SUMPRODUCT($D$4:$G$4,D8:G8)+5*Q7</f>
        <v>11</v>
      </c>
      <c r="J8" s="1" t="s">
        <v>8</v>
      </c>
      <c r="K8" s="1">
        <v>61.234567800000001</v>
      </c>
    </row>
    <row r="9" spans="1:11" ht="15.75" thickBot="1" x14ac:dyDescent="0.3">
      <c r="A9" s="63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11" ht="15.75" thickBot="1" x14ac:dyDescent="0.3">
      <c r="A10" s="156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</row>
    <row r="11" spans="1:11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</row>
    <row r="15" spans="1:11" x14ac:dyDescent="0.25">
      <c r="C15" s="17" t="s">
        <v>15</v>
      </c>
    </row>
    <row r="16" spans="1:11" x14ac:dyDescent="0.25">
      <c r="D16" s="1">
        <v>0</v>
      </c>
      <c r="E16" s="1">
        <v>1</v>
      </c>
      <c r="F16" s="1">
        <v>1</v>
      </c>
      <c r="G16" s="1">
        <v>0</v>
      </c>
    </row>
    <row r="17" spans="3:7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</row>
    <row r="19" spans="3:7" x14ac:dyDescent="0.25">
      <c r="C19" t="s">
        <v>16</v>
      </c>
    </row>
    <row r="20" spans="3:7" x14ac:dyDescent="0.25">
      <c r="D20" s="1">
        <v>10.123000000000001</v>
      </c>
    </row>
    <row r="21" spans="3:7" x14ac:dyDescent="0.25">
      <c r="C21" t="s">
        <v>17</v>
      </c>
      <c r="D21" s="8" t="b">
        <f>ABS(D20-I6)/(1+ABS(D20))&lt;=0.000001</f>
        <v>1</v>
      </c>
    </row>
  </sheetData>
  <dataConsolidate/>
  <dataValidations count="3">
    <dataValidation type="list" allowBlank="1" showInputMessage="1" showErrorMessage="1" sqref="A2" xr:uid="{00000000-0002-0000-1400-000000000000}">
      <formula1>TestType</formula1>
    </dataValidation>
    <dataValidation type="list" allowBlank="1" showInputMessage="1" showErrorMessage="1" sqref="A4" xr:uid="{00000000-0002-0000-1400-000001000000}">
      <formula1>ModelType</formula1>
    </dataValidation>
    <dataValidation type="list" allowBlank="1" showInputMessage="1" showErrorMessage="1" sqref="A8" xr:uid="{00000000-0002-0000-1400-000002000000}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ConFormula"/>
  <dimension ref="A1:W22"/>
  <sheetViews>
    <sheetView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2.28515625" customWidth="1"/>
    <col min="3" max="3" width="4.85546875" customWidth="1"/>
    <col min="4" max="7" width="5.140625" style="1" customWidth="1"/>
    <col min="8" max="8" width="3.140625" style="1" customWidth="1"/>
    <col min="9" max="9" width="23.85546875" style="16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2" t="s">
        <v>203</v>
      </c>
      <c r="C1" t="s">
        <v>23</v>
      </c>
    </row>
    <row r="2" spans="1:21" ht="15.75" thickBot="1" x14ac:dyDescent="0.3">
      <c r="A2" s="63" t="s">
        <v>204</v>
      </c>
      <c r="C2" t="s">
        <v>24</v>
      </c>
      <c r="Q2" t="s">
        <v>21</v>
      </c>
    </row>
    <row r="3" spans="1:21" x14ac:dyDescent="0.25">
      <c r="A3" s="62" t="s">
        <v>208</v>
      </c>
    </row>
    <row r="4" spans="1:21" ht="15.75" thickBot="1" x14ac:dyDescent="0.3">
      <c r="A4" s="63" t="s">
        <v>206</v>
      </c>
      <c r="M4" t="s">
        <v>19</v>
      </c>
      <c r="N4">
        <v>8.3970688204158748</v>
      </c>
      <c r="Q4" s="145">
        <v>0</v>
      </c>
      <c r="R4" s="10">
        <v>11</v>
      </c>
      <c r="S4" s="9">
        <f>SUM(Q4:R4)</f>
        <v>11</v>
      </c>
      <c r="T4" s="11" t="s">
        <v>8</v>
      </c>
      <c r="U4" s="10">
        <v>55</v>
      </c>
    </row>
    <row r="5" spans="1:21" x14ac:dyDescent="0.25">
      <c r="A5" s="62" t="s">
        <v>209</v>
      </c>
      <c r="D5" s="134">
        <v>0</v>
      </c>
      <c r="E5" s="1">
        <v>1</v>
      </c>
      <c r="F5" s="1">
        <v>1</v>
      </c>
      <c r="G5" s="1">
        <v>0.29565217391304266</v>
      </c>
      <c r="J5"/>
      <c r="K5"/>
      <c r="M5" t="s">
        <v>20</v>
      </c>
      <c r="N5">
        <v>0</v>
      </c>
      <c r="Q5" s="4">
        <v>44</v>
      </c>
      <c r="R5" s="5">
        <v>22</v>
      </c>
      <c r="S5" s="4">
        <f>SUM(Q5:R5)</f>
        <v>66</v>
      </c>
      <c r="T5" s="12" t="s">
        <v>8</v>
      </c>
      <c r="U5" s="5">
        <v>66</v>
      </c>
    </row>
    <row r="6" spans="1:21" ht="15.75" thickBot="1" x14ac:dyDescent="0.3">
      <c r="A6" s="63" t="b">
        <f>AND(D18,E18,F18,G18,D22,O17,O18,V17,V18,W17,W18)</f>
        <v>1</v>
      </c>
      <c r="Q6" s="9">
        <f>SUM(Q4:Q5)</f>
        <v>44</v>
      </c>
      <c r="R6" s="10">
        <f>SUM(R4:R5)</f>
        <v>33</v>
      </c>
    </row>
    <row r="7" spans="1:21" x14ac:dyDescent="0.25">
      <c r="A7" s="62" t="s">
        <v>210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721.43095279773149</v>
      </c>
      <c r="Q7" s="13" t="s">
        <v>9</v>
      </c>
      <c r="R7" s="14" t="s">
        <v>9</v>
      </c>
    </row>
    <row r="8" spans="1:21" x14ac:dyDescent="0.25">
      <c r="A8" s="64" t="s">
        <v>200</v>
      </c>
      <c r="Q8" s="4">
        <v>44</v>
      </c>
      <c r="R8" s="5">
        <v>33</v>
      </c>
    </row>
    <row r="9" spans="1:21" ht="15.75" thickBot="1" x14ac:dyDescent="0.3">
      <c r="A9" s="63">
        <f>VLOOKUP(A8,OpenSolverResultCodes,2,FALSE)</f>
        <v>0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14.547826086956512</v>
      </c>
      <c r="J9" s="1" t="s">
        <v>8</v>
      </c>
      <c r="K9" s="1">
        <f>61.2345678+2.3*N4-S5</f>
        <v>14.547826086956519</v>
      </c>
    </row>
    <row r="10" spans="1:21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28.799999999999983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I11" s="16">
        <f>SUMPRODUCT($D$5:$G$5,D11:G11)</f>
        <v>115.20000000000002</v>
      </c>
      <c r="J11" s="1" t="s">
        <v>9</v>
      </c>
      <c r="K11" s="1">
        <v>110</v>
      </c>
      <c r="Q11" t="s">
        <v>22</v>
      </c>
    </row>
    <row r="12" spans="1:21" x14ac:dyDescent="0.25">
      <c r="G12" s="1">
        <v>-32</v>
      </c>
      <c r="I12" s="16">
        <f>SUMPRODUCT($D$5:$G$5,D12:G12)</f>
        <v>-9.4608695652173651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H14" s="19" t="s">
        <v>26</v>
      </c>
      <c r="I14" s="16">
        <f>I11/4+B3</f>
        <v>28.800000000000004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0.29565217391304349</v>
      </c>
      <c r="N17">
        <v>8.3970688204158819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0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0"/>
      <c r="C21"/>
      <c r="D21" s="1">
        <v>721.43095279773161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0"/>
      <c r="C22" t="s">
        <v>17</v>
      </c>
      <c r="D22" s="8" t="b">
        <f>ABS(D21-I7)/(1+ABS(D21))&lt;=0.000001</f>
        <v>1</v>
      </c>
      <c r="I22" s="16"/>
      <c r="L22"/>
      <c r="M22"/>
      <c r="N22"/>
      <c r="O22"/>
      <c r="P22"/>
      <c r="Q22"/>
      <c r="R22"/>
    </row>
  </sheetData>
  <dataConsolidate/>
  <dataValidations count="3">
    <dataValidation type="list" allowBlank="1" showInputMessage="1" showErrorMessage="1" sqref="A2" xr:uid="{00000000-0002-0000-1500-000000000000}">
      <formula1>TestType</formula1>
    </dataValidation>
    <dataValidation type="list" allowBlank="1" showInputMessage="1" showErrorMessage="1" sqref="A4" xr:uid="{00000000-0002-0000-1500-000001000000}">
      <formula1>ModelType</formula1>
    </dataValidation>
    <dataValidation type="list" allowBlank="1" showInputMessage="1" showErrorMessage="1" sqref="A8" xr:uid="{00000000-0002-0000-1500-000002000000}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ConFormulaInf"/>
  <dimension ref="A1:W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28515625" customWidth="1"/>
    <col min="3" max="3" width="4.85546875" customWidth="1"/>
    <col min="4" max="7" width="5.140625" style="1" customWidth="1"/>
    <col min="8" max="8" width="3.140625" style="1" customWidth="1"/>
    <col min="9" max="9" width="17.28515625" style="16" customWidth="1"/>
    <col min="10" max="10" width="3" style="1" bestFit="1" customWidth="1"/>
    <col min="11" max="11" width="16.28515625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2" t="s">
        <v>203</v>
      </c>
      <c r="C1" t="s">
        <v>158</v>
      </c>
    </row>
    <row r="2" spans="1:21" ht="15.75" thickBot="1" x14ac:dyDescent="0.3">
      <c r="A2" s="63" t="s">
        <v>204</v>
      </c>
      <c r="C2" t="s">
        <v>33</v>
      </c>
      <c r="Q2" t="s">
        <v>21</v>
      </c>
    </row>
    <row r="3" spans="1:21" x14ac:dyDescent="0.25">
      <c r="A3" s="62" t="s">
        <v>208</v>
      </c>
    </row>
    <row r="4" spans="1:21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10.423</v>
      </c>
      <c r="Q4" s="145">
        <v>10.423</v>
      </c>
      <c r="R4" s="10">
        <v>10.423</v>
      </c>
      <c r="S4" s="9">
        <f>SUM(Q4:R4)</f>
        <v>20.846</v>
      </c>
      <c r="T4" s="11" t="s">
        <v>8</v>
      </c>
      <c r="U4" s="10">
        <v>55</v>
      </c>
    </row>
    <row r="5" spans="1:21" x14ac:dyDescent="0.25">
      <c r="A5" s="62" t="s">
        <v>209</v>
      </c>
      <c r="D5" s="1">
        <v>10.423</v>
      </c>
      <c r="E5" s="1">
        <v>0</v>
      </c>
      <c r="F5" s="1">
        <v>0</v>
      </c>
      <c r="G5" s="1">
        <v>10.423</v>
      </c>
      <c r="J5"/>
      <c r="K5"/>
      <c r="M5" t="s">
        <v>20</v>
      </c>
      <c r="N5">
        <v>10.423</v>
      </c>
      <c r="Q5" s="4">
        <v>10.423</v>
      </c>
      <c r="R5" s="5">
        <v>10.423</v>
      </c>
      <c r="S5" s="4">
        <f>SUM(Q5:R5)</f>
        <v>20.846</v>
      </c>
      <c r="T5" s="12" t="s">
        <v>8</v>
      </c>
      <c r="U5" s="5">
        <v>66</v>
      </c>
    </row>
    <row r="6" spans="1:21" ht="15.75" thickBot="1" x14ac:dyDescent="0.3">
      <c r="A6" s="63" t="b">
        <v>1</v>
      </c>
      <c r="Q6" s="9">
        <f>SUM(Q4:Q5)</f>
        <v>20.846</v>
      </c>
      <c r="R6" s="10">
        <f>SUM(R4:R5)</f>
        <v>20.846</v>
      </c>
    </row>
    <row r="7" spans="1:21" x14ac:dyDescent="0.25">
      <c r="A7" s="62" t="s">
        <v>210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605.78476000000001</v>
      </c>
      <c r="Q7" s="13" t="s">
        <v>9</v>
      </c>
      <c r="R7" s="14" t="s">
        <v>9</v>
      </c>
    </row>
    <row r="8" spans="1:21" x14ac:dyDescent="0.25">
      <c r="A8" s="64" t="s">
        <v>27</v>
      </c>
      <c r="Q8" s="4">
        <v>44</v>
      </c>
      <c r="R8" s="5">
        <v>33</v>
      </c>
    </row>
    <row r="9" spans="1:21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229.30599999999998</v>
      </c>
      <c r="J9" s="1" t="s">
        <v>8</v>
      </c>
      <c r="K9" s="1">
        <f>61.2345678+2.3*N4-S5</f>
        <v>64.3614678</v>
      </c>
    </row>
    <row r="10" spans="1:21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458.61200000000002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J11" s="1" t="s">
        <v>9</v>
      </c>
      <c r="K11" s="1">
        <v>110</v>
      </c>
      <c r="N11" s="1">
        <f>SUMPRODUCT($D$5:$G$5,D11:G11)</f>
        <v>-239.72900000000001</v>
      </c>
      <c r="Q11" t="s">
        <v>22</v>
      </c>
    </row>
    <row r="12" spans="1:21" x14ac:dyDescent="0.25">
      <c r="G12" s="1">
        <v>-32</v>
      </c>
      <c r="I12" s="16">
        <f>SUMPRODUCT($D$5:$G$5,D12:G12)</f>
        <v>-333.536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I14" s="16">
        <v>22</v>
      </c>
    </row>
    <row r="15" spans="1:21" x14ac:dyDescent="0.25">
      <c r="I15" s="16">
        <v>1</v>
      </c>
    </row>
    <row r="16" spans="1:21" x14ac:dyDescent="0.25">
      <c r="C16" t="s">
        <v>15</v>
      </c>
      <c r="F16" s="1" t="b">
        <f>AND(D18:G18,O17:O18,V17:W18)</f>
        <v>0</v>
      </c>
    </row>
    <row r="17" spans="1:23" x14ac:dyDescent="0.25">
      <c r="D17" s="1">
        <v>0</v>
      </c>
      <c r="E17" s="1">
        <v>1</v>
      </c>
      <c r="F17" s="1">
        <v>1</v>
      </c>
      <c r="G17" s="1">
        <v>0</v>
      </c>
      <c r="N17">
        <v>6.8545357391372654</v>
      </c>
      <c r="O17" s="15" t="b">
        <f>ABS(N4-N17)/(1+ABS(N17))&lt;=0.000001</f>
        <v>0</v>
      </c>
      <c r="Q17" s="9">
        <v>0</v>
      </c>
      <c r="R17" s="10">
        <v>10.999999999988283</v>
      </c>
      <c r="V17" s="15" t="b">
        <f>ABS(Q4-Q17)/(1+ABS(Q17))&lt;=0.000001</f>
        <v>0</v>
      </c>
      <c r="W17" s="15" t="b">
        <f>ABS(R4-R17)/(1+ABS(R17))&lt;=0.000001</f>
        <v>0</v>
      </c>
    </row>
    <row r="18" spans="1:23" x14ac:dyDescent="0.25">
      <c r="C18" t="s">
        <v>17</v>
      </c>
      <c r="D18" s="8" t="b">
        <f>ABS(D5-D17)/(1+ABS(D17))&lt;=0.000001</f>
        <v>0</v>
      </c>
      <c r="E18" s="8" t="b">
        <f>ABS(E5-E17)/(1+ABS(E17))&lt;=0.000001</f>
        <v>0</v>
      </c>
      <c r="F18" s="8" t="b">
        <f>ABS(F5-F17)/(1+ABS(F17))&lt;=0.000001</f>
        <v>0</v>
      </c>
      <c r="G18" s="8" t="b">
        <f>ABS(G5-G17)/(1+ABS(G17))&lt;=0.000001</f>
        <v>0</v>
      </c>
      <c r="N18">
        <v>0</v>
      </c>
      <c r="O18" s="15" t="b">
        <f>ABS(N5-N18)/(1+ABS(N18))&lt;=0.000001</f>
        <v>0</v>
      </c>
      <c r="Q18" s="4">
        <v>43.999999999954298</v>
      </c>
      <c r="R18" s="5">
        <v>22.000000000080945</v>
      </c>
      <c r="V18" s="15" t="b">
        <f>ABS(Q5-Q18)/(1+ABS(Q18))&lt;=0.000001</f>
        <v>0</v>
      </c>
      <c r="W18" s="15" t="b">
        <f>ABS(R5-R18)/(1+ABS(R18))&lt;=0.000001</f>
        <v>0</v>
      </c>
    </row>
    <row r="20" spans="1:23" s="1" customFormat="1" x14ac:dyDescent="0.25">
      <c r="A20" s="60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0"/>
      <c r="C21"/>
      <c r="D21" s="1">
        <v>10.123000000000001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0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Consolidate/>
  <dataValidations count="3">
    <dataValidation type="list" allowBlank="1" showInputMessage="1" showErrorMessage="1" sqref="A8" xr:uid="{00000000-0002-0000-1600-000000000000}">
      <formula1>OpenSolverResult</formula1>
    </dataValidation>
    <dataValidation type="list" allowBlank="1" showInputMessage="1" showErrorMessage="1" sqref="A4" xr:uid="{00000000-0002-0000-1600-000001000000}">
      <formula1>ModelType</formula1>
    </dataValidation>
    <dataValidation type="list" allowBlank="1" showInputMessage="1" showErrorMessage="1" sqref="A2" xr:uid="{00000000-0002-0000-1600-000002000000}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BadName"/>
  <dimension ref="A1:N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285156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4" x14ac:dyDescent="0.25">
      <c r="A1" s="62" t="s">
        <v>203</v>
      </c>
      <c r="C1" t="s">
        <v>32</v>
      </c>
    </row>
    <row r="2" spans="1:14" ht="15.75" thickBot="1" x14ac:dyDescent="0.3">
      <c r="A2" s="63" t="s">
        <v>204</v>
      </c>
      <c r="C2" t="s">
        <v>420</v>
      </c>
    </row>
    <row r="3" spans="1:14" x14ac:dyDescent="0.25">
      <c r="A3" s="62" t="s">
        <v>208</v>
      </c>
    </row>
    <row r="4" spans="1:14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4" x14ac:dyDescent="0.25">
      <c r="A5" s="62" t="s">
        <v>209</v>
      </c>
      <c r="D5" s="1">
        <v>5.2380952380952381</v>
      </c>
      <c r="E5" s="1">
        <v>0</v>
      </c>
      <c r="F5" s="1">
        <v>0</v>
      </c>
      <c r="H5"/>
      <c r="I5"/>
      <c r="J5"/>
    </row>
    <row r="6" spans="1:14" ht="15.75" thickBot="1" x14ac:dyDescent="0.3">
      <c r="A6" s="63" t="b">
        <f>AND(D18:F18,D22)</f>
        <v>1</v>
      </c>
    </row>
    <row r="7" spans="1:14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10.476190476190476</v>
      </c>
    </row>
    <row r="8" spans="1:14" x14ac:dyDescent="0.25">
      <c r="A8" s="64" t="str">
        <f ca="1">IF(VALUE(INFO("RELEASE"))&gt;=16,"Optimal", "ErrorOccurred")</f>
        <v>Optimal</v>
      </c>
    </row>
    <row r="9" spans="1:14" ht="15.75" thickBot="1" x14ac:dyDescent="0.3">
      <c r="A9" s="63">
        <f ca="1">VLOOKUP(A8,OpenSolverResultCodes,2,FALSE)</f>
        <v>0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52.38095238095238</v>
      </c>
      <c r="I9" s="1" t="s">
        <v>8</v>
      </c>
      <c r="J9" s="1">
        <v>60</v>
      </c>
    </row>
    <row r="10" spans="1:14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110</v>
      </c>
      <c r="I10" s="1" t="s">
        <v>8</v>
      </c>
      <c r="J10" s="1">
        <v>150</v>
      </c>
      <c r="N10" t="str">
        <f ca="1">INFO("RELEASE")</f>
        <v>16.0</v>
      </c>
    </row>
    <row r="11" spans="1:14" x14ac:dyDescent="0.25">
      <c r="D11" s="1">
        <v>21</v>
      </c>
      <c r="E11" s="1">
        <v>22</v>
      </c>
      <c r="F11" s="1">
        <v>-23</v>
      </c>
      <c r="H11" s="1">
        <f>SUMPRODUCT($D$5:$F$5,D11:F11)</f>
        <v>110</v>
      </c>
      <c r="I11" s="1" t="s">
        <v>9</v>
      </c>
      <c r="J11" s="1">
        <v>110</v>
      </c>
    </row>
    <row r="12" spans="1:14" x14ac:dyDescent="0.25">
      <c r="D12" s="1">
        <v>19</v>
      </c>
      <c r="E12" s="1">
        <v>34</v>
      </c>
      <c r="F12" s="1">
        <v>-32</v>
      </c>
      <c r="H12" s="1">
        <f>SUMPRODUCT($D$5:$F$5,D12:F12)</f>
        <v>99.523809523809518</v>
      </c>
      <c r="I12" s="1" t="s">
        <v>8</v>
      </c>
      <c r="J12" s="1">
        <v>180</v>
      </c>
    </row>
    <row r="16" spans="1:14" x14ac:dyDescent="0.25">
      <c r="C16" s="17" t="s">
        <v>15</v>
      </c>
    </row>
    <row r="17" spans="1:9" x14ac:dyDescent="0.25">
      <c r="D17" s="1">
        <v>5.2380952380952372</v>
      </c>
      <c r="E17" s="1">
        <v>0</v>
      </c>
      <c r="F17" s="1">
        <v>0</v>
      </c>
    </row>
    <row r="18" spans="1:9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I18" s="1" t="str">
        <f ca="1">INFO("RELEASE")</f>
        <v>16.0</v>
      </c>
    </row>
    <row r="20" spans="1:9" s="1" customFormat="1" x14ac:dyDescent="0.25">
      <c r="A20" s="60"/>
      <c r="C20" s="17" t="s">
        <v>16</v>
      </c>
    </row>
    <row r="21" spans="1:9" s="1" customFormat="1" x14ac:dyDescent="0.25">
      <c r="A21" s="60"/>
      <c r="C21"/>
      <c r="D21" s="1">
        <v>10.476190476190474</v>
      </c>
    </row>
    <row r="22" spans="1:9" s="1" customFormat="1" x14ac:dyDescent="0.25">
      <c r="A22" s="60"/>
      <c r="C22" t="s">
        <v>17</v>
      </c>
      <c r="D22" s="8" t="b">
        <f>ABS(D21-H7)/(1+ABS(D21))&lt;=0.000001</f>
        <v>1</v>
      </c>
    </row>
  </sheetData>
  <dataConsolidate/>
  <dataValidations count="3">
    <dataValidation type="list" allowBlank="1" showInputMessage="1" showErrorMessage="1" sqref="A2" xr:uid="{00000000-0002-0000-1700-000000000000}">
      <formula1>TestType</formula1>
    </dataValidation>
    <dataValidation type="list" allowBlank="1" showInputMessage="1" showErrorMessage="1" sqref="A4" xr:uid="{00000000-0002-0000-1700-000001000000}">
      <formula1>ModelType</formula1>
    </dataValidation>
    <dataValidation type="list" errorStyle="warning" allowBlank="1" showInputMessage="1" showErrorMessage="1" sqref="A8" xr:uid="{00000000-0002-0000-1700-000002000000}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EscapeSheetName"/>
  <dimension ref="A1:J21"/>
  <sheetViews>
    <sheetView topLeftCell="A4"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3.140625" customWidth="1"/>
    <col min="3" max="3" width="4.85546875" customWidth="1"/>
    <col min="4" max="4" width="7.7109375" style="151" customWidth="1"/>
    <col min="5" max="6" width="5.140625" style="151" customWidth="1"/>
    <col min="7" max="7" width="3.140625" style="151" customWidth="1"/>
    <col min="8" max="8" width="8.28515625" style="151" customWidth="1"/>
    <col min="9" max="9" width="3" style="151" bestFit="1" customWidth="1"/>
    <col min="10" max="10" width="6" style="151" customWidth="1"/>
    <col min="14" max="14" width="7.7109375" customWidth="1"/>
  </cols>
  <sheetData>
    <row r="1" spans="1:10" x14ac:dyDescent="0.25">
      <c r="A1" s="62" t="s">
        <v>203</v>
      </c>
      <c r="D1" s="18" t="s">
        <v>31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51" t="s">
        <v>1</v>
      </c>
      <c r="E3" s="151" t="s">
        <v>2</v>
      </c>
      <c r="F3" s="151" t="s">
        <v>3</v>
      </c>
    </row>
    <row r="4" spans="1:10" ht="15.75" thickBot="1" x14ac:dyDescent="0.3">
      <c r="A4" s="63" t="s">
        <v>206</v>
      </c>
      <c r="D4" s="151">
        <v>0</v>
      </c>
      <c r="E4" s="151">
        <v>5.2941176470588234</v>
      </c>
      <c r="F4" s="15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AND(C20,D20,E20,C24)</f>
        <v>1</v>
      </c>
      <c r="D6" s="151">
        <v>2</v>
      </c>
      <c r="E6" s="151">
        <v>3</v>
      </c>
      <c r="F6" s="151">
        <v>4</v>
      </c>
      <c r="H6" s="151">
        <f>SUMPRODUCT($D$4:$F$4,D6:F6)</f>
        <v>15.882352941176471</v>
      </c>
    </row>
    <row r="7" spans="1:10" x14ac:dyDescent="0.25">
      <c r="A7" s="62" t="s">
        <v>210</v>
      </c>
    </row>
    <row r="8" spans="1:10" x14ac:dyDescent="0.25">
      <c r="A8" s="64" t="s">
        <v>200</v>
      </c>
      <c r="C8" t="s">
        <v>4</v>
      </c>
      <c r="D8" s="151">
        <v>10</v>
      </c>
      <c r="E8" s="151">
        <v>11</v>
      </c>
      <c r="F8" s="151">
        <v>12</v>
      </c>
      <c r="H8" s="151">
        <f>SUMPRODUCT($D$4:$F$4,D8:F8)+5*P7</f>
        <v>58.235294117647058</v>
      </c>
      <c r="I8" s="151" t="s">
        <v>8</v>
      </c>
      <c r="J8" s="151">
        <v>60</v>
      </c>
    </row>
    <row r="9" spans="1:10" ht="15.75" thickBot="1" x14ac:dyDescent="0.3">
      <c r="A9" s="63">
        <f>VLOOKUP(A8,OpenSolverResultCodes,2,FALSE)</f>
        <v>0</v>
      </c>
      <c r="D9" s="151">
        <v>21</v>
      </c>
      <c r="E9" s="151">
        <v>22</v>
      </c>
      <c r="F9" s="151">
        <v>23</v>
      </c>
      <c r="H9" s="151">
        <f>SUMPRODUCT($D$4:$F$4,D9:F9)</f>
        <v>116.47058823529412</v>
      </c>
      <c r="I9" s="151" t="s">
        <v>8</v>
      </c>
      <c r="J9" s="15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51">
        <v>21</v>
      </c>
      <c r="E10" s="151">
        <v>22</v>
      </c>
      <c r="F10" s="151">
        <v>-23</v>
      </c>
      <c r="H10" s="151">
        <f>SUMPRODUCT($D$4:$F$4,D10:F10)</f>
        <v>116.47058823529412</v>
      </c>
      <c r="I10" s="151" t="s">
        <v>9</v>
      </c>
      <c r="J10" s="151">
        <v>110</v>
      </c>
    </row>
    <row r="11" spans="1:10" x14ac:dyDescent="0.25">
      <c r="D11" s="151">
        <v>19</v>
      </c>
      <c r="E11" s="151">
        <v>34</v>
      </c>
      <c r="F11" s="151">
        <v>-32</v>
      </c>
      <c r="H11" s="151">
        <f>SUMPRODUCT($D$4:$F$4,D11:F11)</f>
        <v>180</v>
      </c>
      <c r="I11" s="151" t="s">
        <v>10</v>
      </c>
      <c r="J11" s="151">
        <v>180</v>
      </c>
    </row>
    <row r="15" spans="1:10" x14ac:dyDescent="0.25">
      <c r="C15" s="17" t="s">
        <v>15</v>
      </c>
    </row>
    <row r="16" spans="1:10" x14ac:dyDescent="0.25">
      <c r="D16" s="151">
        <v>0</v>
      </c>
      <c r="E16" s="151">
        <v>5.294117647058874</v>
      </c>
      <c r="F16" s="15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5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Consolidate/>
  <dataValidations count="3">
    <dataValidation type="list" allowBlank="1" showInputMessage="1" showErrorMessage="1" sqref="A2:B2" xr:uid="{00000000-0002-0000-1800-000000000000}">
      <formula1>TestType</formula1>
    </dataValidation>
    <dataValidation type="list" allowBlank="1" showInputMessage="1" showErrorMessage="1" sqref="A4:B4" xr:uid="{00000000-0002-0000-1800-000001000000}">
      <formula1>ModelType</formula1>
    </dataValidation>
    <dataValidation type="list" allowBlank="1" showInputMessage="1" showErrorMessage="1" sqref="A8:B8" xr:uid="{00000000-0002-0000-1800-000002000000}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DeletedConRef"/>
  <dimension ref="A1:J21"/>
  <sheetViews>
    <sheetView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2.28515625" customWidth="1"/>
    <col min="3" max="3" width="4.85546875" customWidth="1"/>
    <col min="4" max="4" width="16.85546875" style="1" customWidth="1"/>
    <col min="5" max="6" width="5.140625" style="1" customWidth="1"/>
    <col min="7" max="7" width="3.140625" style="1" customWidth="1"/>
    <col min="8" max="8" width="8.285156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29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0" x14ac:dyDescent="0.25">
      <c r="A5" s="62" t="s">
        <v>209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/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0"/>
      <c r="C19" s="17" t="s">
        <v>16</v>
      </c>
    </row>
    <row r="20" spans="1:4" s="1" customFormat="1" x14ac:dyDescent="0.25">
      <c r="A20" s="60"/>
      <c r="C20" t="s">
        <v>28</v>
      </c>
    </row>
    <row r="21" spans="1:4" s="1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2" xr:uid="{00000000-0002-0000-1900-000000000000}">
      <formula1>TestType</formula1>
    </dataValidation>
    <dataValidation type="list" allowBlank="1" showInputMessage="1" showErrorMessage="1" sqref="A4" xr:uid="{00000000-0002-0000-1900-000001000000}">
      <formula1>ModelType</formula1>
    </dataValidation>
    <dataValidation type="list" allowBlank="1" showInputMessage="1" showErrorMessage="1" sqref="A8" xr:uid="{00000000-0002-0000-1900-000002000000}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DeletedObjRef"/>
  <dimension ref="A1:J21"/>
  <sheetViews>
    <sheetView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2.28515625" customWidth="1"/>
    <col min="3" max="3" width="4.85546875" customWidth="1"/>
    <col min="4" max="4" width="16.85546875" style="54" customWidth="1"/>
    <col min="5" max="6" width="5.140625" style="54" customWidth="1"/>
    <col min="7" max="7" width="3.140625" style="54" customWidth="1"/>
    <col min="8" max="8" width="8.285156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C1" t="s">
        <v>183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54">
        <v>2</v>
      </c>
      <c r="E7" s="54">
        <v>3</v>
      </c>
      <c r="F7" s="54">
        <v>4</v>
      </c>
      <c r="J7"/>
    </row>
    <row r="8" spans="1:10" x14ac:dyDescent="0.25">
      <c r="A8" s="64" t="s">
        <v>199</v>
      </c>
    </row>
    <row r="9" spans="1:10" ht="15.75" thickBot="1" x14ac:dyDescent="0.3">
      <c r="A9" s="63">
        <f>VLOOKUP(A8,OpenSolverResultCodes,2,FALSE)</f>
        <v>-2</v>
      </c>
      <c r="C9" t="s">
        <v>4</v>
      </c>
      <c r="D9" s="54">
        <v>10</v>
      </c>
      <c r="E9" s="54">
        <v>11</v>
      </c>
      <c r="F9" s="54">
        <v>12</v>
      </c>
      <c r="H9" s="54">
        <f>SUMPRODUCT($D$5:$F$5,D9:F9)+5*P8</f>
        <v>0</v>
      </c>
      <c r="I9" s="54" t="s">
        <v>8</v>
      </c>
      <c r="J9"/>
    </row>
    <row r="10" spans="1:10" ht="15.75" thickBot="1" x14ac:dyDescent="0.3">
      <c r="A10" s="156" t="str">
        <f>HYPERLINK("[OpenSolver Tester.xlsm]Results!A1", "&lt;- Results")</f>
        <v>&lt;- Results</v>
      </c>
      <c r="D10" s="54">
        <v>21</v>
      </c>
      <c r="E10" s="54">
        <v>22</v>
      </c>
      <c r="F10" s="54">
        <v>23</v>
      </c>
      <c r="H10" s="54">
        <f>SUMPRODUCT($D$5:$F$5,D10:F10)</f>
        <v>0</v>
      </c>
      <c r="I10" s="54" t="s">
        <v>8</v>
      </c>
      <c r="J10" s="54">
        <v>150</v>
      </c>
    </row>
    <row r="11" spans="1:10" x14ac:dyDescent="0.25">
      <c r="D11" s="54">
        <v>21</v>
      </c>
      <c r="E11" s="54">
        <v>22</v>
      </c>
      <c r="F11" s="54">
        <v>-23</v>
      </c>
      <c r="H11" s="54">
        <f>SUMPRODUCT($D$5:$F$5,D11:F11)</f>
        <v>0</v>
      </c>
      <c r="I11" s="54" t="s">
        <v>9</v>
      </c>
      <c r="J11" s="54">
        <v>200</v>
      </c>
    </row>
    <row r="12" spans="1:10" x14ac:dyDescent="0.25">
      <c r="D12" s="54">
        <v>19</v>
      </c>
      <c r="E12" s="54">
        <v>34</v>
      </c>
      <c r="F12" s="54">
        <v>-32</v>
      </c>
      <c r="H12" s="54">
        <f>SUMPRODUCT($D$5:$F$5,D12:F12)</f>
        <v>0</v>
      </c>
      <c r="I12" s="54" t="s">
        <v>8</v>
      </c>
      <c r="J12" s="54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54" customFormat="1" x14ac:dyDescent="0.25">
      <c r="A19" s="60"/>
      <c r="C19" s="17" t="s">
        <v>16</v>
      </c>
    </row>
    <row r="20" spans="1:4" s="54" customFormat="1" x14ac:dyDescent="0.25">
      <c r="A20" s="60"/>
      <c r="C20" t="s">
        <v>28</v>
      </c>
    </row>
    <row r="21" spans="1:4" s="54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8" xr:uid="{00000000-0002-0000-1A00-000000000000}">
      <formula1>OpenSolverResult</formula1>
    </dataValidation>
    <dataValidation type="list" allowBlank="1" showInputMessage="1" showErrorMessage="1" sqref="A4" xr:uid="{00000000-0002-0000-1A00-000001000000}">
      <formula1>ModelType</formula1>
    </dataValidation>
    <dataValidation type="list" allowBlank="1" showInputMessage="1" showErrorMessage="1" sqref="A2" xr:uid="{00000000-0002-0000-1A00-000002000000}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InfConstConstraint"/>
  <dimension ref="A1:N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28515625" customWidth="1"/>
    <col min="3" max="3" width="4.85546875" customWidth="1"/>
    <col min="4" max="4" width="7.7109375" style="1" customWidth="1"/>
    <col min="5" max="8" width="5.140625" style="1" customWidth="1"/>
    <col min="9" max="9" width="3.140625" style="1" customWidth="1"/>
    <col min="10" max="10" width="8.28515625" style="1" customWidth="1"/>
    <col min="11" max="11" width="3" style="1" bestFit="1" customWidth="1"/>
    <col min="12" max="12" width="6" style="1" customWidth="1"/>
    <col min="16" max="16" width="7.7109375" customWidth="1"/>
  </cols>
  <sheetData>
    <row r="1" spans="1:14" x14ac:dyDescent="0.25">
      <c r="A1" s="62" t="s">
        <v>203</v>
      </c>
      <c r="D1" t="s">
        <v>159</v>
      </c>
    </row>
    <row r="2" spans="1:14" ht="15.75" thickBot="1" x14ac:dyDescent="0.3">
      <c r="A2" s="63" t="s">
        <v>204</v>
      </c>
    </row>
    <row r="3" spans="1:14" x14ac:dyDescent="0.25">
      <c r="A3" s="62" t="s">
        <v>208</v>
      </c>
      <c r="D3" s="1" t="s">
        <v>1</v>
      </c>
      <c r="E3" s="1" t="s">
        <v>2</v>
      </c>
      <c r="F3" s="1" t="s">
        <v>3</v>
      </c>
      <c r="H3" s="1" t="s">
        <v>18</v>
      </c>
      <c r="I3" s="18" t="s">
        <v>35</v>
      </c>
    </row>
    <row r="4" spans="1:14" ht="15.75" thickBot="1" x14ac:dyDescent="0.3">
      <c r="A4" s="63" t="s">
        <v>206</v>
      </c>
      <c r="D4" s="1">
        <v>0</v>
      </c>
      <c r="E4" s="1">
        <v>0</v>
      </c>
      <c r="F4" s="1">
        <v>0</v>
      </c>
      <c r="H4" s="1">
        <v>5</v>
      </c>
      <c r="K4"/>
      <c r="L4"/>
    </row>
    <row r="5" spans="1:14" x14ac:dyDescent="0.25">
      <c r="A5" s="62" t="s">
        <v>209</v>
      </c>
    </row>
    <row r="6" spans="1:14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v>4</v>
      </c>
      <c r="J6" s="1">
        <f>SUMPRODUCT($D$4:$H$4,D6:H6)</f>
        <v>20</v>
      </c>
    </row>
    <row r="7" spans="1:14" x14ac:dyDescent="0.25">
      <c r="A7" s="62" t="s">
        <v>210</v>
      </c>
    </row>
    <row r="8" spans="1:14" x14ac:dyDescent="0.25">
      <c r="A8" s="64" t="s">
        <v>27</v>
      </c>
      <c r="C8" t="s">
        <v>4</v>
      </c>
      <c r="D8" s="1">
        <v>10</v>
      </c>
      <c r="E8" s="1">
        <v>11</v>
      </c>
      <c r="F8" s="1">
        <v>12</v>
      </c>
      <c r="H8" s="1">
        <v>12</v>
      </c>
      <c r="J8" s="1">
        <f>SUMPRODUCT($D$4:$H$4,D8:H8)+5*R7</f>
        <v>60</v>
      </c>
      <c r="K8" s="1" t="s">
        <v>8</v>
      </c>
      <c r="L8" s="1">
        <v>80</v>
      </c>
    </row>
    <row r="9" spans="1:14" ht="15.75" thickBot="1" x14ac:dyDescent="0.3">
      <c r="A9" s="63">
        <f>VLOOKUP(A8,OpenSolverResultCodes,2,FALSE)</f>
        <v>5</v>
      </c>
      <c r="D9" s="1">
        <v>21</v>
      </c>
      <c r="E9" s="1">
        <v>22</v>
      </c>
      <c r="F9" s="1">
        <v>23</v>
      </c>
      <c r="H9" s="1">
        <v>23</v>
      </c>
      <c r="J9" s="1">
        <f>SUMPRODUCT($D$4:$H$4,D9:H9)</f>
        <v>115</v>
      </c>
      <c r="K9" s="1" t="s">
        <v>8</v>
      </c>
      <c r="L9" s="1">
        <v>150</v>
      </c>
    </row>
    <row r="10" spans="1:14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v>100</v>
      </c>
      <c r="J10" s="1">
        <f>SUMPRODUCT($D$4:$H$4,D10:H10)</f>
        <v>500</v>
      </c>
      <c r="K10" s="1" t="s">
        <v>9</v>
      </c>
      <c r="L10" s="1">
        <v>110</v>
      </c>
    </row>
    <row r="11" spans="1:14" x14ac:dyDescent="0.25">
      <c r="H11" s="1">
        <v>100</v>
      </c>
      <c r="J11" s="1">
        <f>SUMPRODUCT($D$4:$H$4,D11:H11)</f>
        <v>500</v>
      </c>
      <c r="K11" s="1" t="s">
        <v>10</v>
      </c>
      <c r="L11" s="1">
        <v>180</v>
      </c>
      <c r="N11" t="s">
        <v>85</v>
      </c>
    </row>
    <row r="15" spans="1:14" x14ac:dyDescent="0.25">
      <c r="C15" s="17" t="s">
        <v>15</v>
      </c>
    </row>
    <row r="16" spans="1:14" x14ac:dyDescent="0.25">
      <c r="D16" s="1" t="s">
        <v>28</v>
      </c>
    </row>
    <row r="17" spans="3:8" x14ac:dyDescent="0.25">
      <c r="D17" s="8"/>
      <c r="E17" s="8"/>
      <c r="F17" s="8"/>
      <c r="G17" s="8"/>
      <c r="H17" s="8"/>
    </row>
    <row r="19" spans="3:8" x14ac:dyDescent="0.25">
      <c r="C19" s="17" t="s">
        <v>16</v>
      </c>
    </row>
    <row r="20" spans="3:8" x14ac:dyDescent="0.25">
      <c r="D20" s="1" t="s">
        <v>28</v>
      </c>
    </row>
    <row r="21" spans="3:8" x14ac:dyDescent="0.25">
      <c r="D21" s="8"/>
    </row>
  </sheetData>
  <dataConsolidate/>
  <dataValidations count="3">
    <dataValidation type="list" allowBlank="1" showInputMessage="1" showErrorMessage="1" sqref="A2" xr:uid="{00000000-0002-0000-1B00-000000000000}">
      <formula1>TestType</formula1>
    </dataValidation>
    <dataValidation type="list" allowBlank="1" showInputMessage="1" showErrorMessage="1" sqref="A4" xr:uid="{00000000-0002-0000-1B00-000001000000}">
      <formula1>ModelType</formula1>
    </dataValidation>
    <dataValidation type="list" allowBlank="1" showInputMessage="1" showErrorMessage="1" sqref="A8" xr:uid="{00000000-0002-0000-1B00-000002000000}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FeasConstConstraint"/>
  <dimension ref="A1:N21"/>
  <sheetViews>
    <sheetView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2.28515625" customWidth="1"/>
    <col min="3" max="3" width="4.85546875" customWidth="1"/>
    <col min="4" max="4" width="7.7109375" style="54" customWidth="1"/>
    <col min="5" max="8" width="5.140625" style="54" customWidth="1"/>
    <col min="9" max="9" width="3.140625" style="54" customWidth="1"/>
    <col min="10" max="10" width="8.28515625" style="54" customWidth="1"/>
    <col min="11" max="11" width="3" style="54" bestFit="1" customWidth="1"/>
    <col min="12" max="12" width="6" style="54" customWidth="1"/>
    <col min="16" max="16" width="7.7109375" customWidth="1"/>
  </cols>
  <sheetData>
    <row r="1" spans="1:14" x14ac:dyDescent="0.25">
      <c r="A1" s="62" t="s">
        <v>203</v>
      </c>
      <c r="D1" t="s">
        <v>213</v>
      </c>
    </row>
    <row r="2" spans="1:14" ht="15.75" thickBot="1" x14ac:dyDescent="0.3">
      <c r="A2" s="63" t="s">
        <v>204</v>
      </c>
    </row>
    <row r="3" spans="1:14" x14ac:dyDescent="0.25">
      <c r="A3" s="62" t="s">
        <v>208</v>
      </c>
      <c r="D3" s="54" t="s">
        <v>1</v>
      </c>
      <c r="E3" s="54" t="s">
        <v>2</v>
      </c>
      <c r="F3" s="54" t="s">
        <v>3</v>
      </c>
      <c r="H3" s="54" t="s">
        <v>18</v>
      </c>
      <c r="I3" s="18" t="s">
        <v>34</v>
      </c>
    </row>
    <row r="4" spans="1:14" ht="15.75" thickBot="1" x14ac:dyDescent="0.3">
      <c r="A4" s="63" t="s">
        <v>206</v>
      </c>
      <c r="D4" s="54">
        <v>0</v>
      </c>
      <c r="E4" s="54">
        <v>0</v>
      </c>
      <c r="F4" s="54">
        <v>0</v>
      </c>
      <c r="H4" s="54">
        <v>5</v>
      </c>
      <c r="K4"/>
      <c r="L4"/>
    </row>
    <row r="5" spans="1:14" x14ac:dyDescent="0.25">
      <c r="A5" s="62" t="s">
        <v>209</v>
      </c>
    </row>
    <row r="6" spans="1:14" ht="15.75" thickBot="1" x14ac:dyDescent="0.3">
      <c r="A6" s="63" t="b">
        <f>AND(D17,E17,F17,D21)</f>
        <v>1</v>
      </c>
      <c r="C6" t="s">
        <v>0</v>
      </c>
      <c r="D6" s="54">
        <v>2</v>
      </c>
      <c r="E6" s="54">
        <v>3</v>
      </c>
      <c r="F6" s="54">
        <v>4</v>
      </c>
      <c r="H6" s="54">
        <v>4</v>
      </c>
      <c r="J6" s="54">
        <f>SUMPRODUCT($D$4:$H$4,D6:H6)</f>
        <v>20</v>
      </c>
    </row>
    <row r="7" spans="1:14" x14ac:dyDescent="0.25">
      <c r="A7" s="62" t="s">
        <v>210</v>
      </c>
    </row>
    <row r="8" spans="1:14" x14ac:dyDescent="0.25">
      <c r="A8" s="64" t="s">
        <v>200</v>
      </c>
      <c r="C8" t="s">
        <v>4</v>
      </c>
      <c r="D8" s="54">
        <v>10</v>
      </c>
      <c r="E8" s="54">
        <v>11</v>
      </c>
      <c r="F8" s="54">
        <v>12</v>
      </c>
      <c r="H8" s="54">
        <v>12</v>
      </c>
      <c r="J8" s="54">
        <f>SUMPRODUCT($D$4:$H$4,D8:H8)+5*R7</f>
        <v>60</v>
      </c>
      <c r="K8" s="54" t="s">
        <v>8</v>
      </c>
      <c r="L8" s="54">
        <v>80</v>
      </c>
    </row>
    <row r="9" spans="1:14" ht="15.75" thickBot="1" x14ac:dyDescent="0.3">
      <c r="A9" s="63">
        <f>VLOOKUP(A8,OpenSolverResultCodes,2,FALSE)</f>
        <v>0</v>
      </c>
      <c r="D9" s="54">
        <v>21</v>
      </c>
      <c r="E9" s="54">
        <v>22</v>
      </c>
      <c r="F9" s="54">
        <v>23</v>
      </c>
      <c r="H9" s="54">
        <v>23</v>
      </c>
      <c r="J9" s="54">
        <f>SUMPRODUCT($D$4:$H$4,D9:H9)</f>
        <v>115</v>
      </c>
      <c r="K9" s="54" t="s">
        <v>8</v>
      </c>
      <c r="L9" s="54">
        <v>150</v>
      </c>
    </row>
    <row r="10" spans="1:14" ht="15.75" thickBot="1" x14ac:dyDescent="0.3">
      <c r="A10" s="156" t="str">
        <f>HYPERLINK("[OpenSolver Tester.xlsm]Results!A1", "&lt;- Results")</f>
        <v>&lt;- Results</v>
      </c>
      <c r="D10" s="54">
        <v>21</v>
      </c>
      <c r="E10" s="54">
        <v>22</v>
      </c>
      <c r="F10" s="54">
        <v>-23</v>
      </c>
      <c r="H10" s="54">
        <v>100</v>
      </c>
      <c r="J10" s="54">
        <f>SUMPRODUCT($D$4:$H$4,D10:H10)</f>
        <v>500</v>
      </c>
      <c r="K10" s="54" t="s">
        <v>9</v>
      </c>
      <c r="L10" s="54">
        <v>110</v>
      </c>
    </row>
    <row r="11" spans="1:14" x14ac:dyDescent="0.25">
      <c r="H11" s="54">
        <v>100</v>
      </c>
      <c r="J11" s="54">
        <f>SUMPRODUCT($D$4:$H$4,D11:H11)</f>
        <v>500</v>
      </c>
      <c r="K11" s="54" t="s">
        <v>9</v>
      </c>
      <c r="L11" s="54">
        <v>180</v>
      </c>
      <c r="N11" t="s">
        <v>160</v>
      </c>
    </row>
    <row r="15" spans="1:14" x14ac:dyDescent="0.25">
      <c r="C15" s="17" t="s">
        <v>15</v>
      </c>
    </row>
    <row r="16" spans="1:14" x14ac:dyDescent="0.25">
      <c r="D16" s="54">
        <v>0</v>
      </c>
      <c r="E16" s="54">
        <v>0</v>
      </c>
      <c r="F16" s="54">
        <v>0</v>
      </c>
    </row>
    <row r="17" spans="3:8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/>
      <c r="H17" s="8"/>
    </row>
    <row r="19" spans="3:8" x14ac:dyDescent="0.25">
      <c r="C19" s="17" t="s">
        <v>16</v>
      </c>
    </row>
    <row r="20" spans="3:8" x14ac:dyDescent="0.25">
      <c r="D20" s="54">
        <v>20</v>
      </c>
    </row>
    <row r="21" spans="3:8" x14ac:dyDescent="0.25">
      <c r="C21" t="s">
        <v>17</v>
      </c>
      <c r="D21" s="8" t="b">
        <f>ABS(D20-J6)/(1+ABS(D20))&lt;=0.000001</f>
        <v>1</v>
      </c>
    </row>
  </sheetData>
  <dataConsolidate/>
  <dataValidations count="3">
    <dataValidation type="list" allowBlank="1" showInputMessage="1" showErrorMessage="1" sqref="A8" xr:uid="{00000000-0002-0000-1C00-000000000000}">
      <formula1>OpenSolverResult</formula1>
    </dataValidation>
    <dataValidation type="list" allowBlank="1" showInputMessage="1" showErrorMessage="1" sqref="A4" xr:uid="{00000000-0002-0000-1C00-000001000000}">
      <formula1>ModelType</formula1>
    </dataValidation>
    <dataValidation type="list" allowBlank="1" showInputMessage="1" showErrorMessage="1" sqref="A2" xr:uid="{00000000-0002-0000-1C00-000002000000}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Unbounded"/>
  <dimension ref="A1:J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140625" customWidth="1"/>
    <col min="3" max="3" width="4.85546875" customWidth="1"/>
    <col min="4" max="4" width="7.7109375" style="167" customWidth="1"/>
    <col min="5" max="6" width="5.140625" style="167" customWidth="1"/>
    <col min="7" max="7" width="3.140625" style="167" customWidth="1"/>
    <col min="8" max="8" width="8.28515625" style="167" customWidth="1"/>
    <col min="9" max="9" width="3" style="167" bestFit="1" customWidth="1"/>
    <col min="10" max="10" width="6" style="167" customWidth="1"/>
    <col min="14" max="14" width="7.7109375" customWidth="1"/>
  </cols>
  <sheetData>
    <row r="1" spans="1:10" x14ac:dyDescent="0.25">
      <c r="A1" s="62" t="s">
        <v>203</v>
      </c>
      <c r="D1" s="18" t="s">
        <v>347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67" t="s">
        <v>1</v>
      </c>
      <c r="E3" s="167" t="s">
        <v>2</v>
      </c>
      <c r="F3" s="167" t="s">
        <v>3</v>
      </c>
    </row>
    <row r="4" spans="1:10" ht="15.75" thickBot="1" x14ac:dyDescent="0.3">
      <c r="A4" s="63" t="s">
        <v>206</v>
      </c>
      <c r="D4" s="167">
        <v>0</v>
      </c>
      <c r="E4" s="167">
        <v>0</v>
      </c>
      <c r="F4" s="167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f>TRUE</f>
        <v>1</v>
      </c>
      <c r="D6" s="167">
        <v>2</v>
      </c>
      <c r="E6" s="167">
        <v>3</v>
      </c>
      <c r="F6" s="167">
        <v>4</v>
      </c>
      <c r="H6" s="167">
        <f>SUMPRODUCT($D$4:$F$4,D6:F6)</f>
        <v>0</v>
      </c>
    </row>
    <row r="7" spans="1:10" x14ac:dyDescent="0.25">
      <c r="A7" s="62" t="s">
        <v>210</v>
      </c>
    </row>
    <row r="8" spans="1:10" x14ac:dyDescent="0.25">
      <c r="A8" s="64" t="s">
        <v>201</v>
      </c>
      <c r="C8" t="s">
        <v>4</v>
      </c>
      <c r="D8" s="167">
        <v>10</v>
      </c>
      <c r="E8" s="167">
        <v>11</v>
      </c>
      <c r="F8" s="167">
        <v>12</v>
      </c>
      <c r="H8" s="167">
        <f>SUMPRODUCT($D$4:$F$4,D8:F8)+5*P7</f>
        <v>0</v>
      </c>
      <c r="I8" s="167" t="s">
        <v>8</v>
      </c>
      <c r="J8" s="167">
        <v>60</v>
      </c>
    </row>
    <row r="9" spans="1:10" ht="15.75" thickBot="1" x14ac:dyDescent="0.3">
      <c r="A9" s="63">
        <f>VLOOKUP(A8,OpenSolverResultCodes,2,FALSE)</f>
        <v>4</v>
      </c>
      <c r="D9" s="167">
        <v>21</v>
      </c>
      <c r="E9" s="167">
        <v>22</v>
      </c>
      <c r="F9" s="167">
        <v>23</v>
      </c>
      <c r="H9" s="167">
        <f>SUMPRODUCT($D$4:$F$4,D9:F9)</f>
        <v>0</v>
      </c>
      <c r="I9" s="167" t="s">
        <v>8</v>
      </c>
      <c r="J9" s="167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67">
        <v>21</v>
      </c>
      <c r="E10" s="167">
        <v>22</v>
      </c>
      <c r="F10" s="167">
        <v>-23</v>
      </c>
      <c r="H10" s="167">
        <f>SUMPRODUCT($D$4:$F$4,D10:F10)</f>
        <v>0</v>
      </c>
      <c r="I10" s="167" t="s">
        <v>9</v>
      </c>
      <c r="J10" s="167">
        <v>110</v>
      </c>
    </row>
    <row r="11" spans="1:10" x14ac:dyDescent="0.25">
      <c r="D11" s="167">
        <v>19</v>
      </c>
      <c r="E11" s="167">
        <v>34</v>
      </c>
      <c r="F11" s="167">
        <v>-32</v>
      </c>
      <c r="H11" s="167">
        <f>SUMPRODUCT($D$4:$F$4,D11:F11)</f>
        <v>0</v>
      </c>
      <c r="I11" s="167" t="s">
        <v>10</v>
      </c>
      <c r="J11" s="167">
        <v>180</v>
      </c>
    </row>
    <row r="15" spans="1:10" x14ac:dyDescent="0.25">
      <c r="C15" s="17"/>
    </row>
    <row r="17" spans="3:6" x14ac:dyDescent="0.25">
      <c r="D17" s="8"/>
      <c r="E17" s="8"/>
      <c r="F17" s="8"/>
    </row>
    <row r="19" spans="3:6" x14ac:dyDescent="0.25">
      <c r="C19" s="17"/>
    </row>
    <row r="21" spans="3:6" x14ac:dyDescent="0.25">
      <c r="D21" s="8"/>
    </row>
  </sheetData>
  <dataConsolidate/>
  <dataValidations count="3">
    <dataValidation type="list" allowBlank="1" showInputMessage="1" showErrorMessage="1" sqref="A2:B2" xr:uid="{00000000-0002-0000-1D00-000000000000}">
      <formula1>TestType</formula1>
    </dataValidation>
    <dataValidation type="list" allowBlank="1" showInputMessage="1" showErrorMessage="1" sqref="A4:B4" xr:uid="{00000000-0002-0000-1D00-000001000000}">
      <formula1>ModelType</formula1>
    </dataValidation>
    <dataValidation type="list" allowBlank="1" showInputMessage="1" showErrorMessage="1" sqref="A8:B8" xr:uid="{00000000-0002-0000-1D00-000002000000}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ProtectedSheet"/>
  <dimension ref="A1:J21"/>
  <sheetViews>
    <sheetView workbookViewId="0">
      <selection activeCell="J20" sqref="J20"/>
    </sheetView>
  </sheetViews>
  <sheetFormatPr defaultColWidth="8.85546875" defaultRowHeight="15" x14ac:dyDescent="0.25"/>
  <cols>
    <col min="1" max="1" width="15" style="60" bestFit="1" customWidth="1"/>
    <col min="2" max="2" width="2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285156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D1" s="18" t="s">
        <v>36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3" t="s">
        <v>206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2" t="s">
        <v>209</v>
      </c>
    </row>
    <row r="6" spans="1:10" ht="15.75" thickBot="1" x14ac:dyDescent="0.3">
      <c r="A6" s="63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2" t="s">
        <v>210</v>
      </c>
    </row>
    <row r="8" spans="1:10" x14ac:dyDescent="0.25">
      <c r="A8" s="64" t="s">
        <v>199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3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sheetProtection sheet="1" objects="1" scenarios="1"/>
  <dataConsolidate/>
  <dataValidations count="3">
    <dataValidation type="list" allowBlank="1" showInputMessage="1" showErrorMessage="1" sqref="A2" xr:uid="{00000000-0002-0000-1E00-000000000000}">
      <formula1>TestType</formula1>
    </dataValidation>
    <dataValidation type="list" allowBlank="1" showInputMessage="1" showErrorMessage="1" sqref="A4" xr:uid="{00000000-0002-0000-1E00-000001000000}">
      <formula1>ModelType</formula1>
    </dataValidation>
    <dataValidation type="list" allowBlank="1" showInputMessage="1" showErrorMessage="1" sqref="A8" xr:uid="{00000000-0002-0000-1E00-000002000000}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IndirectLBs"/>
  <dimension ref="A1:L23"/>
  <sheetViews>
    <sheetView topLeftCell="A3"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2.28515625" customWidth="1"/>
    <col min="3" max="3" width="16.140625" bestFit="1" customWidth="1"/>
    <col min="4" max="4" width="7.7109375" style="1" customWidth="1"/>
    <col min="5" max="6" width="5.140625" style="1" customWidth="1"/>
    <col min="7" max="7" width="3.140625" style="1" customWidth="1"/>
    <col min="8" max="8" width="8.285156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2" t="s">
        <v>203</v>
      </c>
      <c r="D1" s="18" t="s">
        <v>86</v>
      </c>
    </row>
    <row r="2" spans="1:12" ht="15.75" thickBot="1" x14ac:dyDescent="0.3">
      <c r="A2" s="63" t="s">
        <v>204</v>
      </c>
      <c r="D2" s="18" t="s">
        <v>88</v>
      </c>
    </row>
    <row r="3" spans="1:12" x14ac:dyDescent="0.25">
      <c r="A3" s="62" t="s">
        <v>208</v>
      </c>
    </row>
    <row r="4" spans="1:12" ht="15.75" thickBot="1" x14ac:dyDescent="0.3">
      <c r="A4" s="63" t="s">
        <v>206</v>
      </c>
      <c r="D4" s="1" t="s">
        <v>1</v>
      </c>
      <c r="E4" s="1" t="s">
        <v>2</v>
      </c>
      <c r="F4" s="1" t="s">
        <v>3</v>
      </c>
    </row>
    <row r="5" spans="1:12" x14ac:dyDescent="0.25">
      <c r="A5" s="62" t="s">
        <v>209</v>
      </c>
      <c r="D5" s="1">
        <v>-4</v>
      </c>
      <c r="E5" s="1">
        <v>7.5294117647058822</v>
      </c>
      <c r="F5" s="1">
        <v>0</v>
      </c>
      <c r="H5"/>
      <c r="I5"/>
      <c r="J5"/>
    </row>
    <row r="6" spans="1:12" ht="15.75" thickBot="1" x14ac:dyDescent="0.3">
      <c r="A6" s="63" t="b">
        <f>AND(D19,E19,F19,D23)</f>
        <v>1</v>
      </c>
      <c r="C6" s="16" t="s">
        <v>87</v>
      </c>
      <c r="D6" s="1">
        <v>-4</v>
      </c>
      <c r="E6" s="1">
        <v>-2</v>
      </c>
      <c r="H6"/>
      <c r="I6"/>
      <c r="J6"/>
    </row>
    <row r="7" spans="1:12" x14ac:dyDescent="0.25">
      <c r="A7" s="62" t="s">
        <v>210</v>
      </c>
    </row>
    <row r="8" spans="1:12" x14ac:dyDescent="0.25">
      <c r="A8" s="64" t="s">
        <v>200</v>
      </c>
      <c r="C8" t="s">
        <v>0</v>
      </c>
      <c r="D8" s="1">
        <v>2</v>
      </c>
      <c r="E8" s="1">
        <v>3</v>
      </c>
      <c r="F8" s="1">
        <v>4</v>
      </c>
      <c r="H8" s="1">
        <f>SUMPRODUCT($D$5:$F$5,D8:F8)</f>
        <v>14.588235294117645</v>
      </c>
    </row>
    <row r="9" spans="1:12" ht="15.75" thickBot="1" x14ac:dyDescent="0.3">
      <c r="A9" s="63">
        <f>VLOOKUP(A8,OpenSolverResultCodes,2,FALSE)</f>
        <v>0</v>
      </c>
    </row>
    <row r="10" spans="1:12" ht="15.75" thickBot="1" x14ac:dyDescent="0.3">
      <c r="A10" s="156" t="str">
        <f>HYPERLINK("[OpenSolver Tester.xlsm]Results!A1", "&lt;- Results")</f>
        <v>&lt;- Results</v>
      </c>
      <c r="C10" t="s">
        <v>4</v>
      </c>
      <c r="D10" s="1">
        <v>10</v>
      </c>
      <c r="E10" s="1">
        <v>11</v>
      </c>
      <c r="F10" s="1">
        <v>12</v>
      </c>
      <c r="H10" s="1">
        <f>SUMPRODUCT($D$5:$F$5,D10:F10)+5*P9</f>
        <v>42.82352941176471</v>
      </c>
      <c r="I10" s="1" t="s">
        <v>8</v>
      </c>
      <c r="J10" s="1">
        <v>60</v>
      </c>
    </row>
    <row r="11" spans="1:12" x14ac:dyDescent="0.25">
      <c r="D11" s="1">
        <v>21</v>
      </c>
      <c r="E11" s="1">
        <v>22</v>
      </c>
      <c r="F11" s="1">
        <v>23</v>
      </c>
      <c r="H11" s="1">
        <f>SUMPRODUCT($D$5:$F$5,D11:F11)</f>
        <v>81.64705882352942</v>
      </c>
      <c r="I11" s="1" t="s">
        <v>8</v>
      </c>
      <c r="J11" s="1">
        <v>150</v>
      </c>
    </row>
    <row r="12" spans="1:12" x14ac:dyDescent="0.25">
      <c r="F12" s="1">
        <v>1</v>
      </c>
      <c r="H12" s="1">
        <f>SUMPRODUCT($D$5:$F$5,D12:F12)</f>
        <v>0</v>
      </c>
      <c r="I12" s="1" t="s">
        <v>9</v>
      </c>
      <c r="J12" s="1">
        <v>-10</v>
      </c>
      <c r="L12" t="s">
        <v>89</v>
      </c>
    </row>
    <row r="13" spans="1:12" x14ac:dyDescent="0.25">
      <c r="D13" s="1">
        <v>19</v>
      </c>
      <c r="E13" s="1">
        <v>34</v>
      </c>
      <c r="F13" s="1">
        <v>-32</v>
      </c>
      <c r="H13" s="1">
        <f>SUMPRODUCT($D$5:$F$5,D13:F13)</f>
        <v>180</v>
      </c>
      <c r="I13" s="1" t="s">
        <v>10</v>
      </c>
      <c r="J13" s="1">
        <v>180</v>
      </c>
    </row>
    <row r="17" spans="1:6" x14ac:dyDescent="0.25">
      <c r="C17" s="17" t="s">
        <v>15</v>
      </c>
    </row>
    <row r="18" spans="1:6" x14ac:dyDescent="0.25">
      <c r="D18" s="1">
        <v>-4</v>
      </c>
      <c r="E18" s="1">
        <v>7.5294117647058831</v>
      </c>
      <c r="F18" s="1">
        <v>0</v>
      </c>
    </row>
    <row r="19" spans="1:6" s="1" customFormat="1" x14ac:dyDescent="0.25">
      <c r="A19" s="60"/>
      <c r="C19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" customFormat="1" x14ac:dyDescent="0.25">
      <c r="A21" s="60"/>
      <c r="C21" s="17" t="s">
        <v>16</v>
      </c>
    </row>
    <row r="22" spans="1:6" s="1" customFormat="1" x14ac:dyDescent="0.25">
      <c r="A22" s="60"/>
      <c r="C22"/>
      <c r="D22" s="1">
        <v>14.588235294117649</v>
      </c>
    </row>
    <row r="23" spans="1:6" s="1" customFormat="1" x14ac:dyDescent="0.25">
      <c r="A23" s="60"/>
      <c r="C23" t="s">
        <v>17</v>
      </c>
      <c r="D23" s="8" t="b">
        <f>ABS(D22-H8)/(1+ABS(D22))&lt;=0.000001</f>
        <v>1</v>
      </c>
    </row>
  </sheetData>
  <dataConsolidate/>
  <dataValidations count="3">
    <dataValidation type="list" allowBlank="1" showInputMessage="1" showErrorMessage="1" sqref="A8" xr:uid="{00000000-0002-0000-1F00-000000000000}">
      <formula1>OpenSolverResult</formula1>
    </dataValidation>
    <dataValidation type="list" allowBlank="1" showInputMessage="1" showErrorMessage="1" sqref="A4" xr:uid="{00000000-0002-0000-1F00-000001000000}">
      <formula1>ModelType</formula1>
    </dataValidation>
    <dataValidation type="list" allowBlank="1" showInputMessage="1" showErrorMessage="1" sqref="A2" xr:uid="{00000000-0002-0000-1F00-000002000000}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DirectLBs"/>
  <dimension ref="A1:J22"/>
  <sheetViews>
    <sheetView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2.28515625" customWidth="1"/>
    <col min="3" max="3" width="16.140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285156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161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3" t="s">
        <v>206</v>
      </c>
      <c r="D4" s="54">
        <v>-1</v>
      </c>
      <c r="E4" s="54">
        <v>-2</v>
      </c>
      <c r="F4" s="134">
        <v>0</v>
      </c>
      <c r="H4"/>
      <c r="I4"/>
      <c r="J4"/>
    </row>
    <row r="5" spans="1:10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3" t="b">
        <f>AND(D18,E18,F18,D22)</f>
        <v>1</v>
      </c>
      <c r="C6" s="16" t="s">
        <v>162</v>
      </c>
      <c r="D6" s="54">
        <v>-1</v>
      </c>
      <c r="E6" s="54">
        <v>-2</v>
      </c>
      <c r="F6" s="54">
        <v>0</v>
      </c>
      <c r="H6"/>
      <c r="I6"/>
      <c r="J6"/>
    </row>
    <row r="7" spans="1:10" x14ac:dyDescent="0.25">
      <c r="A7" s="62" t="s">
        <v>210</v>
      </c>
    </row>
    <row r="8" spans="1:10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-8</v>
      </c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-1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0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-1</v>
      </c>
      <c r="E17" s="54">
        <v>-2</v>
      </c>
      <c r="F17" s="54">
        <v>0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2" xr:uid="{00000000-0002-0000-2000-000000000000}">
      <formula1>TestType</formula1>
    </dataValidation>
    <dataValidation type="list" allowBlank="1" showInputMessage="1" showErrorMessage="1" sqref="A4" xr:uid="{00000000-0002-0000-2000-000001000000}">
      <formula1>ModelType</formula1>
    </dataValidation>
    <dataValidation type="list" allowBlank="1" showInputMessage="1" showErrorMessage="1" sqref="A8" xr:uid="{00000000-0002-0000-2000-000002000000}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ingleRangeLB"/>
  <dimension ref="A1:J22"/>
  <sheetViews>
    <sheetView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2.28515625" customWidth="1"/>
    <col min="3" max="3" width="16.140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285156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3" t="s">
        <v>206</v>
      </c>
      <c r="D4" s="134">
        <v>-2</v>
      </c>
      <c r="E4" s="54">
        <v>-2</v>
      </c>
      <c r="F4" s="54">
        <v>-2</v>
      </c>
      <c r="H4"/>
      <c r="I4"/>
      <c r="J4"/>
    </row>
    <row r="5" spans="1:10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3" t="b">
        <f>AND(D18,E18,F18,D22)</f>
        <v>1</v>
      </c>
      <c r="C6" s="16" t="s">
        <v>162</v>
      </c>
      <c r="E6" s="54">
        <f>-2+-2</f>
        <v>-4</v>
      </c>
      <c r="H6"/>
      <c r="I6"/>
      <c r="J6"/>
    </row>
    <row r="7" spans="1:10" x14ac:dyDescent="0.25">
      <c r="A7" s="62" t="s">
        <v>210</v>
      </c>
    </row>
    <row r="8" spans="1:10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8" xr:uid="{00000000-0002-0000-2100-000000000000}">
      <formula1>OpenSolverResult</formula1>
    </dataValidation>
    <dataValidation type="list" allowBlank="1" showInputMessage="1" showErrorMessage="1" sqref="A4" xr:uid="{00000000-0002-0000-2100-000001000000}">
      <formula1>ModelType</formula1>
    </dataValidation>
    <dataValidation type="list" allowBlank="1" showInputMessage="1" showErrorMessage="1" sqref="A2" xr:uid="{00000000-0002-0000-2100-000002000000}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BinLB"/>
  <dimension ref="A1:J23"/>
  <sheetViews>
    <sheetView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2.28515625" customWidth="1"/>
    <col min="3" max="3" width="16.140625" style="16" bestFit="1" customWidth="1"/>
    <col min="4" max="4" width="10.140625" style="54" customWidth="1"/>
    <col min="5" max="6" width="5.140625" style="54" customWidth="1"/>
    <col min="7" max="7" width="3.140625" style="54" customWidth="1"/>
    <col min="8" max="8" width="8.285156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  <c r="D2" s="18" t="s">
        <v>164</v>
      </c>
    </row>
    <row r="3" spans="1:10" x14ac:dyDescent="0.25">
      <c r="A3" s="62" t="s">
        <v>208</v>
      </c>
      <c r="D3" s="18"/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134">
        <v>-2</v>
      </c>
      <c r="E5" s="54">
        <v>-2</v>
      </c>
      <c r="F5" s="54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54">
        <v>-2</v>
      </c>
      <c r="H7"/>
      <c r="I7"/>
      <c r="J7"/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-10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-2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0"/>
      <c r="C18" s="16"/>
      <c r="D18" s="54">
        <v>-2</v>
      </c>
      <c r="E18" s="54">
        <v>-2</v>
      </c>
      <c r="F18" s="54">
        <v>0</v>
      </c>
    </row>
    <row r="19" spans="1:6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0"/>
      <c r="C21" s="56" t="s">
        <v>16</v>
      </c>
    </row>
    <row r="22" spans="1:6" s="54" customFormat="1" x14ac:dyDescent="0.25">
      <c r="A22" s="60"/>
      <c r="C22" s="16"/>
      <c r="D22" s="54">
        <v>-10</v>
      </c>
    </row>
    <row r="23" spans="1:6" s="54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2" xr:uid="{00000000-0002-0000-2200-000000000000}">
      <formula1>TestType</formula1>
    </dataValidation>
    <dataValidation type="list" allowBlank="1" showInputMessage="1" showErrorMessage="1" sqref="A4" xr:uid="{00000000-0002-0000-2200-000001000000}">
      <formula1>ModelType</formula1>
    </dataValidation>
    <dataValidation type="list" allowBlank="1" showInputMessage="1" showErrorMessage="1" sqref="A8" xr:uid="{00000000-0002-0000-2200-000002000000}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BinIntLB"/>
  <dimension ref="A1:J23"/>
  <sheetViews>
    <sheetView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2.28515625" customWidth="1"/>
    <col min="3" max="3" width="16.140625" style="16" bestFit="1" customWidth="1"/>
    <col min="4" max="4" width="7.7109375" style="54" customWidth="1"/>
    <col min="5" max="5" width="7.140625" style="54" customWidth="1"/>
    <col min="6" max="6" width="5.140625" style="54" customWidth="1"/>
    <col min="7" max="7" width="3.140625" style="54" customWidth="1"/>
    <col min="8" max="8" width="8.285156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204</v>
      </c>
      <c r="D2" s="18" t="s">
        <v>164</v>
      </c>
    </row>
    <row r="3" spans="1:10" x14ac:dyDescent="0.25">
      <c r="A3" s="62" t="s">
        <v>208</v>
      </c>
      <c r="D3" s="18" t="s">
        <v>165</v>
      </c>
    </row>
    <row r="4" spans="1:10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0" x14ac:dyDescent="0.25">
      <c r="A5" s="62" t="s">
        <v>209</v>
      </c>
      <c r="D5" s="134">
        <v>-1.9</v>
      </c>
      <c r="E5" s="54">
        <v>-1</v>
      </c>
      <c r="F5" s="54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54">
        <v>-1.9</v>
      </c>
      <c r="H7"/>
      <c r="I7"/>
      <c r="J7"/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-6.8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-1.9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-1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0"/>
      <c r="C18" s="16"/>
      <c r="D18" s="54">
        <v>-1.9</v>
      </c>
      <c r="E18" s="54">
        <v>-1</v>
      </c>
      <c r="F18" s="54">
        <v>0</v>
      </c>
    </row>
    <row r="19" spans="1:6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0"/>
      <c r="C21" s="56" t="s">
        <v>16</v>
      </c>
    </row>
    <row r="22" spans="1:6" s="54" customFormat="1" x14ac:dyDescent="0.25">
      <c r="A22" s="60"/>
      <c r="C22" s="16"/>
      <c r="D22" s="54">
        <v>-6.8</v>
      </c>
    </row>
    <row r="23" spans="1:6" s="54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8" xr:uid="{00000000-0002-0000-2300-000000000000}">
      <formula1>OpenSolverResult</formula1>
    </dataValidation>
    <dataValidation type="list" allowBlank="1" showInputMessage="1" showErrorMessage="1" sqref="A4" xr:uid="{00000000-0002-0000-2300-000001000000}">
      <formula1>ModelType</formula1>
    </dataValidation>
    <dataValidation type="list" allowBlank="1" showInputMessage="1" showErrorMessage="1" sqref="A2" xr:uid="{00000000-0002-0000-2300-000002000000}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Relaxation"/>
  <dimension ref="A1:J23"/>
  <sheetViews>
    <sheetView topLeftCell="A4"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28515625" customWidth="1"/>
    <col min="3" max="3" width="16.140625" style="16" bestFit="1" customWidth="1"/>
    <col min="4" max="4" width="7.7109375" style="161" customWidth="1"/>
    <col min="5" max="5" width="7.140625" style="161" customWidth="1"/>
    <col min="6" max="6" width="5.140625" style="161" customWidth="1"/>
    <col min="7" max="7" width="3.140625" style="161" customWidth="1"/>
    <col min="8" max="8" width="8.28515625" style="161" customWidth="1"/>
    <col min="9" max="9" width="3" style="161" bestFit="1" customWidth="1"/>
    <col min="10" max="10" width="6" style="161" customWidth="1"/>
    <col min="14" max="14" width="7.7109375" customWidth="1"/>
  </cols>
  <sheetData>
    <row r="1" spans="1:10" x14ac:dyDescent="0.25">
      <c r="A1" s="62" t="s">
        <v>203</v>
      </c>
      <c r="D1" s="18" t="s">
        <v>163</v>
      </c>
    </row>
    <row r="2" spans="1:10" ht="15.75" thickBot="1" x14ac:dyDescent="0.3">
      <c r="A2" s="63" t="s">
        <v>205</v>
      </c>
      <c r="D2" s="18" t="s">
        <v>164</v>
      </c>
    </row>
    <row r="3" spans="1:10" x14ac:dyDescent="0.25">
      <c r="A3" s="62" t="s">
        <v>208</v>
      </c>
      <c r="D3" s="18" t="s">
        <v>165</v>
      </c>
    </row>
    <row r="4" spans="1:10" ht="15.75" thickBot="1" x14ac:dyDescent="0.3">
      <c r="A4" s="63" t="s">
        <v>206</v>
      </c>
      <c r="D4" s="161" t="s">
        <v>1</v>
      </c>
      <c r="E4" s="161" t="s">
        <v>2</v>
      </c>
      <c r="F4" s="161" t="s">
        <v>3</v>
      </c>
    </row>
    <row r="5" spans="1:10" x14ac:dyDescent="0.25">
      <c r="A5" s="62" t="s">
        <v>209</v>
      </c>
      <c r="D5" s="184">
        <v>-1.9</v>
      </c>
      <c r="E5" s="161">
        <v>-1.9</v>
      </c>
      <c r="F5" s="161">
        <v>0</v>
      </c>
      <c r="H5"/>
      <c r="I5"/>
      <c r="J5"/>
    </row>
    <row r="6" spans="1:10" ht="15.75" thickBot="1" x14ac:dyDescent="0.3">
      <c r="A6" s="63" t="b">
        <f>AND(D19,E19,F19,D23)</f>
        <v>1</v>
      </c>
      <c r="D6" s="161" t="s">
        <v>9</v>
      </c>
      <c r="E6" s="161" t="s">
        <v>9</v>
      </c>
      <c r="F6" s="161" t="s">
        <v>9</v>
      </c>
      <c r="H6"/>
      <c r="I6"/>
      <c r="J6"/>
    </row>
    <row r="7" spans="1:10" x14ac:dyDescent="0.25">
      <c r="A7" s="62" t="s">
        <v>210</v>
      </c>
      <c r="C7" s="16" t="s">
        <v>162</v>
      </c>
      <c r="E7" s="161">
        <v>-1.9</v>
      </c>
      <c r="H7"/>
      <c r="I7"/>
      <c r="J7"/>
    </row>
    <row r="8" spans="1:10" x14ac:dyDescent="0.25">
      <c r="A8" s="64"/>
    </row>
    <row r="9" spans="1:10" ht="15.75" thickBot="1" x14ac:dyDescent="0.3">
      <c r="A9" s="63" t="e">
        <f>VLOOKUP(A8,OpenSolverResultCodes,2,FALSE)</f>
        <v>#N/A</v>
      </c>
      <c r="C9" s="16" t="s">
        <v>0</v>
      </c>
      <c r="D9" s="161">
        <v>2</v>
      </c>
      <c r="E9" s="161">
        <v>3</v>
      </c>
      <c r="F9" s="161">
        <v>4</v>
      </c>
      <c r="H9" s="161">
        <f>SUMPRODUCT($D$5:$F$5,D9:F9)</f>
        <v>-9.5</v>
      </c>
    </row>
    <row r="10" spans="1:10" ht="15.75" thickBot="1" x14ac:dyDescent="0.3">
      <c r="A10" s="156" t="str">
        <f>HYPERLINK("[OpenSolver Tester.xlsm]Results!A1", "&lt;- Results")</f>
        <v>&lt;- Results</v>
      </c>
    </row>
    <row r="11" spans="1:10" x14ac:dyDescent="0.25">
      <c r="C11" s="16" t="s">
        <v>4</v>
      </c>
      <c r="D11" s="161">
        <v>1</v>
      </c>
      <c r="H11" s="161">
        <f>SUMPRODUCT($D$5:$F$5,D11:F11)+5*P10</f>
        <v>-1.9</v>
      </c>
      <c r="I11" s="161" t="s">
        <v>9</v>
      </c>
      <c r="J11" s="161">
        <v>-50</v>
      </c>
    </row>
    <row r="12" spans="1:10" x14ac:dyDescent="0.25">
      <c r="E12" s="161">
        <v>1</v>
      </c>
      <c r="H12" s="161">
        <f>SUMPRODUCT($D$5:$F$5,D12:F12)</f>
        <v>-1.9</v>
      </c>
      <c r="I12" s="161" t="s">
        <v>9</v>
      </c>
      <c r="J12" s="161">
        <v>-50</v>
      </c>
    </row>
    <row r="13" spans="1:10" x14ac:dyDescent="0.25">
      <c r="F13" s="161">
        <v>1</v>
      </c>
      <c r="H13" s="161">
        <f>SUMPRODUCT($D$5:$F$5,D13:F13)</f>
        <v>0</v>
      </c>
      <c r="I13" s="161" t="s">
        <v>9</v>
      </c>
      <c r="J13" s="161">
        <v>-50</v>
      </c>
    </row>
    <row r="17" spans="1:6" x14ac:dyDescent="0.25">
      <c r="C17" s="56" t="s">
        <v>15</v>
      </c>
    </row>
    <row r="18" spans="1:6" s="161" customFormat="1" x14ac:dyDescent="0.25">
      <c r="A18" s="60"/>
      <c r="C18" s="16"/>
      <c r="D18" s="161">
        <v>-1.9</v>
      </c>
      <c r="E18" s="161">
        <v>-1.9</v>
      </c>
      <c r="F18" s="161">
        <v>0</v>
      </c>
    </row>
    <row r="19" spans="1:6" s="161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61" customFormat="1" x14ac:dyDescent="0.25">
      <c r="A21" s="60"/>
      <c r="C21" s="56" t="s">
        <v>16</v>
      </c>
    </row>
    <row r="22" spans="1:6" s="161" customFormat="1" x14ac:dyDescent="0.25">
      <c r="A22" s="60"/>
      <c r="C22" s="16"/>
      <c r="D22" s="161">
        <v>-9.5</v>
      </c>
    </row>
    <row r="23" spans="1:6" s="161" customFormat="1" x14ac:dyDescent="0.25">
      <c r="A23" s="60"/>
      <c r="C23" s="16" t="s">
        <v>17</v>
      </c>
      <c r="D23" s="8" t="b">
        <f>ABS(D22-H9)/(1+ABS(D22))&lt;=0.000001</f>
        <v>1</v>
      </c>
    </row>
  </sheetData>
  <dataConsolidate/>
  <dataValidations count="3">
    <dataValidation type="list" allowBlank="1" showInputMessage="1" showErrorMessage="1" sqref="A2" xr:uid="{00000000-0002-0000-2400-000000000000}">
      <formula1>TestType</formula1>
    </dataValidation>
    <dataValidation type="list" allowBlank="1" showInputMessage="1" showErrorMessage="1" sqref="A4" xr:uid="{00000000-0002-0000-2400-000001000000}">
      <formula1>ModelType</formula1>
    </dataValidation>
    <dataValidation type="list" allowBlank="1" showInputMessage="1" showErrorMessage="1" sqref="A8" xr:uid="{00000000-0002-0000-2400-000002000000}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LargeRangeLB"/>
  <dimension ref="A1:J24"/>
  <sheetViews>
    <sheetView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2.28515625" customWidth="1"/>
    <col min="3" max="3" width="16.140625" style="16" bestFit="1" customWidth="1"/>
    <col min="4" max="4" width="7.7109375" style="54" customWidth="1"/>
    <col min="5" max="6" width="5.140625" style="54" customWidth="1"/>
    <col min="7" max="7" width="5.28515625" style="54" customWidth="1"/>
    <col min="8" max="8" width="8.285156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166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3" t="b">
        <f>AND(D20,E20,F20,D24)</f>
        <v>1</v>
      </c>
      <c r="D6" s="54">
        <v>-1</v>
      </c>
      <c r="E6" s="54">
        <v>-2</v>
      </c>
      <c r="F6" s="134">
        <v>0</v>
      </c>
      <c r="G6" s="54">
        <v>0</v>
      </c>
      <c r="H6">
        <v>0</v>
      </c>
      <c r="I6"/>
      <c r="J6"/>
    </row>
    <row r="7" spans="1:10" x14ac:dyDescent="0.25">
      <c r="A7" s="62" t="s">
        <v>210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2" xr:uid="{00000000-0002-0000-2500-000000000000}">
      <formula1>TestType</formula1>
    </dataValidation>
    <dataValidation type="list" allowBlank="1" showInputMessage="1" showErrorMessage="1" sqref="A4" xr:uid="{00000000-0002-0000-2500-000001000000}">
      <formula1>ModelType</formula1>
    </dataValidation>
    <dataValidation type="list" allowBlank="1" showInputMessage="1" showErrorMessage="1" sqref="A8" xr:uid="{00000000-0002-0000-2500-000002000000}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OverlapRangeLB"/>
  <dimension ref="A1:J24"/>
  <sheetViews>
    <sheetView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2.28515625" customWidth="1"/>
    <col min="3" max="3" width="16.140625" style="16" bestFit="1" customWidth="1"/>
    <col min="4" max="4" width="7.7109375" style="54" customWidth="1"/>
    <col min="5" max="6" width="5.140625" style="54" customWidth="1"/>
    <col min="7" max="7" width="5.28515625" style="54" customWidth="1"/>
    <col min="8" max="8" width="8.285156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170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3" t="b">
        <f>AND(D20,E20,F20,D24)</f>
        <v>1</v>
      </c>
      <c r="D6" s="54">
        <v>0</v>
      </c>
      <c r="E6" s="54">
        <v>-2</v>
      </c>
      <c r="F6" s="134">
        <v>0</v>
      </c>
      <c r="G6" s="54">
        <v>0</v>
      </c>
      <c r="H6">
        <v>0</v>
      </c>
      <c r="I6"/>
      <c r="J6"/>
    </row>
    <row r="7" spans="1:10" x14ac:dyDescent="0.25">
      <c r="A7" s="62" t="s">
        <v>210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-6</v>
      </c>
    </row>
    <row r="12" spans="1:10" x14ac:dyDescent="0.25">
      <c r="C12" s="16" t="s">
        <v>4</v>
      </c>
      <c r="D12" s="54">
        <v>1</v>
      </c>
      <c r="H12" s="54">
        <f>SUMPRODUCT($D$6:$F$6,D12:F12)+5*P11</f>
        <v>0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0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-6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8" xr:uid="{00000000-0002-0000-2600-000000000000}">
      <formula1>OpenSolverResult</formula1>
    </dataValidation>
    <dataValidation type="list" allowBlank="1" showInputMessage="1" showErrorMessage="1" sqref="A4" xr:uid="{00000000-0002-0000-2600-000001000000}">
      <formula1>ModelType</formula1>
    </dataValidation>
    <dataValidation type="list" allowBlank="1" showInputMessage="1" showErrorMessage="1" sqref="A2" xr:uid="{00000000-0002-0000-2600-000002000000}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OverlapRangeLBwithFormula"/>
  <dimension ref="A1:J24"/>
  <sheetViews>
    <sheetView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2.28515625" customWidth="1"/>
    <col min="3" max="3" width="16.140625" style="16" bestFit="1" customWidth="1"/>
    <col min="4" max="4" width="7.7109375" style="54" customWidth="1"/>
    <col min="5" max="6" width="5.140625" style="54" customWidth="1"/>
    <col min="7" max="7" width="5.28515625" style="54" customWidth="1"/>
    <col min="8" max="8" width="8.285156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2" t="s">
        <v>203</v>
      </c>
      <c r="D1" s="18" t="s">
        <v>171</v>
      </c>
    </row>
    <row r="2" spans="1:10" ht="15.75" thickBot="1" x14ac:dyDescent="0.3">
      <c r="A2" s="63" t="s">
        <v>204</v>
      </c>
      <c r="D2" s="18" t="s">
        <v>167</v>
      </c>
    </row>
    <row r="3" spans="1:10" x14ac:dyDescent="0.25">
      <c r="A3" s="62" t="s">
        <v>208</v>
      </c>
      <c r="D3" s="18" t="s">
        <v>168</v>
      </c>
    </row>
    <row r="4" spans="1:10" ht="15.75" thickBot="1" x14ac:dyDescent="0.3">
      <c r="A4" s="63" t="s">
        <v>206</v>
      </c>
    </row>
    <row r="5" spans="1:10" x14ac:dyDescent="0.25">
      <c r="A5" s="62" t="s">
        <v>209</v>
      </c>
      <c r="D5" s="54" t="s">
        <v>1</v>
      </c>
      <c r="E5" s="54" t="s">
        <v>2</v>
      </c>
      <c r="F5" s="54" t="s">
        <v>3</v>
      </c>
    </row>
    <row r="6" spans="1:10" ht="15.75" thickBot="1" x14ac:dyDescent="0.3">
      <c r="A6" s="63" t="b">
        <f>AND(D20,E20,F20,D24)</f>
        <v>1</v>
      </c>
      <c r="D6" s="54">
        <v>-1</v>
      </c>
      <c r="E6" s="54">
        <v>-2</v>
      </c>
      <c r="F6" s="134">
        <v>0</v>
      </c>
      <c r="G6" s="54">
        <v>0</v>
      </c>
      <c r="H6">
        <f>SUM(D6:F6)</f>
        <v>-3</v>
      </c>
      <c r="I6" t="s">
        <v>172</v>
      </c>
      <c r="J6"/>
    </row>
    <row r="7" spans="1:10" x14ac:dyDescent="0.25">
      <c r="A7" s="62" t="s">
        <v>210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4" t="s">
        <v>200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-10</v>
      </c>
      <c r="I8" t="s">
        <v>173</v>
      </c>
      <c r="J8"/>
    </row>
    <row r="9" spans="1:10" ht="15.75" thickBot="1" x14ac:dyDescent="0.3">
      <c r="A9" s="63">
        <f>VLOOKUP(A8,OpenSolverResultCodes,2,FALSE)</f>
        <v>0</v>
      </c>
    </row>
    <row r="10" spans="1:10" ht="15.75" thickBot="1" x14ac:dyDescent="0.3">
      <c r="A10" s="156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Consolidate/>
  <dataValidations count="3">
    <dataValidation type="list" allowBlank="1" showInputMessage="1" showErrorMessage="1" sqref="A2" xr:uid="{00000000-0002-0000-2700-000000000000}">
      <formula1>TestType</formula1>
    </dataValidation>
    <dataValidation type="list" allowBlank="1" showInputMessage="1" showErrorMessage="1" sqref="A4" xr:uid="{00000000-0002-0000-2700-000001000000}">
      <formula1>ModelType</formula1>
    </dataValidation>
    <dataValidation type="list" allowBlank="1" showInputMessage="1" showErrorMessage="1" sqref="A8" xr:uid="{00000000-0002-0000-2700-000002000000}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ConstFormulaRangeLB"/>
  <dimension ref="A1:M22"/>
  <sheetViews>
    <sheetView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2.28515625" customWidth="1"/>
    <col min="3" max="3" width="16.140625" style="16" bestFit="1" customWidth="1"/>
    <col min="4" max="4" width="10.7109375" style="54" customWidth="1"/>
    <col min="5" max="5" width="9.140625" style="54" customWidth="1"/>
    <col min="6" max="6" width="5.140625" style="54" customWidth="1"/>
    <col min="7" max="7" width="3.140625" style="54" customWidth="1"/>
    <col min="8" max="8" width="8.285156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174</v>
      </c>
    </row>
    <row r="2" spans="1:13" ht="15.75" thickBot="1" x14ac:dyDescent="0.3">
      <c r="A2" s="63" t="s">
        <v>204</v>
      </c>
    </row>
    <row r="3" spans="1:13" x14ac:dyDescent="0.25">
      <c r="A3" s="62" t="s">
        <v>208</v>
      </c>
      <c r="D3" s="54" t="s">
        <v>1</v>
      </c>
      <c r="E3" s="54" t="s">
        <v>2</v>
      </c>
      <c r="F3" s="54" t="s">
        <v>3</v>
      </c>
    </row>
    <row r="4" spans="1:13" ht="15.75" thickBot="1" x14ac:dyDescent="0.3">
      <c r="A4" s="63" t="s">
        <v>206</v>
      </c>
      <c r="D4" s="134">
        <v>-2</v>
      </c>
      <c r="E4" s="134">
        <v>-2</v>
      </c>
      <c r="F4" s="54">
        <v>-2</v>
      </c>
      <c r="H4"/>
      <c r="I4"/>
      <c r="J4"/>
    </row>
    <row r="5" spans="1:13" x14ac:dyDescent="0.25">
      <c r="A5" s="62" t="s">
        <v>209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3" ht="15.75" thickBot="1" x14ac:dyDescent="0.3">
      <c r="A6" s="63" t="b">
        <f>AND(D18,E18,F18,D22)</f>
        <v>1</v>
      </c>
      <c r="C6" s="16" t="s">
        <v>162</v>
      </c>
      <c r="D6" s="54">
        <f>L6</f>
        <v>-2</v>
      </c>
      <c r="E6" s="54">
        <f>D6</f>
        <v>-2</v>
      </c>
      <c r="F6" s="54">
        <f>E6</f>
        <v>-2</v>
      </c>
      <c r="H6"/>
      <c r="I6"/>
      <c r="J6"/>
      <c r="L6">
        <v>-2</v>
      </c>
      <c r="M6" t="s">
        <v>175</v>
      </c>
    </row>
    <row r="7" spans="1:13" x14ac:dyDescent="0.25">
      <c r="A7" s="62" t="s">
        <v>210</v>
      </c>
    </row>
    <row r="8" spans="1:13" x14ac:dyDescent="0.25">
      <c r="A8" s="64" t="s">
        <v>200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3" ht="15.75" thickBot="1" x14ac:dyDescent="0.3">
      <c r="A9" s="63">
        <f>VLOOKUP(A8,OpenSolverResultCodes,2,FALSE)</f>
        <v>0</v>
      </c>
    </row>
    <row r="10" spans="1:13" ht="15.75" thickBot="1" x14ac:dyDescent="0.3">
      <c r="A10" s="156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3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3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3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Consolidate/>
  <dataValidations count="3">
    <dataValidation type="list" allowBlank="1" showInputMessage="1" showErrorMessage="1" sqref="A8" xr:uid="{00000000-0002-0000-2800-000000000000}">
      <formula1>OpenSolverResult</formula1>
    </dataValidation>
    <dataValidation type="list" allowBlank="1" showInputMessage="1" showErrorMessage="1" sqref="A4" xr:uid="{00000000-0002-0000-2800-000001000000}">
      <formula1>ModelType</formula1>
    </dataValidation>
    <dataValidation type="list" allowBlank="1" showInputMessage="1" showErrorMessage="1" sqref="A2" xr:uid="{00000000-0002-0000-2800-000002000000}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VariableFormulaRangeLB"/>
  <dimension ref="A1:M23"/>
  <sheetViews>
    <sheetView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2.28515625" customWidth="1"/>
    <col min="3" max="3" width="16.140625" style="16" bestFit="1" customWidth="1"/>
    <col min="4" max="4" width="7.7109375" style="54" customWidth="1"/>
    <col min="5" max="5" width="9.28515625" style="54" customWidth="1"/>
    <col min="6" max="6" width="8.28515625" style="54" customWidth="1"/>
    <col min="7" max="7" width="3.140625" style="54" customWidth="1"/>
    <col min="8" max="8" width="8.285156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176</v>
      </c>
    </row>
    <row r="2" spans="1:13" ht="15.75" thickBot="1" x14ac:dyDescent="0.3">
      <c r="A2" s="63" t="s">
        <v>204</v>
      </c>
      <c r="D2" s="18" t="s">
        <v>177</v>
      </c>
    </row>
    <row r="3" spans="1:13" x14ac:dyDescent="0.25">
      <c r="A3" s="62" t="s">
        <v>208</v>
      </c>
      <c r="D3" s="18" t="s">
        <v>313</v>
      </c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-2</v>
      </c>
      <c r="E5" s="134">
        <v>0</v>
      </c>
      <c r="F5" s="134">
        <v>0</v>
      </c>
      <c r="H5"/>
      <c r="I5"/>
      <c r="J5"/>
    </row>
    <row r="6" spans="1:13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2" t="s">
        <v>210</v>
      </c>
      <c r="C7" s="16" t="s">
        <v>162</v>
      </c>
      <c r="D7" s="54">
        <f>L7</f>
        <v>-2</v>
      </c>
      <c r="E7" s="54">
        <f>D5</f>
        <v>-2</v>
      </c>
      <c r="F7" s="54">
        <f>E5</f>
        <v>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-2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-4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 xr:uid="{00000000-0002-0000-2900-000000000000}">
      <formula1>TestType</formula1>
    </dataValidation>
    <dataValidation type="list" allowBlank="1" showInputMessage="1" showErrorMessage="1" sqref="A4" xr:uid="{00000000-0002-0000-2900-000001000000}">
      <formula1>ModelType</formula1>
    </dataValidation>
    <dataValidation type="list" allowBlank="1" showInputMessage="1" showErrorMessage="1" sqref="A8" xr:uid="{00000000-0002-0000-2900-000002000000}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ConstraintLB"/>
  <dimension ref="A1:M23"/>
  <sheetViews>
    <sheetView topLeftCell="A4"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2.28515625" customWidth="1"/>
    <col min="3" max="3" width="16.140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285156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178</v>
      </c>
    </row>
    <row r="2" spans="1:13" ht="15.75" thickBot="1" x14ac:dyDescent="0.3">
      <c r="A2" s="63" t="s">
        <v>204</v>
      </c>
      <c r="D2" s="18" t="s">
        <v>177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8" xr:uid="{00000000-0002-0000-2A00-000000000000}">
      <formula1>OpenSolverResult</formula1>
    </dataValidation>
    <dataValidation type="list" allowBlank="1" showInputMessage="1" showErrorMessage="1" sqref="A4" xr:uid="{00000000-0002-0000-2A00-000001000000}">
      <formula1>ModelType</formula1>
    </dataValidation>
    <dataValidation type="list" allowBlank="1" showInputMessage="1" showErrorMessage="1" sqref="A2" xr:uid="{00000000-0002-0000-2A00-000002000000}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ConstantLB"/>
  <dimension ref="A1:M23"/>
  <sheetViews>
    <sheetView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2.28515625" customWidth="1"/>
    <col min="3" max="3" width="16.140625" style="16" bestFit="1" customWidth="1"/>
    <col min="4" max="4" width="25.140625" style="54" customWidth="1"/>
    <col min="5" max="6" width="5.140625" style="54" customWidth="1"/>
    <col min="7" max="7" width="3.140625" style="54" customWidth="1"/>
    <col min="8" max="8" width="8.285156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179</v>
      </c>
    </row>
    <row r="2" spans="1:13" ht="15.75" thickBot="1" x14ac:dyDescent="0.3">
      <c r="A2" s="63" t="s">
        <v>204</v>
      </c>
      <c r="D2" s="18" t="s">
        <v>180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134">
        <v>-10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-20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-10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-10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-20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 xr:uid="{00000000-0002-0000-2B00-000000000000}">
      <formula1>TestType</formula1>
    </dataValidation>
    <dataValidation type="list" allowBlank="1" showInputMessage="1" showErrorMessage="1" sqref="A4" xr:uid="{00000000-0002-0000-2B00-000001000000}">
      <formula1>ModelType</formula1>
    </dataValidation>
    <dataValidation type="list" allowBlank="1" showInputMessage="1" showErrorMessage="1" sqref="A8" xr:uid="{00000000-0002-0000-2B00-000002000000}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FormulaLB"/>
  <dimension ref="A1:M23"/>
  <sheetViews>
    <sheetView topLeftCell="A4"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2.28515625" customWidth="1"/>
    <col min="3" max="3" width="16.140625" style="16" bestFit="1" customWidth="1"/>
    <col min="4" max="4" width="15" style="54" customWidth="1"/>
    <col min="5" max="6" width="5.140625" style="54" customWidth="1"/>
    <col min="7" max="7" width="3.140625" style="54" customWidth="1"/>
    <col min="8" max="8" width="8.285156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181</v>
      </c>
    </row>
    <row r="2" spans="1:13" ht="15.75" thickBot="1" x14ac:dyDescent="0.3">
      <c r="A2" s="63" t="s">
        <v>204</v>
      </c>
      <c r="D2" s="18" t="s">
        <v>182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13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H6"/>
      <c r="I6"/>
      <c r="J6"/>
    </row>
    <row r="7" spans="1:13" x14ac:dyDescent="0.25">
      <c r="A7" s="62" t="s">
        <v>210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8" xr:uid="{00000000-0002-0000-2C00-000000000000}">
      <formula1>OpenSolverResult</formula1>
    </dataValidation>
    <dataValidation type="list" allowBlank="1" showInputMessage="1" showErrorMessage="1" sqref="A4" xr:uid="{00000000-0002-0000-2C00-000001000000}">
      <formula1>ModelType</formula1>
    </dataValidation>
    <dataValidation type="list" allowBlank="1" showInputMessage="1" showErrorMessage="1" sqref="A2" xr:uid="{00000000-0002-0000-2C00-000002000000}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VarConstraintLB"/>
  <dimension ref="A1:M23"/>
  <sheetViews>
    <sheetView topLeftCell="A16"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2.28515625" customWidth="1"/>
    <col min="3" max="3" width="16.140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285156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2" t="s">
        <v>203</v>
      </c>
      <c r="D1" s="18" t="s">
        <v>316</v>
      </c>
    </row>
    <row r="2" spans="1:13" ht="15.75" thickBot="1" x14ac:dyDescent="0.3">
      <c r="A2" s="63" t="s">
        <v>204</v>
      </c>
      <c r="D2" s="18" t="s">
        <v>317</v>
      </c>
    </row>
    <row r="3" spans="1:13" x14ac:dyDescent="0.25">
      <c r="A3" s="62" t="s">
        <v>208</v>
      </c>
      <c r="D3" s="18"/>
    </row>
    <row r="4" spans="1:13" ht="15.75" thickBot="1" x14ac:dyDescent="0.3">
      <c r="A4" s="63" t="s">
        <v>206</v>
      </c>
      <c r="D4" s="54" t="s">
        <v>1</v>
      </c>
      <c r="E4" s="54" t="s">
        <v>2</v>
      </c>
      <c r="F4" s="54" t="s">
        <v>3</v>
      </c>
    </row>
    <row r="5" spans="1:13" x14ac:dyDescent="0.25">
      <c r="A5" s="62" t="s">
        <v>209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3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2" t="s">
        <v>210</v>
      </c>
      <c r="C7" s="16" t="s">
        <v>162</v>
      </c>
      <c r="D7" s="54">
        <v>-2</v>
      </c>
      <c r="H7"/>
      <c r="I7"/>
      <c r="J7"/>
      <c r="L7">
        <v>-2</v>
      </c>
      <c r="M7" t="s">
        <v>175</v>
      </c>
    </row>
    <row r="8" spans="1:13" x14ac:dyDescent="0.25">
      <c r="A8" s="64" t="s">
        <v>200</v>
      </c>
    </row>
    <row r="9" spans="1:13" ht="15.75" thickBot="1" x14ac:dyDescent="0.3">
      <c r="A9" s="63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56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0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0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0"/>
      <c r="C21" s="56" t="s">
        <v>16</v>
      </c>
      <c r="K21"/>
      <c r="L21"/>
      <c r="M21"/>
    </row>
    <row r="22" spans="1:13" s="54" customFormat="1" x14ac:dyDescent="0.25">
      <c r="A22" s="60"/>
      <c r="C22" s="16"/>
      <c r="D22" s="54">
        <v>0</v>
      </c>
      <c r="K22"/>
      <c r="L22"/>
      <c r="M22"/>
    </row>
    <row r="23" spans="1:13" s="54" customFormat="1" x14ac:dyDescent="0.25">
      <c r="A23" s="60"/>
      <c r="C23" s="16" t="s">
        <v>17</v>
      </c>
      <c r="D23" s="8" t="b">
        <f>ABS(D22-H9)/(1+ABS(D22))&lt;=0.000001</f>
        <v>1</v>
      </c>
      <c r="K23"/>
      <c r="L23"/>
      <c r="M23"/>
    </row>
  </sheetData>
  <dataConsolidate/>
  <dataValidations count="3">
    <dataValidation type="list" allowBlank="1" showInputMessage="1" showErrorMessage="1" sqref="A2" xr:uid="{00000000-0002-0000-2D00-000000000000}">
      <formula1>TestType</formula1>
    </dataValidation>
    <dataValidation type="list" allowBlank="1" showInputMessage="1" showErrorMessage="1" sqref="A4" xr:uid="{00000000-0002-0000-2D00-000001000000}">
      <formula1>ModelType</formula1>
    </dataValidation>
    <dataValidation type="list" allowBlank="1" showInputMessage="1" showErrorMessage="1" sqref="A8" xr:uid="{00000000-0002-0000-2D00-000002000000}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FractionalCoeffs"/>
  <dimension ref="A1:I13"/>
  <sheetViews>
    <sheetView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</cols>
  <sheetData>
    <row r="1" spans="1:9" x14ac:dyDescent="0.25">
      <c r="A1" s="62" t="s">
        <v>302</v>
      </c>
      <c r="D1" t="s">
        <v>305</v>
      </c>
      <c r="E1" t="s">
        <v>304</v>
      </c>
      <c r="F1" t="s">
        <v>303</v>
      </c>
    </row>
    <row r="2" spans="1:9" ht="15.75" thickBot="1" x14ac:dyDescent="0.3">
      <c r="A2" s="63" t="s">
        <v>204</v>
      </c>
      <c r="D2">
        <v>250</v>
      </c>
      <c r="E2">
        <v>100</v>
      </c>
      <c r="F2">
        <v>0</v>
      </c>
    </row>
    <row r="3" spans="1:9" x14ac:dyDescent="0.25">
      <c r="A3" s="62" t="s">
        <v>208</v>
      </c>
    </row>
    <row r="4" spans="1:9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</v>
      </c>
    </row>
    <row r="5" spans="1:9" x14ac:dyDescent="0.25">
      <c r="A5" s="62" t="s">
        <v>209</v>
      </c>
    </row>
    <row r="6" spans="1:9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</v>
      </c>
      <c r="H6" t="s">
        <v>10</v>
      </c>
      <c r="I6">
        <v>350</v>
      </c>
    </row>
    <row r="7" spans="1:9" x14ac:dyDescent="0.25">
      <c r="A7" s="62" t="s">
        <v>210</v>
      </c>
      <c r="E7">
        <v>1</v>
      </c>
      <c r="G7">
        <f>SUMPRODUCT($D$2:$F$2,D7:F7)</f>
        <v>100</v>
      </c>
      <c r="H7" t="s">
        <v>9</v>
      </c>
      <c r="I7">
        <v>100</v>
      </c>
    </row>
    <row r="8" spans="1:9" x14ac:dyDescent="0.25">
      <c r="A8" s="64" t="s">
        <v>200</v>
      </c>
      <c r="D8">
        <v>-2</v>
      </c>
      <c r="F8">
        <v>1</v>
      </c>
      <c r="G8">
        <f>SUMPRODUCT($D$2:$F$2,D8:F8)</f>
        <v>-500</v>
      </c>
      <c r="H8" t="s">
        <v>8</v>
      </c>
      <c r="I8">
        <v>0</v>
      </c>
    </row>
    <row r="9" spans="1:9" ht="15.75" thickBot="1" x14ac:dyDescent="0.3">
      <c r="A9" s="63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</row>
    <row r="10" spans="1:9" ht="15.75" thickBot="1" x14ac:dyDescent="0.3">
      <c r="A10" s="156" t="str">
        <f>HYPERLINK("[OpenSolver Tester.xlsm]Results!A1", "&lt;- Results")</f>
        <v>&lt;- Results</v>
      </c>
    </row>
    <row r="11" spans="1:9" x14ac:dyDescent="0.25">
      <c r="D11" s="133" t="s">
        <v>1</v>
      </c>
      <c r="E11" s="133" t="s">
        <v>2</v>
      </c>
      <c r="F11" s="133" t="s">
        <v>3</v>
      </c>
      <c r="G11" s="133" t="s">
        <v>230</v>
      </c>
    </row>
    <row r="12" spans="1:9" x14ac:dyDescent="0.25">
      <c r="D12" s="133">
        <v>250</v>
      </c>
      <c r="E12" s="133">
        <v>100</v>
      </c>
      <c r="F12" s="133">
        <v>0</v>
      </c>
      <c r="G12" s="133">
        <v>50</v>
      </c>
    </row>
    <row r="13" spans="1:9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Consolidate/>
  <dataValidations count="3">
    <dataValidation type="list" allowBlank="1" showInputMessage="1" showErrorMessage="1" sqref="A2" xr:uid="{00000000-0002-0000-2E00-000000000000}">
      <formula1>TestType</formula1>
    </dataValidation>
    <dataValidation type="list" allowBlank="1" showInputMessage="1" showErrorMessage="1" sqref="A4" xr:uid="{00000000-0002-0000-2E00-000001000000}">
      <formula1>ModelType</formula1>
    </dataValidation>
    <dataValidation type="list" allowBlank="1" showInputMessage="1" showErrorMessage="1" sqref="A8" xr:uid="{00000000-0002-0000-2E00-000002000000}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ComplexLayout"/>
  <dimension ref="A1:W38"/>
  <sheetViews>
    <sheetView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2.28515625" customWidth="1"/>
    <col min="3" max="3" width="4.85546875" customWidth="1"/>
    <col min="4" max="4" width="9.28515625" style="1" customWidth="1"/>
    <col min="5" max="5" width="5.140625" style="1" customWidth="1"/>
    <col min="6" max="6" width="7.28515625" style="1" customWidth="1"/>
    <col min="7" max="7" width="10.28515625" style="1" customWidth="1"/>
    <col min="8" max="8" width="3.140625" style="1" customWidth="1"/>
    <col min="9" max="9" width="6.85546875" style="1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3" x14ac:dyDescent="0.25">
      <c r="A1" s="62" t="s">
        <v>203</v>
      </c>
      <c r="D1" s="18" t="s">
        <v>30</v>
      </c>
    </row>
    <row r="2" spans="1:23" ht="15.75" thickBot="1" x14ac:dyDescent="0.3">
      <c r="A2" s="63" t="s">
        <v>204</v>
      </c>
      <c r="Q2" t="s">
        <v>21</v>
      </c>
    </row>
    <row r="3" spans="1:23" x14ac:dyDescent="0.25">
      <c r="A3" s="62" t="s">
        <v>208</v>
      </c>
      <c r="D3" s="1" t="s">
        <v>1</v>
      </c>
      <c r="E3" s="1" t="s">
        <v>2</v>
      </c>
      <c r="F3" s="1" t="s">
        <v>3</v>
      </c>
      <c r="G3" s="1" t="s">
        <v>18</v>
      </c>
      <c r="M3" t="s">
        <v>19</v>
      </c>
      <c r="N3">
        <v>6.8545357391304353</v>
      </c>
      <c r="Q3" s="9">
        <v>0</v>
      </c>
      <c r="R3" s="10">
        <v>11</v>
      </c>
      <c r="S3" s="9">
        <f>SUM(Q3:R3)</f>
        <v>11</v>
      </c>
      <c r="T3" s="11" t="s">
        <v>8</v>
      </c>
      <c r="U3" s="10">
        <v>55</v>
      </c>
    </row>
    <row r="4" spans="1:23" ht="15.75" thickBot="1" x14ac:dyDescent="0.3">
      <c r="A4" s="63" t="s">
        <v>206</v>
      </c>
      <c r="D4" s="134">
        <v>0</v>
      </c>
      <c r="E4" s="1">
        <v>1</v>
      </c>
      <c r="F4" s="1">
        <v>1</v>
      </c>
      <c r="G4" s="134">
        <v>0</v>
      </c>
      <c r="H4" s="1">
        <v>0</v>
      </c>
      <c r="I4"/>
      <c r="J4"/>
      <c r="K4"/>
      <c r="M4" t="s">
        <v>20</v>
      </c>
      <c r="N4">
        <v>0</v>
      </c>
      <c r="Q4" s="4">
        <v>44</v>
      </c>
      <c r="R4" s="5">
        <v>22</v>
      </c>
      <c r="S4" s="4">
        <f>SUM(Q4:R4)</f>
        <v>66</v>
      </c>
      <c r="T4" s="12" t="s">
        <v>8</v>
      </c>
      <c r="U4" s="5">
        <v>66</v>
      </c>
    </row>
    <row r="5" spans="1:23" x14ac:dyDescent="0.25">
      <c r="A5" s="62" t="s">
        <v>209</v>
      </c>
      <c r="D5" s="1" t="s">
        <v>156</v>
      </c>
      <c r="E5" s="1" t="s">
        <v>186</v>
      </c>
      <c r="F5" s="1" t="s">
        <v>186</v>
      </c>
      <c r="Q5" s="9">
        <f>SUM(Q3:Q4)</f>
        <v>44</v>
      </c>
      <c r="R5" s="10">
        <f>SUM(R3:R4)</f>
        <v>33</v>
      </c>
    </row>
    <row r="6" spans="1:23" ht="15.75" thickBot="1" x14ac:dyDescent="0.3">
      <c r="A6" s="63" t="b">
        <f>AND(D17,E17,F17,G17,D21,O16,O17,V16,V17,W16,W17)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SUMPRODUCT($D$4:$G$4,D6:G6)+SUMPRODUCT(Q3:R4,Q11:R12)+10*S3+5*N3+N4</f>
        <v>712.53567869565222</v>
      </c>
      <c r="Q6" s="13" t="s">
        <v>9</v>
      </c>
      <c r="R6" s="14" t="s">
        <v>9</v>
      </c>
    </row>
    <row r="7" spans="1:23" x14ac:dyDescent="0.25">
      <c r="A7" s="62" t="s">
        <v>210</v>
      </c>
      <c r="Q7" s="4">
        <v>44</v>
      </c>
      <c r="R7" s="5">
        <v>33</v>
      </c>
    </row>
    <row r="8" spans="1:23" x14ac:dyDescent="0.25">
      <c r="A8" s="64" t="s">
        <v>200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SUMPRODUCT($D$4:$G$4,D8:G8)+5*P7</f>
        <v>11</v>
      </c>
      <c r="J8" s="1" t="s">
        <v>8</v>
      </c>
      <c r="K8" s="1">
        <f>61.2345678+2.3*N3-S4</f>
        <v>11</v>
      </c>
    </row>
    <row r="9" spans="1:23" ht="15.75" thickBot="1" x14ac:dyDescent="0.3">
      <c r="A9" s="63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22</v>
      </c>
      <c r="J9" s="1" t="s">
        <v>8</v>
      </c>
      <c r="K9" s="1">
        <v>150</v>
      </c>
    </row>
    <row r="10" spans="1:23" ht="15.75" thickBot="1" x14ac:dyDescent="0.3">
      <c r="A10" s="156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  <c r="Q10" t="s">
        <v>22</v>
      </c>
    </row>
    <row r="11" spans="1:23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  <c r="Q11">
        <v>3.3</v>
      </c>
      <c r="R11">
        <v>6.9</v>
      </c>
    </row>
    <row r="12" spans="1:23" x14ac:dyDescent="0.25">
      <c r="Q12">
        <v>6</v>
      </c>
      <c r="R12">
        <v>9.92</v>
      </c>
    </row>
    <row r="15" spans="1:23" x14ac:dyDescent="0.25">
      <c r="C15" t="s">
        <v>15</v>
      </c>
      <c r="F15" s="1" t="b">
        <f>AND(D17:G17,O16:O17,V16:W17)</f>
        <v>1</v>
      </c>
    </row>
    <row r="16" spans="1:23" x14ac:dyDescent="0.25">
      <c r="D16" s="1">
        <v>0</v>
      </c>
      <c r="E16" s="1">
        <v>1</v>
      </c>
      <c r="F16" s="1">
        <v>1</v>
      </c>
      <c r="G16" s="1">
        <v>0</v>
      </c>
      <c r="N16">
        <v>6.8545357391372654</v>
      </c>
      <c r="O16" s="15" t="b">
        <f>ABS(N3-N16)/(1+ABS(N16))&lt;=0.000001</f>
        <v>1</v>
      </c>
      <c r="Q16" s="9">
        <v>0</v>
      </c>
      <c r="R16" s="10">
        <v>10.999999999988283</v>
      </c>
      <c r="V16" s="15" t="b">
        <f>ABS(Q3-Q16)/(1+ABS(Q16))&lt;=0.000001</f>
        <v>1</v>
      </c>
      <c r="W16" s="15" t="b">
        <f>ABS(R3-R16)/(1+ABS(R16))&lt;=0.000001</f>
        <v>1</v>
      </c>
    </row>
    <row r="17" spans="1:23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  <c r="N17">
        <v>0</v>
      </c>
      <c r="O17" s="15" t="b">
        <f>ABS(N4-N17)/(1+ABS(N17))&lt;=0.000001</f>
        <v>1</v>
      </c>
      <c r="Q17" s="4">
        <v>43.999999999954298</v>
      </c>
      <c r="R17" s="5">
        <v>22.000000000080945</v>
      </c>
      <c r="V17" s="15" t="b">
        <f>ABS(Q4-Q17)/(1+ABS(Q17))&lt;=0.000001</f>
        <v>1</v>
      </c>
      <c r="W17" s="15" t="b">
        <f>ABS(R4-R17)/(1+ABS(R17))&lt;=0.000001</f>
        <v>1</v>
      </c>
    </row>
    <row r="19" spans="1:23" s="1" customFormat="1" x14ac:dyDescent="0.25">
      <c r="A19" s="60"/>
      <c r="C19" t="s">
        <v>16</v>
      </c>
      <c r="L19"/>
      <c r="M19"/>
      <c r="N19"/>
      <c r="O19"/>
      <c r="P19"/>
      <c r="Q19"/>
      <c r="R19"/>
    </row>
    <row r="20" spans="1:23" s="1" customFormat="1" x14ac:dyDescent="0.25">
      <c r="A20" s="60"/>
      <c r="C20"/>
      <c r="D20" s="1">
        <v>712.53567869565222</v>
      </c>
      <c r="L20"/>
      <c r="M20"/>
      <c r="N20"/>
      <c r="O20"/>
      <c r="P20"/>
      <c r="Q20"/>
      <c r="R20"/>
    </row>
    <row r="21" spans="1:23" s="1" customFormat="1" x14ac:dyDescent="0.25">
      <c r="A21" s="60"/>
      <c r="C21" t="s">
        <v>17</v>
      </c>
      <c r="D21" s="8" t="b">
        <f>ABS(D20-I6)/(1+ABS(D20))&lt;=0.000001</f>
        <v>1</v>
      </c>
      <c r="L21"/>
      <c r="M21"/>
      <c r="N21"/>
      <c r="O21"/>
      <c r="P21"/>
      <c r="Q21"/>
      <c r="R21"/>
    </row>
    <row r="30" spans="1:23" x14ac:dyDescent="0.25">
      <c r="K30" s="1">
        <v>194</v>
      </c>
      <c r="L30">
        <f>42*4+39*4+21*4</f>
        <v>408</v>
      </c>
    </row>
    <row r="31" spans="1:23" x14ac:dyDescent="0.25">
      <c r="K31" s="1">
        <v>183</v>
      </c>
    </row>
    <row r="32" spans="1:23" x14ac:dyDescent="0.25">
      <c r="K32" s="1">
        <v>96</v>
      </c>
    </row>
    <row r="33" spans="11:14" x14ac:dyDescent="0.25">
      <c r="K33" s="1">
        <f>SUM(K30:K32)</f>
        <v>473</v>
      </c>
      <c r="L33" s="1">
        <f>L30</f>
        <v>408</v>
      </c>
    </row>
    <row r="34" spans="11:14" x14ac:dyDescent="0.25">
      <c r="K34" s="1">
        <f>K33*0.95</f>
        <v>449.34999999999997</v>
      </c>
      <c r="L34" s="1">
        <f>L33*0.95</f>
        <v>387.59999999999997</v>
      </c>
    </row>
    <row r="35" spans="11:14" x14ac:dyDescent="0.25">
      <c r="K35" s="1">
        <f>K34*0.7</f>
        <v>314.54499999999996</v>
      </c>
      <c r="L35" s="1">
        <f>L34*0.7</f>
        <v>271.31999999999994</v>
      </c>
      <c r="N35" s="29">
        <v>40648</v>
      </c>
    </row>
    <row r="36" spans="11:14" x14ac:dyDescent="0.25">
      <c r="K36" s="1">
        <f>K35/5</f>
        <v>62.908999999999992</v>
      </c>
      <c r="L36">
        <f>L35/4</f>
        <v>67.829999999999984</v>
      </c>
      <c r="N36" s="29">
        <v>40697</v>
      </c>
    </row>
    <row r="37" spans="11:14" x14ac:dyDescent="0.25">
      <c r="N37">
        <f>N36-N35</f>
        <v>49</v>
      </c>
    </row>
    <row r="38" spans="11:14" x14ac:dyDescent="0.25">
      <c r="K38" s="1">
        <f>K35*N38</f>
        <v>2201.8149999999996</v>
      </c>
      <c r="L38">
        <f>N38*L35</f>
        <v>1899.2399999999996</v>
      </c>
      <c r="N38">
        <f>N37/7</f>
        <v>7</v>
      </c>
    </row>
  </sheetData>
  <dataConsolidate/>
  <dataValidations count="3">
    <dataValidation type="list" allowBlank="1" showInputMessage="1" showErrorMessage="1" sqref="A8" xr:uid="{00000000-0002-0000-2F00-000000000000}">
      <formula1>OpenSolverResult</formula1>
    </dataValidation>
    <dataValidation type="list" allowBlank="1" showInputMessage="1" showErrorMessage="1" sqref="A4" xr:uid="{00000000-0002-0000-2F00-000001000000}">
      <formula1>ModelType</formula1>
    </dataValidation>
    <dataValidation type="list" allowBlank="1" showInputMessage="1" showErrorMessage="1" sqref="A2" xr:uid="{00000000-0002-0000-2F00-000002000000}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InfModel"/>
  <dimension ref="A1:J21"/>
  <sheetViews>
    <sheetView topLeftCell="A10"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2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285156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2" t="s">
        <v>203</v>
      </c>
      <c r="C1" t="s">
        <v>27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1" t="s">
        <v>126</v>
      </c>
      <c r="E4" s="1" t="s">
        <v>128</v>
      </c>
      <c r="F4" s="1" t="s">
        <v>130</v>
      </c>
    </row>
    <row r="5" spans="1:10" x14ac:dyDescent="0.25">
      <c r="A5" s="62" t="s">
        <v>209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4" t="s">
        <v>27</v>
      </c>
    </row>
    <row r="9" spans="1:10" ht="15.75" thickBot="1" x14ac:dyDescent="0.3">
      <c r="A9" s="63">
        <f>VLOOKUP(A8,OpenSolverResultCodes,2,FALSE)</f>
        <v>5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 s="1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0"/>
      <c r="C19" s="17" t="s">
        <v>16</v>
      </c>
    </row>
    <row r="20" spans="1:4" s="1" customFormat="1" x14ac:dyDescent="0.25">
      <c r="A20" s="60"/>
      <c r="C20" t="s">
        <v>28</v>
      </c>
    </row>
    <row r="21" spans="1:4" s="1" customFormat="1" x14ac:dyDescent="0.25">
      <c r="A21" s="60"/>
      <c r="C21"/>
      <c r="D21" s="8"/>
    </row>
  </sheetData>
  <dataConsolidate/>
  <dataValidations count="3">
    <dataValidation type="list" allowBlank="1" showInputMessage="1" showErrorMessage="1" sqref="A8" xr:uid="{00000000-0002-0000-3000-000000000000}">
      <formula1>OpenSolverResult</formula1>
    </dataValidation>
    <dataValidation type="list" allowBlank="1" showInputMessage="1" showErrorMessage="1" sqref="A4" xr:uid="{00000000-0002-0000-3000-000001000000}">
      <formula1>ModelType</formula1>
    </dataValidation>
    <dataValidation type="list" allowBlank="1" showInputMessage="1" showErrorMessage="1" sqref="A2" xr:uid="{00000000-0002-0000-3000-000002000000}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IterativeCalc"/>
  <dimension ref="A1:N22"/>
  <sheetViews>
    <sheetView topLeftCell="A7"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2.28515625" customWidth="1"/>
    <col min="3" max="3" width="4.85546875" customWidth="1"/>
    <col min="4" max="4" width="7.7109375" style="55" customWidth="1"/>
    <col min="5" max="6" width="5.140625" style="55" customWidth="1"/>
    <col min="7" max="7" width="3.140625" style="55" customWidth="1"/>
    <col min="8" max="8" width="8.28515625" style="55" customWidth="1"/>
    <col min="9" max="9" width="3" style="55" bestFit="1" customWidth="1"/>
    <col min="10" max="10" width="6" style="55" customWidth="1"/>
    <col min="14" max="14" width="8.28515625" bestFit="1" customWidth="1"/>
  </cols>
  <sheetData>
    <row r="1" spans="1:14" x14ac:dyDescent="0.25">
      <c r="A1" s="62" t="s">
        <v>203</v>
      </c>
      <c r="C1" t="s">
        <v>187</v>
      </c>
    </row>
    <row r="2" spans="1:14" ht="15.75" thickBot="1" x14ac:dyDescent="0.3">
      <c r="A2" s="63" t="s">
        <v>205</v>
      </c>
      <c r="C2" t="s">
        <v>188</v>
      </c>
    </row>
    <row r="3" spans="1:14" x14ac:dyDescent="0.25">
      <c r="A3" s="62" t="s">
        <v>208</v>
      </c>
    </row>
    <row r="4" spans="1:14" ht="15.75" thickBot="1" x14ac:dyDescent="0.3">
      <c r="A4" s="63" t="s">
        <v>206</v>
      </c>
      <c r="D4" s="55" t="s">
        <v>1</v>
      </c>
      <c r="E4" s="55" t="s">
        <v>2</v>
      </c>
      <c r="F4" s="55" t="s">
        <v>3</v>
      </c>
    </row>
    <row r="5" spans="1:14" x14ac:dyDescent="0.25">
      <c r="A5" s="62" t="s">
        <v>209</v>
      </c>
      <c r="D5" s="55">
        <v>0</v>
      </c>
      <c r="E5" s="55">
        <v>5.2941176470588234</v>
      </c>
      <c r="F5" s="55">
        <v>0</v>
      </c>
      <c r="H5"/>
      <c r="I5"/>
      <c r="J5"/>
    </row>
    <row r="6" spans="1:14" ht="15.75" thickBot="1" x14ac:dyDescent="0.3">
      <c r="A6" s="63" t="b">
        <f>AND(D18,E18,F18,D22)</f>
        <v>1</v>
      </c>
    </row>
    <row r="7" spans="1:14" x14ac:dyDescent="0.25">
      <c r="A7" s="62" t="s">
        <v>210</v>
      </c>
      <c r="C7" t="s">
        <v>0</v>
      </c>
      <c r="D7" s="55">
        <v>2</v>
      </c>
      <c r="E7" s="55">
        <v>3</v>
      </c>
      <c r="F7" s="55">
        <v>4</v>
      </c>
      <c r="H7" s="55">
        <f>SUMPRODUCT($D$5:$F$5,D7:F7)</f>
        <v>15.882352941176471</v>
      </c>
      <c r="M7" t="s">
        <v>189</v>
      </c>
    </row>
    <row r="8" spans="1:14" x14ac:dyDescent="0.25">
      <c r="A8" s="64" t="s">
        <v>200</v>
      </c>
      <c r="M8" s="57" t="s">
        <v>191</v>
      </c>
      <c r="N8" s="57" t="s">
        <v>190</v>
      </c>
    </row>
    <row r="9" spans="1:14" ht="15.75" thickBot="1" x14ac:dyDescent="0.3">
      <c r="A9" s="63">
        <f>VLOOKUP(A8,OpenSolverResultCodes,2,FALSE)</f>
        <v>0</v>
      </c>
      <c r="C9" t="s">
        <v>4</v>
      </c>
      <c r="D9" s="55">
        <v>10</v>
      </c>
      <c r="E9" s="55">
        <v>11</v>
      </c>
      <c r="F9" s="55">
        <v>12</v>
      </c>
      <c r="H9" s="55">
        <f>SUMPRODUCT($D$5:$F$5,D9:F9)+5*P8</f>
        <v>58.235294117647058</v>
      </c>
      <c r="I9" s="55" t="s">
        <v>8</v>
      </c>
      <c r="J9" s="55">
        <v>60</v>
      </c>
    </row>
    <row r="10" spans="1:14" ht="15.75" thickBot="1" x14ac:dyDescent="0.3">
      <c r="A10" s="156" t="str">
        <f>HYPERLINK("[OpenSolver Tester.xlsm]Results!A1", "&lt;- Results")</f>
        <v>&lt;- Results</v>
      </c>
      <c r="D10" s="55">
        <v>21</v>
      </c>
      <c r="E10" s="55">
        <v>22</v>
      </c>
      <c r="F10" s="55">
        <v>23</v>
      </c>
      <c r="H10" s="55">
        <f>SUMPRODUCT($D$5:$F$5,D10:F10)</f>
        <v>116.47058823529412</v>
      </c>
      <c r="I10" s="55" t="s">
        <v>8</v>
      </c>
      <c r="J10" s="55">
        <v>150</v>
      </c>
    </row>
    <row r="11" spans="1:14" x14ac:dyDescent="0.25">
      <c r="D11" s="55">
        <v>21</v>
      </c>
      <c r="E11" s="55">
        <v>22</v>
      </c>
      <c r="F11" s="55">
        <v>-23</v>
      </c>
      <c r="H11" s="55">
        <f>SUMPRODUCT($D$5:$F$5,D11:F11)</f>
        <v>116.47058823529412</v>
      </c>
      <c r="I11" s="55" t="s">
        <v>9</v>
      </c>
      <c r="J11" s="55">
        <v>110</v>
      </c>
    </row>
    <row r="12" spans="1:14" x14ac:dyDescent="0.25">
      <c r="D12" s="55">
        <v>19</v>
      </c>
      <c r="E12" s="55">
        <v>34</v>
      </c>
      <c r="F12" s="55">
        <v>-32</v>
      </c>
      <c r="H12" s="55">
        <f>SUMPRODUCT($D$5:$F$5,D12:F12)</f>
        <v>180</v>
      </c>
      <c r="I12" s="55" t="s">
        <v>10</v>
      </c>
      <c r="J12" s="55">
        <v>180</v>
      </c>
    </row>
    <row r="16" spans="1:14" x14ac:dyDescent="0.25">
      <c r="C16" s="17" t="s">
        <v>15</v>
      </c>
    </row>
    <row r="17" spans="1:6" x14ac:dyDescent="0.25">
      <c r="D17" s="55">
        <v>0</v>
      </c>
      <c r="E17" s="55">
        <v>5.294117647058874</v>
      </c>
      <c r="F17" s="55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55" customFormat="1" x14ac:dyDescent="0.25">
      <c r="A20" s="60"/>
      <c r="C20" s="17" t="s">
        <v>16</v>
      </c>
    </row>
    <row r="21" spans="1:6" s="55" customFormat="1" x14ac:dyDescent="0.25">
      <c r="A21" s="60"/>
      <c r="C21"/>
      <c r="D21" s="55">
        <v>15.882352941176622</v>
      </c>
    </row>
    <row r="22" spans="1:6" s="55" customFormat="1" x14ac:dyDescent="0.25">
      <c r="A22" s="60"/>
      <c r="C22" t="s">
        <v>17</v>
      </c>
      <c r="D22" s="8" t="b">
        <f>ABS(D21-H7)/(1+ABS(D21))&lt;=0.000001</f>
        <v>1</v>
      </c>
    </row>
  </sheetData>
  <dataConsolidate/>
  <dataValidations count="3">
    <dataValidation type="list" allowBlank="1" showInputMessage="1" showErrorMessage="1" sqref="A8" xr:uid="{00000000-0002-0000-3100-000000000000}">
      <formula1>OpenSolverResult</formula1>
    </dataValidation>
    <dataValidation type="list" allowBlank="1" showInputMessage="1" showErrorMessage="1" sqref="A4" xr:uid="{00000000-0002-0000-3100-000001000000}">
      <formula1>ModelType</formula1>
    </dataValidation>
    <dataValidation type="list" allowBlank="1" showInputMessage="1" showErrorMessage="1" sqref="A2" xr:uid="{00000000-0002-0000-3100-000002000000}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NoObj"/>
  <dimension ref="A1:J22"/>
  <sheetViews>
    <sheetView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2.28515625" customWidth="1"/>
    <col min="3" max="3" width="4.85546875" customWidth="1"/>
    <col min="4" max="4" width="7.7109375" style="58" customWidth="1"/>
    <col min="5" max="6" width="5.140625" style="58" customWidth="1"/>
    <col min="7" max="7" width="3.140625" style="58" customWidth="1"/>
    <col min="8" max="8" width="8.28515625" style="58" customWidth="1"/>
    <col min="9" max="9" width="3" style="58" bestFit="1" customWidth="1"/>
    <col min="10" max="10" width="6" style="58" customWidth="1"/>
    <col min="14" max="14" width="8.28515625" bestFit="1" customWidth="1"/>
  </cols>
  <sheetData>
    <row r="1" spans="1:10" x14ac:dyDescent="0.25">
      <c r="A1" s="62" t="s">
        <v>203</v>
      </c>
      <c r="C1" t="s">
        <v>192</v>
      </c>
    </row>
    <row r="2" spans="1:10" ht="15.75" thickBot="1" x14ac:dyDescent="0.3">
      <c r="A2" s="63" t="s">
        <v>204</v>
      </c>
    </row>
    <row r="3" spans="1:10" x14ac:dyDescent="0.25">
      <c r="A3" s="62" t="s">
        <v>208</v>
      </c>
    </row>
    <row r="4" spans="1:10" ht="15.75" thickBot="1" x14ac:dyDescent="0.3">
      <c r="A4" s="63" t="s">
        <v>206</v>
      </c>
      <c r="D4" s="58" t="s">
        <v>1</v>
      </c>
      <c r="E4" s="58" t="s">
        <v>2</v>
      </c>
      <c r="F4" s="58" t="s">
        <v>3</v>
      </c>
    </row>
    <row r="5" spans="1:10" x14ac:dyDescent="0.25">
      <c r="A5" s="62" t="s">
        <v>209</v>
      </c>
      <c r="D5" s="58">
        <v>0</v>
      </c>
      <c r="E5" s="58">
        <v>5.2941180000000001</v>
      </c>
      <c r="F5" s="134">
        <v>0</v>
      </c>
      <c r="H5"/>
      <c r="I5"/>
      <c r="J5"/>
    </row>
    <row r="6" spans="1:10" ht="15.75" thickBot="1" x14ac:dyDescent="0.3">
      <c r="A6" s="63" t="b">
        <v>1</v>
      </c>
    </row>
    <row r="7" spans="1:10" x14ac:dyDescent="0.25">
      <c r="A7" s="62" t="s">
        <v>210</v>
      </c>
      <c r="C7" t="s">
        <v>0</v>
      </c>
      <c r="D7" s="58">
        <v>2</v>
      </c>
      <c r="E7" s="58">
        <v>3</v>
      </c>
      <c r="F7" s="58">
        <v>4</v>
      </c>
    </row>
    <row r="8" spans="1:10" x14ac:dyDescent="0.25">
      <c r="A8" s="64" t="s">
        <v>200</v>
      </c>
    </row>
    <row r="9" spans="1:10" ht="15.75" thickBot="1" x14ac:dyDescent="0.3">
      <c r="A9" s="63">
        <f>VLOOKUP(A8,OpenSolverResultCodes,2,FALSE)</f>
        <v>0</v>
      </c>
      <c r="C9" t="s">
        <v>4</v>
      </c>
      <c r="D9" s="58">
        <v>10</v>
      </c>
      <c r="E9" s="58">
        <v>11</v>
      </c>
      <c r="F9" s="58">
        <v>12</v>
      </c>
      <c r="H9" s="58">
        <f>SUMPRODUCT($D$5:$F$5,D9:F9)+5*M8</f>
        <v>58.235298</v>
      </c>
      <c r="I9" s="58" t="s">
        <v>8</v>
      </c>
      <c r="J9" s="58">
        <v>60</v>
      </c>
    </row>
    <row r="10" spans="1:10" ht="15.75" thickBot="1" x14ac:dyDescent="0.3">
      <c r="A10" s="156" t="str">
        <f>HYPERLINK("[OpenSolver Tester.xlsm]Results!A1", "&lt;- Results")</f>
        <v>&lt;- Results</v>
      </c>
      <c r="D10" s="58">
        <v>21</v>
      </c>
      <c r="E10" s="58">
        <v>22</v>
      </c>
      <c r="F10" s="58">
        <v>23</v>
      </c>
      <c r="H10" s="58">
        <f>SUMPRODUCT($D$5:$F$5,D10:F10)</f>
        <v>116.470596</v>
      </c>
      <c r="I10" s="58" t="s">
        <v>8</v>
      </c>
      <c r="J10" s="58">
        <v>150</v>
      </c>
    </row>
    <row r="11" spans="1:10" x14ac:dyDescent="0.25">
      <c r="D11" s="58">
        <v>21</v>
      </c>
      <c r="E11" s="58">
        <v>22</v>
      </c>
      <c r="F11" s="58">
        <v>-23</v>
      </c>
      <c r="H11" s="58">
        <f>SUMPRODUCT($D$5:$F$5,D11:F11)</f>
        <v>116.470596</v>
      </c>
      <c r="I11" s="58" t="s">
        <v>9</v>
      </c>
      <c r="J11" s="58">
        <v>110</v>
      </c>
    </row>
    <row r="12" spans="1:10" x14ac:dyDescent="0.25">
      <c r="D12" s="58">
        <v>19</v>
      </c>
      <c r="E12" s="58">
        <v>34</v>
      </c>
      <c r="F12" s="58">
        <v>-32</v>
      </c>
      <c r="H12" s="58">
        <f>SUMPRODUCT($D$5:$F$5,D12:F12)</f>
        <v>180.000012</v>
      </c>
      <c r="I12" s="58" t="s">
        <v>10</v>
      </c>
      <c r="J12" s="58">
        <v>180</v>
      </c>
    </row>
    <row r="16" spans="1:10" x14ac:dyDescent="0.25">
      <c r="C16" s="17"/>
    </row>
    <row r="18" spans="1:6" x14ac:dyDescent="0.25">
      <c r="D18" s="8"/>
      <c r="E18" s="8"/>
      <c r="F18" s="8"/>
    </row>
    <row r="20" spans="1:6" s="58" customFormat="1" x14ac:dyDescent="0.25">
      <c r="A20" s="60"/>
      <c r="C20" s="17"/>
    </row>
    <row r="21" spans="1:6" s="58" customFormat="1" x14ac:dyDescent="0.25">
      <c r="A21" s="60"/>
      <c r="C21"/>
    </row>
    <row r="22" spans="1:6" s="58" customFormat="1" x14ac:dyDescent="0.25">
      <c r="A22" s="60"/>
      <c r="C22"/>
      <c r="D22" s="8"/>
    </row>
  </sheetData>
  <dataConsolidate/>
  <dataValidations count="3">
    <dataValidation type="list" allowBlank="1" showInputMessage="1" showErrorMessage="1" sqref="A8" xr:uid="{00000000-0002-0000-3200-000000000000}">
      <formula1>OpenSolverResult</formula1>
    </dataValidation>
    <dataValidation type="list" allowBlank="1" showInputMessage="1" showErrorMessage="1" sqref="A4" xr:uid="{00000000-0002-0000-3200-000001000000}">
      <formula1>ModelType</formula1>
    </dataValidation>
    <dataValidation type="list" allowBlank="1" showInputMessage="1" showErrorMessage="1" sqref="A2" xr:uid="{00000000-0002-0000-3200-000002000000}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eekObj"/>
  <dimension ref="A1:O1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14" max="14" width="10.7109375" customWidth="1"/>
    <col min="15" max="15" width="11.28515625" customWidth="1"/>
  </cols>
  <sheetData>
    <row r="1" spans="1:15" x14ac:dyDescent="0.25">
      <c r="A1" s="62" t="s">
        <v>302</v>
      </c>
      <c r="D1" t="s">
        <v>305</v>
      </c>
      <c r="E1" t="s">
        <v>304</v>
      </c>
      <c r="F1" t="s">
        <v>303</v>
      </c>
      <c r="L1" t="s">
        <v>319</v>
      </c>
      <c r="M1" t="s">
        <v>320</v>
      </c>
      <c r="N1" t="s">
        <v>321</v>
      </c>
      <c r="O1" t="s">
        <v>322</v>
      </c>
    </row>
    <row r="2" spans="1:15" ht="15.75" thickBot="1" x14ac:dyDescent="0.3">
      <c r="A2" s="63" t="s">
        <v>204</v>
      </c>
      <c r="D2">
        <v>0</v>
      </c>
      <c r="E2">
        <v>0</v>
      </c>
      <c r="F2">
        <v>0</v>
      </c>
      <c r="L2" t="s">
        <v>323</v>
      </c>
      <c r="M2">
        <v>0</v>
      </c>
      <c r="N2">
        <v>0</v>
      </c>
      <c r="O2">
        <v>166.66666666699999</v>
      </c>
    </row>
    <row r="3" spans="1:15" x14ac:dyDescent="0.25">
      <c r="A3" s="62" t="s">
        <v>208</v>
      </c>
      <c r="L3" t="s">
        <v>324</v>
      </c>
      <c r="M3">
        <v>0</v>
      </c>
      <c r="N3">
        <v>0</v>
      </c>
      <c r="O3">
        <v>100</v>
      </c>
    </row>
    <row r="4" spans="1:15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0</v>
      </c>
      <c r="L4" t="s">
        <v>315</v>
      </c>
      <c r="M4">
        <v>0</v>
      </c>
      <c r="N4">
        <v>1E+100</v>
      </c>
      <c r="O4">
        <v>500</v>
      </c>
    </row>
    <row r="5" spans="1:15" x14ac:dyDescent="0.25">
      <c r="A5" s="62" t="s">
        <v>209</v>
      </c>
      <c r="L5" t="s">
        <v>325</v>
      </c>
      <c r="M5">
        <v>0</v>
      </c>
      <c r="N5" s="80">
        <v>1E+100</v>
      </c>
      <c r="O5">
        <v>72.000000000000796</v>
      </c>
    </row>
    <row r="6" spans="1:15" ht="15.75" thickBot="1" x14ac:dyDescent="0.3">
      <c r="A6" s="63" t="b">
        <f>AND(D13,E13,F13,G13)</f>
        <v>0</v>
      </c>
      <c r="C6" t="s">
        <v>4</v>
      </c>
      <c r="D6">
        <v>1</v>
      </c>
      <c r="E6">
        <v>1</v>
      </c>
      <c r="F6">
        <v>1</v>
      </c>
      <c r="G6">
        <f>SUMPRODUCT($D$2:$F$2,D6:F6)</f>
        <v>0</v>
      </c>
      <c r="H6" t="s">
        <v>10</v>
      </c>
      <c r="I6">
        <v>350</v>
      </c>
    </row>
    <row r="7" spans="1:15" x14ac:dyDescent="0.25">
      <c r="A7" s="62" t="s">
        <v>210</v>
      </c>
      <c r="E7">
        <v>1</v>
      </c>
      <c r="G7">
        <f>SUMPRODUCT($D$2:$F$2,D7:F7)</f>
        <v>0</v>
      </c>
      <c r="H7" t="s">
        <v>9</v>
      </c>
      <c r="I7">
        <v>100</v>
      </c>
      <c r="L7" t="s">
        <v>326</v>
      </c>
      <c r="M7" t="s">
        <v>327</v>
      </c>
      <c r="N7" t="s">
        <v>321</v>
      </c>
      <c r="O7" t="s">
        <v>322</v>
      </c>
    </row>
    <row r="8" spans="1:15" x14ac:dyDescent="0.25">
      <c r="A8" s="64" t="s">
        <v>200</v>
      </c>
      <c r="D8">
        <v>-2</v>
      </c>
      <c r="F8">
        <v>1</v>
      </c>
      <c r="G8">
        <f>SUMPRODUCT($D$2:$F$2,D8:F8)</f>
        <v>0</v>
      </c>
      <c r="H8" t="s">
        <v>8</v>
      </c>
      <c r="I8">
        <v>0</v>
      </c>
      <c r="L8" t="s">
        <v>328</v>
      </c>
      <c r="M8">
        <v>0</v>
      </c>
      <c r="N8" s="80">
        <v>-0.10000000000000053</v>
      </c>
      <c r="O8" s="80">
        <v>1E+100</v>
      </c>
    </row>
    <row r="9" spans="1:15" ht="15.75" thickBot="1" x14ac:dyDescent="0.3">
      <c r="A9" s="63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  <c r="L9" t="s">
        <v>329</v>
      </c>
      <c r="M9">
        <v>0</v>
      </c>
      <c r="N9" s="80">
        <v>1E+100</v>
      </c>
      <c r="O9" s="80">
        <v>0.25</v>
      </c>
    </row>
    <row r="10" spans="1:15" ht="15.75" thickBot="1" x14ac:dyDescent="0.3">
      <c r="A10" s="156" t="str">
        <f>HYPERLINK("[OpenSolver Tester.xlsm]Results!A1", "&lt;- Results")</f>
        <v>&lt;- Results</v>
      </c>
      <c r="L10" t="s">
        <v>330</v>
      </c>
      <c r="M10">
        <v>0</v>
      </c>
      <c r="N10" s="80">
        <v>-0.40000000000000036</v>
      </c>
      <c r="O10" s="80">
        <v>1E+100</v>
      </c>
    </row>
    <row r="11" spans="1:15" x14ac:dyDescent="0.25">
      <c r="D11" s="146" t="s">
        <v>1</v>
      </c>
      <c r="E11" s="146" t="s">
        <v>2</v>
      </c>
      <c r="F11" s="146" t="s">
        <v>3</v>
      </c>
      <c r="G11" s="146" t="s">
        <v>230</v>
      </c>
    </row>
    <row r="12" spans="1:15" x14ac:dyDescent="0.25">
      <c r="D12" s="146">
        <v>250</v>
      </c>
      <c r="E12" s="146">
        <v>100</v>
      </c>
      <c r="F12" s="146">
        <v>0</v>
      </c>
      <c r="G12" s="146">
        <v>50</v>
      </c>
    </row>
    <row r="13" spans="1:15" x14ac:dyDescent="0.25">
      <c r="D13" s="8" t="b">
        <f>ABS(D2-D12)/(1+ABS(D12))&lt;=0.000001</f>
        <v>0</v>
      </c>
      <c r="E13" s="8" t="b">
        <f>ABS(E2-E12)/(1+ABS(E12))&lt;=0.000001</f>
        <v>0</v>
      </c>
      <c r="F13" s="8" t="b">
        <f>ABS(F2-F12)/(1+ABS(F12))&lt;=0.000001</f>
        <v>1</v>
      </c>
      <c r="G13" s="8" t="b">
        <f>ABS(G4-G12)/(1+ABS(G12))&lt;=0.000001</f>
        <v>0</v>
      </c>
    </row>
    <row r="16" spans="1:15" x14ac:dyDescent="0.25">
      <c r="G16" t="s">
        <v>349</v>
      </c>
    </row>
    <row r="17" spans="7:7" x14ac:dyDescent="0.25">
      <c r="G17">
        <f>SUMPRODUCT(DiffSheetObj!$D$2:$F$2,DiffSheetObj!D4:F4)</f>
        <v>50</v>
      </c>
    </row>
  </sheetData>
  <dataConsolidate/>
  <dataValidations count="3">
    <dataValidation type="list" allowBlank="1" showInputMessage="1" showErrorMessage="1" sqref="A8" xr:uid="{00000000-0002-0000-3300-000000000000}">
      <formula1>OpenSolverResult</formula1>
    </dataValidation>
    <dataValidation type="list" allowBlank="1" showInputMessage="1" showErrorMessage="1" sqref="A4" xr:uid="{00000000-0002-0000-3300-000001000000}">
      <formula1>ModelType</formula1>
    </dataValidation>
    <dataValidation type="list" allowBlank="1" showInputMessage="1" showErrorMessage="1" sqref="A2" xr:uid="{00000000-0002-0000-3300-000002000000}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eekObjInf"/>
  <dimension ref="A1:O1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14" max="14" width="10.7109375" customWidth="1"/>
    <col min="15" max="15" width="11.28515625" customWidth="1"/>
  </cols>
  <sheetData>
    <row r="1" spans="1:15" x14ac:dyDescent="0.25">
      <c r="A1" s="62" t="s">
        <v>302</v>
      </c>
      <c r="D1" t="s">
        <v>305</v>
      </c>
      <c r="E1" t="s">
        <v>304</v>
      </c>
      <c r="F1" t="s">
        <v>303</v>
      </c>
      <c r="K1" t="s">
        <v>407</v>
      </c>
    </row>
    <row r="2" spans="1:15" ht="15.75" thickBot="1" x14ac:dyDescent="0.3">
      <c r="A2" s="63" t="s">
        <v>204</v>
      </c>
      <c r="D2">
        <v>10.423</v>
      </c>
      <c r="E2">
        <v>10.423</v>
      </c>
      <c r="F2" s="80">
        <v>10.423</v>
      </c>
    </row>
    <row r="3" spans="1:15" x14ac:dyDescent="0.25">
      <c r="A3" s="62" t="s">
        <v>208</v>
      </c>
    </row>
    <row r="4" spans="1:15" ht="15.75" thickBot="1" x14ac:dyDescent="0.3">
      <c r="A4" s="63" t="s">
        <v>206</v>
      </c>
      <c r="C4" t="s">
        <v>0</v>
      </c>
      <c r="D4">
        <v>0</v>
      </c>
      <c r="E4">
        <v>0</v>
      </c>
      <c r="F4">
        <v>0</v>
      </c>
      <c r="G4">
        <f>SUMPRODUCT($D$2:$F$2,D4:F4)</f>
        <v>0</v>
      </c>
    </row>
    <row r="5" spans="1:15" x14ac:dyDescent="0.25">
      <c r="A5" s="62" t="s">
        <v>209</v>
      </c>
      <c r="N5" s="80"/>
    </row>
    <row r="6" spans="1:15" ht="15.75" thickBot="1" x14ac:dyDescent="0.3">
      <c r="A6" s="63" t="b"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31.268999999999998</v>
      </c>
      <c r="H6" t="s">
        <v>10</v>
      </c>
      <c r="I6">
        <v>350</v>
      </c>
    </row>
    <row r="7" spans="1:15" x14ac:dyDescent="0.25">
      <c r="A7" s="62" t="s">
        <v>210</v>
      </c>
      <c r="E7">
        <v>1</v>
      </c>
      <c r="G7">
        <f>SUMPRODUCT($D$2:$F$2,D7:F7)</f>
        <v>10.423</v>
      </c>
      <c r="H7" t="s">
        <v>9</v>
      </c>
      <c r="I7">
        <v>100</v>
      </c>
    </row>
    <row r="8" spans="1:15" x14ac:dyDescent="0.25">
      <c r="A8" s="64" t="s">
        <v>27</v>
      </c>
      <c r="D8">
        <v>-2</v>
      </c>
      <c r="F8">
        <v>1</v>
      </c>
      <c r="G8">
        <f>SUMPRODUCT($D$2:$F$2,D8:F8)</f>
        <v>-10.423</v>
      </c>
      <c r="H8" t="s">
        <v>8</v>
      </c>
      <c r="I8">
        <v>0</v>
      </c>
      <c r="N8" s="80"/>
      <c r="O8" s="80"/>
    </row>
    <row r="9" spans="1:15" ht="15.75" thickBot="1" x14ac:dyDescent="0.3">
      <c r="A9" s="63">
        <f>VLOOKUP(A8,OpenSolverResultCodes,2,FALSE)</f>
        <v>5</v>
      </c>
      <c r="F9">
        <v>1</v>
      </c>
      <c r="G9">
        <f>SUMPRODUCT($D$2:$F$2,D9:F9)</f>
        <v>10.423</v>
      </c>
      <c r="H9" t="s">
        <v>8</v>
      </c>
      <c r="I9">
        <v>72</v>
      </c>
      <c r="N9" s="80"/>
      <c r="O9" s="80"/>
    </row>
    <row r="10" spans="1:15" ht="15.75" thickBot="1" x14ac:dyDescent="0.3">
      <c r="A10" s="156" t="str">
        <f>HYPERLINK("[OpenSolver Tester.xlsm]Results!A1", "&lt;- Results")</f>
        <v>&lt;- Results</v>
      </c>
      <c r="N10" s="80"/>
      <c r="O10" s="80"/>
    </row>
    <row r="11" spans="1:15" x14ac:dyDescent="0.25">
      <c r="D11" s="179" t="s">
        <v>1</v>
      </c>
      <c r="E11" s="179" t="s">
        <v>2</v>
      </c>
      <c r="F11" s="179" t="s">
        <v>3</v>
      </c>
      <c r="G11" s="179" t="s">
        <v>230</v>
      </c>
    </row>
    <row r="12" spans="1:15" x14ac:dyDescent="0.25">
      <c r="D12" s="179">
        <v>250</v>
      </c>
      <c r="E12" s="179">
        <v>100</v>
      </c>
      <c r="F12" s="179">
        <v>0</v>
      </c>
      <c r="G12" s="179">
        <v>50</v>
      </c>
    </row>
    <row r="13" spans="1:15" x14ac:dyDescent="0.25">
      <c r="D13" s="8" t="b">
        <f>ABS(D2-D12)/(1+ABS(D12))&lt;=0.000001</f>
        <v>0</v>
      </c>
      <c r="E13" s="8" t="b">
        <f>ABS(E2-E12)/(1+ABS(E12))&lt;=0.000001</f>
        <v>0</v>
      </c>
      <c r="F13" s="8" t="b">
        <f>ABS(F2-F12)/(1+ABS(F12))&lt;=0.000001</f>
        <v>0</v>
      </c>
      <c r="G13" s="8" t="b">
        <f>ABS(G4-G12)/(1+ABS(G12))&lt;=0.000001</f>
        <v>0</v>
      </c>
    </row>
  </sheetData>
  <dataConsolidate/>
  <dataValidations count="3">
    <dataValidation type="list" allowBlank="1" showInputMessage="1" showErrorMessage="1" sqref="A2" xr:uid="{00000000-0002-0000-3400-000000000000}">
      <formula1>TestType</formula1>
    </dataValidation>
    <dataValidation type="list" allowBlank="1" showInputMessage="1" showErrorMessage="1" sqref="A4" xr:uid="{00000000-0002-0000-3400-000001000000}">
      <formula1>ModelType</formula1>
    </dataValidation>
    <dataValidation type="list" allowBlank="1" showInputMessage="1" showErrorMessage="1" sqref="A8" xr:uid="{00000000-0002-0000-3400-000002000000}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DiffSheetObj"/>
  <dimension ref="A1:O13"/>
  <sheetViews>
    <sheetView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  <col min="14" max="14" width="10.7109375" customWidth="1"/>
    <col min="15" max="15" width="11.28515625" customWidth="1"/>
  </cols>
  <sheetData>
    <row r="1" spans="1:15" x14ac:dyDescent="0.25">
      <c r="A1" s="62" t="s">
        <v>302</v>
      </c>
      <c r="D1" t="s">
        <v>305</v>
      </c>
      <c r="E1" t="s">
        <v>304</v>
      </c>
      <c r="F1" t="s">
        <v>303</v>
      </c>
      <c r="L1" t="s">
        <v>319</v>
      </c>
      <c r="M1" t="s">
        <v>320</v>
      </c>
      <c r="N1" t="s">
        <v>321</v>
      </c>
      <c r="O1" t="s">
        <v>322</v>
      </c>
    </row>
    <row r="2" spans="1:15" ht="15.75" thickBot="1" x14ac:dyDescent="0.3">
      <c r="A2" s="63" t="s">
        <v>204</v>
      </c>
      <c r="D2">
        <v>250</v>
      </c>
      <c r="E2">
        <v>100</v>
      </c>
      <c r="F2" s="80">
        <v>0</v>
      </c>
      <c r="L2" t="s">
        <v>323</v>
      </c>
      <c r="M2">
        <v>0</v>
      </c>
      <c r="N2">
        <v>21.6</v>
      </c>
      <c r="O2">
        <v>0</v>
      </c>
    </row>
    <row r="3" spans="1:15" x14ac:dyDescent="0.25">
      <c r="A3" s="62" t="s">
        <v>208</v>
      </c>
      <c r="L3" t="s">
        <v>324</v>
      </c>
      <c r="M3">
        <v>0</v>
      </c>
      <c r="N3">
        <v>0</v>
      </c>
      <c r="O3">
        <v>166.66666670000001</v>
      </c>
    </row>
    <row r="4" spans="1:15" ht="15.75" thickBot="1" x14ac:dyDescent="0.3">
      <c r="A4" s="63" t="s">
        <v>206</v>
      </c>
      <c r="C4" t="s">
        <v>0</v>
      </c>
      <c r="D4">
        <v>0.1</v>
      </c>
      <c r="E4">
        <v>0.25</v>
      </c>
      <c r="F4">
        <v>0.4</v>
      </c>
      <c r="L4" t="s">
        <v>315</v>
      </c>
      <c r="M4">
        <v>0</v>
      </c>
      <c r="N4">
        <v>0</v>
      </c>
      <c r="O4">
        <v>100</v>
      </c>
    </row>
    <row r="5" spans="1:15" x14ac:dyDescent="0.25">
      <c r="A5" s="62" t="s">
        <v>209</v>
      </c>
      <c r="L5" t="s">
        <v>325</v>
      </c>
      <c r="M5">
        <v>0</v>
      </c>
      <c r="N5" s="80">
        <v>1E+100</v>
      </c>
      <c r="O5">
        <v>500</v>
      </c>
    </row>
    <row r="6" spans="1:15" ht="15.75" thickBot="1" x14ac:dyDescent="0.3">
      <c r="A6" s="63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</v>
      </c>
      <c r="H6" t="s">
        <v>10</v>
      </c>
      <c r="I6">
        <v>350</v>
      </c>
    </row>
    <row r="7" spans="1:15" x14ac:dyDescent="0.25">
      <c r="A7" s="62" t="s">
        <v>210</v>
      </c>
      <c r="E7">
        <v>1</v>
      </c>
      <c r="G7">
        <f>SUMPRODUCT($D$2:$F$2,D7:F7)</f>
        <v>100</v>
      </c>
      <c r="H7" t="s">
        <v>9</v>
      </c>
      <c r="I7">
        <v>100</v>
      </c>
      <c r="L7" t="s">
        <v>326</v>
      </c>
      <c r="M7" t="s">
        <v>327</v>
      </c>
      <c r="N7" t="s">
        <v>321</v>
      </c>
      <c r="O7" t="s">
        <v>322</v>
      </c>
    </row>
    <row r="8" spans="1:15" x14ac:dyDescent="0.25">
      <c r="A8" s="64" t="s">
        <v>200</v>
      </c>
      <c r="D8">
        <v>-2</v>
      </c>
      <c r="F8">
        <v>1</v>
      </c>
      <c r="G8">
        <f>SUMPRODUCT($D$2:$F$2,D8:F8)</f>
        <v>-500</v>
      </c>
      <c r="H8" t="s">
        <v>8</v>
      </c>
      <c r="I8">
        <v>0</v>
      </c>
      <c r="L8" t="s">
        <v>328</v>
      </c>
      <c r="M8">
        <v>0</v>
      </c>
      <c r="N8" s="80">
        <v>0</v>
      </c>
      <c r="O8" s="80">
        <v>1E+100</v>
      </c>
    </row>
    <row r="9" spans="1:15" ht="15.75" thickBot="1" x14ac:dyDescent="0.3">
      <c r="A9" s="63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  <c r="L9" t="s">
        <v>329</v>
      </c>
      <c r="M9">
        <v>0</v>
      </c>
      <c r="N9" s="80">
        <v>1E+100</v>
      </c>
      <c r="O9" s="80">
        <v>0</v>
      </c>
    </row>
    <row r="10" spans="1:15" ht="15.75" thickBot="1" x14ac:dyDescent="0.3">
      <c r="A10" s="156" t="str">
        <f>HYPERLINK("[OpenSolver Tester.xlsm]Results!A1", "&lt;- Results")</f>
        <v>&lt;- Results</v>
      </c>
      <c r="L10" t="s">
        <v>330</v>
      </c>
      <c r="M10">
        <v>0</v>
      </c>
      <c r="N10" s="80">
        <v>0</v>
      </c>
      <c r="O10" s="80">
        <v>1E+100</v>
      </c>
    </row>
    <row r="11" spans="1:15" x14ac:dyDescent="0.25">
      <c r="D11" s="169" t="s">
        <v>1</v>
      </c>
      <c r="E11" s="169" t="s">
        <v>2</v>
      </c>
      <c r="F11" s="169" t="s">
        <v>3</v>
      </c>
      <c r="G11" s="169" t="s">
        <v>230</v>
      </c>
    </row>
    <row r="12" spans="1:15" x14ac:dyDescent="0.25">
      <c r="D12" s="169">
        <v>250</v>
      </c>
      <c r="E12" s="169">
        <v>100</v>
      </c>
      <c r="F12" s="169">
        <v>0</v>
      </c>
      <c r="G12" s="169">
        <v>50</v>
      </c>
    </row>
    <row r="13" spans="1:15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ABS(SeekObj!G17-G12)/(1+ABS(G12))&lt;=0.000001</f>
        <v>1</v>
      </c>
    </row>
  </sheetData>
  <dataConsolidate/>
  <dataValidations count="3">
    <dataValidation type="list" allowBlank="1" showInputMessage="1" showErrorMessage="1" sqref="A2" xr:uid="{00000000-0002-0000-3500-000000000000}">
      <formula1>TestType</formula1>
    </dataValidation>
    <dataValidation type="list" allowBlank="1" showInputMessage="1" showErrorMessage="1" sqref="A4" xr:uid="{00000000-0002-0000-3500-000001000000}">
      <formula1>ModelType</formula1>
    </dataValidation>
    <dataValidation type="list" allowBlank="1" showInputMessage="1" showErrorMessage="1" sqref="A8" xr:uid="{00000000-0002-0000-3500-000002000000}">
      <formula1>OpenSolverResult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NamedRanges"/>
  <dimension ref="A1:K16"/>
  <sheetViews>
    <sheetView topLeftCell="A4"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4.140625" style="65" customWidth="1"/>
  </cols>
  <sheetData>
    <row r="1" spans="1:11" x14ac:dyDescent="0.25">
      <c r="A1" s="62" t="s">
        <v>203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  <c r="F3" t="s">
        <v>217</v>
      </c>
      <c r="G3" t="s">
        <v>218</v>
      </c>
      <c r="H3" t="s">
        <v>219</v>
      </c>
    </row>
    <row r="4" spans="1:11" ht="15.75" thickBot="1" x14ac:dyDescent="0.3">
      <c r="A4" s="63" t="s">
        <v>206</v>
      </c>
      <c r="D4">
        <v>0</v>
      </c>
      <c r="E4">
        <v>5</v>
      </c>
      <c r="F4">
        <v>0</v>
      </c>
      <c r="G4">
        <v>4</v>
      </c>
      <c r="H4">
        <v>0</v>
      </c>
    </row>
    <row r="5" spans="1:11" x14ac:dyDescent="0.25">
      <c r="A5" s="62" t="s">
        <v>209</v>
      </c>
    </row>
    <row r="6" spans="1:11" ht="15.75" thickBot="1" x14ac:dyDescent="0.3">
      <c r="A6" s="63" t="b">
        <f>AND(D16,E16,F16,G16,H16,I16)</f>
        <v>1</v>
      </c>
      <c r="C6" t="s">
        <v>0</v>
      </c>
      <c r="D6">
        <v>1</v>
      </c>
      <c r="E6">
        <v>1</v>
      </c>
      <c r="F6">
        <v>1</v>
      </c>
      <c r="G6">
        <v>1</v>
      </c>
      <c r="H6">
        <v>2</v>
      </c>
      <c r="I6">
        <f>SUMPRODUCT(D6:H6,D4:H4)</f>
        <v>9</v>
      </c>
    </row>
    <row r="7" spans="1:11" x14ac:dyDescent="0.25">
      <c r="A7" s="62" t="s">
        <v>210</v>
      </c>
    </row>
    <row r="8" spans="1:11" x14ac:dyDescent="0.25">
      <c r="A8" s="64" t="s">
        <v>200</v>
      </c>
      <c r="D8">
        <v>0</v>
      </c>
      <c r="E8">
        <v>0</v>
      </c>
      <c r="F8">
        <v>1</v>
      </c>
      <c r="G8">
        <v>0</v>
      </c>
      <c r="H8">
        <v>0</v>
      </c>
      <c r="I8">
        <f>SUMPRODUCT($D$4:$H$4,D8:H8)</f>
        <v>0</v>
      </c>
      <c r="J8" t="s">
        <v>8</v>
      </c>
      <c r="K8">
        <v>5</v>
      </c>
    </row>
    <row r="9" spans="1:11" ht="15.75" thickBot="1" x14ac:dyDescent="0.3">
      <c r="A9" s="63">
        <f>VLOOKUP(A8,OpenSolverResultCodes,2,FALSE)</f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f>SUMPRODUCT($D$4:$H$4,D9:H9)</f>
        <v>4</v>
      </c>
      <c r="J9" t="s">
        <v>9</v>
      </c>
      <c r="K9">
        <v>4</v>
      </c>
    </row>
    <row r="10" spans="1:11" ht="15.75" thickBot="1" x14ac:dyDescent="0.3">
      <c r="A10" s="156" t="str">
        <f>HYPERLINK("[OpenSolver Tester.xlsm]Results!A1", "&lt;- Results")</f>
        <v>&lt;- Results</v>
      </c>
      <c r="D10">
        <v>0</v>
      </c>
      <c r="E10">
        <v>0</v>
      </c>
      <c r="F10">
        <v>0</v>
      </c>
      <c r="G10">
        <v>0</v>
      </c>
      <c r="H10">
        <v>1</v>
      </c>
      <c r="I10">
        <f>SUMPRODUCT($D$4:$H$4,D10:H10)</f>
        <v>0</v>
      </c>
      <c r="J10" t="s">
        <v>8</v>
      </c>
      <c r="K10">
        <v>5</v>
      </c>
    </row>
    <row r="11" spans="1:11" x14ac:dyDescent="0.25">
      <c r="D11">
        <v>0</v>
      </c>
      <c r="E11">
        <v>0</v>
      </c>
      <c r="F11">
        <v>1</v>
      </c>
      <c r="G11">
        <v>1</v>
      </c>
      <c r="H11">
        <v>1</v>
      </c>
      <c r="I11">
        <f>SUMPRODUCT($D$4:$H$4,D11:H11)</f>
        <v>4</v>
      </c>
      <c r="J11" t="s">
        <v>8</v>
      </c>
      <c r="K11">
        <v>7</v>
      </c>
    </row>
    <row r="12" spans="1:11" x14ac:dyDescent="0.25">
      <c r="D12" s="82">
        <v>0</v>
      </c>
      <c r="E12" s="82">
        <v>1</v>
      </c>
      <c r="F12" s="82">
        <v>0</v>
      </c>
      <c r="G12" s="82">
        <v>0</v>
      </c>
      <c r="H12" s="82">
        <v>0</v>
      </c>
      <c r="I12">
        <f>SUMPRODUCT($D$4:$H$4,D12:H12)</f>
        <v>5</v>
      </c>
      <c r="J12" t="s">
        <v>10</v>
      </c>
      <c r="K12">
        <v>5</v>
      </c>
    </row>
    <row r="14" spans="1:11" x14ac:dyDescent="0.25">
      <c r="D14" s="79" t="s">
        <v>1</v>
      </c>
      <c r="E14" s="79" t="s">
        <v>2</v>
      </c>
      <c r="F14" s="79" t="s">
        <v>3</v>
      </c>
      <c r="G14" t="s">
        <v>222</v>
      </c>
      <c r="H14" t="s">
        <v>223</v>
      </c>
      <c r="I14" s="79" t="s">
        <v>230</v>
      </c>
    </row>
    <row r="15" spans="1:11" x14ac:dyDescent="0.25">
      <c r="D15" s="79">
        <v>0</v>
      </c>
      <c r="E15" s="79">
        <v>5</v>
      </c>
      <c r="F15" s="79">
        <v>0</v>
      </c>
      <c r="G15" s="79">
        <v>4</v>
      </c>
      <c r="H15" s="79">
        <v>0</v>
      </c>
      <c r="I15">
        <v>9</v>
      </c>
    </row>
    <row r="16" spans="1:11" x14ac:dyDescent="0.25">
      <c r="D16" s="8" t="b">
        <f>ABS(D4-D15)/(1+ABS(D15))&lt;=0.000001</f>
        <v>1</v>
      </c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ABS(H4-H15)/(1+ABS(H15))&lt;=0.000001</f>
        <v>1</v>
      </c>
      <c r="I16" s="8" t="b">
        <f>ABS(I6-I15)/(1+ABS(I15))&lt;=0.000001</f>
        <v>1</v>
      </c>
    </row>
  </sheetData>
  <dataConsolidate link="1"/>
  <dataValidations count="3">
    <dataValidation type="list" allowBlank="1" showInputMessage="1" showErrorMessage="1" sqref="A8:B8" xr:uid="{00000000-0002-0000-3600-000000000000}">
      <formula1>OpenSolverResult</formula1>
    </dataValidation>
    <dataValidation type="list" allowBlank="1" showInputMessage="1" showErrorMessage="1" sqref="A4:B4" xr:uid="{00000000-0002-0000-3600-000001000000}">
      <formula1>ModelType</formula1>
    </dataValidation>
    <dataValidation type="list" allowBlank="1" showInputMessage="1" showErrorMessage="1" sqref="A2:B2" xr:uid="{00000000-0002-0000-3600-000002000000}">
      <formula1>TestType</formula1>
    </dataValidation>
  </dataValidations>
  <pageMargins left="0.7" right="0.7" top="0.75" bottom="0.75" header="0.3" footer="0.3"/>
  <pageSetup paperSize="9" orientation="portrait" horizontalDpi="1200" verticalDpi="1200"/>
  <extLst>
    <ext xmlns:mx="http://schemas.microsoft.com/office/mac/excel/2008/main" uri="{64002731-A6B0-56B0-2670-7721B7C09600}">
      <mx:PLV Mode="0" OnePage="0" WScale="0"/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QuickSolve"/>
  <dimension ref="A1:T20"/>
  <sheetViews>
    <sheetView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2.28515625" customWidth="1"/>
    <col min="3" max="3" width="12" customWidth="1"/>
    <col min="4" max="4" width="7.28515625" style="1" customWidth="1"/>
    <col min="5" max="6" width="5.140625" style="1" customWidth="1"/>
    <col min="7" max="7" width="3.140625" style="1" customWidth="1"/>
    <col min="8" max="8" width="8.28515625" style="1" customWidth="1"/>
    <col min="9" max="9" width="3" style="1" bestFit="1" customWidth="1"/>
    <col min="10" max="10" width="6" style="1" customWidth="1"/>
  </cols>
  <sheetData>
    <row r="1" spans="1:20" x14ac:dyDescent="0.25">
      <c r="A1" s="62" t="s">
        <v>203</v>
      </c>
      <c r="C1" t="s">
        <v>112</v>
      </c>
      <c r="D1" s="30"/>
      <c r="E1" s="30"/>
      <c r="F1" s="30"/>
      <c r="G1" s="30"/>
      <c r="H1" s="30"/>
      <c r="I1" s="30"/>
      <c r="J1" s="30"/>
    </row>
    <row r="2" spans="1:20" ht="15.75" thickBot="1" x14ac:dyDescent="0.3">
      <c r="A2" s="63" t="s">
        <v>205</v>
      </c>
      <c r="D2" s="30"/>
      <c r="E2" s="30"/>
      <c r="F2" s="30"/>
      <c r="G2" s="30"/>
      <c r="H2" s="30"/>
      <c r="I2" s="30"/>
      <c r="J2" s="30"/>
    </row>
    <row r="3" spans="1:20" x14ac:dyDescent="0.25">
      <c r="A3" s="62" t="s">
        <v>208</v>
      </c>
      <c r="D3" s="1" t="s">
        <v>1</v>
      </c>
      <c r="E3" s="1" t="s">
        <v>2</v>
      </c>
      <c r="F3" s="1" t="s">
        <v>3</v>
      </c>
    </row>
    <row r="4" spans="1:20" ht="15.75" thickBot="1" x14ac:dyDescent="0.3">
      <c r="A4" s="63" t="s">
        <v>206</v>
      </c>
      <c r="D4" s="1">
        <v>12.380952380952399</v>
      </c>
      <c r="E4" s="1">
        <v>0</v>
      </c>
      <c r="F4" s="1">
        <v>10.869565217391299</v>
      </c>
      <c r="H4"/>
      <c r="I4"/>
      <c r="J4"/>
      <c r="O4" s="32" t="s">
        <v>116</v>
      </c>
      <c r="P4" s="11"/>
      <c r="Q4" s="11"/>
      <c r="R4" s="11"/>
      <c r="S4" s="11"/>
      <c r="T4" s="10"/>
    </row>
    <row r="5" spans="1:20" x14ac:dyDescent="0.25">
      <c r="A5" s="62" t="s">
        <v>209</v>
      </c>
      <c r="O5" s="2" t="s">
        <v>117</v>
      </c>
      <c r="P5" s="33"/>
      <c r="Q5" s="33"/>
      <c r="R5" s="33"/>
      <c r="S5" s="33"/>
      <c r="T5" s="3"/>
    </row>
    <row r="6" spans="1:20" ht="15.75" thickBot="1" x14ac:dyDescent="0.3">
      <c r="A6" s="63"/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68.240165631469992</v>
      </c>
      <c r="O6" s="34" t="s">
        <v>5</v>
      </c>
      <c r="P6" s="35" t="s">
        <v>7</v>
      </c>
      <c r="Q6" s="33"/>
      <c r="R6" s="33"/>
      <c r="S6" s="33"/>
      <c r="T6" s="3"/>
    </row>
    <row r="7" spans="1:20" x14ac:dyDescent="0.25">
      <c r="A7" s="62" t="s">
        <v>210</v>
      </c>
      <c r="O7" s="36">
        <v>2.5</v>
      </c>
      <c r="P7" s="37">
        <v>-50</v>
      </c>
      <c r="Q7" s="12"/>
      <c r="R7" s="12"/>
      <c r="S7" s="12"/>
      <c r="T7" s="5"/>
    </row>
    <row r="8" spans="1:20" x14ac:dyDescent="0.25">
      <c r="A8" s="64"/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4.244306418219594</v>
      </c>
      <c r="I8" s="1" t="s">
        <v>8</v>
      </c>
      <c r="J8" s="1">
        <v>180</v>
      </c>
    </row>
    <row r="9" spans="1:20" ht="15.75" thickBot="1" x14ac:dyDescent="0.3">
      <c r="A9" s="63" t="e">
        <f>VLOOKUP(A8,OpenSolverResultCodes,2,FALSE)</f>
        <v>#N/A</v>
      </c>
      <c r="E9" s="1">
        <v>2</v>
      </c>
      <c r="F9" s="1">
        <v>23</v>
      </c>
      <c r="H9" s="1">
        <f>SUMPRODUCT($D$4:$F$4,D9:F9)</f>
        <v>249.99999999999989</v>
      </c>
      <c r="I9" s="30" t="s">
        <v>9</v>
      </c>
      <c r="J9" s="1">
        <f>120*Scale+P7</f>
        <v>250</v>
      </c>
      <c r="O9" t="s">
        <v>118</v>
      </c>
    </row>
    <row r="10" spans="1:20" ht="15.75" thickBot="1" x14ac:dyDescent="0.3">
      <c r="A10" s="156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10.000000000000512</v>
      </c>
      <c r="I10" s="1" t="s">
        <v>9</v>
      </c>
      <c r="J10" s="1">
        <v>10</v>
      </c>
      <c r="O10" t="s">
        <v>119</v>
      </c>
    </row>
    <row r="11" spans="1:20" x14ac:dyDescent="0.25">
      <c r="O11" t="s">
        <v>120</v>
      </c>
    </row>
    <row r="12" spans="1:20" x14ac:dyDescent="0.25">
      <c r="O12" t="s">
        <v>121</v>
      </c>
    </row>
    <row r="14" spans="1:20" x14ac:dyDescent="0.25">
      <c r="C14" t="s">
        <v>114</v>
      </c>
      <c r="D14" s="1" t="s">
        <v>1</v>
      </c>
      <c r="E14" s="1" t="s">
        <v>2</v>
      </c>
      <c r="F14" s="1" t="s">
        <v>3</v>
      </c>
    </row>
    <row r="15" spans="1:20" x14ac:dyDescent="0.25">
      <c r="C15" t="s">
        <v>115</v>
      </c>
      <c r="D15" s="30">
        <v>0.47619047619047616</v>
      </c>
      <c r="E15" s="30">
        <v>0</v>
      </c>
      <c r="F15" s="30">
        <v>0</v>
      </c>
    </row>
    <row r="16" spans="1:20" x14ac:dyDescent="0.25">
      <c r="D16" s="8" t="b">
        <f>ABS(D4-D15)/(1+ABS(D15))&lt;=0.000001</f>
        <v>0</v>
      </c>
      <c r="E16" s="8" t="b">
        <f>ABS(E4-E15)/(1+ABS(E15))&lt;=0.000001</f>
        <v>1</v>
      </c>
      <c r="F16" s="8" t="b">
        <f>ABS(F4-F15)/(1+ABS(F15))&lt;=0.000001</f>
        <v>0</v>
      </c>
      <c r="H16" s="66" t="b">
        <f>AND(F16,E16,D16)</f>
        <v>0</v>
      </c>
      <c r="I16" s="66"/>
      <c r="J16" s="66"/>
    </row>
    <row r="18" spans="3:8" x14ac:dyDescent="0.25">
      <c r="C18" t="s">
        <v>6</v>
      </c>
      <c r="D18" s="1" t="s">
        <v>1</v>
      </c>
      <c r="E18" s="1" t="s">
        <v>2</v>
      </c>
      <c r="F18" s="1" t="s">
        <v>3</v>
      </c>
    </row>
    <row r="19" spans="3:8" x14ac:dyDescent="0.25">
      <c r="C19" t="s">
        <v>113</v>
      </c>
      <c r="D19" s="30">
        <v>12.380952000000001</v>
      </c>
      <c r="E19" s="30">
        <v>0</v>
      </c>
      <c r="F19" s="30">
        <v>10.869565</v>
      </c>
    </row>
    <row r="20" spans="3:8" x14ac:dyDescent="0.25">
      <c r="D20" s="8" t="b">
        <f>ABS(D4-D19)/(1+ABS(D19))&lt;=0.000001</f>
        <v>1</v>
      </c>
      <c r="E20" s="8" t="b">
        <f>ABS(E4-E19)/(1+ABS(E19))&lt;=0.000001</f>
        <v>1</v>
      </c>
      <c r="F20" s="8" t="b">
        <f>ABS(F4-F19)/(1+ABS(F19))&lt;=0.000001</f>
        <v>1</v>
      </c>
      <c r="H20" s="66" t="b">
        <f>AND(F20,E20,D20)</f>
        <v>1</v>
      </c>
    </row>
  </sheetData>
  <dataConsolidate/>
  <dataValidations count="3">
    <dataValidation type="list" allowBlank="1" showInputMessage="1" showErrorMessage="1" sqref="A2" xr:uid="{00000000-0002-0000-3700-000000000000}">
      <formula1>TestType</formula1>
    </dataValidation>
    <dataValidation type="list" allowBlank="1" showInputMessage="1" showErrorMessage="1" sqref="A4" xr:uid="{00000000-0002-0000-3700-000001000000}">
      <formula1>ModelType</formula1>
    </dataValidation>
    <dataValidation type="list" allowBlank="1" showInputMessage="1" showErrorMessage="1" sqref="A8" xr:uid="{00000000-0002-0000-3700-000002000000}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olverParameters"/>
  <dimension ref="A1:Y2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customWidth="1"/>
    <col min="3" max="3" width="13.7109375" bestFit="1" customWidth="1"/>
  </cols>
  <sheetData>
    <row r="1" spans="1:25" x14ac:dyDescent="0.25">
      <c r="A1" s="62" t="s">
        <v>203</v>
      </c>
      <c r="C1" t="s">
        <v>123</v>
      </c>
    </row>
    <row r="2" spans="1:25" ht="15.75" thickBot="1" x14ac:dyDescent="0.3">
      <c r="A2" s="63" t="s">
        <v>205</v>
      </c>
      <c r="C2" t="s">
        <v>124</v>
      </c>
    </row>
    <row r="3" spans="1:25" x14ac:dyDescent="0.25">
      <c r="A3" s="62" t="s">
        <v>208</v>
      </c>
    </row>
    <row r="4" spans="1:25" ht="15.75" thickBot="1" x14ac:dyDescent="0.3">
      <c r="A4" s="63" t="s">
        <v>206</v>
      </c>
      <c r="C4" s="6" t="s">
        <v>11</v>
      </c>
      <c r="D4" s="7"/>
      <c r="F4" t="s">
        <v>337</v>
      </c>
      <c r="I4" t="s">
        <v>339</v>
      </c>
      <c r="L4" t="s">
        <v>340</v>
      </c>
      <c r="O4" t="s">
        <v>343</v>
      </c>
      <c r="R4" t="s">
        <v>344</v>
      </c>
      <c r="U4" t="s">
        <v>342</v>
      </c>
      <c r="X4" t="s">
        <v>346</v>
      </c>
    </row>
    <row r="5" spans="1:25" x14ac:dyDescent="0.25">
      <c r="A5" s="62" t="s">
        <v>209</v>
      </c>
      <c r="C5" s="2" t="s">
        <v>12</v>
      </c>
      <c r="D5" s="3">
        <v>0.21</v>
      </c>
      <c r="F5" t="s">
        <v>338</v>
      </c>
      <c r="G5">
        <v>9999999</v>
      </c>
      <c r="I5" t="s">
        <v>12</v>
      </c>
      <c r="J5">
        <v>0.21</v>
      </c>
      <c r="L5" t="s">
        <v>341</v>
      </c>
      <c r="M5">
        <v>1</v>
      </c>
      <c r="O5" t="s">
        <v>348</v>
      </c>
      <c r="P5">
        <v>1.0000000000000001E-5</v>
      </c>
      <c r="R5" t="s">
        <v>345</v>
      </c>
      <c r="S5">
        <v>1</v>
      </c>
      <c r="U5" t="s">
        <v>341</v>
      </c>
      <c r="V5">
        <v>1</v>
      </c>
      <c r="X5" t="s">
        <v>348</v>
      </c>
      <c r="Y5">
        <v>1.0000000000000001E-5</v>
      </c>
    </row>
    <row r="6" spans="1:25" ht="15.75" thickBot="1" x14ac:dyDescent="0.3">
      <c r="A6" s="63" t="b">
        <f>AND(D24,E24,F24,H24)</f>
        <v>0</v>
      </c>
      <c r="C6" s="2" t="s">
        <v>13</v>
      </c>
      <c r="D6" s="3">
        <v>0.7</v>
      </c>
      <c r="I6" t="s">
        <v>13</v>
      </c>
      <c r="J6">
        <v>0.7</v>
      </c>
    </row>
    <row r="7" spans="1:25" x14ac:dyDescent="0.25">
      <c r="A7" s="62" t="s">
        <v>210</v>
      </c>
      <c r="C7" s="4" t="s">
        <v>14</v>
      </c>
      <c r="D7" s="5">
        <v>1</v>
      </c>
      <c r="I7" t="s">
        <v>14</v>
      </c>
      <c r="J7">
        <v>1</v>
      </c>
    </row>
    <row r="8" spans="1:25" x14ac:dyDescent="0.25">
      <c r="A8" s="64"/>
    </row>
    <row r="9" spans="1:25" ht="15.75" thickBot="1" x14ac:dyDescent="0.3">
      <c r="A9" s="63" t="e">
        <f>VLOOKUP(A8,OpenSolverResultCodes,2,FALSE)</f>
        <v>#N/A</v>
      </c>
    </row>
    <row r="10" spans="1:25" ht="15.75" thickBot="1" x14ac:dyDescent="0.3">
      <c r="A10" s="156" t="str">
        <f>HYPERLINK("[OpenSolver Tester.xlsm]Results!A1", "&lt;- Results")</f>
        <v>&lt;- Results</v>
      </c>
      <c r="D10" s="18" t="s">
        <v>216</v>
      </c>
      <c r="E10" s="30"/>
      <c r="F10" s="30"/>
      <c r="G10" s="30"/>
      <c r="H10" s="30"/>
      <c r="I10" s="30"/>
      <c r="J10" s="30"/>
    </row>
    <row r="11" spans="1:25" x14ac:dyDescent="0.25">
      <c r="D11" s="30"/>
      <c r="E11" s="30"/>
      <c r="F11" s="30"/>
      <c r="G11" s="30"/>
      <c r="H11" s="30"/>
      <c r="I11" s="30"/>
      <c r="J11" s="30"/>
    </row>
    <row r="12" spans="1:25" x14ac:dyDescent="0.25">
      <c r="D12" s="30" t="s">
        <v>1</v>
      </c>
      <c r="E12" s="30" t="s">
        <v>2</v>
      </c>
      <c r="F12" s="30" t="s">
        <v>3</v>
      </c>
      <c r="G12" s="30"/>
      <c r="H12" s="30"/>
      <c r="I12" s="30"/>
      <c r="J12" s="30"/>
    </row>
    <row r="13" spans="1:25" x14ac:dyDescent="0.25">
      <c r="D13" s="30">
        <v>0</v>
      </c>
      <c r="E13" s="30">
        <v>0</v>
      </c>
      <c r="F13" s="30">
        <v>0</v>
      </c>
      <c r="G13" s="30"/>
    </row>
    <row r="14" spans="1:25" x14ac:dyDescent="0.25">
      <c r="D14" s="30"/>
      <c r="E14" s="30"/>
      <c r="F14" s="30"/>
      <c r="G14" s="30"/>
      <c r="H14" s="30"/>
      <c r="I14" s="30"/>
      <c r="J14" s="30"/>
    </row>
    <row r="15" spans="1:25" x14ac:dyDescent="0.25">
      <c r="C15" t="s">
        <v>0</v>
      </c>
      <c r="D15" s="30">
        <v>2</v>
      </c>
      <c r="E15" s="30">
        <v>3</v>
      </c>
      <c r="F15" s="30">
        <v>4</v>
      </c>
      <c r="G15" s="30"/>
      <c r="H15" s="30">
        <f>SUMPRODUCT($D$13:$F$13,D15:F15)</f>
        <v>0</v>
      </c>
      <c r="I15" s="30"/>
      <c r="J15" s="30"/>
    </row>
    <row r="16" spans="1:25" x14ac:dyDescent="0.25">
      <c r="D16" s="30"/>
      <c r="E16" s="30"/>
      <c r="F16" s="30"/>
      <c r="G16" s="30"/>
      <c r="H16" s="30"/>
      <c r="I16" s="30"/>
      <c r="J16" s="30"/>
    </row>
    <row r="17" spans="3:10" x14ac:dyDescent="0.25">
      <c r="C17" t="s">
        <v>4</v>
      </c>
      <c r="D17" s="30">
        <v>10</v>
      </c>
      <c r="E17" s="30">
        <v>11</v>
      </c>
      <c r="F17" s="30">
        <v>12</v>
      </c>
      <c r="G17" s="30"/>
      <c r="H17" s="30">
        <f>SUMPRODUCT($D$13:$F$13,D17:F17)+5*P16</f>
        <v>0</v>
      </c>
      <c r="I17" s="30" t="s">
        <v>8</v>
      </c>
      <c r="J17" s="30">
        <v>60</v>
      </c>
    </row>
    <row r="18" spans="3:10" x14ac:dyDescent="0.25">
      <c r="D18" s="30">
        <v>21</v>
      </c>
      <c r="E18" s="30">
        <v>22</v>
      </c>
      <c r="F18" s="30">
        <v>23</v>
      </c>
      <c r="G18" s="30"/>
      <c r="H18" s="30">
        <f>SUMPRODUCT($D$13:$F$13,D18:F18)+5*P17</f>
        <v>0</v>
      </c>
      <c r="I18" s="30" t="s">
        <v>8</v>
      </c>
      <c r="J18" s="30">
        <v>150</v>
      </c>
    </row>
    <row r="19" spans="3:10" x14ac:dyDescent="0.25">
      <c r="D19" s="30">
        <v>21</v>
      </c>
      <c r="E19" s="30">
        <v>22</v>
      </c>
      <c r="F19" s="30">
        <v>-23</v>
      </c>
      <c r="G19" s="30"/>
      <c r="H19" s="30">
        <f>SUMPRODUCT($D$13:$F$13,D19:F19)+5*P18</f>
        <v>0</v>
      </c>
      <c r="I19" s="30" t="s">
        <v>9</v>
      </c>
      <c r="J19" s="30">
        <v>110</v>
      </c>
    </row>
    <row r="20" spans="3:10" x14ac:dyDescent="0.25">
      <c r="D20" s="30">
        <v>19</v>
      </c>
      <c r="E20" s="30">
        <v>34</v>
      </c>
      <c r="F20" s="30">
        <v>-32</v>
      </c>
      <c r="G20" s="30"/>
      <c r="H20" s="30">
        <f>SUMPRODUCT($D$13:$F$13,D20:F20)+5*P19</f>
        <v>0</v>
      </c>
      <c r="I20" s="30" t="s">
        <v>10</v>
      </c>
      <c r="J20" s="30">
        <v>180</v>
      </c>
    </row>
    <row r="21" spans="3:10" x14ac:dyDescent="0.25">
      <c r="D21" s="30"/>
      <c r="E21" s="30"/>
      <c r="F21" s="30"/>
      <c r="G21" s="30"/>
      <c r="H21" s="30"/>
      <c r="I21" s="30"/>
      <c r="J21" s="30"/>
    </row>
    <row r="22" spans="3:10" x14ac:dyDescent="0.25">
      <c r="D22" s="67" t="s">
        <v>1</v>
      </c>
      <c r="E22" s="73" t="s">
        <v>2</v>
      </c>
      <c r="F22" s="68" t="s">
        <v>3</v>
      </c>
      <c r="G22" s="76"/>
      <c r="H22" s="69" t="s">
        <v>215</v>
      </c>
    </row>
    <row r="23" spans="3:10" x14ac:dyDescent="0.25">
      <c r="D23" s="34">
        <v>-0.74324323999999997</v>
      </c>
      <c r="E23" s="74">
        <v>5.7094595000000004</v>
      </c>
      <c r="F23" s="35">
        <v>0</v>
      </c>
      <c r="G23" s="77"/>
      <c r="H23" s="3">
        <v>15.64189202</v>
      </c>
    </row>
    <row r="24" spans="3:10" x14ac:dyDescent="0.25">
      <c r="D24" s="70" t="b">
        <f>ABS(D13-D23)/(1+ABS(D23))&lt;=0.000001</f>
        <v>0</v>
      </c>
      <c r="E24" s="75" t="b">
        <f>ABS(E13-E23)/(1+ABS(E23))&lt;=0.000001</f>
        <v>0</v>
      </c>
      <c r="F24" s="71" t="b">
        <f>ABS(F13-F23)/(1+ABS(F23))&lt;=0.000001</f>
        <v>1</v>
      </c>
      <c r="G24" s="78"/>
      <c r="H24" s="72" t="b">
        <f>ABS(H15-H23)/(1+ABS(H23))&lt;=0.000001</f>
        <v>0</v>
      </c>
    </row>
  </sheetData>
  <dataConsolidate/>
  <dataValidations count="3">
    <dataValidation type="list" allowBlank="1" showInputMessage="1" showErrorMessage="1" sqref="A8" xr:uid="{00000000-0002-0000-3800-000000000000}">
      <formula1>OpenSolverResult</formula1>
    </dataValidation>
    <dataValidation type="list" allowBlank="1" showInputMessage="1" showErrorMessage="1" sqref="A4" xr:uid="{00000000-0002-0000-3800-000001000000}">
      <formula1>ModelType</formula1>
    </dataValidation>
    <dataValidation type="list" allowBlank="1" showInputMessage="1" showErrorMessage="1" sqref="A2" xr:uid="{00000000-0002-0000-3800-000002000000}">
      <formula1>TestType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Warmstart"/>
  <dimension ref="A1:UH25"/>
  <sheetViews>
    <sheetView zoomScale="140"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" customWidth="1"/>
    <col min="3" max="3" width="9.28515625" style="83" customWidth="1"/>
    <col min="4" max="550" width="2.140625" style="83" customWidth="1"/>
    <col min="551" max="551" width="2.140625" style="83" bestFit="1" customWidth="1"/>
    <col min="552" max="552" width="4.140625" style="83" bestFit="1" customWidth="1"/>
    <col min="553" max="553" width="3.140625" style="83" bestFit="1" customWidth="1"/>
    <col min="554" max="554" width="6.28515625" style="83" bestFit="1" customWidth="1"/>
    <col min="555" max="16384" width="8.85546875" style="83"/>
  </cols>
  <sheetData>
    <row r="1" spans="1:554" x14ac:dyDescent="0.25">
      <c r="A1" s="62" t="s">
        <v>203</v>
      </c>
      <c r="C1" s="86" t="s">
        <v>242</v>
      </c>
      <c r="D1" s="180">
        <v>1</v>
      </c>
      <c r="E1" s="180">
        <v>1</v>
      </c>
      <c r="F1" s="180">
        <v>1</v>
      </c>
      <c r="G1" s="180">
        <v>0</v>
      </c>
      <c r="H1" s="180">
        <v>0</v>
      </c>
      <c r="I1" s="180">
        <v>1</v>
      </c>
      <c r="J1" s="180">
        <v>1</v>
      </c>
      <c r="K1" s="180">
        <v>1</v>
      </c>
      <c r="L1" s="180">
        <v>0</v>
      </c>
      <c r="M1" s="180">
        <v>0</v>
      </c>
      <c r="N1" s="180">
        <v>1</v>
      </c>
      <c r="O1" s="180">
        <v>1</v>
      </c>
      <c r="P1" s="180">
        <v>1</v>
      </c>
      <c r="Q1" s="180">
        <v>1</v>
      </c>
      <c r="R1" s="180">
        <v>0</v>
      </c>
      <c r="S1" s="180">
        <v>1</v>
      </c>
      <c r="T1" s="180">
        <v>1</v>
      </c>
      <c r="U1" s="180">
        <v>1</v>
      </c>
      <c r="V1" s="180">
        <v>0</v>
      </c>
      <c r="W1" s="180">
        <v>0</v>
      </c>
      <c r="X1" s="180">
        <v>1</v>
      </c>
      <c r="Y1" s="180">
        <v>0</v>
      </c>
      <c r="Z1" s="180">
        <v>0</v>
      </c>
      <c r="AA1" s="180">
        <v>0</v>
      </c>
      <c r="AB1" s="180">
        <v>1</v>
      </c>
      <c r="AC1" s="180">
        <v>1</v>
      </c>
      <c r="AD1" s="180">
        <v>0</v>
      </c>
      <c r="AE1" s="180">
        <v>1</v>
      </c>
      <c r="AF1" s="180">
        <v>0</v>
      </c>
      <c r="AG1" s="180">
        <v>1</v>
      </c>
      <c r="AH1" s="180">
        <v>0</v>
      </c>
      <c r="AI1" s="180">
        <v>1</v>
      </c>
      <c r="AJ1" s="180">
        <v>1</v>
      </c>
      <c r="AK1" s="180">
        <v>0</v>
      </c>
      <c r="AL1" s="180">
        <v>1</v>
      </c>
      <c r="AM1" s="180">
        <v>1</v>
      </c>
      <c r="AN1" s="180">
        <v>1</v>
      </c>
      <c r="AO1" s="180">
        <v>1</v>
      </c>
      <c r="AP1" s="180">
        <v>0</v>
      </c>
      <c r="AQ1" s="180">
        <v>1</v>
      </c>
      <c r="AR1" s="180">
        <v>1</v>
      </c>
      <c r="AS1" s="180">
        <v>1</v>
      </c>
      <c r="AT1" s="180">
        <v>0</v>
      </c>
      <c r="AU1" s="180">
        <v>0</v>
      </c>
      <c r="AV1" s="180">
        <v>0</v>
      </c>
      <c r="AW1" s="180">
        <v>1</v>
      </c>
      <c r="AX1" s="180">
        <v>1</v>
      </c>
      <c r="AY1" s="180">
        <v>1</v>
      </c>
      <c r="AZ1" s="180">
        <v>0</v>
      </c>
      <c r="BA1" s="180">
        <v>0</v>
      </c>
      <c r="BB1" s="180">
        <v>1</v>
      </c>
      <c r="BC1" s="180">
        <v>1</v>
      </c>
      <c r="BD1" s="180">
        <v>0</v>
      </c>
      <c r="BE1" s="180">
        <v>1</v>
      </c>
      <c r="BF1" s="180">
        <v>1</v>
      </c>
      <c r="BG1" s="180">
        <v>0</v>
      </c>
      <c r="BH1" s="180">
        <v>1</v>
      </c>
      <c r="BI1" s="180">
        <v>1</v>
      </c>
      <c r="BJ1" s="180">
        <v>0</v>
      </c>
      <c r="BK1" s="180">
        <v>0</v>
      </c>
      <c r="BL1" s="180">
        <v>0</v>
      </c>
      <c r="BM1" s="180">
        <v>1</v>
      </c>
      <c r="BN1" s="180">
        <v>0</v>
      </c>
      <c r="BO1" s="180">
        <v>0</v>
      </c>
      <c r="BP1" s="180">
        <v>0</v>
      </c>
      <c r="BQ1" s="180">
        <v>0</v>
      </c>
      <c r="BR1" s="180">
        <v>0</v>
      </c>
      <c r="BS1" s="180">
        <v>0</v>
      </c>
      <c r="BT1" s="180">
        <v>0</v>
      </c>
      <c r="BU1" s="180">
        <v>1</v>
      </c>
      <c r="BV1" s="180">
        <v>0</v>
      </c>
      <c r="BW1" s="180">
        <v>0</v>
      </c>
      <c r="BX1" s="180">
        <v>1</v>
      </c>
      <c r="BY1" s="180">
        <v>0</v>
      </c>
      <c r="BZ1" s="180">
        <v>0</v>
      </c>
      <c r="CA1" s="180">
        <v>0</v>
      </c>
      <c r="CB1" s="180">
        <v>1</v>
      </c>
      <c r="CC1" s="180">
        <v>1</v>
      </c>
      <c r="CD1" s="180">
        <v>0</v>
      </c>
      <c r="CE1" s="180">
        <v>0</v>
      </c>
      <c r="CF1" s="180">
        <v>0</v>
      </c>
      <c r="CG1" s="180">
        <v>1</v>
      </c>
      <c r="CH1" s="180">
        <v>1</v>
      </c>
      <c r="CI1" s="180">
        <v>0</v>
      </c>
      <c r="CJ1" s="180">
        <v>1</v>
      </c>
      <c r="CK1" s="180">
        <v>1</v>
      </c>
      <c r="CL1" s="180">
        <v>1</v>
      </c>
      <c r="CM1" s="180">
        <v>0</v>
      </c>
      <c r="CN1" s="180">
        <v>1</v>
      </c>
      <c r="CO1" s="180">
        <v>0</v>
      </c>
      <c r="CP1" s="180">
        <v>0</v>
      </c>
      <c r="CQ1" s="180">
        <v>1</v>
      </c>
      <c r="CR1" s="180">
        <v>1</v>
      </c>
      <c r="CS1" s="180">
        <v>1</v>
      </c>
      <c r="CT1" s="180">
        <v>0</v>
      </c>
      <c r="CU1" s="180">
        <v>0</v>
      </c>
      <c r="CV1" s="180">
        <v>1</v>
      </c>
      <c r="CW1" s="180">
        <v>1</v>
      </c>
      <c r="CX1" s="180">
        <v>0</v>
      </c>
      <c r="CY1" s="180">
        <v>1</v>
      </c>
      <c r="CZ1" s="180">
        <v>1</v>
      </c>
      <c r="DA1" s="180">
        <v>0</v>
      </c>
      <c r="DB1" s="180">
        <v>0</v>
      </c>
      <c r="DC1" s="180">
        <v>1</v>
      </c>
      <c r="DD1" s="180">
        <v>1</v>
      </c>
      <c r="DE1" s="180">
        <v>1</v>
      </c>
      <c r="DF1" s="180">
        <v>0</v>
      </c>
      <c r="DG1" s="180">
        <v>1</v>
      </c>
      <c r="DH1" s="180">
        <v>0</v>
      </c>
      <c r="DI1" s="180">
        <v>0</v>
      </c>
      <c r="DJ1" s="180">
        <v>0</v>
      </c>
      <c r="DK1" s="180">
        <v>0</v>
      </c>
      <c r="DL1" s="180">
        <v>1</v>
      </c>
      <c r="DM1" s="180">
        <v>0</v>
      </c>
      <c r="DN1" s="180">
        <v>0</v>
      </c>
      <c r="DO1" s="180">
        <v>1</v>
      </c>
      <c r="DP1" s="180">
        <v>0</v>
      </c>
      <c r="DQ1" s="180">
        <v>1</v>
      </c>
      <c r="DR1" s="180">
        <v>1</v>
      </c>
      <c r="DS1" s="180">
        <v>0</v>
      </c>
      <c r="DT1" s="180">
        <v>0</v>
      </c>
      <c r="DU1" s="180">
        <v>0</v>
      </c>
      <c r="DV1" s="180">
        <v>1</v>
      </c>
      <c r="DW1" s="180">
        <v>0</v>
      </c>
      <c r="DX1" s="180">
        <v>1</v>
      </c>
      <c r="DY1" s="180">
        <v>0</v>
      </c>
      <c r="DZ1" s="180">
        <v>0</v>
      </c>
      <c r="EA1" s="180">
        <v>0</v>
      </c>
      <c r="EB1" s="180">
        <v>1</v>
      </c>
      <c r="EC1" s="180">
        <v>1</v>
      </c>
      <c r="ED1" s="180">
        <v>0</v>
      </c>
      <c r="EE1" s="180">
        <v>1</v>
      </c>
      <c r="EF1" s="180">
        <v>1</v>
      </c>
      <c r="EG1" s="180">
        <v>0</v>
      </c>
      <c r="EH1" s="180">
        <v>0</v>
      </c>
      <c r="EI1" s="180">
        <v>1</v>
      </c>
      <c r="EJ1" s="180">
        <v>1</v>
      </c>
      <c r="EK1" s="180">
        <v>1</v>
      </c>
      <c r="EL1" s="180">
        <v>0</v>
      </c>
      <c r="EM1" s="180">
        <v>1</v>
      </c>
      <c r="EN1" s="180">
        <v>1</v>
      </c>
      <c r="EO1" s="180">
        <v>0</v>
      </c>
      <c r="EP1" s="180">
        <v>1</v>
      </c>
      <c r="EQ1" s="180">
        <v>0</v>
      </c>
      <c r="ER1" s="180">
        <v>0</v>
      </c>
      <c r="ES1" s="180">
        <v>1</v>
      </c>
      <c r="ET1" s="180">
        <v>0</v>
      </c>
      <c r="EU1" s="180">
        <v>0</v>
      </c>
      <c r="EV1" s="180">
        <v>0</v>
      </c>
      <c r="EW1" s="180">
        <v>1</v>
      </c>
      <c r="EX1" s="180">
        <v>1</v>
      </c>
      <c r="EY1" s="180">
        <v>0</v>
      </c>
      <c r="EZ1" s="180">
        <v>1</v>
      </c>
      <c r="FA1" s="180">
        <v>1</v>
      </c>
      <c r="FB1" s="180">
        <v>1</v>
      </c>
      <c r="FC1" s="180">
        <v>0</v>
      </c>
      <c r="FD1" s="180">
        <v>1</v>
      </c>
      <c r="FE1" s="180">
        <v>1</v>
      </c>
      <c r="FF1" s="180">
        <v>1</v>
      </c>
      <c r="FG1" s="180">
        <v>1</v>
      </c>
      <c r="FH1" s="180">
        <v>1</v>
      </c>
      <c r="FI1" s="180">
        <v>1</v>
      </c>
      <c r="FJ1" s="180">
        <v>1</v>
      </c>
      <c r="FK1" s="180">
        <v>1</v>
      </c>
      <c r="FL1" s="180">
        <v>0</v>
      </c>
      <c r="FM1" s="180">
        <v>0</v>
      </c>
      <c r="FN1" s="180">
        <v>1</v>
      </c>
      <c r="FO1" s="180">
        <v>1</v>
      </c>
      <c r="FP1" s="180">
        <v>1</v>
      </c>
      <c r="FQ1" s="180">
        <v>1</v>
      </c>
      <c r="FR1" s="180">
        <v>0</v>
      </c>
      <c r="FS1" s="180">
        <v>1</v>
      </c>
      <c r="FT1" s="180">
        <v>0</v>
      </c>
      <c r="FU1" s="180">
        <v>1</v>
      </c>
      <c r="FV1" s="180">
        <v>0</v>
      </c>
      <c r="FW1" s="180">
        <v>1</v>
      </c>
      <c r="FX1" s="180">
        <v>0</v>
      </c>
      <c r="FY1" s="180">
        <v>1</v>
      </c>
      <c r="FZ1" s="180">
        <v>1</v>
      </c>
      <c r="GA1" s="180">
        <v>0</v>
      </c>
      <c r="GB1" s="180">
        <v>1</v>
      </c>
      <c r="GC1" s="180">
        <v>0</v>
      </c>
      <c r="GD1" s="180">
        <v>1</v>
      </c>
      <c r="GE1" s="180">
        <v>1</v>
      </c>
      <c r="GF1" s="180">
        <v>1</v>
      </c>
      <c r="GG1" s="180">
        <v>1</v>
      </c>
      <c r="GH1" s="180">
        <v>1</v>
      </c>
      <c r="GI1" s="180">
        <v>0</v>
      </c>
      <c r="GJ1" s="180">
        <v>0</v>
      </c>
      <c r="GK1" s="180">
        <v>1</v>
      </c>
      <c r="GL1" s="180">
        <v>1</v>
      </c>
      <c r="GM1" s="180">
        <v>1</v>
      </c>
      <c r="GN1" s="180">
        <v>1</v>
      </c>
      <c r="GO1" s="180">
        <v>1</v>
      </c>
      <c r="GP1" s="180">
        <v>1</v>
      </c>
      <c r="GQ1" s="180">
        <v>1</v>
      </c>
      <c r="GR1" s="180">
        <v>0</v>
      </c>
      <c r="GS1" s="180">
        <v>0</v>
      </c>
      <c r="GT1" s="180">
        <v>1</v>
      </c>
      <c r="GU1" s="180">
        <v>1</v>
      </c>
      <c r="GV1" s="180">
        <v>0</v>
      </c>
      <c r="GW1" s="180">
        <v>1</v>
      </c>
      <c r="GX1" s="180">
        <v>0</v>
      </c>
      <c r="GY1" s="180">
        <v>1</v>
      </c>
      <c r="GZ1" s="180">
        <v>0</v>
      </c>
      <c r="HA1" s="180">
        <v>1</v>
      </c>
      <c r="HB1" s="180">
        <v>1</v>
      </c>
      <c r="HC1" s="180">
        <v>0</v>
      </c>
      <c r="HD1" s="180">
        <v>1</v>
      </c>
      <c r="HE1" s="180">
        <v>1</v>
      </c>
      <c r="HF1" s="180">
        <v>1</v>
      </c>
      <c r="HG1" s="180">
        <v>1</v>
      </c>
      <c r="HH1" s="180">
        <v>0</v>
      </c>
      <c r="HI1" s="180">
        <v>1</v>
      </c>
      <c r="HJ1" s="180">
        <v>1</v>
      </c>
      <c r="HK1" s="180">
        <v>1</v>
      </c>
      <c r="HL1" s="180">
        <v>0</v>
      </c>
      <c r="HM1" s="180">
        <v>0</v>
      </c>
      <c r="HN1" s="180">
        <v>0</v>
      </c>
      <c r="HO1" s="180">
        <v>1</v>
      </c>
      <c r="HP1" s="180">
        <v>1</v>
      </c>
      <c r="HQ1" s="180">
        <v>1</v>
      </c>
      <c r="HR1" s="180">
        <v>0</v>
      </c>
      <c r="HS1" s="180">
        <v>0</v>
      </c>
      <c r="HT1" s="180">
        <v>1</v>
      </c>
      <c r="HU1" s="180">
        <v>1</v>
      </c>
      <c r="HV1" s="180">
        <v>0</v>
      </c>
      <c r="HW1" s="180">
        <v>1</v>
      </c>
      <c r="HX1" s="180">
        <v>1</v>
      </c>
      <c r="HY1" s="180">
        <v>0</v>
      </c>
      <c r="HZ1" s="180">
        <v>1</v>
      </c>
      <c r="IA1" s="180">
        <v>1</v>
      </c>
      <c r="IB1" s="180">
        <v>0</v>
      </c>
      <c r="IC1" s="180">
        <v>0</v>
      </c>
      <c r="ID1" s="180">
        <v>0</v>
      </c>
      <c r="IE1" s="180">
        <v>1</v>
      </c>
      <c r="IF1" s="180">
        <v>0</v>
      </c>
      <c r="IG1" s="180">
        <v>0</v>
      </c>
      <c r="IH1" s="180">
        <v>0</v>
      </c>
      <c r="II1" s="180">
        <v>0</v>
      </c>
      <c r="IJ1" s="180">
        <v>0</v>
      </c>
      <c r="IK1" s="180">
        <v>0</v>
      </c>
      <c r="IL1" s="180">
        <v>0</v>
      </c>
      <c r="IM1" s="180">
        <v>1</v>
      </c>
      <c r="IN1" s="180">
        <v>0</v>
      </c>
      <c r="IO1" s="180">
        <v>0</v>
      </c>
      <c r="IP1" s="180">
        <v>1</v>
      </c>
      <c r="IQ1" s="180">
        <v>0</v>
      </c>
      <c r="IR1" s="180">
        <v>0</v>
      </c>
      <c r="IS1" s="180">
        <v>0</v>
      </c>
      <c r="IT1" s="180">
        <v>1</v>
      </c>
      <c r="IU1" s="180">
        <v>1</v>
      </c>
      <c r="IV1" s="180">
        <v>0</v>
      </c>
      <c r="IW1" s="180">
        <v>0</v>
      </c>
      <c r="IX1" s="180">
        <v>0</v>
      </c>
      <c r="IY1" s="180">
        <v>1</v>
      </c>
      <c r="IZ1" s="180">
        <v>1</v>
      </c>
      <c r="JA1" s="180">
        <v>0</v>
      </c>
      <c r="JB1" s="180">
        <v>1</v>
      </c>
      <c r="JC1" s="180">
        <v>1</v>
      </c>
      <c r="JD1" s="180">
        <v>1</v>
      </c>
      <c r="JE1" s="180">
        <v>0</v>
      </c>
      <c r="JF1" s="180">
        <v>1</v>
      </c>
      <c r="JG1" s="180">
        <v>0</v>
      </c>
      <c r="JH1" s="180">
        <v>0</v>
      </c>
      <c r="JI1" s="180">
        <v>1</v>
      </c>
      <c r="JJ1" s="180">
        <v>1</v>
      </c>
      <c r="JK1" s="180">
        <v>1</v>
      </c>
      <c r="JL1" s="180">
        <v>0</v>
      </c>
      <c r="JM1" s="180">
        <v>0</v>
      </c>
      <c r="JN1" s="180">
        <v>1</v>
      </c>
      <c r="JO1" s="180">
        <v>1</v>
      </c>
      <c r="JP1" s="180">
        <v>0</v>
      </c>
      <c r="JQ1" s="180">
        <v>1</v>
      </c>
      <c r="JR1" s="180">
        <v>1</v>
      </c>
      <c r="JS1" s="180">
        <v>0</v>
      </c>
      <c r="JT1" s="180">
        <v>0</v>
      </c>
      <c r="JU1" s="180">
        <v>1</v>
      </c>
      <c r="JV1" s="180">
        <v>1</v>
      </c>
      <c r="JW1" s="180">
        <v>1</v>
      </c>
      <c r="JX1" s="180">
        <v>0</v>
      </c>
      <c r="JY1" s="180">
        <v>1</v>
      </c>
      <c r="JZ1" s="180">
        <v>0</v>
      </c>
      <c r="KA1" s="180">
        <v>0</v>
      </c>
      <c r="KB1" s="180">
        <v>0</v>
      </c>
      <c r="KC1" s="180">
        <v>0</v>
      </c>
      <c r="KD1" s="180">
        <v>1</v>
      </c>
      <c r="KE1" s="180">
        <v>0</v>
      </c>
      <c r="KF1" s="180">
        <v>0</v>
      </c>
      <c r="KG1" s="180">
        <v>1</v>
      </c>
      <c r="KH1" s="180">
        <v>0</v>
      </c>
      <c r="KI1" s="180">
        <v>1</v>
      </c>
      <c r="KJ1" s="180">
        <v>1</v>
      </c>
      <c r="KK1" s="180">
        <v>0</v>
      </c>
      <c r="KL1" s="180">
        <v>0</v>
      </c>
      <c r="KM1" s="180">
        <v>0</v>
      </c>
      <c r="KN1" s="180">
        <v>1</v>
      </c>
      <c r="KO1" s="180">
        <v>0</v>
      </c>
      <c r="KP1" s="180">
        <v>1</v>
      </c>
      <c r="KQ1" s="180">
        <v>0</v>
      </c>
      <c r="KR1" s="180">
        <v>0</v>
      </c>
      <c r="KS1" s="180">
        <v>1</v>
      </c>
      <c r="KT1" s="180">
        <v>1</v>
      </c>
      <c r="KU1" s="180">
        <v>1</v>
      </c>
      <c r="KV1" s="180">
        <v>0</v>
      </c>
      <c r="KW1" s="180">
        <v>1</v>
      </c>
      <c r="KX1" s="180">
        <v>1</v>
      </c>
      <c r="KY1" s="180">
        <v>0</v>
      </c>
      <c r="KZ1" s="180">
        <v>0</v>
      </c>
      <c r="LA1" s="180">
        <v>1</v>
      </c>
      <c r="LB1" s="180">
        <v>1</v>
      </c>
      <c r="LC1" s="180">
        <v>1</v>
      </c>
      <c r="LD1" s="180">
        <v>0</v>
      </c>
      <c r="LE1" s="180">
        <v>1</v>
      </c>
      <c r="LF1" s="180">
        <v>1</v>
      </c>
      <c r="LG1" s="180">
        <v>0</v>
      </c>
      <c r="LH1" s="180">
        <v>1</v>
      </c>
      <c r="LI1" s="180">
        <v>0</v>
      </c>
      <c r="LJ1" s="180">
        <v>0</v>
      </c>
      <c r="LK1" s="180">
        <v>1</v>
      </c>
      <c r="LL1" s="180">
        <v>0</v>
      </c>
      <c r="LM1" s="180">
        <v>0</v>
      </c>
      <c r="LN1" s="180">
        <v>0</v>
      </c>
      <c r="LO1" s="180">
        <v>1</v>
      </c>
      <c r="LP1" s="180">
        <v>1</v>
      </c>
      <c r="LQ1" s="180">
        <v>0</v>
      </c>
      <c r="LR1" s="180">
        <v>1</v>
      </c>
      <c r="LS1" s="180">
        <v>1</v>
      </c>
      <c r="LT1" s="180">
        <v>1</v>
      </c>
      <c r="LU1" s="180">
        <v>0</v>
      </c>
      <c r="LV1" s="180">
        <v>1</v>
      </c>
      <c r="LW1" s="180">
        <v>1</v>
      </c>
      <c r="LX1" s="180">
        <v>1</v>
      </c>
      <c r="LY1" s="180">
        <v>1</v>
      </c>
      <c r="LZ1" s="180">
        <v>1</v>
      </c>
      <c r="MA1" s="180">
        <v>1</v>
      </c>
      <c r="MB1" s="180">
        <v>1</v>
      </c>
      <c r="MC1" s="180">
        <v>1</v>
      </c>
      <c r="MD1" s="180">
        <v>0</v>
      </c>
      <c r="ME1" s="180">
        <v>0</v>
      </c>
      <c r="MF1" s="180">
        <v>1</v>
      </c>
      <c r="MG1" s="180">
        <v>1</v>
      </c>
      <c r="MH1" s="180">
        <v>1</v>
      </c>
      <c r="MI1" s="180">
        <v>1</v>
      </c>
      <c r="MJ1" s="180">
        <v>0</v>
      </c>
      <c r="MK1" s="180">
        <v>1</v>
      </c>
      <c r="ML1" s="180">
        <v>0</v>
      </c>
      <c r="MM1" s="180">
        <v>1</v>
      </c>
      <c r="MN1" s="180">
        <v>0</v>
      </c>
      <c r="MO1" s="180">
        <v>1</v>
      </c>
      <c r="MP1" s="180">
        <v>0</v>
      </c>
      <c r="MQ1" s="180">
        <v>1</v>
      </c>
      <c r="MR1" s="180">
        <v>1</v>
      </c>
      <c r="MS1" s="180">
        <v>0</v>
      </c>
      <c r="MT1" s="180">
        <v>1</v>
      </c>
      <c r="MU1" s="180">
        <v>0</v>
      </c>
      <c r="MV1" s="180">
        <v>1</v>
      </c>
      <c r="MW1" s="180">
        <v>1</v>
      </c>
      <c r="MX1" s="180">
        <v>1</v>
      </c>
      <c r="MY1" s="180">
        <v>1</v>
      </c>
      <c r="MZ1" s="180">
        <v>1</v>
      </c>
      <c r="NA1" s="180">
        <v>0</v>
      </c>
      <c r="NB1" s="180">
        <v>0</v>
      </c>
      <c r="NC1" s="180">
        <v>1</v>
      </c>
      <c r="ND1" s="180">
        <v>1</v>
      </c>
      <c r="NE1" s="180">
        <v>1</v>
      </c>
      <c r="NF1" s="180">
        <v>1</v>
      </c>
      <c r="NG1" s="180">
        <v>1</v>
      </c>
      <c r="NH1" s="180">
        <v>1</v>
      </c>
      <c r="NI1" s="180">
        <v>1</v>
      </c>
      <c r="NJ1" s="180">
        <v>0</v>
      </c>
      <c r="NK1" s="180">
        <v>0</v>
      </c>
      <c r="NL1" s="180">
        <v>1</v>
      </c>
      <c r="NM1" s="180">
        <v>0</v>
      </c>
      <c r="NN1" s="180">
        <v>0</v>
      </c>
      <c r="NO1" s="180">
        <v>1</v>
      </c>
      <c r="NP1" s="180">
        <v>0</v>
      </c>
      <c r="NQ1" s="180">
        <v>1</v>
      </c>
      <c r="NR1" s="180">
        <v>0</v>
      </c>
      <c r="NS1" s="180">
        <v>1</v>
      </c>
      <c r="NT1" s="180">
        <v>1</v>
      </c>
      <c r="NU1" s="180">
        <v>0</v>
      </c>
      <c r="NV1" s="180">
        <v>1</v>
      </c>
      <c r="NW1" s="180">
        <v>1</v>
      </c>
      <c r="NX1" s="180">
        <v>1</v>
      </c>
      <c r="NY1" s="180">
        <v>1</v>
      </c>
      <c r="NZ1" s="180">
        <v>0</v>
      </c>
      <c r="OA1" s="180">
        <v>1</v>
      </c>
      <c r="OB1" s="180">
        <v>1</v>
      </c>
      <c r="OC1" s="180">
        <v>1</v>
      </c>
      <c r="OD1" s="180">
        <v>0</v>
      </c>
      <c r="OE1" s="180">
        <v>0</v>
      </c>
      <c r="OF1" s="180">
        <v>0</v>
      </c>
      <c r="OG1" s="180">
        <v>1</v>
      </c>
      <c r="OH1" s="180">
        <v>1</v>
      </c>
      <c r="OI1" s="180">
        <v>1</v>
      </c>
      <c r="OJ1" s="180">
        <v>0</v>
      </c>
      <c r="OK1" s="180">
        <v>0</v>
      </c>
      <c r="OL1" s="180">
        <v>1</v>
      </c>
      <c r="OM1" s="180">
        <v>1</v>
      </c>
      <c r="ON1" s="180">
        <v>0</v>
      </c>
      <c r="OO1" s="180">
        <v>1</v>
      </c>
      <c r="OP1" s="180">
        <v>1</v>
      </c>
      <c r="OQ1" s="180">
        <v>0</v>
      </c>
      <c r="OR1" s="180">
        <v>1</v>
      </c>
      <c r="OS1" s="180">
        <v>1</v>
      </c>
      <c r="OT1" s="180">
        <v>0</v>
      </c>
      <c r="OU1" s="180">
        <v>0</v>
      </c>
      <c r="OV1" s="180">
        <v>0</v>
      </c>
      <c r="OW1" s="180">
        <v>1</v>
      </c>
      <c r="OX1" s="180">
        <v>0</v>
      </c>
      <c r="OY1" s="180">
        <v>0</v>
      </c>
      <c r="OZ1" s="180">
        <v>0</v>
      </c>
      <c r="PA1" s="180">
        <v>0</v>
      </c>
      <c r="PB1" s="180">
        <v>0</v>
      </c>
      <c r="PC1" s="180">
        <v>0</v>
      </c>
      <c r="PD1" s="180">
        <v>0</v>
      </c>
      <c r="PE1" s="180">
        <v>1</v>
      </c>
      <c r="PF1" s="180">
        <v>0</v>
      </c>
      <c r="PG1" s="180">
        <v>0</v>
      </c>
      <c r="PH1" s="180">
        <v>1</v>
      </c>
      <c r="PI1" s="180">
        <v>0</v>
      </c>
      <c r="PJ1" s="180">
        <v>0</v>
      </c>
      <c r="PK1" s="180">
        <v>0</v>
      </c>
      <c r="PL1" s="180">
        <v>1</v>
      </c>
      <c r="PM1" s="180">
        <v>1</v>
      </c>
      <c r="PN1" s="180">
        <v>0</v>
      </c>
      <c r="PO1" s="180">
        <v>0</v>
      </c>
      <c r="PP1" s="180">
        <v>0</v>
      </c>
      <c r="PQ1" s="180">
        <v>1</v>
      </c>
      <c r="PR1" s="180">
        <v>1</v>
      </c>
      <c r="PS1" s="180">
        <v>0</v>
      </c>
      <c r="PT1" s="180">
        <v>1</v>
      </c>
      <c r="PU1" s="180">
        <v>1</v>
      </c>
      <c r="PV1" s="180">
        <v>1</v>
      </c>
      <c r="PW1" s="180">
        <v>0</v>
      </c>
      <c r="PX1" s="180">
        <v>1</v>
      </c>
      <c r="PY1" s="180">
        <v>0</v>
      </c>
      <c r="PZ1" s="180">
        <v>0</v>
      </c>
      <c r="QA1" s="180">
        <v>1</v>
      </c>
      <c r="QB1" s="180">
        <v>1</v>
      </c>
      <c r="QC1" s="180">
        <v>1</v>
      </c>
      <c r="QD1" s="180">
        <v>0</v>
      </c>
      <c r="QE1" s="180">
        <v>0</v>
      </c>
      <c r="QF1" s="180">
        <v>1</v>
      </c>
      <c r="QG1" s="180">
        <v>1</v>
      </c>
      <c r="QH1" s="180">
        <v>0</v>
      </c>
      <c r="QI1" s="180">
        <v>1</v>
      </c>
      <c r="QJ1" s="180">
        <v>1</v>
      </c>
      <c r="QK1" s="180">
        <v>0</v>
      </c>
      <c r="QL1" s="180">
        <v>0</v>
      </c>
      <c r="QM1" s="180">
        <v>1</v>
      </c>
      <c r="QN1" s="180">
        <v>1</v>
      </c>
      <c r="QO1" s="180">
        <v>1</v>
      </c>
      <c r="QP1" s="180">
        <v>0</v>
      </c>
      <c r="QQ1" s="180">
        <v>1</v>
      </c>
      <c r="QR1" s="180">
        <v>0</v>
      </c>
      <c r="QS1" s="180">
        <v>0</v>
      </c>
      <c r="QT1" s="180">
        <v>0</v>
      </c>
      <c r="QU1" s="180">
        <v>0</v>
      </c>
      <c r="QV1" s="180">
        <v>1</v>
      </c>
      <c r="QW1" s="180">
        <v>0</v>
      </c>
      <c r="QX1" s="180">
        <v>0</v>
      </c>
      <c r="QY1" s="180">
        <v>1</v>
      </c>
      <c r="QZ1" s="180">
        <v>0</v>
      </c>
      <c r="RA1" s="180">
        <v>1</v>
      </c>
      <c r="RB1" s="180">
        <v>1</v>
      </c>
      <c r="RC1" s="180">
        <v>0</v>
      </c>
      <c r="RD1" s="180">
        <v>0</v>
      </c>
      <c r="RE1" s="180">
        <v>0</v>
      </c>
      <c r="RF1" s="180">
        <v>1</v>
      </c>
      <c r="RG1" s="180">
        <v>0</v>
      </c>
      <c r="RH1" s="180">
        <v>1</v>
      </c>
      <c r="RI1" s="180">
        <v>0</v>
      </c>
      <c r="RJ1" s="180">
        <v>0</v>
      </c>
      <c r="RK1" s="180">
        <v>0</v>
      </c>
      <c r="RL1" s="180">
        <v>1</v>
      </c>
      <c r="RM1" s="180">
        <v>1</v>
      </c>
      <c r="RN1" s="180">
        <v>0</v>
      </c>
      <c r="RO1" s="180">
        <v>1</v>
      </c>
      <c r="RP1" s="180">
        <v>1</v>
      </c>
      <c r="RQ1" s="180">
        <v>0</v>
      </c>
      <c r="RR1" s="180">
        <v>0</v>
      </c>
      <c r="RS1" s="180">
        <v>1</v>
      </c>
      <c r="RT1" s="180">
        <v>1</v>
      </c>
      <c r="RU1" s="180">
        <v>1</v>
      </c>
      <c r="RV1" s="180">
        <v>0</v>
      </c>
      <c r="RW1" s="180">
        <v>1</v>
      </c>
      <c r="RX1" s="180">
        <v>1</v>
      </c>
      <c r="RY1" s="180">
        <v>0</v>
      </c>
      <c r="RZ1" s="180">
        <v>1</v>
      </c>
      <c r="SA1" s="180">
        <v>0</v>
      </c>
      <c r="SB1" s="180">
        <v>0</v>
      </c>
      <c r="SC1" s="180">
        <v>1</v>
      </c>
      <c r="SD1" s="180">
        <v>0</v>
      </c>
      <c r="SE1" s="180">
        <v>0</v>
      </c>
      <c r="SF1" s="180">
        <v>0</v>
      </c>
      <c r="SG1" s="180">
        <v>1</v>
      </c>
      <c r="SH1" s="180">
        <v>1</v>
      </c>
      <c r="SI1" s="180">
        <v>0</v>
      </c>
      <c r="SJ1" s="180">
        <v>1</v>
      </c>
      <c r="SK1" s="180">
        <v>1</v>
      </c>
      <c r="SL1" s="180">
        <v>1</v>
      </c>
      <c r="SM1" s="180">
        <v>0</v>
      </c>
      <c r="SN1" s="180">
        <v>1</v>
      </c>
      <c r="SO1" s="180">
        <v>1</v>
      </c>
      <c r="SP1" s="180">
        <v>1</v>
      </c>
      <c r="SQ1" s="180">
        <v>1</v>
      </c>
      <c r="SR1" s="180">
        <v>1</v>
      </c>
      <c r="SS1" s="180">
        <v>1</v>
      </c>
      <c r="ST1" s="180">
        <v>1</v>
      </c>
      <c r="SU1" s="180">
        <v>1</v>
      </c>
      <c r="SV1" s="180">
        <v>0</v>
      </c>
      <c r="SW1" s="180">
        <v>0</v>
      </c>
      <c r="SX1" s="180">
        <v>1</v>
      </c>
      <c r="SY1" s="180">
        <v>1</v>
      </c>
      <c r="SZ1" s="180">
        <v>1</v>
      </c>
      <c r="TA1" s="180">
        <v>1</v>
      </c>
      <c r="TB1" s="180">
        <v>0</v>
      </c>
      <c r="TC1" s="180">
        <v>1</v>
      </c>
      <c r="TD1" s="180">
        <v>0</v>
      </c>
      <c r="TE1" s="180">
        <v>1</v>
      </c>
      <c r="TF1" s="180">
        <v>0</v>
      </c>
      <c r="TG1" s="180">
        <v>1</v>
      </c>
      <c r="TH1" s="180">
        <v>0</v>
      </c>
      <c r="TI1" s="180">
        <v>1</v>
      </c>
      <c r="TJ1" s="180">
        <v>1</v>
      </c>
      <c r="TK1" s="180">
        <v>0</v>
      </c>
      <c r="TL1" s="180">
        <v>1</v>
      </c>
      <c r="TM1" s="180">
        <v>0</v>
      </c>
      <c r="TN1" s="180">
        <v>1</v>
      </c>
      <c r="TO1" s="180">
        <v>1</v>
      </c>
      <c r="TP1" s="180">
        <v>1</v>
      </c>
      <c r="TQ1" s="180">
        <v>1</v>
      </c>
      <c r="TR1" s="180">
        <v>1</v>
      </c>
      <c r="TS1" s="180">
        <v>0</v>
      </c>
      <c r="TT1" s="180">
        <v>0</v>
      </c>
      <c r="TU1" s="180">
        <v>1</v>
      </c>
      <c r="TV1" s="180">
        <v>1</v>
      </c>
      <c r="TW1" s="180">
        <v>1</v>
      </c>
      <c r="TX1" s="180">
        <v>1</v>
      </c>
      <c r="TY1" s="180">
        <v>1</v>
      </c>
      <c r="TZ1" s="180">
        <v>1</v>
      </c>
      <c r="UA1" s="180">
        <v>1</v>
      </c>
      <c r="UB1" s="180">
        <v>0</v>
      </c>
      <c r="UC1" s="180">
        <v>0</v>
      </c>
      <c r="UD1" s="180">
        <v>1</v>
      </c>
      <c r="UE1" s="180">
        <v>0</v>
      </c>
      <c r="UF1" s="106"/>
      <c r="UG1" s="106"/>
      <c r="UH1" s="106"/>
    </row>
    <row r="2" spans="1:554" ht="15.75" thickBot="1" x14ac:dyDescent="0.3">
      <c r="A2" s="63" t="s">
        <v>205</v>
      </c>
      <c r="C2" s="86" t="s">
        <v>408</v>
      </c>
      <c r="D2" s="106">
        <v>0.46812815939529473</v>
      </c>
      <c r="E2" s="106">
        <v>0.46812815939529473</v>
      </c>
      <c r="F2" s="106">
        <v>0.46812815939529473</v>
      </c>
      <c r="G2" s="106">
        <v>0.46812815939529473</v>
      </c>
      <c r="H2" s="106">
        <v>0.46812815939529473</v>
      </c>
      <c r="I2" s="106">
        <v>0.46812815939529473</v>
      </c>
      <c r="J2" s="106">
        <v>0.46812815939529473</v>
      </c>
      <c r="K2" s="106">
        <v>0.46812815939529473</v>
      </c>
      <c r="L2" s="106">
        <v>0.46812815939529473</v>
      </c>
      <c r="M2" s="106">
        <v>0.46812815939529473</v>
      </c>
      <c r="N2" s="106">
        <v>0.46812815939529473</v>
      </c>
      <c r="O2" s="106">
        <v>0.46812815939529473</v>
      </c>
      <c r="P2" s="106">
        <v>0.46812815939529473</v>
      </c>
      <c r="Q2" s="106">
        <v>0.46812815939529473</v>
      </c>
      <c r="R2" s="106">
        <v>0.46812815939529473</v>
      </c>
      <c r="S2" s="106">
        <v>0.46812815939529473</v>
      </c>
      <c r="T2" s="106">
        <v>0.46812815939529473</v>
      </c>
      <c r="U2" s="106">
        <v>0.46812815939529473</v>
      </c>
      <c r="V2" s="106">
        <v>0.46812815939529473</v>
      </c>
      <c r="W2" s="106">
        <v>0.46812815939529473</v>
      </c>
      <c r="X2" s="106">
        <v>0.46812815939529473</v>
      </c>
      <c r="Y2" s="106">
        <v>0.46812815939529473</v>
      </c>
      <c r="Z2" s="106">
        <v>0.46812815939529473</v>
      </c>
      <c r="AA2" s="106">
        <v>0.46812815939529473</v>
      </c>
      <c r="AB2" s="106">
        <v>0.46812815939529473</v>
      </c>
      <c r="AC2" s="106">
        <v>0.46812815939529473</v>
      </c>
      <c r="AD2" s="106">
        <v>0.46812815939529473</v>
      </c>
      <c r="AE2" s="106">
        <v>0.46812815939529473</v>
      </c>
      <c r="AF2" s="106">
        <v>0.46812815939529473</v>
      </c>
      <c r="AG2" s="106">
        <v>0.46812815939529473</v>
      </c>
      <c r="AH2" s="106">
        <v>0.46812815939529473</v>
      </c>
      <c r="AI2" s="106">
        <v>0.46812815939529473</v>
      </c>
      <c r="AJ2" s="106">
        <v>0.46812815939529473</v>
      </c>
      <c r="AK2" s="106">
        <v>0.46812815939529473</v>
      </c>
      <c r="AL2" s="106">
        <v>0.46812815939529473</v>
      </c>
      <c r="AM2" s="106">
        <v>0.46812815939529473</v>
      </c>
      <c r="AN2" s="106">
        <v>0.46812815939529473</v>
      </c>
      <c r="AO2" s="106">
        <v>0.46812815939529473</v>
      </c>
      <c r="AP2" s="106">
        <v>0.46812815939529473</v>
      </c>
      <c r="AQ2" s="106">
        <v>0.46812815939529473</v>
      </c>
      <c r="AR2" s="106">
        <v>0.46812815939529473</v>
      </c>
      <c r="AS2" s="106">
        <v>0.46812815939529473</v>
      </c>
      <c r="AT2" s="106">
        <v>0.46812815939529473</v>
      </c>
      <c r="AU2" s="106">
        <v>0.46812815939529473</v>
      </c>
      <c r="AV2" s="106">
        <v>0.46812815939529473</v>
      </c>
      <c r="AW2" s="106">
        <v>0.46812815939529473</v>
      </c>
      <c r="AX2" s="106">
        <v>0.46812815939529473</v>
      </c>
      <c r="AY2" s="106">
        <v>0.46812815939529473</v>
      </c>
      <c r="AZ2" s="106">
        <v>0.46812815939529473</v>
      </c>
      <c r="BA2" s="106">
        <v>0.46812815939529473</v>
      </c>
      <c r="BB2" s="106">
        <v>0.46812815939529473</v>
      </c>
      <c r="BC2" s="106">
        <v>0.46812815939529473</v>
      </c>
      <c r="BD2" s="106">
        <v>0.46812815939529473</v>
      </c>
      <c r="BE2" s="106">
        <v>0.46812815939529473</v>
      </c>
      <c r="BF2" s="106">
        <v>0.46812815939529473</v>
      </c>
      <c r="BG2" s="106">
        <v>0.46812815939529473</v>
      </c>
      <c r="BH2" s="106">
        <v>0.46812815939529473</v>
      </c>
      <c r="BI2" s="106">
        <v>0.46812815939529473</v>
      </c>
      <c r="BJ2" s="106">
        <v>0.46812815939529473</v>
      </c>
      <c r="BK2" s="106">
        <v>0.46812815939529473</v>
      </c>
      <c r="BL2" s="106">
        <v>0.46812815939529473</v>
      </c>
      <c r="BM2" s="106">
        <v>0.46812815939529473</v>
      </c>
      <c r="BN2" s="106">
        <v>0.46812815939529473</v>
      </c>
      <c r="BO2" s="106">
        <v>0.46812815939529473</v>
      </c>
      <c r="BP2" s="106">
        <v>0.46812815939529473</v>
      </c>
      <c r="BQ2" s="106">
        <v>0.46812815939529473</v>
      </c>
      <c r="BR2" s="106">
        <v>0.46812815939529473</v>
      </c>
      <c r="BS2" s="106">
        <v>0.46812815939529473</v>
      </c>
      <c r="BT2" s="106">
        <v>0.46812815939529473</v>
      </c>
      <c r="BU2" s="106">
        <v>0.46812815939529473</v>
      </c>
      <c r="BV2" s="106">
        <v>0.46812815939529473</v>
      </c>
      <c r="BW2" s="106">
        <v>0.46812815939529473</v>
      </c>
      <c r="BX2" s="106">
        <v>0.46812815939529473</v>
      </c>
      <c r="BY2" s="106">
        <v>0.46812815939529473</v>
      </c>
      <c r="BZ2" s="106">
        <v>0.46812815939529473</v>
      </c>
      <c r="CA2" s="106">
        <v>0.46812815939529473</v>
      </c>
      <c r="CB2" s="106">
        <v>0.46812815939529473</v>
      </c>
      <c r="CC2" s="106">
        <v>0.46812815939529473</v>
      </c>
      <c r="CD2" s="106">
        <v>0.46812815939529473</v>
      </c>
      <c r="CE2" s="106">
        <v>0.46812815939529473</v>
      </c>
      <c r="CF2" s="106">
        <v>0.46812815939529473</v>
      </c>
      <c r="CG2" s="106">
        <v>0.46812815939529473</v>
      </c>
      <c r="CH2" s="106">
        <v>0.46812815939529473</v>
      </c>
      <c r="CI2" s="106">
        <v>0.46812815939529473</v>
      </c>
      <c r="CJ2" s="106">
        <v>0.46812815939529473</v>
      </c>
      <c r="CK2" s="106">
        <v>0.46812815939529473</v>
      </c>
      <c r="CL2" s="106">
        <v>0.46812815939529473</v>
      </c>
      <c r="CM2" s="106">
        <v>0.46812815939529473</v>
      </c>
      <c r="CN2" s="106">
        <v>0.46812815939529473</v>
      </c>
      <c r="CO2" s="106">
        <v>0.46812815939529473</v>
      </c>
      <c r="CP2" s="106">
        <v>0.46812815939529473</v>
      </c>
      <c r="CQ2" s="106">
        <v>0.46812815939529473</v>
      </c>
      <c r="CR2" s="106">
        <v>0.46812815939529473</v>
      </c>
      <c r="CS2" s="106">
        <v>0.46812815939529473</v>
      </c>
      <c r="CT2" s="106">
        <v>0.46812815939529473</v>
      </c>
      <c r="CU2" s="106">
        <v>0.46812815939529473</v>
      </c>
      <c r="CV2" s="106">
        <v>0.46812815939529473</v>
      </c>
      <c r="CW2" s="106">
        <v>0.46812815939529473</v>
      </c>
      <c r="CX2" s="106">
        <v>0.46812815939529473</v>
      </c>
      <c r="CY2" s="106">
        <v>0.46812815939529473</v>
      </c>
      <c r="CZ2" s="106">
        <v>0.46812815939529473</v>
      </c>
      <c r="DA2" s="106">
        <v>0.46812815939529473</v>
      </c>
      <c r="DB2" s="106">
        <v>0.46812815939529473</v>
      </c>
      <c r="DC2" s="106">
        <v>0.46812815939529473</v>
      </c>
      <c r="DD2" s="106">
        <v>0.46812815939529473</v>
      </c>
      <c r="DE2" s="106">
        <v>0.46812815939529473</v>
      </c>
      <c r="DF2" s="106">
        <v>0.46812815939529473</v>
      </c>
      <c r="DG2" s="106">
        <v>0.46812815939529473</v>
      </c>
      <c r="DH2" s="106">
        <v>0.46812815939529473</v>
      </c>
      <c r="DI2" s="106">
        <v>0.46812815939529473</v>
      </c>
      <c r="DJ2" s="106">
        <v>0.46812815939529473</v>
      </c>
      <c r="DK2" s="106">
        <v>0.46812815939529473</v>
      </c>
      <c r="DL2" s="106">
        <v>0.46812815939529473</v>
      </c>
      <c r="DM2" s="106">
        <v>0.46812815939529473</v>
      </c>
      <c r="DN2" s="106">
        <v>0.46812815939529473</v>
      </c>
      <c r="DO2" s="106">
        <v>0.46812815939529473</v>
      </c>
      <c r="DP2" s="106">
        <v>0.46812815939529473</v>
      </c>
      <c r="DQ2" s="106">
        <v>0.46812815939529473</v>
      </c>
      <c r="DR2" s="106">
        <v>0.46812815939529473</v>
      </c>
      <c r="DS2" s="106">
        <v>0.46812815939529473</v>
      </c>
      <c r="DT2" s="106">
        <v>0.46812815939529473</v>
      </c>
      <c r="DU2" s="106">
        <v>0.46812815939529473</v>
      </c>
      <c r="DV2" s="106">
        <v>0.46812815939529473</v>
      </c>
      <c r="DW2" s="106">
        <v>0.46812815939529473</v>
      </c>
      <c r="DX2" s="106">
        <v>0.46812815939529473</v>
      </c>
      <c r="DY2" s="106">
        <v>0.46812815939529473</v>
      </c>
      <c r="DZ2" s="106">
        <v>0.46812815939529473</v>
      </c>
      <c r="EA2" s="106">
        <v>0.46812815939529473</v>
      </c>
      <c r="EB2" s="106">
        <v>0.46812815939529473</v>
      </c>
      <c r="EC2" s="106">
        <v>0.46812815939529473</v>
      </c>
      <c r="ED2" s="106">
        <v>0.46812815939529473</v>
      </c>
      <c r="EE2" s="106">
        <v>0.46812815939529473</v>
      </c>
      <c r="EF2" s="106">
        <v>0.46812815939529473</v>
      </c>
      <c r="EG2" s="106">
        <v>0.46812815939529473</v>
      </c>
      <c r="EH2" s="106">
        <v>0.46812815939529473</v>
      </c>
      <c r="EI2" s="106">
        <v>0.46812815939529473</v>
      </c>
      <c r="EJ2" s="106">
        <v>0.46812815939529473</v>
      </c>
      <c r="EK2" s="106">
        <v>0.46812815939529473</v>
      </c>
      <c r="EL2" s="106">
        <v>0.46812815939529473</v>
      </c>
      <c r="EM2" s="106">
        <v>0.46812815939529473</v>
      </c>
      <c r="EN2" s="106">
        <v>0.46812815939529473</v>
      </c>
      <c r="EO2" s="106">
        <v>0.46812815939529473</v>
      </c>
      <c r="EP2" s="106">
        <v>0.46812815939529473</v>
      </c>
      <c r="EQ2" s="106">
        <v>0.46812815939529473</v>
      </c>
      <c r="ER2" s="106">
        <v>0.46812815939529473</v>
      </c>
      <c r="ES2" s="106">
        <v>0.46812815939529473</v>
      </c>
      <c r="ET2" s="106">
        <v>0.46812815939529473</v>
      </c>
      <c r="EU2" s="106">
        <v>0.46812815939529473</v>
      </c>
      <c r="EV2" s="106">
        <v>0.46812815939529473</v>
      </c>
      <c r="EW2" s="106">
        <v>0.46812815939529473</v>
      </c>
      <c r="EX2" s="106">
        <v>0.46812815939529473</v>
      </c>
      <c r="EY2" s="106">
        <v>0.46812815939529473</v>
      </c>
      <c r="EZ2" s="106">
        <v>0.46812815939529473</v>
      </c>
      <c r="FA2" s="106">
        <v>0.46812815939529473</v>
      </c>
      <c r="FB2" s="106">
        <v>0.46812815939529473</v>
      </c>
      <c r="FC2" s="106">
        <v>0.46812815939529473</v>
      </c>
      <c r="FD2" s="106">
        <v>0.46812815939529473</v>
      </c>
      <c r="FE2" s="106">
        <v>0.46812815939529473</v>
      </c>
      <c r="FF2" s="106">
        <v>0.46812815939529473</v>
      </c>
      <c r="FG2" s="106">
        <v>0.46812815939529473</v>
      </c>
      <c r="FH2" s="106">
        <v>0.46812815939529473</v>
      </c>
      <c r="FI2" s="106">
        <v>0.46812815939529473</v>
      </c>
      <c r="FJ2" s="106">
        <v>0.46812815939529473</v>
      </c>
      <c r="FK2" s="106">
        <v>0.46812815939529473</v>
      </c>
      <c r="FL2" s="106">
        <v>0.46812815939529473</v>
      </c>
      <c r="FM2" s="106">
        <v>0.46812815939529473</v>
      </c>
      <c r="FN2" s="106">
        <v>0.46812815939529473</v>
      </c>
      <c r="FO2" s="106">
        <v>0.46812815939529473</v>
      </c>
      <c r="FP2" s="106">
        <v>0.46812815939529473</v>
      </c>
      <c r="FQ2" s="106">
        <v>0.46812815939529473</v>
      </c>
      <c r="FR2" s="106">
        <v>0.46812815939529473</v>
      </c>
      <c r="FS2" s="106">
        <v>0.46812815939529473</v>
      </c>
      <c r="FT2" s="106">
        <v>0.46812815939529473</v>
      </c>
      <c r="FU2" s="106">
        <v>0.46812815939529473</v>
      </c>
      <c r="FV2" s="106">
        <v>0.46812815939529473</v>
      </c>
      <c r="FW2" s="106">
        <v>0.46812815939529473</v>
      </c>
      <c r="FX2" s="106">
        <v>0.46812815939529473</v>
      </c>
      <c r="FY2" s="106">
        <v>0.46812815939529473</v>
      </c>
      <c r="FZ2" s="106">
        <v>0.46812815939529473</v>
      </c>
      <c r="GA2" s="106">
        <v>0.46812815939529473</v>
      </c>
      <c r="GB2" s="106">
        <v>0.46812815939529473</v>
      </c>
      <c r="GC2" s="106">
        <v>0.46812815939529473</v>
      </c>
      <c r="GD2" s="106">
        <v>0.46812815939529473</v>
      </c>
      <c r="GE2" s="106">
        <v>0.46812815939529473</v>
      </c>
      <c r="GF2" s="106">
        <v>0.46812815939529473</v>
      </c>
      <c r="GG2" s="106">
        <v>0.46812815939529473</v>
      </c>
      <c r="GH2" s="106">
        <v>0.46812815939529473</v>
      </c>
      <c r="GI2" s="106">
        <v>0.46812815939529473</v>
      </c>
      <c r="GJ2" s="106">
        <v>0.46812815939529473</v>
      </c>
      <c r="GK2" s="106">
        <v>0.46812815939529473</v>
      </c>
      <c r="GL2" s="106">
        <v>0.46812815939529473</v>
      </c>
      <c r="GM2" s="106">
        <v>0.46812815939529473</v>
      </c>
      <c r="GN2" s="106">
        <v>0.46812815939529473</v>
      </c>
      <c r="GO2" s="106">
        <v>0.46812815939529473</v>
      </c>
      <c r="GP2" s="106">
        <v>0.46812815939529473</v>
      </c>
      <c r="GQ2" s="106">
        <v>0.46812815939529473</v>
      </c>
      <c r="GR2" s="106">
        <v>0.46812815939529473</v>
      </c>
      <c r="GS2" s="106">
        <v>0.46812815939529473</v>
      </c>
      <c r="GT2" s="106">
        <v>0.46812815939529473</v>
      </c>
      <c r="GU2" s="106">
        <v>0.46812815939529473</v>
      </c>
      <c r="GV2" s="106">
        <v>0.46812815939529473</v>
      </c>
      <c r="GW2" s="106">
        <v>0.46812815939529473</v>
      </c>
      <c r="GX2" s="106">
        <v>0.46812815939529473</v>
      </c>
      <c r="GY2" s="106">
        <v>0.46812815939529473</v>
      </c>
      <c r="GZ2" s="106">
        <v>0.46812815939529473</v>
      </c>
      <c r="HA2" s="106">
        <v>0.46812815939529473</v>
      </c>
      <c r="HB2" s="106">
        <v>0.46812815939529473</v>
      </c>
      <c r="HC2" s="106">
        <v>0.46812815939529473</v>
      </c>
      <c r="HD2" s="106">
        <v>0.46812815939529473</v>
      </c>
      <c r="HE2" s="106">
        <v>0.46812815939529473</v>
      </c>
      <c r="HF2" s="106">
        <v>0.46812815939529473</v>
      </c>
      <c r="HG2" s="106">
        <v>0.46812815939529473</v>
      </c>
      <c r="HH2" s="106">
        <v>0.46812815939529473</v>
      </c>
      <c r="HI2" s="106">
        <v>0.46812815939529473</v>
      </c>
      <c r="HJ2" s="106">
        <v>0.46812815939529473</v>
      </c>
      <c r="HK2" s="106">
        <v>0.46812815939529473</v>
      </c>
      <c r="HL2" s="106">
        <v>0.46812815939529473</v>
      </c>
      <c r="HM2" s="106">
        <v>0.46812815939529473</v>
      </c>
      <c r="HN2" s="106">
        <v>0.46812815939529473</v>
      </c>
      <c r="HO2" s="106">
        <v>0.46812815939529473</v>
      </c>
      <c r="HP2" s="106">
        <v>0.46812815939529473</v>
      </c>
      <c r="HQ2" s="106">
        <v>0.46812815939529473</v>
      </c>
      <c r="HR2" s="106">
        <v>0.46812815939529473</v>
      </c>
      <c r="HS2" s="106">
        <v>0.46812815939529473</v>
      </c>
      <c r="HT2" s="106">
        <v>0.46812815939529473</v>
      </c>
      <c r="HU2" s="106">
        <v>0.46812815939529473</v>
      </c>
      <c r="HV2" s="106">
        <v>0.46812815939529473</v>
      </c>
      <c r="HW2" s="106">
        <v>0.46812815939529473</v>
      </c>
      <c r="HX2" s="106">
        <v>0.46812815939529473</v>
      </c>
      <c r="HY2" s="106">
        <v>0.46812815939529473</v>
      </c>
      <c r="HZ2" s="106">
        <v>0.46812815939529473</v>
      </c>
      <c r="IA2" s="106">
        <v>0.46812815939529473</v>
      </c>
      <c r="IB2" s="106">
        <v>0.46812815939529473</v>
      </c>
      <c r="IC2" s="106">
        <v>0.46812815939529473</v>
      </c>
      <c r="ID2" s="106">
        <v>0.46812815939529473</v>
      </c>
      <c r="IE2" s="106">
        <v>0.46812815939529473</v>
      </c>
      <c r="IF2" s="106">
        <v>0.46812815939529473</v>
      </c>
      <c r="IG2" s="106">
        <v>0.46812815939529473</v>
      </c>
      <c r="IH2" s="106">
        <v>0.46812815939529473</v>
      </c>
      <c r="II2" s="106">
        <v>0.46812815939529473</v>
      </c>
      <c r="IJ2" s="106">
        <v>0.46812815939529473</v>
      </c>
      <c r="IK2" s="106">
        <v>0.46812815939529473</v>
      </c>
      <c r="IL2" s="106">
        <v>0.46812815939529473</v>
      </c>
      <c r="IM2" s="106">
        <v>0.46812815939529473</v>
      </c>
      <c r="IN2" s="106">
        <v>0.46812815939529473</v>
      </c>
      <c r="IO2" s="106">
        <v>0.46812815939529473</v>
      </c>
      <c r="IP2" s="106">
        <v>0.46812815939529473</v>
      </c>
      <c r="IQ2" s="106">
        <v>0.46812815939529473</v>
      </c>
      <c r="IR2" s="106">
        <v>0.46812815939529473</v>
      </c>
      <c r="IS2" s="106">
        <v>0.46812815939529473</v>
      </c>
      <c r="IT2" s="106">
        <v>0.46812815939529473</v>
      </c>
      <c r="IU2" s="106">
        <v>0.46812815939529473</v>
      </c>
      <c r="IV2" s="106">
        <v>0.46812815939529473</v>
      </c>
      <c r="IW2" s="106">
        <v>0.46812815939529473</v>
      </c>
      <c r="IX2" s="106">
        <v>0.46812815939529473</v>
      </c>
      <c r="IY2" s="106">
        <v>0.46812815939529473</v>
      </c>
      <c r="IZ2" s="106">
        <v>0.46812815939529473</v>
      </c>
      <c r="JA2" s="106">
        <v>0.46812815939529473</v>
      </c>
      <c r="JB2" s="106">
        <v>0.46812815939529473</v>
      </c>
      <c r="JC2" s="106">
        <v>0.46812815939529473</v>
      </c>
      <c r="JD2" s="106">
        <v>0.46812815939529473</v>
      </c>
      <c r="JE2" s="106">
        <v>0.46812815939529473</v>
      </c>
      <c r="JF2" s="106">
        <v>0.46812815939529473</v>
      </c>
      <c r="JG2" s="106">
        <v>0.46812815939529473</v>
      </c>
      <c r="JH2" s="106">
        <v>0.46812815939529473</v>
      </c>
      <c r="JI2" s="106">
        <v>0.46812815939529473</v>
      </c>
      <c r="JJ2" s="106">
        <v>0.46812815939529473</v>
      </c>
      <c r="JK2" s="106">
        <v>0.46812815939529473</v>
      </c>
      <c r="JL2" s="106">
        <v>0.46812815939529473</v>
      </c>
      <c r="JM2" s="106">
        <v>0.46812815939529473</v>
      </c>
      <c r="JN2" s="106">
        <v>0.46812815939529473</v>
      </c>
      <c r="JO2" s="106">
        <v>0.46812815939529473</v>
      </c>
      <c r="JP2" s="106">
        <v>0.46812815939529473</v>
      </c>
      <c r="JQ2" s="106">
        <v>0.46812815939529473</v>
      </c>
      <c r="JR2" s="106">
        <v>0.46812815939529473</v>
      </c>
      <c r="JS2" s="106">
        <v>0.46812815939529473</v>
      </c>
      <c r="JT2" s="106">
        <v>0.46812815939529473</v>
      </c>
      <c r="JU2" s="106">
        <v>0.46812815939529473</v>
      </c>
      <c r="JV2" s="106">
        <v>0.46812815939529473</v>
      </c>
      <c r="JW2" s="106">
        <v>0.46812815939529473</v>
      </c>
      <c r="JX2" s="106">
        <v>0.46812815939529473</v>
      </c>
      <c r="JY2" s="106">
        <v>0.46812815939529473</v>
      </c>
      <c r="JZ2" s="106">
        <v>0.46812815939529473</v>
      </c>
      <c r="KA2" s="106">
        <v>0.46812815939529473</v>
      </c>
      <c r="KB2" s="106">
        <v>0.46812815939529473</v>
      </c>
      <c r="KC2" s="106">
        <v>0.46812815939529473</v>
      </c>
      <c r="KD2" s="106">
        <v>0.46812815939529473</v>
      </c>
      <c r="KE2" s="106">
        <v>0.46812815939529473</v>
      </c>
      <c r="KF2" s="106">
        <v>0.46812815939529473</v>
      </c>
      <c r="KG2" s="106">
        <v>0.46812815939529473</v>
      </c>
      <c r="KH2" s="106">
        <v>0.46812815939529473</v>
      </c>
      <c r="KI2" s="106">
        <v>0.46812815939529473</v>
      </c>
      <c r="KJ2" s="106">
        <v>0.46812815939529473</v>
      </c>
      <c r="KK2" s="106">
        <v>0.46812815939529473</v>
      </c>
      <c r="KL2" s="106">
        <v>0.46812815939529473</v>
      </c>
      <c r="KM2" s="106">
        <v>0.46812815939529473</v>
      </c>
      <c r="KN2" s="106">
        <v>0.46812815939529473</v>
      </c>
      <c r="KO2" s="106">
        <v>0.46812815939529473</v>
      </c>
      <c r="KP2" s="106">
        <v>0.46812815939529473</v>
      </c>
      <c r="KQ2" s="106">
        <v>0.46812815939529473</v>
      </c>
      <c r="KR2" s="106">
        <v>0.46812815939529473</v>
      </c>
      <c r="KS2" s="106">
        <v>0.46812815939529473</v>
      </c>
      <c r="KT2" s="106">
        <v>0.46812815939529473</v>
      </c>
      <c r="KU2" s="106">
        <v>0.46812815939529473</v>
      </c>
      <c r="KV2" s="106">
        <v>0.46812815939529473</v>
      </c>
      <c r="KW2" s="106">
        <v>0.46812815939529473</v>
      </c>
      <c r="KX2" s="106">
        <v>0.46812815939529473</v>
      </c>
      <c r="KY2" s="106">
        <v>0.46812815939529473</v>
      </c>
      <c r="KZ2" s="106">
        <v>0.46812815939529473</v>
      </c>
      <c r="LA2" s="106">
        <v>0.46812815939529473</v>
      </c>
      <c r="LB2" s="106">
        <v>0.46812815939529473</v>
      </c>
      <c r="LC2" s="106">
        <v>0.46812815939529473</v>
      </c>
      <c r="LD2" s="106">
        <v>0.46812815939529473</v>
      </c>
      <c r="LE2" s="106">
        <v>0.46812815939529473</v>
      </c>
      <c r="LF2" s="106">
        <v>0.46812815939529473</v>
      </c>
      <c r="LG2" s="106">
        <v>0.46812815939529473</v>
      </c>
      <c r="LH2" s="106">
        <v>0.46812815939529473</v>
      </c>
      <c r="LI2" s="106">
        <v>0.46812815939529473</v>
      </c>
      <c r="LJ2" s="106">
        <v>0.46812815939529473</v>
      </c>
      <c r="LK2" s="106">
        <v>0.46812815939529473</v>
      </c>
      <c r="LL2" s="106">
        <v>0.46812815939529473</v>
      </c>
      <c r="LM2" s="106">
        <v>0.46812815939529473</v>
      </c>
      <c r="LN2" s="106">
        <v>0.46812815939529473</v>
      </c>
      <c r="LO2" s="106">
        <v>0.46812815939529473</v>
      </c>
      <c r="LP2" s="106">
        <v>0.46812815939529473</v>
      </c>
      <c r="LQ2" s="106">
        <v>0.46812815939529473</v>
      </c>
      <c r="LR2" s="106">
        <v>0.46812815939529473</v>
      </c>
      <c r="LS2" s="106">
        <v>0.46812815939529473</v>
      </c>
      <c r="LT2" s="106">
        <v>0.46812815939529473</v>
      </c>
      <c r="LU2" s="106">
        <v>0.46812815939529473</v>
      </c>
      <c r="LV2" s="106">
        <v>0.46812815939529473</v>
      </c>
      <c r="LW2" s="106">
        <v>0.46812815939529473</v>
      </c>
      <c r="LX2" s="106">
        <v>0.46812815939529473</v>
      </c>
      <c r="LY2" s="106">
        <v>0.46812815939529473</v>
      </c>
      <c r="LZ2" s="106">
        <v>0.46812815939529473</v>
      </c>
      <c r="MA2" s="106">
        <v>0.46812815939529473</v>
      </c>
      <c r="MB2" s="106">
        <v>0.46812815939529473</v>
      </c>
      <c r="MC2" s="106">
        <v>0.46812815939529473</v>
      </c>
      <c r="MD2" s="106">
        <v>0.46812815939529473</v>
      </c>
      <c r="ME2" s="106">
        <v>0.46812815939529473</v>
      </c>
      <c r="MF2" s="106">
        <v>0.46812815939529473</v>
      </c>
      <c r="MG2" s="106">
        <v>0.46812815939529473</v>
      </c>
      <c r="MH2" s="106">
        <v>0.46812815939529473</v>
      </c>
      <c r="MI2" s="106">
        <v>0.46812815939529473</v>
      </c>
      <c r="MJ2" s="106">
        <v>0.46812815939529473</v>
      </c>
      <c r="MK2" s="106">
        <v>0.46812815939529473</v>
      </c>
      <c r="ML2" s="106">
        <v>0.46812815939529473</v>
      </c>
      <c r="MM2" s="106">
        <v>0.46812815939529473</v>
      </c>
      <c r="MN2" s="106">
        <v>0.46812815939529473</v>
      </c>
      <c r="MO2" s="106">
        <v>0.46812815939529473</v>
      </c>
      <c r="MP2" s="106">
        <v>0.46812815939529473</v>
      </c>
      <c r="MQ2" s="106">
        <v>0.46812815939529473</v>
      </c>
      <c r="MR2" s="106">
        <v>0.46812815939529473</v>
      </c>
      <c r="MS2" s="106">
        <v>0.46812815939529473</v>
      </c>
      <c r="MT2" s="106">
        <v>0.46812815939529473</v>
      </c>
      <c r="MU2" s="106">
        <v>0.46812815939529473</v>
      </c>
      <c r="MV2" s="106">
        <v>0.46812815939529473</v>
      </c>
      <c r="MW2" s="106">
        <v>0.46812815939529473</v>
      </c>
      <c r="MX2" s="106">
        <v>0.46812815939529473</v>
      </c>
      <c r="MY2" s="106">
        <v>0.46812815939529473</v>
      </c>
      <c r="MZ2" s="106">
        <v>0.46812815939529473</v>
      </c>
      <c r="NA2" s="106">
        <v>0.46812815939529473</v>
      </c>
      <c r="NB2" s="106">
        <v>0.46812815939529473</v>
      </c>
      <c r="NC2" s="106">
        <v>0.46812815939529473</v>
      </c>
      <c r="ND2" s="106">
        <v>0.46812815939529473</v>
      </c>
      <c r="NE2" s="106">
        <v>0.46812815939529473</v>
      </c>
      <c r="NF2" s="106">
        <v>0.46812815939529473</v>
      </c>
      <c r="NG2" s="106">
        <v>0.46812815939529473</v>
      </c>
      <c r="NH2" s="106">
        <v>0.46812815939529473</v>
      </c>
      <c r="NI2" s="106">
        <v>0.46812815939529473</v>
      </c>
      <c r="NJ2" s="106">
        <v>0.46812815939529473</v>
      </c>
      <c r="NK2" s="106">
        <v>0.46812815939529473</v>
      </c>
      <c r="NL2" s="106">
        <v>0.46812815939529473</v>
      </c>
      <c r="NM2" s="106">
        <v>0.46812815939529473</v>
      </c>
      <c r="NN2" s="106">
        <v>0.46812815939529473</v>
      </c>
      <c r="NO2" s="106">
        <v>0.46812815939529473</v>
      </c>
      <c r="NP2" s="106">
        <v>0.46812815939529473</v>
      </c>
      <c r="NQ2" s="106">
        <v>0.46812815939529473</v>
      </c>
      <c r="NR2" s="106">
        <v>0.46812815939529473</v>
      </c>
      <c r="NS2" s="106">
        <v>0.46812815939529473</v>
      </c>
      <c r="NT2" s="106">
        <v>0.46812815939529473</v>
      </c>
      <c r="NU2" s="106">
        <v>0.46812815939529473</v>
      </c>
      <c r="NV2" s="106">
        <v>0.46812815939529473</v>
      </c>
      <c r="NW2" s="106">
        <v>0.46812815939529473</v>
      </c>
      <c r="NX2" s="106">
        <v>0.46812815939529473</v>
      </c>
      <c r="NY2" s="106">
        <v>0.46812815939529473</v>
      </c>
      <c r="NZ2" s="106">
        <v>0.46812815939529473</v>
      </c>
      <c r="OA2" s="106">
        <v>0.46812815939529473</v>
      </c>
      <c r="OB2" s="106">
        <v>0.46812815939529473</v>
      </c>
      <c r="OC2" s="106">
        <v>0.46812815939529473</v>
      </c>
      <c r="OD2" s="106">
        <v>0.46812815939529473</v>
      </c>
      <c r="OE2" s="106">
        <v>0.46812815939529473</v>
      </c>
      <c r="OF2" s="106">
        <v>0.46812815939529473</v>
      </c>
      <c r="OG2" s="106">
        <v>0.46812815939529473</v>
      </c>
      <c r="OH2" s="106">
        <v>0.46812815939529473</v>
      </c>
      <c r="OI2" s="106">
        <v>0.46812815939529473</v>
      </c>
      <c r="OJ2" s="106">
        <v>0.46812815939529473</v>
      </c>
      <c r="OK2" s="106">
        <v>0.46812815939529473</v>
      </c>
      <c r="OL2" s="106">
        <v>0.46812815939529473</v>
      </c>
      <c r="OM2" s="106">
        <v>0.46812815939529473</v>
      </c>
      <c r="ON2" s="106">
        <v>0.46812815939529473</v>
      </c>
      <c r="OO2" s="106">
        <v>0.46812815939529473</v>
      </c>
      <c r="OP2" s="106">
        <v>0.46812815939529473</v>
      </c>
      <c r="OQ2" s="106">
        <v>0.46812815939529473</v>
      </c>
      <c r="OR2" s="106">
        <v>0.46812815939529473</v>
      </c>
      <c r="OS2" s="106">
        <v>0.46812815939529473</v>
      </c>
      <c r="OT2" s="106">
        <v>0.46812815939529473</v>
      </c>
      <c r="OU2" s="106">
        <v>0.46812815939529473</v>
      </c>
      <c r="OV2" s="106">
        <v>0.46812815939529473</v>
      </c>
      <c r="OW2" s="106">
        <v>0.46812815939529473</v>
      </c>
      <c r="OX2" s="106">
        <v>0.46812815939529473</v>
      </c>
      <c r="OY2" s="106">
        <v>0.46812815939529473</v>
      </c>
      <c r="OZ2" s="106">
        <v>0.46812815939529473</v>
      </c>
      <c r="PA2" s="106">
        <v>0.46812815939529473</v>
      </c>
      <c r="PB2" s="106">
        <v>0.46812815939529473</v>
      </c>
      <c r="PC2" s="106">
        <v>0.46812815939529473</v>
      </c>
      <c r="PD2" s="106">
        <v>0.46812815939529473</v>
      </c>
      <c r="PE2" s="106">
        <v>0.46812815939529473</v>
      </c>
      <c r="PF2" s="106">
        <v>0.46812815939529473</v>
      </c>
      <c r="PG2" s="106">
        <v>0.46812815939529473</v>
      </c>
      <c r="PH2" s="106">
        <v>0.46812815939529473</v>
      </c>
      <c r="PI2" s="106">
        <v>0.46812815939529473</v>
      </c>
      <c r="PJ2" s="106">
        <v>0.46812815939529473</v>
      </c>
      <c r="PK2" s="106">
        <v>0.46812815939529473</v>
      </c>
      <c r="PL2" s="106">
        <v>0.46812815939529473</v>
      </c>
      <c r="PM2" s="106">
        <v>0.46812815939529473</v>
      </c>
      <c r="PN2" s="106">
        <v>0.46812815939529473</v>
      </c>
      <c r="PO2" s="106">
        <v>0.46812815939529473</v>
      </c>
      <c r="PP2" s="106">
        <v>0.46812815939529473</v>
      </c>
      <c r="PQ2" s="106">
        <v>0.46812815939529473</v>
      </c>
      <c r="PR2" s="106">
        <v>0.46812815939529473</v>
      </c>
      <c r="PS2" s="106">
        <v>0.46812815939529473</v>
      </c>
      <c r="PT2" s="106">
        <v>0.46812815939529473</v>
      </c>
      <c r="PU2" s="106">
        <v>0.46812815939529473</v>
      </c>
      <c r="PV2" s="106">
        <v>0.46812815939529473</v>
      </c>
      <c r="PW2" s="106">
        <v>0.46812815939529473</v>
      </c>
      <c r="PX2" s="106">
        <v>0.46812815939529473</v>
      </c>
      <c r="PY2" s="106">
        <v>0.46812815939529473</v>
      </c>
      <c r="PZ2" s="106">
        <v>0.46812815939529473</v>
      </c>
      <c r="QA2" s="106">
        <v>0.46812815939529473</v>
      </c>
      <c r="QB2" s="106">
        <v>0.46812815939529473</v>
      </c>
      <c r="QC2" s="106">
        <v>0.46812815939529473</v>
      </c>
      <c r="QD2" s="106">
        <v>0.46812815939529473</v>
      </c>
      <c r="QE2" s="106">
        <v>0.46812815939529473</v>
      </c>
      <c r="QF2" s="106">
        <v>0.46812815939529473</v>
      </c>
      <c r="QG2" s="106">
        <v>0.46812815939529473</v>
      </c>
      <c r="QH2" s="106">
        <v>0.46812815939529473</v>
      </c>
      <c r="QI2" s="106">
        <v>0.46812815939529473</v>
      </c>
      <c r="QJ2" s="106">
        <v>0.46812815939529473</v>
      </c>
      <c r="QK2" s="106">
        <v>0.46812815939529473</v>
      </c>
      <c r="QL2" s="106">
        <v>0.46812815939529473</v>
      </c>
      <c r="QM2" s="106">
        <v>0.46812815939529473</v>
      </c>
      <c r="QN2" s="106">
        <v>0.46812815939529473</v>
      </c>
      <c r="QO2" s="106">
        <v>0.46812815939529473</v>
      </c>
      <c r="QP2" s="106">
        <v>0.46812815939529473</v>
      </c>
      <c r="QQ2" s="106">
        <v>0.46812815939529473</v>
      </c>
      <c r="QR2" s="106">
        <v>0.46812815939529473</v>
      </c>
      <c r="QS2" s="106">
        <v>0.46812815939529473</v>
      </c>
      <c r="QT2" s="106">
        <v>0.46812815939529473</v>
      </c>
      <c r="QU2" s="106">
        <v>0.46812815939529473</v>
      </c>
      <c r="QV2" s="106">
        <v>0.46812815939529473</v>
      </c>
      <c r="QW2" s="106">
        <v>0.46812815939529473</v>
      </c>
      <c r="QX2" s="106">
        <v>0.46812815939529473</v>
      </c>
      <c r="QY2" s="106">
        <v>0.46812815939529473</v>
      </c>
      <c r="QZ2" s="106">
        <v>0.46812815939529473</v>
      </c>
      <c r="RA2" s="106">
        <v>0.46812815939529473</v>
      </c>
      <c r="RB2" s="106">
        <v>0.46812815939529473</v>
      </c>
      <c r="RC2" s="106">
        <v>0.46812815939529473</v>
      </c>
      <c r="RD2" s="106">
        <v>0.46812815939529473</v>
      </c>
      <c r="RE2" s="106">
        <v>0.46812815939529473</v>
      </c>
      <c r="RF2" s="106">
        <v>0.46812815939529473</v>
      </c>
      <c r="RG2" s="106">
        <v>0.46812815939529473</v>
      </c>
      <c r="RH2" s="106">
        <v>0.46812815939529473</v>
      </c>
      <c r="RI2" s="106">
        <v>0.46812815939529473</v>
      </c>
      <c r="RJ2" s="106">
        <v>0.46812815939529473</v>
      </c>
      <c r="RK2" s="106">
        <v>0.46812815939529473</v>
      </c>
      <c r="RL2" s="106">
        <v>0.46812815939529473</v>
      </c>
      <c r="RM2" s="106">
        <v>0.46812815939529473</v>
      </c>
      <c r="RN2" s="106">
        <v>0.46812815939529473</v>
      </c>
      <c r="RO2" s="106">
        <v>0.46812815939529473</v>
      </c>
      <c r="RP2" s="106">
        <v>0.46812815939529473</v>
      </c>
      <c r="RQ2" s="106">
        <v>0.46812815939529473</v>
      </c>
      <c r="RR2" s="106">
        <v>0.46812815939529473</v>
      </c>
      <c r="RS2" s="106">
        <v>0.46812815939529473</v>
      </c>
      <c r="RT2" s="106">
        <v>0.46812815939529473</v>
      </c>
      <c r="RU2" s="106">
        <v>0.46812815939529473</v>
      </c>
      <c r="RV2" s="106">
        <v>0.46812815939529473</v>
      </c>
      <c r="RW2" s="106">
        <v>0.46812815939529473</v>
      </c>
      <c r="RX2" s="106">
        <v>0.46812815939529473</v>
      </c>
      <c r="RY2" s="106">
        <v>0.46812815939529473</v>
      </c>
      <c r="RZ2" s="106">
        <v>0.46812815939529473</v>
      </c>
      <c r="SA2" s="106">
        <v>0.46812815939529473</v>
      </c>
      <c r="SB2" s="106">
        <v>0.46812815939529473</v>
      </c>
      <c r="SC2" s="106">
        <v>0.46812815939529473</v>
      </c>
      <c r="SD2" s="106">
        <v>0.46812815939529473</v>
      </c>
      <c r="SE2" s="106">
        <v>0.46812815939529473</v>
      </c>
      <c r="SF2" s="106">
        <v>0.46812815939529473</v>
      </c>
      <c r="SG2" s="106">
        <v>0.46812815939529473</v>
      </c>
      <c r="SH2" s="106">
        <v>0.46812815939529473</v>
      </c>
      <c r="SI2" s="106">
        <v>0.46812815939529473</v>
      </c>
      <c r="SJ2" s="106">
        <v>0.46812815939529473</v>
      </c>
      <c r="SK2" s="106">
        <v>0.46812815939529473</v>
      </c>
      <c r="SL2" s="106">
        <v>0.46812815939529473</v>
      </c>
      <c r="SM2" s="106">
        <v>0.46812815939529473</v>
      </c>
      <c r="SN2" s="106">
        <v>0.46812815939529473</v>
      </c>
      <c r="SO2" s="106">
        <v>0.46812815939529473</v>
      </c>
      <c r="SP2" s="106">
        <v>0.46812815939529473</v>
      </c>
      <c r="SQ2" s="106">
        <v>0.46812815939529473</v>
      </c>
      <c r="SR2" s="106">
        <v>0.46812815939529473</v>
      </c>
      <c r="SS2" s="106">
        <v>0.46812815939529473</v>
      </c>
      <c r="ST2" s="106">
        <v>0.46812815939529473</v>
      </c>
      <c r="SU2" s="106">
        <v>0.46812815939529473</v>
      </c>
      <c r="SV2" s="106">
        <v>0.46812815939529473</v>
      </c>
      <c r="SW2" s="106">
        <v>0.46812815939529473</v>
      </c>
      <c r="SX2" s="106">
        <v>0.46812815939529473</v>
      </c>
      <c r="SY2" s="106">
        <v>0.46812815939529473</v>
      </c>
      <c r="SZ2" s="106">
        <v>0.46812815939529473</v>
      </c>
      <c r="TA2" s="106">
        <v>0.46812815939529473</v>
      </c>
      <c r="TB2" s="106">
        <v>0.46812815939529473</v>
      </c>
      <c r="TC2" s="106">
        <v>0.46812815939529473</v>
      </c>
      <c r="TD2" s="106">
        <v>0.46812815939529473</v>
      </c>
      <c r="TE2" s="106">
        <v>0.46812815939529473</v>
      </c>
      <c r="TF2" s="106">
        <v>0.46812815939529473</v>
      </c>
      <c r="TG2" s="106">
        <v>0.46812815939529473</v>
      </c>
      <c r="TH2" s="106">
        <v>0.46812815939529473</v>
      </c>
      <c r="TI2" s="106">
        <v>0.46812815939529473</v>
      </c>
      <c r="TJ2" s="106">
        <v>0.46812815939529473</v>
      </c>
      <c r="TK2" s="106">
        <v>0.46812815939529473</v>
      </c>
      <c r="TL2" s="106">
        <v>0.46812815939529473</v>
      </c>
      <c r="TM2" s="106">
        <v>0.46812815939529473</v>
      </c>
      <c r="TN2" s="106">
        <v>0.46812815939529473</v>
      </c>
      <c r="TO2" s="106">
        <v>0.46812815939529473</v>
      </c>
      <c r="TP2" s="106">
        <v>0.46812815939529473</v>
      </c>
      <c r="TQ2" s="106">
        <v>0.46812815939529473</v>
      </c>
      <c r="TR2" s="106">
        <v>0.46812815939529473</v>
      </c>
      <c r="TS2" s="106">
        <v>0.46812815939529473</v>
      </c>
      <c r="TT2" s="106">
        <v>0.46812815939529473</v>
      </c>
      <c r="TU2" s="106">
        <v>0.46812815939529473</v>
      </c>
      <c r="TV2" s="106">
        <v>0.46812815939529473</v>
      </c>
      <c r="TW2" s="106">
        <v>0.46812815939529473</v>
      </c>
      <c r="TX2" s="106">
        <v>0.46812815939529473</v>
      </c>
      <c r="TY2" s="106">
        <v>0.46812815939529473</v>
      </c>
      <c r="TZ2" s="106">
        <v>0.46812815939529473</v>
      </c>
      <c r="UA2" s="106">
        <v>0.46812815939529473</v>
      </c>
      <c r="UB2" s="106">
        <v>0.46812815939529473</v>
      </c>
      <c r="UC2" s="106">
        <v>0.46812815939529473</v>
      </c>
      <c r="UD2" s="106">
        <v>0.46812815939529473</v>
      </c>
      <c r="UE2" s="106">
        <v>0.46812815939529473</v>
      </c>
      <c r="UF2" s="106">
        <f>SUMPRODUCT(D$1:UE$1,D2:UE2)</f>
        <v>141.84283229677362</v>
      </c>
      <c r="UG2" s="106"/>
      <c r="UH2" s="106"/>
    </row>
    <row r="3" spans="1:554" x14ac:dyDescent="0.25">
      <c r="A3" s="62" t="s">
        <v>208</v>
      </c>
      <c r="C3" s="8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6"/>
      <c r="X3" s="106"/>
      <c r="Y3" s="106"/>
      <c r="Z3" s="106"/>
      <c r="AA3" s="106"/>
      <c r="AB3" s="106"/>
      <c r="AC3" s="106"/>
      <c r="AD3" s="106"/>
      <c r="AE3" s="106"/>
      <c r="AF3" s="106"/>
      <c r="AG3" s="106"/>
      <c r="AH3" s="106"/>
      <c r="AI3" s="106"/>
      <c r="AJ3" s="106"/>
      <c r="AK3" s="106"/>
      <c r="AL3" s="106"/>
      <c r="AM3" s="106"/>
      <c r="AN3" s="106"/>
      <c r="AO3" s="106"/>
      <c r="AP3" s="106"/>
      <c r="AQ3" s="106"/>
      <c r="AR3" s="106"/>
      <c r="AS3" s="106"/>
      <c r="AT3" s="106"/>
      <c r="AU3" s="106"/>
      <c r="AV3" s="106"/>
      <c r="AW3" s="106"/>
      <c r="AX3" s="106"/>
      <c r="AY3" s="106"/>
      <c r="AZ3" s="106"/>
      <c r="BA3" s="106"/>
      <c r="BB3" s="106"/>
      <c r="BC3" s="106"/>
      <c r="BD3" s="106"/>
      <c r="BE3" s="106"/>
      <c r="BF3" s="106"/>
      <c r="BG3" s="106"/>
      <c r="BH3" s="106"/>
      <c r="BI3" s="106"/>
      <c r="BJ3" s="106"/>
      <c r="BK3" s="106"/>
      <c r="BL3" s="106"/>
      <c r="BM3" s="106"/>
      <c r="BN3" s="106"/>
      <c r="BO3" s="106"/>
      <c r="BP3" s="106"/>
      <c r="BQ3" s="106"/>
      <c r="BR3" s="106"/>
      <c r="BS3" s="106"/>
      <c r="BT3" s="106"/>
      <c r="BU3" s="106"/>
      <c r="BV3" s="106"/>
      <c r="BW3" s="106"/>
      <c r="BX3" s="106"/>
      <c r="BY3" s="106"/>
      <c r="BZ3" s="106"/>
      <c r="CA3" s="106"/>
      <c r="CB3" s="106"/>
      <c r="CC3" s="106"/>
      <c r="CD3" s="106"/>
      <c r="CE3" s="106"/>
      <c r="CF3" s="106"/>
      <c r="CG3" s="106"/>
      <c r="CH3" s="106"/>
      <c r="CI3" s="106"/>
      <c r="CJ3" s="106"/>
      <c r="CK3" s="106"/>
      <c r="CL3" s="106"/>
      <c r="CM3" s="106"/>
      <c r="CN3" s="106"/>
      <c r="CO3" s="106"/>
      <c r="CP3" s="106"/>
      <c r="CQ3" s="106"/>
      <c r="CR3" s="106"/>
      <c r="CS3" s="106"/>
      <c r="CT3" s="106"/>
      <c r="CU3" s="106"/>
      <c r="CV3" s="106"/>
      <c r="CW3" s="106"/>
      <c r="CX3" s="106"/>
      <c r="CY3" s="106"/>
      <c r="CZ3" s="106"/>
      <c r="DA3" s="106"/>
      <c r="DB3" s="106"/>
      <c r="DC3" s="106"/>
      <c r="DD3" s="106"/>
      <c r="DE3" s="106"/>
      <c r="DF3" s="106"/>
      <c r="DG3" s="106"/>
      <c r="DH3" s="106"/>
      <c r="DI3" s="106"/>
      <c r="DJ3" s="106"/>
      <c r="DK3" s="106"/>
      <c r="DL3" s="106"/>
      <c r="DM3" s="106"/>
      <c r="DN3" s="106"/>
      <c r="DO3" s="106"/>
      <c r="DP3" s="106"/>
      <c r="DQ3" s="106"/>
      <c r="DR3" s="106"/>
      <c r="DS3" s="106"/>
      <c r="DT3" s="106"/>
      <c r="DU3" s="106"/>
      <c r="DV3" s="106"/>
      <c r="DW3" s="106"/>
      <c r="DX3" s="106"/>
      <c r="DY3" s="106"/>
      <c r="DZ3" s="106"/>
      <c r="EA3" s="106"/>
      <c r="EB3" s="106"/>
      <c r="EC3" s="106"/>
      <c r="ED3" s="106"/>
      <c r="EE3" s="106"/>
      <c r="EF3" s="106"/>
      <c r="EG3" s="106"/>
      <c r="EH3" s="106"/>
      <c r="EI3" s="106"/>
      <c r="EJ3" s="106"/>
      <c r="EK3" s="106"/>
      <c r="EL3" s="106"/>
      <c r="EM3" s="106"/>
      <c r="EN3" s="106"/>
      <c r="EO3" s="106"/>
      <c r="EP3" s="106"/>
      <c r="EQ3" s="106"/>
      <c r="ER3" s="106"/>
      <c r="ES3" s="106"/>
      <c r="ET3" s="106"/>
      <c r="EU3" s="106"/>
      <c r="EV3" s="106"/>
      <c r="EW3" s="106"/>
      <c r="EX3" s="106"/>
      <c r="EY3" s="106"/>
      <c r="EZ3" s="106"/>
      <c r="FA3" s="106"/>
      <c r="FB3" s="106"/>
      <c r="FC3" s="106"/>
      <c r="FD3" s="106"/>
      <c r="FE3" s="106"/>
      <c r="FF3" s="106"/>
      <c r="FG3" s="106"/>
      <c r="FH3" s="106"/>
      <c r="FI3" s="106"/>
      <c r="FJ3" s="106"/>
      <c r="FK3" s="106"/>
      <c r="FL3" s="106"/>
      <c r="FM3" s="106"/>
      <c r="FN3" s="106"/>
      <c r="FO3" s="106"/>
      <c r="FP3" s="106"/>
      <c r="FQ3" s="106"/>
      <c r="FR3" s="106"/>
      <c r="FS3" s="106"/>
      <c r="FT3" s="106"/>
      <c r="FU3" s="106"/>
      <c r="FV3" s="106"/>
      <c r="FW3" s="106"/>
      <c r="FX3" s="106"/>
      <c r="FY3" s="106"/>
      <c r="FZ3" s="106"/>
      <c r="GA3" s="106"/>
      <c r="GB3" s="106"/>
      <c r="GC3" s="106"/>
      <c r="GD3" s="106"/>
      <c r="GE3" s="106"/>
      <c r="GF3" s="106"/>
      <c r="GG3" s="106"/>
      <c r="GH3" s="106"/>
      <c r="GI3" s="106"/>
      <c r="GJ3" s="106"/>
      <c r="GK3" s="106"/>
      <c r="GL3" s="106"/>
      <c r="GM3" s="106"/>
      <c r="GN3" s="106"/>
      <c r="GO3" s="106"/>
      <c r="GP3" s="106"/>
      <c r="GQ3" s="106"/>
      <c r="GR3" s="106"/>
      <c r="GS3" s="106"/>
      <c r="GT3" s="106"/>
      <c r="GU3" s="106"/>
      <c r="GV3" s="106"/>
      <c r="GW3" s="106"/>
      <c r="GX3" s="106"/>
      <c r="GY3" s="106"/>
      <c r="GZ3" s="106"/>
      <c r="HA3" s="106"/>
      <c r="HB3" s="106"/>
      <c r="HC3" s="106"/>
      <c r="HD3" s="106"/>
      <c r="HE3" s="106"/>
      <c r="HF3" s="106"/>
      <c r="HG3" s="106"/>
      <c r="HH3" s="106"/>
      <c r="HI3" s="106"/>
      <c r="HJ3" s="106"/>
      <c r="HK3" s="106"/>
      <c r="HL3" s="106"/>
      <c r="HM3" s="106"/>
      <c r="HN3" s="106"/>
      <c r="HO3" s="106"/>
      <c r="HP3" s="106"/>
      <c r="HQ3" s="106"/>
      <c r="HR3" s="106"/>
      <c r="HS3" s="106"/>
      <c r="HT3" s="106"/>
      <c r="HU3" s="106"/>
      <c r="HV3" s="106"/>
      <c r="HW3" s="106"/>
      <c r="HX3" s="106"/>
      <c r="HY3" s="106"/>
      <c r="HZ3" s="106"/>
      <c r="IA3" s="106"/>
      <c r="IB3" s="106"/>
      <c r="IC3" s="106"/>
      <c r="ID3" s="106"/>
      <c r="IE3" s="106"/>
      <c r="IF3" s="106"/>
      <c r="IG3" s="106"/>
      <c r="IH3" s="106"/>
      <c r="II3" s="106"/>
      <c r="IJ3" s="106"/>
      <c r="IK3" s="106"/>
      <c r="IL3" s="106"/>
      <c r="IM3" s="106"/>
      <c r="IN3" s="106"/>
      <c r="IO3" s="106"/>
      <c r="IP3" s="106"/>
      <c r="IQ3" s="106"/>
      <c r="IR3" s="106"/>
      <c r="IS3" s="106"/>
      <c r="IT3" s="106"/>
      <c r="IU3" s="106"/>
      <c r="IV3" s="106"/>
      <c r="IW3" s="106"/>
      <c r="IX3" s="106"/>
      <c r="IY3" s="106"/>
      <c r="IZ3" s="106"/>
      <c r="JA3" s="106"/>
      <c r="JB3" s="106"/>
      <c r="JC3" s="106"/>
      <c r="JD3" s="106"/>
      <c r="JE3" s="106"/>
      <c r="JF3" s="106"/>
      <c r="JG3" s="106"/>
      <c r="JH3" s="106"/>
      <c r="JI3" s="106"/>
      <c r="JJ3" s="106"/>
      <c r="JK3" s="106"/>
      <c r="JL3" s="106"/>
      <c r="JM3" s="106"/>
      <c r="JN3" s="106"/>
      <c r="JO3" s="106"/>
      <c r="JP3" s="106"/>
      <c r="JQ3" s="106"/>
      <c r="JR3" s="106"/>
      <c r="JS3" s="106"/>
      <c r="JT3" s="106"/>
      <c r="JU3" s="106"/>
      <c r="JV3" s="106"/>
      <c r="JW3" s="106"/>
      <c r="JX3" s="106"/>
      <c r="JY3" s="106"/>
      <c r="JZ3" s="106"/>
      <c r="KA3" s="106"/>
      <c r="KB3" s="106"/>
      <c r="KC3" s="106"/>
      <c r="KD3" s="106"/>
      <c r="KE3" s="106"/>
      <c r="KF3" s="106"/>
      <c r="KG3" s="106"/>
      <c r="KH3" s="106"/>
      <c r="KI3" s="106"/>
      <c r="KJ3" s="106"/>
      <c r="KK3" s="106"/>
      <c r="KL3" s="106"/>
      <c r="KM3" s="106"/>
      <c r="KN3" s="106"/>
      <c r="KO3" s="106"/>
      <c r="KP3" s="106"/>
      <c r="KQ3" s="106"/>
      <c r="KR3" s="106"/>
      <c r="KS3" s="106"/>
      <c r="KT3" s="106"/>
      <c r="KU3" s="106"/>
      <c r="KV3" s="106"/>
      <c r="KW3" s="106"/>
      <c r="KX3" s="106"/>
      <c r="KY3" s="106"/>
      <c r="KZ3" s="106"/>
      <c r="LA3" s="106"/>
      <c r="LB3" s="106"/>
      <c r="LC3" s="106"/>
      <c r="LD3" s="106"/>
      <c r="LE3" s="106"/>
      <c r="LF3" s="106"/>
      <c r="LG3" s="106"/>
      <c r="LH3" s="106"/>
      <c r="LI3" s="106"/>
      <c r="LJ3" s="106"/>
      <c r="LK3" s="106"/>
      <c r="LL3" s="106"/>
      <c r="LM3" s="106"/>
      <c r="LN3" s="106"/>
      <c r="LO3" s="106"/>
      <c r="LP3" s="106"/>
      <c r="LQ3" s="106"/>
      <c r="LR3" s="106"/>
      <c r="LS3" s="106"/>
      <c r="LT3" s="106"/>
      <c r="LU3" s="106"/>
      <c r="LV3" s="106"/>
      <c r="LW3" s="106"/>
      <c r="LX3" s="106"/>
      <c r="LY3" s="106"/>
      <c r="LZ3" s="106"/>
      <c r="MA3" s="106"/>
      <c r="MB3" s="106"/>
      <c r="MC3" s="106"/>
      <c r="MD3" s="106"/>
      <c r="ME3" s="106"/>
      <c r="MF3" s="106"/>
      <c r="MG3" s="106"/>
      <c r="MH3" s="106"/>
      <c r="MI3" s="106"/>
      <c r="MJ3" s="106"/>
      <c r="MK3" s="106"/>
      <c r="ML3" s="106"/>
      <c r="MM3" s="106"/>
      <c r="MN3" s="106"/>
      <c r="MO3" s="106"/>
      <c r="MP3" s="106"/>
      <c r="MQ3" s="106"/>
      <c r="MR3" s="106"/>
      <c r="MS3" s="106"/>
      <c r="MT3" s="106"/>
      <c r="MU3" s="106"/>
      <c r="MV3" s="106"/>
      <c r="MW3" s="106"/>
      <c r="MX3" s="106"/>
      <c r="MY3" s="106"/>
      <c r="MZ3" s="106"/>
      <c r="NA3" s="106"/>
      <c r="NB3" s="106"/>
      <c r="NC3" s="106"/>
      <c r="ND3" s="106"/>
      <c r="NE3" s="106"/>
      <c r="NF3" s="106"/>
      <c r="NG3" s="106"/>
      <c r="NH3" s="106"/>
      <c r="NI3" s="106"/>
      <c r="NJ3" s="106"/>
      <c r="NK3" s="106"/>
      <c r="NL3" s="106"/>
      <c r="NM3" s="106"/>
      <c r="NN3" s="106"/>
      <c r="NO3" s="106"/>
      <c r="NP3" s="106"/>
      <c r="NQ3" s="106"/>
      <c r="NR3" s="106"/>
      <c r="NS3" s="106"/>
      <c r="NT3" s="106"/>
      <c r="NU3" s="106"/>
      <c r="NV3" s="106"/>
      <c r="NW3" s="106"/>
      <c r="NX3" s="106"/>
      <c r="NY3" s="106"/>
      <c r="NZ3" s="106"/>
      <c r="OA3" s="106"/>
      <c r="OB3" s="106"/>
      <c r="OC3" s="106"/>
      <c r="OD3" s="106"/>
      <c r="OE3" s="106"/>
      <c r="OF3" s="106"/>
      <c r="OG3" s="106"/>
      <c r="OH3" s="106"/>
      <c r="OI3" s="106"/>
      <c r="OJ3" s="106"/>
      <c r="OK3" s="106"/>
      <c r="OL3" s="106"/>
      <c r="OM3" s="106"/>
      <c r="ON3" s="106"/>
      <c r="OO3" s="106"/>
      <c r="OP3" s="106"/>
      <c r="OQ3" s="106"/>
      <c r="OR3" s="106"/>
      <c r="OS3" s="106"/>
      <c r="OT3" s="106"/>
      <c r="OU3" s="106"/>
      <c r="OV3" s="106"/>
      <c r="OW3" s="106"/>
      <c r="OX3" s="106"/>
      <c r="OY3" s="106"/>
      <c r="OZ3" s="106"/>
      <c r="PA3" s="106"/>
      <c r="PB3" s="106"/>
      <c r="PC3" s="106"/>
      <c r="PD3" s="106"/>
      <c r="PE3" s="106"/>
      <c r="PF3" s="106"/>
      <c r="PG3" s="106"/>
      <c r="PH3" s="106"/>
      <c r="PI3" s="106"/>
      <c r="PJ3" s="106"/>
      <c r="PK3" s="106"/>
      <c r="PL3" s="106"/>
      <c r="PM3" s="106"/>
      <c r="PN3" s="106"/>
      <c r="PO3" s="106"/>
      <c r="PP3" s="106"/>
      <c r="PQ3" s="106"/>
      <c r="PR3" s="106"/>
      <c r="PS3" s="106"/>
      <c r="PT3" s="106"/>
      <c r="PU3" s="106"/>
      <c r="PV3" s="106"/>
      <c r="PW3" s="106"/>
      <c r="PX3" s="106"/>
      <c r="PY3" s="106"/>
      <c r="PZ3" s="106"/>
      <c r="QA3" s="106"/>
      <c r="QB3" s="106"/>
      <c r="QC3" s="106"/>
      <c r="QD3" s="106"/>
      <c r="QE3" s="106"/>
      <c r="QF3" s="106"/>
      <c r="QG3" s="106"/>
      <c r="QH3" s="106"/>
      <c r="QI3" s="106"/>
      <c r="QJ3" s="106"/>
      <c r="QK3" s="106"/>
      <c r="QL3" s="106"/>
      <c r="QM3" s="106"/>
      <c r="QN3" s="106"/>
      <c r="QO3" s="106"/>
      <c r="QP3" s="106"/>
      <c r="QQ3" s="106"/>
      <c r="QR3" s="106"/>
      <c r="QS3" s="106"/>
      <c r="QT3" s="106"/>
      <c r="QU3" s="106"/>
      <c r="QV3" s="106"/>
      <c r="QW3" s="106"/>
      <c r="QX3" s="106"/>
      <c r="QY3" s="106"/>
      <c r="QZ3" s="106"/>
      <c r="RA3" s="106"/>
      <c r="RB3" s="106"/>
      <c r="RC3" s="106"/>
      <c r="RD3" s="106"/>
      <c r="RE3" s="106"/>
      <c r="RF3" s="106"/>
      <c r="RG3" s="106"/>
      <c r="RH3" s="106"/>
      <c r="RI3" s="106"/>
      <c r="RJ3" s="106"/>
      <c r="RK3" s="106"/>
      <c r="RL3" s="106"/>
      <c r="RM3" s="106"/>
      <c r="RN3" s="106"/>
      <c r="RO3" s="106"/>
      <c r="RP3" s="106"/>
      <c r="RQ3" s="106"/>
      <c r="RR3" s="106"/>
      <c r="RS3" s="106"/>
      <c r="RT3" s="106"/>
      <c r="RU3" s="106"/>
      <c r="RV3" s="106"/>
      <c r="RW3" s="106"/>
      <c r="RX3" s="106"/>
      <c r="RY3" s="106"/>
      <c r="RZ3" s="106"/>
      <c r="SA3" s="106"/>
      <c r="SB3" s="106"/>
      <c r="SC3" s="106"/>
      <c r="SD3" s="106"/>
      <c r="SE3" s="106"/>
      <c r="SF3" s="106"/>
      <c r="SG3" s="106"/>
      <c r="SH3" s="106"/>
      <c r="SI3" s="106"/>
      <c r="SJ3" s="106"/>
      <c r="SK3" s="106"/>
      <c r="SL3" s="106"/>
      <c r="SM3" s="106"/>
      <c r="SN3" s="106"/>
      <c r="SO3" s="106"/>
      <c r="SP3" s="106"/>
      <c r="SQ3" s="106"/>
      <c r="SR3" s="106"/>
      <c r="SS3" s="106"/>
      <c r="ST3" s="106"/>
      <c r="SU3" s="106"/>
      <c r="SV3" s="106"/>
      <c r="SW3" s="106"/>
      <c r="SX3" s="106"/>
      <c r="SY3" s="106"/>
      <c r="SZ3" s="106"/>
      <c r="TA3" s="106"/>
      <c r="TB3" s="106"/>
      <c r="TC3" s="106"/>
      <c r="TD3" s="106"/>
      <c r="TE3" s="106"/>
      <c r="TF3" s="106"/>
      <c r="TG3" s="106"/>
      <c r="TH3" s="106"/>
      <c r="TI3" s="106"/>
      <c r="TJ3" s="106"/>
      <c r="TK3" s="106"/>
      <c r="TL3" s="106"/>
      <c r="TM3" s="106"/>
      <c r="TN3" s="106"/>
      <c r="TO3" s="106"/>
      <c r="TP3" s="106"/>
      <c r="TQ3" s="106"/>
      <c r="TR3" s="106"/>
      <c r="TS3" s="106"/>
      <c r="TT3" s="106"/>
      <c r="TU3" s="106"/>
      <c r="TV3" s="106"/>
      <c r="TW3" s="106"/>
      <c r="TX3" s="106"/>
      <c r="TY3" s="106"/>
      <c r="TZ3" s="106"/>
      <c r="UA3" s="106"/>
      <c r="UB3" s="106"/>
      <c r="UC3" s="106"/>
      <c r="UD3" s="106"/>
      <c r="UE3" s="106"/>
      <c r="UF3" s="106"/>
      <c r="UG3" s="106"/>
      <c r="UH3" s="106"/>
    </row>
    <row r="4" spans="1:554" ht="15.75" thickBot="1" x14ac:dyDescent="0.3">
      <c r="A4" s="63" t="s">
        <v>206</v>
      </c>
      <c r="C4" s="86" t="s">
        <v>409</v>
      </c>
      <c r="D4" s="106">
        <v>0.36268763461100084</v>
      </c>
      <c r="E4" s="106">
        <v>0.5864624006611896</v>
      </c>
      <c r="F4" s="106">
        <v>0.35079565270094237</v>
      </c>
      <c r="G4" s="106">
        <v>0.87305122079894504</v>
      </c>
      <c r="H4" s="106">
        <v>0.76069959910936036</v>
      </c>
      <c r="I4" s="106">
        <v>0.63007419749249971</v>
      </c>
      <c r="J4" s="106">
        <v>2.4915221950138067E-3</v>
      </c>
      <c r="K4" s="106">
        <v>0.45020956492027242</v>
      </c>
      <c r="L4" s="106">
        <v>0.72501378135993189</v>
      </c>
      <c r="M4" s="106">
        <v>0.98003797684554461</v>
      </c>
      <c r="N4" s="106">
        <v>0.19930464465505904</v>
      </c>
      <c r="O4" s="106">
        <v>0.32036654339432447</v>
      </c>
      <c r="P4" s="106">
        <v>0.29711511593305961</v>
      </c>
      <c r="Q4" s="106">
        <v>0.24254675473367204</v>
      </c>
      <c r="R4" s="106">
        <v>0.76027119027181633</v>
      </c>
      <c r="S4" s="106">
        <v>0.3217769666091016</v>
      </c>
      <c r="T4" s="106">
        <v>0.37466884992844451</v>
      </c>
      <c r="U4" s="106">
        <v>0.23152782758938284</v>
      </c>
      <c r="V4" s="106">
        <v>0.97599170443113537</v>
      </c>
      <c r="W4" s="106">
        <v>0.98839822607902195</v>
      </c>
      <c r="X4" s="106">
        <v>0.40077934749017008</v>
      </c>
      <c r="Y4" s="106">
        <v>0.79533953380419686</v>
      </c>
      <c r="Z4" s="106">
        <v>0.98653205054300219</v>
      </c>
      <c r="AA4" s="106">
        <v>0.71899377238330542</v>
      </c>
      <c r="AB4" s="106">
        <v>0.55658563064192768</v>
      </c>
      <c r="AC4" s="106">
        <v>0.3652549392279717</v>
      </c>
      <c r="AD4" s="106">
        <v>0.64432114862407208</v>
      </c>
      <c r="AE4" s="106">
        <v>0.34915718775687909</v>
      </c>
      <c r="AF4" s="106">
        <v>0.83936942932910386</v>
      </c>
      <c r="AG4" s="106">
        <v>0.39494132858052822</v>
      </c>
      <c r="AH4" s="106">
        <v>0.70473106393831708</v>
      </c>
      <c r="AI4" s="106">
        <v>0.57760306759864377</v>
      </c>
      <c r="AJ4" s="106">
        <v>0.21757013886508547</v>
      </c>
      <c r="AK4" s="106">
        <v>0.63587746946014745</v>
      </c>
      <c r="AL4" s="106">
        <v>0.62210416904742172</v>
      </c>
      <c r="AM4" s="106">
        <v>0.38669066318503442</v>
      </c>
      <c r="AN4" s="106">
        <v>0.23732938023808614</v>
      </c>
      <c r="AO4" s="106">
        <v>5.1511017395952985E-2</v>
      </c>
      <c r="AP4" s="106">
        <v>0.82264434561301647</v>
      </c>
      <c r="AQ4" s="106">
        <v>0.37076777067504263</v>
      </c>
      <c r="AR4" s="106">
        <v>0.5170288961305225</v>
      </c>
      <c r="AS4" s="106">
        <v>0.28857525016765018</v>
      </c>
      <c r="AT4" s="106">
        <v>0.82941632687176658</v>
      </c>
      <c r="AU4" s="106">
        <v>0.71167776891316326</v>
      </c>
      <c r="AV4" s="106">
        <v>0.84068623902535911</v>
      </c>
      <c r="AW4" s="106">
        <v>0.26620450457901723</v>
      </c>
      <c r="AX4" s="106">
        <v>6.1577416896073878E-2</v>
      </c>
      <c r="AY4" s="106">
        <v>0.53114537509400006</v>
      </c>
      <c r="AZ4" s="106">
        <v>0.88730025687185676</v>
      </c>
      <c r="BA4" s="106">
        <v>0.67389841137003392</v>
      </c>
      <c r="BB4" s="106">
        <v>6.5878701364750269E-2</v>
      </c>
      <c r="BC4" s="106">
        <v>0.47454051709084721</v>
      </c>
      <c r="BD4" s="106">
        <v>0.8465979649098303</v>
      </c>
      <c r="BE4" s="106">
        <v>0.37403950518833584</v>
      </c>
      <c r="BF4" s="106">
        <v>0.6036775856305967</v>
      </c>
      <c r="BG4" s="106">
        <v>0.706723082791333</v>
      </c>
      <c r="BH4" s="106">
        <v>1.5970472463822105E-3</v>
      </c>
      <c r="BI4" s="106">
        <v>0.47325570531237249</v>
      </c>
      <c r="BJ4" s="106">
        <v>0.75579773684108176</v>
      </c>
      <c r="BK4" s="106">
        <v>0.63521670986262291</v>
      </c>
      <c r="BL4" s="106">
        <v>0.70517695260356728</v>
      </c>
      <c r="BM4" s="106">
        <v>0.28311315409917293</v>
      </c>
      <c r="BN4" s="106">
        <v>0.97336384560277256</v>
      </c>
      <c r="BO4" s="106">
        <v>0.65970427274109944</v>
      </c>
      <c r="BP4" s="106">
        <v>0.98416053319178443</v>
      </c>
      <c r="BQ4" s="106">
        <v>0.67549215118050399</v>
      </c>
      <c r="BR4" s="106">
        <v>0.96243620340249891</v>
      </c>
      <c r="BS4" s="106">
        <v>0.86646399233184457</v>
      </c>
      <c r="BT4" s="106">
        <v>0.67231567712728746</v>
      </c>
      <c r="BU4" s="106">
        <v>0.47264341439624813</v>
      </c>
      <c r="BV4" s="106">
        <v>0.95854703839362887</v>
      </c>
      <c r="BW4" s="106">
        <v>0.64181358064613458</v>
      </c>
      <c r="BX4" s="106">
        <v>0.31090511011516453</v>
      </c>
      <c r="BY4" s="106">
        <v>0.96305629283392136</v>
      </c>
      <c r="BZ4" s="106">
        <v>0.92362137993428295</v>
      </c>
      <c r="CA4" s="106">
        <v>0.98874858448077207</v>
      </c>
      <c r="CB4" s="106">
        <v>0.60998699493781106</v>
      </c>
      <c r="CC4" s="106">
        <v>0.16399287937382789</v>
      </c>
      <c r="CD4" s="106">
        <v>0.71104491196860942</v>
      </c>
      <c r="CE4" s="106">
        <v>0.97082108886584439</v>
      </c>
      <c r="CF4" s="106">
        <v>0.7005577566049509</v>
      </c>
      <c r="CG4" s="106">
        <v>0.63525274080153926</v>
      </c>
      <c r="CH4" s="106">
        <v>0.6310067933037764</v>
      </c>
      <c r="CI4" s="106">
        <v>0.61688402283329113</v>
      </c>
      <c r="CJ4" s="106">
        <v>0.47776405660674059</v>
      </c>
      <c r="CK4" s="106">
        <v>0.34192029533473367</v>
      </c>
      <c r="CL4" s="106">
        <v>0.48927855160532585</v>
      </c>
      <c r="CM4" s="106">
        <v>0.96492363598510411</v>
      </c>
      <c r="CN4" s="106">
        <v>0.32826709577994273</v>
      </c>
      <c r="CO4" s="106">
        <v>0.6844849163729736</v>
      </c>
      <c r="CP4" s="106">
        <v>0.683619530646984</v>
      </c>
      <c r="CQ4" s="106">
        <v>0.59880076510801683</v>
      </c>
      <c r="CR4" s="106">
        <v>0.27374946138858403</v>
      </c>
      <c r="CS4" s="106">
        <v>0.33968701170270088</v>
      </c>
      <c r="CT4" s="106">
        <v>0.90215297621836821</v>
      </c>
      <c r="CU4" s="106">
        <v>0.89550891581584013</v>
      </c>
      <c r="CV4" s="106">
        <v>0.11075244037448118</v>
      </c>
      <c r="CW4" s="106">
        <v>0.21452827072184399</v>
      </c>
      <c r="CX4" s="106">
        <v>0.78178194048810312</v>
      </c>
      <c r="CY4" s="106">
        <v>0.41665072572140194</v>
      </c>
      <c r="CZ4" s="106">
        <v>0.38170521378575195</v>
      </c>
      <c r="DA4" s="106">
        <v>0.8726129689375236</v>
      </c>
      <c r="DB4" s="106">
        <v>0.84565780618202357</v>
      </c>
      <c r="DC4" s="106">
        <v>2.5120023577870576E-2</v>
      </c>
      <c r="DD4" s="106">
        <v>0.2905001412536472</v>
      </c>
      <c r="DE4" s="106">
        <v>0.20382158457848698</v>
      </c>
      <c r="DF4" s="106">
        <v>0.95323684897368011</v>
      </c>
      <c r="DG4" s="106">
        <v>0.12414231147667532</v>
      </c>
      <c r="DH4" s="106">
        <v>0.60965946540652827</v>
      </c>
      <c r="DI4" s="106">
        <v>0.67519335675807335</v>
      </c>
      <c r="DJ4" s="106">
        <v>0.75789636901194768</v>
      </c>
      <c r="DK4" s="106">
        <v>0.8739473642511526</v>
      </c>
      <c r="DL4" s="106">
        <v>0.34764338119576899</v>
      </c>
      <c r="DM4" s="106">
        <v>0.84295860253103116</v>
      </c>
      <c r="DN4" s="106">
        <v>0.63644776377083456</v>
      </c>
      <c r="DO4" s="106">
        <v>0.30853173652320387</v>
      </c>
      <c r="DP4" s="106">
        <v>0.93284862676345537</v>
      </c>
      <c r="DQ4" s="106">
        <v>0.22759779612124409</v>
      </c>
      <c r="DR4" s="106">
        <v>2.8232047694137785E-3</v>
      </c>
      <c r="DS4" s="106">
        <v>0.85227700391458672</v>
      </c>
      <c r="DT4" s="106">
        <v>0.64128725787818597</v>
      </c>
      <c r="DU4" s="106">
        <v>0.67744607976077809</v>
      </c>
      <c r="DV4" s="106">
        <v>0.48013498813040922</v>
      </c>
      <c r="DW4" s="106">
        <v>0.73659757940632287</v>
      </c>
      <c r="DX4" s="106">
        <v>0.1492290911074301</v>
      </c>
      <c r="DY4" s="106">
        <v>0.8828469655789879</v>
      </c>
      <c r="DZ4" s="106">
        <v>0.68333864397225375</v>
      </c>
      <c r="EA4" s="106">
        <v>0.5842179169713122</v>
      </c>
      <c r="EB4" s="106">
        <v>3.0738526801639687E-2</v>
      </c>
      <c r="EC4" s="106">
        <v>0.21874667916266211</v>
      </c>
      <c r="ED4" s="106">
        <v>0.77319079164984539</v>
      </c>
      <c r="EE4" s="106">
        <v>0.49788429872323503</v>
      </c>
      <c r="EF4" s="106">
        <v>8.415597596669433E-2</v>
      </c>
      <c r="EG4" s="106">
        <v>0.93391996400559096</v>
      </c>
      <c r="EH4" s="106">
        <v>0.75052163846398678</v>
      </c>
      <c r="EI4" s="106">
        <v>0.3568950508710772</v>
      </c>
      <c r="EJ4" s="106">
        <v>0.25704151534683706</v>
      </c>
      <c r="EK4" s="106">
        <v>0.20519525291800855</v>
      </c>
      <c r="EL4" s="106">
        <v>0.87933392816255052</v>
      </c>
      <c r="EM4" s="106">
        <v>0.37037086793536067</v>
      </c>
      <c r="EN4" s="106">
        <v>6.5448340424291263E-2</v>
      </c>
      <c r="EO4" s="106">
        <v>0.85708792796978139</v>
      </c>
      <c r="EP4" s="106">
        <v>0.236226855013564</v>
      </c>
      <c r="EQ4" s="106">
        <v>0.62874355580411356</v>
      </c>
      <c r="ER4" s="106">
        <v>0.98623632110840687</v>
      </c>
      <c r="ES4" s="106">
        <v>8.3472899883023977E-2</v>
      </c>
      <c r="ET4" s="106">
        <v>0.82196032021821785</v>
      </c>
      <c r="EU4" s="106">
        <v>0.84555402955466696</v>
      </c>
      <c r="EV4" s="106">
        <v>0.86316817808413715</v>
      </c>
      <c r="EW4" s="106">
        <v>0.34070414419304562</v>
      </c>
      <c r="EX4" s="106">
        <v>0.42286456465969002</v>
      </c>
      <c r="EY4" s="106">
        <v>0.67893741950540321</v>
      </c>
      <c r="EZ4" s="106">
        <v>0.31384678433646285</v>
      </c>
      <c r="FA4" s="106">
        <v>0.5363398358379019</v>
      </c>
      <c r="FB4" s="106">
        <v>0.33833946444474139</v>
      </c>
      <c r="FC4" s="106">
        <v>0.68063105361534226</v>
      </c>
      <c r="FD4" s="106">
        <v>0.44251482036525513</v>
      </c>
      <c r="FE4" s="106">
        <v>0.53774143634911142</v>
      </c>
      <c r="FF4" s="106">
        <v>0.47340575182323874</v>
      </c>
      <c r="FG4" s="106">
        <v>0.41559212239275967</v>
      </c>
      <c r="FH4" s="106">
        <v>0.6303512769744658</v>
      </c>
      <c r="FI4" s="106">
        <v>0.21373589849938834</v>
      </c>
      <c r="FJ4" s="106">
        <v>0.43127874142167832</v>
      </c>
      <c r="FK4" s="106">
        <v>0.39198788249886507</v>
      </c>
      <c r="FL4" s="106">
        <v>0.77678248251531379</v>
      </c>
      <c r="FM4" s="106">
        <v>0.73335113572055699</v>
      </c>
      <c r="FN4" s="106">
        <v>0.42253882859003544</v>
      </c>
      <c r="FO4" s="106">
        <v>0.21169752392622809</v>
      </c>
      <c r="FP4" s="106">
        <v>0.56450069301580708</v>
      </c>
      <c r="FQ4" s="106">
        <v>0.20647144159407571</v>
      </c>
      <c r="FR4" s="106">
        <v>0.64723495124792274</v>
      </c>
      <c r="FS4" s="106">
        <v>0.49976006901347347</v>
      </c>
      <c r="FT4" s="106">
        <v>0.64820919432742885</v>
      </c>
      <c r="FU4" s="106">
        <v>2.2462557085990542E-2</v>
      </c>
      <c r="FV4" s="106">
        <v>0.65839477889083686</v>
      </c>
      <c r="FW4" s="106">
        <v>0.27471230995100504</v>
      </c>
      <c r="FX4" s="106">
        <v>0.91424009430984976</v>
      </c>
      <c r="FY4" s="106">
        <v>0.57108548645121304</v>
      </c>
      <c r="FZ4" s="106">
        <v>0.55450631951048612</v>
      </c>
      <c r="GA4" s="106">
        <v>0.87540853858081857</v>
      </c>
      <c r="GB4" s="106">
        <v>0.115847015933077</v>
      </c>
      <c r="GC4" s="106">
        <v>0.88765337226858265</v>
      </c>
      <c r="GD4" s="106">
        <v>0.21134492283456596</v>
      </c>
      <c r="GE4" s="106">
        <v>1.4561763384998927E-2</v>
      </c>
      <c r="GF4" s="106">
        <v>8.8306803137093492E-2</v>
      </c>
      <c r="GG4" s="106">
        <v>0.24654078317988226</v>
      </c>
      <c r="GH4" s="106">
        <v>0.40989888257611273</v>
      </c>
      <c r="GI4" s="106">
        <v>0.877723542121157</v>
      </c>
      <c r="GJ4" s="106">
        <v>0.95257862647206448</v>
      </c>
      <c r="GK4" s="106">
        <v>0.52324566439605891</v>
      </c>
      <c r="GL4" s="106">
        <v>0.49154555420813639</v>
      </c>
      <c r="GM4" s="106">
        <v>0.28231600052825567</v>
      </c>
      <c r="GN4" s="106">
        <v>0.4796329843475563</v>
      </c>
      <c r="GO4" s="106">
        <v>0.25986253766474643</v>
      </c>
      <c r="GP4" s="106">
        <v>0.41784673108683246</v>
      </c>
      <c r="GQ4" s="106">
        <v>0.21475965849792145</v>
      </c>
      <c r="GR4" s="106">
        <v>0.65792946911704508</v>
      </c>
      <c r="GS4" s="106">
        <v>0.67592869867521799</v>
      </c>
      <c r="GT4" s="106">
        <v>2.9570344008664318E-2</v>
      </c>
      <c r="GU4" s="106">
        <v>0.3652549392279717</v>
      </c>
      <c r="GV4" s="106">
        <v>0.64432114862407208</v>
      </c>
      <c r="GW4" s="106">
        <v>0.34915718775687909</v>
      </c>
      <c r="GX4" s="106">
        <v>0.83936942932910386</v>
      </c>
      <c r="GY4" s="106">
        <v>0.39494132858052822</v>
      </c>
      <c r="GZ4" s="106">
        <v>0.70473106393831708</v>
      </c>
      <c r="HA4" s="106">
        <v>0.57760306759864377</v>
      </c>
      <c r="HB4" s="106">
        <v>0.21757013886508547</v>
      </c>
      <c r="HC4" s="106">
        <v>0.63587746946014745</v>
      </c>
      <c r="HD4" s="106">
        <v>0.62210416904742172</v>
      </c>
      <c r="HE4" s="106">
        <v>0.38669066318503442</v>
      </c>
      <c r="HF4" s="106">
        <v>0.23732938023808614</v>
      </c>
      <c r="HG4" s="106">
        <v>5.1511017395952985E-2</v>
      </c>
      <c r="HH4" s="106">
        <v>0.82264434561301647</v>
      </c>
      <c r="HI4" s="106">
        <v>0.37076777067504263</v>
      </c>
      <c r="HJ4" s="106">
        <v>0.5170288961305225</v>
      </c>
      <c r="HK4" s="106">
        <v>0.28857525016765018</v>
      </c>
      <c r="HL4" s="106">
        <v>0.82941632687176658</v>
      </c>
      <c r="HM4" s="106">
        <v>0.71167776891316326</v>
      </c>
      <c r="HN4" s="106">
        <v>0.84068623902535911</v>
      </c>
      <c r="HO4" s="106">
        <v>0.26620450457901723</v>
      </c>
      <c r="HP4" s="106">
        <v>6.1577416896073878E-2</v>
      </c>
      <c r="HQ4" s="106">
        <v>0.53114537509400006</v>
      </c>
      <c r="HR4" s="106">
        <v>0.88730025687185676</v>
      </c>
      <c r="HS4" s="106">
        <v>0.67389841137003392</v>
      </c>
      <c r="HT4" s="106">
        <v>6.5878701364750269E-2</v>
      </c>
      <c r="HU4" s="106">
        <v>0.47454051709084721</v>
      </c>
      <c r="HV4" s="106">
        <v>0.8465979649098303</v>
      </c>
      <c r="HW4" s="106">
        <v>0.37403950518833584</v>
      </c>
      <c r="HX4" s="106">
        <v>0.6036775856305967</v>
      </c>
      <c r="HY4" s="106">
        <v>0.706723082791333</v>
      </c>
      <c r="HZ4" s="106">
        <v>1.5970472463822105E-3</v>
      </c>
      <c r="IA4" s="106">
        <v>0.47325570531237249</v>
      </c>
      <c r="IB4" s="106">
        <v>0.75579773684108176</v>
      </c>
      <c r="IC4" s="106">
        <v>0.63521670986262291</v>
      </c>
      <c r="ID4" s="106">
        <v>0.70517695260356728</v>
      </c>
      <c r="IE4" s="106">
        <v>0.28311315409917293</v>
      </c>
      <c r="IF4" s="106">
        <v>0.97336384560277256</v>
      </c>
      <c r="IG4" s="106">
        <v>0.65970427274109944</v>
      </c>
      <c r="IH4" s="106">
        <v>0.98416053319178443</v>
      </c>
      <c r="II4" s="106">
        <v>0.67549215118050399</v>
      </c>
      <c r="IJ4" s="106">
        <v>0.96243620340249891</v>
      </c>
      <c r="IK4" s="106">
        <v>0.86646399233184457</v>
      </c>
      <c r="IL4" s="106">
        <v>0.67231567712728746</v>
      </c>
      <c r="IM4" s="106">
        <v>0.47264341439624813</v>
      </c>
      <c r="IN4" s="106">
        <v>0.95854703839362887</v>
      </c>
      <c r="IO4" s="106">
        <v>0.64181358064613458</v>
      </c>
      <c r="IP4" s="106">
        <v>0.31090511011516453</v>
      </c>
      <c r="IQ4" s="106">
        <v>0.96305629283392136</v>
      </c>
      <c r="IR4" s="106">
        <v>0.92362137993428295</v>
      </c>
      <c r="IS4" s="106">
        <v>0.98874858448077207</v>
      </c>
      <c r="IT4" s="106">
        <v>0.60998699493781106</v>
      </c>
      <c r="IU4" s="106">
        <v>0.16399287937382789</v>
      </c>
      <c r="IV4" s="106">
        <v>0.71104491196860942</v>
      </c>
      <c r="IW4" s="106">
        <v>0.97082108886584439</v>
      </c>
      <c r="IX4" s="106">
        <v>0.7005577566049509</v>
      </c>
      <c r="IY4" s="106">
        <v>0.63525274080153926</v>
      </c>
      <c r="IZ4" s="106">
        <v>0.6310067933037764</v>
      </c>
      <c r="JA4" s="106">
        <v>0.61688402283329113</v>
      </c>
      <c r="JB4" s="106">
        <v>0.47776405660674059</v>
      </c>
      <c r="JC4" s="106">
        <v>0.34192029533473367</v>
      </c>
      <c r="JD4" s="106">
        <v>0.48927855160532585</v>
      </c>
      <c r="JE4" s="106">
        <v>0.96492363598510411</v>
      </c>
      <c r="JF4" s="106">
        <v>0.32826709577994273</v>
      </c>
      <c r="JG4" s="106">
        <v>0.6844849163729736</v>
      </c>
      <c r="JH4" s="106">
        <v>0.683619530646984</v>
      </c>
      <c r="JI4" s="106">
        <v>0.59880076510801683</v>
      </c>
      <c r="JJ4" s="106">
        <v>0.27374946138858403</v>
      </c>
      <c r="JK4" s="106">
        <v>0.33968701170270088</v>
      </c>
      <c r="JL4" s="106">
        <v>0.90215297621836821</v>
      </c>
      <c r="JM4" s="106">
        <v>0.89550891581584013</v>
      </c>
      <c r="JN4" s="106">
        <v>0.11075244037448118</v>
      </c>
      <c r="JO4" s="106">
        <v>0.21452827072184399</v>
      </c>
      <c r="JP4" s="106">
        <v>0.78178194048810312</v>
      </c>
      <c r="JQ4" s="106">
        <v>0.41665072572140194</v>
      </c>
      <c r="JR4" s="106">
        <v>0.38170521378575195</v>
      </c>
      <c r="JS4" s="106">
        <v>0.8726129689375236</v>
      </c>
      <c r="JT4" s="106">
        <v>0.84565780618202357</v>
      </c>
      <c r="JU4" s="106">
        <v>2.5120023577870576E-2</v>
      </c>
      <c r="JV4" s="106">
        <v>0.2905001412536472</v>
      </c>
      <c r="JW4" s="106">
        <v>0.20382158457848698</v>
      </c>
      <c r="JX4" s="106">
        <v>0.95323684897368011</v>
      </c>
      <c r="JY4" s="106">
        <v>0.12414231147667532</v>
      </c>
      <c r="JZ4" s="106">
        <v>0.60965946540652827</v>
      </c>
      <c r="KA4" s="106">
        <v>0.67519335675807335</v>
      </c>
      <c r="KB4" s="106">
        <v>0.75789636901194768</v>
      </c>
      <c r="KC4" s="106">
        <v>0.8739473642511526</v>
      </c>
      <c r="KD4" s="106">
        <v>0.34764338119576899</v>
      </c>
      <c r="KE4" s="106">
        <v>0.84295860253103116</v>
      </c>
      <c r="KF4" s="106">
        <v>0.63644776377083456</v>
      </c>
      <c r="KG4" s="106">
        <v>0.30853173652320387</v>
      </c>
      <c r="KH4" s="106">
        <v>0.93284862676345537</v>
      </c>
      <c r="KI4" s="106">
        <v>0.22759779612124409</v>
      </c>
      <c r="KJ4" s="106">
        <v>2.8232047694137785E-3</v>
      </c>
      <c r="KK4" s="106">
        <v>0.85227700391458672</v>
      </c>
      <c r="KL4" s="106">
        <v>0.64128725787818597</v>
      </c>
      <c r="KM4" s="106">
        <v>0.67744607976077809</v>
      </c>
      <c r="KN4" s="106">
        <v>0.48013498813040922</v>
      </c>
      <c r="KO4" s="106">
        <v>0.73659757940632287</v>
      </c>
      <c r="KP4" s="106">
        <v>0.1492290911074301</v>
      </c>
      <c r="KQ4" s="106">
        <v>0.8828469655789879</v>
      </c>
      <c r="KR4" s="106">
        <v>0.68333864397225375</v>
      </c>
      <c r="KS4" s="106">
        <v>0.5842179169713122</v>
      </c>
      <c r="KT4" s="106">
        <v>3.0738526801639687E-2</v>
      </c>
      <c r="KU4" s="106">
        <v>0.21874667916266211</v>
      </c>
      <c r="KV4" s="106">
        <v>0.77319079164984539</v>
      </c>
      <c r="KW4" s="106">
        <v>0.49788429872323503</v>
      </c>
      <c r="KX4" s="106">
        <v>8.415597596669433E-2</v>
      </c>
      <c r="KY4" s="106">
        <v>0.93391996400559096</v>
      </c>
      <c r="KZ4" s="106">
        <v>0.75052163846398678</v>
      </c>
      <c r="LA4" s="106">
        <v>0.3568950508710772</v>
      </c>
      <c r="LB4" s="106">
        <v>0.25704151534683706</v>
      </c>
      <c r="LC4" s="106">
        <v>0.20519525291800855</v>
      </c>
      <c r="LD4" s="106">
        <v>0.87933392816255052</v>
      </c>
      <c r="LE4" s="106">
        <v>0.37037086793536067</v>
      </c>
      <c r="LF4" s="106">
        <v>6.5448340424291263E-2</v>
      </c>
      <c r="LG4" s="106">
        <v>0.85708792796978139</v>
      </c>
      <c r="LH4" s="106">
        <v>0.236226855013564</v>
      </c>
      <c r="LI4" s="106">
        <v>0.62874355580411356</v>
      </c>
      <c r="LJ4" s="106">
        <v>0.98623632110840687</v>
      </c>
      <c r="LK4" s="106">
        <v>8.3472899883023977E-2</v>
      </c>
      <c r="LL4" s="106">
        <v>0.82196032021821785</v>
      </c>
      <c r="LM4" s="106">
        <v>0.84555402955466696</v>
      </c>
      <c r="LN4" s="106">
        <v>0.86316817808413715</v>
      </c>
      <c r="LO4" s="106">
        <v>0.34070414419304562</v>
      </c>
      <c r="LP4" s="106">
        <v>0.42286456465969002</v>
      </c>
      <c r="LQ4" s="106">
        <v>0.67893741950540321</v>
      </c>
      <c r="LR4" s="106">
        <v>0.31384678433646285</v>
      </c>
      <c r="LS4" s="106">
        <v>0.5363398358379019</v>
      </c>
      <c r="LT4" s="106">
        <v>0.33833946444474139</v>
      </c>
      <c r="LU4" s="106">
        <v>0.68063105361534226</v>
      </c>
      <c r="LV4" s="106">
        <v>0.44251482036525513</v>
      </c>
      <c r="LW4" s="106">
        <v>0.53774143634911142</v>
      </c>
      <c r="LX4" s="106">
        <v>0.47340575182323874</v>
      </c>
      <c r="LY4" s="106">
        <v>0.41559212239275967</v>
      </c>
      <c r="LZ4" s="106">
        <v>0.6303512769744658</v>
      </c>
      <c r="MA4" s="106">
        <v>0.21373589849938834</v>
      </c>
      <c r="MB4" s="106">
        <v>0.43127874142167832</v>
      </c>
      <c r="MC4" s="106">
        <v>0.39198788249886507</v>
      </c>
      <c r="MD4" s="106">
        <v>0.77678248251531379</v>
      </c>
      <c r="ME4" s="106">
        <v>0.73335113572055699</v>
      </c>
      <c r="MF4" s="106">
        <v>0.42253882859003544</v>
      </c>
      <c r="MG4" s="106">
        <v>0.21169752392622809</v>
      </c>
      <c r="MH4" s="106">
        <v>0.56450069301580708</v>
      </c>
      <c r="MI4" s="106">
        <v>0.20647144159407571</v>
      </c>
      <c r="MJ4" s="106">
        <v>0.64723495124792274</v>
      </c>
      <c r="MK4" s="106">
        <v>0.49976006901347347</v>
      </c>
      <c r="ML4" s="106">
        <v>0.64820919432742885</v>
      </c>
      <c r="MM4" s="106">
        <v>2.2462557085990542E-2</v>
      </c>
      <c r="MN4" s="106">
        <v>0.65839477889083686</v>
      </c>
      <c r="MO4" s="106">
        <v>0.27471230995100504</v>
      </c>
      <c r="MP4" s="106">
        <v>0.91424009430984976</v>
      </c>
      <c r="MQ4" s="106">
        <v>0.57108548645121304</v>
      </c>
      <c r="MR4" s="106">
        <v>0.55450631951048612</v>
      </c>
      <c r="MS4" s="106">
        <v>0.87540853858081857</v>
      </c>
      <c r="MT4" s="106">
        <v>0.115847015933077</v>
      </c>
      <c r="MU4" s="106">
        <v>0.88765337226858265</v>
      </c>
      <c r="MV4" s="106">
        <v>0.21134492283456596</v>
      </c>
      <c r="MW4" s="106">
        <v>1.4561763384998927E-2</v>
      </c>
      <c r="MX4" s="106">
        <v>8.8306803137093492E-2</v>
      </c>
      <c r="MY4" s="106">
        <v>0.24654078317988226</v>
      </c>
      <c r="MZ4" s="106">
        <v>0.40989888257611273</v>
      </c>
      <c r="NA4" s="106">
        <v>0.877723542121157</v>
      </c>
      <c r="NB4" s="106">
        <v>0.95257862647206448</v>
      </c>
      <c r="NC4" s="106">
        <v>0.52324566439605891</v>
      </c>
      <c r="ND4" s="106">
        <v>0.49154555420813639</v>
      </c>
      <c r="NE4" s="106">
        <v>0.28231600052825567</v>
      </c>
      <c r="NF4" s="106">
        <v>0.4796329843475563</v>
      </c>
      <c r="NG4" s="106">
        <v>0.25986253766474643</v>
      </c>
      <c r="NH4" s="106">
        <v>0.41784673108683246</v>
      </c>
      <c r="NI4" s="106">
        <v>0.21475965849792145</v>
      </c>
      <c r="NJ4" s="106">
        <v>0.65792946911704508</v>
      </c>
      <c r="NK4" s="106">
        <v>0.67592869867521799</v>
      </c>
      <c r="NL4" s="106">
        <v>2.9570344008664318E-2</v>
      </c>
      <c r="NM4" s="106">
        <v>0.92567477864506853</v>
      </c>
      <c r="NN4" s="106">
        <v>0.64432114862407208</v>
      </c>
      <c r="NO4" s="106">
        <v>0.34915718775687909</v>
      </c>
      <c r="NP4" s="106">
        <v>0.83936942932910386</v>
      </c>
      <c r="NQ4" s="106">
        <v>0.39494132858052822</v>
      </c>
      <c r="NR4" s="106">
        <v>0.70473106393831708</v>
      </c>
      <c r="NS4" s="106">
        <v>0.57760306759864377</v>
      </c>
      <c r="NT4" s="106">
        <v>0.21757013886508547</v>
      </c>
      <c r="NU4" s="106">
        <v>0.63587746946014745</v>
      </c>
      <c r="NV4" s="106">
        <v>0.62210416904742172</v>
      </c>
      <c r="NW4" s="106">
        <v>0.38669066318503442</v>
      </c>
      <c r="NX4" s="106">
        <v>0.23732938023808614</v>
      </c>
      <c r="NY4" s="106">
        <v>5.1511017395952985E-2</v>
      </c>
      <c r="NZ4" s="106">
        <v>0.82264434561301647</v>
      </c>
      <c r="OA4" s="106">
        <v>0.37076777067504263</v>
      </c>
      <c r="OB4" s="106">
        <v>0.5170288961305225</v>
      </c>
      <c r="OC4" s="106">
        <v>0.28857525016765018</v>
      </c>
      <c r="OD4" s="106">
        <v>0.82941632687176658</v>
      </c>
      <c r="OE4" s="106">
        <v>0.71167776891316326</v>
      </c>
      <c r="OF4" s="106">
        <v>0.84068623902535911</v>
      </c>
      <c r="OG4" s="106">
        <v>0.26620450457901723</v>
      </c>
      <c r="OH4" s="106">
        <v>6.1577416896073878E-2</v>
      </c>
      <c r="OI4" s="106">
        <v>0.53114537509400006</v>
      </c>
      <c r="OJ4" s="106">
        <v>0.88730025687185676</v>
      </c>
      <c r="OK4" s="106">
        <v>0.67389841137003392</v>
      </c>
      <c r="OL4" s="106">
        <v>6.5878701364750269E-2</v>
      </c>
      <c r="OM4" s="106">
        <v>0.47454051709084721</v>
      </c>
      <c r="ON4" s="106">
        <v>0.8465979649098303</v>
      </c>
      <c r="OO4" s="106">
        <v>0.37403950518833584</v>
      </c>
      <c r="OP4" s="106">
        <v>0.6036775856305967</v>
      </c>
      <c r="OQ4" s="106">
        <v>0.706723082791333</v>
      </c>
      <c r="OR4" s="106">
        <v>1.5970472463822105E-3</v>
      </c>
      <c r="OS4" s="106">
        <v>0.47325570531237249</v>
      </c>
      <c r="OT4" s="106">
        <v>0.75579773684108176</v>
      </c>
      <c r="OU4" s="106">
        <v>0.63521670986262291</v>
      </c>
      <c r="OV4" s="106">
        <v>0.70517695260356728</v>
      </c>
      <c r="OW4" s="106">
        <v>0.28311315409917293</v>
      </c>
      <c r="OX4" s="106">
        <v>0.97336384560277256</v>
      </c>
      <c r="OY4" s="106">
        <v>0.65970427274109944</v>
      </c>
      <c r="OZ4" s="106">
        <v>0.98416053319178443</v>
      </c>
      <c r="PA4" s="106">
        <v>0.67549215118050399</v>
      </c>
      <c r="PB4" s="106">
        <v>0.96243620340249891</v>
      </c>
      <c r="PC4" s="106">
        <v>0.86646399233184457</v>
      </c>
      <c r="PD4" s="106">
        <v>0.67231567712728746</v>
      </c>
      <c r="PE4" s="106">
        <v>0.47264341439624813</v>
      </c>
      <c r="PF4" s="106">
        <v>0.95854703839362887</v>
      </c>
      <c r="PG4" s="106">
        <v>0.64181358064613458</v>
      </c>
      <c r="PH4" s="106">
        <v>0.31090511011516453</v>
      </c>
      <c r="PI4" s="106">
        <v>0.96305629283392136</v>
      </c>
      <c r="PJ4" s="106">
        <v>0.92362137993428295</v>
      </c>
      <c r="PK4" s="106">
        <v>0.98874858448077207</v>
      </c>
      <c r="PL4" s="106">
        <v>0.60998699493781106</v>
      </c>
      <c r="PM4" s="106">
        <v>0.16399287937382789</v>
      </c>
      <c r="PN4" s="106">
        <v>0.71104491196860942</v>
      </c>
      <c r="PO4" s="106">
        <v>0.97082108886584439</v>
      </c>
      <c r="PP4" s="106">
        <v>0.7005577566049509</v>
      </c>
      <c r="PQ4" s="106">
        <v>0.63525274080153926</v>
      </c>
      <c r="PR4" s="106">
        <v>0.6310067933037764</v>
      </c>
      <c r="PS4" s="106">
        <v>0.61688402283329113</v>
      </c>
      <c r="PT4" s="106">
        <v>0.47776405660674059</v>
      </c>
      <c r="PU4" s="106">
        <v>0.34192029533473367</v>
      </c>
      <c r="PV4" s="106">
        <v>0.48927855160532585</v>
      </c>
      <c r="PW4" s="106">
        <v>0.96492363598510411</v>
      </c>
      <c r="PX4" s="106">
        <v>0.32826709577994273</v>
      </c>
      <c r="PY4" s="106">
        <v>0.6844849163729736</v>
      </c>
      <c r="PZ4" s="106">
        <v>0.683619530646984</v>
      </c>
      <c r="QA4" s="106">
        <v>0.59880076510801683</v>
      </c>
      <c r="QB4" s="106">
        <v>0.27374946138858403</v>
      </c>
      <c r="QC4" s="106">
        <v>0.33968701170270088</v>
      </c>
      <c r="QD4" s="106">
        <v>0.90215297621836821</v>
      </c>
      <c r="QE4" s="106">
        <v>0.89550891581584013</v>
      </c>
      <c r="QF4" s="106">
        <v>0.11075244037448118</v>
      </c>
      <c r="QG4" s="106">
        <v>0.21452827072184399</v>
      </c>
      <c r="QH4" s="106">
        <v>0.78178194048810312</v>
      </c>
      <c r="QI4" s="106">
        <v>0.41665072572140194</v>
      </c>
      <c r="QJ4" s="106">
        <v>0.38170521378575195</v>
      </c>
      <c r="QK4" s="106">
        <v>0.8726129689375236</v>
      </c>
      <c r="QL4" s="106">
        <v>0.84565780618202357</v>
      </c>
      <c r="QM4" s="106">
        <v>2.5120023577870576E-2</v>
      </c>
      <c r="QN4" s="106">
        <v>0.2905001412536472</v>
      </c>
      <c r="QO4" s="106">
        <v>0.20382158457848698</v>
      </c>
      <c r="QP4" s="106">
        <v>0.95323684897368011</v>
      </c>
      <c r="QQ4" s="106">
        <v>0.12414231147667532</v>
      </c>
      <c r="QR4" s="106">
        <v>0.60965946540652827</v>
      </c>
      <c r="QS4" s="106">
        <v>0.67519335675807335</v>
      </c>
      <c r="QT4" s="106">
        <v>0.75789636901194768</v>
      </c>
      <c r="QU4" s="106">
        <v>0.8739473642511526</v>
      </c>
      <c r="QV4" s="106">
        <v>0.34764338119576899</v>
      </c>
      <c r="QW4" s="106">
        <v>0.84295860253103116</v>
      </c>
      <c r="QX4" s="106">
        <v>0.63644776377083456</v>
      </c>
      <c r="QY4" s="106">
        <v>0.30853173652320387</v>
      </c>
      <c r="QZ4" s="106">
        <v>0.93284862676345537</v>
      </c>
      <c r="RA4" s="106">
        <v>0.22759779612124409</v>
      </c>
      <c r="RB4" s="106">
        <v>2.8232047694137785E-3</v>
      </c>
      <c r="RC4" s="106">
        <v>0.85227700391458672</v>
      </c>
      <c r="RD4" s="106">
        <v>0.64128725787818597</v>
      </c>
      <c r="RE4" s="106">
        <v>0.67744607976077809</v>
      </c>
      <c r="RF4" s="106">
        <v>0.48013498813040922</v>
      </c>
      <c r="RG4" s="106">
        <v>0.73659757940632287</v>
      </c>
      <c r="RH4" s="106">
        <v>0.1492290911074301</v>
      </c>
      <c r="RI4" s="106">
        <v>0.8828469655789879</v>
      </c>
      <c r="RJ4" s="106">
        <v>0.68333864397225375</v>
      </c>
      <c r="RK4" s="106">
        <v>0.5842179169713122</v>
      </c>
      <c r="RL4" s="106">
        <v>3.0738526801639687E-2</v>
      </c>
      <c r="RM4" s="106">
        <v>0.21874667916266211</v>
      </c>
      <c r="RN4" s="106">
        <v>0.77319079164984539</v>
      </c>
      <c r="RO4" s="106">
        <v>0.49788429872323503</v>
      </c>
      <c r="RP4" s="106">
        <v>8.415597596669433E-2</v>
      </c>
      <c r="RQ4" s="106">
        <v>0.93391996400559096</v>
      </c>
      <c r="RR4" s="106">
        <v>0.75052163846398678</v>
      </c>
      <c r="RS4" s="106">
        <v>0.3568950508710772</v>
      </c>
      <c r="RT4" s="106">
        <v>0.25704151534683706</v>
      </c>
      <c r="RU4" s="106">
        <v>0.20519525291800855</v>
      </c>
      <c r="RV4" s="106">
        <v>0.87933392816255052</v>
      </c>
      <c r="RW4" s="106">
        <v>0.37037086793536067</v>
      </c>
      <c r="RX4" s="106">
        <v>6.5448340424291263E-2</v>
      </c>
      <c r="RY4" s="106">
        <v>0.85708792796978139</v>
      </c>
      <c r="RZ4" s="106">
        <v>0.236226855013564</v>
      </c>
      <c r="SA4" s="106">
        <v>0.62874355580411356</v>
      </c>
      <c r="SB4" s="106">
        <v>0.98623632110840687</v>
      </c>
      <c r="SC4" s="106">
        <v>8.3472899883023977E-2</v>
      </c>
      <c r="SD4" s="106">
        <v>0.82196032021821785</v>
      </c>
      <c r="SE4" s="106">
        <v>0.84555402955466696</v>
      </c>
      <c r="SF4" s="106">
        <v>0.86316817808413715</v>
      </c>
      <c r="SG4" s="106">
        <v>0.34070414419304562</v>
      </c>
      <c r="SH4" s="106">
        <v>0.42286456465969002</v>
      </c>
      <c r="SI4" s="106">
        <v>0.67893741950540321</v>
      </c>
      <c r="SJ4" s="106">
        <v>0.31384678433646285</v>
      </c>
      <c r="SK4" s="106">
        <v>0.5363398358379019</v>
      </c>
      <c r="SL4" s="106">
        <v>0.33833946444474139</v>
      </c>
      <c r="SM4" s="106">
        <v>0.68063105361534226</v>
      </c>
      <c r="SN4" s="106">
        <v>0.44251482036525513</v>
      </c>
      <c r="SO4" s="106">
        <v>0.53774143634911142</v>
      </c>
      <c r="SP4" s="106">
        <v>0.47340575182323874</v>
      </c>
      <c r="SQ4" s="106">
        <v>0.41559212239275967</v>
      </c>
      <c r="SR4" s="106">
        <v>0.6303512769744658</v>
      </c>
      <c r="SS4" s="106">
        <v>0.21373589849938834</v>
      </c>
      <c r="ST4" s="106">
        <v>0.43127874142167832</v>
      </c>
      <c r="SU4" s="106">
        <v>0.39198788249886507</v>
      </c>
      <c r="SV4" s="106">
        <v>0.77678248251531379</v>
      </c>
      <c r="SW4" s="106">
        <v>0.73335113572055699</v>
      </c>
      <c r="SX4" s="106">
        <v>0.42253882859003544</v>
      </c>
      <c r="SY4" s="106">
        <v>0.21169752392622809</v>
      </c>
      <c r="SZ4" s="106">
        <v>0.56450069301580708</v>
      </c>
      <c r="TA4" s="106">
        <v>0.20647144159407571</v>
      </c>
      <c r="TB4" s="106">
        <v>0.64723495124792274</v>
      </c>
      <c r="TC4" s="106">
        <v>0.49976006901347347</v>
      </c>
      <c r="TD4" s="106">
        <v>0.64820919432742885</v>
      </c>
      <c r="TE4" s="106">
        <v>2.2462557085990542E-2</v>
      </c>
      <c r="TF4" s="106">
        <v>0.65839477889083686</v>
      </c>
      <c r="TG4" s="106">
        <v>0.27471230995100504</v>
      </c>
      <c r="TH4" s="106">
        <v>0.91424009430984976</v>
      </c>
      <c r="TI4" s="106">
        <v>0.57108548645121304</v>
      </c>
      <c r="TJ4" s="106">
        <v>0.55450631951048612</v>
      </c>
      <c r="TK4" s="106">
        <v>0.87540853858081857</v>
      </c>
      <c r="TL4" s="106">
        <v>0.115847015933077</v>
      </c>
      <c r="TM4" s="106">
        <v>0.88765337226858265</v>
      </c>
      <c r="TN4" s="106">
        <v>0.21134492283456596</v>
      </c>
      <c r="TO4" s="106">
        <v>1.4561763384998927E-2</v>
      </c>
      <c r="TP4" s="106">
        <v>8.8306803137093492E-2</v>
      </c>
      <c r="TQ4" s="106">
        <v>0.24654078317988226</v>
      </c>
      <c r="TR4" s="106">
        <v>0.40989888257611273</v>
      </c>
      <c r="TS4" s="106">
        <v>0.877723542121157</v>
      </c>
      <c r="TT4" s="106">
        <v>0.95257862647206448</v>
      </c>
      <c r="TU4" s="106">
        <v>0.52324566439605891</v>
      </c>
      <c r="TV4" s="106">
        <v>0.49154555420813639</v>
      </c>
      <c r="TW4" s="106">
        <v>0.28231600052825567</v>
      </c>
      <c r="TX4" s="106">
        <v>0.4796329843475563</v>
      </c>
      <c r="TY4" s="106">
        <v>0.25986253766474643</v>
      </c>
      <c r="TZ4" s="106">
        <v>0.41784673108683246</v>
      </c>
      <c r="UA4" s="106">
        <v>0.21475965849792145</v>
      </c>
      <c r="UB4" s="106">
        <v>0.65792946911704508</v>
      </c>
      <c r="UC4" s="106">
        <v>0.67592869867521799</v>
      </c>
      <c r="UD4" s="106">
        <v>2.9570344008664318E-2</v>
      </c>
      <c r="UE4" s="106">
        <v>0.92567477864506853</v>
      </c>
      <c r="UF4" s="106">
        <f>SUMPRODUCT(D$1:UE$1,D4:UE4)</f>
        <v>99.980035420082217</v>
      </c>
      <c r="UG4" s="106" t="s">
        <v>8</v>
      </c>
      <c r="UH4" s="106">
        <v>100</v>
      </c>
    </row>
    <row r="5" spans="1:554" x14ac:dyDescent="0.25">
      <c r="A5" s="62" t="s">
        <v>209</v>
      </c>
    </row>
    <row r="6" spans="1:554" ht="15.75" thickBot="1" x14ac:dyDescent="0.3">
      <c r="A6" s="63" t="b">
        <f>C13</f>
        <v>1</v>
      </c>
    </row>
    <row r="7" spans="1:554" x14ac:dyDescent="0.25">
      <c r="A7" s="62" t="s">
        <v>210</v>
      </c>
    </row>
    <row r="8" spans="1:554" x14ac:dyDescent="0.25">
      <c r="A8" s="64"/>
    </row>
    <row r="9" spans="1:554" ht="15.75" thickBot="1" x14ac:dyDescent="0.3">
      <c r="A9" s="63" t="e">
        <f>VLOOKUP(A8,OpenSolverResultCodes,2,FALSE)</f>
        <v>#N/A</v>
      </c>
      <c r="D9" s="83" t="s">
        <v>410</v>
      </c>
    </row>
    <row r="10" spans="1:554" ht="15.75" thickBot="1" x14ac:dyDescent="0.3">
      <c r="A10" s="156" t="str">
        <f>HYPERLINK("[OpenSolver Tester.xlsm]Results!A1", "&lt;- Results")</f>
        <v>&lt;- Results</v>
      </c>
      <c r="C10" s="124" t="s">
        <v>257</v>
      </c>
    </row>
    <row r="11" spans="1:554" x14ac:dyDescent="0.25">
      <c r="C11" s="183">
        <f>UF2</f>
        <v>141.84283229677362</v>
      </c>
      <c r="D11" s="83" t="s">
        <v>411</v>
      </c>
    </row>
    <row r="12" spans="1:554" x14ac:dyDescent="0.25">
      <c r="C12" s="183">
        <v>141.84283229677362</v>
      </c>
      <c r="D12" s="83" t="s">
        <v>412</v>
      </c>
    </row>
    <row r="13" spans="1:554" x14ac:dyDescent="0.25">
      <c r="C13" s="181" t="b">
        <f>ABS(C12-C11)&lt;0.000001</f>
        <v>1</v>
      </c>
    </row>
    <row r="15" spans="1:554" x14ac:dyDescent="0.25">
      <c r="D15" s="83" t="s">
        <v>413</v>
      </c>
    </row>
    <row r="16" spans="1:554" x14ac:dyDescent="0.25">
      <c r="D16" s="83" t="s">
        <v>414</v>
      </c>
    </row>
    <row r="17" spans="3:4" x14ac:dyDescent="0.25">
      <c r="D17" s="83" t="s">
        <v>415</v>
      </c>
    </row>
    <row r="20" spans="3:4" x14ac:dyDescent="0.25">
      <c r="C20" s="83" t="s">
        <v>417</v>
      </c>
      <c r="D20" s="83">
        <v>0</v>
      </c>
    </row>
    <row r="21" spans="3:4" x14ac:dyDescent="0.25">
      <c r="C21"/>
    </row>
    <row r="22" spans="3:4" ht="15.75" thickBot="1" x14ac:dyDescent="0.3">
      <c r="C22"/>
    </row>
    <row r="23" spans="3:4" ht="15.75" thickBot="1" x14ac:dyDescent="0.3">
      <c r="C23" s="182">
        <v>2</v>
      </c>
      <c r="D23" s="83" t="s">
        <v>416</v>
      </c>
    </row>
    <row r="24" spans="3:4" ht="15.75" thickBot="1" x14ac:dyDescent="0.3">
      <c r="C24" s="182">
        <v>0</v>
      </c>
      <c r="D24" s="83" t="s">
        <v>418</v>
      </c>
    </row>
    <row r="25" spans="3:4" x14ac:dyDescent="0.25">
      <c r="C25" s="83">
        <f>SUM(C23:C24)</f>
        <v>2</v>
      </c>
    </row>
  </sheetData>
  <dataValidations count="3">
    <dataValidation type="list" allowBlank="1" showInputMessage="1" showErrorMessage="1" sqref="A2" xr:uid="{00000000-0002-0000-3900-000000000000}">
      <formula1>TestType</formula1>
    </dataValidation>
    <dataValidation type="list" allowBlank="1" showInputMessage="1" showErrorMessage="1" sqref="A4" xr:uid="{00000000-0002-0000-3900-000001000000}">
      <formula1>ModelType</formula1>
    </dataValidation>
    <dataValidation type="list" allowBlank="1" showInputMessage="1" showErrorMessage="1" sqref="A8" xr:uid="{00000000-0002-0000-3900-000002000000}">
      <formula1>OpenSolverResult</formula1>
    </dataValidation>
  </dataValidations>
  <pageMargins left="0.75" right="0.75" top="1" bottom="1" header="0.5" footer="0.5"/>
  <pageSetup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ensitivity"/>
  <dimension ref="A1:P15"/>
  <sheetViews>
    <sheetView topLeftCell="A4"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</cols>
  <sheetData>
    <row r="1" spans="1:16" x14ac:dyDescent="0.25">
      <c r="A1" s="62" t="s">
        <v>203</v>
      </c>
      <c r="K1" t="s">
        <v>319</v>
      </c>
      <c r="L1" t="s">
        <v>320</v>
      </c>
      <c r="M1" t="s">
        <v>321</v>
      </c>
      <c r="N1" t="s">
        <v>322</v>
      </c>
    </row>
    <row r="2" spans="1:16" ht="15.75" thickBot="1" x14ac:dyDescent="0.3">
      <c r="A2" s="63" t="s">
        <v>204</v>
      </c>
      <c r="K2" t="s">
        <v>315</v>
      </c>
      <c r="L2">
        <v>0</v>
      </c>
      <c r="M2">
        <v>1E+100</v>
      </c>
      <c r="N2">
        <v>5</v>
      </c>
    </row>
    <row r="3" spans="1:16" x14ac:dyDescent="0.25">
      <c r="A3" s="62" t="s">
        <v>208</v>
      </c>
      <c r="D3" t="s">
        <v>217</v>
      </c>
      <c r="E3" t="s">
        <v>218</v>
      </c>
      <c r="F3" t="s">
        <v>219</v>
      </c>
      <c r="K3" t="s">
        <v>358</v>
      </c>
      <c r="L3">
        <v>-1</v>
      </c>
      <c r="M3">
        <v>3</v>
      </c>
      <c r="N3">
        <v>2</v>
      </c>
      <c r="O3" s="80"/>
    </row>
    <row r="4" spans="1:16" ht="15.75" thickBot="1" x14ac:dyDescent="0.3">
      <c r="A4" s="63" t="s">
        <v>206</v>
      </c>
      <c r="D4">
        <v>0</v>
      </c>
      <c r="E4">
        <v>4</v>
      </c>
      <c r="F4">
        <v>3</v>
      </c>
      <c r="K4" t="s">
        <v>359</v>
      </c>
      <c r="L4">
        <v>0</v>
      </c>
      <c r="M4">
        <v>1E+100</v>
      </c>
      <c r="N4">
        <v>2</v>
      </c>
      <c r="O4" s="80"/>
    </row>
    <row r="5" spans="1:16" x14ac:dyDescent="0.25">
      <c r="A5" s="62" t="s">
        <v>209</v>
      </c>
      <c r="K5" t="s">
        <v>360</v>
      </c>
      <c r="L5">
        <v>2</v>
      </c>
      <c r="M5">
        <v>2</v>
      </c>
      <c r="N5">
        <v>3</v>
      </c>
      <c r="O5" s="80"/>
    </row>
    <row r="6" spans="1:16" ht="15.75" thickBot="1" x14ac:dyDescent="0.3">
      <c r="A6" s="63" t="b">
        <f>AND(D15,E15,F15,G15)</f>
        <v>1</v>
      </c>
      <c r="C6" t="s">
        <v>220</v>
      </c>
      <c r="D6">
        <v>1</v>
      </c>
      <c r="E6">
        <v>1</v>
      </c>
      <c r="F6">
        <v>2</v>
      </c>
      <c r="G6">
        <f>SUMPRODUCT(D6:F6,D4:F4)</f>
        <v>10</v>
      </c>
      <c r="K6" t="s">
        <v>400</v>
      </c>
      <c r="L6">
        <v>0</v>
      </c>
      <c r="M6">
        <v>0</v>
      </c>
      <c r="N6">
        <v>0</v>
      </c>
    </row>
    <row r="7" spans="1:16" x14ac:dyDescent="0.25">
      <c r="A7" s="62" t="s">
        <v>210</v>
      </c>
      <c r="C7" t="s">
        <v>221</v>
      </c>
    </row>
    <row r="8" spans="1:16" x14ac:dyDescent="0.25">
      <c r="A8" s="64" t="s">
        <v>200</v>
      </c>
      <c r="D8">
        <v>1</v>
      </c>
      <c r="E8">
        <v>0</v>
      </c>
      <c r="F8">
        <v>0</v>
      </c>
      <c r="G8">
        <f>SUMPRODUCT($D$4:$F$4,D8:F8)</f>
        <v>0</v>
      </c>
      <c r="H8" t="s">
        <v>8</v>
      </c>
      <c r="I8">
        <v>5</v>
      </c>
      <c r="K8" t="s">
        <v>326</v>
      </c>
      <c r="L8" t="s">
        <v>327</v>
      </c>
      <c r="M8" t="s">
        <v>321</v>
      </c>
      <c r="N8" t="s">
        <v>322</v>
      </c>
      <c r="P8" s="80"/>
    </row>
    <row r="9" spans="1:16" ht="15.75" thickBot="1" x14ac:dyDescent="0.3">
      <c r="A9" s="63">
        <f>VLOOKUP(A8,OpenSolverResultCodes,2,FALSE)</f>
        <v>0</v>
      </c>
      <c r="C9" t="s">
        <v>225</v>
      </c>
      <c r="D9">
        <v>0</v>
      </c>
      <c r="E9">
        <v>1</v>
      </c>
      <c r="F9">
        <v>0</v>
      </c>
      <c r="G9">
        <f>SUMPRODUCT($D$4:$F$4,D9:F9)</f>
        <v>4</v>
      </c>
      <c r="H9" t="s">
        <v>9</v>
      </c>
      <c r="I9">
        <v>4</v>
      </c>
      <c r="K9" t="s">
        <v>355</v>
      </c>
      <c r="L9">
        <v>-1</v>
      </c>
      <c r="M9">
        <v>1</v>
      </c>
      <c r="N9">
        <v>1E+100</v>
      </c>
      <c r="P9" s="80"/>
    </row>
    <row r="10" spans="1:16" ht="15.75" thickBot="1" x14ac:dyDescent="0.3">
      <c r="A10" s="156" t="str">
        <f>HYPERLINK("[OpenSolver Tester.xlsm]Results!A1", "&lt;- Results")</f>
        <v>&lt;- Results</v>
      </c>
      <c r="D10">
        <v>0</v>
      </c>
      <c r="E10">
        <v>0</v>
      </c>
      <c r="F10">
        <v>1</v>
      </c>
      <c r="G10">
        <f>SUMPRODUCT($D$4:$F$4,D10:F10)</f>
        <v>3</v>
      </c>
      <c r="H10" t="s">
        <v>8</v>
      </c>
      <c r="I10">
        <v>5</v>
      </c>
      <c r="K10" t="s">
        <v>356</v>
      </c>
      <c r="L10">
        <v>0</v>
      </c>
      <c r="M10">
        <v>1</v>
      </c>
      <c r="N10">
        <v>1E+100</v>
      </c>
      <c r="P10" s="80"/>
    </row>
    <row r="11" spans="1:16" x14ac:dyDescent="0.25">
      <c r="C11" t="str">
        <f>"hello"</f>
        <v>hello</v>
      </c>
      <c r="D11">
        <v>1</v>
      </c>
      <c r="E11">
        <v>1</v>
      </c>
      <c r="F11">
        <v>1</v>
      </c>
      <c r="G11">
        <f>SUMPRODUCT($D$4:$F$4,D11:F11)</f>
        <v>7</v>
      </c>
      <c r="H11" t="s">
        <v>8</v>
      </c>
      <c r="I11">
        <v>7</v>
      </c>
      <c r="K11" t="s">
        <v>357</v>
      </c>
      <c r="L11">
        <v>0</v>
      </c>
      <c r="M11">
        <v>1E+100</v>
      </c>
      <c r="N11">
        <v>1</v>
      </c>
    </row>
    <row r="13" spans="1:16" x14ac:dyDescent="0.25">
      <c r="D13" s="79" t="s">
        <v>1</v>
      </c>
      <c r="E13" s="79" t="s">
        <v>2</v>
      </c>
      <c r="F13" s="79" t="s">
        <v>3</v>
      </c>
      <c r="G13" s="79" t="s">
        <v>230</v>
      </c>
    </row>
    <row r="14" spans="1:16" x14ac:dyDescent="0.25">
      <c r="D14" s="79">
        <v>0</v>
      </c>
      <c r="E14" s="79">
        <v>4</v>
      </c>
      <c r="F14" s="79">
        <v>3</v>
      </c>
      <c r="G14" s="79">
        <v>10</v>
      </c>
    </row>
    <row r="15" spans="1:16" x14ac:dyDescent="0.25">
      <c r="D15" s="8" t="b">
        <f>ABS(D4-D14)/(1+ABS(D14))&lt;=0.000001</f>
        <v>1</v>
      </c>
      <c r="E15" s="8" t="b">
        <f>ABS(E4-E14)/(1+ABS(E14))&lt;=0.000001</f>
        <v>1</v>
      </c>
      <c r="F15" s="8" t="b">
        <f>ABS(F4-F14)/(1+ABS(F14))&lt;=0.000001</f>
        <v>1</v>
      </c>
      <c r="G15" s="8" t="b">
        <f>ABS(G6-G14)/(1+ABS(G14))&lt;=0.000001</f>
        <v>1</v>
      </c>
    </row>
  </sheetData>
  <dataConsolidate/>
  <dataValidations count="3">
    <dataValidation type="list" allowBlank="1" showInputMessage="1" showErrorMessage="1" sqref="A2" xr:uid="{00000000-0002-0000-3A00-000000000000}">
      <formula1>TestType</formula1>
    </dataValidation>
    <dataValidation type="list" allowBlank="1" showInputMessage="1" showErrorMessage="1" sqref="A4" xr:uid="{00000000-0002-0000-3A00-000001000000}">
      <formula1>ModelType</formula1>
    </dataValidation>
    <dataValidation type="list" allowBlank="1" showInputMessage="1" showErrorMessage="1" sqref="A8" xr:uid="{00000000-0002-0000-3A00-000002000000}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ensitivityNames"/>
  <dimension ref="A1:W44"/>
  <sheetViews>
    <sheetView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3" style="83" customWidth="1"/>
  </cols>
  <sheetData>
    <row r="1" spans="1:23" x14ac:dyDescent="0.25">
      <c r="A1" s="62" t="s">
        <v>203</v>
      </c>
      <c r="D1" t="s">
        <v>249</v>
      </c>
      <c r="E1" t="s">
        <v>250</v>
      </c>
      <c r="F1" t="s">
        <v>251</v>
      </c>
      <c r="H1" t="s">
        <v>258</v>
      </c>
    </row>
    <row r="2" spans="1:23" ht="15.75" thickBot="1" x14ac:dyDescent="0.3">
      <c r="A2" s="63" t="s">
        <v>204</v>
      </c>
      <c r="C2" t="s">
        <v>252</v>
      </c>
      <c r="D2">
        <v>10</v>
      </c>
      <c r="E2">
        <v>35</v>
      </c>
      <c r="F2">
        <v>45</v>
      </c>
      <c r="T2" t="s">
        <v>319</v>
      </c>
      <c r="U2" t="s">
        <v>320</v>
      </c>
      <c r="V2" t="s">
        <v>321</v>
      </c>
      <c r="W2" t="s">
        <v>322</v>
      </c>
    </row>
    <row r="3" spans="1:23" x14ac:dyDescent="0.25">
      <c r="A3" s="62" t="s">
        <v>208</v>
      </c>
      <c r="C3" t="s">
        <v>253</v>
      </c>
      <c r="D3">
        <v>30</v>
      </c>
      <c r="E3">
        <v>20</v>
      </c>
      <c r="F3">
        <v>10</v>
      </c>
      <c r="T3" t="s">
        <v>385</v>
      </c>
      <c r="U3">
        <v>0</v>
      </c>
      <c r="V3">
        <v>100</v>
      </c>
      <c r="W3">
        <v>1E+100</v>
      </c>
    </row>
    <row r="4" spans="1:23" ht="15.75" thickBot="1" x14ac:dyDescent="0.3">
      <c r="A4" s="63" t="s">
        <v>206</v>
      </c>
      <c r="C4" t="s">
        <v>254</v>
      </c>
      <c r="D4">
        <v>40</v>
      </c>
      <c r="E4">
        <v>15</v>
      </c>
      <c r="F4">
        <v>10</v>
      </c>
      <c r="T4" t="s">
        <v>386</v>
      </c>
      <c r="U4">
        <v>0</v>
      </c>
      <c r="V4">
        <v>100</v>
      </c>
      <c r="W4">
        <v>1E+100</v>
      </c>
    </row>
    <row r="5" spans="1:23" x14ac:dyDescent="0.25">
      <c r="A5" s="62" t="s">
        <v>209</v>
      </c>
      <c r="C5" t="s">
        <v>255</v>
      </c>
      <c r="D5">
        <v>40</v>
      </c>
      <c r="E5">
        <v>20</v>
      </c>
      <c r="F5">
        <v>15</v>
      </c>
      <c r="T5" t="s">
        <v>387</v>
      </c>
      <c r="U5">
        <v>15</v>
      </c>
      <c r="V5">
        <v>100</v>
      </c>
      <c r="W5">
        <v>0</v>
      </c>
    </row>
    <row r="6" spans="1:23" ht="15.75" thickBot="1" x14ac:dyDescent="0.3">
      <c r="A6" s="63" t="b">
        <f>AND(D24)</f>
        <v>1</v>
      </c>
      <c r="C6" t="s">
        <v>256</v>
      </c>
      <c r="D6">
        <v>60</v>
      </c>
      <c r="E6">
        <v>30</v>
      </c>
      <c r="F6">
        <v>15</v>
      </c>
      <c r="T6" t="s">
        <v>388</v>
      </c>
      <c r="U6">
        <v>10</v>
      </c>
      <c r="V6">
        <v>100</v>
      </c>
      <c r="W6">
        <v>0</v>
      </c>
    </row>
    <row r="7" spans="1:23" x14ac:dyDescent="0.25">
      <c r="A7" s="62" t="s">
        <v>210</v>
      </c>
      <c r="T7" t="s">
        <v>389</v>
      </c>
      <c r="U7">
        <v>25</v>
      </c>
      <c r="V7">
        <v>100</v>
      </c>
      <c r="W7">
        <v>200</v>
      </c>
    </row>
    <row r="8" spans="1:23" x14ac:dyDescent="0.25">
      <c r="A8" s="64" t="s">
        <v>200</v>
      </c>
      <c r="D8" t="s">
        <v>252</v>
      </c>
      <c r="E8" t="s">
        <v>253</v>
      </c>
      <c r="F8" t="s">
        <v>254</v>
      </c>
      <c r="G8" t="s">
        <v>255</v>
      </c>
      <c r="H8" t="s">
        <v>256</v>
      </c>
      <c r="T8" t="s">
        <v>390</v>
      </c>
      <c r="U8">
        <v>35</v>
      </c>
      <c r="V8">
        <v>0</v>
      </c>
      <c r="W8">
        <v>100</v>
      </c>
    </row>
    <row r="9" spans="1:23" ht="15.75" thickBot="1" x14ac:dyDescent="0.3">
      <c r="A9" s="63">
        <f>VLOOKUP(A8,OpenSolverResultCodes,2,FALSE)</f>
        <v>0</v>
      </c>
      <c r="C9" t="s">
        <v>249</v>
      </c>
      <c r="D9">
        <v>10</v>
      </c>
      <c r="E9">
        <v>30</v>
      </c>
      <c r="F9">
        <v>40</v>
      </c>
      <c r="G9">
        <v>40</v>
      </c>
      <c r="H9">
        <v>60</v>
      </c>
      <c r="T9" t="s">
        <v>391</v>
      </c>
      <c r="U9">
        <v>0</v>
      </c>
      <c r="V9">
        <v>0</v>
      </c>
      <c r="W9">
        <v>1E+100</v>
      </c>
    </row>
    <row r="10" spans="1:23" ht="15.75" thickBot="1" x14ac:dyDescent="0.3">
      <c r="A10" s="156" t="str">
        <f>HYPERLINK("[OpenSolver Tester.xlsm]Results!A1", "&lt;- Results")</f>
        <v>&lt;- Results</v>
      </c>
      <c r="C10" t="s">
        <v>250</v>
      </c>
      <c r="D10">
        <v>35</v>
      </c>
      <c r="E10">
        <v>20</v>
      </c>
      <c r="F10">
        <v>15</v>
      </c>
      <c r="G10">
        <v>20</v>
      </c>
      <c r="H10">
        <v>30</v>
      </c>
      <c r="T10" t="s">
        <v>392</v>
      </c>
      <c r="U10">
        <v>0</v>
      </c>
      <c r="V10">
        <v>200</v>
      </c>
      <c r="W10">
        <v>1E+100</v>
      </c>
    </row>
    <row r="11" spans="1:23" x14ac:dyDescent="0.25">
      <c r="C11" t="s">
        <v>251</v>
      </c>
      <c r="D11">
        <v>45</v>
      </c>
      <c r="E11">
        <v>10</v>
      </c>
      <c r="F11">
        <v>10</v>
      </c>
      <c r="G11">
        <v>15</v>
      </c>
      <c r="H11">
        <v>15</v>
      </c>
      <c r="T11" t="s">
        <v>393</v>
      </c>
      <c r="U11">
        <v>0</v>
      </c>
      <c r="V11">
        <v>100</v>
      </c>
      <c r="W11">
        <v>1E+100</v>
      </c>
    </row>
    <row r="12" spans="1:23" x14ac:dyDescent="0.25">
      <c r="T12" t="s">
        <v>394</v>
      </c>
      <c r="U12">
        <v>5</v>
      </c>
      <c r="V12">
        <v>0</v>
      </c>
      <c r="W12">
        <v>200</v>
      </c>
    </row>
    <row r="13" spans="1:23" x14ac:dyDescent="0.25">
      <c r="D13" t="s">
        <v>252</v>
      </c>
      <c r="E13" t="s">
        <v>253</v>
      </c>
      <c r="F13" t="s">
        <v>254</v>
      </c>
      <c r="G13" t="s">
        <v>255</v>
      </c>
      <c r="H13" t="s">
        <v>256</v>
      </c>
      <c r="I13" t="s">
        <v>71</v>
      </c>
      <c r="T13" t="s">
        <v>395</v>
      </c>
      <c r="U13">
        <v>55</v>
      </c>
      <c r="V13">
        <v>100</v>
      </c>
      <c r="W13">
        <v>100</v>
      </c>
    </row>
    <row r="14" spans="1:23" x14ac:dyDescent="0.25">
      <c r="C14" t="s">
        <v>249</v>
      </c>
      <c r="D14" s="160">
        <v>100</v>
      </c>
      <c r="E14" s="160">
        <v>100</v>
      </c>
      <c r="F14" s="160">
        <v>0</v>
      </c>
      <c r="G14" s="160">
        <v>0</v>
      </c>
      <c r="H14" s="160">
        <v>0</v>
      </c>
      <c r="I14">
        <f>SUM(D14:H14)</f>
        <v>200</v>
      </c>
      <c r="J14">
        <v>200</v>
      </c>
      <c r="T14" t="s">
        <v>396</v>
      </c>
      <c r="U14">
        <v>0</v>
      </c>
      <c r="V14">
        <v>200</v>
      </c>
      <c r="W14">
        <v>1E+100</v>
      </c>
    </row>
    <row r="15" spans="1:23" x14ac:dyDescent="0.25">
      <c r="C15" t="s">
        <v>250</v>
      </c>
      <c r="D15" s="160">
        <v>0</v>
      </c>
      <c r="E15" s="160">
        <v>0</v>
      </c>
      <c r="F15" s="160">
        <v>200</v>
      </c>
      <c r="G15" s="160">
        <v>100</v>
      </c>
      <c r="H15" s="160">
        <v>0</v>
      </c>
      <c r="I15">
        <f>SUM(D15:H15)</f>
        <v>300</v>
      </c>
      <c r="J15">
        <v>300</v>
      </c>
      <c r="T15" t="s">
        <v>397</v>
      </c>
      <c r="U15">
        <v>5</v>
      </c>
      <c r="V15">
        <v>200</v>
      </c>
      <c r="W15">
        <v>0</v>
      </c>
    </row>
    <row r="16" spans="1:23" x14ac:dyDescent="0.25">
      <c r="C16" t="s">
        <v>251</v>
      </c>
      <c r="D16" s="160">
        <v>0</v>
      </c>
      <c r="E16" s="160">
        <v>200</v>
      </c>
      <c r="F16" s="160">
        <v>0</v>
      </c>
      <c r="G16" s="160">
        <v>0</v>
      </c>
      <c r="H16" s="160">
        <v>150</v>
      </c>
      <c r="I16">
        <f>SUM(D16:H16)</f>
        <v>350</v>
      </c>
      <c r="J16">
        <v>350</v>
      </c>
      <c r="T16" t="s">
        <v>398</v>
      </c>
      <c r="U16">
        <v>5</v>
      </c>
      <c r="V16">
        <v>100</v>
      </c>
      <c r="W16">
        <v>0</v>
      </c>
    </row>
    <row r="17" spans="3:23" x14ac:dyDescent="0.25">
      <c r="C17" t="s">
        <v>71</v>
      </c>
      <c r="D17">
        <f>SUM(D14:D16)</f>
        <v>100</v>
      </c>
      <c r="E17">
        <f>SUM(E14:E16)</f>
        <v>300</v>
      </c>
      <c r="F17">
        <f>SUM(F14:F16)</f>
        <v>200</v>
      </c>
      <c r="G17">
        <f>SUM(G14:G16)</f>
        <v>100</v>
      </c>
      <c r="H17">
        <f>SUM(H14:H16)</f>
        <v>150</v>
      </c>
      <c r="T17" t="s">
        <v>399</v>
      </c>
      <c r="U17">
        <v>0</v>
      </c>
      <c r="V17">
        <v>150</v>
      </c>
      <c r="W17">
        <v>1E+100</v>
      </c>
    </row>
    <row r="18" spans="3:23" x14ac:dyDescent="0.25">
      <c r="D18">
        <v>100</v>
      </c>
      <c r="E18">
        <v>300</v>
      </c>
      <c r="F18">
        <v>200</v>
      </c>
      <c r="G18">
        <v>100</v>
      </c>
      <c r="H18">
        <v>150</v>
      </c>
      <c r="J18" t="s">
        <v>334</v>
      </c>
      <c r="T18" t="s">
        <v>377</v>
      </c>
      <c r="U18">
        <v>0</v>
      </c>
      <c r="V18">
        <v>1E+100</v>
      </c>
      <c r="W18">
        <v>0</v>
      </c>
    </row>
    <row r="19" spans="3:23" x14ac:dyDescent="0.25">
      <c r="J19" t="s">
        <v>335</v>
      </c>
      <c r="T19" t="s">
        <v>378</v>
      </c>
      <c r="U19">
        <v>-10</v>
      </c>
      <c r="V19">
        <v>100</v>
      </c>
      <c r="W19">
        <v>0</v>
      </c>
    </row>
    <row r="20" spans="3:23" x14ac:dyDescent="0.25">
      <c r="C20" t="s">
        <v>0</v>
      </c>
      <c r="D20">
        <f>SUMPRODUCT(D9:H11,D14:H16)</f>
        <v>13250</v>
      </c>
      <c r="J20" t="s">
        <v>336</v>
      </c>
      <c r="T20" t="s">
        <v>379</v>
      </c>
      <c r="U20">
        <v>-20</v>
      </c>
      <c r="V20">
        <v>100</v>
      </c>
      <c r="W20">
        <v>0</v>
      </c>
    </row>
    <row r="21" spans="3:23" x14ac:dyDescent="0.25">
      <c r="J21">
        <v>0</v>
      </c>
      <c r="T21" t="s">
        <v>380</v>
      </c>
      <c r="U21">
        <v>10</v>
      </c>
      <c r="V21">
        <v>0</v>
      </c>
      <c r="W21">
        <v>100</v>
      </c>
    </row>
    <row r="22" spans="3:23" x14ac:dyDescent="0.25">
      <c r="D22" t="s">
        <v>257</v>
      </c>
      <c r="T22" t="s">
        <v>381</v>
      </c>
      <c r="U22">
        <v>30</v>
      </c>
      <c r="V22">
        <v>0</v>
      </c>
      <c r="W22">
        <v>100</v>
      </c>
    </row>
    <row r="23" spans="3:23" x14ac:dyDescent="0.25">
      <c r="D23">
        <v>13250</v>
      </c>
      <c r="J23" t="s">
        <v>402</v>
      </c>
      <c r="T23" t="s">
        <v>382</v>
      </c>
      <c r="U23">
        <v>25</v>
      </c>
      <c r="V23">
        <v>0</v>
      </c>
      <c r="W23">
        <v>100</v>
      </c>
    </row>
    <row r="24" spans="3:23" x14ac:dyDescent="0.25">
      <c r="D24" s="8" t="b">
        <f>ABS(D20-D23)/(1+ABS(D23))&lt;=0.000001</f>
        <v>1</v>
      </c>
      <c r="I24" t="s">
        <v>401</v>
      </c>
      <c r="J24">
        <v>0</v>
      </c>
      <c r="T24" t="s">
        <v>383</v>
      </c>
      <c r="U24">
        <v>30</v>
      </c>
      <c r="V24">
        <v>0</v>
      </c>
      <c r="W24">
        <v>100</v>
      </c>
    </row>
    <row r="25" spans="3:23" x14ac:dyDescent="0.25">
      <c r="J25" t="s">
        <v>403</v>
      </c>
      <c r="T25" t="s">
        <v>384</v>
      </c>
      <c r="U25">
        <v>35</v>
      </c>
      <c r="V25">
        <v>0</v>
      </c>
      <c r="W25">
        <v>100</v>
      </c>
    </row>
    <row r="26" spans="3:23" x14ac:dyDescent="0.25">
      <c r="J26" t="s">
        <v>404</v>
      </c>
      <c r="T26" t="s">
        <v>405</v>
      </c>
      <c r="U26">
        <v>0</v>
      </c>
      <c r="V26">
        <v>0</v>
      </c>
      <c r="W26">
        <v>0</v>
      </c>
    </row>
    <row r="28" spans="3:23" x14ac:dyDescent="0.25">
      <c r="T28" t="s">
        <v>326</v>
      </c>
      <c r="U28" t="s">
        <v>327</v>
      </c>
      <c r="V28" t="s">
        <v>321</v>
      </c>
      <c r="W28" t="s">
        <v>322</v>
      </c>
    </row>
    <row r="29" spans="3:23" x14ac:dyDescent="0.25">
      <c r="T29" t="s">
        <v>361</v>
      </c>
      <c r="U29">
        <v>0</v>
      </c>
      <c r="V29">
        <v>0</v>
      </c>
      <c r="W29">
        <v>0</v>
      </c>
    </row>
    <row r="30" spans="3:23" x14ac:dyDescent="0.25">
      <c r="T30" t="s">
        <v>362</v>
      </c>
      <c r="U30">
        <v>0</v>
      </c>
      <c r="V30">
        <v>35.000000100000001</v>
      </c>
      <c r="W30">
        <v>1E+100</v>
      </c>
    </row>
    <row r="31" spans="3:23" x14ac:dyDescent="0.25">
      <c r="T31" t="s">
        <v>363</v>
      </c>
      <c r="U31">
        <v>0</v>
      </c>
      <c r="V31">
        <v>10.000000099999999</v>
      </c>
      <c r="W31">
        <v>10.000000099999999</v>
      </c>
    </row>
    <row r="32" spans="3:23" x14ac:dyDescent="0.25">
      <c r="T32" t="s">
        <v>364</v>
      </c>
      <c r="U32">
        <v>0</v>
      </c>
      <c r="V32">
        <v>1E+100</v>
      </c>
      <c r="W32">
        <v>15.000000099999999</v>
      </c>
    </row>
    <row r="33" spans="20:23" x14ac:dyDescent="0.25">
      <c r="T33" t="s">
        <v>365</v>
      </c>
      <c r="U33">
        <v>0</v>
      </c>
      <c r="V33">
        <v>1E+100</v>
      </c>
      <c r="W33">
        <v>10.000000099999999</v>
      </c>
    </row>
    <row r="34" spans="20:23" x14ac:dyDescent="0.25">
      <c r="T34" t="s">
        <v>366</v>
      </c>
      <c r="U34">
        <v>0</v>
      </c>
      <c r="V34">
        <v>1E+100</v>
      </c>
      <c r="W34">
        <v>25.000000100000001</v>
      </c>
    </row>
    <row r="35" spans="20:23" x14ac:dyDescent="0.25">
      <c r="T35" t="s">
        <v>367</v>
      </c>
      <c r="U35">
        <v>0</v>
      </c>
      <c r="V35">
        <v>1E+100</v>
      </c>
      <c r="W35">
        <v>35.000000100000001</v>
      </c>
    </row>
    <row r="36" spans="20:23" x14ac:dyDescent="0.25">
      <c r="T36" t="s">
        <v>368</v>
      </c>
      <c r="U36">
        <v>0</v>
      </c>
      <c r="V36">
        <v>5.0000001000000003</v>
      </c>
      <c r="W36">
        <v>5.0000001000000003</v>
      </c>
    </row>
    <row r="37" spans="20:23" x14ac:dyDescent="0.25">
      <c r="T37" t="s">
        <v>369</v>
      </c>
      <c r="U37">
        <v>0</v>
      </c>
      <c r="V37">
        <v>5.0000001000000003</v>
      </c>
      <c r="W37">
        <v>1E+100</v>
      </c>
    </row>
    <row r="38" spans="20:23" x14ac:dyDescent="0.25">
      <c r="T38" t="s">
        <v>370</v>
      </c>
      <c r="U38">
        <v>0</v>
      </c>
      <c r="V38">
        <v>5.0000001000000003</v>
      </c>
      <c r="W38">
        <v>1E+100</v>
      </c>
    </row>
    <row r="39" spans="20:23" x14ac:dyDescent="0.25">
      <c r="T39" t="s">
        <v>371</v>
      </c>
      <c r="U39">
        <v>0</v>
      </c>
      <c r="V39">
        <v>1E+100</v>
      </c>
      <c r="W39">
        <v>5.0000001000000003</v>
      </c>
    </row>
    <row r="40" spans="20:23" x14ac:dyDescent="0.25">
      <c r="T40" t="s">
        <v>372</v>
      </c>
      <c r="U40">
        <v>0</v>
      </c>
      <c r="V40">
        <v>1E+100</v>
      </c>
      <c r="W40">
        <v>55.000000100000001</v>
      </c>
    </row>
    <row r="41" spans="20:23" x14ac:dyDescent="0.25">
      <c r="T41" t="s">
        <v>373</v>
      </c>
      <c r="U41">
        <v>0</v>
      </c>
      <c r="V41">
        <v>5.0000001000000003</v>
      </c>
      <c r="W41">
        <v>5.0000001000000003</v>
      </c>
    </row>
    <row r="42" spans="20:23" x14ac:dyDescent="0.25">
      <c r="T42" t="s">
        <v>374</v>
      </c>
      <c r="U42">
        <v>0</v>
      </c>
      <c r="V42">
        <v>1E+100</v>
      </c>
      <c r="W42">
        <v>5.0000001000000003</v>
      </c>
    </row>
    <row r="43" spans="20:23" x14ac:dyDescent="0.25">
      <c r="T43" t="s">
        <v>375</v>
      </c>
      <c r="U43">
        <v>0</v>
      </c>
      <c r="V43">
        <v>1E+100</v>
      </c>
      <c r="W43">
        <v>5.0000001000000003</v>
      </c>
    </row>
    <row r="44" spans="20:23" x14ac:dyDescent="0.25">
      <c r="T44" t="s">
        <v>376</v>
      </c>
      <c r="U44">
        <v>0</v>
      </c>
      <c r="V44">
        <v>5.0000001000000003</v>
      </c>
      <c r="W44">
        <v>1E+100</v>
      </c>
    </row>
  </sheetData>
  <dataConsolidate/>
  <dataValidations count="3">
    <dataValidation type="list" allowBlank="1" showInputMessage="1" showErrorMessage="1" sqref="A2" xr:uid="{00000000-0002-0000-3B00-000000000000}">
      <formula1>TestType</formula1>
    </dataValidation>
    <dataValidation type="list" allowBlank="1" showInputMessage="1" showErrorMessage="1" sqref="A4" xr:uid="{00000000-0002-0000-3B00-000001000000}">
      <formula1>ModelType</formula1>
    </dataValidation>
    <dataValidation type="list" allowBlank="1" showInputMessage="1" showErrorMessage="1" sqref="A8" xr:uid="{00000000-0002-0000-3B00-000002000000}">
      <formula1>OpenSolverResult</formula1>
    </dataValidation>
  </dataValidations>
  <pageMargins left="0.7" right="0.7" top="0.75" bottom="0.75" header="0.3" footer="0.3"/>
  <pageSetup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NonLinSimple"/>
  <dimension ref="A1:L20"/>
  <sheetViews>
    <sheetView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2.85546875" customWidth="1"/>
  </cols>
  <sheetData>
    <row r="1" spans="1:12" x14ac:dyDescent="0.25">
      <c r="A1" s="62" t="s">
        <v>203</v>
      </c>
      <c r="C1" t="s">
        <v>82</v>
      </c>
    </row>
    <row r="2" spans="1:12" ht="15.75" thickBot="1" x14ac:dyDescent="0.3">
      <c r="A2" s="63" t="s">
        <v>204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2" x14ac:dyDescent="0.25">
      <c r="A3" s="62" t="s">
        <v>208</v>
      </c>
      <c r="D3" s="1">
        <v>0</v>
      </c>
      <c r="E3" s="1">
        <v>0</v>
      </c>
      <c r="F3" s="134">
        <v>0</v>
      </c>
      <c r="G3" s="1"/>
    </row>
    <row r="4" spans="1:12" ht="15.75" thickBot="1" x14ac:dyDescent="0.3">
      <c r="A4" s="63" t="s">
        <v>207</v>
      </c>
      <c r="D4" s="1"/>
      <c r="E4" s="1"/>
      <c r="F4" s="1"/>
      <c r="G4" s="1"/>
      <c r="H4" s="1"/>
      <c r="I4" s="1"/>
      <c r="J4" s="1"/>
    </row>
    <row r="5" spans="1:12" x14ac:dyDescent="0.25">
      <c r="A5" s="62" t="s">
        <v>209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0</v>
      </c>
      <c r="I5" s="1"/>
      <c r="J5" s="1"/>
    </row>
    <row r="6" spans="1:12" ht="15.75" thickBot="1" x14ac:dyDescent="0.3">
      <c r="A6" s="63" t="b">
        <f>AND(D16,E16,F16,D20)</f>
        <v>0</v>
      </c>
      <c r="D6" s="1"/>
      <c r="E6" s="1"/>
      <c r="F6" s="1"/>
      <c r="G6" s="1"/>
      <c r="H6" s="1"/>
      <c r="I6" s="1"/>
      <c r="J6" s="1"/>
    </row>
    <row r="7" spans="1:12" x14ac:dyDescent="0.25">
      <c r="A7" s="62" t="s">
        <v>210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0</v>
      </c>
      <c r="I7" s="1" t="s">
        <v>8</v>
      </c>
      <c r="J7" s="1">
        <v>60</v>
      </c>
    </row>
    <row r="8" spans="1:12" x14ac:dyDescent="0.25">
      <c r="A8" s="64" t="s">
        <v>200</v>
      </c>
      <c r="D8" s="1">
        <v>21</v>
      </c>
      <c r="E8" s="1">
        <v>22</v>
      </c>
      <c r="F8" s="1">
        <v>23</v>
      </c>
      <c r="G8" s="1"/>
      <c r="H8" s="1">
        <f>SUMPRODUCT($D$3:$F$3,D8:F8)*F3</f>
        <v>0</v>
      </c>
      <c r="I8" s="1" t="s">
        <v>8</v>
      </c>
      <c r="J8" s="1">
        <v>150</v>
      </c>
      <c r="L8" t="s">
        <v>83</v>
      </c>
    </row>
    <row r="9" spans="1:12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0</v>
      </c>
      <c r="I9" s="1" t="s">
        <v>9</v>
      </c>
      <c r="J9" s="1">
        <v>110</v>
      </c>
    </row>
    <row r="10" spans="1:12" ht="15.75" thickBot="1" x14ac:dyDescent="0.3">
      <c r="A10" s="156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0</v>
      </c>
      <c r="I10" s="1" t="s">
        <v>10</v>
      </c>
      <c r="J10" s="1">
        <v>180</v>
      </c>
    </row>
    <row r="11" spans="1:12" x14ac:dyDescent="0.25">
      <c r="D11" s="1"/>
      <c r="E11" s="1"/>
      <c r="F11" s="1"/>
      <c r="G11" s="1"/>
      <c r="H11" s="1"/>
      <c r="I11" s="1"/>
      <c r="J11" s="1"/>
    </row>
    <row r="12" spans="1:12" x14ac:dyDescent="0.25">
      <c r="D12" s="1"/>
      <c r="E12" s="1"/>
      <c r="F12" s="1"/>
      <c r="G12" s="1"/>
      <c r="H12" s="1"/>
      <c r="I12" s="1"/>
      <c r="J12" s="1"/>
    </row>
    <row r="13" spans="1:12" x14ac:dyDescent="0.25">
      <c r="D13" s="1"/>
      <c r="E13" s="1"/>
      <c r="F13" s="1"/>
      <c r="G13" s="1"/>
      <c r="H13" s="1"/>
      <c r="I13" s="1"/>
      <c r="J13" s="1"/>
    </row>
    <row r="14" spans="1:12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2" x14ac:dyDescent="0.25">
      <c r="D15" s="1">
        <v>0</v>
      </c>
      <c r="E15" s="1">
        <v>5.2941176470588198</v>
      </c>
      <c r="F15" s="1">
        <v>0</v>
      </c>
      <c r="G15" s="1"/>
      <c r="H15" s="1"/>
      <c r="I15" s="1"/>
      <c r="J15" s="1"/>
    </row>
    <row r="16" spans="1:12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0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252.24913494809655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0</v>
      </c>
      <c r="E20" s="1"/>
      <c r="F20" s="1"/>
      <c r="G20" s="1"/>
      <c r="H20" s="1"/>
      <c r="I20" s="1"/>
      <c r="J20" s="1"/>
    </row>
  </sheetData>
  <dataConsolidate/>
  <dataValidations count="3">
    <dataValidation type="list" allowBlank="1" showInputMessage="1" showErrorMessage="1" sqref="A8" xr:uid="{00000000-0002-0000-3C00-000000000000}">
      <formula1>OpenSolverResult</formula1>
    </dataValidation>
    <dataValidation type="list" allowBlank="1" showInputMessage="1" showErrorMessage="1" sqref="A4" xr:uid="{00000000-0002-0000-3C00-000001000000}">
      <formula1>ModelType</formula1>
    </dataValidation>
    <dataValidation type="list" allowBlank="1" showInputMessage="1" showErrorMessage="1" sqref="A2" xr:uid="{00000000-0002-0000-3C00-000002000000}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NonLinLarge"/>
  <dimension ref="A1:O139"/>
  <sheetViews>
    <sheetView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3.28515625" style="65" customWidth="1"/>
  </cols>
  <sheetData>
    <row r="1" spans="1:15" x14ac:dyDescent="0.25">
      <c r="A1" s="62" t="s">
        <v>203</v>
      </c>
      <c r="C1" t="s">
        <v>311</v>
      </c>
      <c r="I1" s="137" t="s">
        <v>1</v>
      </c>
      <c r="J1" s="138" t="s">
        <v>2</v>
      </c>
      <c r="K1" s="138" t="s">
        <v>3</v>
      </c>
      <c r="L1" s="139" t="s">
        <v>310</v>
      </c>
    </row>
    <row r="2" spans="1:15" ht="15.75" thickBot="1" x14ac:dyDescent="0.3">
      <c r="A2" s="63" t="s">
        <v>204</v>
      </c>
      <c r="D2" s="31" t="s">
        <v>1</v>
      </c>
      <c r="E2" s="31" t="s">
        <v>2</v>
      </c>
      <c r="F2" s="31" t="s">
        <v>3</v>
      </c>
      <c r="G2" s="31"/>
      <c r="I2" s="140">
        <v>2.6182822537839598</v>
      </c>
      <c r="J2" s="35">
        <v>0</v>
      </c>
      <c r="K2" s="35">
        <v>0</v>
      </c>
      <c r="L2" s="141">
        <v>27.42160784192005</v>
      </c>
    </row>
    <row r="3" spans="1:15" ht="15.75" thickBot="1" x14ac:dyDescent="0.3">
      <c r="A3" s="62" t="s">
        <v>208</v>
      </c>
      <c r="D3" s="31">
        <v>0</v>
      </c>
      <c r="E3" s="31">
        <v>0</v>
      </c>
      <c r="F3" s="31">
        <v>0</v>
      </c>
      <c r="G3" s="31"/>
      <c r="I3" s="142" t="b">
        <f>ABS(D3-I2)/(1+ABS(I2))&lt;=0.000001</f>
        <v>0</v>
      </c>
      <c r="J3" s="143" t="b">
        <f>ABS(E3-J2)/(1+ABS(J2))&lt;=0.000001</f>
        <v>1</v>
      </c>
      <c r="K3" s="143" t="b">
        <f>ABS(F3-K2)/(1+ABS(K2))&lt;=0.000001</f>
        <v>1</v>
      </c>
      <c r="L3" s="144" t="b">
        <f>ABS(L2-H5)/(1+ABS(L2))&lt;=0.000001</f>
        <v>0</v>
      </c>
      <c r="O3" s="135"/>
    </row>
    <row r="4" spans="1:15" ht="15.75" thickBot="1" x14ac:dyDescent="0.3">
      <c r="A4" s="63" t="s">
        <v>207</v>
      </c>
      <c r="D4" s="31"/>
      <c r="E4" s="31"/>
      <c r="F4" s="31"/>
      <c r="G4" s="31"/>
      <c r="O4" s="8"/>
    </row>
    <row r="5" spans="1:15" x14ac:dyDescent="0.25">
      <c r="A5" s="62" t="s">
        <v>209</v>
      </c>
      <c r="C5" t="s">
        <v>0</v>
      </c>
      <c r="D5" s="31">
        <v>2</v>
      </c>
      <c r="E5" s="31">
        <v>3</v>
      </c>
      <c r="F5" s="31">
        <v>4</v>
      </c>
      <c r="G5" s="31"/>
      <c r="H5" s="31">
        <f>SUMPRODUCT($D$3:$F$3,D5:F5)^2</f>
        <v>0</v>
      </c>
      <c r="I5" s="31"/>
      <c r="J5" s="31"/>
      <c r="M5" s="135"/>
      <c r="N5" s="135"/>
      <c r="O5" s="135"/>
    </row>
    <row r="6" spans="1:15" ht="15.75" thickBot="1" x14ac:dyDescent="0.3">
      <c r="A6" s="63" t="b">
        <f>AND(I3,J3,K3,L3)</f>
        <v>0</v>
      </c>
      <c r="D6" s="31"/>
      <c r="E6" s="31"/>
      <c r="F6" s="31"/>
      <c r="G6" s="31"/>
      <c r="H6" s="31"/>
      <c r="I6" s="31"/>
      <c r="J6" s="31"/>
      <c r="L6" s="17"/>
      <c r="M6" s="135"/>
      <c r="N6" s="135"/>
      <c r="O6" s="135"/>
    </row>
    <row r="7" spans="1:15" x14ac:dyDescent="0.25">
      <c r="A7" s="62" t="s">
        <v>210</v>
      </c>
      <c r="C7" t="s">
        <v>4</v>
      </c>
      <c r="D7" s="31">
        <v>10</v>
      </c>
      <c r="E7" s="31">
        <v>11</v>
      </c>
      <c r="F7" s="31">
        <v>12</v>
      </c>
      <c r="G7" s="31"/>
      <c r="H7" s="31">
        <f>SUMPRODUCT($D$3:$F$3,D7:F7)+5*P6</f>
        <v>0</v>
      </c>
      <c r="I7" s="31" t="s">
        <v>8</v>
      </c>
      <c r="J7" s="31">
        <v>60</v>
      </c>
      <c r="M7" s="135"/>
      <c r="N7" s="135"/>
      <c r="O7" s="135"/>
    </row>
    <row r="8" spans="1:15" x14ac:dyDescent="0.25">
      <c r="A8" s="64" t="s">
        <v>200</v>
      </c>
      <c r="D8" s="31">
        <v>21</v>
      </c>
      <c r="E8" s="31">
        <v>22</v>
      </c>
      <c r="F8" s="31">
        <v>23</v>
      </c>
      <c r="G8" s="31"/>
      <c r="H8" s="31">
        <f>SUMPRODUCT($D$3:$F$3,D8:F8)*F3</f>
        <v>0</v>
      </c>
      <c r="I8" s="31" t="s">
        <v>8</v>
      </c>
      <c r="J8" s="31">
        <v>150</v>
      </c>
      <c r="M8" s="8"/>
      <c r="N8" s="135"/>
      <c r="O8" s="135"/>
    </row>
    <row r="9" spans="1:15" ht="15.75" thickBot="1" x14ac:dyDescent="0.3">
      <c r="A9" s="63">
        <f>VLOOKUP(A8,OpenSolverResultCodes,2,FALSE)</f>
        <v>0</v>
      </c>
      <c r="D9" s="31">
        <v>21</v>
      </c>
      <c r="E9" s="31">
        <v>22</v>
      </c>
      <c r="F9" s="31">
        <v>-23</v>
      </c>
      <c r="G9" s="31"/>
      <c r="H9" s="31">
        <f>SUMPRODUCT($D$3:$F$3,D9:F9)*($D$3+1)</f>
        <v>0</v>
      </c>
      <c r="I9" s="31" t="s">
        <v>9</v>
      </c>
      <c r="J9" s="31">
        <v>110</v>
      </c>
    </row>
    <row r="10" spans="1:15" ht="15.75" thickBot="1" x14ac:dyDescent="0.3">
      <c r="A10" s="156" t="str">
        <f>HYPERLINK("[OpenSolver Tester.xlsm]Results!A1", "&lt;- Results")</f>
        <v>&lt;- Results</v>
      </c>
      <c r="D10" s="31">
        <v>21</v>
      </c>
      <c r="E10" s="31">
        <v>22</v>
      </c>
      <c r="F10" s="31">
        <v>-23</v>
      </c>
      <c r="G10" s="31"/>
      <c r="H10" s="31">
        <f t="shared" ref="H10:H73" si="0">SUMPRODUCT($D$3:$F$3,D10:F10)*($D$3+1)</f>
        <v>0</v>
      </c>
      <c r="I10" s="31" t="s">
        <v>9</v>
      </c>
      <c r="J10" s="31">
        <v>110</v>
      </c>
    </row>
    <row r="11" spans="1:15" x14ac:dyDescent="0.25">
      <c r="D11" s="31">
        <v>21</v>
      </c>
      <c r="E11" s="31">
        <v>22</v>
      </c>
      <c r="F11" s="31">
        <v>-23</v>
      </c>
      <c r="G11" s="31"/>
      <c r="H11" s="31">
        <f t="shared" si="0"/>
        <v>0</v>
      </c>
      <c r="I11" s="31" t="s">
        <v>9</v>
      </c>
      <c r="J11" s="31">
        <v>110</v>
      </c>
    </row>
    <row r="12" spans="1:15" x14ac:dyDescent="0.25">
      <c r="D12" s="31">
        <v>21</v>
      </c>
      <c r="E12" s="31">
        <v>22</v>
      </c>
      <c r="F12" s="31">
        <v>-23</v>
      </c>
      <c r="G12" s="31"/>
      <c r="H12" s="31">
        <f t="shared" si="0"/>
        <v>0</v>
      </c>
      <c r="I12" s="31" t="s">
        <v>9</v>
      </c>
      <c r="J12" s="31">
        <v>110</v>
      </c>
    </row>
    <row r="13" spans="1:15" x14ac:dyDescent="0.25">
      <c r="D13" s="31">
        <v>21</v>
      </c>
      <c r="E13" s="31">
        <v>22</v>
      </c>
      <c r="F13" s="31">
        <v>-23</v>
      </c>
      <c r="G13" s="31"/>
      <c r="H13" s="31">
        <f t="shared" si="0"/>
        <v>0</v>
      </c>
      <c r="I13" s="31" t="s">
        <v>9</v>
      </c>
      <c r="J13" s="31">
        <v>110</v>
      </c>
    </row>
    <row r="14" spans="1:15" x14ac:dyDescent="0.25">
      <c r="D14" s="31">
        <v>21</v>
      </c>
      <c r="E14" s="31">
        <v>22</v>
      </c>
      <c r="F14" s="31">
        <v>-23</v>
      </c>
      <c r="G14" s="31"/>
      <c r="H14" s="31">
        <f t="shared" si="0"/>
        <v>0</v>
      </c>
      <c r="I14" s="31" t="s">
        <v>9</v>
      </c>
      <c r="J14" s="31">
        <v>110</v>
      </c>
    </row>
    <row r="15" spans="1:15" x14ac:dyDescent="0.25">
      <c r="D15" s="31">
        <v>21</v>
      </c>
      <c r="E15" s="31">
        <v>22</v>
      </c>
      <c r="F15" s="31">
        <v>-23</v>
      </c>
      <c r="G15" s="31"/>
      <c r="H15" s="31">
        <f t="shared" si="0"/>
        <v>0</v>
      </c>
      <c r="I15" s="31" t="s">
        <v>9</v>
      </c>
      <c r="J15" s="31">
        <v>110</v>
      </c>
    </row>
    <row r="16" spans="1:15" x14ac:dyDescent="0.25">
      <c r="D16" s="31">
        <v>21</v>
      </c>
      <c r="E16" s="31">
        <v>22</v>
      </c>
      <c r="F16" s="31">
        <v>-23</v>
      </c>
      <c r="G16" s="31"/>
      <c r="H16" s="31">
        <f t="shared" si="0"/>
        <v>0</v>
      </c>
      <c r="I16" s="31" t="s">
        <v>9</v>
      </c>
      <c r="J16" s="31">
        <v>110</v>
      </c>
      <c r="M16" s="135"/>
      <c r="N16" s="135"/>
      <c r="O16" s="135"/>
    </row>
    <row r="17" spans="4:15" x14ac:dyDescent="0.25">
      <c r="D17" s="31">
        <v>21</v>
      </c>
      <c r="E17" s="31">
        <v>22</v>
      </c>
      <c r="F17" s="31">
        <v>-23</v>
      </c>
      <c r="G17" s="31"/>
      <c r="H17" s="31">
        <f t="shared" si="0"/>
        <v>0</v>
      </c>
      <c r="I17" s="31" t="s">
        <v>9</v>
      </c>
      <c r="J17" s="31">
        <v>110</v>
      </c>
      <c r="L17" s="17"/>
      <c r="M17" s="135"/>
      <c r="N17" s="135"/>
      <c r="O17" s="135"/>
    </row>
    <row r="18" spans="4:15" x14ac:dyDescent="0.25">
      <c r="D18" s="31">
        <v>21</v>
      </c>
      <c r="E18" s="31">
        <v>22</v>
      </c>
      <c r="F18" s="31">
        <v>-23</v>
      </c>
      <c r="G18" s="31"/>
      <c r="H18" s="31">
        <f t="shared" si="0"/>
        <v>0</v>
      </c>
      <c r="I18" s="31" t="s">
        <v>9</v>
      </c>
      <c r="J18" s="31">
        <v>110</v>
      </c>
      <c r="N18" s="135"/>
      <c r="O18" s="135"/>
    </row>
    <row r="19" spans="4:15" x14ac:dyDescent="0.25">
      <c r="D19" s="31">
        <v>21</v>
      </c>
      <c r="E19" s="31">
        <v>22</v>
      </c>
      <c r="F19" s="31">
        <v>-23</v>
      </c>
      <c r="G19" s="31"/>
      <c r="H19" s="31">
        <f t="shared" si="0"/>
        <v>0</v>
      </c>
      <c r="I19" s="31" t="s">
        <v>9</v>
      </c>
      <c r="J19" s="31">
        <v>110</v>
      </c>
      <c r="N19" s="135"/>
      <c r="O19" s="135"/>
    </row>
    <row r="20" spans="4:15" x14ac:dyDescent="0.25">
      <c r="D20" s="31">
        <v>21</v>
      </c>
      <c r="E20" s="31">
        <v>22</v>
      </c>
      <c r="F20" s="31">
        <v>-23</v>
      </c>
      <c r="G20" s="31"/>
      <c r="H20" s="31">
        <f t="shared" si="0"/>
        <v>0</v>
      </c>
      <c r="I20" s="31" t="s">
        <v>9</v>
      </c>
      <c r="J20" s="31">
        <v>110</v>
      </c>
    </row>
    <row r="21" spans="4:15" x14ac:dyDescent="0.25">
      <c r="D21" s="31">
        <v>21</v>
      </c>
      <c r="E21" s="31">
        <v>22</v>
      </c>
      <c r="F21" s="31">
        <v>-23</v>
      </c>
      <c r="G21" s="31"/>
      <c r="H21" s="31">
        <f t="shared" si="0"/>
        <v>0</v>
      </c>
      <c r="I21" s="31" t="s">
        <v>9</v>
      </c>
      <c r="J21" s="31">
        <v>110</v>
      </c>
    </row>
    <row r="22" spans="4:15" x14ac:dyDescent="0.25">
      <c r="D22" s="31">
        <v>21</v>
      </c>
      <c r="E22" s="31">
        <v>22</v>
      </c>
      <c r="F22" s="31">
        <v>-23</v>
      </c>
      <c r="G22" s="31"/>
      <c r="H22" s="31">
        <f t="shared" si="0"/>
        <v>0</v>
      </c>
      <c r="I22" s="31" t="s">
        <v>9</v>
      </c>
      <c r="J22" s="31">
        <v>110</v>
      </c>
    </row>
    <row r="23" spans="4:15" x14ac:dyDescent="0.25">
      <c r="D23" s="31">
        <v>21</v>
      </c>
      <c r="E23" s="31">
        <v>22</v>
      </c>
      <c r="F23" s="31">
        <v>-23</v>
      </c>
      <c r="G23" s="31"/>
      <c r="H23" s="31">
        <f t="shared" si="0"/>
        <v>0</v>
      </c>
      <c r="I23" s="31" t="s">
        <v>9</v>
      </c>
      <c r="J23" s="31">
        <v>110</v>
      </c>
    </row>
    <row r="24" spans="4:15" x14ac:dyDescent="0.25">
      <c r="D24" s="31">
        <v>21</v>
      </c>
      <c r="E24" s="31">
        <v>22</v>
      </c>
      <c r="F24" s="31">
        <v>-23</v>
      </c>
      <c r="G24" s="31"/>
      <c r="H24" s="31">
        <f t="shared" si="0"/>
        <v>0</v>
      </c>
      <c r="I24" s="31" t="s">
        <v>9</v>
      </c>
      <c r="J24" s="31">
        <v>110</v>
      </c>
    </row>
    <row r="25" spans="4:15" x14ac:dyDescent="0.25">
      <c r="D25" s="31">
        <v>21</v>
      </c>
      <c r="E25" s="31">
        <v>22</v>
      </c>
      <c r="F25" s="31">
        <v>-23</v>
      </c>
      <c r="G25" s="31"/>
      <c r="H25" s="31">
        <f t="shared" si="0"/>
        <v>0</v>
      </c>
      <c r="I25" s="31" t="s">
        <v>9</v>
      </c>
      <c r="J25" s="31">
        <v>110</v>
      </c>
    </row>
    <row r="26" spans="4:15" x14ac:dyDescent="0.25">
      <c r="D26" s="31">
        <v>21</v>
      </c>
      <c r="E26" s="31">
        <v>22</v>
      </c>
      <c r="F26" s="31">
        <v>-23</v>
      </c>
      <c r="G26" s="31"/>
      <c r="H26" s="31">
        <f t="shared" si="0"/>
        <v>0</v>
      </c>
      <c r="I26" s="31" t="s">
        <v>9</v>
      </c>
      <c r="J26" s="31">
        <v>110</v>
      </c>
    </row>
    <row r="27" spans="4:15" x14ac:dyDescent="0.25">
      <c r="D27" s="31">
        <v>21</v>
      </c>
      <c r="E27" s="31">
        <v>22</v>
      </c>
      <c r="F27" s="31">
        <v>-23</v>
      </c>
      <c r="G27" s="31"/>
      <c r="H27" s="31">
        <f t="shared" si="0"/>
        <v>0</v>
      </c>
      <c r="I27" s="31" t="s">
        <v>9</v>
      </c>
      <c r="J27" s="31">
        <v>110</v>
      </c>
    </row>
    <row r="28" spans="4:15" x14ac:dyDescent="0.25">
      <c r="D28" s="31">
        <v>21</v>
      </c>
      <c r="E28" s="31">
        <v>22</v>
      </c>
      <c r="F28" s="31">
        <v>-23</v>
      </c>
      <c r="G28" s="31"/>
      <c r="H28" s="31">
        <f t="shared" si="0"/>
        <v>0</v>
      </c>
      <c r="I28" s="31" t="s">
        <v>9</v>
      </c>
      <c r="J28" s="31">
        <v>110</v>
      </c>
    </row>
    <row r="29" spans="4:15" x14ac:dyDescent="0.25">
      <c r="D29" s="31">
        <v>21</v>
      </c>
      <c r="E29" s="31">
        <v>22</v>
      </c>
      <c r="F29" s="31">
        <v>-23</v>
      </c>
      <c r="G29" s="31"/>
      <c r="H29" s="31">
        <f t="shared" si="0"/>
        <v>0</v>
      </c>
      <c r="I29" s="31" t="s">
        <v>9</v>
      </c>
      <c r="J29" s="31">
        <v>110</v>
      </c>
    </row>
    <row r="30" spans="4:15" x14ac:dyDescent="0.25">
      <c r="D30" s="31">
        <v>21</v>
      </c>
      <c r="E30" s="31">
        <v>22</v>
      </c>
      <c r="F30" s="31">
        <v>-23</v>
      </c>
      <c r="G30" s="31"/>
      <c r="H30" s="31">
        <f t="shared" si="0"/>
        <v>0</v>
      </c>
      <c r="I30" s="31" t="s">
        <v>9</v>
      </c>
      <c r="J30" s="31">
        <v>110</v>
      </c>
    </row>
    <row r="31" spans="4:15" x14ac:dyDescent="0.25">
      <c r="D31" s="31">
        <v>21</v>
      </c>
      <c r="E31" s="31">
        <v>22</v>
      </c>
      <c r="F31" s="31">
        <v>-23</v>
      </c>
      <c r="G31" s="31"/>
      <c r="H31" s="31">
        <f t="shared" si="0"/>
        <v>0</v>
      </c>
      <c r="I31" s="31" t="s">
        <v>9</v>
      </c>
      <c r="J31" s="31">
        <v>110</v>
      </c>
    </row>
    <row r="32" spans="4:15" x14ac:dyDescent="0.25">
      <c r="D32" s="31">
        <v>21</v>
      </c>
      <c r="E32" s="31">
        <v>22</v>
      </c>
      <c r="F32" s="31">
        <v>-23</v>
      </c>
      <c r="G32" s="31"/>
      <c r="H32" s="31">
        <f t="shared" si="0"/>
        <v>0</v>
      </c>
      <c r="I32" s="31" t="s">
        <v>9</v>
      </c>
      <c r="J32" s="31">
        <v>110</v>
      </c>
    </row>
    <row r="33" spans="4:10" x14ac:dyDescent="0.25">
      <c r="D33" s="31">
        <v>21</v>
      </c>
      <c r="E33" s="31">
        <v>22</v>
      </c>
      <c r="F33" s="31">
        <v>-23</v>
      </c>
      <c r="G33" s="31"/>
      <c r="H33" s="31">
        <f t="shared" si="0"/>
        <v>0</v>
      </c>
      <c r="I33" s="31" t="s">
        <v>9</v>
      </c>
      <c r="J33" s="31">
        <v>110</v>
      </c>
    </row>
    <row r="34" spans="4:10" x14ac:dyDescent="0.25">
      <c r="D34" s="31">
        <v>21</v>
      </c>
      <c r="E34" s="31">
        <v>22</v>
      </c>
      <c r="F34" s="31">
        <v>-23</v>
      </c>
      <c r="G34" s="31"/>
      <c r="H34" s="31">
        <f t="shared" si="0"/>
        <v>0</v>
      </c>
      <c r="I34" s="31" t="s">
        <v>9</v>
      </c>
      <c r="J34" s="31">
        <v>110</v>
      </c>
    </row>
    <row r="35" spans="4:10" x14ac:dyDescent="0.25">
      <c r="D35" s="31">
        <v>21</v>
      </c>
      <c r="E35" s="31">
        <v>22</v>
      </c>
      <c r="F35" s="31">
        <v>-23</v>
      </c>
      <c r="G35" s="31"/>
      <c r="H35" s="31">
        <f t="shared" si="0"/>
        <v>0</v>
      </c>
      <c r="I35" s="31" t="s">
        <v>9</v>
      </c>
      <c r="J35" s="31">
        <v>110</v>
      </c>
    </row>
    <row r="36" spans="4:10" x14ac:dyDescent="0.25">
      <c r="D36" s="31">
        <v>21</v>
      </c>
      <c r="E36" s="31">
        <v>22</v>
      </c>
      <c r="F36" s="31">
        <v>-23</v>
      </c>
      <c r="G36" s="31"/>
      <c r="H36" s="31">
        <f t="shared" si="0"/>
        <v>0</v>
      </c>
      <c r="I36" s="31" t="s">
        <v>9</v>
      </c>
      <c r="J36" s="31">
        <v>110</v>
      </c>
    </row>
    <row r="37" spans="4:10" x14ac:dyDescent="0.25">
      <c r="D37" s="31">
        <v>21</v>
      </c>
      <c r="E37" s="31">
        <v>22</v>
      </c>
      <c r="F37" s="31">
        <v>-23</v>
      </c>
      <c r="G37" s="31"/>
      <c r="H37" s="31">
        <f t="shared" si="0"/>
        <v>0</v>
      </c>
      <c r="I37" s="31" t="s">
        <v>9</v>
      </c>
      <c r="J37" s="31">
        <v>110</v>
      </c>
    </row>
    <row r="38" spans="4:10" x14ac:dyDescent="0.25">
      <c r="D38" s="31">
        <v>21</v>
      </c>
      <c r="E38" s="31">
        <v>22</v>
      </c>
      <c r="F38" s="31">
        <v>-23</v>
      </c>
      <c r="G38" s="31"/>
      <c r="H38" s="31">
        <f t="shared" si="0"/>
        <v>0</v>
      </c>
      <c r="I38" s="31" t="s">
        <v>9</v>
      </c>
      <c r="J38" s="31">
        <v>110</v>
      </c>
    </row>
    <row r="39" spans="4:10" x14ac:dyDescent="0.25">
      <c r="D39" s="31">
        <v>21</v>
      </c>
      <c r="E39" s="31">
        <v>22</v>
      </c>
      <c r="F39" s="31">
        <v>-23</v>
      </c>
      <c r="G39" s="31"/>
      <c r="H39" s="31">
        <f t="shared" si="0"/>
        <v>0</v>
      </c>
      <c r="I39" s="31" t="s">
        <v>9</v>
      </c>
      <c r="J39" s="31">
        <v>110</v>
      </c>
    </row>
    <row r="40" spans="4:10" x14ac:dyDescent="0.25">
      <c r="D40" s="31">
        <v>21</v>
      </c>
      <c r="E40" s="31">
        <v>22</v>
      </c>
      <c r="F40" s="31">
        <v>-23</v>
      </c>
      <c r="G40" s="31"/>
      <c r="H40" s="31">
        <f t="shared" si="0"/>
        <v>0</v>
      </c>
      <c r="I40" s="31" t="s">
        <v>9</v>
      </c>
      <c r="J40" s="31">
        <v>110</v>
      </c>
    </row>
    <row r="41" spans="4:10" x14ac:dyDescent="0.25">
      <c r="D41" s="31">
        <v>21</v>
      </c>
      <c r="E41" s="31">
        <v>22</v>
      </c>
      <c r="F41" s="31">
        <v>-23</v>
      </c>
      <c r="G41" s="31"/>
      <c r="H41" s="31">
        <f t="shared" si="0"/>
        <v>0</v>
      </c>
      <c r="I41" s="31" t="s">
        <v>9</v>
      </c>
      <c r="J41" s="31">
        <v>110</v>
      </c>
    </row>
    <row r="42" spans="4:10" x14ac:dyDescent="0.25">
      <c r="D42" s="31">
        <v>21</v>
      </c>
      <c r="E42" s="31">
        <v>22</v>
      </c>
      <c r="F42" s="31">
        <v>-23</v>
      </c>
      <c r="G42" s="31"/>
      <c r="H42" s="31">
        <f t="shared" si="0"/>
        <v>0</v>
      </c>
      <c r="I42" s="31" t="s">
        <v>9</v>
      </c>
      <c r="J42" s="31">
        <v>110</v>
      </c>
    </row>
    <row r="43" spans="4:10" x14ac:dyDescent="0.25">
      <c r="D43" s="31">
        <v>21</v>
      </c>
      <c r="E43" s="31">
        <v>22</v>
      </c>
      <c r="F43" s="31">
        <v>-23</v>
      </c>
      <c r="G43" s="31"/>
      <c r="H43" s="31">
        <f t="shared" si="0"/>
        <v>0</v>
      </c>
      <c r="I43" s="31" t="s">
        <v>9</v>
      </c>
      <c r="J43" s="31">
        <v>110</v>
      </c>
    </row>
    <row r="44" spans="4:10" x14ac:dyDescent="0.25">
      <c r="D44" s="31">
        <v>21</v>
      </c>
      <c r="E44" s="31">
        <v>22</v>
      </c>
      <c r="F44" s="31">
        <v>-23</v>
      </c>
      <c r="G44" s="31"/>
      <c r="H44" s="31">
        <f t="shared" si="0"/>
        <v>0</v>
      </c>
      <c r="I44" s="31" t="s">
        <v>9</v>
      </c>
      <c r="J44" s="31">
        <v>110</v>
      </c>
    </row>
    <row r="45" spans="4:10" x14ac:dyDescent="0.25">
      <c r="D45" s="31">
        <v>21</v>
      </c>
      <c r="E45" s="31">
        <v>22</v>
      </c>
      <c r="F45" s="31">
        <v>-23</v>
      </c>
      <c r="G45" s="31"/>
      <c r="H45" s="31">
        <f t="shared" si="0"/>
        <v>0</v>
      </c>
      <c r="I45" s="31" t="s">
        <v>9</v>
      </c>
      <c r="J45" s="31">
        <v>110</v>
      </c>
    </row>
    <row r="46" spans="4:10" x14ac:dyDescent="0.25">
      <c r="D46" s="31">
        <v>21</v>
      </c>
      <c r="E46" s="31">
        <v>22</v>
      </c>
      <c r="F46" s="31">
        <v>-23</v>
      </c>
      <c r="G46" s="31"/>
      <c r="H46" s="31">
        <f t="shared" si="0"/>
        <v>0</v>
      </c>
      <c r="I46" s="31" t="s">
        <v>9</v>
      </c>
      <c r="J46" s="31">
        <v>110</v>
      </c>
    </row>
    <row r="47" spans="4:10" x14ac:dyDescent="0.25">
      <c r="D47" s="31">
        <v>21</v>
      </c>
      <c r="E47" s="31">
        <v>22</v>
      </c>
      <c r="F47" s="31">
        <v>-23</v>
      </c>
      <c r="G47" s="31"/>
      <c r="H47" s="31">
        <f t="shared" si="0"/>
        <v>0</v>
      </c>
      <c r="I47" s="31" t="s">
        <v>9</v>
      </c>
      <c r="J47" s="31">
        <v>110</v>
      </c>
    </row>
    <row r="48" spans="4:10" x14ac:dyDescent="0.25">
      <c r="D48" s="31">
        <v>21</v>
      </c>
      <c r="E48" s="31">
        <v>22</v>
      </c>
      <c r="F48" s="31">
        <v>-23</v>
      </c>
      <c r="G48" s="31"/>
      <c r="H48" s="31">
        <f t="shared" si="0"/>
        <v>0</v>
      </c>
      <c r="I48" s="31" t="s">
        <v>9</v>
      </c>
      <c r="J48" s="31">
        <v>110</v>
      </c>
    </row>
    <row r="49" spans="4:10" x14ac:dyDescent="0.25">
      <c r="D49" s="31">
        <v>21</v>
      </c>
      <c r="E49" s="31">
        <v>22</v>
      </c>
      <c r="F49" s="31">
        <v>-23</v>
      </c>
      <c r="G49" s="31"/>
      <c r="H49" s="31">
        <f t="shared" si="0"/>
        <v>0</v>
      </c>
      <c r="I49" s="31" t="s">
        <v>9</v>
      </c>
      <c r="J49" s="31">
        <v>110</v>
      </c>
    </row>
    <row r="50" spans="4:10" x14ac:dyDescent="0.25">
      <c r="D50" s="31">
        <v>21</v>
      </c>
      <c r="E50" s="31">
        <v>22</v>
      </c>
      <c r="F50" s="31">
        <v>-23</v>
      </c>
      <c r="G50" s="31"/>
      <c r="H50" s="31">
        <f t="shared" si="0"/>
        <v>0</v>
      </c>
      <c r="I50" s="31" t="s">
        <v>9</v>
      </c>
      <c r="J50" s="31">
        <v>110</v>
      </c>
    </row>
    <row r="51" spans="4:10" x14ac:dyDescent="0.25">
      <c r="D51" s="31">
        <v>21</v>
      </c>
      <c r="E51" s="31">
        <v>22</v>
      </c>
      <c r="F51" s="31">
        <v>-23</v>
      </c>
      <c r="G51" s="31"/>
      <c r="H51" s="31">
        <f t="shared" si="0"/>
        <v>0</v>
      </c>
      <c r="I51" s="31" t="s">
        <v>9</v>
      </c>
      <c r="J51" s="31">
        <v>110</v>
      </c>
    </row>
    <row r="52" spans="4:10" x14ac:dyDescent="0.25">
      <c r="D52" s="31">
        <v>21</v>
      </c>
      <c r="E52" s="31">
        <v>22</v>
      </c>
      <c r="F52" s="31">
        <v>-23</v>
      </c>
      <c r="G52" s="31"/>
      <c r="H52" s="31">
        <f t="shared" si="0"/>
        <v>0</v>
      </c>
      <c r="I52" s="31" t="s">
        <v>9</v>
      </c>
      <c r="J52" s="31">
        <v>110</v>
      </c>
    </row>
    <row r="53" spans="4:10" x14ac:dyDescent="0.25">
      <c r="D53" s="31">
        <v>21</v>
      </c>
      <c r="E53" s="31">
        <v>22</v>
      </c>
      <c r="F53" s="31">
        <v>-23</v>
      </c>
      <c r="G53" s="31"/>
      <c r="H53" s="31">
        <f t="shared" si="0"/>
        <v>0</v>
      </c>
      <c r="I53" s="31" t="s">
        <v>9</v>
      </c>
      <c r="J53" s="31">
        <v>110</v>
      </c>
    </row>
    <row r="54" spans="4:10" x14ac:dyDescent="0.25">
      <c r="D54" s="31">
        <v>21</v>
      </c>
      <c r="E54" s="31">
        <v>22</v>
      </c>
      <c r="F54" s="31">
        <v>-23</v>
      </c>
      <c r="G54" s="31"/>
      <c r="H54" s="31">
        <f t="shared" si="0"/>
        <v>0</v>
      </c>
      <c r="I54" s="31" t="s">
        <v>9</v>
      </c>
      <c r="J54" s="31">
        <v>110</v>
      </c>
    </row>
    <row r="55" spans="4:10" x14ac:dyDescent="0.25">
      <c r="D55" s="31">
        <v>21</v>
      </c>
      <c r="E55" s="31">
        <v>22</v>
      </c>
      <c r="F55" s="31">
        <v>-23</v>
      </c>
      <c r="G55" s="31"/>
      <c r="H55" s="31">
        <f t="shared" si="0"/>
        <v>0</v>
      </c>
      <c r="I55" s="31" t="s">
        <v>9</v>
      </c>
      <c r="J55" s="31">
        <v>110</v>
      </c>
    </row>
    <row r="56" spans="4:10" x14ac:dyDescent="0.25">
      <c r="D56" s="31">
        <v>21</v>
      </c>
      <c r="E56" s="31">
        <v>22</v>
      </c>
      <c r="F56" s="31">
        <v>-23</v>
      </c>
      <c r="G56" s="31"/>
      <c r="H56" s="31">
        <f t="shared" si="0"/>
        <v>0</v>
      </c>
      <c r="I56" s="31" t="s">
        <v>9</v>
      </c>
      <c r="J56" s="31">
        <v>110</v>
      </c>
    </row>
    <row r="57" spans="4:10" x14ac:dyDescent="0.25">
      <c r="D57" s="31">
        <v>21</v>
      </c>
      <c r="E57" s="31">
        <v>22</v>
      </c>
      <c r="F57" s="31">
        <v>-23</v>
      </c>
      <c r="G57" s="31"/>
      <c r="H57" s="31">
        <f t="shared" si="0"/>
        <v>0</v>
      </c>
      <c r="I57" s="31" t="s">
        <v>9</v>
      </c>
      <c r="J57" s="31">
        <v>110</v>
      </c>
    </row>
    <row r="58" spans="4:10" x14ac:dyDescent="0.25">
      <c r="D58" s="31">
        <v>21</v>
      </c>
      <c r="E58" s="31">
        <v>22</v>
      </c>
      <c r="F58" s="31">
        <v>-23</v>
      </c>
      <c r="G58" s="31"/>
      <c r="H58" s="31">
        <f t="shared" si="0"/>
        <v>0</v>
      </c>
      <c r="I58" s="31" t="s">
        <v>9</v>
      </c>
      <c r="J58" s="31">
        <v>110</v>
      </c>
    </row>
    <row r="59" spans="4:10" x14ac:dyDescent="0.25">
      <c r="D59" s="31">
        <v>21</v>
      </c>
      <c r="E59" s="31">
        <v>22</v>
      </c>
      <c r="F59" s="31">
        <v>-23</v>
      </c>
      <c r="G59" s="31"/>
      <c r="H59" s="31">
        <f t="shared" si="0"/>
        <v>0</v>
      </c>
      <c r="I59" s="31" t="s">
        <v>9</v>
      </c>
      <c r="J59" s="31">
        <v>110</v>
      </c>
    </row>
    <row r="60" spans="4:10" x14ac:dyDescent="0.25">
      <c r="D60" s="31">
        <v>21</v>
      </c>
      <c r="E60" s="31">
        <v>22</v>
      </c>
      <c r="F60" s="31">
        <v>-23</v>
      </c>
      <c r="G60" s="31"/>
      <c r="H60" s="31">
        <f t="shared" si="0"/>
        <v>0</v>
      </c>
      <c r="I60" s="31" t="s">
        <v>9</v>
      </c>
      <c r="J60" s="31">
        <v>110</v>
      </c>
    </row>
    <row r="61" spans="4:10" x14ac:dyDescent="0.25">
      <c r="D61" s="31">
        <v>21</v>
      </c>
      <c r="E61" s="31">
        <v>22</v>
      </c>
      <c r="F61" s="31">
        <v>-23</v>
      </c>
      <c r="G61" s="31"/>
      <c r="H61" s="31">
        <f t="shared" si="0"/>
        <v>0</v>
      </c>
      <c r="I61" s="31" t="s">
        <v>9</v>
      </c>
      <c r="J61" s="31">
        <v>110</v>
      </c>
    </row>
    <row r="62" spans="4:10" x14ac:dyDescent="0.25">
      <c r="D62" s="31">
        <v>21</v>
      </c>
      <c r="E62" s="31">
        <v>22</v>
      </c>
      <c r="F62" s="31">
        <v>-23</v>
      </c>
      <c r="G62" s="31"/>
      <c r="H62" s="31">
        <f t="shared" si="0"/>
        <v>0</v>
      </c>
      <c r="I62" s="31" t="s">
        <v>9</v>
      </c>
      <c r="J62" s="31">
        <v>110</v>
      </c>
    </row>
    <row r="63" spans="4:10" x14ac:dyDescent="0.25">
      <c r="D63" s="31">
        <v>21</v>
      </c>
      <c r="E63" s="31">
        <v>22</v>
      </c>
      <c r="F63" s="31">
        <v>-23</v>
      </c>
      <c r="G63" s="31"/>
      <c r="H63" s="31">
        <f t="shared" si="0"/>
        <v>0</v>
      </c>
      <c r="I63" s="31" t="s">
        <v>9</v>
      </c>
      <c r="J63" s="31">
        <v>110</v>
      </c>
    </row>
    <row r="64" spans="4:10" x14ac:dyDescent="0.25">
      <c r="D64" s="31">
        <v>21</v>
      </c>
      <c r="E64" s="31">
        <v>22</v>
      </c>
      <c r="F64" s="31">
        <v>-23</v>
      </c>
      <c r="G64" s="31"/>
      <c r="H64" s="31">
        <f t="shared" si="0"/>
        <v>0</v>
      </c>
      <c r="I64" s="31" t="s">
        <v>9</v>
      </c>
      <c r="J64" s="31">
        <v>110</v>
      </c>
    </row>
    <row r="65" spans="4:10" x14ac:dyDescent="0.25">
      <c r="D65" s="31">
        <v>21</v>
      </c>
      <c r="E65" s="31">
        <v>22</v>
      </c>
      <c r="F65" s="31">
        <v>-23</v>
      </c>
      <c r="G65" s="31"/>
      <c r="H65" s="31">
        <f t="shared" si="0"/>
        <v>0</v>
      </c>
      <c r="I65" s="31" t="s">
        <v>9</v>
      </c>
      <c r="J65" s="31">
        <v>110</v>
      </c>
    </row>
    <row r="66" spans="4:10" x14ac:dyDescent="0.25">
      <c r="D66" s="31">
        <v>21</v>
      </c>
      <c r="E66" s="31">
        <v>22</v>
      </c>
      <c r="F66" s="31">
        <v>-23</v>
      </c>
      <c r="G66" s="31"/>
      <c r="H66" s="31">
        <f t="shared" si="0"/>
        <v>0</v>
      </c>
      <c r="I66" s="31" t="s">
        <v>9</v>
      </c>
      <c r="J66" s="31">
        <v>110</v>
      </c>
    </row>
    <row r="67" spans="4:10" x14ac:dyDescent="0.25">
      <c r="D67" s="31">
        <v>21</v>
      </c>
      <c r="E67" s="31">
        <v>22</v>
      </c>
      <c r="F67" s="31">
        <v>-23</v>
      </c>
      <c r="G67" s="31"/>
      <c r="H67" s="31">
        <f t="shared" si="0"/>
        <v>0</v>
      </c>
      <c r="I67" s="31" t="s">
        <v>9</v>
      </c>
      <c r="J67" s="31">
        <v>110</v>
      </c>
    </row>
    <row r="68" spans="4:10" x14ac:dyDescent="0.25">
      <c r="D68" s="31">
        <v>21</v>
      </c>
      <c r="E68" s="31">
        <v>22</v>
      </c>
      <c r="F68" s="31">
        <v>-23</v>
      </c>
      <c r="G68" s="31"/>
      <c r="H68" s="31">
        <f t="shared" si="0"/>
        <v>0</v>
      </c>
      <c r="I68" s="31" t="s">
        <v>9</v>
      </c>
      <c r="J68" s="31">
        <v>110</v>
      </c>
    </row>
    <row r="69" spans="4:10" x14ac:dyDescent="0.25">
      <c r="D69" s="31">
        <v>21</v>
      </c>
      <c r="E69" s="31">
        <v>22</v>
      </c>
      <c r="F69" s="31">
        <v>-23</v>
      </c>
      <c r="G69" s="31"/>
      <c r="H69" s="31">
        <f t="shared" si="0"/>
        <v>0</v>
      </c>
      <c r="I69" s="31" t="s">
        <v>9</v>
      </c>
      <c r="J69" s="31">
        <v>110</v>
      </c>
    </row>
    <row r="70" spans="4:10" x14ac:dyDescent="0.25">
      <c r="D70" s="31">
        <v>21</v>
      </c>
      <c r="E70" s="31">
        <v>22</v>
      </c>
      <c r="F70" s="31">
        <v>-23</v>
      </c>
      <c r="G70" s="31"/>
      <c r="H70" s="31">
        <f t="shared" si="0"/>
        <v>0</v>
      </c>
      <c r="I70" s="31" t="s">
        <v>9</v>
      </c>
      <c r="J70" s="31">
        <v>110</v>
      </c>
    </row>
    <row r="71" spans="4:10" x14ac:dyDescent="0.25">
      <c r="D71" s="31">
        <v>21</v>
      </c>
      <c r="E71" s="31">
        <v>22</v>
      </c>
      <c r="F71" s="31">
        <v>-23</v>
      </c>
      <c r="G71" s="31"/>
      <c r="H71" s="31">
        <f t="shared" si="0"/>
        <v>0</v>
      </c>
      <c r="I71" s="31" t="s">
        <v>9</v>
      </c>
      <c r="J71" s="31">
        <v>110</v>
      </c>
    </row>
    <row r="72" spans="4:10" x14ac:dyDescent="0.25">
      <c r="D72" s="31">
        <v>21</v>
      </c>
      <c r="E72" s="31">
        <v>22</v>
      </c>
      <c r="F72" s="31">
        <v>-23</v>
      </c>
      <c r="G72" s="31"/>
      <c r="H72" s="31">
        <f t="shared" si="0"/>
        <v>0</v>
      </c>
      <c r="I72" s="31" t="s">
        <v>9</v>
      </c>
      <c r="J72" s="31">
        <v>110</v>
      </c>
    </row>
    <row r="73" spans="4:10" x14ac:dyDescent="0.25">
      <c r="D73" s="31">
        <v>19</v>
      </c>
      <c r="E73" s="31">
        <v>34</v>
      </c>
      <c r="F73" s="31">
        <v>-32</v>
      </c>
      <c r="G73" s="31"/>
      <c r="H73" s="31">
        <f t="shared" si="0"/>
        <v>0</v>
      </c>
      <c r="I73" s="31" t="s">
        <v>10</v>
      </c>
      <c r="J73" s="31">
        <v>180</v>
      </c>
    </row>
    <row r="74" spans="4:10" x14ac:dyDescent="0.25">
      <c r="D74" s="31">
        <v>21</v>
      </c>
      <c r="E74" s="31">
        <v>22</v>
      </c>
      <c r="F74" s="31">
        <v>23</v>
      </c>
      <c r="G74" s="31"/>
      <c r="H74" s="31">
        <f>SUMPRODUCT($D$3:$F$3,D74:F74)*F69</f>
        <v>0</v>
      </c>
      <c r="I74" s="31" t="s">
        <v>8</v>
      </c>
      <c r="J74" s="31">
        <v>150</v>
      </c>
    </row>
    <row r="75" spans="4:10" x14ac:dyDescent="0.25">
      <c r="D75" s="31">
        <v>21</v>
      </c>
      <c r="E75" s="31">
        <v>22</v>
      </c>
      <c r="F75" s="31">
        <v>-23</v>
      </c>
      <c r="G75" s="31"/>
      <c r="H75" s="31">
        <f>SUMPRODUCT($D$3:$F$3,D75:F75)*($D$3+1)</f>
        <v>0</v>
      </c>
      <c r="I75" s="31" t="s">
        <v>9</v>
      </c>
      <c r="J75" s="31">
        <v>110</v>
      </c>
    </row>
    <row r="76" spans="4:10" x14ac:dyDescent="0.25">
      <c r="D76" s="31">
        <v>21</v>
      </c>
      <c r="E76" s="31">
        <v>22</v>
      </c>
      <c r="F76" s="31">
        <v>-23</v>
      </c>
      <c r="G76" s="31"/>
      <c r="H76" s="31">
        <f t="shared" ref="H76:H139" si="1">SUMPRODUCT($D$3:$F$3,D76:F76)*($D$3+1)</f>
        <v>0</v>
      </c>
      <c r="I76" s="31" t="s">
        <v>9</v>
      </c>
      <c r="J76" s="31">
        <v>110</v>
      </c>
    </row>
    <row r="77" spans="4:10" x14ac:dyDescent="0.25">
      <c r="D77" s="31">
        <v>21</v>
      </c>
      <c r="E77" s="31">
        <v>22</v>
      </c>
      <c r="F77" s="31">
        <v>-23</v>
      </c>
      <c r="G77" s="31"/>
      <c r="H77" s="31">
        <f t="shared" si="1"/>
        <v>0</v>
      </c>
      <c r="I77" s="31" t="s">
        <v>9</v>
      </c>
      <c r="J77" s="31">
        <v>110</v>
      </c>
    </row>
    <row r="78" spans="4:10" x14ac:dyDescent="0.25">
      <c r="D78" s="31">
        <v>21</v>
      </c>
      <c r="E78" s="31">
        <v>22</v>
      </c>
      <c r="F78" s="31">
        <v>-23</v>
      </c>
      <c r="G78" s="31"/>
      <c r="H78" s="31">
        <f t="shared" si="1"/>
        <v>0</v>
      </c>
      <c r="I78" s="31" t="s">
        <v>9</v>
      </c>
      <c r="J78" s="31">
        <v>110</v>
      </c>
    </row>
    <row r="79" spans="4:10" x14ac:dyDescent="0.25">
      <c r="D79" s="31">
        <v>21</v>
      </c>
      <c r="E79" s="31">
        <v>22</v>
      </c>
      <c r="F79" s="31">
        <v>-23</v>
      </c>
      <c r="G79" s="31"/>
      <c r="H79" s="31">
        <f t="shared" si="1"/>
        <v>0</v>
      </c>
      <c r="I79" s="31" t="s">
        <v>9</v>
      </c>
      <c r="J79" s="31">
        <v>110</v>
      </c>
    </row>
    <row r="80" spans="4:10" x14ac:dyDescent="0.25">
      <c r="D80" s="31">
        <v>21</v>
      </c>
      <c r="E80" s="31">
        <v>22</v>
      </c>
      <c r="F80" s="31">
        <v>-23</v>
      </c>
      <c r="G80" s="31"/>
      <c r="H80" s="31">
        <f t="shared" si="1"/>
        <v>0</v>
      </c>
      <c r="I80" s="31" t="s">
        <v>9</v>
      </c>
      <c r="J80" s="31">
        <v>110</v>
      </c>
    </row>
    <row r="81" spans="4:10" x14ac:dyDescent="0.25">
      <c r="D81" s="31">
        <v>21</v>
      </c>
      <c r="E81" s="31">
        <v>22</v>
      </c>
      <c r="F81" s="31">
        <v>-23</v>
      </c>
      <c r="G81" s="31"/>
      <c r="H81" s="31">
        <f t="shared" si="1"/>
        <v>0</v>
      </c>
      <c r="I81" s="31" t="s">
        <v>9</v>
      </c>
      <c r="J81" s="31">
        <v>110</v>
      </c>
    </row>
    <row r="82" spans="4:10" x14ac:dyDescent="0.25">
      <c r="D82" s="31">
        <v>21</v>
      </c>
      <c r="E82" s="31">
        <v>22</v>
      </c>
      <c r="F82" s="31">
        <v>-23</v>
      </c>
      <c r="G82" s="31"/>
      <c r="H82" s="31">
        <f t="shared" si="1"/>
        <v>0</v>
      </c>
      <c r="I82" s="31" t="s">
        <v>9</v>
      </c>
      <c r="J82" s="31">
        <v>110</v>
      </c>
    </row>
    <row r="83" spans="4:10" x14ac:dyDescent="0.25">
      <c r="D83" s="31">
        <v>21</v>
      </c>
      <c r="E83" s="31">
        <v>22</v>
      </c>
      <c r="F83" s="31">
        <v>-23</v>
      </c>
      <c r="G83" s="31"/>
      <c r="H83" s="31">
        <f t="shared" si="1"/>
        <v>0</v>
      </c>
      <c r="I83" s="31" t="s">
        <v>9</v>
      </c>
      <c r="J83" s="31">
        <v>110</v>
      </c>
    </row>
    <row r="84" spans="4:10" x14ac:dyDescent="0.25">
      <c r="D84" s="31">
        <v>21</v>
      </c>
      <c r="E84" s="31">
        <v>22</v>
      </c>
      <c r="F84" s="31">
        <v>-23</v>
      </c>
      <c r="G84" s="31"/>
      <c r="H84" s="31">
        <f t="shared" si="1"/>
        <v>0</v>
      </c>
      <c r="I84" s="31" t="s">
        <v>9</v>
      </c>
      <c r="J84" s="31">
        <v>110</v>
      </c>
    </row>
    <row r="85" spans="4:10" x14ac:dyDescent="0.25">
      <c r="D85" s="31">
        <v>21</v>
      </c>
      <c r="E85" s="31">
        <v>22</v>
      </c>
      <c r="F85" s="31">
        <v>-23</v>
      </c>
      <c r="G85" s="31"/>
      <c r="H85" s="31">
        <f t="shared" si="1"/>
        <v>0</v>
      </c>
      <c r="I85" s="31" t="s">
        <v>9</v>
      </c>
      <c r="J85" s="31">
        <v>110</v>
      </c>
    </row>
    <row r="86" spans="4:10" x14ac:dyDescent="0.25">
      <c r="D86" s="31">
        <v>21</v>
      </c>
      <c r="E86" s="31">
        <v>22</v>
      </c>
      <c r="F86" s="31">
        <v>-23</v>
      </c>
      <c r="G86" s="31"/>
      <c r="H86" s="31">
        <f t="shared" si="1"/>
        <v>0</v>
      </c>
      <c r="I86" s="31" t="s">
        <v>9</v>
      </c>
      <c r="J86" s="31">
        <v>110</v>
      </c>
    </row>
    <row r="87" spans="4:10" x14ac:dyDescent="0.25">
      <c r="D87" s="31">
        <v>21</v>
      </c>
      <c r="E87" s="31">
        <v>22</v>
      </c>
      <c r="F87" s="31">
        <v>-23</v>
      </c>
      <c r="G87" s="31"/>
      <c r="H87" s="31">
        <f t="shared" si="1"/>
        <v>0</v>
      </c>
      <c r="I87" s="31" t="s">
        <v>9</v>
      </c>
      <c r="J87" s="31">
        <v>110</v>
      </c>
    </row>
    <row r="88" spans="4:10" x14ac:dyDescent="0.25">
      <c r="D88" s="31">
        <v>21</v>
      </c>
      <c r="E88" s="31">
        <v>22</v>
      </c>
      <c r="F88" s="31">
        <v>-23</v>
      </c>
      <c r="G88" s="31"/>
      <c r="H88" s="31">
        <f t="shared" si="1"/>
        <v>0</v>
      </c>
      <c r="I88" s="31" t="s">
        <v>9</v>
      </c>
      <c r="J88" s="31">
        <v>110</v>
      </c>
    </row>
    <row r="89" spans="4:10" x14ac:dyDescent="0.25">
      <c r="D89" s="31">
        <v>21</v>
      </c>
      <c r="E89" s="31">
        <v>22</v>
      </c>
      <c r="F89" s="31">
        <v>-23</v>
      </c>
      <c r="G89" s="31"/>
      <c r="H89" s="31">
        <f t="shared" si="1"/>
        <v>0</v>
      </c>
      <c r="I89" s="31" t="s">
        <v>9</v>
      </c>
      <c r="J89" s="31">
        <v>110</v>
      </c>
    </row>
    <row r="90" spans="4:10" x14ac:dyDescent="0.25">
      <c r="D90" s="31">
        <v>21</v>
      </c>
      <c r="E90" s="31">
        <v>22</v>
      </c>
      <c r="F90" s="31">
        <v>-23</v>
      </c>
      <c r="G90" s="31"/>
      <c r="H90" s="31">
        <f t="shared" si="1"/>
        <v>0</v>
      </c>
      <c r="I90" s="31" t="s">
        <v>9</v>
      </c>
      <c r="J90" s="31">
        <v>110</v>
      </c>
    </row>
    <row r="91" spans="4:10" x14ac:dyDescent="0.25">
      <c r="D91" s="31">
        <v>21</v>
      </c>
      <c r="E91" s="31">
        <v>22</v>
      </c>
      <c r="F91" s="31">
        <v>-23</v>
      </c>
      <c r="G91" s="31"/>
      <c r="H91" s="31">
        <f t="shared" si="1"/>
        <v>0</v>
      </c>
      <c r="I91" s="31" t="s">
        <v>9</v>
      </c>
      <c r="J91" s="31">
        <v>110</v>
      </c>
    </row>
    <row r="92" spans="4:10" x14ac:dyDescent="0.25">
      <c r="D92" s="31">
        <v>21</v>
      </c>
      <c r="E92" s="31">
        <v>22</v>
      </c>
      <c r="F92" s="31">
        <v>-23</v>
      </c>
      <c r="G92" s="31"/>
      <c r="H92" s="31">
        <f t="shared" si="1"/>
        <v>0</v>
      </c>
      <c r="I92" s="31" t="s">
        <v>9</v>
      </c>
      <c r="J92" s="31">
        <v>110</v>
      </c>
    </row>
    <row r="93" spans="4:10" x14ac:dyDescent="0.25">
      <c r="D93" s="31">
        <v>21</v>
      </c>
      <c r="E93" s="31">
        <v>22</v>
      </c>
      <c r="F93" s="31">
        <v>-23</v>
      </c>
      <c r="G93" s="31"/>
      <c r="H93" s="31">
        <f t="shared" si="1"/>
        <v>0</v>
      </c>
      <c r="I93" s="31" t="s">
        <v>9</v>
      </c>
      <c r="J93" s="31">
        <v>110</v>
      </c>
    </row>
    <row r="94" spans="4:10" x14ac:dyDescent="0.25">
      <c r="D94" s="31">
        <v>21</v>
      </c>
      <c r="E94" s="31">
        <v>22</v>
      </c>
      <c r="F94" s="31">
        <v>-23</v>
      </c>
      <c r="G94" s="31"/>
      <c r="H94" s="31">
        <f t="shared" si="1"/>
        <v>0</v>
      </c>
      <c r="I94" s="31" t="s">
        <v>9</v>
      </c>
      <c r="J94" s="31">
        <v>110</v>
      </c>
    </row>
    <row r="95" spans="4:10" x14ac:dyDescent="0.25">
      <c r="D95" s="31">
        <v>21</v>
      </c>
      <c r="E95" s="31">
        <v>22</v>
      </c>
      <c r="F95" s="31">
        <v>-23</v>
      </c>
      <c r="G95" s="31"/>
      <c r="H95" s="31">
        <f t="shared" si="1"/>
        <v>0</v>
      </c>
      <c r="I95" s="31" t="s">
        <v>9</v>
      </c>
      <c r="J95" s="31">
        <v>110</v>
      </c>
    </row>
    <row r="96" spans="4:10" x14ac:dyDescent="0.25">
      <c r="D96" s="31">
        <v>21</v>
      </c>
      <c r="E96" s="31">
        <v>22</v>
      </c>
      <c r="F96" s="31">
        <v>-23</v>
      </c>
      <c r="G96" s="31"/>
      <c r="H96" s="31">
        <f t="shared" si="1"/>
        <v>0</v>
      </c>
      <c r="I96" s="31" t="s">
        <v>9</v>
      </c>
      <c r="J96" s="31">
        <v>110</v>
      </c>
    </row>
    <row r="97" spans="4:10" x14ac:dyDescent="0.25">
      <c r="D97" s="31">
        <v>21</v>
      </c>
      <c r="E97" s="31">
        <v>22</v>
      </c>
      <c r="F97" s="31">
        <v>-23</v>
      </c>
      <c r="G97" s="31"/>
      <c r="H97" s="31">
        <f t="shared" si="1"/>
        <v>0</v>
      </c>
      <c r="I97" s="31" t="s">
        <v>9</v>
      </c>
      <c r="J97" s="31">
        <v>110</v>
      </c>
    </row>
    <row r="98" spans="4:10" x14ac:dyDescent="0.25">
      <c r="D98" s="31">
        <v>21</v>
      </c>
      <c r="E98" s="31">
        <v>22</v>
      </c>
      <c r="F98" s="31">
        <v>-23</v>
      </c>
      <c r="G98" s="31"/>
      <c r="H98" s="31">
        <f t="shared" si="1"/>
        <v>0</v>
      </c>
      <c r="I98" s="31" t="s">
        <v>9</v>
      </c>
      <c r="J98" s="31">
        <v>110</v>
      </c>
    </row>
    <row r="99" spans="4:10" x14ac:dyDescent="0.25">
      <c r="D99" s="31">
        <v>21</v>
      </c>
      <c r="E99" s="31">
        <v>22</v>
      </c>
      <c r="F99" s="31">
        <v>-23</v>
      </c>
      <c r="G99" s="31"/>
      <c r="H99" s="31">
        <f t="shared" si="1"/>
        <v>0</v>
      </c>
      <c r="I99" s="31" t="s">
        <v>9</v>
      </c>
      <c r="J99" s="31">
        <v>110</v>
      </c>
    </row>
    <row r="100" spans="4:10" x14ac:dyDescent="0.25">
      <c r="D100" s="31">
        <v>21</v>
      </c>
      <c r="E100" s="31">
        <v>22</v>
      </c>
      <c r="F100" s="31">
        <v>-23</v>
      </c>
      <c r="G100" s="31"/>
      <c r="H100" s="31">
        <f t="shared" si="1"/>
        <v>0</v>
      </c>
      <c r="I100" s="31" t="s">
        <v>9</v>
      </c>
      <c r="J100" s="31">
        <v>110</v>
      </c>
    </row>
    <row r="101" spans="4:10" x14ac:dyDescent="0.25">
      <c r="D101" s="31">
        <v>21</v>
      </c>
      <c r="E101" s="31">
        <v>22</v>
      </c>
      <c r="F101" s="31">
        <v>-23</v>
      </c>
      <c r="G101" s="31"/>
      <c r="H101" s="31">
        <f t="shared" si="1"/>
        <v>0</v>
      </c>
      <c r="I101" s="31" t="s">
        <v>9</v>
      </c>
      <c r="J101" s="31">
        <v>110</v>
      </c>
    </row>
    <row r="102" spans="4:10" x14ac:dyDescent="0.25">
      <c r="D102" s="31">
        <v>21</v>
      </c>
      <c r="E102" s="31">
        <v>22</v>
      </c>
      <c r="F102" s="31">
        <v>-23</v>
      </c>
      <c r="G102" s="31"/>
      <c r="H102" s="31">
        <f t="shared" si="1"/>
        <v>0</v>
      </c>
      <c r="I102" s="31" t="s">
        <v>9</v>
      </c>
      <c r="J102" s="31">
        <v>110</v>
      </c>
    </row>
    <row r="103" spans="4:10" x14ac:dyDescent="0.25">
      <c r="D103" s="31">
        <v>21</v>
      </c>
      <c r="E103" s="31">
        <v>22</v>
      </c>
      <c r="F103" s="31">
        <v>-23</v>
      </c>
      <c r="G103" s="31"/>
      <c r="H103" s="31">
        <f t="shared" si="1"/>
        <v>0</v>
      </c>
      <c r="I103" s="31" t="s">
        <v>9</v>
      </c>
      <c r="J103" s="31">
        <v>110</v>
      </c>
    </row>
    <row r="104" spans="4:10" x14ac:dyDescent="0.25">
      <c r="D104" s="31">
        <v>21</v>
      </c>
      <c r="E104" s="31">
        <v>22</v>
      </c>
      <c r="F104" s="31">
        <v>-23</v>
      </c>
      <c r="G104" s="31"/>
      <c r="H104" s="31">
        <f t="shared" si="1"/>
        <v>0</v>
      </c>
      <c r="I104" s="31" t="s">
        <v>9</v>
      </c>
      <c r="J104" s="31">
        <v>110</v>
      </c>
    </row>
    <row r="105" spans="4:10" x14ac:dyDescent="0.25">
      <c r="D105" s="31">
        <v>21</v>
      </c>
      <c r="E105" s="31">
        <v>22</v>
      </c>
      <c r="F105" s="31">
        <v>-23</v>
      </c>
      <c r="G105" s="31"/>
      <c r="H105" s="31">
        <f t="shared" si="1"/>
        <v>0</v>
      </c>
      <c r="I105" s="31" t="s">
        <v>9</v>
      </c>
      <c r="J105" s="31">
        <v>110</v>
      </c>
    </row>
    <row r="106" spans="4:10" x14ac:dyDescent="0.25">
      <c r="D106" s="31">
        <v>21</v>
      </c>
      <c r="E106" s="31">
        <v>22</v>
      </c>
      <c r="F106" s="31">
        <v>-23</v>
      </c>
      <c r="G106" s="31"/>
      <c r="H106" s="31">
        <f t="shared" si="1"/>
        <v>0</v>
      </c>
      <c r="I106" s="31" t="s">
        <v>9</v>
      </c>
      <c r="J106" s="31">
        <v>110</v>
      </c>
    </row>
    <row r="107" spans="4:10" x14ac:dyDescent="0.25">
      <c r="D107" s="31">
        <v>21</v>
      </c>
      <c r="E107" s="31">
        <v>22</v>
      </c>
      <c r="F107" s="31">
        <v>-23</v>
      </c>
      <c r="G107" s="31"/>
      <c r="H107" s="31">
        <f t="shared" si="1"/>
        <v>0</v>
      </c>
      <c r="I107" s="31" t="s">
        <v>9</v>
      </c>
      <c r="J107" s="31">
        <v>110</v>
      </c>
    </row>
    <row r="108" spans="4:10" x14ac:dyDescent="0.25">
      <c r="D108" s="31">
        <v>21</v>
      </c>
      <c r="E108" s="31">
        <v>22</v>
      </c>
      <c r="F108" s="31">
        <v>-23</v>
      </c>
      <c r="G108" s="31"/>
      <c r="H108" s="31">
        <f t="shared" si="1"/>
        <v>0</v>
      </c>
      <c r="I108" s="31" t="s">
        <v>9</v>
      </c>
      <c r="J108" s="31">
        <v>110</v>
      </c>
    </row>
    <row r="109" spans="4:10" x14ac:dyDescent="0.25">
      <c r="D109" s="31">
        <v>21</v>
      </c>
      <c r="E109" s="31">
        <v>22</v>
      </c>
      <c r="F109" s="31">
        <v>-23</v>
      </c>
      <c r="G109" s="31"/>
      <c r="H109" s="31">
        <f t="shared" si="1"/>
        <v>0</v>
      </c>
      <c r="I109" s="31" t="s">
        <v>9</v>
      </c>
      <c r="J109" s="31">
        <v>110</v>
      </c>
    </row>
    <row r="110" spans="4:10" x14ac:dyDescent="0.25">
      <c r="D110" s="31">
        <v>21</v>
      </c>
      <c r="E110" s="31">
        <v>22</v>
      </c>
      <c r="F110" s="31">
        <v>-23</v>
      </c>
      <c r="G110" s="31"/>
      <c r="H110" s="31">
        <f t="shared" si="1"/>
        <v>0</v>
      </c>
      <c r="I110" s="31" t="s">
        <v>9</v>
      </c>
      <c r="J110" s="31">
        <v>110</v>
      </c>
    </row>
    <row r="111" spans="4:10" x14ac:dyDescent="0.25">
      <c r="D111" s="31">
        <v>21</v>
      </c>
      <c r="E111" s="31">
        <v>22</v>
      </c>
      <c r="F111" s="31">
        <v>-23</v>
      </c>
      <c r="G111" s="31"/>
      <c r="H111" s="31">
        <f t="shared" si="1"/>
        <v>0</v>
      </c>
      <c r="I111" s="31" t="s">
        <v>9</v>
      </c>
      <c r="J111" s="31">
        <v>110</v>
      </c>
    </row>
    <row r="112" spans="4:10" x14ac:dyDescent="0.25">
      <c r="D112" s="31">
        <v>21</v>
      </c>
      <c r="E112" s="31">
        <v>22</v>
      </c>
      <c r="F112" s="31">
        <v>-23</v>
      </c>
      <c r="G112" s="31"/>
      <c r="H112" s="31">
        <f t="shared" si="1"/>
        <v>0</v>
      </c>
      <c r="I112" s="31" t="s">
        <v>9</v>
      </c>
      <c r="J112" s="31">
        <v>110</v>
      </c>
    </row>
    <row r="113" spans="4:10" x14ac:dyDescent="0.25">
      <c r="D113" s="31">
        <v>21</v>
      </c>
      <c r="E113" s="31">
        <v>22</v>
      </c>
      <c r="F113" s="31">
        <v>-23</v>
      </c>
      <c r="G113" s="31"/>
      <c r="H113" s="31">
        <f t="shared" si="1"/>
        <v>0</v>
      </c>
      <c r="I113" s="31" t="s">
        <v>9</v>
      </c>
      <c r="J113" s="31">
        <v>110</v>
      </c>
    </row>
    <row r="114" spans="4:10" x14ac:dyDescent="0.25">
      <c r="D114" s="31">
        <v>21</v>
      </c>
      <c r="E114" s="31">
        <v>22</v>
      </c>
      <c r="F114" s="31">
        <v>-23</v>
      </c>
      <c r="G114" s="31"/>
      <c r="H114" s="31">
        <f t="shared" si="1"/>
        <v>0</v>
      </c>
      <c r="I114" s="31" t="s">
        <v>9</v>
      </c>
      <c r="J114" s="31">
        <v>110</v>
      </c>
    </row>
    <row r="115" spans="4:10" x14ac:dyDescent="0.25">
      <c r="D115" s="31">
        <v>21</v>
      </c>
      <c r="E115" s="31">
        <v>22</v>
      </c>
      <c r="F115" s="31">
        <v>-23</v>
      </c>
      <c r="G115" s="31"/>
      <c r="H115" s="31">
        <f t="shared" si="1"/>
        <v>0</v>
      </c>
      <c r="I115" s="31" t="s">
        <v>9</v>
      </c>
      <c r="J115" s="31">
        <v>110</v>
      </c>
    </row>
    <row r="116" spans="4:10" x14ac:dyDescent="0.25">
      <c r="D116" s="31">
        <v>21</v>
      </c>
      <c r="E116" s="31">
        <v>22</v>
      </c>
      <c r="F116" s="31">
        <v>-23</v>
      </c>
      <c r="G116" s="31"/>
      <c r="H116" s="31">
        <f t="shared" si="1"/>
        <v>0</v>
      </c>
      <c r="I116" s="31" t="s">
        <v>9</v>
      </c>
      <c r="J116" s="31">
        <v>110</v>
      </c>
    </row>
    <row r="117" spans="4:10" x14ac:dyDescent="0.25">
      <c r="D117" s="31">
        <v>21</v>
      </c>
      <c r="E117" s="31">
        <v>22</v>
      </c>
      <c r="F117" s="31">
        <v>-23</v>
      </c>
      <c r="G117" s="31"/>
      <c r="H117" s="31">
        <f t="shared" si="1"/>
        <v>0</v>
      </c>
      <c r="I117" s="31" t="s">
        <v>9</v>
      </c>
      <c r="J117" s="31">
        <v>110</v>
      </c>
    </row>
    <row r="118" spans="4:10" x14ac:dyDescent="0.25">
      <c r="D118" s="31">
        <v>21</v>
      </c>
      <c r="E118" s="31">
        <v>22</v>
      </c>
      <c r="F118" s="31">
        <v>-23</v>
      </c>
      <c r="G118" s="31"/>
      <c r="H118" s="31">
        <f t="shared" si="1"/>
        <v>0</v>
      </c>
      <c r="I118" s="31" t="s">
        <v>9</v>
      </c>
      <c r="J118" s="31">
        <v>110</v>
      </c>
    </row>
    <row r="119" spans="4:10" x14ac:dyDescent="0.25">
      <c r="D119" s="31">
        <v>21</v>
      </c>
      <c r="E119" s="31">
        <v>22</v>
      </c>
      <c r="F119" s="31">
        <v>-23</v>
      </c>
      <c r="G119" s="31"/>
      <c r="H119" s="31">
        <f t="shared" si="1"/>
        <v>0</v>
      </c>
      <c r="I119" s="31" t="s">
        <v>9</v>
      </c>
      <c r="J119" s="31">
        <v>110</v>
      </c>
    </row>
    <row r="120" spans="4:10" x14ac:dyDescent="0.25">
      <c r="D120" s="31">
        <v>21</v>
      </c>
      <c r="E120" s="31">
        <v>22</v>
      </c>
      <c r="F120" s="31">
        <v>-23</v>
      </c>
      <c r="G120" s="31"/>
      <c r="H120" s="31">
        <f t="shared" si="1"/>
        <v>0</v>
      </c>
      <c r="I120" s="31" t="s">
        <v>9</v>
      </c>
      <c r="J120" s="31">
        <v>110</v>
      </c>
    </row>
    <row r="121" spans="4:10" x14ac:dyDescent="0.25">
      <c r="D121" s="31">
        <v>21</v>
      </c>
      <c r="E121" s="31">
        <v>22</v>
      </c>
      <c r="F121" s="31">
        <v>-23</v>
      </c>
      <c r="G121" s="31"/>
      <c r="H121" s="31">
        <f t="shared" si="1"/>
        <v>0</v>
      </c>
      <c r="I121" s="31" t="s">
        <v>9</v>
      </c>
      <c r="J121" s="31">
        <v>110</v>
      </c>
    </row>
    <row r="122" spans="4:10" x14ac:dyDescent="0.25">
      <c r="D122" s="31">
        <v>21</v>
      </c>
      <c r="E122" s="31">
        <v>22</v>
      </c>
      <c r="F122" s="31">
        <v>-23</v>
      </c>
      <c r="G122" s="31"/>
      <c r="H122" s="31">
        <f t="shared" si="1"/>
        <v>0</v>
      </c>
      <c r="I122" s="31" t="s">
        <v>9</v>
      </c>
      <c r="J122" s="31">
        <v>110</v>
      </c>
    </row>
    <row r="123" spans="4:10" x14ac:dyDescent="0.25">
      <c r="D123" s="31">
        <v>21</v>
      </c>
      <c r="E123" s="31">
        <v>22</v>
      </c>
      <c r="F123" s="31">
        <v>-23</v>
      </c>
      <c r="G123" s="31"/>
      <c r="H123" s="31">
        <f t="shared" si="1"/>
        <v>0</v>
      </c>
      <c r="I123" s="31" t="s">
        <v>9</v>
      </c>
      <c r="J123" s="31">
        <v>110</v>
      </c>
    </row>
    <row r="124" spans="4:10" x14ac:dyDescent="0.25">
      <c r="D124" s="31">
        <v>21</v>
      </c>
      <c r="E124" s="31">
        <v>22</v>
      </c>
      <c r="F124" s="31">
        <v>-23</v>
      </c>
      <c r="G124" s="31"/>
      <c r="H124" s="31">
        <f t="shared" si="1"/>
        <v>0</v>
      </c>
      <c r="I124" s="31" t="s">
        <v>9</v>
      </c>
      <c r="J124" s="31">
        <v>110</v>
      </c>
    </row>
    <row r="125" spans="4:10" x14ac:dyDescent="0.25">
      <c r="D125" s="31">
        <v>21</v>
      </c>
      <c r="E125" s="31">
        <v>22</v>
      </c>
      <c r="F125" s="31">
        <v>-23</v>
      </c>
      <c r="G125" s="31"/>
      <c r="H125" s="31">
        <f t="shared" si="1"/>
        <v>0</v>
      </c>
      <c r="I125" s="31" t="s">
        <v>9</v>
      </c>
      <c r="J125" s="31">
        <v>110</v>
      </c>
    </row>
    <row r="126" spans="4:10" x14ac:dyDescent="0.25">
      <c r="D126" s="31">
        <v>21</v>
      </c>
      <c r="E126" s="31">
        <v>22</v>
      </c>
      <c r="F126" s="31">
        <v>-23</v>
      </c>
      <c r="G126" s="31"/>
      <c r="H126" s="31">
        <f t="shared" si="1"/>
        <v>0</v>
      </c>
      <c r="I126" s="31" t="s">
        <v>9</v>
      </c>
      <c r="J126" s="31">
        <v>110</v>
      </c>
    </row>
    <row r="127" spans="4:10" x14ac:dyDescent="0.25">
      <c r="D127" s="31">
        <v>21</v>
      </c>
      <c r="E127" s="31">
        <v>22</v>
      </c>
      <c r="F127" s="31">
        <v>-23</v>
      </c>
      <c r="G127" s="31"/>
      <c r="H127" s="31">
        <f t="shared" si="1"/>
        <v>0</v>
      </c>
      <c r="I127" s="31" t="s">
        <v>9</v>
      </c>
      <c r="J127" s="31">
        <v>110</v>
      </c>
    </row>
    <row r="128" spans="4:10" x14ac:dyDescent="0.25">
      <c r="D128" s="31">
        <v>21</v>
      </c>
      <c r="E128" s="31">
        <v>22</v>
      </c>
      <c r="F128" s="31">
        <v>-23</v>
      </c>
      <c r="G128" s="31"/>
      <c r="H128" s="31">
        <f t="shared" si="1"/>
        <v>0</v>
      </c>
      <c r="I128" s="31" t="s">
        <v>9</v>
      </c>
      <c r="J128" s="31">
        <v>110</v>
      </c>
    </row>
    <row r="129" spans="4:10" x14ac:dyDescent="0.25">
      <c r="D129" s="31">
        <v>21</v>
      </c>
      <c r="E129" s="31">
        <v>22</v>
      </c>
      <c r="F129" s="31">
        <v>-23</v>
      </c>
      <c r="G129" s="31"/>
      <c r="H129" s="31">
        <f t="shared" si="1"/>
        <v>0</v>
      </c>
      <c r="I129" s="31" t="s">
        <v>9</v>
      </c>
      <c r="J129" s="31">
        <v>110</v>
      </c>
    </row>
    <row r="130" spans="4:10" x14ac:dyDescent="0.25">
      <c r="D130" s="31">
        <v>21</v>
      </c>
      <c r="E130" s="31">
        <v>22</v>
      </c>
      <c r="F130" s="31">
        <v>-23</v>
      </c>
      <c r="G130" s="31"/>
      <c r="H130" s="31">
        <f t="shared" si="1"/>
        <v>0</v>
      </c>
      <c r="I130" s="31" t="s">
        <v>9</v>
      </c>
      <c r="J130" s="31">
        <v>110</v>
      </c>
    </row>
    <row r="131" spans="4:10" x14ac:dyDescent="0.25">
      <c r="D131" s="31">
        <v>21</v>
      </c>
      <c r="E131" s="31">
        <v>22</v>
      </c>
      <c r="F131" s="31">
        <v>-23</v>
      </c>
      <c r="G131" s="31"/>
      <c r="H131" s="31">
        <f t="shared" si="1"/>
        <v>0</v>
      </c>
      <c r="I131" s="31" t="s">
        <v>9</v>
      </c>
      <c r="J131" s="31">
        <v>110</v>
      </c>
    </row>
    <row r="132" spans="4:10" x14ac:dyDescent="0.25">
      <c r="D132" s="31">
        <v>21</v>
      </c>
      <c r="E132" s="31">
        <v>22</v>
      </c>
      <c r="F132" s="31">
        <v>-23</v>
      </c>
      <c r="G132" s="31"/>
      <c r="H132" s="31">
        <f t="shared" si="1"/>
        <v>0</v>
      </c>
      <c r="I132" s="31" t="s">
        <v>9</v>
      </c>
      <c r="J132" s="31">
        <v>110</v>
      </c>
    </row>
    <row r="133" spans="4:10" x14ac:dyDescent="0.25">
      <c r="D133" s="31">
        <v>21</v>
      </c>
      <c r="E133" s="31">
        <v>22</v>
      </c>
      <c r="F133" s="31">
        <v>-23</v>
      </c>
      <c r="G133" s="31"/>
      <c r="H133" s="31">
        <f t="shared" si="1"/>
        <v>0</v>
      </c>
      <c r="I133" s="31" t="s">
        <v>9</v>
      </c>
      <c r="J133" s="31">
        <v>110</v>
      </c>
    </row>
    <row r="134" spans="4:10" x14ac:dyDescent="0.25">
      <c r="D134" s="31">
        <v>21</v>
      </c>
      <c r="E134" s="31">
        <v>22</v>
      </c>
      <c r="F134" s="31">
        <v>-23</v>
      </c>
      <c r="G134" s="31"/>
      <c r="H134" s="31">
        <f t="shared" si="1"/>
        <v>0</v>
      </c>
      <c r="I134" s="31" t="s">
        <v>9</v>
      </c>
      <c r="J134" s="31">
        <v>110</v>
      </c>
    </row>
    <row r="135" spans="4:10" x14ac:dyDescent="0.25">
      <c r="D135" s="31">
        <v>21</v>
      </c>
      <c r="E135" s="31">
        <v>22</v>
      </c>
      <c r="F135" s="31">
        <v>-23</v>
      </c>
      <c r="G135" s="31"/>
      <c r="H135" s="31">
        <f t="shared" si="1"/>
        <v>0</v>
      </c>
      <c r="I135" s="31" t="s">
        <v>9</v>
      </c>
      <c r="J135" s="31">
        <v>110</v>
      </c>
    </row>
    <row r="136" spans="4:10" x14ac:dyDescent="0.25">
      <c r="D136" s="31">
        <v>21</v>
      </c>
      <c r="E136" s="31">
        <v>22</v>
      </c>
      <c r="F136" s="31">
        <v>-23</v>
      </c>
      <c r="G136" s="31"/>
      <c r="H136" s="31">
        <f t="shared" si="1"/>
        <v>0</v>
      </c>
      <c r="I136" s="31" t="s">
        <v>9</v>
      </c>
      <c r="J136" s="31">
        <v>110</v>
      </c>
    </row>
    <row r="137" spans="4:10" x14ac:dyDescent="0.25">
      <c r="D137" s="31">
        <v>21</v>
      </c>
      <c r="E137" s="31">
        <v>22</v>
      </c>
      <c r="F137" s="31">
        <v>-23</v>
      </c>
      <c r="G137" s="31"/>
      <c r="H137" s="31">
        <f t="shared" si="1"/>
        <v>0</v>
      </c>
      <c r="I137" s="31" t="s">
        <v>9</v>
      </c>
      <c r="J137" s="31">
        <v>110</v>
      </c>
    </row>
    <row r="138" spans="4:10" x14ac:dyDescent="0.25">
      <c r="D138" s="31">
        <v>21</v>
      </c>
      <c r="E138" s="31">
        <v>22</v>
      </c>
      <c r="F138" s="31">
        <v>-23</v>
      </c>
      <c r="G138" s="31"/>
      <c r="H138" s="31">
        <f t="shared" si="1"/>
        <v>0</v>
      </c>
      <c r="I138" s="31" t="s">
        <v>9</v>
      </c>
      <c r="J138" s="31">
        <v>110</v>
      </c>
    </row>
    <row r="139" spans="4:10" x14ac:dyDescent="0.25">
      <c r="D139" s="31">
        <v>19</v>
      </c>
      <c r="E139" s="31">
        <v>34</v>
      </c>
      <c r="F139" s="31">
        <v>-32</v>
      </c>
      <c r="G139" s="31"/>
      <c r="H139" s="31">
        <f t="shared" si="1"/>
        <v>0</v>
      </c>
      <c r="I139" s="31" t="s">
        <v>10</v>
      </c>
      <c r="J139" s="31">
        <v>180</v>
      </c>
    </row>
  </sheetData>
  <dataConsolidate/>
  <dataValidations count="3">
    <dataValidation type="list" allowBlank="1" showInputMessage="1" showErrorMessage="1" sqref="A2:B2" xr:uid="{00000000-0002-0000-3D00-000000000000}">
      <formula1>TestType</formula1>
    </dataValidation>
    <dataValidation type="list" allowBlank="1" showInputMessage="1" showErrorMessage="1" sqref="A4:B4" xr:uid="{00000000-0002-0000-3D00-000001000000}">
      <formula1>ModelType</formula1>
    </dataValidation>
    <dataValidation type="list" allowBlank="1" showInputMessage="1" showErrorMessage="1" sqref="A8:B8" xr:uid="{00000000-0002-0000-3D00-000002000000}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NonLinObj"/>
  <dimension ref="A1:J20"/>
  <sheetViews>
    <sheetView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3.28515625" style="65" customWidth="1"/>
  </cols>
  <sheetData>
    <row r="1" spans="1:10" x14ac:dyDescent="0.25">
      <c r="A1" s="62" t="s">
        <v>203</v>
      </c>
      <c r="C1" t="s">
        <v>80</v>
      </c>
    </row>
    <row r="2" spans="1:10" ht="15.75" thickBot="1" x14ac:dyDescent="0.3">
      <c r="A2" s="63" t="s">
        <v>204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0" x14ac:dyDescent="0.25">
      <c r="A3" s="62" t="s">
        <v>208</v>
      </c>
      <c r="D3" s="1">
        <v>4.2972008226960518E-8</v>
      </c>
      <c r="E3" s="1">
        <v>5.2941176243815775</v>
      </c>
      <c r="F3" s="134">
        <v>1.4200349630533899E-9</v>
      </c>
      <c r="G3" s="1"/>
    </row>
    <row r="4" spans="1:10" ht="15.75" thickBot="1" x14ac:dyDescent="0.3">
      <c r="A4" s="63" t="s">
        <v>207</v>
      </c>
      <c r="D4" s="1"/>
      <c r="E4" s="1"/>
      <c r="F4" s="1"/>
      <c r="G4" s="1"/>
      <c r="H4" s="1"/>
      <c r="I4" s="1"/>
      <c r="J4" s="1"/>
    </row>
    <row r="5" spans="1:10" x14ac:dyDescent="0.25">
      <c r="A5" s="62" t="s">
        <v>209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252.24913569750308</v>
      </c>
      <c r="I5" s="1"/>
      <c r="J5" s="1"/>
    </row>
    <row r="6" spans="1:10" ht="15.75" thickBot="1" x14ac:dyDescent="0.3">
      <c r="A6" s="63" t="b">
        <f>AND(D16,E16,F16,D20)</f>
        <v>1</v>
      </c>
      <c r="D6" s="1"/>
      <c r="E6" s="1"/>
      <c r="F6" s="1"/>
      <c r="G6" s="1"/>
      <c r="H6" s="1"/>
      <c r="I6" s="1"/>
      <c r="J6" s="1"/>
    </row>
    <row r="7" spans="1:10" x14ac:dyDescent="0.25">
      <c r="A7" s="62" t="s">
        <v>210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58.235294314957855</v>
      </c>
      <c r="I7" s="1" t="s">
        <v>8</v>
      </c>
      <c r="J7" s="1">
        <v>60</v>
      </c>
    </row>
    <row r="8" spans="1:10" x14ac:dyDescent="0.25">
      <c r="A8" s="64" t="s">
        <v>200</v>
      </c>
      <c r="D8" s="1">
        <v>21</v>
      </c>
      <c r="E8" s="1">
        <v>22</v>
      </c>
      <c r="F8" s="1">
        <v>23</v>
      </c>
      <c r="G8" s="1"/>
      <c r="H8" s="1">
        <f>SUMPRODUCT($D$3:$F$3,D8:F8)</f>
        <v>116.47058867146768</v>
      </c>
      <c r="I8" s="1" t="s">
        <v>8</v>
      </c>
      <c r="J8" s="1">
        <v>150</v>
      </c>
    </row>
    <row r="9" spans="1:10" ht="15.75" thickBot="1" x14ac:dyDescent="0.3">
      <c r="A9" s="63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116.47058860614607</v>
      </c>
      <c r="I9" s="1" t="s">
        <v>9</v>
      </c>
      <c r="J9" s="1">
        <v>110</v>
      </c>
    </row>
    <row r="10" spans="1:10" ht="15.75" thickBot="1" x14ac:dyDescent="0.3">
      <c r="A10" s="156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180.00000000000068</v>
      </c>
      <c r="I10" s="1" t="s">
        <v>10</v>
      </c>
      <c r="J10" s="1">
        <v>180</v>
      </c>
    </row>
    <row r="11" spans="1:10" x14ac:dyDescent="0.25">
      <c r="D11" s="1"/>
      <c r="E11" s="1"/>
      <c r="F11" s="1"/>
      <c r="G11" s="1"/>
      <c r="H11" s="1"/>
      <c r="I11" s="1"/>
      <c r="J11" s="1"/>
    </row>
    <row r="12" spans="1:10" x14ac:dyDescent="0.25">
      <c r="D12" s="1"/>
      <c r="E12" s="1"/>
      <c r="F12" s="1"/>
      <c r="G12" s="1"/>
      <c r="H12" s="1"/>
      <c r="I12" s="1"/>
      <c r="J12" s="1"/>
    </row>
    <row r="13" spans="1:10" x14ac:dyDescent="0.25">
      <c r="D13" s="1"/>
      <c r="E13" s="1"/>
      <c r="F13" s="1"/>
      <c r="G13" s="1"/>
      <c r="H13" s="1"/>
      <c r="I13" s="1"/>
      <c r="J13" s="1"/>
    </row>
    <row r="14" spans="1:10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0" x14ac:dyDescent="0.25">
      <c r="D15" s="1">
        <v>0</v>
      </c>
      <c r="E15" s="1">
        <v>5.2941176432347898</v>
      </c>
      <c r="F15" s="1">
        <v>0</v>
      </c>
      <c r="G15" s="1"/>
      <c r="H15" s="1"/>
      <c r="I15" s="1"/>
      <c r="J15" s="1"/>
    </row>
    <row r="16" spans="1:10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252.24913406744494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Consolidate/>
  <dataValidations count="3">
    <dataValidation type="list" allowBlank="1" showInputMessage="1" showErrorMessage="1" sqref="A2:B2" xr:uid="{00000000-0002-0000-3E00-000000000000}">
      <formula1>TestType</formula1>
    </dataValidation>
    <dataValidation type="list" allowBlank="1" showInputMessage="1" showErrorMessage="1" sqref="A4:B4" xr:uid="{00000000-0002-0000-3E00-000001000000}">
      <formula1>ModelType</formula1>
    </dataValidation>
    <dataValidation type="list" allowBlank="1" showInputMessage="1" showErrorMessage="1" sqref="A8:B8" xr:uid="{00000000-0002-0000-3E00-000002000000}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NonLinPruning"/>
  <dimension ref="A1:O87"/>
  <sheetViews>
    <sheetView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3.85546875" customWidth="1"/>
    <col min="15" max="15" width="9.140625" customWidth="1"/>
  </cols>
  <sheetData>
    <row r="1" spans="1:15" x14ac:dyDescent="0.25">
      <c r="A1" s="62" t="s">
        <v>203</v>
      </c>
      <c r="C1" t="s">
        <v>227</v>
      </c>
    </row>
    <row r="2" spans="1:15" ht="15.75" thickBot="1" x14ac:dyDescent="0.3">
      <c r="A2" s="63" t="s">
        <v>204</v>
      </c>
    </row>
    <row r="3" spans="1:15" x14ac:dyDescent="0.25">
      <c r="A3" s="62" t="s">
        <v>208</v>
      </c>
    </row>
    <row r="4" spans="1:15" ht="15.75" thickBot="1" x14ac:dyDescent="0.3">
      <c r="A4" s="63" t="s">
        <v>207</v>
      </c>
    </row>
    <row r="5" spans="1:15" x14ac:dyDescent="0.25">
      <c r="A5" s="62" t="s">
        <v>209</v>
      </c>
      <c r="D5">
        <v>0</v>
      </c>
      <c r="E5">
        <v>0</v>
      </c>
    </row>
    <row r="6" spans="1:15" ht="15.75" thickBot="1" x14ac:dyDescent="0.3">
      <c r="A6" s="63" t="b">
        <f>AND(F22)</f>
        <v>0</v>
      </c>
      <c r="F6">
        <f>D5^2*E5^2</f>
        <v>0</v>
      </c>
    </row>
    <row r="7" spans="1:15" x14ac:dyDescent="0.25">
      <c r="A7" s="62" t="s">
        <v>210</v>
      </c>
    </row>
    <row r="8" spans="1:15" x14ac:dyDescent="0.25">
      <c r="A8" s="64" t="s">
        <v>200</v>
      </c>
      <c r="F8">
        <f>D5*E5</f>
        <v>0</v>
      </c>
      <c r="G8" t="s">
        <v>8</v>
      </c>
      <c r="H8">
        <v>20</v>
      </c>
    </row>
    <row r="9" spans="1:15" ht="15.75" thickBot="1" x14ac:dyDescent="0.3">
      <c r="A9" s="63">
        <f>VLOOKUP(A8,OpenSolverResultCodes,2,FALSE)</f>
        <v>0</v>
      </c>
      <c r="F9">
        <f>E5+D5</f>
        <v>0</v>
      </c>
      <c r="H9">
        <v>40</v>
      </c>
    </row>
    <row r="10" spans="1:15" ht="15.75" thickBot="1" x14ac:dyDescent="0.3">
      <c r="A10" s="156" t="str">
        <f>HYPERLINK("[OpenSolver Tester.xlsm]Results!A1", "&lt;- Results")</f>
        <v>&lt;- Results</v>
      </c>
      <c r="F10">
        <f>D5</f>
        <v>0</v>
      </c>
      <c r="G10" t="s">
        <v>9</v>
      </c>
      <c r="H10">
        <v>0</v>
      </c>
    </row>
    <row r="11" spans="1:15" x14ac:dyDescent="0.25">
      <c r="F11">
        <f>E5</f>
        <v>0</v>
      </c>
      <c r="H11">
        <v>0</v>
      </c>
    </row>
    <row r="12" spans="1:15" x14ac:dyDescent="0.25">
      <c r="F12">
        <f>E5*D5+E5+D5</f>
        <v>0</v>
      </c>
      <c r="G12" t="s">
        <v>8</v>
      </c>
      <c r="H12">
        <v>60</v>
      </c>
      <c r="I12" t="s">
        <v>307</v>
      </c>
    </row>
    <row r="13" spans="1:15" x14ac:dyDescent="0.25">
      <c r="F13">
        <f>E5+D5*E5+D5</f>
        <v>0</v>
      </c>
      <c r="G13" t="s">
        <v>8</v>
      </c>
      <c r="H13">
        <v>60</v>
      </c>
      <c r="I13" t="s">
        <v>308</v>
      </c>
    </row>
    <row r="14" spans="1:15" x14ac:dyDescent="0.25">
      <c r="F14">
        <f>E5+D5+E5*D5</f>
        <v>0</v>
      </c>
      <c r="G14" t="s">
        <v>8</v>
      </c>
      <c r="H14">
        <v>60</v>
      </c>
      <c r="I14" t="s">
        <v>309</v>
      </c>
    </row>
    <row r="15" spans="1:15" ht="15.75" customHeight="1" x14ac:dyDescent="0.25">
      <c r="F15">
        <f>E5*D5-E5-D5</f>
        <v>0</v>
      </c>
      <c r="G15" t="s">
        <v>8</v>
      </c>
      <c r="H15">
        <v>0</v>
      </c>
      <c r="O15" s="81"/>
    </row>
    <row r="16" spans="1:15" x14ac:dyDescent="0.25">
      <c r="F16">
        <f>E5-D5*E5+D5</f>
        <v>0</v>
      </c>
      <c r="G16" t="s">
        <v>8</v>
      </c>
      <c r="H16">
        <v>60</v>
      </c>
      <c r="O16" s="81"/>
    </row>
    <row r="17" spans="6:15" x14ac:dyDescent="0.25">
      <c r="F17">
        <f>E5-D5+E5*D5</f>
        <v>0</v>
      </c>
      <c r="G17" t="s">
        <v>8</v>
      </c>
      <c r="H17">
        <v>0</v>
      </c>
      <c r="O17" s="81"/>
    </row>
    <row r="18" spans="6:15" x14ac:dyDescent="0.25">
      <c r="F18">
        <f>ROW()</f>
        <v>18</v>
      </c>
      <c r="G18" t="s">
        <v>8</v>
      </c>
      <c r="H18">
        <v>20</v>
      </c>
      <c r="I18" t="s">
        <v>331</v>
      </c>
      <c r="O18" s="81"/>
    </row>
    <row r="19" spans="6:15" x14ac:dyDescent="0.25">
      <c r="O19" s="81"/>
    </row>
    <row r="20" spans="6:15" x14ac:dyDescent="0.25">
      <c r="F20" t="s">
        <v>230</v>
      </c>
      <c r="O20" s="81"/>
    </row>
    <row r="21" spans="6:15" x14ac:dyDescent="0.25">
      <c r="F21" s="79">
        <v>400</v>
      </c>
      <c r="O21" s="81"/>
    </row>
    <row r="22" spans="6:15" x14ac:dyDescent="0.25">
      <c r="F22" s="8" t="b">
        <f>ABS(F6-F21)/(1+ABS(F21))&lt;=0.000001</f>
        <v>0</v>
      </c>
      <c r="O22" s="81"/>
    </row>
    <row r="23" spans="6:15" x14ac:dyDescent="0.25">
      <c r="O23" s="81"/>
    </row>
    <row r="24" spans="6:15" x14ac:dyDescent="0.25">
      <c r="O24" s="81"/>
    </row>
    <row r="25" spans="6:15" x14ac:dyDescent="0.25">
      <c r="O25" s="81"/>
    </row>
    <row r="26" spans="6:15" x14ac:dyDescent="0.25">
      <c r="J26" t="e">
        <f>solve</f>
        <v>#NAME?</v>
      </c>
      <c r="O26" s="81"/>
    </row>
    <row r="27" spans="6:15" x14ac:dyDescent="0.25">
      <c r="O27" s="81"/>
    </row>
    <row r="28" spans="6:15" x14ac:dyDescent="0.25">
      <c r="O28" s="81"/>
    </row>
    <row r="29" spans="6:15" x14ac:dyDescent="0.25">
      <c r="O29" s="81"/>
    </row>
    <row r="30" spans="6:15" x14ac:dyDescent="0.25">
      <c r="O30" s="81"/>
    </row>
    <row r="31" spans="6:15" x14ac:dyDescent="0.25">
      <c r="O31" s="81"/>
    </row>
    <row r="32" spans="6:15" x14ac:dyDescent="0.25">
      <c r="O32" s="81"/>
    </row>
    <row r="33" spans="15:15" x14ac:dyDescent="0.25">
      <c r="O33" s="81"/>
    </row>
    <row r="34" spans="15:15" x14ac:dyDescent="0.25">
      <c r="O34" s="81"/>
    </row>
    <row r="35" spans="15:15" x14ac:dyDescent="0.25">
      <c r="O35" s="81"/>
    </row>
    <row r="36" spans="15:15" x14ac:dyDescent="0.25">
      <c r="O36" s="81"/>
    </row>
    <row r="37" spans="15:15" x14ac:dyDescent="0.25">
      <c r="O37" s="81"/>
    </row>
    <row r="38" spans="15:15" x14ac:dyDescent="0.25">
      <c r="O38" s="81"/>
    </row>
    <row r="39" spans="15:15" x14ac:dyDescent="0.25">
      <c r="O39" s="81"/>
    </row>
    <row r="40" spans="15:15" x14ac:dyDescent="0.25">
      <c r="O40" s="81"/>
    </row>
    <row r="41" spans="15:15" x14ac:dyDescent="0.25">
      <c r="O41" s="81"/>
    </row>
    <row r="42" spans="15:15" x14ac:dyDescent="0.25">
      <c r="O42" s="81"/>
    </row>
    <row r="43" spans="15:15" x14ac:dyDescent="0.25">
      <c r="O43" s="81"/>
    </row>
    <row r="44" spans="15:15" x14ac:dyDescent="0.25">
      <c r="O44" s="81"/>
    </row>
    <row r="45" spans="15:15" x14ac:dyDescent="0.25">
      <c r="O45" s="81"/>
    </row>
    <row r="46" spans="15:15" x14ac:dyDescent="0.25">
      <c r="O46" s="81"/>
    </row>
    <row r="47" spans="15:15" x14ac:dyDescent="0.25">
      <c r="O47" s="81"/>
    </row>
    <row r="48" spans="15:15" x14ac:dyDescent="0.25">
      <c r="O48" s="81"/>
    </row>
    <row r="49" spans="15:15" x14ac:dyDescent="0.25">
      <c r="O49" s="81"/>
    </row>
    <row r="50" spans="15:15" x14ac:dyDescent="0.25">
      <c r="O50" s="81"/>
    </row>
    <row r="51" spans="15:15" x14ac:dyDescent="0.25">
      <c r="O51" s="81"/>
    </row>
    <row r="52" spans="15:15" x14ac:dyDescent="0.25">
      <c r="O52" s="81"/>
    </row>
    <row r="53" spans="15:15" x14ac:dyDescent="0.25">
      <c r="O53" s="81"/>
    </row>
    <row r="54" spans="15:15" x14ac:dyDescent="0.25">
      <c r="O54" s="81"/>
    </row>
    <row r="55" spans="15:15" x14ac:dyDescent="0.25">
      <c r="O55" s="81"/>
    </row>
    <row r="56" spans="15:15" x14ac:dyDescent="0.25">
      <c r="O56" s="81"/>
    </row>
    <row r="57" spans="15:15" x14ac:dyDescent="0.25">
      <c r="O57" s="81"/>
    </row>
    <row r="58" spans="15:15" x14ac:dyDescent="0.25">
      <c r="O58" s="81"/>
    </row>
    <row r="59" spans="15:15" x14ac:dyDescent="0.25">
      <c r="O59" s="81"/>
    </row>
    <row r="60" spans="15:15" x14ac:dyDescent="0.25">
      <c r="O60" s="81"/>
    </row>
    <row r="61" spans="15:15" x14ac:dyDescent="0.25">
      <c r="O61" s="81"/>
    </row>
    <row r="62" spans="15:15" x14ac:dyDescent="0.25">
      <c r="O62" s="81"/>
    </row>
    <row r="63" spans="15:15" x14ac:dyDescent="0.25">
      <c r="O63" s="81"/>
    </row>
    <row r="64" spans="15:15" x14ac:dyDescent="0.25">
      <c r="O64" s="81"/>
    </row>
    <row r="65" spans="15:15" x14ac:dyDescent="0.25">
      <c r="O65" s="81"/>
    </row>
    <row r="66" spans="15:15" x14ac:dyDescent="0.25">
      <c r="O66" s="81"/>
    </row>
    <row r="67" spans="15:15" x14ac:dyDescent="0.25">
      <c r="O67" s="81"/>
    </row>
    <row r="68" spans="15:15" x14ac:dyDescent="0.25">
      <c r="O68" s="81"/>
    </row>
    <row r="69" spans="15:15" x14ac:dyDescent="0.25">
      <c r="O69" s="81"/>
    </row>
    <row r="70" spans="15:15" x14ac:dyDescent="0.25">
      <c r="O70" s="81"/>
    </row>
    <row r="71" spans="15:15" x14ac:dyDescent="0.25">
      <c r="O71" s="81"/>
    </row>
    <row r="72" spans="15:15" x14ac:dyDescent="0.25">
      <c r="O72" s="81"/>
    </row>
    <row r="73" spans="15:15" x14ac:dyDescent="0.25">
      <c r="O73" s="81"/>
    </row>
    <row r="74" spans="15:15" x14ac:dyDescent="0.25">
      <c r="O74" s="81"/>
    </row>
    <row r="75" spans="15:15" x14ac:dyDescent="0.25">
      <c r="O75" s="81"/>
    </row>
    <row r="76" spans="15:15" x14ac:dyDescent="0.25">
      <c r="O76" s="81"/>
    </row>
    <row r="77" spans="15:15" x14ac:dyDescent="0.25">
      <c r="O77" s="81"/>
    </row>
    <row r="78" spans="15:15" x14ac:dyDescent="0.25">
      <c r="O78" s="81"/>
    </row>
    <row r="79" spans="15:15" x14ac:dyDescent="0.25">
      <c r="O79" s="81"/>
    </row>
    <row r="80" spans="15:15" x14ac:dyDescent="0.25">
      <c r="O80" s="81"/>
    </row>
    <row r="81" spans="15:15" x14ac:dyDescent="0.25">
      <c r="O81" s="81"/>
    </row>
    <row r="82" spans="15:15" x14ac:dyDescent="0.25">
      <c r="O82" s="81"/>
    </row>
    <row r="83" spans="15:15" x14ac:dyDescent="0.25">
      <c r="O83" s="81"/>
    </row>
    <row r="84" spans="15:15" x14ac:dyDescent="0.25">
      <c r="O84" s="81"/>
    </row>
    <row r="85" spans="15:15" x14ac:dyDescent="0.25">
      <c r="O85" s="81"/>
    </row>
    <row r="86" spans="15:15" x14ac:dyDescent="0.25">
      <c r="O86" s="81"/>
    </row>
    <row r="87" spans="15:15" x14ac:dyDescent="0.25">
      <c r="O87" s="81"/>
    </row>
  </sheetData>
  <dataConsolidate/>
  <dataValidations disablePrompts="1" count="3">
    <dataValidation type="list" allowBlank="1" showInputMessage="1" showErrorMessage="1" sqref="A2" xr:uid="{00000000-0002-0000-3F00-000000000000}">
      <formula1>TestType</formula1>
    </dataValidation>
    <dataValidation type="list" allowBlank="1" showInputMessage="1" showErrorMessage="1" sqref="A4" xr:uid="{00000000-0002-0000-3F00-000001000000}">
      <formula1>ModelType</formula1>
    </dataValidation>
    <dataValidation type="list" allowBlank="1" showInputMessage="1" showErrorMessage="1" sqref="A8" xr:uid="{00000000-0002-0000-3F00-000002000000}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NonLinMinMax"/>
  <dimension ref="A1:I12"/>
  <sheetViews>
    <sheetView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3" customWidth="1"/>
  </cols>
  <sheetData>
    <row r="1" spans="1:9" x14ac:dyDescent="0.25">
      <c r="A1" s="62" t="s">
        <v>203</v>
      </c>
    </row>
    <row r="2" spans="1:9" ht="15.75" thickBot="1" x14ac:dyDescent="0.3">
      <c r="A2" s="63" t="s">
        <v>204</v>
      </c>
    </row>
    <row r="3" spans="1:9" x14ac:dyDescent="0.25">
      <c r="A3" s="62" t="s">
        <v>208</v>
      </c>
      <c r="D3" t="s">
        <v>217</v>
      </c>
      <c r="E3" t="s">
        <v>218</v>
      </c>
      <c r="F3" t="s">
        <v>219</v>
      </c>
    </row>
    <row r="4" spans="1:9" ht="15.75" thickBot="1" x14ac:dyDescent="0.3">
      <c r="A4" s="63" t="s">
        <v>207</v>
      </c>
      <c r="D4">
        <v>0</v>
      </c>
      <c r="E4">
        <v>0</v>
      </c>
      <c r="F4">
        <v>0</v>
      </c>
    </row>
    <row r="5" spans="1:9" x14ac:dyDescent="0.25">
      <c r="A5" s="62" t="s">
        <v>209</v>
      </c>
    </row>
    <row r="6" spans="1:9" ht="15.75" thickBot="1" x14ac:dyDescent="0.3">
      <c r="A6" s="63" t="b">
        <f>AND(D12,E12,G12)</f>
        <v>0</v>
      </c>
      <c r="C6" t="s">
        <v>220</v>
      </c>
      <c r="D6">
        <v>1</v>
      </c>
      <c r="E6">
        <v>1</v>
      </c>
      <c r="F6">
        <v>2</v>
      </c>
      <c r="G6">
        <f>D4^2+5*D4+E4+MAX(D4:E4,MIN(D4,1))</f>
        <v>0</v>
      </c>
    </row>
    <row r="7" spans="1:9" x14ac:dyDescent="0.25">
      <c r="A7" s="62" t="s">
        <v>210</v>
      </c>
      <c r="C7" t="s">
        <v>221</v>
      </c>
    </row>
    <row r="8" spans="1:9" x14ac:dyDescent="0.25">
      <c r="A8" s="64" t="s">
        <v>200</v>
      </c>
      <c r="D8">
        <v>1</v>
      </c>
      <c r="E8">
        <v>1</v>
      </c>
      <c r="F8">
        <v>0</v>
      </c>
      <c r="G8">
        <f>SUMPRODUCT($D$4:$F$4,D8:F8)^2</f>
        <v>0</v>
      </c>
      <c r="H8" t="s">
        <v>8</v>
      </c>
      <c r="I8">
        <v>5</v>
      </c>
    </row>
    <row r="9" spans="1:9" ht="15.75" thickBot="1" x14ac:dyDescent="0.3">
      <c r="A9" s="63">
        <f>VLOOKUP(A8,OpenSolverResultCodes,2,FALSE)</f>
        <v>0</v>
      </c>
    </row>
    <row r="10" spans="1:9" ht="15.75" thickBot="1" x14ac:dyDescent="0.3">
      <c r="A10" s="156" t="str">
        <f>HYPERLINK("[OpenSolver Tester.xlsm]Results!A1", "&lt;- Results")</f>
        <v>&lt;- Results</v>
      </c>
      <c r="D10" s="146" t="s">
        <v>1</v>
      </c>
      <c r="E10" s="146" t="s">
        <v>2</v>
      </c>
      <c r="F10" s="146"/>
      <c r="G10" t="s">
        <v>230</v>
      </c>
    </row>
    <row r="11" spans="1:9" x14ac:dyDescent="0.25">
      <c r="D11" s="146">
        <v>2</v>
      </c>
      <c r="E11" s="146">
        <v>0</v>
      </c>
      <c r="F11" s="146"/>
      <c r="G11" s="146">
        <v>16</v>
      </c>
    </row>
    <row r="12" spans="1:9" x14ac:dyDescent="0.25">
      <c r="C12" s="80"/>
      <c r="D12" s="8" t="b">
        <f>ABS(D4-D11)/(1+ABS(D11))&lt;=0.0001</f>
        <v>0</v>
      </c>
      <c r="E12" s="8" t="b">
        <f>ABS(E4-E11)/(1+ABS(E11))&lt;=0.0001</f>
        <v>1</v>
      </c>
      <c r="F12" s="8"/>
      <c r="G12" s="8" t="b">
        <f>ABS(G6-G11)/(1+ABS(G11))&lt;=0.000001</f>
        <v>0</v>
      </c>
    </row>
  </sheetData>
  <dataConsolidate/>
  <dataValidations count="3">
    <dataValidation type="list" allowBlank="1" showInputMessage="1" showErrorMessage="1" sqref="A8" xr:uid="{00000000-0002-0000-4000-000000000000}">
      <formula1>OpenSolverResult</formula1>
    </dataValidation>
    <dataValidation type="list" allowBlank="1" showInputMessage="1" showErrorMessage="1" sqref="A4" xr:uid="{00000000-0002-0000-4000-000001000000}">
      <formula1>ModelType</formula1>
    </dataValidation>
    <dataValidation type="list" allowBlank="1" showInputMessage="1" showErrorMessage="1" sqref="A2" xr:uid="{00000000-0002-0000-4000-000002000000}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NonLinConstraints"/>
  <dimension ref="A1:K30"/>
  <sheetViews>
    <sheetView topLeftCell="A4"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3" style="65" customWidth="1"/>
  </cols>
  <sheetData>
    <row r="1" spans="1:11" x14ac:dyDescent="0.25">
      <c r="A1" s="62" t="s">
        <v>203</v>
      </c>
    </row>
    <row r="2" spans="1:11" ht="15.75" thickBot="1" x14ac:dyDescent="0.3">
      <c r="A2" s="63" t="s">
        <v>204</v>
      </c>
    </row>
    <row r="3" spans="1:11" x14ac:dyDescent="0.25">
      <c r="A3" s="62" t="s">
        <v>208</v>
      </c>
    </row>
    <row r="4" spans="1:11" ht="15.75" thickBot="1" x14ac:dyDescent="0.3">
      <c r="A4" s="63" t="s">
        <v>207</v>
      </c>
      <c r="D4" t="s">
        <v>126</v>
      </c>
      <c r="E4" t="s">
        <v>128</v>
      </c>
      <c r="F4" t="s">
        <v>130</v>
      </c>
      <c r="G4" t="s">
        <v>228</v>
      </c>
      <c r="H4" t="s">
        <v>229</v>
      </c>
    </row>
    <row r="5" spans="1:11" x14ac:dyDescent="0.25">
      <c r="A5" s="62" t="s">
        <v>209</v>
      </c>
      <c r="D5">
        <v>0</v>
      </c>
      <c r="E5">
        <v>0</v>
      </c>
      <c r="F5">
        <v>0</v>
      </c>
      <c r="G5">
        <v>0</v>
      </c>
      <c r="H5">
        <v>0</v>
      </c>
    </row>
    <row r="6" spans="1:11" ht="15.75" thickBot="1" x14ac:dyDescent="0.3">
      <c r="A6" s="63" t="b">
        <f>AND(I16)</f>
        <v>1</v>
      </c>
      <c r="C6" t="s">
        <v>0</v>
      </c>
      <c r="I6">
        <f>H5</f>
        <v>0</v>
      </c>
    </row>
    <row r="7" spans="1:11" x14ac:dyDescent="0.25">
      <c r="A7" s="62" t="s">
        <v>210</v>
      </c>
      <c r="I7">
        <f>(D5-1)^2+(E5-1)^2+(F5-1)^2+(G5-1)^2+(H5-1)^2-25</f>
        <v>-20</v>
      </c>
      <c r="J7" t="s">
        <v>8</v>
      </c>
      <c r="K7">
        <v>0</v>
      </c>
    </row>
    <row r="8" spans="1:11" x14ac:dyDescent="0.25">
      <c r="A8" s="64" t="s">
        <v>200</v>
      </c>
      <c r="I8">
        <f>25-((D5+1)^2+(E5+1)^2+(F5+1)^2+(G5+1)^2+(H5+1)^2)</f>
        <v>20</v>
      </c>
      <c r="J8" t="s">
        <v>8</v>
      </c>
      <c r="K8">
        <v>0</v>
      </c>
    </row>
    <row r="9" spans="1:11" ht="15.75" thickBot="1" x14ac:dyDescent="0.3">
      <c r="A9" s="63">
        <f>VLOOKUP(A8,OpenSolverResultCodes,2,FALSE)</f>
        <v>0</v>
      </c>
      <c r="I9">
        <f>SUM(D5:H5)+I8</f>
        <v>20</v>
      </c>
      <c r="J9" t="s">
        <v>8</v>
      </c>
      <c r="K9">
        <v>0</v>
      </c>
    </row>
    <row r="10" spans="1:11" ht="15.75" thickBot="1" x14ac:dyDescent="0.3">
      <c r="A10" s="156" t="str">
        <f>HYPERLINK("[OpenSolver Tester.xlsm]Results!A1", "&lt;- Results")</f>
        <v>&lt;- Results</v>
      </c>
    </row>
    <row r="14" spans="1:11" x14ac:dyDescent="0.25">
      <c r="D14" s="79"/>
      <c r="E14" s="79"/>
      <c r="F14" s="79"/>
      <c r="I14" s="79" t="s">
        <v>230</v>
      </c>
    </row>
    <row r="15" spans="1:11" x14ac:dyDescent="0.25">
      <c r="D15" s="79"/>
      <c r="E15" s="79"/>
      <c r="F15" s="79"/>
      <c r="G15" s="79"/>
      <c r="H15" s="79"/>
      <c r="I15">
        <v>0</v>
      </c>
    </row>
    <row r="16" spans="1:11" x14ac:dyDescent="0.25">
      <c r="D16" s="8"/>
      <c r="E16" s="8"/>
      <c r="F16" s="8"/>
      <c r="G16" s="8"/>
      <c r="H16" s="8"/>
      <c r="I16" s="8" t="b">
        <f>ABS(I6-I15)/(1+ABS(I15))&lt;=0.000001</f>
        <v>1</v>
      </c>
    </row>
    <row r="30" spans="5:5" x14ac:dyDescent="0.25">
      <c r="E30" s="17"/>
    </row>
  </sheetData>
  <dataConsolidate/>
  <dataValidations count="3">
    <dataValidation type="list" allowBlank="1" showInputMessage="1" showErrorMessage="1" sqref="A2:B2" xr:uid="{00000000-0002-0000-4100-000000000000}">
      <formula1>TestType</formula1>
    </dataValidation>
    <dataValidation type="list" allowBlank="1" showInputMessage="1" showErrorMessage="1" sqref="A4:B4" xr:uid="{00000000-0002-0000-4100-000001000000}">
      <formula1>ModelType</formula1>
    </dataValidation>
    <dataValidation type="list" allowBlank="1" showInputMessage="1" showErrorMessage="1" sqref="A8:B8" xr:uid="{00000000-0002-0000-4100-000002000000}">
      <formula1>OpenSolverResult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NonLinBinary"/>
  <dimension ref="A1:H21"/>
  <sheetViews>
    <sheetView workbookViewId="0"/>
  </sheetViews>
  <sheetFormatPr defaultColWidth="8.85546875" defaultRowHeight="15" x14ac:dyDescent="0.25"/>
  <cols>
    <col min="1" max="1" width="15" style="60" bestFit="1" customWidth="1"/>
    <col min="2" max="2" width="3.140625" customWidth="1"/>
    <col min="3" max="4" width="9.140625" customWidth="1"/>
    <col min="5" max="5" width="5.28515625" customWidth="1"/>
    <col min="6" max="6" width="3.7109375" customWidth="1"/>
    <col min="7" max="7" width="2.85546875" customWidth="1"/>
  </cols>
  <sheetData>
    <row r="1" spans="1:8" x14ac:dyDescent="0.25">
      <c r="A1" s="62" t="s">
        <v>203</v>
      </c>
    </row>
    <row r="2" spans="1:8" ht="15.75" thickBot="1" x14ac:dyDescent="0.3">
      <c r="A2" s="63" t="s">
        <v>204</v>
      </c>
    </row>
    <row r="3" spans="1:8" x14ac:dyDescent="0.25">
      <c r="A3" s="62" t="s">
        <v>208</v>
      </c>
      <c r="C3" s="67" t="s">
        <v>126</v>
      </c>
      <c r="D3" s="69" t="s">
        <v>128</v>
      </c>
      <c r="E3" s="157"/>
      <c r="G3" s="157"/>
      <c r="H3" t="s">
        <v>333</v>
      </c>
    </row>
    <row r="4" spans="1:8" ht="15.75" thickBot="1" x14ac:dyDescent="0.3">
      <c r="A4" s="63" t="s">
        <v>207</v>
      </c>
      <c r="C4" s="36">
        <v>0</v>
      </c>
      <c r="D4" s="158">
        <v>0</v>
      </c>
      <c r="E4" s="157"/>
      <c r="G4" s="157"/>
    </row>
    <row r="5" spans="1:8" x14ac:dyDescent="0.25">
      <c r="A5" s="62" t="s">
        <v>209</v>
      </c>
      <c r="C5" s="35"/>
      <c r="D5" s="35"/>
      <c r="E5" s="157"/>
      <c r="F5" s="35"/>
      <c r="G5" s="157"/>
    </row>
    <row r="6" spans="1:8" ht="15.75" thickBot="1" x14ac:dyDescent="0.3">
      <c r="A6" s="63" t="b">
        <f>AND(C20,D20,E20,C24)</f>
        <v>1</v>
      </c>
      <c r="C6" s="159">
        <f>100*(D4-(0.5+C4)^2)^2+(1-C4)^2</f>
        <v>7.25</v>
      </c>
      <c r="E6" s="157"/>
      <c r="F6" s="35"/>
      <c r="G6" s="157"/>
    </row>
    <row r="7" spans="1:8" x14ac:dyDescent="0.25">
      <c r="A7" s="62" t="s">
        <v>210</v>
      </c>
      <c r="E7" s="157"/>
      <c r="F7" s="35"/>
      <c r="G7" s="157"/>
    </row>
    <row r="8" spans="1:8" x14ac:dyDescent="0.25">
      <c r="A8" s="64" t="s">
        <v>200</v>
      </c>
      <c r="C8" s="67">
        <v>1</v>
      </c>
      <c r="D8" s="69">
        <v>0</v>
      </c>
      <c r="E8" s="67">
        <f>SUMPRODUCT(C8:D8,$C$4:$D$4)</f>
        <v>0</v>
      </c>
      <c r="F8" s="68" t="s">
        <v>9</v>
      </c>
      <c r="G8" s="69">
        <v>0</v>
      </c>
    </row>
    <row r="9" spans="1:8" ht="15.75" thickBot="1" x14ac:dyDescent="0.3">
      <c r="A9" s="63">
        <f>VLOOKUP(A8,OpenSolverResultCodes,2,FALSE)</f>
        <v>0</v>
      </c>
      <c r="C9" s="36">
        <v>0</v>
      </c>
      <c r="D9" s="158">
        <v>1</v>
      </c>
      <c r="E9" s="36">
        <f>SUMPRODUCT(C9:D9,$C$4:$D$4,C8:D8)</f>
        <v>0</v>
      </c>
      <c r="F9" s="37" t="s">
        <v>9</v>
      </c>
      <c r="G9" s="158">
        <v>0</v>
      </c>
    </row>
    <row r="10" spans="1:8" ht="15.75" thickBot="1" x14ac:dyDescent="0.3">
      <c r="A10" s="156" t="str">
        <f>HYPERLINK("[OpenSolver Tester.xlsm]Results!A1", "&lt;- Results")</f>
        <v>&lt;- Results</v>
      </c>
    </row>
    <row r="15" spans="1:8" x14ac:dyDescent="0.25">
      <c r="C15" s="17" t="s">
        <v>15</v>
      </c>
      <c r="D15" s="157"/>
      <c r="E15" s="157"/>
      <c r="F15" s="157"/>
    </row>
    <row r="16" spans="1:8" x14ac:dyDescent="0.25">
      <c r="D16" s="157">
        <v>0</v>
      </c>
      <c r="E16" s="157">
        <v>0</v>
      </c>
      <c r="F16" s="157"/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/>
    </row>
    <row r="18" spans="3:6" x14ac:dyDescent="0.25">
      <c r="D18" s="157"/>
      <c r="E18" s="157"/>
      <c r="F18" s="157"/>
    </row>
    <row r="19" spans="3:6" x14ac:dyDescent="0.25">
      <c r="C19" s="17" t="s">
        <v>16</v>
      </c>
      <c r="D19" s="157"/>
      <c r="E19" s="157"/>
      <c r="F19" s="157"/>
    </row>
    <row r="20" spans="3:6" x14ac:dyDescent="0.25">
      <c r="D20" s="157">
        <v>7.25</v>
      </c>
      <c r="E20" s="157"/>
      <c r="F20" s="157"/>
    </row>
    <row r="21" spans="3:6" x14ac:dyDescent="0.25">
      <c r="C21" t="s">
        <v>17</v>
      </c>
      <c r="D21" s="8" t="b">
        <f>ABS(D20-C6)/(1+ABS(D20))&lt;=0.000001</f>
        <v>1</v>
      </c>
      <c r="E21" s="157"/>
      <c r="F21" s="157"/>
    </row>
  </sheetData>
  <dataConsolidate/>
  <dataValidations count="3">
    <dataValidation type="list" allowBlank="1" showInputMessage="1" showErrorMessage="1" sqref="A8:B8" xr:uid="{00000000-0002-0000-4200-000000000000}">
      <formula1>OpenSolverResult</formula1>
    </dataValidation>
    <dataValidation type="list" allowBlank="1" showInputMessage="1" showErrorMessage="1" sqref="A4:B4" xr:uid="{00000000-0002-0000-4200-000001000000}">
      <formula1>ModelType</formula1>
    </dataValidation>
    <dataValidation type="list" allowBlank="1" showInputMessage="1" showErrorMessage="1" sqref="A2:B2" xr:uid="{00000000-0002-0000-4200-000002000000}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NonLin"/>
  <dimension ref="A1:Q44"/>
  <sheetViews>
    <sheetView topLeftCell="A28"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2.85546875" customWidth="1"/>
    <col min="3" max="3" width="26.140625" customWidth="1"/>
  </cols>
  <sheetData>
    <row r="1" spans="1:15" x14ac:dyDescent="0.25">
      <c r="A1" s="62" t="s">
        <v>203</v>
      </c>
      <c r="C1" t="s">
        <v>37</v>
      </c>
    </row>
    <row r="2" spans="1:15" ht="44.25" thickBot="1" x14ac:dyDescent="0.3">
      <c r="A2" s="63" t="s">
        <v>204</v>
      </c>
      <c r="C2" s="20"/>
      <c r="D2" s="20" t="s">
        <v>38</v>
      </c>
      <c r="E2" s="20" t="s">
        <v>39</v>
      </c>
      <c r="F2" s="20" t="s">
        <v>40</v>
      </c>
      <c r="G2" s="20" t="s">
        <v>41</v>
      </c>
      <c r="H2" s="20" t="s">
        <v>42</v>
      </c>
      <c r="I2" s="20" t="s">
        <v>43</v>
      </c>
      <c r="N2" s="26" t="s">
        <v>77</v>
      </c>
    </row>
    <row r="3" spans="1:15" x14ac:dyDescent="0.25">
      <c r="A3" s="62" t="s">
        <v>208</v>
      </c>
      <c r="C3" s="21" t="s">
        <v>44</v>
      </c>
      <c r="D3" s="22">
        <v>0</v>
      </c>
      <c r="E3" s="21">
        <v>452</v>
      </c>
      <c r="F3" s="21">
        <v>21</v>
      </c>
      <c r="G3" s="21">
        <v>26</v>
      </c>
      <c r="H3" s="21">
        <v>1219</v>
      </c>
      <c r="I3" s="23">
        <v>3.35</v>
      </c>
      <c r="N3">
        <v>0</v>
      </c>
      <c r="O3" t="b">
        <f t="shared" ref="O3:O35" si="0">IF(N3=D3,TRUE,FALSE)</f>
        <v>1</v>
      </c>
    </row>
    <row r="4" spans="1:15" ht="15.75" thickBot="1" x14ac:dyDescent="0.3">
      <c r="A4" s="63" t="s">
        <v>207</v>
      </c>
      <c r="C4" s="21" t="s">
        <v>45</v>
      </c>
      <c r="D4" s="22">
        <v>0</v>
      </c>
      <c r="E4" s="27">
        <f>289*D4</f>
        <v>0</v>
      </c>
      <c r="F4" s="21">
        <v>12</v>
      </c>
      <c r="G4" s="21">
        <v>17</v>
      </c>
      <c r="H4" s="21">
        <v>346</v>
      </c>
      <c r="I4" s="23">
        <v>1.55</v>
      </c>
      <c r="N4">
        <v>0</v>
      </c>
      <c r="O4" t="b">
        <f t="shared" si="0"/>
        <v>1</v>
      </c>
    </row>
    <row r="5" spans="1:15" x14ac:dyDescent="0.25">
      <c r="A5" s="62" t="s">
        <v>209</v>
      </c>
      <c r="C5" s="21" t="s">
        <v>46</v>
      </c>
      <c r="D5" s="22">
        <v>0</v>
      </c>
      <c r="E5" s="21">
        <v>251</v>
      </c>
      <c r="F5" s="21">
        <v>10</v>
      </c>
      <c r="G5" s="21">
        <v>13</v>
      </c>
      <c r="H5" s="21">
        <v>570</v>
      </c>
      <c r="I5" s="23">
        <v>0.95</v>
      </c>
      <c r="N5">
        <v>0</v>
      </c>
      <c r="O5" t="b">
        <f t="shared" si="0"/>
        <v>1</v>
      </c>
    </row>
    <row r="6" spans="1:15" ht="15.75" thickBot="1" x14ac:dyDescent="0.3">
      <c r="A6" s="63" t="b">
        <f>AND(K37)</f>
        <v>0</v>
      </c>
      <c r="C6" s="21" t="s">
        <v>47</v>
      </c>
      <c r="D6" s="22">
        <v>0</v>
      </c>
      <c r="E6" s="21">
        <v>533</v>
      </c>
      <c r="F6" s="21">
        <v>32</v>
      </c>
      <c r="G6" s="21">
        <v>37</v>
      </c>
      <c r="H6" s="21">
        <v>524</v>
      </c>
      <c r="I6" s="23">
        <v>3.85</v>
      </c>
      <c r="N6">
        <v>0</v>
      </c>
      <c r="O6" t="b">
        <f t="shared" si="0"/>
        <v>1</v>
      </c>
    </row>
    <row r="7" spans="1:15" x14ac:dyDescent="0.25">
      <c r="A7" s="62" t="s">
        <v>210</v>
      </c>
      <c r="C7" s="21" t="s">
        <v>48</v>
      </c>
      <c r="D7" s="22">
        <v>0</v>
      </c>
      <c r="E7" s="21">
        <v>496</v>
      </c>
      <c r="F7" s="21">
        <v>25</v>
      </c>
      <c r="G7" s="21">
        <v>32</v>
      </c>
      <c r="H7" s="21">
        <v>722</v>
      </c>
      <c r="I7" s="23">
        <v>3.45</v>
      </c>
      <c r="N7">
        <v>0</v>
      </c>
      <c r="O7" t="b">
        <f t="shared" si="0"/>
        <v>1</v>
      </c>
    </row>
    <row r="8" spans="1:15" x14ac:dyDescent="0.25">
      <c r="A8" s="64" t="s">
        <v>200</v>
      </c>
      <c r="C8" s="21" t="s">
        <v>49</v>
      </c>
      <c r="D8" s="22">
        <v>0</v>
      </c>
      <c r="E8" s="21">
        <v>499</v>
      </c>
      <c r="F8" s="21">
        <v>27</v>
      </c>
      <c r="G8" s="21">
        <v>32</v>
      </c>
      <c r="H8" s="21">
        <v>948</v>
      </c>
      <c r="I8" s="23">
        <v>3.4</v>
      </c>
      <c r="N8">
        <v>0</v>
      </c>
      <c r="O8" t="b">
        <f t="shared" si="0"/>
        <v>1</v>
      </c>
    </row>
    <row r="9" spans="1:15" ht="15.75" thickBot="1" x14ac:dyDescent="0.3">
      <c r="A9" s="63">
        <f>VLOOKUP(A8,OpenSolverResultCodes,2,FALSE)</f>
        <v>0</v>
      </c>
      <c r="C9" s="21" t="s">
        <v>50</v>
      </c>
      <c r="D9" s="22">
        <v>0</v>
      </c>
      <c r="E9" s="21">
        <v>275</v>
      </c>
      <c r="F9" s="21">
        <v>7</v>
      </c>
      <c r="G9" s="21">
        <v>10</v>
      </c>
      <c r="H9" s="21">
        <v>612</v>
      </c>
      <c r="I9" s="23">
        <v>2.35</v>
      </c>
      <c r="N9">
        <v>0</v>
      </c>
      <c r="O9" t="b">
        <f t="shared" si="0"/>
        <v>1</v>
      </c>
    </row>
    <row r="10" spans="1:15" ht="15" customHeight="1" thickBot="1" x14ac:dyDescent="0.3">
      <c r="A10" s="156" t="str">
        <f>HYPERLINK("[OpenSolver Tester.xlsm]Results!A1", "&lt;- Results")</f>
        <v>&lt;- Results</v>
      </c>
      <c r="C10" s="21"/>
      <c r="D10" s="22">
        <v>0</v>
      </c>
      <c r="E10" s="21"/>
      <c r="F10" s="21"/>
      <c r="G10" s="21"/>
      <c r="H10" s="21"/>
      <c r="I10" s="23"/>
      <c r="N10">
        <v>0</v>
      </c>
      <c r="O10" t="b">
        <f t="shared" si="0"/>
        <v>1</v>
      </c>
    </row>
    <row r="11" spans="1:15" x14ac:dyDescent="0.25">
      <c r="C11" s="21" t="s">
        <v>51</v>
      </c>
      <c r="D11" s="22">
        <v>0</v>
      </c>
      <c r="E11" s="21">
        <v>324</v>
      </c>
      <c r="F11" s="21">
        <v>9</v>
      </c>
      <c r="G11" s="21">
        <v>15</v>
      </c>
      <c r="H11" s="21">
        <v>821</v>
      </c>
      <c r="I11" s="23">
        <v>2.85</v>
      </c>
      <c r="N11">
        <v>0</v>
      </c>
      <c r="O11" t="b">
        <f t="shared" si="0"/>
        <v>1</v>
      </c>
    </row>
    <row r="12" spans="1:15" x14ac:dyDescent="0.25">
      <c r="C12" s="21" t="s">
        <v>52</v>
      </c>
      <c r="D12" s="22">
        <v>0</v>
      </c>
      <c r="E12" s="21">
        <v>378</v>
      </c>
      <c r="F12" s="21">
        <v>12</v>
      </c>
      <c r="G12" s="21">
        <v>17</v>
      </c>
      <c r="H12" s="21">
        <v>865</v>
      </c>
      <c r="I12" s="23">
        <v>3.4</v>
      </c>
      <c r="N12">
        <v>0</v>
      </c>
      <c r="O12" t="b">
        <f t="shared" si="0"/>
        <v>1</v>
      </c>
    </row>
    <row r="13" spans="1:15" x14ac:dyDescent="0.25">
      <c r="C13" s="21" t="s">
        <v>53</v>
      </c>
      <c r="D13" s="22">
        <v>0</v>
      </c>
      <c r="E13" s="21">
        <v>329</v>
      </c>
      <c r="F13" s="21">
        <v>21</v>
      </c>
      <c r="G13" s="21">
        <v>19</v>
      </c>
      <c r="H13" s="21">
        <v>804</v>
      </c>
      <c r="I13" s="23">
        <v>3.4</v>
      </c>
      <c r="N13">
        <v>0</v>
      </c>
      <c r="O13" t="b">
        <f t="shared" si="0"/>
        <v>1</v>
      </c>
    </row>
    <row r="14" spans="1:15" x14ac:dyDescent="0.25">
      <c r="C14" s="21" t="s">
        <v>54</v>
      </c>
      <c r="D14" s="22">
        <v>0</v>
      </c>
      <c r="E14" s="21">
        <v>311</v>
      </c>
      <c r="F14" s="21">
        <v>17</v>
      </c>
      <c r="G14" s="21">
        <v>5</v>
      </c>
      <c r="H14" s="21">
        <v>175</v>
      </c>
      <c r="I14" s="23">
        <v>1.9</v>
      </c>
      <c r="N14">
        <v>0</v>
      </c>
      <c r="O14" t="b">
        <f t="shared" si="0"/>
        <v>1</v>
      </c>
    </row>
    <row r="15" spans="1:15" hidden="1" x14ac:dyDescent="0.25">
      <c r="C15" s="21"/>
      <c r="D15" s="22">
        <v>0</v>
      </c>
      <c r="E15" s="21"/>
      <c r="F15" s="21"/>
      <c r="G15" s="21"/>
      <c r="H15" s="21"/>
      <c r="I15" s="23"/>
      <c r="N15">
        <v>0</v>
      </c>
      <c r="O15" t="b">
        <f t="shared" si="0"/>
        <v>1</v>
      </c>
    </row>
    <row r="16" spans="1:15" x14ac:dyDescent="0.25">
      <c r="C16" s="21" t="s">
        <v>55</v>
      </c>
      <c r="D16" s="22">
        <v>0</v>
      </c>
      <c r="E16" s="21">
        <v>42</v>
      </c>
      <c r="F16" s="21">
        <v>0</v>
      </c>
      <c r="G16" s="21">
        <v>0</v>
      </c>
      <c r="H16" s="21">
        <v>357</v>
      </c>
      <c r="I16" s="23">
        <v>0</v>
      </c>
      <c r="N16">
        <v>0</v>
      </c>
      <c r="O16" t="b">
        <f t="shared" si="0"/>
        <v>1</v>
      </c>
    </row>
    <row r="17" spans="3:15" x14ac:dyDescent="0.25">
      <c r="C17" s="21" t="s">
        <v>56</v>
      </c>
      <c r="D17" s="22">
        <v>0</v>
      </c>
      <c r="E17" s="21">
        <v>68</v>
      </c>
      <c r="F17" s="21">
        <v>2</v>
      </c>
      <c r="G17" s="21">
        <v>1</v>
      </c>
      <c r="H17" s="21">
        <v>360</v>
      </c>
      <c r="I17" s="23">
        <v>0</v>
      </c>
      <c r="N17">
        <v>5</v>
      </c>
      <c r="O17" t="b">
        <f t="shared" si="0"/>
        <v>0</v>
      </c>
    </row>
    <row r="18" spans="3:15" x14ac:dyDescent="0.25">
      <c r="C18" s="21" t="s">
        <v>57</v>
      </c>
      <c r="D18" s="22">
        <v>0</v>
      </c>
      <c r="E18" s="28">
        <f>46*D18</f>
        <v>0</v>
      </c>
      <c r="F18" s="21">
        <v>0</v>
      </c>
      <c r="G18" s="21">
        <v>0</v>
      </c>
      <c r="H18" s="21">
        <v>285</v>
      </c>
      <c r="I18" s="23">
        <v>0</v>
      </c>
      <c r="N18">
        <v>3</v>
      </c>
      <c r="O18" t="b">
        <f t="shared" si="0"/>
        <v>0</v>
      </c>
    </row>
    <row r="19" spans="3:15" x14ac:dyDescent="0.25">
      <c r="C19" s="21" t="s">
        <v>58</v>
      </c>
      <c r="D19" s="22">
        <v>0</v>
      </c>
      <c r="E19" s="21">
        <v>46</v>
      </c>
      <c r="F19" s="21">
        <v>0</v>
      </c>
      <c r="G19" s="21">
        <v>0</v>
      </c>
      <c r="H19" s="21">
        <v>390</v>
      </c>
      <c r="I19" s="23">
        <v>0</v>
      </c>
      <c r="N19">
        <v>0</v>
      </c>
      <c r="O19" t="b">
        <f t="shared" si="0"/>
        <v>1</v>
      </c>
    </row>
    <row r="20" spans="3:15" hidden="1" x14ac:dyDescent="0.25">
      <c r="C20" s="21"/>
      <c r="D20" s="22">
        <v>0</v>
      </c>
      <c r="E20" s="21"/>
      <c r="F20" s="21"/>
      <c r="G20" s="21"/>
      <c r="H20" s="21"/>
      <c r="I20" s="23"/>
      <c r="N20">
        <v>0</v>
      </c>
      <c r="O20" t="b">
        <f t="shared" si="0"/>
        <v>1</v>
      </c>
    </row>
    <row r="21" spans="3:15" x14ac:dyDescent="0.25">
      <c r="C21" s="21" t="s">
        <v>59</v>
      </c>
      <c r="D21" s="22">
        <v>0</v>
      </c>
      <c r="E21" s="21">
        <v>242</v>
      </c>
      <c r="F21" s="21">
        <v>13</v>
      </c>
      <c r="G21" s="21">
        <v>3</v>
      </c>
      <c r="H21" s="21">
        <v>480</v>
      </c>
      <c r="I21" s="23">
        <v>1.5</v>
      </c>
      <c r="N21">
        <v>0</v>
      </c>
      <c r="O21" t="b">
        <f t="shared" si="0"/>
        <v>1</v>
      </c>
    </row>
    <row r="22" spans="3:15" x14ac:dyDescent="0.25">
      <c r="C22" s="21" t="s">
        <v>60</v>
      </c>
      <c r="D22" s="22">
        <v>0</v>
      </c>
      <c r="E22" s="21">
        <v>250</v>
      </c>
      <c r="F22" s="21">
        <v>13</v>
      </c>
      <c r="G22" s="21">
        <v>3</v>
      </c>
      <c r="H22" s="21">
        <v>233</v>
      </c>
      <c r="I22" s="23">
        <v>1.5</v>
      </c>
      <c r="N22">
        <v>0</v>
      </c>
      <c r="O22" t="b">
        <f t="shared" si="0"/>
        <v>1</v>
      </c>
    </row>
    <row r="23" spans="3:15" x14ac:dyDescent="0.25">
      <c r="C23" s="21" t="s">
        <v>61</v>
      </c>
      <c r="D23" s="22">
        <v>0</v>
      </c>
      <c r="E23" s="21">
        <v>328</v>
      </c>
      <c r="F23" s="21">
        <v>14</v>
      </c>
      <c r="G23" s="21">
        <v>5</v>
      </c>
      <c r="H23" s="21">
        <v>125</v>
      </c>
      <c r="I23" s="23">
        <v>0.8</v>
      </c>
      <c r="N23">
        <v>0</v>
      </c>
      <c r="O23" t="b">
        <f t="shared" si="0"/>
        <v>1</v>
      </c>
    </row>
    <row r="24" spans="3:15" hidden="1" x14ac:dyDescent="0.25">
      <c r="C24" s="21"/>
      <c r="D24" s="22">
        <v>0</v>
      </c>
      <c r="E24" s="21"/>
      <c r="F24" s="21"/>
      <c r="G24" s="21"/>
      <c r="H24" s="21"/>
      <c r="I24" s="23"/>
      <c r="N24">
        <v>0</v>
      </c>
      <c r="O24" t="b">
        <f t="shared" si="0"/>
        <v>1</v>
      </c>
    </row>
    <row r="25" spans="3:15" x14ac:dyDescent="0.25">
      <c r="C25" s="21" t="s">
        <v>62</v>
      </c>
      <c r="D25" s="22">
        <v>0</v>
      </c>
      <c r="E25" s="21">
        <v>235</v>
      </c>
      <c r="F25" s="21">
        <v>2</v>
      </c>
      <c r="G25" s="21">
        <v>12</v>
      </c>
      <c r="H25" s="21">
        <v>190</v>
      </c>
      <c r="I25" s="23">
        <v>2.5</v>
      </c>
      <c r="N25">
        <v>0</v>
      </c>
      <c r="O25" t="b">
        <f t="shared" si="0"/>
        <v>1</v>
      </c>
    </row>
    <row r="26" spans="3:15" x14ac:dyDescent="0.25">
      <c r="C26" s="21" t="s">
        <v>63</v>
      </c>
      <c r="D26" s="22">
        <v>0</v>
      </c>
      <c r="E26" s="21">
        <v>198</v>
      </c>
      <c r="F26" s="21">
        <v>3</v>
      </c>
      <c r="G26" s="21">
        <v>12</v>
      </c>
      <c r="H26" s="21">
        <v>232</v>
      </c>
      <c r="I26" s="23">
        <v>2.5</v>
      </c>
      <c r="N26">
        <v>0</v>
      </c>
      <c r="O26" t="b">
        <f t="shared" si="0"/>
        <v>1</v>
      </c>
    </row>
    <row r="27" spans="3:15" x14ac:dyDescent="0.25">
      <c r="C27" s="21" t="s">
        <v>64</v>
      </c>
      <c r="D27" s="22">
        <v>0</v>
      </c>
      <c r="E27" s="21">
        <v>228</v>
      </c>
      <c r="F27" s="21">
        <v>3</v>
      </c>
      <c r="G27" s="21">
        <v>12</v>
      </c>
      <c r="H27" s="21">
        <v>277</v>
      </c>
      <c r="I27" s="23">
        <v>2.5</v>
      </c>
      <c r="N27">
        <v>0</v>
      </c>
      <c r="O27" t="b">
        <f t="shared" si="0"/>
        <v>1</v>
      </c>
    </row>
    <row r="28" spans="3:15" x14ac:dyDescent="0.25">
      <c r="C28" s="21" t="s">
        <v>65</v>
      </c>
      <c r="D28" s="22">
        <v>0</v>
      </c>
      <c r="E28" s="21">
        <v>127</v>
      </c>
      <c r="F28" s="21">
        <v>2</v>
      </c>
      <c r="G28" s="21">
        <v>11</v>
      </c>
      <c r="H28" s="21">
        <v>186</v>
      </c>
      <c r="I28" s="23">
        <v>2.5</v>
      </c>
      <c r="N28">
        <v>0</v>
      </c>
      <c r="O28" t="b">
        <f t="shared" si="0"/>
        <v>1</v>
      </c>
    </row>
    <row r="29" spans="3:15" hidden="1" x14ac:dyDescent="0.25">
      <c r="C29" s="21"/>
      <c r="D29" s="22">
        <v>0</v>
      </c>
      <c r="E29" s="21"/>
      <c r="F29" s="21"/>
      <c r="G29" s="21"/>
      <c r="H29" s="21"/>
      <c r="I29" s="23"/>
      <c r="N29">
        <v>0</v>
      </c>
      <c r="O29" t="b">
        <f t="shared" si="0"/>
        <v>1</v>
      </c>
    </row>
    <row r="30" spans="3:15" x14ac:dyDescent="0.25">
      <c r="C30" s="21" t="s">
        <v>66</v>
      </c>
      <c r="D30" s="22">
        <v>0</v>
      </c>
      <c r="E30" s="21">
        <v>151</v>
      </c>
      <c r="F30" s="21">
        <v>3</v>
      </c>
      <c r="G30" s="21">
        <v>7</v>
      </c>
      <c r="H30" s="21">
        <v>122</v>
      </c>
      <c r="I30" s="23">
        <v>1.5</v>
      </c>
      <c r="N30">
        <v>0</v>
      </c>
      <c r="O30" t="b">
        <f t="shared" si="0"/>
        <v>1</v>
      </c>
    </row>
    <row r="31" spans="3:15" x14ac:dyDescent="0.25">
      <c r="C31" s="21" t="s">
        <v>67</v>
      </c>
      <c r="D31" s="22">
        <v>0</v>
      </c>
      <c r="E31" s="21">
        <v>180</v>
      </c>
      <c r="F31" s="21">
        <v>5</v>
      </c>
      <c r="G31" s="21">
        <v>8</v>
      </c>
      <c r="H31" s="21">
        <v>144</v>
      </c>
      <c r="I31" s="23">
        <v>1.5</v>
      </c>
      <c r="N31">
        <v>0</v>
      </c>
      <c r="O31" t="b">
        <f t="shared" si="0"/>
        <v>1</v>
      </c>
    </row>
    <row r="32" spans="3:15" x14ac:dyDescent="0.25">
      <c r="C32" s="21" t="s">
        <v>68</v>
      </c>
      <c r="D32" s="22">
        <v>0</v>
      </c>
      <c r="E32" s="21">
        <v>184</v>
      </c>
      <c r="F32" s="21">
        <v>2</v>
      </c>
      <c r="G32" s="21">
        <v>6</v>
      </c>
      <c r="H32" s="21">
        <v>76</v>
      </c>
      <c r="I32" s="23">
        <v>1.5</v>
      </c>
      <c r="N32">
        <v>0</v>
      </c>
      <c r="O32" t="b">
        <f t="shared" si="0"/>
        <v>1</v>
      </c>
    </row>
    <row r="33" spans="3:17" x14ac:dyDescent="0.25">
      <c r="C33" s="21" t="s">
        <v>69</v>
      </c>
      <c r="D33" s="22">
        <v>0</v>
      </c>
      <c r="E33" s="21">
        <v>163</v>
      </c>
      <c r="F33" s="21">
        <v>2</v>
      </c>
      <c r="G33" s="21">
        <v>6</v>
      </c>
      <c r="H33" s="21">
        <v>58</v>
      </c>
      <c r="I33" s="23">
        <v>0.5</v>
      </c>
      <c r="N33">
        <v>9</v>
      </c>
      <c r="O33" t="b">
        <f t="shared" si="0"/>
        <v>0</v>
      </c>
    </row>
    <row r="34" spans="3:17" hidden="1" x14ac:dyDescent="0.25">
      <c r="C34" s="21"/>
      <c r="D34" s="22">
        <v>0</v>
      </c>
      <c r="E34" s="21"/>
      <c r="F34" s="21"/>
      <c r="G34" s="21"/>
      <c r="H34" s="21"/>
      <c r="I34" s="23"/>
      <c r="N34">
        <v>0</v>
      </c>
      <c r="O34" t="b">
        <f t="shared" si="0"/>
        <v>1</v>
      </c>
    </row>
    <row r="35" spans="3:17" x14ac:dyDescent="0.25">
      <c r="C35" s="24" t="s">
        <v>70</v>
      </c>
      <c r="D35" s="136">
        <v>0</v>
      </c>
      <c r="E35" s="24">
        <v>61</v>
      </c>
      <c r="F35" s="24">
        <v>0</v>
      </c>
      <c r="G35" s="24">
        <v>0</v>
      </c>
      <c r="H35" s="24">
        <v>38</v>
      </c>
      <c r="I35" s="25">
        <v>1.55</v>
      </c>
      <c r="K35" t="s">
        <v>81</v>
      </c>
      <c r="N35">
        <v>0</v>
      </c>
      <c r="O35" t="b">
        <f t="shared" si="0"/>
        <v>1</v>
      </c>
    </row>
    <row r="36" spans="3:17" x14ac:dyDescent="0.25">
      <c r="K36">
        <v>4.3499999999999996</v>
      </c>
    </row>
    <row r="37" spans="3:17" x14ac:dyDescent="0.25">
      <c r="E37" s="1" t="s">
        <v>71</v>
      </c>
      <c r="F37" s="1" t="s">
        <v>71</v>
      </c>
      <c r="G37" s="1" t="s">
        <v>71</v>
      </c>
      <c r="H37" s="1" t="s">
        <v>71</v>
      </c>
      <c r="I37" s="1" t="s">
        <v>71</v>
      </c>
      <c r="K37" t="b">
        <f>ABS(I39-K36)/(1+ABS(D20))&lt;=0.000001</f>
        <v>0</v>
      </c>
    </row>
    <row r="38" spans="3:17" x14ac:dyDescent="0.25">
      <c r="E38" s="1" t="str">
        <f>E2</f>
        <v>Calories</v>
      </c>
      <c r="F38" s="1" t="str">
        <f>F2</f>
        <v>Fat</v>
      </c>
      <c r="G38" s="1" t="str">
        <f>G2</f>
        <v>Protein</v>
      </c>
      <c r="H38" s="1" t="str">
        <f>H2</f>
        <v>Sodium</v>
      </c>
      <c r="I38" s="1" t="str">
        <f>I2</f>
        <v>Cost</v>
      </c>
    </row>
    <row r="39" spans="3:17" x14ac:dyDescent="0.25">
      <c r="E39">
        <f>SUMPRODUCT($D$3:$D$35,E3:E35)</f>
        <v>0</v>
      </c>
      <c r="F39">
        <f>SUMPRODUCT($D$3:$D$35,F3:F35)</f>
        <v>0</v>
      </c>
      <c r="G39">
        <f>SUMPRODUCT($D$3:$D$35,G3:G35)</f>
        <v>0</v>
      </c>
      <c r="H39">
        <f>SUMPRODUCT($D$3:$D$35,H3:H35)</f>
        <v>0</v>
      </c>
      <c r="I39">
        <f>SUMPRODUCT($D$3:$D$35,I3:I35)</f>
        <v>0</v>
      </c>
      <c r="N39" t="s">
        <v>78</v>
      </c>
      <c r="Q39" t="s">
        <v>79</v>
      </c>
    </row>
    <row r="40" spans="3:17" x14ac:dyDescent="0.25">
      <c r="D40" s="16" t="s">
        <v>72</v>
      </c>
      <c r="E40">
        <v>1</v>
      </c>
      <c r="J40">
        <f>SUMPRODUCT(E40:H40,E39:H39)</f>
        <v>0</v>
      </c>
      <c r="K40" s="16" t="s">
        <v>9</v>
      </c>
      <c r="L40" s="16">
        <v>1900</v>
      </c>
      <c r="N40">
        <v>2221</v>
      </c>
      <c r="O40" t="b">
        <f>IF(N40=J40,TRUE,FALSE)</f>
        <v>0</v>
      </c>
      <c r="Q40" t="b">
        <v>1</v>
      </c>
    </row>
    <row r="41" spans="3:17" x14ac:dyDescent="0.25">
      <c r="D41" s="16" t="s">
        <v>73</v>
      </c>
      <c r="E41">
        <v>1</v>
      </c>
      <c r="J41">
        <f>SUMPRODUCT(E41:H41,E39:H39)</f>
        <v>0</v>
      </c>
      <c r="K41" s="16" t="s">
        <v>8</v>
      </c>
      <c r="L41" s="16">
        <v>2100</v>
      </c>
      <c r="N41">
        <v>2221</v>
      </c>
      <c r="O41" t="b">
        <f>IF(N41=J41,TRUE,FALSE)</f>
        <v>0</v>
      </c>
      <c r="Q41" t="b">
        <v>1</v>
      </c>
    </row>
    <row r="42" spans="3:17" x14ac:dyDescent="0.25">
      <c r="D42" s="16" t="s">
        <v>74</v>
      </c>
      <c r="E42">
        <v>-0.35</v>
      </c>
      <c r="F42">
        <v>9</v>
      </c>
      <c r="J42">
        <f>SUMPRODUCT(E42:H42,E39:H39)</f>
        <v>0</v>
      </c>
      <c r="K42" s="16" t="s">
        <v>8</v>
      </c>
      <c r="L42" s="16">
        <v>0</v>
      </c>
      <c r="N42">
        <v>-525.34999999999991</v>
      </c>
      <c r="O42" t="b">
        <f>IF(N42=J42,TRUE,FALSE)</f>
        <v>0</v>
      </c>
      <c r="Q42" t="b">
        <v>1</v>
      </c>
    </row>
    <row r="43" spans="3:17" x14ac:dyDescent="0.25">
      <c r="D43" s="16" t="s">
        <v>75</v>
      </c>
      <c r="G43">
        <v>1</v>
      </c>
      <c r="J43">
        <f>SUMPRODUCT(E43:H43,E39:H39)</f>
        <v>0</v>
      </c>
      <c r="K43" s="16" t="s">
        <v>9</v>
      </c>
      <c r="L43" s="16">
        <v>55</v>
      </c>
      <c r="N43">
        <v>59</v>
      </c>
      <c r="O43" t="b">
        <f>IF(N43=J43,TRUE,FALSE)</f>
        <v>0</v>
      </c>
      <c r="Q43" t="b">
        <v>0</v>
      </c>
    </row>
    <row r="44" spans="3:17" x14ac:dyDescent="0.25">
      <c r="D44" s="16" t="s">
        <v>76</v>
      </c>
      <c r="H44">
        <v>1</v>
      </c>
      <c r="J44">
        <f>SUMPRODUCT(E44:H44,E39:H39)</f>
        <v>0</v>
      </c>
      <c r="K44" s="16" t="s">
        <v>8</v>
      </c>
      <c r="L44" s="16">
        <v>3220</v>
      </c>
      <c r="N44">
        <v>3177</v>
      </c>
      <c r="O44" t="b">
        <f>IF(N44=J44,TRUE,FALSE)</f>
        <v>0</v>
      </c>
      <c r="Q44" t="b">
        <v>0</v>
      </c>
    </row>
  </sheetData>
  <dataConsolidate/>
  <conditionalFormatting sqref="D3:D35">
    <cfRule type="cellIs" dxfId="0" priority="1" stopIfTrue="1" operator="greaterThan">
      <formula>0.1</formula>
    </cfRule>
  </conditionalFormatting>
  <dataValidations disablePrompts="1" count="3">
    <dataValidation type="list" allowBlank="1" showInputMessage="1" showErrorMessage="1" sqref="A8" xr:uid="{00000000-0002-0000-4300-000000000000}">
      <formula1>OpenSolverResult</formula1>
    </dataValidation>
    <dataValidation type="list" allowBlank="1" showInputMessage="1" showErrorMessage="1" sqref="A4" xr:uid="{00000000-0002-0000-4300-000001000000}">
      <formula1>ModelType</formula1>
    </dataValidation>
    <dataValidation type="list" allowBlank="1" showInputMessage="1" showErrorMessage="1" sqref="A2" xr:uid="{00000000-0002-0000-4300-000002000000}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NonLin2"/>
  <dimension ref="A1:H1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0" bestFit="1" customWidth="1"/>
    <col min="2" max="2" width="3.28515625" customWidth="1"/>
    <col min="6" max="6" width="12" bestFit="1" customWidth="1"/>
  </cols>
  <sheetData>
    <row r="1" spans="1:8" x14ac:dyDescent="0.25">
      <c r="A1" s="62" t="s">
        <v>203</v>
      </c>
    </row>
    <row r="2" spans="1:8" ht="15.75" thickBot="1" x14ac:dyDescent="0.3">
      <c r="A2" s="63" t="s">
        <v>204</v>
      </c>
    </row>
    <row r="3" spans="1:8" x14ac:dyDescent="0.25">
      <c r="A3" s="62" t="s">
        <v>208</v>
      </c>
      <c r="C3" t="s">
        <v>126</v>
      </c>
      <c r="D3" t="s">
        <v>128</v>
      </c>
      <c r="F3" t="s">
        <v>226</v>
      </c>
    </row>
    <row r="4" spans="1:8" ht="15.75" thickBot="1" x14ac:dyDescent="0.3">
      <c r="A4" s="63" t="s">
        <v>207</v>
      </c>
      <c r="C4">
        <v>0</v>
      </c>
      <c r="D4" s="80">
        <v>0</v>
      </c>
      <c r="F4">
        <f>100*(D4-C4^2)^2+(1-C4)^2</f>
        <v>1</v>
      </c>
    </row>
    <row r="5" spans="1:8" x14ac:dyDescent="0.25">
      <c r="A5" s="62" t="s">
        <v>209</v>
      </c>
    </row>
    <row r="6" spans="1:8" ht="15.75" thickBot="1" x14ac:dyDescent="0.3">
      <c r="A6" s="63" t="b">
        <f>AND(C11,D11,F11)</f>
        <v>0</v>
      </c>
      <c r="C6">
        <v>1</v>
      </c>
      <c r="D6">
        <v>0</v>
      </c>
      <c r="E6">
        <f>SUMPRODUCT(C6:D6,$C$4:$D$4)</f>
        <v>0</v>
      </c>
      <c r="F6" t="s">
        <v>9</v>
      </c>
      <c r="G6">
        <v>0</v>
      </c>
    </row>
    <row r="7" spans="1:8" x14ac:dyDescent="0.25">
      <c r="A7" s="62" t="s">
        <v>210</v>
      </c>
      <c r="C7">
        <v>0</v>
      </c>
      <c r="D7">
        <v>1</v>
      </c>
      <c r="E7">
        <f>SUMPRODUCT(C7:D7,$C$4:$D$4,C6:D6)</f>
        <v>0</v>
      </c>
      <c r="F7" t="s">
        <v>9</v>
      </c>
      <c r="G7">
        <v>0</v>
      </c>
    </row>
    <row r="8" spans="1:8" x14ac:dyDescent="0.25">
      <c r="A8" s="64" t="s">
        <v>200</v>
      </c>
    </row>
    <row r="9" spans="1:8" ht="15.75" thickBot="1" x14ac:dyDescent="0.3">
      <c r="A9" s="63">
        <f>VLOOKUP(A8,OpenSolverResultCodes,2,FALSE)</f>
        <v>0</v>
      </c>
      <c r="C9" s="79" t="s">
        <v>1</v>
      </c>
      <c r="D9" s="79" t="s">
        <v>2</v>
      </c>
      <c r="E9" s="79"/>
      <c r="F9" t="s">
        <v>230</v>
      </c>
      <c r="H9" s="79"/>
    </row>
    <row r="10" spans="1:8" ht="15.75" thickBot="1" x14ac:dyDescent="0.3">
      <c r="A10" s="156" t="str">
        <f>HYPERLINK("[OpenSolver Tester.xlsm]Results!A1", "&lt;- Results")</f>
        <v>&lt;- Results</v>
      </c>
      <c r="C10" s="79">
        <v>1</v>
      </c>
      <c r="D10" s="79">
        <v>1</v>
      </c>
      <c r="E10" s="79"/>
      <c r="F10" s="79">
        <v>0</v>
      </c>
      <c r="G10" s="79"/>
    </row>
    <row r="11" spans="1:8" x14ac:dyDescent="0.25">
      <c r="C11" s="8" t="b">
        <f>ABS(C4-C10)/(1+ABS(C10))&lt;=0.001</f>
        <v>0</v>
      </c>
      <c r="D11" s="8" t="b">
        <f>ABS(D4-D10)/(1+ABS(D10))&lt;=0.001</f>
        <v>0</v>
      </c>
      <c r="E11" s="8"/>
      <c r="F11" s="8" t="b">
        <f>ABS(F4-F10)/(1+ABS(F10))&lt;=0.0001</f>
        <v>0</v>
      </c>
      <c r="G11" s="8"/>
      <c r="H11" s="8"/>
    </row>
  </sheetData>
  <dataConsolidate/>
  <dataValidations count="3">
    <dataValidation type="list" allowBlank="1" showInputMessage="1" showErrorMessage="1" sqref="A8" xr:uid="{00000000-0002-0000-4400-000000000000}">
      <formula1>OpenSolverResult</formula1>
    </dataValidation>
    <dataValidation type="list" allowBlank="1" showInputMessage="1" showErrorMessage="1" sqref="A4" xr:uid="{00000000-0002-0000-4400-000001000000}">
      <formula1>ModelType</formula1>
    </dataValidation>
    <dataValidation type="list" allowBlank="1" showInputMessage="1" showErrorMessage="1" sqref="A2" xr:uid="{00000000-0002-0000-4400-000002000000}">
      <formula1>TestType</formula1>
    </dataValidation>
  </dataValidation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NonLin3"/>
  <dimension ref="A1:AS81"/>
  <sheetViews>
    <sheetView showGridLines="0" workbookViewId="0">
      <selection activeCell="E31" sqref="E31"/>
    </sheetView>
  </sheetViews>
  <sheetFormatPr defaultColWidth="8.85546875" defaultRowHeight="15" x14ac:dyDescent="0.25"/>
  <cols>
    <col min="1" max="1" width="15" style="60" bestFit="1" customWidth="1"/>
    <col min="2" max="2" width="8.85546875" style="83"/>
    <col min="3" max="3" width="3.7109375" style="83" customWidth="1"/>
    <col min="4" max="4" width="4.140625" style="83" customWidth="1"/>
    <col min="5" max="5" width="1.28515625" style="83" customWidth="1"/>
    <col min="6" max="7" width="12.140625" style="83" customWidth="1"/>
    <col min="8" max="8" width="1.140625" style="83" customWidth="1"/>
    <col min="9" max="13" width="8.85546875" style="83"/>
    <col min="14" max="15" width="5.85546875" style="83" customWidth="1"/>
    <col min="16" max="16" width="6.28515625" style="83" customWidth="1"/>
    <col min="17" max="258" width="8.85546875" style="83"/>
    <col min="259" max="259" width="3.7109375" style="83" customWidth="1"/>
    <col min="260" max="260" width="4.140625" style="83" customWidth="1"/>
    <col min="261" max="261" width="1.28515625" style="83" customWidth="1"/>
    <col min="262" max="263" width="12.140625" style="83" customWidth="1"/>
    <col min="264" max="264" width="1.140625" style="83" customWidth="1"/>
    <col min="265" max="269" width="8.85546875" style="83"/>
    <col min="270" max="271" width="5.85546875" style="83" customWidth="1"/>
    <col min="272" max="272" width="6.28515625" style="83" customWidth="1"/>
    <col min="273" max="514" width="8.85546875" style="83"/>
    <col min="515" max="515" width="3.7109375" style="83" customWidth="1"/>
    <col min="516" max="516" width="4.140625" style="83" customWidth="1"/>
    <col min="517" max="517" width="1.28515625" style="83" customWidth="1"/>
    <col min="518" max="519" width="12.140625" style="83" customWidth="1"/>
    <col min="520" max="520" width="1.140625" style="83" customWidth="1"/>
    <col min="521" max="525" width="8.85546875" style="83"/>
    <col min="526" max="527" width="5.85546875" style="83" customWidth="1"/>
    <col min="528" max="528" width="6.28515625" style="83" customWidth="1"/>
    <col min="529" max="770" width="8.85546875" style="83"/>
    <col min="771" max="771" width="3.7109375" style="83" customWidth="1"/>
    <col min="772" max="772" width="4.140625" style="83" customWidth="1"/>
    <col min="773" max="773" width="1.28515625" style="83" customWidth="1"/>
    <col min="774" max="775" width="12.140625" style="83" customWidth="1"/>
    <col min="776" max="776" width="1.140625" style="83" customWidth="1"/>
    <col min="777" max="781" width="8.85546875" style="83"/>
    <col min="782" max="783" width="5.85546875" style="83" customWidth="1"/>
    <col min="784" max="784" width="6.28515625" style="83" customWidth="1"/>
    <col min="785" max="1026" width="8.85546875" style="83"/>
    <col min="1027" max="1027" width="3.7109375" style="83" customWidth="1"/>
    <col min="1028" max="1028" width="4.140625" style="83" customWidth="1"/>
    <col min="1029" max="1029" width="1.28515625" style="83" customWidth="1"/>
    <col min="1030" max="1031" width="12.140625" style="83" customWidth="1"/>
    <col min="1032" max="1032" width="1.140625" style="83" customWidth="1"/>
    <col min="1033" max="1037" width="8.85546875" style="83"/>
    <col min="1038" max="1039" width="5.85546875" style="83" customWidth="1"/>
    <col min="1040" max="1040" width="6.28515625" style="83" customWidth="1"/>
    <col min="1041" max="1282" width="8.85546875" style="83"/>
    <col min="1283" max="1283" width="3.7109375" style="83" customWidth="1"/>
    <col min="1284" max="1284" width="4.140625" style="83" customWidth="1"/>
    <col min="1285" max="1285" width="1.28515625" style="83" customWidth="1"/>
    <col min="1286" max="1287" width="12.140625" style="83" customWidth="1"/>
    <col min="1288" max="1288" width="1.140625" style="83" customWidth="1"/>
    <col min="1289" max="1293" width="8.85546875" style="83"/>
    <col min="1294" max="1295" width="5.85546875" style="83" customWidth="1"/>
    <col min="1296" max="1296" width="6.28515625" style="83" customWidth="1"/>
    <col min="1297" max="1538" width="8.85546875" style="83"/>
    <col min="1539" max="1539" width="3.7109375" style="83" customWidth="1"/>
    <col min="1540" max="1540" width="4.140625" style="83" customWidth="1"/>
    <col min="1541" max="1541" width="1.28515625" style="83" customWidth="1"/>
    <col min="1542" max="1543" width="12.140625" style="83" customWidth="1"/>
    <col min="1544" max="1544" width="1.140625" style="83" customWidth="1"/>
    <col min="1545" max="1549" width="8.85546875" style="83"/>
    <col min="1550" max="1551" width="5.85546875" style="83" customWidth="1"/>
    <col min="1552" max="1552" width="6.28515625" style="83" customWidth="1"/>
    <col min="1553" max="1794" width="8.85546875" style="83"/>
    <col min="1795" max="1795" width="3.7109375" style="83" customWidth="1"/>
    <col min="1796" max="1796" width="4.140625" style="83" customWidth="1"/>
    <col min="1797" max="1797" width="1.28515625" style="83" customWidth="1"/>
    <col min="1798" max="1799" width="12.140625" style="83" customWidth="1"/>
    <col min="1800" max="1800" width="1.140625" style="83" customWidth="1"/>
    <col min="1801" max="1805" width="8.85546875" style="83"/>
    <col min="1806" max="1807" width="5.85546875" style="83" customWidth="1"/>
    <col min="1808" max="1808" width="6.28515625" style="83" customWidth="1"/>
    <col min="1809" max="2050" width="8.85546875" style="83"/>
    <col min="2051" max="2051" width="3.7109375" style="83" customWidth="1"/>
    <col min="2052" max="2052" width="4.140625" style="83" customWidth="1"/>
    <col min="2053" max="2053" width="1.28515625" style="83" customWidth="1"/>
    <col min="2054" max="2055" width="12.140625" style="83" customWidth="1"/>
    <col min="2056" max="2056" width="1.140625" style="83" customWidth="1"/>
    <col min="2057" max="2061" width="8.85546875" style="83"/>
    <col min="2062" max="2063" width="5.85546875" style="83" customWidth="1"/>
    <col min="2064" max="2064" width="6.28515625" style="83" customWidth="1"/>
    <col min="2065" max="2306" width="8.85546875" style="83"/>
    <col min="2307" max="2307" width="3.7109375" style="83" customWidth="1"/>
    <col min="2308" max="2308" width="4.140625" style="83" customWidth="1"/>
    <col min="2309" max="2309" width="1.28515625" style="83" customWidth="1"/>
    <col min="2310" max="2311" width="12.140625" style="83" customWidth="1"/>
    <col min="2312" max="2312" width="1.140625" style="83" customWidth="1"/>
    <col min="2313" max="2317" width="8.85546875" style="83"/>
    <col min="2318" max="2319" width="5.85546875" style="83" customWidth="1"/>
    <col min="2320" max="2320" width="6.28515625" style="83" customWidth="1"/>
    <col min="2321" max="2562" width="8.85546875" style="83"/>
    <col min="2563" max="2563" width="3.7109375" style="83" customWidth="1"/>
    <col min="2564" max="2564" width="4.140625" style="83" customWidth="1"/>
    <col min="2565" max="2565" width="1.28515625" style="83" customWidth="1"/>
    <col min="2566" max="2567" width="12.140625" style="83" customWidth="1"/>
    <col min="2568" max="2568" width="1.140625" style="83" customWidth="1"/>
    <col min="2569" max="2573" width="8.85546875" style="83"/>
    <col min="2574" max="2575" width="5.85546875" style="83" customWidth="1"/>
    <col min="2576" max="2576" width="6.28515625" style="83" customWidth="1"/>
    <col min="2577" max="2818" width="8.85546875" style="83"/>
    <col min="2819" max="2819" width="3.7109375" style="83" customWidth="1"/>
    <col min="2820" max="2820" width="4.140625" style="83" customWidth="1"/>
    <col min="2821" max="2821" width="1.28515625" style="83" customWidth="1"/>
    <col min="2822" max="2823" width="12.140625" style="83" customWidth="1"/>
    <col min="2824" max="2824" width="1.140625" style="83" customWidth="1"/>
    <col min="2825" max="2829" width="8.85546875" style="83"/>
    <col min="2830" max="2831" width="5.85546875" style="83" customWidth="1"/>
    <col min="2832" max="2832" width="6.28515625" style="83" customWidth="1"/>
    <col min="2833" max="3074" width="8.85546875" style="83"/>
    <col min="3075" max="3075" width="3.7109375" style="83" customWidth="1"/>
    <col min="3076" max="3076" width="4.140625" style="83" customWidth="1"/>
    <col min="3077" max="3077" width="1.28515625" style="83" customWidth="1"/>
    <col min="3078" max="3079" width="12.140625" style="83" customWidth="1"/>
    <col min="3080" max="3080" width="1.140625" style="83" customWidth="1"/>
    <col min="3081" max="3085" width="8.85546875" style="83"/>
    <col min="3086" max="3087" width="5.85546875" style="83" customWidth="1"/>
    <col min="3088" max="3088" width="6.28515625" style="83" customWidth="1"/>
    <col min="3089" max="3330" width="8.85546875" style="83"/>
    <col min="3331" max="3331" width="3.7109375" style="83" customWidth="1"/>
    <col min="3332" max="3332" width="4.140625" style="83" customWidth="1"/>
    <col min="3333" max="3333" width="1.28515625" style="83" customWidth="1"/>
    <col min="3334" max="3335" width="12.140625" style="83" customWidth="1"/>
    <col min="3336" max="3336" width="1.140625" style="83" customWidth="1"/>
    <col min="3337" max="3341" width="8.85546875" style="83"/>
    <col min="3342" max="3343" width="5.85546875" style="83" customWidth="1"/>
    <col min="3344" max="3344" width="6.28515625" style="83" customWidth="1"/>
    <col min="3345" max="3586" width="8.85546875" style="83"/>
    <col min="3587" max="3587" width="3.7109375" style="83" customWidth="1"/>
    <col min="3588" max="3588" width="4.140625" style="83" customWidth="1"/>
    <col min="3589" max="3589" width="1.28515625" style="83" customWidth="1"/>
    <col min="3590" max="3591" width="12.140625" style="83" customWidth="1"/>
    <col min="3592" max="3592" width="1.140625" style="83" customWidth="1"/>
    <col min="3593" max="3597" width="8.85546875" style="83"/>
    <col min="3598" max="3599" width="5.85546875" style="83" customWidth="1"/>
    <col min="3600" max="3600" width="6.28515625" style="83" customWidth="1"/>
    <col min="3601" max="3842" width="8.85546875" style="83"/>
    <col min="3843" max="3843" width="3.7109375" style="83" customWidth="1"/>
    <col min="3844" max="3844" width="4.140625" style="83" customWidth="1"/>
    <col min="3845" max="3845" width="1.28515625" style="83" customWidth="1"/>
    <col min="3846" max="3847" width="12.140625" style="83" customWidth="1"/>
    <col min="3848" max="3848" width="1.140625" style="83" customWidth="1"/>
    <col min="3849" max="3853" width="8.85546875" style="83"/>
    <col min="3854" max="3855" width="5.85546875" style="83" customWidth="1"/>
    <col min="3856" max="3856" width="6.28515625" style="83" customWidth="1"/>
    <col min="3857" max="4098" width="8.85546875" style="83"/>
    <col min="4099" max="4099" width="3.7109375" style="83" customWidth="1"/>
    <col min="4100" max="4100" width="4.140625" style="83" customWidth="1"/>
    <col min="4101" max="4101" width="1.28515625" style="83" customWidth="1"/>
    <col min="4102" max="4103" width="12.140625" style="83" customWidth="1"/>
    <col min="4104" max="4104" width="1.140625" style="83" customWidth="1"/>
    <col min="4105" max="4109" width="8.85546875" style="83"/>
    <col min="4110" max="4111" width="5.85546875" style="83" customWidth="1"/>
    <col min="4112" max="4112" width="6.28515625" style="83" customWidth="1"/>
    <col min="4113" max="4354" width="8.85546875" style="83"/>
    <col min="4355" max="4355" width="3.7109375" style="83" customWidth="1"/>
    <col min="4356" max="4356" width="4.140625" style="83" customWidth="1"/>
    <col min="4357" max="4357" width="1.28515625" style="83" customWidth="1"/>
    <col min="4358" max="4359" width="12.140625" style="83" customWidth="1"/>
    <col min="4360" max="4360" width="1.140625" style="83" customWidth="1"/>
    <col min="4361" max="4365" width="8.85546875" style="83"/>
    <col min="4366" max="4367" width="5.85546875" style="83" customWidth="1"/>
    <col min="4368" max="4368" width="6.28515625" style="83" customWidth="1"/>
    <col min="4369" max="4610" width="8.85546875" style="83"/>
    <col min="4611" max="4611" width="3.7109375" style="83" customWidth="1"/>
    <col min="4612" max="4612" width="4.140625" style="83" customWidth="1"/>
    <col min="4613" max="4613" width="1.28515625" style="83" customWidth="1"/>
    <col min="4614" max="4615" width="12.140625" style="83" customWidth="1"/>
    <col min="4616" max="4616" width="1.140625" style="83" customWidth="1"/>
    <col min="4617" max="4621" width="8.85546875" style="83"/>
    <col min="4622" max="4623" width="5.85546875" style="83" customWidth="1"/>
    <col min="4624" max="4624" width="6.28515625" style="83" customWidth="1"/>
    <col min="4625" max="4866" width="8.85546875" style="83"/>
    <col min="4867" max="4867" width="3.7109375" style="83" customWidth="1"/>
    <col min="4868" max="4868" width="4.140625" style="83" customWidth="1"/>
    <col min="4869" max="4869" width="1.28515625" style="83" customWidth="1"/>
    <col min="4870" max="4871" width="12.140625" style="83" customWidth="1"/>
    <col min="4872" max="4872" width="1.140625" style="83" customWidth="1"/>
    <col min="4873" max="4877" width="8.85546875" style="83"/>
    <col min="4878" max="4879" width="5.85546875" style="83" customWidth="1"/>
    <col min="4880" max="4880" width="6.28515625" style="83" customWidth="1"/>
    <col min="4881" max="5122" width="8.85546875" style="83"/>
    <col min="5123" max="5123" width="3.7109375" style="83" customWidth="1"/>
    <col min="5124" max="5124" width="4.140625" style="83" customWidth="1"/>
    <col min="5125" max="5125" width="1.28515625" style="83" customWidth="1"/>
    <col min="5126" max="5127" width="12.140625" style="83" customWidth="1"/>
    <col min="5128" max="5128" width="1.140625" style="83" customWidth="1"/>
    <col min="5129" max="5133" width="8.85546875" style="83"/>
    <col min="5134" max="5135" width="5.85546875" style="83" customWidth="1"/>
    <col min="5136" max="5136" width="6.28515625" style="83" customWidth="1"/>
    <col min="5137" max="5378" width="8.85546875" style="83"/>
    <col min="5379" max="5379" width="3.7109375" style="83" customWidth="1"/>
    <col min="5380" max="5380" width="4.140625" style="83" customWidth="1"/>
    <col min="5381" max="5381" width="1.28515625" style="83" customWidth="1"/>
    <col min="5382" max="5383" width="12.140625" style="83" customWidth="1"/>
    <col min="5384" max="5384" width="1.140625" style="83" customWidth="1"/>
    <col min="5385" max="5389" width="8.85546875" style="83"/>
    <col min="5390" max="5391" width="5.85546875" style="83" customWidth="1"/>
    <col min="5392" max="5392" width="6.28515625" style="83" customWidth="1"/>
    <col min="5393" max="5634" width="8.85546875" style="83"/>
    <col min="5635" max="5635" width="3.7109375" style="83" customWidth="1"/>
    <col min="5636" max="5636" width="4.140625" style="83" customWidth="1"/>
    <col min="5637" max="5637" width="1.28515625" style="83" customWidth="1"/>
    <col min="5638" max="5639" width="12.140625" style="83" customWidth="1"/>
    <col min="5640" max="5640" width="1.140625" style="83" customWidth="1"/>
    <col min="5641" max="5645" width="8.85546875" style="83"/>
    <col min="5646" max="5647" width="5.85546875" style="83" customWidth="1"/>
    <col min="5648" max="5648" width="6.28515625" style="83" customWidth="1"/>
    <col min="5649" max="5890" width="8.85546875" style="83"/>
    <col min="5891" max="5891" width="3.7109375" style="83" customWidth="1"/>
    <col min="5892" max="5892" width="4.140625" style="83" customWidth="1"/>
    <col min="5893" max="5893" width="1.28515625" style="83" customWidth="1"/>
    <col min="5894" max="5895" width="12.140625" style="83" customWidth="1"/>
    <col min="5896" max="5896" width="1.140625" style="83" customWidth="1"/>
    <col min="5897" max="5901" width="8.85546875" style="83"/>
    <col min="5902" max="5903" width="5.85546875" style="83" customWidth="1"/>
    <col min="5904" max="5904" width="6.28515625" style="83" customWidth="1"/>
    <col min="5905" max="6146" width="8.85546875" style="83"/>
    <col min="6147" max="6147" width="3.7109375" style="83" customWidth="1"/>
    <col min="6148" max="6148" width="4.140625" style="83" customWidth="1"/>
    <col min="6149" max="6149" width="1.28515625" style="83" customWidth="1"/>
    <col min="6150" max="6151" width="12.140625" style="83" customWidth="1"/>
    <col min="6152" max="6152" width="1.140625" style="83" customWidth="1"/>
    <col min="6153" max="6157" width="8.85546875" style="83"/>
    <col min="6158" max="6159" width="5.85546875" style="83" customWidth="1"/>
    <col min="6160" max="6160" width="6.28515625" style="83" customWidth="1"/>
    <col min="6161" max="6402" width="8.85546875" style="83"/>
    <col min="6403" max="6403" width="3.7109375" style="83" customWidth="1"/>
    <col min="6404" max="6404" width="4.140625" style="83" customWidth="1"/>
    <col min="6405" max="6405" width="1.28515625" style="83" customWidth="1"/>
    <col min="6406" max="6407" width="12.140625" style="83" customWidth="1"/>
    <col min="6408" max="6408" width="1.140625" style="83" customWidth="1"/>
    <col min="6409" max="6413" width="8.85546875" style="83"/>
    <col min="6414" max="6415" width="5.85546875" style="83" customWidth="1"/>
    <col min="6416" max="6416" width="6.28515625" style="83" customWidth="1"/>
    <col min="6417" max="6658" width="8.85546875" style="83"/>
    <col min="6659" max="6659" width="3.7109375" style="83" customWidth="1"/>
    <col min="6660" max="6660" width="4.140625" style="83" customWidth="1"/>
    <col min="6661" max="6661" width="1.28515625" style="83" customWidth="1"/>
    <col min="6662" max="6663" width="12.140625" style="83" customWidth="1"/>
    <col min="6664" max="6664" width="1.140625" style="83" customWidth="1"/>
    <col min="6665" max="6669" width="8.85546875" style="83"/>
    <col min="6670" max="6671" width="5.85546875" style="83" customWidth="1"/>
    <col min="6672" max="6672" width="6.28515625" style="83" customWidth="1"/>
    <col min="6673" max="6914" width="8.85546875" style="83"/>
    <col min="6915" max="6915" width="3.7109375" style="83" customWidth="1"/>
    <col min="6916" max="6916" width="4.140625" style="83" customWidth="1"/>
    <col min="6917" max="6917" width="1.28515625" style="83" customWidth="1"/>
    <col min="6918" max="6919" width="12.140625" style="83" customWidth="1"/>
    <col min="6920" max="6920" width="1.140625" style="83" customWidth="1"/>
    <col min="6921" max="6925" width="8.85546875" style="83"/>
    <col min="6926" max="6927" width="5.85546875" style="83" customWidth="1"/>
    <col min="6928" max="6928" width="6.28515625" style="83" customWidth="1"/>
    <col min="6929" max="7170" width="8.85546875" style="83"/>
    <col min="7171" max="7171" width="3.7109375" style="83" customWidth="1"/>
    <col min="7172" max="7172" width="4.140625" style="83" customWidth="1"/>
    <col min="7173" max="7173" width="1.28515625" style="83" customWidth="1"/>
    <col min="7174" max="7175" width="12.140625" style="83" customWidth="1"/>
    <col min="7176" max="7176" width="1.140625" style="83" customWidth="1"/>
    <col min="7177" max="7181" width="8.85546875" style="83"/>
    <col min="7182" max="7183" width="5.85546875" style="83" customWidth="1"/>
    <col min="7184" max="7184" width="6.28515625" style="83" customWidth="1"/>
    <col min="7185" max="7426" width="8.85546875" style="83"/>
    <col min="7427" max="7427" width="3.7109375" style="83" customWidth="1"/>
    <col min="7428" max="7428" width="4.140625" style="83" customWidth="1"/>
    <col min="7429" max="7429" width="1.28515625" style="83" customWidth="1"/>
    <col min="7430" max="7431" width="12.140625" style="83" customWidth="1"/>
    <col min="7432" max="7432" width="1.140625" style="83" customWidth="1"/>
    <col min="7433" max="7437" width="8.85546875" style="83"/>
    <col min="7438" max="7439" width="5.85546875" style="83" customWidth="1"/>
    <col min="7440" max="7440" width="6.28515625" style="83" customWidth="1"/>
    <col min="7441" max="7682" width="8.85546875" style="83"/>
    <col min="7683" max="7683" width="3.7109375" style="83" customWidth="1"/>
    <col min="7684" max="7684" width="4.140625" style="83" customWidth="1"/>
    <col min="7685" max="7685" width="1.28515625" style="83" customWidth="1"/>
    <col min="7686" max="7687" width="12.140625" style="83" customWidth="1"/>
    <col min="7688" max="7688" width="1.140625" style="83" customWidth="1"/>
    <col min="7689" max="7693" width="8.85546875" style="83"/>
    <col min="7694" max="7695" width="5.85546875" style="83" customWidth="1"/>
    <col min="7696" max="7696" width="6.28515625" style="83" customWidth="1"/>
    <col min="7697" max="7938" width="8.85546875" style="83"/>
    <col min="7939" max="7939" width="3.7109375" style="83" customWidth="1"/>
    <col min="7940" max="7940" width="4.140625" style="83" customWidth="1"/>
    <col min="7941" max="7941" width="1.28515625" style="83" customWidth="1"/>
    <col min="7942" max="7943" width="12.140625" style="83" customWidth="1"/>
    <col min="7944" max="7944" width="1.140625" style="83" customWidth="1"/>
    <col min="7945" max="7949" width="8.85546875" style="83"/>
    <col min="7950" max="7951" width="5.85546875" style="83" customWidth="1"/>
    <col min="7952" max="7952" width="6.28515625" style="83" customWidth="1"/>
    <col min="7953" max="8194" width="8.85546875" style="83"/>
    <col min="8195" max="8195" width="3.7109375" style="83" customWidth="1"/>
    <col min="8196" max="8196" width="4.140625" style="83" customWidth="1"/>
    <col min="8197" max="8197" width="1.28515625" style="83" customWidth="1"/>
    <col min="8198" max="8199" width="12.140625" style="83" customWidth="1"/>
    <col min="8200" max="8200" width="1.140625" style="83" customWidth="1"/>
    <col min="8201" max="8205" width="8.85546875" style="83"/>
    <col min="8206" max="8207" width="5.85546875" style="83" customWidth="1"/>
    <col min="8208" max="8208" width="6.28515625" style="83" customWidth="1"/>
    <col min="8209" max="8450" width="8.85546875" style="83"/>
    <col min="8451" max="8451" width="3.7109375" style="83" customWidth="1"/>
    <col min="8452" max="8452" width="4.140625" style="83" customWidth="1"/>
    <col min="8453" max="8453" width="1.28515625" style="83" customWidth="1"/>
    <col min="8454" max="8455" width="12.140625" style="83" customWidth="1"/>
    <col min="8456" max="8456" width="1.140625" style="83" customWidth="1"/>
    <col min="8457" max="8461" width="8.85546875" style="83"/>
    <col min="8462" max="8463" width="5.85546875" style="83" customWidth="1"/>
    <col min="8464" max="8464" width="6.28515625" style="83" customWidth="1"/>
    <col min="8465" max="8706" width="8.85546875" style="83"/>
    <col min="8707" max="8707" width="3.7109375" style="83" customWidth="1"/>
    <col min="8708" max="8708" width="4.140625" style="83" customWidth="1"/>
    <col min="8709" max="8709" width="1.28515625" style="83" customWidth="1"/>
    <col min="8710" max="8711" width="12.140625" style="83" customWidth="1"/>
    <col min="8712" max="8712" width="1.140625" style="83" customWidth="1"/>
    <col min="8713" max="8717" width="8.85546875" style="83"/>
    <col min="8718" max="8719" width="5.85546875" style="83" customWidth="1"/>
    <col min="8720" max="8720" width="6.28515625" style="83" customWidth="1"/>
    <col min="8721" max="8962" width="8.85546875" style="83"/>
    <col min="8963" max="8963" width="3.7109375" style="83" customWidth="1"/>
    <col min="8964" max="8964" width="4.140625" style="83" customWidth="1"/>
    <col min="8965" max="8965" width="1.28515625" style="83" customWidth="1"/>
    <col min="8966" max="8967" width="12.140625" style="83" customWidth="1"/>
    <col min="8968" max="8968" width="1.140625" style="83" customWidth="1"/>
    <col min="8969" max="8973" width="8.85546875" style="83"/>
    <col min="8974" max="8975" width="5.85546875" style="83" customWidth="1"/>
    <col min="8976" max="8976" width="6.28515625" style="83" customWidth="1"/>
    <col min="8977" max="9218" width="8.85546875" style="83"/>
    <col min="9219" max="9219" width="3.7109375" style="83" customWidth="1"/>
    <col min="9220" max="9220" width="4.140625" style="83" customWidth="1"/>
    <col min="9221" max="9221" width="1.28515625" style="83" customWidth="1"/>
    <col min="9222" max="9223" width="12.140625" style="83" customWidth="1"/>
    <col min="9224" max="9224" width="1.140625" style="83" customWidth="1"/>
    <col min="9225" max="9229" width="8.85546875" style="83"/>
    <col min="9230" max="9231" width="5.85546875" style="83" customWidth="1"/>
    <col min="9232" max="9232" width="6.28515625" style="83" customWidth="1"/>
    <col min="9233" max="9474" width="8.85546875" style="83"/>
    <col min="9475" max="9475" width="3.7109375" style="83" customWidth="1"/>
    <col min="9476" max="9476" width="4.140625" style="83" customWidth="1"/>
    <col min="9477" max="9477" width="1.28515625" style="83" customWidth="1"/>
    <col min="9478" max="9479" width="12.140625" style="83" customWidth="1"/>
    <col min="9480" max="9480" width="1.140625" style="83" customWidth="1"/>
    <col min="9481" max="9485" width="8.85546875" style="83"/>
    <col min="9486" max="9487" width="5.85546875" style="83" customWidth="1"/>
    <col min="9488" max="9488" width="6.28515625" style="83" customWidth="1"/>
    <col min="9489" max="9730" width="8.85546875" style="83"/>
    <col min="9731" max="9731" width="3.7109375" style="83" customWidth="1"/>
    <col min="9732" max="9732" width="4.140625" style="83" customWidth="1"/>
    <col min="9733" max="9733" width="1.28515625" style="83" customWidth="1"/>
    <col min="9734" max="9735" width="12.140625" style="83" customWidth="1"/>
    <col min="9736" max="9736" width="1.140625" style="83" customWidth="1"/>
    <col min="9737" max="9741" width="8.85546875" style="83"/>
    <col min="9742" max="9743" width="5.85546875" style="83" customWidth="1"/>
    <col min="9744" max="9744" width="6.28515625" style="83" customWidth="1"/>
    <col min="9745" max="9986" width="8.85546875" style="83"/>
    <col min="9987" max="9987" width="3.7109375" style="83" customWidth="1"/>
    <col min="9988" max="9988" width="4.140625" style="83" customWidth="1"/>
    <col min="9989" max="9989" width="1.28515625" style="83" customWidth="1"/>
    <col min="9990" max="9991" width="12.140625" style="83" customWidth="1"/>
    <col min="9992" max="9992" width="1.140625" style="83" customWidth="1"/>
    <col min="9993" max="9997" width="8.85546875" style="83"/>
    <col min="9998" max="9999" width="5.85546875" style="83" customWidth="1"/>
    <col min="10000" max="10000" width="6.28515625" style="83" customWidth="1"/>
    <col min="10001" max="10242" width="8.85546875" style="83"/>
    <col min="10243" max="10243" width="3.7109375" style="83" customWidth="1"/>
    <col min="10244" max="10244" width="4.140625" style="83" customWidth="1"/>
    <col min="10245" max="10245" width="1.28515625" style="83" customWidth="1"/>
    <col min="10246" max="10247" width="12.140625" style="83" customWidth="1"/>
    <col min="10248" max="10248" width="1.140625" style="83" customWidth="1"/>
    <col min="10249" max="10253" width="8.85546875" style="83"/>
    <col min="10254" max="10255" width="5.85546875" style="83" customWidth="1"/>
    <col min="10256" max="10256" width="6.28515625" style="83" customWidth="1"/>
    <col min="10257" max="10498" width="8.85546875" style="83"/>
    <col min="10499" max="10499" width="3.7109375" style="83" customWidth="1"/>
    <col min="10500" max="10500" width="4.140625" style="83" customWidth="1"/>
    <col min="10501" max="10501" width="1.28515625" style="83" customWidth="1"/>
    <col min="10502" max="10503" width="12.140625" style="83" customWidth="1"/>
    <col min="10504" max="10504" width="1.140625" style="83" customWidth="1"/>
    <col min="10505" max="10509" width="8.85546875" style="83"/>
    <col min="10510" max="10511" width="5.85546875" style="83" customWidth="1"/>
    <col min="10512" max="10512" width="6.28515625" style="83" customWidth="1"/>
    <col min="10513" max="10754" width="8.85546875" style="83"/>
    <col min="10755" max="10755" width="3.7109375" style="83" customWidth="1"/>
    <col min="10756" max="10756" width="4.140625" style="83" customWidth="1"/>
    <col min="10757" max="10757" width="1.28515625" style="83" customWidth="1"/>
    <col min="10758" max="10759" width="12.140625" style="83" customWidth="1"/>
    <col min="10760" max="10760" width="1.140625" style="83" customWidth="1"/>
    <col min="10761" max="10765" width="8.85546875" style="83"/>
    <col min="10766" max="10767" width="5.85546875" style="83" customWidth="1"/>
    <col min="10768" max="10768" width="6.28515625" style="83" customWidth="1"/>
    <col min="10769" max="11010" width="8.85546875" style="83"/>
    <col min="11011" max="11011" width="3.7109375" style="83" customWidth="1"/>
    <col min="11012" max="11012" width="4.140625" style="83" customWidth="1"/>
    <col min="11013" max="11013" width="1.28515625" style="83" customWidth="1"/>
    <col min="11014" max="11015" width="12.140625" style="83" customWidth="1"/>
    <col min="11016" max="11016" width="1.140625" style="83" customWidth="1"/>
    <col min="11017" max="11021" width="8.85546875" style="83"/>
    <col min="11022" max="11023" width="5.85546875" style="83" customWidth="1"/>
    <col min="11024" max="11024" width="6.28515625" style="83" customWidth="1"/>
    <col min="11025" max="11266" width="8.85546875" style="83"/>
    <col min="11267" max="11267" width="3.7109375" style="83" customWidth="1"/>
    <col min="11268" max="11268" width="4.140625" style="83" customWidth="1"/>
    <col min="11269" max="11269" width="1.28515625" style="83" customWidth="1"/>
    <col min="11270" max="11271" width="12.140625" style="83" customWidth="1"/>
    <col min="11272" max="11272" width="1.140625" style="83" customWidth="1"/>
    <col min="11273" max="11277" width="8.85546875" style="83"/>
    <col min="11278" max="11279" width="5.85546875" style="83" customWidth="1"/>
    <col min="11280" max="11280" width="6.28515625" style="83" customWidth="1"/>
    <col min="11281" max="11522" width="8.85546875" style="83"/>
    <col min="11523" max="11523" width="3.7109375" style="83" customWidth="1"/>
    <col min="11524" max="11524" width="4.140625" style="83" customWidth="1"/>
    <col min="11525" max="11525" width="1.28515625" style="83" customWidth="1"/>
    <col min="11526" max="11527" width="12.140625" style="83" customWidth="1"/>
    <col min="11528" max="11528" width="1.140625" style="83" customWidth="1"/>
    <col min="11529" max="11533" width="8.85546875" style="83"/>
    <col min="11534" max="11535" width="5.85546875" style="83" customWidth="1"/>
    <col min="11536" max="11536" width="6.28515625" style="83" customWidth="1"/>
    <col min="11537" max="11778" width="8.85546875" style="83"/>
    <col min="11779" max="11779" width="3.7109375" style="83" customWidth="1"/>
    <col min="11780" max="11780" width="4.140625" style="83" customWidth="1"/>
    <col min="11781" max="11781" width="1.28515625" style="83" customWidth="1"/>
    <col min="11782" max="11783" width="12.140625" style="83" customWidth="1"/>
    <col min="11784" max="11784" width="1.140625" style="83" customWidth="1"/>
    <col min="11785" max="11789" width="8.85546875" style="83"/>
    <col min="11790" max="11791" width="5.85546875" style="83" customWidth="1"/>
    <col min="11792" max="11792" width="6.28515625" style="83" customWidth="1"/>
    <col min="11793" max="12034" width="8.85546875" style="83"/>
    <col min="12035" max="12035" width="3.7109375" style="83" customWidth="1"/>
    <col min="12036" max="12036" width="4.140625" style="83" customWidth="1"/>
    <col min="12037" max="12037" width="1.28515625" style="83" customWidth="1"/>
    <col min="12038" max="12039" width="12.140625" style="83" customWidth="1"/>
    <col min="12040" max="12040" width="1.140625" style="83" customWidth="1"/>
    <col min="12041" max="12045" width="8.85546875" style="83"/>
    <col min="12046" max="12047" width="5.85546875" style="83" customWidth="1"/>
    <col min="12048" max="12048" width="6.28515625" style="83" customWidth="1"/>
    <col min="12049" max="12290" width="8.85546875" style="83"/>
    <col min="12291" max="12291" width="3.7109375" style="83" customWidth="1"/>
    <col min="12292" max="12292" width="4.140625" style="83" customWidth="1"/>
    <col min="12293" max="12293" width="1.28515625" style="83" customWidth="1"/>
    <col min="12294" max="12295" width="12.140625" style="83" customWidth="1"/>
    <col min="12296" max="12296" width="1.140625" style="83" customWidth="1"/>
    <col min="12297" max="12301" width="8.85546875" style="83"/>
    <col min="12302" max="12303" width="5.85546875" style="83" customWidth="1"/>
    <col min="12304" max="12304" width="6.28515625" style="83" customWidth="1"/>
    <col min="12305" max="12546" width="8.85546875" style="83"/>
    <col min="12547" max="12547" width="3.7109375" style="83" customWidth="1"/>
    <col min="12548" max="12548" width="4.140625" style="83" customWidth="1"/>
    <col min="12549" max="12549" width="1.28515625" style="83" customWidth="1"/>
    <col min="12550" max="12551" width="12.140625" style="83" customWidth="1"/>
    <col min="12552" max="12552" width="1.140625" style="83" customWidth="1"/>
    <col min="12553" max="12557" width="8.85546875" style="83"/>
    <col min="12558" max="12559" width="5.85546875" style="83" customWidth="1"/>
    <col min="12560" max="12560" width="6.28515625" style="83" customWidth="1"/>
    <col min="12561" max="12802" width="8.85546875" style="83"/>
    <col min="12803" max="12803" width="3.7109375" style="83" customWidth="1"/>
    <col min="12804" max="12804" width="4.140625" style="83" customWidth="1"/>
    <col min="12805" max="12805" width="1.28515625" style="83" customWidth="1"/>
    <col min="12806" max="12807" width="12.140625" style="83" customWidth="1"/>
    <col min="12808" max="12808" width="1.140625" style="83" customWidth="1"/>
    <col min="12809" max="12813" width="8.85546875" style="83"/>
    <col min="12814" max="12815" width="5.85546875" style="83" customWidth="1"/>
    <col min="12816" max="12816" width="6.28515625" style="83" customWidth="1"/>
    <col min="12817" max="13058" width="8.85546875" style="83"/>
    <col min="13059" max="13059" width="3.7109375" style="83" customWidth="1"/>
    <col min="13060" max="13060" width="4.140625" style="83" customWidth="1"/>
    <col min="13061" max="13061" width="1.28515625" style="83" customWidth="1"/>
    <col min="13062" max="13063" width="12.140625" style="83" customWidth="1"/>
    <col min="13064" max="13064" width="1.140625" style="83" customWidth="1"/>
    <col min="13065" max="13069" width="8.85546875" style="83"/>
    <col min="13070" max="13071" width="5.85546875" style="83" customWidth="1"/>
    <col min="13072" max="13072" width="6.28515625" style="83" customWidth="1"/>
    <col min="13073" max="13314" width="8.85546875" style="83"/>
    <col min="13315" max="13315" width="3.7109375" style="83" customWidth="1"/>
    <col min="13316" max="13316" width="4.140625" style="83" customWidth="1"/>
    <col min="13317" max="13317" width="1.28515625" style="83" customWidth="1"/>
    <col min="13318" max="13319" width="12.140625" style="83" customWidth="1"/>
    <col min="13320" max="13320" width="1.140625" style="83" customWidth="1"/>
    <col min="13321" max="13325" width="8.85546875" style="83"/>
    <col min="13326" max="13327" width="5.85546875" style="83" customWidth="1"/>
    <col min="13328" max="13328" width="6.28515625" style="83" customWidth="1"/>
    <col min="13329" max="13570" width="8.85546875" style="83"/>
    <col min="13571" max="13571" width="3.7109375" style="83" customWidth="1"/>
    <col min="13572" max="13572" width="4.140625" style="83" customWidth="1"/>
    <col min="13573" max="13573" width="1.28515625" style="83" customWidth="1"/>
    <col min="13574" max="13575" width="12.140625" style="83" customWidth="1"/>
    <col min="13576" max="13576" width="1.140625" style="83" customWidth="1"/>
    <col min="13577" max="13581" width="8.85546875" style="83"/>
    <col min="13582" max="13583" width="5.85546875" style="83" customWidth="1"/>
    <col min="13584" max="13584" width="6.28515625" style="83" customWidth="1"/>
    <col min="13585" max="13826" width="8.85546875" style="83"/>
    <col min="13827" max="13827" width="3.7109375" style="83" customWidth="1"/>
    <col min="13828" max="13828" width="4.140625" style="83" customWidth="1"/>
    <col min="13829" max="13829" width="1.28515625" style="83" customWidth="1"/>
    <col min="13830" max="13831" width="12.140625" style="83" customWidth="1"/>
    <col min="13832" max="13832" width="1.140625" style="83" customWidth="1"/>
    <col min="13833" max="13837" width="8.85546875" style="83"/>
    <col min="13838" max="13839" width="5.85546875" style="83" customWidth="1"/>
    <col min="13840" max="13840" width="6.28515625" style="83" customWidth="1"/>
    <col min="13841" max="14082" width="8.85546875" style="83"/>
    <col min="14083" max="14083" width="3.7109375" style="83" customWidth="1"/>
    <col min="14084" max="14084" width="4.140625" style="83" customWidth="1"/>
    <col min="14085" max="14085" width="1.28515625" style="83" customWidth="1"/>
    <col min="14086" max="14087" width="12.140625" style="83" customWidth="1"/>
    <col min="14088" max="14088" width="1.140625" style="83" customWidth="1"/>
    <col min="14089" max="14093" width="8.85546875" style="83"/>
    <col min="14094" max="14095" width="5.85546875" style="83" customWidth="1"/>
    <col min="14096" max="14096" width="6.28515625" style="83" customWidth="1"/>
    <col min="14097" max="14338" width="8.85546875" style="83"/>
    <col min="14339" max="14339" width="3.7109375" style="83" customWidth="1"/>
    <col min="14340" max="14340" width="4.140625" style="83" customWidth="1"/>
    <col min="14341" max="14341" width="1.28515625" style="83" customWidth="1"/>
    <col min="14342" max="14343" width="12.140625" style="83" customWidth="1"/>
    <col min="14344" max="14344" width="1.140625" style="83" customWidth="1"/>
    <col min="14345" max="14349" width="8.85546875" style="83"/>
    <col min="14350" max="14351" width="5.85546875" style="83" customWidth="1"/>
    <col min="14352" max="14352" width="6.28515625" style="83" customWidth="1"/>
    <col min="14353" max="14594" width="8.85546875" style="83"/>
    <col min="14595" max="14595" width="3.7109375" style="83" customWidth="1"/>
    <col min="14596" max="14596" width="4.140625" style="83" customWidth="1"/>
    <col min="14597" max="14597" width="1.28515625" style="83" customWidth="1"/>
    <col min="14598" max="14599" width="12.140625" style="83" customWidth="1"/>
    <col min="14600" max="14600" width="1.140625" style="83" customWidth="1"/>
    <col min="14601" max="14605" width="8.85546875" style="83"/>
    <col min="14606" max="14607" width="5.85546875" style="83" customWidth="1"/>
    <col min="14608" max="14608" width="6.28515625" style="83" customWidth="1"/>
    <col min="14609" max="14850" width="8.85546875" style="83"/>
    <col min="14851" max="14851" width="3.7109375" style="83" customWidth="1"/>
    <col min="14852" max="14852" width="4.140625" style="83" customWidth="1"/>
    <col min="14853" max="14853" width="1.28515625" style="83" customWidth="1"/>
    <col min="14854" max="14855" width="12.140625" style="83" customWidth="1"/>
    <col min="14856" max="14856" width="1.140625" style="83" customWidth="1"/>
    <col min="14857" max="14861" width="8.85546875" style="83"/>
    <col min="14862" max="14863" width="5.85546875" style="83" customWidth="1"/>
    <col min="14864" max="14864" width="6.28515625" style="83" customWidth="1"/>
    <col min="14865" max="15106" width="8.85546875" style="83"/>
    <col min="15107" max="15107" width="3.7109375" style="83" customWidth="1"/>
    <col min="15108" max="15108" width="4.140625" style="83" customWidth="1"/>
    <col min="15109" max="15109" width="1.28515625" style="83" customWidth="1"/>
    <col min="15110" max="15111" width="12.140625" style="83" customWidth="1"/>
    <col min="15112" max="15112" width="1.140625" style="83" customWidth="1"/>
    <col min="15113" max="15117" width="8.85546875" style="83"/>
    <col min="15118" max="15119" width="5.85546875" style="83" customWidth="1"/>
    <col min="15120" max="15120" width="6.28515625" style="83" customWidth="1"/>
    <col min="15121" max="15362" width="8.85546875" style="83"/>
    <col min="15363" max="15363" width="3.7109375" style="83" customWidth="1"/>
    <col min="15364" max="15364" width="4.140625" style="83" customWidth="1"/>
    <col min="15365" max="15365" width="1.28515625" style="83" customWidth="1"/>
    <col min="15366" max="15367" width="12.140625" style="83" customWidth="1"/>
    <col min="15368" max="15368" width="1.140625" style="83" customWidth="1"/>
    <col min="15369" max="15373" width="8.85546875" style="83"/>
    <col min="15374" max="15375" width="5.85546875" style="83" customWidth="1"/>
    <col min="15376" max="15376" width="6.28515625" style="83" customWidth="1"/>
    <col min="15377" max="15618" width="8.85546875" style="83"/>
    <col min="15619" max="15619" width="3.7109375" style="83" customWidth="1"/>
    <col min="15620" max="15620" width="4.140625" style="83" customWidth="1"/>
    <col min="15621" max="15621" width="1.28515625" style="83" customWidth="1"/>
    <col min="15622" max="15623" width="12.140625" style="83" customWidth="1"/>
    <col min="15624" max="15624" width="1.140625" style="83" customWidth="1"/>
    <col min="15625" max="15629" width="8.85546875" style="83"/>
    <col min="15630" max="15631" width="5.85546875" style="83" customWidth="1"/>
    <col min="15632" max="15632" width="6.28515625" style="83" customWidth="1"/>
    <col min="15633" max="15874" width="8.85546875" style="83"/>
    <col min="15875" max="15875" width="3.7109375" style="83" customWidth="1"/>
    <col min="15876" max="15876" width="4.140625" style="83" customWidth="1"/>
    <col min="15877" max="15877" width="1.28515625" style="83" customWidth="1"/>
    <col min="15878" max="15879" width="12.140625" style="83" customWidth="1"/>
    <col min="15880" max="15880" width="1.140625" style="83" customWidth="1"/>
    <col min="15881" max="15885" width="8.85546875" style="83"/>
    <col min="15886" max="15887" width="5.85546875" style="83" customWidth="1"/>
    <col min="15888" max="15888" width="6.28515625" style="83" customWidth="1"/>
    <col min="15889" max="16130" width="8.85546875" style="83"/>
    <col min="16131" max="16131" width="3.7109375" style="83" customWidth="1"/>
    <col min="16132" max="16132" width="4.140625" style="83" customWidth="1"/>
    <col min="16133" max="16133" width="1.28515625" style="83" customWidth="1"/>
    <col min="16134" max="16135" width="12.140625" style="83" customWidth="1"/>
    <col min="16136" max="16136" width="1.140625" style="83" customWidth="1"/>
    <col min="16137" max="16141" width="8.85546875" style="83"/>
    <col min="16142" max="16143" width="5.85546875" style="83" customWidth="1"/>
    <col min="16144" max="16144" width="6.28515625" style="83" customWidth="1"/>
    <col min="16145" max="16384" width="8.85546875" style="83"/>
  </cols>
  <sheetData>
    <row r="1" spans="1:21" x14ac:dyDescent="0.25">
      <c r="A1" s="62" t="s">
        <v>203</v>
      </c>
      <c r="C1" s="83" t="s">
        <v>233</v>
      </c>
      <c r="K1" s="84" t="s">
        <v>234</v>
      </c>
      <c r="L1" s="85"/>
    </row>
    <row r="2" spans="1:21" ht="15.75" thickBot="1" x14ac:dyDescent="0.3">
      <c r="A2" s="63" t="s">
        <v>204</v>
      </c>
      <c r="C2" s="86" t="s">
        <v>235</v>
      </c>
      <c r="D2" s="86" t="s">
        <v>236</v>
      </c>
      <c r="K2" s="87" t="s">
        <v>237</v>
      </c>
      <c r="L2" s="88">
        <f>NonLin3!C81</f>
        <v>0.95000000000000029</v>
      </c>
      <c r="M2" s="83" t="b">
        <f>ABS(L2-S10)&lt;NonLin3!C32</f>
        <v>1</v>
      </c>
      <c r="N2" s="89" t="s">
        <v>238</v>
      </c>
      <c r="O2" s="90" t="s">
        <v>239</v>
      </c>
      <c r="P2" s="91" t="s">
        <v>240</v>
      </c>
    </row>
    <row r="3" spans="1:21" x14ac:dyDescent="0.25">
      <c r="A3" s="62" t="s">
        <v>208</v>
      </c>
      <c r="K3" s="92" t="s">
        <v>241</v>
      </c>
      <c r="L3" s="93">
        <f>NonLin3!C80</f>
        <v>0.4250000000000001</v>
      </c>
      <c r="M3" s="83" t="b">
        <f>ABS(L3-S11)&lt;NonLin3!B32</f>
        <v>0</v>
      </c>
      <c r="N3" s="87">
        <v>0</v>
      </c>
      <c r="O3" s="94">
        <v>0</v>
      </c>
      <c r="P3" s="95">
        <f>1+C4/20</f>
        <v>1.35</v>
      </c>
    </row>
    <row r="4" spans="1:21" ht="15.75" thickBot="1" x14ac:dyDescent="0.3">
      <c r="A4" s="63" t="s">
        <v>207</v>
      </c>
      <c r="C4" s="83">
        <v>7</v>
      </c>
      <c r="D4" s="83">
        <v>6</v>
      </c>
      <c r="N4" s="96">
        <v>2</v>
      </c>
      <c r="O4" s="97">
        <v>0</v>
      </c>
      <c r="P4" s="98">
        <f>1+D4/20</f>
        <v>1.3</v>
      </c>
    </row>
    <row r="5" spans="1:21" x14ac:dyDescent="0.25">
      <c r="A5" s="62" t="s">
        <v>209</v>
      </c>
      <c r="N5" s="96">
        <v>0</v>
      </c>
      <c r="O5" s="97">
        <v>1</v>
      </c>
      <c r="P5" s="98">
        <v>1</v>
      </c>
    </row>
    <row r="6" spans="1:21" ht="15.75" thickBot="1" x14ac:dyDescent="0.3">
      <c r="A6" s="63" t="b">
        <f>AND(M2,M3)</f>
        <v>0</v>
      </c>
      <c r="N6" s="92">
        <v>2</v>
      </c>
      <c r="O6" s="99">
        <v>1</v>
      </c>
      <c r="P6" s="100">
        <v>1</v>
      </c>
    </row>
    <row r="7" spans="1:21" x14ac:dyDescent="0.25">
      <c r="A7" s="62" t="s">
        <v>210</v>
      </c>
      <c r="R7" s="101"/>
    </row>
    <row r="8" spans="1:21" x14ac:dyDescent="0.25">
      <c r="A8" s="64" t="s">
        <v>200</v>
      </c>
      <c r="R8" s="101"/>
    </row>
    <row r="9" spans="1:21" ht="15.75" thickBot="1" x14ac:dyDescent="0.3">
      <c r="A9" s="63">
        <f>VLOOKUP(A8,OpenSolverResultCodes,2,FALSE)</f>
        <v>0</v>
      </c>
    </row>
    <row r="10" spans="1:21" ht="15.75" thickBot="1" x14ac:dyDescent="0.3">
      <c r="A10" s="156" t="str">
        <f>HYPERLINK("[OpenSolver Tester.xlsm]Results!A1", "&lt;- Results")</f>
        <v>&lt;- Results</v>
      </c>
      <c r="P10" s="101" t="s">
        <v>242</v>
      </c>
      <c r="Q10" s="83">
        <v>0</v>
      </c>
      <c r="R10" s="101" t="s">
        <v>8</v>
      </c>
      <c r="S10" s="83">
        <v>1</v>
      </c>
      <c r="T10" s="101" t="s">
        <v>8</v>
      </c>
      <c r="U10" s="83">
        <v>2</v>
      </c>
    </row>
    <row r="11" spans="1:21" x14ac:dyDescent="0.25">
      <c r="P11" s="101" t="s">
        <v>243</v>
      </c>
      <c r="Q11" s="83">
        <v>0</v>
      </c>
      <c r="R11" s="101" t="s">
        <v>8</v>
      </c>
      <c r="S11" s="83">
        <v>1</v>
      </c>
      <c r="T11" s="101" t="s">
        <v>8</v>
      </c>
      <c r="U11" s="83">
        <v>1</v>
      </c>
    </row>
    <row r="13" spans="1:21" x14ac:dyDescent="0.25">
      <c r="R13" s="101" t="s">
        <v>244</v>
      </c>
      <c r="S13" s="83">
        <f>wa*SQRT((xa-S10)^2+(ya-S11)^2)+wb*SQRT((xb-S10)^2+(yb-S11)^2)+wc*SQRT((xc-S10)^2+(yc-S11)^2)+wd*SQRT((xd-S10)^2+(yd-S11)^2)</f>
        <v>5.7476659402887025</v>
      </c>
    </row>
    <row r="31" spans="1:3" ht="12.75" x14ac:dyDescent="0.2">
      <c r="A31" s="166"/>
      <c r="B31" s="83" t="s">
        <v>245</v>
      </c>
      <c r="C31" s="83" t="s">
        <v>246</v>
      </c>
    </row>
    <row r="32" spans="1:3" ht="12.75" x14ac:dyDescent="0.2">
      <c r="A32" s="166"/>
      <c r="B32" s="83">
        <v>2.5000000000000001E-2</v>
      </c>
      <c r="C32" s="83">
        <v>0.05</v>
      </c>
    </row>
    <row r="33" spans="1:45" ht="12.75" x14ac:dyDescent="0.2">
      <c r="A33" s="166"/>
      <c r="B33" s="83" t="s">
        <v>243</v>
      </c>
      <c r="C33" s="83" t="s">
        <v>242</v>
      </c>
    </row>
    <row r="34" spans="1:45" ht="12.75" x14ac:dyDescent="0.2">
      <c r="A34" s="166"/>
      <c r="C34" s="83">
        <v>0</v>
      </c>
      <c r="D34" s="83">
        <f t="shared" ref="D34:AQ34" si="0">C34+$C32</f>
        <v>0.05</v>
      </c>
      <c r="E34" s="83">
        <f t="shared" si="0"/>
        <v>0.1</v>
      </c>
      <c r="F34" s="83">
        <f t="shared" si="0"/>
        <v>0.15000000000000002</v>
      </c>
      <c r="G34" s="83">
        <f t="shared" si="0"/>
        <v>0.2</v>
      </c>
      <c r="H34" s="83">
        <f t="shared" si="0"/>
        <v>0.25</v>
      </c>
      <c r="I34" s="83">
        <f t="shared" si="0"/>
        <v>0.3</v>
      </c>
      <c r="J34" s="83">
        <f t="shared" si="0"/>
        <v>0.35</v>
      </c>
      <c r="K34" s="83">
        <f t="shared" si="0"/>
        <v>0.39999999999999997</v>
      </c>
      <c r="L34" s="83">
        <f t="shared" si="0"/>
        <v>0.44999999999999996</v>
      </c>
      <c r="M34" s="83">
        <f t="shared" si="0"/>
        <v>0.49999999999999994</v>
      </c>
      <c r="N34" s="83">
        <f t="shared" si="0"/>
        <v>0.54999999999999993</v>
      </c>
      <c r="O34" s="83">
        <f t="shared" si="0"/>
        <v>0.6</v>
      </c>
      <c r="P34" s="83">
        <f t="shared" si="0"/>
        <v>0.65</v>
      </c>
      <c r="Q34" s="83">
        <f t="shared" si="0"/>
        <v>0.70000000000000007</v>
      </c>
      <c r="R34" s="83">
        <f t="shared" si="0"/>
        <v>0.75000000000000011</v>
      </c>
      <c r="S34" s="83">
        <f t="shared" si="0"/>
        <v>0.80000000000000016</v>
      </c>
      <c r="T34" s="83">
        <f t="shared" si="0"/>
        <v>0.8500000000000002</v>
      </c>
      <c r="U34" s="83">
        <f t="shared" si="0"/>
        <v>0.90000000000000024</v>
      </c>
      <c r="V34" s="83">
        <f t="shared" si="0"/>
        <v>0.95000000000000029</v>
      </c>
      <c r="W34" s="83">
        <f t="shared" si="0"/>
        <v>1.0000000000000002</v>
      </c>
      <c r="X34" s="83">
        <f t="shared" si="0"/>
        <v>1.0500000000000003</v>
      </c>
      <c r="Y34" s="83">
        <f t="shared" si="0"/>
        <v>1.1000000000000003</v>
      </c>
      <c r="Z34" s="83">
        <f t="shared" si="0"/>
        <v>1.1500000000000004</v>
      </c>
      <c r="AA34" s="83">
        <f t="shared" si="0"/>
        <v>1.2000000000000004</v>
      </c>
      <c r="AB34" s="83">
        <f t="shared" si="0"/>
        <v>1.2500000000000004</v>
      </c>
      <c r="AC34" s="83">
        <f t="shared" si="0"/>
        <v>1.3000000000000005</v>
      </c>
      <c r="AD34" s="83">
        <f t="shared" si="0"/>
        <v>1.3500000000000005</v>
      </c>
      <c r="AE34" s="83">
        <f t="shared" si="0"/>
        <v>1.4000000000000006</v>
      </c>
      <c r="AF34" s="83">
        <f t="shared" si="0"/>
        <v>1.4500000000000006</v>
      </c>
      <c r="AG34" s="83">
        <f t="shared" si="0"/>
        <v>1.5000000000000007</v>
      </c>
      <c r="AH34" s="83">
        <f t="shared" si="0"/>
        <v>1.5500000000000007</v>
      </c>
      <c r="AI34" s="83">
        <f t="shared" si="0"/>
        <v>1.6000000000000008</v>
      </c>
      <c r="AJ34" s="83">
        <f t="shared" si="0"/>
        <v>1.6500000000000008</v>
      </c>
      <c r="AK34" s="83">
        <f t="shared" si="0"/>
        <v>1.7000000000000008</v>
      </c>
      <c r="AL34" s="83">
        <f t="shared" si="0"/>
        <v>1.7500000000000009</v>
      </c>
      <c r="AM34" s="83">
        <f t="shared" si="0"/>
        <v>1.8000000000000009</v>
      </c>
      <c r="AN34" s="83">
        <f t="shared" si="0"/>
        <v>1.850000000000001</v>
      </c>
      <c r="AO34" s="83">
        <f t="shared" si="0"/>
        <v>1.900000000000001</v>
      </c>
      <c r="AP34" s="83">
        <f t="shared" si="0"/>
        <v>1.9500000000000011</v>
      </c>
      <c r="AQ34" s="83">
        <f t="shared" si="0"/>
        <v>2.0000000000000009</v>
      </c>
      <c r="AS34" s="83" t="s">
        <v>247</v>
      </c>
    </row>
    <row r="35" spans="1:45" ht="12.75" x14ac:dyDescent="0.2">
      <c r="A35" s="166"/>
      <c r="B35" s="83">
        <v>0</v>
      </c>
      <c r="D35" s="83">
        <f t="shared" ref="D35:M44" si="1">wa*SQRT((xa-x)^2+(ya-y)^2)+wb*SQRT((xb-x)^2+(yb-y)^2)+wc*SQRT((xc-x)^2+(yc-y)^2)+wd*SQRT((xd-x)^2+(yd-y)^2)</f>
        <v>5.7952099198061529</v>
      </c>
      <c r="E35" s="83">
        <f t="shared" si="1"/>
        <v>5.7570786174704773</v>
      </c>
      <c r="F35" s="83">
        <f t="shared" si="1"/>
        <v>5.7216615052891431</v>
      </c>
      <c r="G35" s="83">
        <f t="shared" si="1"/>
        <v>5.6889299309159576</v>
      </c>
      <c r="H35" s="83">
        <f t="shared" si="1"/>
        <v>5.6588408434790525</v>
      </c>
      <c r="I35" s="83">
        <f t="shared" si="1"/>
        <v>5.6313389432226568</v>
      </c>
      <c r="J35" s="83">
        <f t="shared" si="1"/>
        <v>5.6063591431783282</v>
      </c>
      <c r="K35" s="83">
        <f t="shared" si="1"/>
        <v>5.583829187838222</v>
      </c>
      <c r="L35" s="83">
        <f t="shared" si="1"/>
        <v>5.5636722845427373</v>
      </c>
      <c r="M35" s="83">
        <f t="shared" si="1"/>
        <v>5.5458096264818897</v>
      </c>
      <c r="N35" s="83">
        <f t="shared" ref="N35:W44" si="2">wa*SQRT((xa-x)^2+(ya-y)^2)+wb*SQRT((xb-x)^2+(yb-y)^2)+wc*SQRT((xc-x)^2+(yc-y)^2)+wd*SQRT((xd-x)^2+(yd-y)^2)</f>
        <v>5.5301627164321872</v>
      </c>
      <c r="O35" s="83">
        <f t="shared" si="2"/>
        <v>5.5166554323775854</v>
      </c>
      <c r="P35" s="83">
        <f t="shared" si="2"/>
        <v>5.5052158058288008</v>
      </c>
      <c r="Q35" s="83">
        <f t="shared" si="2"/>
        <v>5.4957775082590423</v>
      </c>
      <c r="R35" s="83">
        <f t="shared" si="2"/>
        <v>5.4882810593582123</v>
      </c>
      <c r="S35" s="83">
        <f t="shared" si="2"/>
        <v>5.4826747826678996</v>
      </c>
      <c r="T35" s="83">
        <f t="shared" si="2"/>
        <v>5.4789155402534853</v>
      </c>
      <c r="U35" s="83">
        <f t="shared" si="2"/>
        <v>5.4769692794392206</v>
      </c>
      <c r="V35" s="83">
        <f t="shared" si="2"/>
        <v>5.4768114224133724</v>
      </c>
      <c r="W35" s="83">
        <f t="shared" si="2"/>
        <v>5.4784271247461902</v>
      </c>
      <c r="X35" s="83">
        <f t="shared" ref="X35:AG44" si="3">wa*SQRT((xa-x)^2+(ya-y)^2)+wb*SQRT((xb-x)^2+(yb-y)^2)+wc*SQRT((xc-x)^2+(yc-y)^2)+wd*SQRT((xd-x)^2+(yd-y)^2)</f>
        <v>5.4818114224133723</v>
      </c>
      <c r="Y35" s="83">
        <f t="shared" si="3"/>
        <v>5.4869692794392222</v>
      </c>
      <c r="Z35" s="83">
        <f t="shared" si="3"/>
        <v>5.4939155402534858</v>
      </c>
      <c r="AA35" s="83">
        <f t="shared" si="3"/>
        <v>5.502674782667901</v>
      </c>
      <c r="AB35" s="83">
        <f t="shared" si="3"/>
        <v>5.5132810593582127</v>
      </c>
      <c r="AC35" s="83">
        <f t="shared" si="3"/>
        <v>5.5257775082590426</v>
      </c>
      <c r="AD35" s="83">
        <f t="shared" si="3"/>
        <v>5.5402158058288018</v>
      </c>
      <c r="AE35" s="83">
        <f t="shared" si="3"/>
        <v>5.5566554323775863</v>
      </c>
      <c r="AF35" s="83">
        <f t="shared" si="3"/>
        <v>5.5751627164321871</v>
      </c>
      <c r="AG35" s="83">
        <f t="shared" si="3"/>
        <v>5.5958096264818895</v>
      </c>
      <c r="AH35" s="83">
        <f t="shared" ref="AH35:AQ44" si="4">wa*SQRT((xa-x)^2+(ya-y)^2)+wb*SQRT((xb-x)^2+(yb-y)^2)+wc*SQRT((xc-x)^2+(yc-y)^2)+wd*SQRT((xd-x)^2+(yd-y)^2)</f>
        <v>5.6186722845427379</v>
      </c>
      <c r="AI35" s="83">
        <f t="shared" si="4"/>
        <v>5.6438291878382225</v>
      </c>
      <c r="AJ35" s="83">
        <f t="shared" si="4"/>
        <v>5.6713591431783286</v>
      </c>
      <c r="AK35" s="83">
        <f t="shared" si="4"/>
        <v>5.701338943222658</v>
      </c>
      <c r="AL35" s="83">
        <f t="shared" si="4"/>
        <v>5.7338408434790527</v>
      </c>
      <c r="AM35" s="83">
        <f t="shared" si="4"/>
        <v>5.7689299309159576</v>
      </c>
      <c r="AN35" s="83">
        <f t="shared" si="4"/>
        <v>5.8066615052891439</v>
      </c>
      <c r="AO35" s="83">
        <f t="shared" si="4"/>
        <v>5.847078617470479</v>
      </c>
      <c r="AP35" s="83">
        <f t="shared" si="4"/>
        <v>5.8902099198061535</v>
      </c>
      <c r="AQ35" s="83">
        <f t="shared" si="4"/>
        <v>5.9360679774997935</v>
      </c>
      <c r="AS35" s="83">
        <f t="shared" ref="AS35:AS75" si="5">1*(MIN(C35:AQ35)=MinValue)</f>
        <v>0</v>
      </c>
    </row>
    <row r="36" spans="1:45" ht="12.75" x14ac:dyDescent="0.2">
      <c r="A36" s="166"/>
      <c r="B36" s="83">
        <f t="shared" ref="B36:B75" si="6">B35+B$32</f>
        <v>2.5000000000000001E-2</v>
      </c>
      <c r="C36" s="83">
        <f t="shared" ref="C36:C75" si="7">wa*SQRT((xa-x)^2+(ya-y)^2)+wb*SQRT((xb-x)^2+(yb-y)^2)+wc*SQRT((xc-x)^2+(yc-y)^2)+wd*SQRT((xd-x)^2+(yd-y)^2)</f>
        <v>5.8339531170660504</v>
      </c>
      <c r="D36" s="83">
        <f t="shared" si="1"/>
        <v>5.7671231065645756</v>
      </c>
      <c r="E36" s="83">
        <f t="shared" si="1"/>
        <v>5.7250453975212334</v>
      </c>
      <c r="F36" s="83">
        <f t="shared" si="1"/>
        <v>5.6881856103890156</v>
      </c>
      <c r="G36" s="83">
        <f t="shared" si="1"/>
        <v>5.6547299540295324</v>
      </c>
      <c r="H36" s="83">
        <f t="shared" si="1"/>
        <v>5.6242351029435902</v>
      </c>
      <c r="I36" s="83">
        <f t="shared" si="1"/>
        <v>5.5965043225855089</v>
      </c>
      <c r="J36" s="83">
        <f t="shared" si="1"/>
        <v>5.5714073402314455</v>
      </c>
      <c r="K36" s="83">
        <f t="shared" si="1"/>
        <v>5.548835687966255</v>
      </c>
      <c r="L36" s="83">
        <f t="shared" si="1"/>
        <v>5.528689444933848</v>
      </c>
      <c r="M36" s="83">
        <f t="shared" si="1"/>
        <v>5.5108734541645168</v>
      </c>
      <c r="N36" s="83">
        <f t="shared" si="2"/>
        <v>5.4952968356202252</v>
      </c>
      <c r="O36" s="83">
        <f t="shared" si="2"/>
        <v>5.4818736815489117</v>
      </c>
      <c r="P36" s="83">
        <f t="shared" si="2"/>
        <v>5.4705241116045809</v>
      </c>
      <c r="Q36" s="83">
        <f t="shared" si="2"/>
        <v>5.4611753460419683</v>
      </c>
      <c r="R36" s="83">
        <f t="shared" si="2"/>
        <v>5.4537626576062674</v>
      </c>
      <c r="S36" s="83">
        <f t="shared" si="2"/>
        <v>5.4482301551768737</v>
      </c>
      <c r="T36" s="83">
        <f t="shared" si="2"/>
        <v>5.4445313957410768</v>
      </c>
      <c r="U36" s="83">
        <f t="shared" si="2"/>
        <v>5.4426298406961342</v>
      </c>
      <c r="V36" s="83">
        <f t="shared" si="2"/>
        <v>5.4424991791314135</v>
      </c>
      <c r="W36" s="83">
        <f t="shared" si="2"/>
        <v>5.4441235403385742</v>
      </c>
      <c r="X36" s="83">
        <f t="shared" si="3"/>
        <v>5.4474976134535424</v>
      </c>
      <c r="Y36" s="83">
        <f t="shared" si="3"/>
        <v>5.4526266856443755</v>
      </c>
      <c r="Z36" s="83">
        <f t="shared" si="3"/>
        <v>5.4595266027134759</v>
      </c>
      <c r="AA36" s="83">
        <f t="shared" si="3"/>
        <v>5.4682236481137085</v>
      </c>
      <c r="AB36" s="83">
        <f t="shared" si="3"/>
        <v>5.4787543288070077</v>
      </c>
      <c r="AC36" s="83">
        <f t="shared" si="3"/>
        <v>5.4911650498463924</v>
      </c>
      <c r="AD36" s="83">
        <f t="shared" si="3"/>
        <v>5.50551165510839</v>
      </c>
      <c r="AE36" s="83">
        <f t="shared" si="3"/>
        <v>5.5218588109999542</v>
      </c>
      <c r="AF36" s="83">
        <f t="shared" si="3"/>
        <v>5.5402792162496599</v>
      </c>
      <c r="AG36" s="83">
        <f t="shared" si="3"/>
        <v>5.5608526396147795</v>
      </c>
      <c r="AH36" s="83">
        <f t="shared" si="4"/>
        <v>5.583664829451835</v>
      </c>
      <c r="AI36" s="83">
        <f t="shared" si="4"/>
        <v>5.6088064285679282</v>
      </c>
      <c r="AJ36" s="83">
        <f t="shared" si="4"/>
        <v>5.6363722233254698</v>
      </c>
      <c r="AK36" s="83">
        <f t="shared" si="4"/>
        <v>5.666461520041616</v>
      </c>
      <c r="AL36" s="83">
        <f t="shared" si="4"/>
        <v>5.6991816865331257</v>
      </c>
      <c r="AM36" s="83">
        <f t="shared" si="4"/>
        <v>5.7346608119811329</v>
      </c>
      <c r="AN36" s="83">
        <f t="shared" si="4"/>
        <v>5.7730906027865352</v>
      </c>
      <c r="AO36" s="83">
        <f t="shared" si="4"/>
        <v>5.8148997388175117</v>
      </c>
      <c r="AP36" s="83">
        <f t="shared" si="4"/>
        <v>5.8618360340839848</v>
      </c>
      <c r="AQ36" s="83">
        <f t="shared" si="4"/>
        <v>5.9327109292608995</v>
      </c>
      <c r="AS36" s="83">
        <f t="shared" si="5"/>
        <v>0</v>
      </c>
    </row>
    <row r="37" spans="1:45" ht="12.75" x14ac:dyDescent="0.2">
      <c r="A37" s="166"/>
      <c r="B37" s="83">
        <f t="shared" si="6"/>
        <v>0.05</v>
      </c>
      <c r="C37" s="83">
        <f t="shared" si="7"/>
        <v>5.8324713556349854</v>
      </c>
      <c r="D37" s="83">
        <f t="shared" si="1"/>
        <v>5.7517086877376435</v>
      </c>
      <c r="E37" s="83">
        <f t="shared" si="1"/>
        <v>5.7013029409704439</v>
      </c>
      <c r="F37" s="83">
        <f t="shared" si="1"/>
        <v>5.6607645974853025</v>
      </c>
      <c r="G37" s="83">
        <f t="shared" si="1"/>
        <v>5.6253498690793178</v>
      </c>
      <c r="H37" s="83">
        <f t="shared" si="1"/>
        <v>5.593687109562433</v>
      </c>
      <c r="I37" s="83">
        <f t="shared" si="1"/>
        <v>5.5652192981890813</v>
      </c>
      <c r="J37" s="83">
        <f t="shared" si="1"/>
        <v>5.5396478128312188</v>
      </c>
      <c r="K37" s="83">
        <f t="shared" si="1"/>
        <v>5.5167735881730833</v>
      </c>
      <c r="L37" s="83">
        <f t="shared" si="1"/>
        <v>5.4964423096806989</v>
      </c>
      <c r="M37" s="83">
        <f t="shared" si="1"/>
        <v>5.478523255135797</v>
      </c>
      <c r="N37" s="83">
        <f t="shared" si="2"/>
        <v>5.4629007277122179</v>
      </c>
      <c r="O37" s="83">
        <f t="shared" si="2"/>
        <v>5.4494706627454015</v>
      </c>
      <c r="P37" s="83">
        <f t="shared" si="2"/>
        <v>5.4381394611402278</v>
      </c>
      <c r="Q37" s="83">
        <f t="shared" si="2"/>
        <v>5.4288237762087839</v>
      </c>
      <c r="R37" s="83">
        <f t="shared" si="2"/>
        <v>5.4214506764575354</v>
      </c>
      <c r="S37" s="83">
        <f t="shared" si="2"/>
        <v>5.415957919846174</v>
      </c>
      <c r="T37" s="83">
        <f t="shared" si="2"/>
        <v>5.4122942234346327</v>
      </c>
      <c r="U37" s="83">
        <f t="shared" si="2"/>
        <v>5.4104194841346409</v>
      </c>
      <c r="V37" s="83">
        <f t="shared" si="2"/>
        <v>5.4103049401656618</v>
      </c>
      <c r="W37" s="83">
        <f t="shared" si="2"/>
        <v>5.4119332770980986</v>
      </c>
      <c r="X37" s="83">
        <f t="shared" si="3"/>
        <v>5.4152986862936325</v>
      </c>
      <c r="Y37" s="83">
        <f t="shared" si="3"/>
        <v>5.4204068820552038</v>
      </c>
      <c r="Z37" s="83">
        <f t="shared" si="3"/>
        <v>5.4272750796859226</v>
      </c>
      <c r="AA37" s="83">
        <f t="shared" si="3"/>
        <v>5.4359319317387929</v>
      </c>
      <c r="AB37" s="83">
        <f t="shared" si="3"/>
        <v>5.4464174155275868</v>
      </c>
      <c r="AC37" s="83">
        <f t="shared" si="3"/>
        <v>5.4587826632460272</v>
      </c>
      <c r="AD37" s="83">
        <f t="shared" si="3"/>
        <v>5.4730897295447463</v>
      </c>
      <c r="AE37" s="83">
        <f t="shared" si="3"/>
        <v>5.489411304929031</v>
      </c>
      <c r="AF37" s="83">
        <f t="shared" si="3"/>
        <v>5.5078304158119842</v>
      </c>
      <c r="AG37" s="83">
        <f t="shared" si="3"/>
        <v>5.5284402211820129</v>
      </c>
      <c r="AH37" s="83">
        <f t="shared" si="4"/>
        <v>5.5513441589317098</v>
      </c>
      <c r="AI37" s="83">
        <f t="shared" si="4"/>
        <v>5.5766569967702466</v>
      </c>
      <c r="AJ37" s="83">
        <f t="shared" si="4"/>
        <v>5.6045080133976519</v>
      </c>
      <c r="AK37" s="83">
        <f t="shared" si="4"/>
        <v>5.6350491486218113</v>
      </c>
      <c r="AL37" s="83">
        <f t="shared" si="4"/>
        <v>5.6684752677785095</v>
      </c>
      <c r="AM37" s="83">
        <f t="shared" si="4"/>
        <v>5.7050768205421196</v>
      </c>
      <c r="AN37" s="83">
        <f t="shared" si="4"/>
        <v>5.7453926809514906</v>
      </c>
      <c r="AO37" s="83">
        <f t="shared" si="4"/>
        <v>5.7907456600704359</v>
      </c>
      <c r="AP37" s="83">
        <f t="shared" si="4"/>
        <v>5.8457051998473677</v>
      </c>
      <c r="AQ37" s="83">
        <f t="shared" si="4"/>
        <v>5.9300026007537001</v>
      </c>
      <c r="AS37" s="83">
        <f t="shared" si="5"/>
        <v>0</v>
      </c>
    </row>
    <row r="38" spans="1:45" ht="12.75" x14ac:dyDescent="0.2">
      <c r="A38" s="166"/>
      <c r="B38" s="83">
        <f t="shared" si="6"/>
        <v>7.5000000000000011E-2</v>
      </c>
      <c r="C38" s="83">
        <f t="shared" si="7"/>
        <v>5.8316257576933381</v>
      </c>
      <c r="D38" s="83">
        <f t="shared" si="1"/>
        <v>5.7431810106342702</v>
      </c>
      <c r="E38" s="83">
        <f t="shared" si="1"/>
        <v>5.684265842271671</v>
      </c>
      <c r="F38" s="83">
        <f t="shared" si="1"/>
        <v>5.6388235425758433</v>
      </c>
      <c r="G38" s="83">
        <f t="shared" si="1"/>
        <v>5.6005302126212619</v>
      </c>
      <c r="H38" s="83">
        <f t="shared" si="1"/>
        <v>5.5670624884227644</v>
      </c>
      <c r="I38" s="83">
        <f t="shared" si="1"/>
        <v>5.5374083746102274</v>
      </c>
      <c r="J38" s="83">
        <f t="shared" si="1"/>
        <v>5.5110364926215567</v>
      </c>
      <c r="K38" s="83">
        <f t="shared" si="1"/>
        <v>5.4876172738366815</v>
      </c>
      <c r="L38" s="83">
        <f t="shared" si="1"/>
        <v>5.4669169292522186</v>
      </c>
      <c r="M38" s="83">
        <f t="shared" si="1"/>
        <v>5.4487528846074804</v>
      </c>
      <c r="N38" s="83">
        <f t="shared" si="2"/>
        <v>5.4329736979804801</v>
      </c>
      <c r="O38" s="83">
        <f t="shared" si="2"/>
        <v>5.4194496060955029</v>
      </c>
      <c r="P38" s="83">
        <f t="shared" si="2"/>
        <v>5.4080679693139233</v>
      </c>
      <c r="Q38" s="83">
        <f t="shared" si="2"/>
        <v>5.3987310571987956</v>
      </c>
      <c r="R38" s="83">
        <f t="shared" si="2"/>
        <v>5.3913549692562093</v>
      </c>
      <c r="S38" s="83">
        <f t="shared" si="2"/>
        <v>5.3858691045463161</v>
      </c>
      <c r="T38" s="83">
        <f t="shared" si="2"/>
        <v>5.3822158924613808</v>
      </c>
      <c r="U38" s="83">
        <f t="shared" si="2"/>
        <v>5.3803506458252279</v>
      </c>
      <c r="V38" s="83">
        <f t="shared" si="2"/>
        <v>5.3802414724728891</v>
      </c>
      <c r="W38" s="83">
        <f t="shared" si="2"/>
        <v>5.3818692185824899</v>
      </c>
      <c r="X38" s="83">
        <f t="shared" si="3"/>
        <v>5.3852274342700923</v>
      </c>
      <c r="Y38" s="83">
        <f t="shared" si="3"/>
        <v>5.3903223588327567</v>
      </c>
      <c r="Z38" s="83">
        <f t="shared" si="3"/>
        <v>5.3971729249047717</v>
      </c>
      <c r="AA38" s="83">
        <f t="shared" si="3"/>
        <v>5.4058107811284017</v>
      </c>
      <c r="AB38" s="83">
        <f t="shared" si="3"/>
        <v>5.4162803346088468</v>
      </c>
      <c r="AC38" s="83">
        <f t="shared" si="3"/>
        <v>5.4286388208135019</v>
      </c>
      <c r="AD38" s="83">
        <f t="shared" si="3"/>
        <v>5.4429564249081164</v>
      </c>
      <c r="AE38" s="83">
        <f t="shared" si="3"/>
        <v>5.4593165140034339</v>
      </c>
      <c r="AF38" s="83">
        <f t="shared" si="3"/>
        <v>5.4778161118201698</v>
      </c>
      <c r="AG38" s="83">
        <f t="shared" si="3"/>
        <v>5.4985668905666634</v>
      </c>
      <c r="AH38" s="83">
        <f t="shared" si="4"/>
        <v>5.521697242527793</v>
      </c>
      <c r="AI38" s="83">
        <f t="shared" si="4"/>
        <v>5.5473565904897635</v>
      </c>
      <c r="AJ38" s="83">
        <f t="shared" si="4"/>
        <v>5.5757243995882559</v>
      </c>
      <c r="AK38" s="83">
        <f t="shared" si="4"/>
        <v>5.6070294088903703</v>
      </c>
      <c r="AL38" s="83">
        <f t="shared" si="4"/>
        <v>5.6415924255646432</v>
      </c>
      <c r="AM38" s="83">
        <f t="shared" si="4"/>
        <v>5.6799282990605979</v>
      </c>
      <c r="AN38" s="83">
        <f t="shared" si="4"/>
        <v>5.7230142699666482</v>
      </c>
      <c r="AO38" s="83">
        <f t="shared" si="4"/>
        <v>5.7730898266207031</v>
      </c>
      <c r="AP38" s="83">
        <f t="shared" si="4"/>
        <v>5.8362461602743743</v>
      </c>
      <c r="AQ38" s="83">
        <f t="shared" si="4"/>
        <v>5.9279460454914661</v>
      </c>
      <c r="AS38" s="83">
        <f t="shared" si="5"/>
        <v>0</v>
      </c>
    </row>
    <row r="39" spans="1:45" ht="12.75" x14ac:dyDescent="0.2">
      <c r="A39" s="166"/>
      <c r="B39" s="83">
        <f t="shared" si="6"/>
        <v>0.1</v>
      </c>
      <c r="C39" s="83">
        <f t="shared" si="7"/>
        <v>5.8314191912312339</v>
      </c>
      <c r="D39" s="83">
        <f t="shared" si="1"/>
        <v>5.7383267115083489</v>
      </c>
      <c r="E39" s="83">
        <f t="shared" si="1"/>
        <v>5.6722556356542313</v>
      </c>
      <c r="F39" s="83">
        <f t="shared" si="1"/>
        <v>5.6216041025570078</v>
      </c>
      <c r="G39" s="83">
        <f t="shared" si="1"/>
        <v>5.579893131493165</v>
      </c>
      <c r="H39" s="83">
        <f t="shared" si="1"/>
        <v>5.5441538330950451</v>
      </c>
      <c r="I39" s="83">
        <f t="shared" si="1"/>
        <v>5.5129494159108114</v>
      </c>
      <c r="J39" s="83">
        <f t="shared" si="1"/>
        <v>5.4854982093652334</v>
      </c>
      <c r="K39" s="83">
        <f t="shared" si="1"/>
        <v>5.4613195551511584</v>
      </c>
      <c r="L39" s="83">
        <f t="shared" si="1"/>
        <v>5.4400838673468463</v>
      </c>
      <c r="M39" s="83">
        <f t="shared" si="1"/>
        <v>5.421544746075794</v>
      </c>
      <c r="N39" s="83">
        <f t="shared" si="2"/>
        <v>5.4055063554675522</v>
      </c>
      <c r="O39" s="83">
        <f t="shared" si="2"/>
        <v>5.3918069721291459</v>
      </c>
      <c r="P39" s="83">
        <f t="shared" si="2"/>
        <v>5.3803103522687348</v>
      </c>
      <c r="Q39" s="83">
        <f t="shared" si="2"/>
        <v>5.3709010351378552</v>
      </c>
      <c r="R39" s="83">
        <f t="shared" si="2"/>
        <v>5.3634816896323692</v>
      </c>
      <c r="S39" s="83">
        <f t="shared" si="2"/>
        <v>5.3579715491425324</v>
      </c>
      <c r="T39" s="83">
        <f t="shared" si="2"/>
        <v>5.3543054433270925</v>
      </c>
      <c r="U39" s="83">
        <f t="shared" si="2"/>
        <v>5.3524331723738703</v>
      </c>
      <c r="V39" s="83">
        <f t="shared" si="2"/>
        <v>5.3523190928381972</v>
      </c>
      <c r="W39" s="83">
        <f t="shared" si="2"/>
        <v>5.3539418490117772</v>
      </c>
      <c r="X39" s="83">
        <f t="shared" si="3"/>
        <v>5.3572942176761611</v>
      </c>
      <c r="Y39" s="83">
        <f t="shared" si="3"/>
        <v>5.36238305176912</v>
      </c>
      <c r="Z39" s="83">
        <f t="shared" si="3"/>
        <v>5.3692293183086104</v>
      </c>
      <c r="AA39" s="83">
        <f t="shared" si="3"/>
        <v>5.3778682332950014</v>
      </c>
      <c r="AB39" s="83">
        <f t="shared" si="3"/>
        <v>5.3883495057762367</v>
      </c>
      <c r="AC39" s="83">
        <f t="shared" si="3"/>
        <v>5.4007377201305546</v>
      </c>
      <c r="AD39" s="83">
        <f t="shared" si="3"/>
        <v>5.4151129180272246</v>
      </c>
      <c r="AE39" s="83">
        <f t="shared" si="3"/>
        <v>5.4315715037157473</v>
      </c>
      <c r="AF39" s="83">
        <f t="shared" si="3"/>
        <v>5.4502277150175482</v>
      </c>
      <c r="AG39" s="83">
        <f t="shared" si="3"/>
        <v>5.4712161303996947</v>
      </c>
      <c r="AH39" s="83">
        <f t="shared" si="4"/>
        <v>5.4946961290386591</v>
      </c>
      <c r="AI39" s="83">
        <f t="shared" si="4"/>
        <v>5.5208601247324776</v>
      </c>
      <c r="AJ39" s="83">
        <f t="shared" si="4"/>
        <v>5.5499493109161158</v>
      </c>
      <c r="AK39" s="83">
        <f t="shared" si="4"/>
        <v>5.5822849594396029</v>
      </c>
      <c r="AL39" s="83">
        <f t="shared" si="4"/>
        <v>5.6183336617920006</v>
      </c>
      <c r="AM39" s="83">
        <f t="shared" si="4"/>
        <v>5.6588515734922655</v>
      </c>
      <c r="AN39" s="83">
        <f t="shared" si="4"/>
        <v>5.7052252609365937</v>
      </c>
      <c r="AO39" s="83">
        <f t="shared" si="4"/>
        <v>5.7603160557945703</v>
      </c>
      <c r="AP39" s="83">
        <f t="shared" si="4"/>
        <v>5.8303646625134338</v>
      </c>
      <c r="AQ39" s="83">
        <f t="shared" si="4"/>
        <v>5.9265441132037395</v>
      </c>
      <c r="AS39" s="83">
        <f t="shared" si="5"/>
        <v>0</v>
      </c>
    </row>
    <row r="40" spans="1:45" ht="12.75" x14ac:dyDescent="0.2">
      <c r="A40" s="166"/>
      <c r="B40" s="83">
        <f t="shared" si="6"/>
        <v>0.125</v>
      </c>
      <c r="C40" s="83">
        <f t="shared" si="7"/>
        <v>5.8318543251273498</v>
      </c>
      <c r="D40" s="83">
        <f t="shared" si="1"/>
        <v>5.7356969568948326</v>
      </c>
      <c r="E40" s="83">
        <f t="shared" si="1"/>
        <v>5.6639402784425297</v>
      </c>
      <c r="F40" s="83">
        <f t="shared" si="1"/>
        <v>5.6083344841683918</v>
      </c>
      <c r="G40" s="83">
        <f t="shared" si="1"/>
        <v>5.563004347569863</v>
      </c>
      <c r="H40" s="83">
        <f t="shared" si="1"/>
        <v>5.5247058754134279</v>
      </c>
      <c r="I40" s="83">
        <f t="shared" si="1"/>
        <v>5.4916850918848912</v>
      </c>
      <c r="J40" s="83">
        <f t="shared" si="1"/>
        <v>5.4629324276709923</v>
      </c>
      <c r="K40" s="83">
        <f t="shared" si="1"/>
        <v>5.437814785900513</v>
      </c>
      <c r="L40" s="83">
        <f t="shared" si="1"/>
        <v>5.4159000161654882</v>
      </c>
      <c r="M40" s="83">
        <f t="shared" si="1"/>
        <v>5.3968709105952719</v>
      </c>
      <c r="N40" s="83">
        <f t="shared" si="2"/>
        <v>5.3804813376471365</v>
      </c>
      <c r="O40" s="83">
        <f t="shared" si="2"/>
        <v>5.3665329407680904</v>
      </c>
      <c r="P40" s="83">
        <f t="shared" si="2"/>
        <v>5.3548622692374881</v>
      </c>
      <c r="Q40" s="83">
        <f t="shared" si="2"/>
        <v>5.3453333903310298</v>
      </c>
      <c r="R40" s="83">
        <f t="shared" si="2"/>
        <v>5.3378334745482938</v>
      </c>
      <c r="S40" s="83">
        <f t="shared" si="2"/>
        <v>5.3322700457249876</v>
      </c>
      <c r="T40" s="83">
        <f t="shared" si="2"/>
        <v>5.3285691994283058</v>
      </c>
      <c r="U40" s="83">
        <f t="shared" si="2"/>
        <v>5.3266744139704452</v>
      </c>
      <c r="V40" s="83">
        <f t="shared" si="2"/>
        <v>5.3265457504885276</v>
      </c>
      <c r="W40" s="83">
        <f t="shared" si="2"/>
        <v>5.3281593323075569</v>
      </c>
      <c r="X40" s="83">
        <f t="shared" si="3"/>
        <v>5.3315070457030771</v>
      </c>
      <c r="Y40" s="83">
        <f t="shared" si="3"/>
        <v>5.3365964339206915</v>
      </c>
      <c r="Z40" s="83">
        <f t="shared" si="3"/>
        <v>5.3434507752410028</v>
      </c>
      <c r="AA40" s="83">
        <f t="shared" si="3"/>
        <v>5.3521093514333025</v>
      </c>
      <c r="AB40" s="83">
        <f t="shared" si="3"/>
        <v>5.3626279313659353</v>
      </c>
      <c r="AC40" s="83">
        <f t="shared" si="3"/>
        <v>5.3750795231307551</v>
      </c>
      <c r="AD40" s="83">
        <f t="shared" si="3"/>
        <v>5.3895554978150848</v>
      </c>
      <c r="AE40" s="83">
        <f t="shared" si="3"/>
        <v>5.4061672780721164</v>
      </c>
      <c r="AF40" s="83">
        <f t="shared" si="3"/>
        <v>5.4250489501045802</v>
      </c>
      <c r="AG40" s="83">
        <f t="shared" si="3"/>
        <v>5.4463614665526148</v>
      </c>
      <c r="AH40" s="83">
        <f t="shared" si="4"/>
        <v>5.4702996967505717</v>
      </c>
      <c r="AI40" s="83">
        <f t="shared" si="4"/>
        <v>5.4971047368612327</v>
      </c>
      <c r="AJ40" s="83">
        <f t="shared" si="4"/>
        <v>5.5270862454537095</v>
      </c>
      <c r="AK40" s="83">
        <f t="shared" si="4"/>
        <v>5.5606645615535459</v>
      </c>
      <c r="AL40" s="83">
        <f t="shared" si="4"/>
        <v>5.5984533808516685</v>
      </c>
      <c r="AM40" s="83">
        <f t="shared" si="4"/>
        <v>5.6414286240336233</v>
      </c>
      <c r="AN40" s="83">
        <f t="shared" si="4"/>
        <v>5.6912825802774529</v>
      </c>
      <c r="AO40" s="83">
        <f t="shared" si="4"/>
        <v>5.7511417432673877</v>
      </c>
      <c r="AP40" s="83">
        <f t="shared" si="4"/>
        <v>5.8266656160342611</v>
      </c>
      <c r="AQ40" s="83">
        <f t="shared" si="4"/>
        <v>5.9257994472641107</v>
      </c>
      <c r="AS40" s="83">
        <f t="shared" si="5"/>
        <v>0</v>
      </c>
    </row>
    <row r="41" spans="1:45" ht="12.75" x14ac:dyDescent="0.2">
      <c r="A41" s="166"/>
      <c r="B41" s="83">
        <f t="shared" si="6"/>
        <v>0.15</v>
      </c>
      <c r="C41" s="83">
        <f t="shared" si="7"/>
        <v>5.8329336268271783</v>
      </c>
      <c r="D41" s="83">
        <f t="shared" si="1"/>
        <v>5.7346167370049841</v>
      </c>
      <c r="E41" s="83">
        <f t="shared" si="1"/>
        <v>5.6583880910058379</v>
      </c>
      <c r="F41" s="83">
        <f t="shared" si="1"/>
        <v>5.5983318337375652</v>
      </c>
      <c r="G41" s="83">
        <f t="shared" si="1"/>
        <v>5.5494263264325854</v>
      </c>
      <c r="H41" s="83">
        <f t="shared" si="1"/>
        <v>5.5084410052024362</v>
      </c>
      <c r="I41" s="83">
        <f t="shared" si="1"/>
        <v>5.4734356267484072</v>
      </c>
      <c r="J41" s="83">
        <f t="shared" si="1"/>
        <v>5.4432200178668992</v>
      </c>
      <c r="K41" s="83">
        <f t="shared" si="1"/>
        <v>5.4170226858095401</v>
      </c>
      <c r="L41" s="83">
        <f t="shared" si="1"/>
        <v>5.3943108775457</v>
      </c>
      <c r="M41" s="83">
        <f t="shared" si="1"/>
        <v>5.3746945465925045</v>
      </c>
      <c r="N41" s="83">
        <f t="shared" si="2"/>
        <v>5.3578742457296311</v>
      </c>
      <c r="O41" s="83">
        <f t="shared" si="2"/>
        <v>5.3436120461804713</v>
      </c>
      <c r="P41" s="83">
        <f t="shared" si="2"/>
        <v>5.3317147675713397</v>
      </c>
      <c r="Q41" s="83">
        <f t="shared" si="2"/>
        <v>5.322023958428634</v>
      </c>
      <c r="R41" s="83">
        <f t="shared" si="2"/>
        <v>5.3144096827229426</v>
      </c>
      <c r="S41" s="83">
        <f t="shared" si="2"/>
        <v>5.308766521133097</v>
      </c>
      <c r="T41" s="83">
        <f t="shared" si="2"/>
        <v>5.3050109121014213</v>
      </c>
      <c r="U41" s="83">
        <f t="shared" si="2"/>
        <v>5.3030793453715113</v>
      </c>
      <c r="V41" s="83">
        <f t="shared" si="2"/>
        <v>5.3029271344854099</v>
      </c>
      <c r="W41" s="83">
        <f t="shared" si="2"/>
        <v>5.3045276148220983</v>
      </c>
      <c r="X41" s="83">
        <f t="shared" si="3"/>
        <v>5.3078716829202222</v>
      </c>
      <c r="Y41" s="83">
        <f t="shared" si="3"/>
        <v>5.3129676346722121</v>
      </c>
      <c r="Z41" s="83">
        <f t="shared" si="3"/>
        <v>5.3198412883710571</v>
      </c>
      <c r="AA41" s="83">
        <f t="shared" si="3"/>
        <v>5.3285364027550877</v>
      </c>
      <c r="AB41" s="83">
        <f t="shared" si="3"/>
        <v>5.3391154279310671</v>
      </c>
      <c r="AC41" s="83">
        <f t="shared" si="3"/>
        <v>5.3516606674119558</v>
      </c>
      <c r="AD41" s="83">
        <f t="shared" si="3"/>
        <v>5.3662759959470554</v>
      </c>
      <c r="AE41" s="83">
        <f t="shared" si="3"/>
        <v>5.3830893931899819</v>
      </c>
      <c r="AF41" s="83">
        <f t="shared" si="3"/>
        <v>5.4022567587877193</v>
      </c>
      <c r="AG41" s="83">
        <f t="shared" si="3"/>
        <v>5.4239678474786341</v>
      </c>
      <c r="AH41" s="83">
        <f t="shared" si="4"/>
        <v>5.4484558526064246</v>
      </c>
      <c r="AI41" s="83">
        <f t="shared" si="4"/>
        <v>5.4760134698461878</v>
      </c>
      <c r="AJ41" s="83">
        <f t="shared" si="4"/>
        <v>5.5070207927311454</v>
      </c>
      <c r="AK41" s="83">
        <f t="shared" si="4"/>
        <v>5.54199535774654</v>
      </c>
      <c r="AL41" s="83">
        <f t="shared" si="4"/>
        <v>5.5816844658165747</v>
      </c>
      <c r="AM41" s="83">
        <f t="shared" si="4"/>
        <v>5.6272382857735277</v>
      </c>
      <c r="AN41" s="83">
        <f t="shared" si="4"/>
        <v>5.6805287879861206</v>
      </c>
      <c r="AO41" s="83">
        <f t="shared" si="4"/>
        <v>5.7446698055799095</v>
      </c>
      <c r="AP41" s="83">
        <f t="shared" si="4"/>
        <v>5.8244990789326039</v>
      </c>
      <c r="AQ41" s="83">
        <f t="shared" si="4"/>
        <v>5.9257144824278374</v>
      </c>
      <c r="AS41" s="83">
        <f t="shared" si="5"/>
        <v>0</v>
      </c>
    </row>
    <row r="42" spans="1:45" ht="12.75" x14ac:dyDescent="0.2">
      <c r="A42" s="166"/>
      <c r="B42" s="83">
        <f t="shared" si="6"/>
        <v>0.17499999999999999</v>
      </c>
      <c r="C42" s="83">
        <f t="shared" si="7"/>
        <v>5.8346593603107948</v>
      </c>
      <c r="D42" s="83">
        <f t="shared" si="1"/>
        <v>5.7347444649637822</v>
      </c>
      <c r="E42" s="83">
        <f t="shared" si="1"/>
        <v>5.654976941984529</v>
      </c>
      <c r="F42" s="83">
        <f t="shared" si="1"/>
        <v>5.5910384783307787</v>
      </c>
      <c r="G42" s="83">
        <f t="shared" si="1"/>
        <v>5.5387535984967773</v>
      </c>
      <c r="H42" s="83">
        <f t="shared" si="1"/>
        <v>5.4950806797089333</v>
      </c>
      <c r="I42" s="83">
        <f t="shared" si="1"/>
        <v>5.4580109269102319</v>
      </c>
      <c r="J42" s="83">
        <f t="shared" si="1"/>
        <v>5.4262302133542626</v>
      </c>
      <c r="K42" s="83">
        <f t="shared" si="1"/>
        <v>5.3988524725350029</v>
      </c>
      <c r="L42" s="83">
        <f t="shared" si="1"/>
        <v>5.3752531160599517</v>
      </c>
      <c r="M42" s="83">
        <f t="shared" si="1"/>
        <v>5.3549715594148779</v>
      </c>
      <c r="N42" s="83">
        <f t="shared" si="2"/>
        <v>5.3376547354816193</v>
      </c>
      <c r="O42" s="83">
        <f t="shared" si="2"/>
        <v>5.3230239258930778</v>
      </c>
      <c r="P42" s="83">
        <f t="shared" si="2"/>
        <v>5.3108548120216792</v>
      </c>
      <c r="Q42" s="83">
        <f t="shared" si="2"/>
        <v>5.3009651143924126</v>
      </c>
      <c r="R42" s="83">
        <f t="shared" si="2"/>
        <v>5.2932066806518492</v>
      </c>
      <c r="S42" s="83">
        <f t="shared" si="2"/>
        <v>5.2874602564154731</v>
      </c>
      <c r="T42" s="83">
        <f t="shared" si="2"/>
        <v>5.2836319353025791</v>
      </c>
      <c r="U42" s="83">
        <f t="shared" si="2"/>
        <v>5.2816507117641596</v>
      </c>
      <c r="V42" s="83">
        <f t="shared" si="2"/>
        <v>5.2814668032957837</v>
      </c>
      <c r="W42" s="83">
        <f t="shared" si="2"/>
        <v>5.283050549305556</v>
      </c>
      <c r="X42" s="83">
        <f t="shared" si="3"/>
        <v>5.286391777719988</v>
      </c>
      <c r="Y42" s="83">
        <f t="shared" si="3"/>
        <v>5.2914995832367921</v>
      </c>
      <c r="Z42" s="83">
        <f t="shared" si="3"/>
        <v>5.2984024985289633</v>
      </c>
      <c r="AA42" s="83">
        <f t="shared" si="3"/>
        <v>5.3071490722082508</v>
      </c>
      <c r="AB42" s="83">
        <f t="shared" si="3"/>
        <v>5.3178089039567986</v>
      </c>
      <c r="AC42" s="83">
        <f t="shared" si="3"/>
        <v>5.3304742382799821</v>
      </c>
      <c r="AD42" s="83">
        <f t="shared" si="3"/>
        <v>5.3452622989273983</v>
      </c>
      <c r="AE42" s="83">
        <f t="shared" si="3"/>
        <v>5.3623186811906898</v>
      </c>
      <c r="AF42" s="83">
        <f t="shared" si="3"/>
        <v>5.3818223528749733</v>
      </c>
      <c r="AG42" s="83">
        <f t="shared" si="3"/>
        <v>5.4039932258420507</v>
      </c>
      <c r="AH42" s="83">
        <f t="shared" si="4"/>
        <v>5.4291039936141985</v>
      </c>
      <c r="AI42" s="83">
        <f t="shared" si="4"/>
        <v>5.4574992540533867</v>
      </c>
      <c r="AJ42" s="83">
        <f t="shared" si="4"/>
        <v>5.4896273360813659</v>
      </c>
      <c r="AK42" s="83">
        <f t="shared" si="4"/>
        <v>5.5260945527269829</v>
      </c>
      <c r="AL42" s="83">
        <f t="shared" si="4"/>
        <v>5.567758896874075</v>
      </c>
      <c r="AM42" s="83">
        <f t="shared" si="4"/>
        <v>5.6158902630628935</v>
      </c>
      <c r="AN42" s="83">
        <f t="shared" si="4"/>
        <v>5.672426977429903</v>
      </c>
      <c r="AO42" s="83">
        <f t="shared" si="4"/>
        <v>5.7403012293146194</v>
      </c>
      <c r="AP42" s="83">
        <f t="shared" si="4"/>
        <v>5.8235361684266369</v>
      </c>
      <c r="AQ42" s="83">
        <f t="shared" si="4"/>
        <v>5.9262914428753666</v>
      </c>
      <c r="AS42" s="83">
        <f t="shared" si="5"/>
        <v>0</v>
      </c>
    </row>
    <row r="43" spans="1:45" ht="12.75" x14ac:dyDescent="0.2">
      <c r="A43" s="166"/>
      <c r="B43" s="83">
        <f t="shared" si="6"/>
        <v>0.19999999999999998</v>
      </c>
      <c r="C43" s="83">
        <f t="shared" si="7"/>
        <v>5.8370335843452335</v>
      </c>
      <c r="D43" s="83">
        <f t="shared" si="1"/>
        <v>5.7358929495677069</v>
      </c>
      <c r="E43" s="83">
        <f t="shared" si="1"/>
        <v>5.653294277291721</v>
      </c>
      <c r="F43" s="83">
        <f t="shared" si="1"/>
        <v>5.5860186954503135</v>
      </c>
      <c r="G43" s="83">
        <f t="shared" si="1"/>
        <v>5.530630483239217</v>
      </c>
      <c r="H43" s="83">
        <f t="shared" si="1"/>
        <v>5.4843607012232232</v>
      </c>
      <c r="I43" s="83">
        <f t="shared" si="1"/>
        <v>5.445220779446065</v>
      </c>
      <c r="J43" s="83">
        <f t="shared" si="1"/>
        <v>5.4118270579453318</v>
      </c>
      <c r="K43" s="83">
        <f t="shared" si="1"/>
        <v>5.3832069414823138</v>
      </c>
      <c r="L43" s="83">
        <f t="shared" si="1"/>
        <v>5.3586571924581818</v>
      </c>
      <c r="M43" s="83">
        <f t="shared" si="1"/>
        <v>5.3376523357236207</v>
      </c>
      <c r="N43" s="83">
        <f t="shared" si="2"/>
        <v>5.3197877039684522</v>
      </c>
      <c r="O43" s="83">
        <f t="shared" si="2"/>
        <v>5.3047441489901956</v>
      </c>
      <c r="P43" s="83">
        <f t="shared" si="2"/>
        <v>5.2922658767058834</v>
      </c>
      <c r="Q43" s="83">
        <f t="shared" si="2"/>
        <v>5.2821462055092772</v>
      </c>
      <c r="R43" s="83">
        <f t="shared" si="2"/>
        <v>5.2742181670885815</v>
      </c>
      <c r="S43" s="83">
        <f t="shared" si="2"/>
        <v>5.2683481368783767</v>
      </c>
      <c r="T43" s="83">
        <f t="shared" si="2"/>
        <v>5.2644314252644797</v>
      </c>
      <c r="U43" s="83">
        <f t="shared" si="2"/>
        <v>5.2623891958621769</v>
      </c>
      <c r="V43" s="83">
        <f t="shared" si="2"/>
        <v>5.2621663334288709</v>
      </c>
      <c r="W43" s="83">
        <f t="shared" si="2"/>
        <v>5.2637300371773161</v>
      </c>
      <c r="X43" s="83">
        <f t="shared" si="3"/>
        <v>5.2670690096475816</v>
      </c>
      <c r="Y43" s="83">
        <f t="shared" si="3"/>
        <v>5.2721931730132079</v>
      </c>
      <c r="Z43" s="83">
        <f t="shared" si="3"/>
        <v>5.2791338899226909</v>
      </c>
      <c r="AA43" s="83">
        <f t="shared" si="3"/>
        <v>5.2879447059251827</v>
      </c>
      <c r="AB43" s="83">
        <f t="shared" si="3"/>
        <v>5.298702674853792</v>
      </c>
      <c r="AC43" s="83">
        <f t="shared" si="3"/>
        <v>5.3115103882527048</v>
      </c>
      <c r="AD43" s="83">
        <f t="shared" si="3"/>
        <v>5.326498920753826</v>
      </c>
      <c r="AE43" s="83">
        <f t="shared" si="3"/>
        <v>5.3438320505071673</v>
      </c>
      <c r="AF43" s="83">
        <f t="shared" si="3"/>
        <v>5.3637123600331762</v>
      </c>
      <c r="AG43" s="83">
        <f t="shared" si="3"/>
        <v>5.386390241440056</v>
      </c>
      <c r="AH43" s="83">
        <f t="shared" si="4"/>
        <v>5.4121775459941297</v>
      </c>
      <c r="AI43" s="83">
        <f t="shared" si="4"/>
        <v>5.4414688391903026</v>
      </c>
      <c r="AJ43" s="83">
        <f t="shared" si="4"/>
        <v>5.47477526426756</v>
      </c>
      <c r="AK43" s="83">
        <f t="shared" si="4"/>
        <v>5.5127792369118644</v>
      </c>
      <c r="AL43" s="83">
        <f t="shared" si="4"/>
        <v>5.5564224653986853</v>
      </c>
      <c r="AM43" s="83">
        <f t="shared" si="4"/>
        <v>5.6070421989968615</v>
      </c>
      <c r="AN43" s="83">
        <f t="shared" si="4"/>
        <v>5.6665576657799566</v>
      </c>
      <c r="AO43" s="83">
        <f t="shared" si="4"/>
        <v>5.737638803276937</v>
      </c>
      <c r="AP43" s="83">
        <f t="shared" si="4"/>
        <v>5.8235966644232278</v>
      </c>
      <c r="AQ43" s="83">
        <f t="shared" si="4"/>
        <v>5.9275323405564437</v>
      </c>
      <c r="AS43" s="83">
        <f t="shared" si="5"/>
        <v>0</v>
      </c>
    </row>
    <row r="44" spans="1:45" ht="12.75" x14ac:dyDescent="0.2">
      <c r="A44" s="166"/>
      <c r="B44" s="83">
        <f t="shared" si="6"/>
        <v>0.22499999999999998</v>
      </c>
      <c r="C44" s="83">
        <f t="shared" si="7"/>
        <v>5.8400581510154002</v>
      </c>
      <c r="D44" s="83">
        <f t="shared" si="1"/>
        <v>5.7379525145773869</v>
      </c>
      <c r="E44" s="83">
        <f t="shared" si="1"/>
        <v>5.6530634638862214</v>
      </c>
      <c r="F44" s="83">
        <f t="shared" si="1"/>
        <v>5.5829395232514223</v>
      </c>
      <c r="G44" s="83">
        <f t="shared" si="1"/>
        <v>5.5247559978172731</v>
      </c>
      <c r="H44" s="83">
        <f t="shared" si="1"/>
        <v>5.4760403883933808</v>
      </c>
      <c r="I44" s="83">
        <f t="shared" si="1"/>
        <v>5.4348825292365985</v>
      </c>
      <c r="J44" s="83">
        <f t="shared" si="1"/>
        <v>5.3998748858145742</v>
      </c>
      <c r="K44" s="83">
        <f t="shared" si="1"/>
        <v>5.3699862106347185</v>
      </c>
      <c r="L44" s="83">
        <f t="shared" si="1"/>
        <v>5.3444499111726653</v>
      </c>
      <c r="M44" s="83">
        <f t="shared" si="1"/>
        <v>5.3226834950822361</v>
      </c>
      <c r="N44" s="83">
        <f t="shared" si="2"/>
        <v>5.3042345138612621</v>
      </c>
      <c r="O44" s="83">
        <f t="shared" si="2"/>
        <v>5.2887450876128996</v>
      </c>
      <c r="P44" s="83">
        <f t="shared" si="2"/>
        <v>5.2759285771485729</v>
      </c>
      <c r="Q44" s="83">
        <f t="shared" si="2"/>
        <v>5.2655540186965011</v>
      </c>
      <c r="R44" s="83">
        <f t="shared" si="2"/>
        <v>5.2574355260060859</v>
      </c>
      <c r="S44" s="83">
        <f t="shared" si="2"/>
        <v>5.2514249256882994</v>
      </c>
      <c r="T44" s="83">
        <f t="shared" si="2"/>
        <v>5.2474065599192921</v>
      </c>
      <c r="U44" s="83">
        <f t="shared" si="2"/>
        <v>5.2452936021206886</v>
      </c>
      <c r="V44" s="83">
        <f t="shared" si="2"/>
        <v>5.2450254836164341</v>
      </c>
      <c r="W44" s="83">
        <f t="shared" si="2"/>
        <v>5.2465661857759986</v>
      </c>
      <c r="X44" s="83">
        <f t="shared" si="3"/>
        <v>5.2499032521293039</v>
      </c>
      <c r="Y44" s="83">
        <f t="shared" si="3"/>
        <v>5.2550474427647043</v>
      </c>
      <c r="Z44" s="83">
        <f t="shared" si="3"/>
        <v>5.2620330046579094</v>
      </c>
      <c r="AA44" s="83">
        <f t="shared" si="3"/>
        <v>5.2709185775771861</v>
      </c>
      <c r="AB44" s="83">
        <f t="shared" si="3"/>
        <v>5.2817888055770741</v>
      </c>
      <c r="AC44" s="83">
        <f t="shared" si="3"/>
        <v>5.2947567897816636</v>
      </c>
      <c r="AD44" s="83">
        <f t="shared" si="3"/>
        <v>5.3099676143839343</v>
      </c>
      <c r="AE44" s="83">
        <f t="shared" si="3"/>
        <v>5.3276033281303947</v>
      </c>
      <c r="AF44" s="83">
        <f t="shared" si="3"/>
        <v>5.3478900060053949</v>
      </c>
      <c r="AG44" s="83">
        <f t="shared" si="3"/>
        <v>5.3711079113934979</v>
      </c>
      <c r="AH44" s="83">
        <f t="shared" si="4"/>
        <v>5.3976064219641779</v>
      </c>
      <c r="AI44" s="83">
        <f t="shared" si="4"/>
        <v>5.4278264041066429</v>
      </c>
      <c r="AJ44" s="83">
        <f t="shared" si="4"/>
        <v>5.4623342520101126</v>
      </c>
      <c r="AK44" s="83">
        <f t="shared" si="4"/>
        <v>5.5018737824348118</v>
      </c>
      <c r="AL44" s="83">
        <f t="shared" si="4"/>
        <v>5.5474436082775087</v>
      </c>
      <c r="AM44" s="83">
        <f t="shared" si="4"/>
        <v>5.600404404262143</v>
      </c>
      <c r="AN44" s="83">
        <f t="shared" si="4"/>
        <v>5.6626003162786231</v>
      </c>
      <c r="AO44" s="83">
        <f t="shared" si="4"/>
        <v>5.7364161909522151</v>
      </c>
      <c r="AP44" s="83">
        <f t="shared" si="4"/>
        <v>5.8245749764680399</v>
      </c>
      <c r="AQ44" s="83">
        <f t="shared" si="4"/>
        <v>5.9294389738282955</v>
      </c>
      <c r="AS44" s="83">
        <f t="shared" si="5"/>
        <v>0</v>
      </c>
    </row>
    <row r="45" spans="1:45" ht="12.75" x14ac:dyDescent="0.2">
      <c r="A45" s="166"/>
      <c r="B45" s="83">
        <f t="shared" si="6"/>
        <v>0.24999999999999997</v>
      </c>
      <c r="C45" s="83">
        <f t="shared" si="7"/>
        <v>5.843734704526411</v>
      </c>
      <c r="D45" s="83">
        <f t="shared" ref="D45:M54" si="8">wa*SQRT((xa-x)^2+(ya-y)^2)+wb*SQRT((xb-x)^2+(yb-y)^2)+wc*SQRT((xc-x)^2+(yc-y)^2)+wd*SQRT((xd-x)^2+(yd-y)^2)</f>
        <v>5.7408553003376515</v>
      </c>
      <c r="E45" s="83">
        <f t="shared" si="8"/>
        <v>5.6540955701599911</v>
      </c>
      <c r="F45" s="83">
        <f t="shared" si="8"/>
        <v>5.5815487690459697</v>
      </c>
      <c r="G45" s="83">
        <f t="shared" si="8"/>
        <v>5.5208812607399302</v>
      </c>
      <c r="H45" s="83">
        <f t="shared" si="8"/>
        <v>5.4699068076652715</v>
      </c>
      <c r="I45" s="83">
        <f t="shared" si="8"/>
        <v>5.4268262278672248</v>
      </c>
      <c r="J45" s="83">
        <f t="shared" si="8"/>
        <v>5.3902426243031281</v>
      </c>
      <c r="K45" s="83">
        <f t="shared" si="8"/>
        <v>5.3590909474122652</v>
      </c>
      <c r="L45" s="83">
        <f t="shared" si="8"/>
        <v>5.3325567553696596</v>
      </c>
      <c r="M45" s="83">
        <f t="shared" si="8"/>
        <v>5.3100095667439398</v>
      </c>
      <c r="N45" s="83">
        <f t="shared" ref="N45:W54" si="9">wa*SQRT((xa-x)^2+(ya-y)^2)+wb*SQRT((xb-x)^2+(yb-y)^2)+wc*SQRT((xc-x)^2+(yc-y)^2)+wd*SQRT((xd-x)^2+(yd-y)^2)</f>
        <v>5.290954202879079</v>
      </c>
      <c r="O45" s="83">
        <f t="shared" si="9"/>
        <v>5.2749967979744126</v>
      </c>
      <c r="P45" s="83">
        <f t="shared" si="9"/>
        <v>5.2618213202289166</v>
      </c>
      <c r="Q45" s="83">
        <f t="shared" si="9"/>
        <v>5.2511732671921063</v>
      </c>
      <c r="R45" s="83">
        <f t="shared" si="9"/>
        <v>5.24284819771563</v>
      </c>
      <c r="S45" s="83">
        <f t="shared" si="9"/>
        <v>5.2366835536198346</v>
      </c>
      <c r="T45" s="83">
        <f t="shared" si="9"/>
        <v>5.2325527725224195</v>
      </c>
      <c r="U45" s="83">
        <f t="shared" si="9"/>
        <v>5.2303610536318201</v>
      </c>
      <c r="V45" s="83">
        <f t="shared" si="9"/>
        <v>5.2300423707136279</v>
      </c>
      <c r="W45" s="83">
        <f t="shared" si="9"/>
        <v>5.2315574769717008</v>
      </c>
      <c r="X45" s="83">
        <f t="shared" ref="X45:AG54" si="10">wa*SQRT((xa-x)^2+(ya-y)^2)+wb*SQRT((xb-x)^2+(yb-y)^2)+wc*SQRT((xc-x)^2+(yc-y)^2)+wd*SQRT((xd-x)^2+(yd-y)^2)</f>
        <v>5.2348927468149631</v>
      </c>
      <c r="Y45" s="83">
        <f t="shared" si="10"/>
        <v>5.240059770264538</v>
      </c>
      <c r="Z45" s="83">
        <f t="shared" si="10"/>
        <v>5.2470956711354448</v>
      </c>
      <c r="AA45" s="83">
        <f t="shared" si="10"/>
        <v>5.2560641704448905</v>
      </c>
      <c r="AB45" s="83">
        <f t="shared" si="10"/>
        <v>5.2670574708834348</v>
      </c>
      <c r="AC45" s="83">
        <f t="shared" si="10"/>
        <v>5.2801991067981788</v>
      </c>
      <c r="AD45" s="83">
        <f t="shared" si="10"/>
        <v>5.295648000624686</v>
      </c>
      <c r="AE45" s="83">
        <f t="shared" si="10"/>
        <v>5.3136041112410517</v>
      </c>
      <c r="AF45" s="83">
        <f t="shared" si="10"/>
        <v>5.334316282792904</v>
      </c>
      <c r="AG45" s="83">
        <f t="shared" si="10"/>
        <v>5.3580932486539208</v>
      </c>
      <c r="AH45" s="83">
        <f t="shared" ref="AH45:AQ54" si="11">wa*SQRT((xa-x)^2+(ya-y)^2)+wb*SQRT((xb-x)^2+(yb-y)^2)+wc*SQRT((xc-x)^2+(yc-y)^2)+wd*SQRT((xd-x)^2+(yd-y)^2)</f>
        <v>5.3853192723577301</v>
      </c>
      <c r="AI45" s="83">
        <f t="shared" si="11"/>
        <v>5.4164766682856316</v>
      </c>
      <c r="AJ45" s="83">
        <f t="shared" si="11"/>
        <v>5.4521784074769153</v>
      </c>
      <c r="AK45" s="83">
        <f t="shared" si="11"/>
        <v>5.4932148050646576</v>
      </c>
      <c r="AL45" s="83">
        <f t="shared" si="11"/>
        <v>5.540617485783927</v>
      </c>
      <c r="AM45" s="83">
        <f t="shared" si="11"/>
        <v>5.5957373593732811</v>
      </c>
      <c r="AN45" s="83">
        <f t="shared" si="11"/>
        <v>5.66031216282183</v>
      </c>
      <c r="AO45" s="83">
        <f t="shared" si="11"/>
        <v>5.7364514976258398</v>
      </c>
      <c r="AP45" s="83">
        <f t="shared" si="11"/>
        <v>5.8264057678103596</v>
      </c>
      <c r="AQ45" s="83">
        <f t="shared" si="11"/>
        <v>5.9320129263801444</v>
      </c>
      <c r="AS45" s="83">
        <f t="shared" si="5"/>
        <v>0</v>
      </c>
    </row>
    <row r="46" spans="1:45" ht="12.75" x14ac:dyDescent="0.2">
      <c r="A46" s="166"/>
      <c r="B46" s="83">
        <f t="shared" si="6"/>
        <v>0.27499999999999997</v>
      </c>
      <c r="C46" s="83">
        <f t="shared" si="7"/>
        <v>5.8480646802693954</v>
      </c>
      <c r="D46" s="83">
        <f t="shared" si="8"/>
        <v>5.7445574131572137</v>
      </c>
      <c r="E46" s="83">
        <f t="shared" si="8"/>
        <v>5.6562589099787726</v>
      </c>
      <c r="F46" s="83">
        <f t="shared" si="8"/>
        <v>5.5816556255115373</v>
      </c>
      <c r="G46" s="83">
        <f t="shared" si="8"/>
        <v>5.5188034200288092</v>
      </c>
      <c r="H46" s="83">
        <f t="shared" si="8"/>
        <v>5.4657755626297533</v>
      </c>
      <c r="I46" s="83">
        <f t="shared" si="8"/>
        <v>5.4208976071780359</v>
      </c>
      <c r="J46" s="83">
        <f t="shared" si="8"/>
        <v>5.3828069115070143</v>
      </c>
      <c r="K46" s="83">
        <f t="shared" si="8"/>
        <v>5.3504249920646076</v>
      </c>
      <c r="L46" s="83">
        <f t="shared" si="8"/>
        <v>5.3229039279979666</v>
      </c>
      <c r="M46" s="83">
        <f t="shared" si="8"/>
        <v>5.2995745300546906</v>
      </c>
      <c r="N46" s="83">
        <f t="shared" si="9"/>
        <v>5.2799046351031169</v>
      </c>
      <c r="O46" s="83">
        <f t="shared" si="9"/>
        <v>5.2634678811331028</v>
      </c>
      <c r="P46" s="83">
        <f t="shared" si="9"/>
        <v>5.2499209515396332</v>
      </c>
      <c r="Q46" s="83">
        <f t="shared" si="9"/>
        <v>5.2389870823302829</v>
      </c>
      <c r="R46" s="83">
        <f t="shared" si="9"/>
        <v>5.2304440579504785</v>
      </c>
      <c r="S46" s="83">
        <f t="shared" si="9"/>
        <v>5.2241154174663045</v>
      </c>
      <c r="T46" s="83">
        <f t="shared" si="9"/>
        <v>5.2198639937589606</v>
      </c>
      <c r="U46" s="83">
        <f t="shared" si="9"/>
        <v>5.2175871970849883</v>
      </c>
      <c r="V46" s="83">
        <f t="shared" si="9"/>
        <v>5.2172136533127462</v>
      </c>
      <c r="W46" s="83">
        <f t="shared" si="9"/>
        <v>5.2187009433387548</v>
      </c>
      <c r="X46" s="83">
        <f t="shared" si="10"/>
        <v>5.2220342855658455</v>
      </c>
      <c r="Y46" s="83">
        <f t="shared" si="10"/>
        <v>5.2272260738754337</v>
      </c>
      <c r="Z46" s="83">
        <f t="shared" si="10"/>
        <v>5.2343162407478729</v>
      </c>
      <c r="AA46" s="83">
        <f t="shared" si="10"/>
        <v>5.2433734679383077</v>
      </c>
      <c r="AB46" s="83">
        <f t="shared" si="10"/>
        <v>5.2544973233596526</v>
      </c>
      <c r="AC46" s="83">
        <f t="shared" si="10"/>
        <v>5.2678214712686469</v>
      </c>
      <c r="AD46" s="83">
        <f t="shared" si="10"/>
        <v>5.2835181946731753</v>
      </c>
      <c r="AE46" s="83">
        <f t="shared" si="10"/>
        <v>5.3018045995438952</v>
      </c>
      <c r="AF46" s="83">
        <f t="shared" si="10"/>
        <v>5.3229510611282222</v>
      </c>
      <c r="AG46" s="83">
        <f t="shared" si="10"/>
        <v>5.3472927495284068</v>
      </c>
      <c r="AH46" s="83">
        <f t="shared" si="11"/>
        <v>5.3752454565679617</v>
      </c>
      <c r="AI46" s="83">
        <f t="shared" si="11"/>
        <v>5.4073274227411936</v>
      </c>
      <c r="AJ46" s="83">
        <f t="shared" si="11"/>
        <v>5.4441892790301605</v>
      </c>
      <c r="AK46" s="83">
        <f t="shared" si="11"/>
        <v>5.4866540319293851</v>
      </c>
      <c r="AL46" s="83">
        <f t="shared" si="11"/>
        <v>5.5357667453858905</v>
      </c>
      <c r="AM46" s="83">
        <f t="shared" si="11"/>
        <v>5.592845870566042</v>
      </c>
      <c r="AN46" s="83">
        <f t="shared" si="11"/>
        <v>5.6595095459752018</v>
      </c>
      <c r="AO46" s="83">
        <f t="shared" si="11"/>
        <v>5.737617943414115</v>
      </c>
      <c r="AP46" s="83">
        <f t="shared" si="11"/>
        <v>5.8290467662643817</v>
      </c>
      <c r="AQ46" s="83">
        <f t="shared" si="11"/>
        <v>5.9352555664355098</v>
      </c>
      <c r="AS46" s="83">
        <f t="shared" si="5"/>
        <v>0</v>
      </c>
    </row>
    <row r="47" spans="1:45" ht="12.75" x14ac:dyDescent="0.2">
      <c r="A47" s="166"/>
      <c r="B47" s="83">
        <f t="shared" si="6"/>
        <v>0.3</v>
      </c>
      <c r="C47" s="83">
        <f t="shared" si="7"/>
        <v>5.853049304142079</v>
      </c>
      <c r="D47" s="83">
        <f t="shared" si="8"/>
        <v>5.7490294040894572</v>
      </c>
      <c r="E47" s="83">
        <f t="shared" si="8"/>
        <v>5.6594598664582119</v>
      </c>
      <c r="F47" s="83">
        <f t="shared" si="8"/>
        <v>5.5831152889116442</v>
      </c>
      <c r="G47" s="83">
        <f t="shared" si="8"/>
        <v>5.5183585895147926</v>
      </c>
      <c r="H47" s="83">
        <f t="shared" si="8"/>
        <v>5.4634894905801126</v>
      </c>
      <c r="I47" s="83">
        <f t="shared" si="8"/>
        <v>5.4169593796446867</v>
      </c>
      <c r="J47" s="83">
        <f t="shared" si="8"/>
        <v>5.3774541539479834</v>
      </c>
      <c r="K47" s="83">
        <f t="shared" si="8"/>
        <v>5.3438973719801153</v>
      </c>
      <c r="L47" s="83">
        <f t="shared" si="8"/>
        <v>5.3154200598057173</v>
      </c>
      <c r="M47" s="83">
        <f t="shared" si="8"/>
        <v>5.2913231785342489</v>
      </c>
      <c r="N47" s="83">
        <f t="shared" si="9"/>
        <v>5.2710435617081774</v>
      </c>
      <c r="O47" s="83">
        <f t="shared" si="9"/>
        <v>5.2541262990924817</v>
      </c>
      <c r="P47" s="83">
        <f t="shared" si="9"/>
        <v>5.2402033822449621</v>
      </c>
      <c r="Q47" s="83">
        <f t="shared" si="9"/>
        <v>5.2289774973125578</v>
      </c>
      <c r="R47" s="83">
        <f t="shared" si="9"/>
        <v>5.220209795252055</v>
      </c>
      <c r="S47" s="83">
        <f t="shared" si="9"/>
        <v>5.2137106798271988</v>
      </c>
      <c r="T47" s="83">
        <f t="shared" si="9"/>
        <v>5.2093328966505981</v>
      </c>
      <c r="U47" s="83">
        <f t="shared" si="9"/>
        <v>5.2069664111367402</v>
      </c>
      <c r="V47" s="83">
        <f t="shared" si="9"/>
        <v>5.2065347189917528</v>
      </c>
      <c r="W47" s="83">
        <f t="shared" si="9"/>
        <v>5.2079923480080366</v>
      </c>
      <c r="X47" s="83">
        <f t="shared" si="10"/>
        <v>5.211323396048428</v>
      </c>
      <c r="Y47" s="83">
        <f t="shared" si="10"/>
        <v>5.2165410174891713</v>
      </c>
      <c r="Z47" s="83">
        <f t="shared" si="10"/>
        <v>5.2236878273273213</v>
      </c>
      <c r="AA47" s="83">
        <f t="shared" si="10"/>
        <v>5.2328372454848777</v>
      </c>
      <c r="AB47" s="83">
        <f t="shared" si="10"/>
        <v>5.244095859859458</v>
      </c>
      <c r="AC47" s="83">
        <f t="shared" si="10"/>
        <v>5.2576069521038704</v>
      </c>
      <c r="AD47" s="83">
        <f t="shared" si="10"/>
        <v>5.2735554130164681</v>
      </c>
      <c r="AE47" s="83">
        <f t="shared" si="10"/>
        <v>5.2921743847463674</v>
      </c>
      <c r="AF47" s="83">
        <f t="shared" si="10"/>
        <v>5.3137541159676278</v>
      </c>
      <c r="AG47" s="83">
        <f t="shared" si="10"/>
        <v>5.3386537117639143</v>
      </c>
      <c r="AH47" s="83">
        <f t="shared" si="11"/>
        <v>5.3673166922589726</v>
      </c>
      <c r="AI47" s="83">
        <f t="shared" si="11"/>
        <v>5.4002914749606141</v>
      </c>
      <c r="AJ47" s="83">
        <f t="shared" si="11"/>
        <v>5.4382578419609935</v>
      </c>
      <c r="AK47" s="83">
        <f t="shared" si="11"/>
        <v>5.4820595587172516</v>
      </c>
      <c r="AL47" s="83">
        <f t="shared" si="11"/>
        <v>5.5327402709131697</v>
      </c>
      <c r="AM47" s="83">
        <f t="shared" si="11"/>
        <v>5.5915722710919473</v>
      </c>
      <c r="AN47" s="83">
        <f t="shared" si="11"/>
        <v>5.6600531031503536</v>
      </c>
      <c r="AO47" s="83">
        <f t="shared" si="11"/>
        <v>5.7398253984657286</v>
      </c>
      <c r="AP47" s="83">
        <f t="shared" si="11"/>
        <v>5.8324695960484583</v>
      </c>
      <c r="AQ47" s="83">
        <f t="shared" si="11"/>
        <v>5.9391680462228633</v>
      </c>
      <c r="AS47" s="83">
        <f t="shared" si="5"/>
        <v>0</v>
      </c>
    </row>
    <row r="48" spans="1:45" ht="12.75" x14ac:dyDescent="0.2">
      <c r="A48" s="166"/>
      <c r="B48" s="83">
        <f t="shared" si="6"/>
        <v>0.32500000000000001</v>
      </c>
      <c r="C48" s="83">
        <f t="shared" si="7"/>
        <v>5.8586895921149473</v>
      </c>
      <c r="D48" s="83">
        <f t="shared" si="8"/>
        <v>5.7542509036960325</v>
      </c>
      <c r="E48" s="83">
        <f t="shared" si="8"/>
        <v>5.6636306864167114</v>
      </c>
      <c r="F48" s="83">
        <f t="shared" si="8"/>
        <v>5.5858173428273803</v>
      </c>
      <c r="G48" s="83">
        <f t="shared" si="8"/>
        <v>5.5194150901956149</v>
      </c>
      <c r="H48" s="83">
        <f t="shared" si="8"/>
        <v>5.4629162841136658</v>
      </c>
      <c r="I48" s="83">
        <f t="shared" si="8"/>
        <v>5.4148913714431712</v>
      </c>
      <c r="J48" s="83">
        <f t="shared" si="8"/>
        <v>5.3740817171782815</v>
      </c>
      <c r="K48" s="83">
        <f t="shared" si="8"/>
        <v>5.3394237570712075</v>
      </c>
      <c r="L48" s="83">
        <f t="shared" si="8"/>
        <v>5.3100375804137503</v>
      </c>
      <c r="M48" s="83">
        <f t="shared" si="8"/>
        <v>5.2852022877690459</v>
      </c>
      <c r="N48" s="83">
        <f t="shared" si="9"/>
        <v>5.2643295696531904</v>
      </c>
      <c r="O48" s="83">
        <f t="shared" si="9"/>
        <v>5.2469401276980454</v>
      </c>
      <c r="P48" s="83">
        <f t="shared" si="9"/>
        <v>5.2326441806498032</v>
      </c>
      <c r="Q48" s="83">
        <f t="shared" si="9"/>
        <v>5.2211259115205593</v>
      </c>
      <c r="R48" s="83">
        <f t="shared" si="9"/>
        <v>5.2121312778380471</v>
      </c>
      <c r="S48" s="83">
        <f t="shared" si="9"/>
        <v>5.2054585634086905</v>
      </c>
      <c r="T48" s="83">
        <f t="shared" si="9"/>
        <v>5.2009511387833918</v>
      </c>
      <c r="U48" s="83">
        <f t="shared" si="9"/>
        <v>5.1984920136259234</v>
      </c>
      <c r="V48" s="83">
        <f t="shared" si="9"/>
        <v>5.1979998711579647</v>
      </c>
      <c r="W48" s="83">
        <f t="shared" si="9"/>
        <v>5.1994263643404652</v>
      </c>
      <c r="X48" s="83">
        <f t="shared" si="10"/>
        <v>5.2027545269303594</v>
      </c>
      <c r="Y48" s="83">
        <f t="shared" si="10"/>
        <v>5.2079982143381844</v>
      </c>
      <c r="Z48" s="83">
        <f t="shared" si="10"/>
        <v>5.2152025439889753</v>
      </c>
      <c r="AA48" s="83">
        <f t="shared" si="10"/>
        <v>5.2244453571065463</v>
      </c>
      <c r="AB48" s="83">
        <f t="shared" si="10"/>
        <v>5.2358397777928154</v>
      </c>
      <c r="AC48" s="83">
        <f t="shared" si="10"/>
        <v>5.2495380053357641</v>
      </c>
      <c r="AD48" s="83">
        <f t="shared" si="10"/>
        <v>5.2657365464004249</v>
      </c>
      <c r="AE48" s="83">
        <f t="shared" si="10"/>
        <v>5.2846831792971791</v>
      </c>
      <c r="AF48" s="83">
        <f t="shared" si="10"/>
        <v>5.3066860443138069</v>
      </c>
      <c r="AG48" s="83">
        <f t="shared" si="10"/>
        <v>5.3321253640552095</v>
      </c>
      <c r="AH48" s="83">
        <f t="shared" si="11"/>
        <v>5.3614683810983417</v>
      </c>
      <c r="AI48" s="83">
        <f t="shared" si="11"/>
        <v>5.3952880562473755</v>
      </c>
      <c r="AJ48" s="83">
        <f t="shared" si="11"/>
        <v>5.4342856510043154</v>
      </c>
      <c r="AK48" s="83">
        <f t="shared" si="11"/>
        <v>5.4793159835803351</v>
      </c>
      <c r="AL48" s="83">
        <f t="shared" si="11"/>
        <v>5.531410897336734</v>
      </c>
      <c r="AM48" s="83">
        <f t="shared" si="11"/>
        <v>5.5917899169117256</v>
      </c>
      <c r="AN48" s="83">
        <f t="shared" si="11"/>
        <v>5.6618365852795955</v>
      </c>
      <c r="AO48" s="83">
        <f t="shared" si="11"/>
        <v>5.7430086309118016</v>
      </c>
      <c r="AP48" s="83">
        <f t="shared" si="11"/>
        <v>5.8366546117659226</v>
      </c>
      <c r="AQ48" s="83">
        <f t="shared" si="11"/>
        <v>5.943751301704709</v>
      </c>
      <c r="AS48" s="83">
        <f t="shared" si="5"/>
        <v>0</v>
      </c>
    </row>
    <row r="49" spans="1:45" ht="12.75" x14ac:dyDescent="0.2">
      <c r="A49" s="166"/>
      <c r="B49" s="83">
        <f t="shared" si="6"/>
        <v>0.35000000000000003</v>
      </c>
      <c r="C49" s="83">
        <f t="shared" si="7"/>
        <v>5.864986350033413</v>
      </c>
      <c r="D49" s="83">
        <f t="shared" si="8"/>
        <v>5.7602074552312938</v>
      </c>
      <c r="E49" s="83">
        <f t="shared" si="8"/>
        <v>5.6687215834540661</v>
      </c>
      <c r="F49" s="83">
        <f t="shared" si="8"/>
        <v>5.589677192854043</v>
      </c>
      <c r="G49" s="83">
        <f t="shared" si="8"/>
        <v>5.521867551063381</v>
      </c>
      <c r="H49" s="83">
        <f t="shared" si="8"/>
        <v>5.4639457183287465</v>
      </c>
      <c r="I49" s="83">
        <f t="shared" si="8"/>
        <v>5.414589920853488</v>
      </c>
      <c r="J49" s="83">
        <f t="shared" si="8"/>
        <v>5.3725984594760678</v>
      </c>
      <c r="K49" s="83">
        <f t="shared" si="8"/>
        <v>5.3369274384410268</v>
      </c>
      <c r="L49" s="83">
        <f t="shared" si="8"/>
        <v>5.3066937740503661</v>
      </c>
      <c r="M49" s="83">
        <f t="shared" si="8"/>
        <v>5.2811615839294603</v>
      </c>
      <c r="N49" s="83">
        <f t="shared" si="9"/>
        <v>5.2597229069286673</v>
      </c>
      <c r="O49" s="83">
        <f t="shared" si="9"/>
        <v>5.2418782336349166</v>
      </c>
      <c r="P49" s="83">
        <f t="shared" si="9"/>
        <v>5.2272191170130125</v>
      </c>
      <c r="Q49" s="83">
        <f t="shared" si="9"/>
        <v>5.2154135257893675</v>
      </c>
      <c r="R49" s="83">
        <f t="shared" si="9"/>
        <v>5.2061939021857917</v>
      </c>
      <c r="S49" s="83">
        <f t="shared" si="9"/>
        <v>5.199347633568709</v>
      </c>
      <c r="T49" s="83">
        <f t="shared" si="9"/>
        <v>5.1947095967185861</v>
      </c>
      <c r="U49" s="83">
        <f t="shared" si="9"/>
        <v>5.1921564632751522</v>
      </c>
      <c r="V49" s="83">
        <f t="shared" si="9"/>
        <v>5.1916025115854634</v>
      </c>
      <c r="W49" s="83">
        <f t="shared" si="9"/>
        <v>5.1929967516805773</v>
      </c>
      <c r="X49" s="83">
        <f t="shared" si="10"/>
        <v>5.1963212288101186</v>
      </c>
      <c r="Y49" s="83">
        <f t="shared" si="10"/>
        <v>5.2015904253886589</v>
      </c>
      <c r="Z49" s="83">
        <f t="shared" si="10"/>
        <v>5.2088517323423176</v>
      </c>
      <c r="AA49" s="83">
        <f t="shared" si="10"/>
        <v>5.2181870105772772</v>
      </c>
      <c r="AB49" s="83">
        <f t="shared" si="10"/>
        <v>5.2297153137214112</v>
      </c>
      <c r="AC49" s="83">
        <f t="shared" si="10"/>
        <v>5.2435968962723027</v>
      </c>
      <c r="AD49" s="83">
        <f t="shared" si="10"/>
        <v>5.2600386877673362</v>
      </c>
      <c r="AE49" s="83">
        <f t="shared" si="10"/>
        <v>5.2793014721096014</v>
      </c>
      <c r="AF49" s="83">
        <f t="shared" si="10"/>
        <v>5.3017090643535356</v>
      </c>
      <c r="AG49" s="83">
        <f t="shared" si="10"/>
        <v>5.3276598038938721</v>
      </c>
      <c r="AH49" s="83">
        <f t="shared" si="11"/>
        <v>5.3576406313332416</v>
      </c>
      <c r="AI49" s="83">
        <f t="shared" si="11"/>
        <v>5.3922437706799871</v>
      </c>
      <c r="AJ49" s="83">
        <f t="shared" si="11"/>
        <v>5.4321853611017046</v>
      </c>
      <c r="AK49" s="83">
        <f t="shared" si="11"/>
        <v>5.4783238344988066</v>
      </c>
      <c r="AL49" s="83">
        <f t="shared" si="11"/>
        <v>5.531672746649015</v>
      </c>
      <c r="AM49" s="83">
        <f t="shared" si="11"/>
        <v>5.5933975107970966</v>
      </c>
      <c r="AN49" s="83">
        <f t="shared" si="11"/>
        <v>5.6647786120081989</v>
      </c>
      <c r="AO49" s="83">
        <f t="shared" si="11"/>
        <v>5.7471197041626745</v>
      </c>
      <c r="AP49" s="83">
        <f t="shared" si="11"/>
        <v>5.8415878494824272</v>
      </c>
      <c r="AQ49" s="83">
        <f t="shared" si="11"/>
        <v>5.9490060525546493</v>
      </c>
      <c r="AS49" s="83">
        <f t="shared" si="5"/>
        <v>0</v>
      </c>
    </row>
    <row r="50" spans="1:45" ht="12.75" x14ac:dyDescent="0.2">
      <c r="A50" s="166"/>
      <c r="B50" s="83">
        <f t="shared" si="6"/>
        <v>0.37500000000000006</v>
      </c>
      <c r="C50" s="83">
        <f t="shared" si="7"/>
        <v>5.8719401736462284</v>
      </c>
      <c r="D50" s="83">
        <f t="shared" si="8"/>
        <v>5.7668885714988498</v>
      </c>
      <c r="E50" s="83">
        <f t="shared" si="8"/>
        <v>5.6746955378467057</v>
      </c>
      <c r="F50" s="83">
        <f t="shared" si="8"/>
        <v>5.5946298203809892</v>
      </c>
      <c r="G50" s="83">
        <f t="shared" si="8"/>
        <v>5.5256320197150535</v>
      </c>
      <c r="H50" s="83">
        <f t="shared" si="8"/>
        <v>5.4664868948235821</v>
      </c>
      <c r="I50" s="83">
        <f t="shared" si="8"/>
        <v>5.4159668755131527</v>
      </c>
      <c r="J50" s="83">
        <f t="shared" si="8"/>
        <v>5.37292480446947</v>
      </c>
      <c r="K50" s="83">
        <f t="shared" si="8"/>
        <v>5.3363399251856229</v>
      </c>
      <c r="L50" s="83">
        <f t="shared" si="8"/>
        <v>5.3053315574550624</v>
      </c>
      <c r="M50" s="83">
        <f t="shared" si="8"/>
        <v>5.2791545221677154</v>
      </c>
      <c r="N50" s="83">
        <f t="shared" si="9"/>
        <v>5.2571861813380378</v>
      </c>
      <c r="O50" s="83">
        <f t="shared" si="9"/>
        <v>5.2389108681077472</v>
      </c>
      <c r="P50" s="83">
        <f t="shared" si="9"/>
        <v>5.223904653357768</v>
      </c>
      <c r="Q50" s="83">
        <f t="shared" si="9"/>
        <v>5.2118217409999934</v>
      </c>
      <c r="R50" s="83">
        <f t="shared" si="9"/>
        <v>5.2023829167329332</v>
      </c>
      <c r="S50" s="83">
        <f t="shared" si="9"/>
        <v>5.1953660635516279</v>
      </c>
      <c r="T50" s="83">
        <f t="shared" si="9"/>
        <v>5.190598587897874</v>
      </c>
      <c r="U50" s="83">
        <f t="shared" si="9"/>
        <v>5.1879515518205856</v>
      </c>
      <c r="V50" s="83">
        <f t="shared" si="9"/>
        <v>5.1873353149705101</v>
      </c>
      <c r="W50" s="83">
        <f t="shared" si="9"/>
        <v>5.1886965236505826</v>
      </c>
      <c r="X50" s="83">
        <f t="shared" si="10"/>
        <v>5.1920163272334161</v>
      </c>
      <c r="Y50" s="83">
        <f t="shared" si="10"/>
        <v>5.1973097483164334</v>
      </c>
      <c r="Z50" s="83">
        <f t="shared" si="10"/>
        <v>5.204626179474733</v>
      </c>
      <c r="AA50" s="83">
        <f t="shared" si="10"/>
        <v>5.2140510257373496</v>
      </c>
      <c r="AB50" s="83">
        <f t="shared" si="10"/>
        <v>5.225708557835504</v>
      </c>
      <c r="AC50" s="83">
        <f t="shared" si="10"/>
        <v>5.2397660862029962</v>
      </c>
      <c r="AD50" s="83">
        <f t="shared" si="10"/>
        <v>5.2564396071542694</v>
      </c>
      <c r="AE50" s="83">
        <f t="shared" si="10"/>
        <v>5.2760011040657142</v>
      </c>
      <c r="AF50" s="83">
        <f t="shared" si="10"/>
        <v>5.298787692952553</v>
      </c>
      <c r="AG50" s="83">
        <f t="shared" si="10"/>
        <v>5.3252127526480475</v>
      </c>
      <c r="AH50" s="83">
        <f t="shared" si="11"/>
        <v>5.3557790133394976</v>
      </c>
      <c r="AI50" s="83">
        <f t="shared" si="11"/>
        <v>5.39109317708402</v>
      </c>
      <c r="AJ50" s="83">
        <f t="shared" si="11"/>
        <v>5.4318808051037051</v>
      </c>
      <c r="AK50" s="83">
        <f t="shared" si="11"/>
        <v>5.4789986114155491</v>
      </c>
      <c r="AL50" s="83">
        <f t="shared" si="11"/>
        <v>5.5334385809974105</v>
      </c>
      <c r="AM50" s="83">
        <f t="shared" si="11"/>
        <v>5.5963143997560394</v>
      </c>
      <c r="AN50" s="83">
        <f t="shared" si="11"/>
        <v>5.6688166607592994</v>
      </c>
      <c r="AO50" s="83">
        <f t="shared" si="11"/>
        <v>5.7521229715107038</v>
      </c>
      <c r="AP50" s="83">
        <f t="shared" si="11"/>
        <v>5.8472591562723784</v>
      </c>
      <c r="AQ50" s="83">
        <f t="shared" si="11"/>
        <v>5.9549328023718537</v>
      </c>
      <c r="AS50" s="83">
        <f t="shared" si="5"/>
        <v>0</v>
      </c>
    </row>
    <row r="51" spans="1:45" ht="12.75" x14ac:dyDescent="0.2">
      <c r="A51" s="166"/>
      <c r="B51" s="83">
        <f t="shared" si="6"/>
        <v>0.40000000000000008</v>
      </c>
      <c r="C51" s="83">
        <f t="shared" si="7"/>
        <v>5.8795514488503589</v>
      </c>
      <c r="D51" s="83">
        <f t="shared" si="8"/>
        <v>5.7742865041213527</v>
      </c>
      <c r="E51" s="83">
        <f t="shared" si="8"/>
        <v>5.6815248160685217</v>
      </c>
      <c r="F51" s="83">
        <f t="shared" si="8"/>
        <v>5.6006252505264555</v>
      </c>
      <c r="G51" s="83">
        <f t="shared" si="8"/>
        <v>5.5306420409557973</v>
      </c>
      <c r="H51" s="83">
        <f t="shared" si="8"/>
        <v>5.4704657256459326</v>
      </c>
      <c r="I51" s="83">
        <f t="shared" si="8"/>
        <v>5.4189484265364189</v>
      </c>
      <c r="J51" s="83">
        <f t="shared" si="8"/>
        <v>5.3749925184654765</v>
      </c>
      <c r="K51" s="83">
        <f t="shared" si="8"/>
        <v>5.3376012531589598</v>
      </c>
      <c r="L51" s="83">
        <f t="shared" si="8"/>
        <v>5.3059000250936226</v>
      </c>
      <c r="M51" s="83">
        <f t="shared" si="8"/>
        <v>5.2791388922982545</v>
      </c>
      <c r="N51" s="83">
        <f t="shared" si="9"/>
        <v>5.2566849361360219</v>
      </c>
      <c r="O51" s="83">
        <f t="shared" si="9"/>
        <v>5.2380101741848506</v>
      </c>
      <c r="P51" s="83">
        <f t="shared" si="9"/>
        <v>5.2226783729268345</v>
      </c>
      <c r="Q51" s="83">
        <f t="shared" si="9"/>
        <v>5.2103325142128352</v>
      </c>
      <c r="R51" s="83">
        <f t="shared" si="9"/>
        <v>5.2006837152940015</v>
      </c>
      <c r="S51" s="83">
        <f t="shared" si="9"/>
        <v>5.193501877637317</v>
      </c>
      <c r="T51" s="83">
        <f t="shared" si="9"/>
        <v>5.1886080758804702</v>
      </c>
      <c r="U51" s="83">
        <f t="shared" si="9"/>
        <v>5.1858685828893893</v>
      </c>
      <c r="V51" s="83">
        <f t="shared" si="9"/>
        <v>5.1851903921288294</v>
      </c>
      <c r="W51" s="83">
        <f t="shared" si="9"/>
        <v>5.1865181057194079</v>
      </c>
      <c r="X51" s="83">
        <f t="shared" si="10"/>
        <v>5.1898320844442196</v>
      </c>
      <c r="Y51" s="83">
        <f t="shared" si="10"/>
        <v>5.1951477934340069</v>
      </c>
      <c r="Z51" s="83">
        <f t="shared" si="10"/>
        <v>5.2025163186197609</v>
      </c>
      <c r="AA51" s="83">
        <f t="shared" si="10"/>
        <v>5.2120260712906887</v>
      </c>
      <c r="AB51" s="83">
        <f t="shared" si="10"/>
        <v>5.2238057390360346</v>
      </c>
      <c r="AC51" s="83">
        <f t="shared" si="10"/>
        <v>5.2380285780150206</v>
      </c>
      <c r="AD51" s="83">
        <f t="shared" si="10"/>
        <v>5.2549181683222939</v>
      </c>
      <c r="AE51" s="83">
        <f t="shared" si="10"/>
        <v>5.2747557603230151</v>
      </c>
      <c r="AF51" s="83">
        <f t="shared" si="10"/>
        <v>5.29788930464664</v>
      </c>
      <c r="AG51" s="83">
        <f t="shared" si="10"/>
        <v>5.3247441445923904</v>
      </c>
      <c r="AH51" s="83">
        <f t="shared" si="11"/>
        <v>5.3558350916145514</v>
      </c>
      <c r="AI51" s="83">
        <f t="shared" si="11"/>
        <v>5.3917790944238506</v>
      </c>
      <c r="AJ51" s="83">
        <f t="shared" si="11"/>
        <v>5.4333067881653898</v>
      </c>
      <c r="AK51" s="83">
        <f t="shared" si="11"/>
        <v>5.4812696725192849</v>
      </c>
      <c r="AL51" s="83">
        <f t="shared" si="11"/>
        <v>5.536637388170873</v>
      </c>
      <c r="AM51" s="83">
        <f t="shared" si="11"/>
        <v>5.60047680575373</v>
      </c>
      <c r="AN51" s="83">
        <f t="shared" si="11"/>
        <v>5.6739027073169019</v>
      </c>
      <c r="AO51" s="83">
        <f t="shared" si="11"/>
        <v>5.757991727135173</v>
      </c>
      <c r="AP51" s="83">
        <f t="shared" si="11"/>
        <v>5.8536610059375809</v>
      </c>
      <c r="AQ51" s="83">
        <f t="shared" si="11"/>
        <v>5.9615318391222161</v>
      </c>
      <c r="AS51" s="83">
        <f t="shared" si="5"/>
        <v>0</v>
      </c>
    </row>
    <row r="52" spans="1:45" ht="12.75" x14ac:dyDescent="0.2">
      <c r="A52" s="166"/>
      <c r="B52" s="83">
        <f t="shared" si="6"/>
        <v>0.4250000000000001</v>
      </c>
      <c r="C52" s="83">
        <f t="shared" si="7"/>
        <v>5.8878203521426808</v>
      </c>
      <c r="D52" s="83">
        <f t="shared" si="8"/>
        <v>5.7823954448277206</v>
      </c>
      <c r="E52" s="83">
        <f t="shared" si="8"/>
        <v>5.6891886114081878</v>
      </c>
      <c r="F52" s="83">
        <f t="shared" si="8"/>
        <v>5.6076252759953897</v>
      </c>
      <c r="G52" s="83">
        <f t="shared" si="8"/>
        <v>5.5368455873244926</v>
      </c>
      <c r="H52" s="83">
        <f t="shared" si="8"/>
        <v>5.4758227610887635</v>
      </c>
      <c r="I52" s="83">
        <f t="shared" si="8"/>
        <v>5.4234739387673239</v>
      </c>
      <c r="J52" s="83">
        <f t="shared" si="8"/>
        <v>5.3787443235351553</v>
      </c>
      <c r="K52" s="83">
        <f t="shared" si="8"/>
        <v>5.3406600902168462</v>
      </c>
      <c r="L52" s="83">
        <f t="shared" si="8"/>
        <v>5.3083548081319076</v>
      </c>
      <c r="M52" s="83">
        <f t="shared" si="8"/>
        <v>5.2810772734625466</v>
      </c>
      <c r="N52" s="83">
        <f t="shared" si="9"/>
        <v>5.2581881101125365</v>
      </c>
      <c r="O52" s="83">
        <f t="shared" si="9"/>
        <v>5.2391506081532633</v>
      </c>
      <c r="P52" s="83">
        <f t="shared" si="9"/>
        <v>5.2235193463548812</v>
      </c>
      <c r="Q52" s="83">
        <f t="shared" si="9"/>
        <v>5.2109286682450584</v>
      </c>
      <c r="R52" s="83">
        <f t="shared" si="9"/>
        <v>5.2010820959456581</v>
      </c>
      <c r="S52" s="83">
        <f t="shared" si="9"/>
        <v>5.1937431682302071</v>
      </c>
      <c r="T52" s="83">
        <f t="shared" si="9"/>
        <v>5.1887278553226732</v>
      </c>
      <c r="U52" s="83">
        <f t="shared" si="9"/>
        <v>5.1858985343786514</v>
      </c>
      <c r="V52" s="83">
        <f t="shared" si="9"/>
        <v>5.1851594388177826</v>
      </c>
      <c r="W52" s="83">
        <f t="shared" si="9"/>
        <v>5.1864534791152117</v>
      </c>
      <c r="X52" s="83">
        <f t="shared" si="10"/>
        <v>5.1897603468725819</v>
      </c>
      <c r="Y52" s="83">
        <f t="shared" si="10"/>
        <v>5.1950958433605194</v>
      </c>
      <c r="Z52" s="83">
        <f t="shared" si="10"/>
        <v>5.2025124099769986</v>
      </c>
      <c r="AA52" s="83">
        <f t="shared" si="10"/>
        <v>5.2121008761825944</v>
      </c>
      <c r="AB52" s="83">
        <f t="shared" si="10"/>
        <v>5.2239934764542957</v>
      </c>
      <c r="AC52" s="83">
        <f t="shared" si="10"/>
        <v>5.2383682166926109</v>
      </c>
      <c r="AD52" s="83">
        <f t="shared" si="10"/>
        <v>5.2554546842109495</v>
      </c>
      <c r="AE52" s="83">
        <f t="shared" si="10"/>
        <v>5.2755413796706296</v>
      </c>
      <c r="AF52" s="83">
        <f t="shared" si="10"/>
        <v>5.2989845793577004</v>
      </c>
      <c r="AG52" s="83">
        <f t="shared" si="10"/>
        <v>5.3262185707298757</v>
      </c>
      <c r="AH52" s="83">
        <f t="shared" si="11"/>
        <v>5.3577667779262867</v>
      </c>
      <c r="AI52" s="83">
        <f t="shared" si="11"/>
        <v>5.3942527120477415</v>
      </c>
      <c r="AJ52" s="83">
        <f t="shared" si="11"/>
        <v>5.4364087251601685</v>
      </c>
      <c r="AK52" s="83">
        <f t="shared" si="11"/>
        <v>5.4850791182533438</v>
      </c>
      <c r="AL52" s="83">
        <f t="shared" si="11"/>
        <v>5.54121229975188</v>
      </c>
      <c r="AM52" s="83">
        <f t="shared" si="11"/>
        <v>5.6058348782303336</v>
      </c>
      <c r="AN52" s="83">
        <f t="shared" si="11"/>
        <v>5.6800000768873815</v>
      </c>
      <c r="AO52" s="83">
        <f t="shared" si="11"/>
        <v>5.7647059372746607</v>
      </c>
      <c r="AP52" s="83">
        <f t="shared" si="11"/>
        <v>5.8607877309232785</v>
      </c>
      <c r="AQ52" s="83">
        <f t="shared" si="11"/>
        <v>5.9688032357956438</v>
      </c>
      <c r="AS52" s="83">
        <f t="shared" si="5"/>
        <v>1</v>
      </c>
    </row>
    <row r="53" spans="1:45" ht="12.75" x14ac:dyDescent="0.2">
      <c r="A53" s="166"/>
      <c r="B53" s="83">
        <f t="shared" si="6"/>
        <v>0.45000000000000012</v>
      </c>
      <c r="C53" s="83">
        <f t="shared" si="7"/>
        <v>5.8967468512691532</v>
      </c>
      <c r="D53" s="83">
        <f t="shared" si="8"/>
        <v>5.7912109991237539</v>
      </c>
      <c r="E53" s="83">
        <f t="shared" si="8"/>
        <v>5.6976714343971278</v>
      </c>
      <c r="F53" s="83">
        <f t="shared" si="8"/>
        <v>5.615601104701315</v>
      </c>
      <c r="G53" s="83">
        <f t="shared" si="8"/>
        <v>5.544202710615421</v>
      </c>
      <c r="H53" s="83">
        <f t="shared" si="8"/>
        <v>5.4825113959278102</v>
      </c>
      <c r="I53" s="83">
        <f t="shared" si="8"/>
        <v>5.4294948774680716</v>
      </c>
      <c r="J53" s="83">
        <f t="shared" si="8"/>
        <v>5.3841334444981106</v>
      </c>
      <c r="K53" s="83">
        <f t="shared" si="8"/>
        <v>5.3454737090914213</v>
      </c>
      <c r="L53" s="83">
        <f t="shared" si="8"/>
        <v>5.3126582905630695</v>
      </c>
      <c r="M53" s="83">
        <f t="shared" si="8"/>
        <v>5.2849373606480041</v>
      </c>
      <c r="N53" s="83">
        <f t="shared" si="9"/>
        <v>5.2616683920616047</v>
      </c>
      <c r="O53" s="83">
        <f t="shared" si="9"/>
        <v>5.2423092775349751</v>
      </c>
      <c r="P53" s="83">
        <f t="shared" si="9"/>
        <v>5.2264084335129759</v>
      </c>
      <c r="Q53" s="83">
        <f t="shared" si="9"/>
        <v>5.213594152027035</v>
      </c>
      <c r="R53" s="83">
        <f t="shared" si="9"/>
        <v>5.2035644821940883</v>
      </c>
      <c r="S53" s="83">
        <f t="shared" si="9"/>
        <v>5.1960782836999995</v>
      </c>
      <c r="T53" s="83">
        <f t="shared" si="9"/>
        <v>5.1909477137065432</v>
      </c>
      <c r="U53" s="83">
        <f t="shared" si="9"/>
        <v>5.1880322015630682</v>
      </c>
      <c r="V53" s="83">
        <f t="shared" si="9"/>
        <v>5.1872338675713729</v>
      </c>
      <c r="W53" s="83">
        <f t="shared" si="9"/>
        <v>5.1884943085312889</v>
      </c>
      <c r="X53" s="83">
        <f t="shared" si="10"/>
        <v>5.1917926757612793</v>
      </c>
      <c r="Y53" s="83">
        <f t="shared" si="10"/>
        <v>5.1971449936893466</v>
      </c>
      <c r="Z53" s="83">
        <f t="shared" si="10"/>
        <v>5.2046046987285068</v>
      </c>
      <c r="AA53" s="83">
        <f t="shared" si="10"/>
        <v>5.2142644124131667</v>
      </c>
      <c r="AB53" s="83">
        <f t="shared" si="10"/>
        <v>5.2262589942606805</v>
      </c>
      <c r="AC53" s="83">
        <f t="shared" si="10"/>
        <v>5.2407699420452909</v>
      </c>
      <c r="AD53" s="83">
        <f t="shared" si="10"/>
        <v>5.2580312101146598</v>
      </c>
      <c r="AE53" s="83">
        <f t="shared" si="10"/>
        <v>5.2783364833842388</v>
      </c>
      <c r="AF53" s="83">
        <f t="shared" si="10"/>
        <v>5.3020478483061702</v>
      </c>
      <c r="AG53" s="83">
        <f t="shared" si="10"/>
        <v>5.3296055993471496</v>
      </c>
      <c r="AH53" s="83">
        <f t="shared" si="11"/>
        <v>5.3615385473675197</v>
      </c>
      <c r="AI53" s="83">
        <f t="shared" si="11"/>
        <v>5.398473573337415</v>
      </c>
      <c r="AJ53" s="83">
        <f t="shared" si="11"/>
        <v>5.4411422157530689</v>
      </c>
      <c r="AK53" s="83">
        <f t="shared" si="11"/>
        <v>5.4903807698774383</v>
      </c>
      <c r="AL53" s="83">
        <f t="shared" si="11"/>
        <v>5.5471188755733065</v>
      </c>
      <c r="AM53" s="83">
        <f t="shared" si="11"/>
        <v>5.6123504426873296</v>
      </c>
      <c r="AN53" s="83">
        <f t="shared" si="11"/>
        <v>5.6870811860733514</v>
      </c>
      <c r="AO53" s="83">
        <f t="shared" si="11"/>
        <v>5.7722506942027314</v>
      </c>
      <c r="AP53" s="83">
        <f t="shared" si="11"/>
        <v>5.8686350167593613</v>
      </c>
      <c r="AQ53" s="83">
        <f t="shared" si="11"/>
        <v>5.9767468512691559</v>
      </c>
      <c r="AS53" s="83">
        <f t="shared" si="5"/>
        <v>0</v>
      </c>
    </row>
    <row r="54" spans="1:45" ht="12.75" x14ac:dyDescent="0.2">
      <c r="A54" s="166"/>
      <c r="B54" s="83">
        <f t="shared" si="6"/>
        <v>0.47500000000000014</v>
      </c>
      <c r="C54" s="83">
        <f t="shared" si="7"/>
        <v>5.9063307060625441</v>
      </c>
      <c r="D54" s="83">
        <f t="shared" si="8"/>
        <v>5.8007298387949024</v>
      </c>
      <c r="E54" s="83">
        <f t="shared" si="8"/>
        <v>5.7069620203263307</v>
      </c>
      <c r="F54" s="83">
        <f t="shared" si="8"/>
        <v>5.6245316969226167</v>
      </c>
      <c r="G54" s="83">
        <f t="shared" si="8"/>
        <v>5.5526837955261765</v>
      </c>
      <c r="H54" s="83">
        <f t="shared" si="8"/>
        <v>5.4904964524759698</v>
      </c>
      <c r="I54" s="83">
        <f t="shared" si="8"/>
        <v>5.4369738906224434</v>
      </c>
      <c r="J54" s="83">
        <f t="shared" si="8"/>
        <v>5.391123159859939</v>
      </c>
      <c r="K54" s="83">
        <f t="shared" si="8"/>
        <v>5.3520078845040429</v>
      </c>
      <c r="L54" s="83">
        <f t="shared" si="8"/>
        <v>5.318779720156245</v>
      </c>
      <c r="M54" s="83">
        <f t="shared" si="8"/>
        <v>5.290692184743051</v>
      </c>
      <c r="N54" s="83">
        <f t="shared" si="9"/>
        <v>5.2671024803011512</v>
      </c>
      <c r="O54" s="83">
        <f t="shared" si="9"/>
        <v>5.2474661997305372</v>
      </c>
      <c r="P54" s="83">
        <f t="shared" si="9"/>
        <v>5.2313285213146026</v>
      </c>
      <c r="Q54" s="83">
        <f t="shared" si="9"/>
        <v>5.2183142502266104</v>
      </c>
      <c r="R54" s="83">
        <f t="shared" si="9"/>
        <v>5.2081181041748934</v>
      </c>
      <c r="S54" s="83">
        <f t="shared" si="9"/>
        <v>5.2004959845316119</v>
      </c>
      <c r="T54" s="83">
        <f t="shared" si="9"/>
        <v>5.1952575674234227</v>
      </c>
      <c r="U54" s="83">
        <f t="shared" si="9"/>
        <v>5.1922603186561691</v>
      </c>
      <c r="V54" s="83">
        <f t="shared" si="9"/>
        <v>5.1914049203738442</v>
      </c>
      <c r="W54" s="83">
        <f t="shared" si="9"/>
        <v>5.1926320514920032</v>
      </c>
      <c r="X54" s="83">
        <f t="shared" si="10"/>
        <v>5.195920458766305</v>
      </c>
      <c r="Y54" s="83">
        <f t="shared" si="10"/>
        <v>5.2012862723951594</v>
      </c>
      <c r="Z54" s="83">
        <f t="shared" si="10"/>
        <v>5.208783547878693</v>
      </c>
      <c r="AA54" s="83">
        <f t="shared" si="10"/>
        <v>5.2185060468624931</v>
      </c>
      <c r="AB54" s="83">
        <f t="shared" si="10"/>
        <v>5.2305902975150635</v>
      </c>
      <c r="AC54" s="83">
        <f t="shared" si="10"/>
        <v>5.2452199921157217</v>
      </c>
      <c r="AD54" s="83">
        <f t="shared" si="10"/>
        <v>5.2626317747511493</v>
      </c>
      <c r="AE54" s="83">
        <f t="shared" si="10"/>
        <v>5.2831224272778652</v>
      </c>
      <c r="AF54" s="83">
        <f t="shared" si="10"/>
        <v>5.3070573482651158</v>
      </c>
      <c r="AG54" s="83">
        <f t="shared" si="10"/>
        <v>5.3348799940705156</v>
      </c>
      <c r="AH54" s="83">
        <f t="shared" si="11"/>
        <v>5.3671215535198558</v>
      </c>
      <c r="AI54" s="83">
        <f t="shared" si="11"/>
        <v>5.4044094872854815</v>
      </c>
      <c r="AJ54" s="83">
        <f t="shared" si="11"/>
        <v>5.44747262472539</v>
      </c>
      <c r="AK54" s="83">
        <f t="shared" si="11"/>
        <v>5.4971392998451591</v>
      </c>
      <c r="AL54" s="83">
        <f t="shared" si="11"/>
        <v>5.554323753312933</v>
      </c>
      <c r="AM54" s="83">
        <f t="shared" si="11"/>
        <v>5.619995331321725</v>
      </c>
      <c r="AN54" s="83">
        <f t="shared" si="11"/>
        <v>5.6951259505907244</v>
      </c>
      <c r="AO54" s="83">
        <f t="shared" si="11"/>
        <v>5.7806151691360688</v>
      </c>
      <c r="AP54" s="83">
        <f t="shared" si="11"/>
        <v>5.8771995690088579</v>
      </c>
      <c r="AQ54" s="83">
        <f t="shared" si="11"/>
        <v>5.9853623313659057</v>
      </c>
      <c r="AS54" s="83">
        <f t="shared" si="5"/>
        <v>0</v>
      </c>
    </row>
    <row r="55" spans="1:45" ht="12.75" x14ac:dyDescent="0.2">
      <c r="A55" s="166"/>
      <c r="B55" s="83">
        <f t="shared" si="6"/>
        <v>0.50000000000000011</v>
      </c>
      <c r="C55" s="83">
        <f t="shared" si="7"/>
        <v>5.91657146946031</v>
      </c>
      <c r="D55" s="83">
        <f t="shared" ref="D55:M64" si="12">wa*SQRT((xa-x)^2+(ya-y)^2)+wb*SQRT((xb-x)^2+(yb-y)^2)+wc*SQRT((xc-x)^2+(yc-y)^2)+wd*SQRT((xd-x)^2+(yd-y)^2)</f>
        <v>5.8109494774971058</v>
      </c>
      <c r="E55" s="83">
        <f t="shared" si="12"/>
        <v>5.7170526077036596</v>
      </c>
      <c r="F55" s="83">
        <f t="shared" si="12"/>
        <v>5.6344026310464548</v>
      </c>
      <c r="G55" s="83">
        <f t="shared" si="12"/>
        <v>5.5622683188985711</v>
      </c>
      <c r="H55" s="83">
        <f t="shared" si="12"/>
        <v>5.4997531231174248</v>
      </c>
      <c r="I55" s="83">
        <f t="shared" si="12"/>
        <v>5.445884079022596</v>
      </c>
      <c r="J55" s="83">
        <f t="shared" si="12"/>
        <v>5.3996864042490431</v>
      </c>
      <c r="K55" s="83">
        <f t="shared" si="12"/>
        <v>5.3602367570719682</v>
      </c>
      <c r="L55" s="83">
        <f t="shared" si="12"/>
        <v>5.3266952447586977</v>
      </c>
      <c r="M55" s="83">
        <f t="shared" si="12"/>
        <v>5.2983202449820235</v>
      </c>
      <c r="N55" s="83">
        <f t="shared" ref="N55:W64" si="13">wa*SQRT((xa-x)^2+(ya-y)^2)+wb*SQRT((xb-x)^2+(yb-y)^2)+wc*SQRT((xc-x)^2+(yc-y)^2)+wd*SQRT((xd-x)^2+(yd-y)^2)</f>
        <v>5.2744712573508572</v>
      </c>
      <c r="O55" s="83">
        <f t="shared" si="13"/>
        <v>5.2546044857213197</v>
      </c>
      <c r="P55" s="83">
        <f t="shared" si="13"/>
        <v>5.2382646985998988</v>
      </c>
      <c r="Q55" s="83">
        <f t="shared" si="13"/>
        <v>5.2250757415073652</v>
      </c>
      <c r="R55" s="83">
        <f t="shared" si="13"/>
        <v>5.2147311384374335</v>
      </c>
      <c r="S55" s="83">
        <f t="shared" si="13"/>
        <v>5.2069855660333015</v>
      </c>
      <c r="T55" s="83">
        <f t="shared" si="13"/>
        <v>5.201647570406057</v>
      </c>
      <c r="U55" s="83">
        <f t="shared" si="13"/>
        <v>5.1985736570586969</v>
      </c>
      <c r="V55" s="83">
        <f t="shared" si="13"/>
        <v>5.1976637604570985</v>
      </c>
      <c r="W55" s="83">
        <f t="shared" si="13"/>
        <v>5.1988580476870112</v>
      </c>
      <c r="X55" s="83">
        <f t="shared" ref="X55:AG64" si="14">wa*SQRT((xa-x)^2+(ya-y)^2)+wb*SQRT((xb-x)^2+(yb-y)^2)+wc*SQRT((xc-x)^2+(yc-y)^2)+wd*SQRT((xd-x)^2+(yd-y)^2)</f>
        <v>5.2021350008212037</v>
      </c>
      <c r="Y55" s="83">
        <f t="shared" si="14"/>
        <v>5.2075107362217343</v>
      </c>
      <c r="Z55" s="83">
        <f t="shared" si="14"/>
        <v>5.2150395441176887</v>
      </c>
      <c r="AA55" s="83">
        <f t="shared" si="14"/>
        <v>5.2248156603730198</v>
      </c>
      <c r="AB55" s="83">
        <f t="shared" si="14"/>
        <v>5.2369763075833156</v>
      </c>
      <c r="AC55" s="83">
        <f t="shared" si="14"/>
        <v>5.2517060565580724</v>
      </c>
      <c r="AD55" s="83">
        <f t="shared" si="14"/>
        <v>5.2692425501771964</v>
      </c>
      <c r="AE55" s="83">
        <f t="shared" si="14"/>
        <v>5.2898835810783789</v>
      </c>
      <c r="AF55" s="83">
        <f t="shared" si="14"/>
        <v>5.3139953937334505</v>
      </c>
      <c r="AG55" s="83">
        <f t="shared" si="14"/>
        <v>5.3420218474269054</v>
      </c>
      <c r="AH55" s="83">
        <f t="shared" ref="AH55:AQ64" si="15">wa*SQRT((xa-x)^2+(ya-y)^2)+wb*SQRT((xb-x)^2+(yb-y)^2)+wc*SQRT((xc-x)^2+(yc-y)^2)+wd*SQRT((xd-x)^2+(yd-y)^2)</f>
        <v>5.3744936720155252</v>
      </c>
      <c r="AI55" s="83">
        <f t="shared" si="15"/>
        <v>5.4120364089560056</v>
      </c>
      <c r="AJ55" s="83">
        <f t="shared" si="15"/>
        <v>5.4553747134575437</v>
      </c>
      <c r="AK55" s="83">
        <f t="shared" si="15"/>
        <v>5.5053295452817173</v>
      </c>
      <c r="AL55" s="83">
        <f t="shared" si="15"/>
        <v>5.5628036470146842</v>
      </c>
      <c r="AM55" s="83">
        <f t="shared" si="15"/>
        <v>5.6287502033242474</v>
      </c>
      <c r="AN55" s="83">
        <f t="shared" si="15"/>
        <v>5.7041207042578632</v>
      </c>
      <c r="AO55" s="83">
        <f t="shared" si="15"/>
        <v>5.7897919236576403</v>
      </c>
      <c r="AP55" s="83">
        <f t="shared" si="15"/>
        <v>5.8864788991402932</v>
      </c>
      <c r="AQ55" s="83">
        <f t="shared" si="15"/>
        <v>5.9946491101007542</v>
      </c>
      <c r="AS55" s="83">
        <f t="shared" si="5"/>
        <v>0</v>
      </c>
    </row>
    <row r="56" spans="1:45" ht="12.75" x14ac:dyDescent="0.2">
      <c r="A56" s="166"/>
      <c r="B56" s="83">
        <f t="shared" si="6"/>
        <v>0.52500000000000013</v>
      </c>
      <c r="C56" s="83">
        <f t="shared" si="7"/>
        <v>5.9274684886949593</v>
      </c>
      <c r="D56" s="83">
        <f t="shared" si="12"/>
        <v>5.8218681364376241</v>
      </c>
      <c r="E56" s="83">
        <f t="shared" si="12"/>
        <v>5.7279384975759466</v>
      </c>
      <c r="F56" s="83">
        <f t="shared" si="12"/>
        <v>5.6452053916825253</v>
      </c>
      <c r="G56" s="83">
        <f t="shared" si="12"/>
        <v>5.5729440428960979</v>
      </c>
      <c r="H56" s="83">
        <f t="shared" si="12"/>
        <v>5.5102662512944844</v>
      </c>
      <c r="I56" s="83">
        <f t="shared" si="12"/>
        <v>5.4562084695072706</v>
      </c>
      <c r="J56" s="83">
        <f t="shared" si="12"/>
        <v>5.4098054524779053</v>
      </c>
      <c r="K56" s="83">
        <f t="shared" si="12"/>
        <v>5.3701426937574972</v>
      </c>
      <c r="L56" s="83">
        <f t="shared" si="12"/>
        <v>5.3363878967802814</v>
      </c>
      <c r="M56" s="83">
        <f t="shared" si="12"/>
        <v>5.3078055687533094</v>
      </c>
      <c r="N56" s="83">
        <f t="shared" si="13"/>
        <v>5.2837598883698167</v>
      </c>
      <c r="O56" s="83">
        <f t="shared" si="13"/>
        <v>5.2637104530470715</v>
      </c>
      <c r="P56" s="83">
        <f t="shared" si="13"/>
        <v>5.2472043696117465</v>
      </c>
      <c r="Q56" s="83">
        <f t="shared" si="13"/>
        <v>5.2338670054163661</v>
      </c>
      <c r="R56" s="83">
        <f t="shared" si="13"/>
        <v>5.2233928055372187</v>
      </c>
      <c r="S56" s="83">
        <f t="shared" si="13"/>
        <v>5.2155369464841286</v>
      </c>
      <c r="T56" s="83">
        <f t="shared" si="13"/>
        <v>5.2101081940720677</v>
      </c>
      <c r="U56" s="83">
        <f t="shared" si="13"/>
        <v>5.2069630990387079</v>
      </c>
      <c r="V56" s="83">
        <f t="shared" si="13"/>
        <v>5.2060015419788552</v>
      </c>
      <c r="W56" s="83">
        <f t="shared" si="13"/>
        <v>5.2071635870387301</v>
      </c>
      <c r="X56" s="83">
        <f t="shared" si="14"/>
        <v>5.2104275930229944</v>
      </c>
      <c r="Y56" s="83">
        <f t="shared" si="14"/>
        <v>5.2158095427945153</v>
      </c>
      <c r="Z56" s="83">
        <f t="shared" si="14"/>
        <v>5.2233635754641998</v>
      </c>
      <c r="AA56" s="83">
        <f t="shared" si="14"/>
        <v>5.233183732948766</v>
      </c>
      <c r="AB56" s="83">
        <f t="shared" si="14"/>
        <v>5.2454069562929977</v>
      </c>
      <c r="AC56" s="83">
        <f t="shared" si="14"/>
        <v>5.2602173798804168</v>
      </c>
      <c r="AD56" s="83">
        <f t="shared" si="14"/>
        <v>5.2778519618784303</v>
      </c>
      <c r="AE56" s="83">
        <f t="shared" si="14"/>
        <v>5.298607439020846</v>
      </c>
      <c r="AF56" s="83">
        <f t="shared" si="14"/>
        <v>5.3228484751219085</v>
      </c>
      <c r="AG56" s="83">
        <f t="shared" si="14"/>
        <v>5.3510166441298734</v>
      </c>
      <c r="AH56" s="83">
        <f t="shared" si="15"/>
        <v>5.3836394943106978</v>
      </c>
      <c r="AI56" s="83">
        <f t="shared" si="15"/>
        <v>5.421338317396633</v>
      </c>
      <c r="AJ56" s="83">
        <f t="shared" si="15"/>
        <v>5.4648323516722108</v>
      </c>
      <c r="AK56" s="83">
        <f t="shared" si="15"/>
        <v>5.5149360196944421</v>
      </c>
      <c r="AL56" s="83">
        <f t="shared" si="15"/>
        <v>5.5725446748734209</v>
      </c>
      <c r="AM56" s="83">
        <f t="shared" si="15"/>
        <v>5.638603786578293</v>
      </c>
      <c r="AN56" s="83">
        <f t="shared" si="15"/>
        <v>5.7140575276658856</v>
      </c>
      <c r="AO56" s="83">
        <f t="shared" si="15"/>
        <v>5.7997764933570162</v>
      </c>
      <c r="AP56" s="83">
        <f t="shared" si="15"/>
        <v>5.896471197684237</v>
      </c>
      <c r="AQ56" s="83">
        <f t="shared" si="15"/>
        <v>6.0046064111037225</v>
      </c>
      <c r="AS56" s="83">
        <f t="shared" si="5"/>
        <v>0</v>
      </c>
    </row>
    <row r="57" spans="1:45" ht="12.75" x14ac:dyDescent="0.2">
      <c r="A57" s="166"/>
      <c r="B57" s="83">
        <f t="shared" si="6"/>
        <v>0.55000000000000016</v>
      </c>
      <c r="C57" s="83">
        <f t="shared" si="7"/>
        <v>5.9390209066498993</v>
      </c>
      <c r="D57" s="83">
        <f t="shared" si="12"/>
        <v>5.8334846818020871</v>
      </c>
      <c r="E57" s="83">
        <f t="shared" si="12"/>
        <v>5.7396178420783102</v>
      </c>
      <c r="F57" s="83">
        <f t="shared" si="12"/>
        <v>5.6569370159635941</v>
      </c>
      <c r="G57" s="83">
        <f t="shared" si="12"/>
        <v>5.5847065948047598</v>
      </c>
      <c r="H57" s="83">
        <f t="shared" si="12"/>
        <v>5.522029932845987</v>
      </c>
      <c r="I57" s="83">
        <f t="shared" si="12"/>
        <v>5.4679396967177913</v>
      </c>
      <c r="J57" s="83">
        <f t="shared" si="12"/>
        <v>5.4214717019210248</v>
      </c>
      <c r="K57" s="83">
        <f t="shared" si="12"/>
        <v>5.381716163178246</v>
      </c>
      <c r="L57" s="83">
        <f t="shared" si="12"/>
        <v>5.3478475409063515</v>
      </c>
      <c r="M57" s="83">
        <f t="shared" si="12"/>
        <v>5.3191377092614269</v>
      </c>
      <c r="N57" s="83">
        <f t="shared" si="13"/>
        <v>5.2949578498137226</v>
      </c>
      <c r="O57" s="83">
        <f t="shared" si="13"/>
        <v>5.2747736715658764</v>
      </c>
      <c r="P57" s="83">
        <f t="shared" si="13"/>
        <v>5.2581373076426203</v>
      </c>
      <c r="Q57" s="83">
        <f t="shared" si="13"/>
        <v>5.244678078325153</v>
      </c>
      <c r="R57" s="83">
        <f t="shared" si="13"/>
        <v>5.2340934252199682</v>
      </c>
      <c r="S57" s="83">
        <f t="shared" si="13"/>
        <v>5.2261407201786145</v>
      </c>
      <c r="T57" s="83">
        <f t="shared" si="13"/>
        <v>5.2206302778879392</v>
      </c>
      <c r="U57" s="83">
        <f t="shared" si="13"/>
        <v>5.2174196860944333</v>
      </c>
      <c r="V57" s="83">
        <f t="shared" si="13"/>
        <v>5.21640945681464</v>
      </c>
      <c r="W57" s="83">
        <f t="shared" si="13"/>
        <v>5.2175399557321622</v>
      </c>
      <c r="X57" s="83">
        <f t="shared" si="14"/>
        <v>5.2207895587700364</v>
      </c>
      <c r="Y57" s="83">
        <f t="shared" si="14"/>
        <v>5.2261739977013555</v>
      </c>
      <c r="Z57" s="83">
        <f t="shared" si="14"/>
        <v>5.2337468799795577</v>
      </c>
      <c r="AA57" s="83">
        <f t="shared" si="14"/>
        <v>5.2436013944934663</v>
      </c>
      <c r="AB57" s="83">
        <f t="shared" si="14"/>
        <v>5.2558732385443596</v>
      </c>
      <c r="AC57" s="83">
        <f t="shared" si="14"/>
        <v>5.270744814855707</v>
      </c>
      <c r="AD57" s="83">
        <f t="shared" si="14"/>
        <v>5.2884507404133707</v>
      </c>
      <c r="AE57" s="83">
        <f t="shared" si="14"/>
        <v>5.309284664858084</v>
      </c>
      <c r="AF57" s="83">
        <f t="shared" si="14"/>
        <v>5.3336072889448172</v>
      </c>
      <c r="AG57" s="83">
        <f t="shared" si="14"/>
        <v>5.3618552639364827</v>
      </c>
      <c r="AH57" s="83">
        <f t="shared" si="15"/>
        <v>5.3945502859144652</v>
      </c>
      <c r="AI57" s="83">
        <f t="shared" si="15"/>
        <v>5.4323071084848511</v>
      </c>
      <c r="AJ57" s="83">
        <f t="shared" si="15"/>
        <v>5.4758383255496428</v>
      </c>
      <c r="AK57" s="83">
        <f t="shared" si="15"/>
        <v>5.5259526284284668</v>
      </c>
      <c r="AL57" s="83">
        <f t="shared" si="15"/>
        <v>5.5835419995512225</v>
      </c>
      <c r="AM57" s="83">
        <f t="shared" si="15"/>
        <v>5.6495524961515562</v>
      </c>
      <c r="AN57" s="83">
        <f t="shared" si="15"/>
        <v>5.7249339256642111</v>
      </c>
      <c r="AO57" s="83">
        <f t="shared" si="15"/>
        <v>5.8105671945838271</v>
      </c>
      <c r="AP57" s="83">
        <f t="shared" si="15"/>
        <v>5.9071752772058943</v>
      </c>
      <c r="AQ57" s="83">
        <f t="shared" si="15"/>
        <v>6.0152332492133604</v>
      </c>
      <c r="AS57" s="83">
        <f t="shared" si="5"/>
        <v>0</v>
      </c>
    </row>
    <row r="58" spans="1:45" ht="12.75" x14ac:dyDescent="0.2">
      <c r="A58" s="166"/>
      <c r="B58" s="83">
        <f t="shared" si="6"/>
        <v>0.57500000000000018</v>
      </c>
      <c r="C58" s="83">
        <f t="shared" si="7"/>
        <v>5.9512276633746133</v>
      </c>
      <c r="D58" s="83">
        <f t="shared" si="12"/>
        <v>5.8457986260923782</v>
      </c>
      <c r="E58" s="83">
        <f t="shared" si="12"/>
        <v>5.7520916394719608</v>
      </c>
      <c r="F58" s="83">
        <f t="shared" si="12"/>
        <v>5.6696000681638576</v>
      </c>
      <c r="G58" s="83">
        <f t="shared" si="12"/>
        <v>5.5975594091874648</v>
      </c>
      <c r="H58" s="83">
        <f t="shared" si="12"/>
        <v>5.5350474257695756</v>
      </c>
      <c r="I58" s="83">
        <f t="shared" si="12"/>
        <v>5.4810798927316489</v>
      </c>
      <c r="J58" s="83">
        <f t="shared" si="12"/>
        <v>5.4346855591323049</v>
      </c>
      <c r="K58" s="83">
        <f t="shared" si="12"/>
        <v>5.3949556337935061</v>
      </c>
      <c r="L58" s="83">
        <f t="shared" si="12"/>
        <v>5.3610707924484888</v>
      </c>
      <c r="M58" s="83">
        <f t="shared" si="12"/>
        <v>5.3323116867751272</v>
      </c>
      <c r="N58" s="83">
        <f t="shared" si="13"/>
        <v>5.3080588922655636</v>
      </c>
      <c r="O58" s="83">
        <f t="shared" si="13"/>
        <v>5.2877869444842203</v>
      </c>
      <c r="P58" s="83">
        <f t="shared" si="13"/>
        <v>5.2710556502754748</v>
      </c>
      <c r="Q58" s="83">
        <f t="shared" si="13"/>
        <v>5.2575006591343456</v>
      </c>
      <c r="R58" s="83">
        <f t="shared" si="13"/>
        <v>5.2468244294575515</v>
      </c>
      <c r="S58" s="83">
        <f t="shared" si="13"/>
        <v>5.2387881753579046</v>
      </c>
      <c r="T58" s="83">
        <f t="shared" si="13"/>
        <v>5.2332050503871574</v>
      </c>
      <c r="U58" s="83">
        <f t="shared" si="13"/>
        <v>5.2299346417489607</v>
      </c>
      <c r="V58" s="83">
        <f t="shared" si="13"/>
        <v>5.2288787581711409</v>
      </c>
      <c r="W58" s="83">
        <f t="shared" si="13"/>
        <v>5.2299784599007957</v>
      </c>
      <c r="X58" s="83">
        <f t="shared" si="14"/>
        <v>5.2332122768539238</v>
      </c>
      <c r="Y58" s="83">
        <f t="shared" si="14"/>
        <v>5.2385955762772589</v>
      </c>
      <c r="Z58" s="83">
        <f t="shared" si="14"/>
        <v>5.2461810653608421</v>
      </c>
      <c r="AA58" s="83">
        <f t="shared" si="14"/>
        <v>5.2560604410306659</v>
      </c>
      <c r="AB58" s="83">
        <f t="shared" si="14"/>
        <v>5.2683672235580463</v>
      </c>
      <c r="AC58" s="83">
        <f t="shared" si="14"/>
        <v>5.2832808266835096</v>
      </c>
      <c r="AD58" s="83">
        <f t="shared" si="14"/>
        <v>5.3010319158353463</v>
      </c>
      <c r="AE58" s="83">
        <f t="shared" si="14"/>
        <v>5.3219090734760606</v>
      </c>
      <c r="AF58" s="83">
        <f t="shared" si="14"/>
        <v>5.3462667035574984</v>
      </c>
      <c r="AG58" s="83">
        <f t="shared" si="14"/>
        <v>5.3745339292718937</v>
      </c>
      <c r="AH58" s="83">
        <f t="shared" si="15"/>
        <v>5.4072239158690412</v>
      </c>
      <c r="AI58" s="83">
        <f t="shared" si="15"/>
        <v>5.444942510157798</v>
      </c>
      <c r="AJ58" s="83">
        <f t="shared" si="15"/>
        <v>5.4883942478627477</v>
      </c>
      <c r="AK58" s="83">
        <f t="shared" si="15"/>
        <v>5.538382587578182</v>
      </c>
      <c r="AL58" s="83">
        <f t="shared" si="15"/>
        <v>5.5957997703585596</v>
      </c>
      <c r="AM58" s="83">
        <f t="shared" si="15"/>
        <v>5.6616004074362349</v>
      </c>
      <c r="AN58" s="83">
        <f t="shared" si="15"/>
        <v>5.7367528261841443</v>
      </c>
      <c r="AO58" s="83">
        <f t="shared" si="15"/>
        <v>5.8221651333026667</v>
      </c>
      <c r="AP58" s="83">
        <f t="shared" si="15"/>
        <v>5.9185905778354009</v>
      </c>
      <c r="AQ58" s="83">
        <f t="shared" si="15"/>
        <v>6.0265284322328982</v>
      </c>
      <c r="AS58" s="83">
        <f t="shared" si="5"/>
        <v>0</v>
      </c>
    </row>
    <row r="59" spans="1:45" ht="12.75" x14ac:dyDescent="0.2">
      <c r="A59" s="166"/>
      <c r="B59" s="83">
        <f t="shared" si="6"/>
        <v>0.6000000000000002</v>
      </c>
      <c r="C59" s="83">
        <f t="shared" si="7"/>
        <v>5.9640874977538578</v>
      </c>
      <c r="D59" s="83">
        <f t="shared" si="12"/>
        <v>5.8588101944262574</v>
      </c>
      <c r="E59" s="83">
        <f t="shared" si="12"/>
        <v>5.7653639379190516</v>
      </c>
      <c r="F59" s="83">
        <f t="shared" si="12"/>
        <v>5.6832029435691975</v>
      </c>
      <c r="G59" s="83">
        <f t="shared" si="12"/>
        <v>5.6115140301353339</v>
      </c>
      <c r="H59" s="83">
        <f t="shared" si="12"/>
        <v>5.5493313637044546</v>
      </c>
      <c r="I59" s="83">
        <f t="shared" si="12"/>
        <v>5.4956407795963065</v>
      </c>
      <c r="J59" s="83">
        <f t="shared" si="12"/>
        <v>5.4494564271498858</v>
      </c>
      <c r="K59" s="83">
        <f t="shared" si="12"/>
        <v>5.4098674933541382</v>
      </c>
      <c r="L59" s="83">
        <f t="shared" si="12"/>
        <v>5.3760609063151339</v>
      </c>
      <c r="M59" s="83">
        <f t="shared" si="12"/>
        <v>5.3473278743991424</v>
      </c>
      <c r="N59" s="83">
        <f t="shared" si="13"/>
        <v>5.3230609387644137</v>
      </c>
      <c r="O59" s="83">
        <f t="shared" si="13"/>
        <v>5.3027462259957243</v>
      </c>
      <c r="P59" s="83">
        <f t="shared" si="13"/>
        <v>5.2859538373812045</v>
      </c>
      <c r="Q59" s="83">
        <f t="shared" si="13"/>
        <v>5.2723280656638654</v>
      </c>
      <c r="R59" s="83">
        <f t="shared" si="13"/>
        <v>5.2615783340228877</v>
      </c>
      <c r="S59" s="83">
        <f t="shared" si="13"/>
        <v>5.2534712775171029</v>
      </c>
      <c r="T59" s="83">
        <f t="shared" si="13"/>
        <v>5.2478241209820844</v>
      </c>
      <c r="U59" s="83">
        <f t="shared" si="13"/>
        <v>5.2444993690129058</v>
      </c>
      <c r="V59" s="83">
        <f t="shared" si="13"/>
        <v>5.2434007611963303</v>
      </c>
      <c r="W59" s="83">
        <f t="shared" si="13"/>
        <v>5.2444704271218114</v>
      </c>
      <c r="X59" s="83">
        <f t="shared" si="14"/>
        <v>5.2476871816729584</v>
      </c>
      <c r="Y59" s="83">
        <f t="shared" si="14"/>
        <v>5.2530659203116548</v>
      </c>
      <c r="Z59" s="83">
        <f t="shared" si="14"/>
        <v>5.2606580997207359</v>
      </c>
      <c r="AA59" s="83">
        <f t="shared" si="14"/>
        <v>5.2705533168420979</v>
      </c>
      <c r="AB59" s="83">
        <f t="shared" si="14"/>
        <v>5.2828820253614506</v>
      </c>
      <c r="AC59" s="83">
        <f t="shared" si="14"/>
        <v>5.2978194486937831</v>
      </c>
      <c r="AD59" s="83">
        <f t="shared" si="14"/>
        <v>5.3155907558622904</v>
      </c>
      <c r="AE59" s="83">
        <f t="shared" si="14"/>
        <v>5.3364775501831714</v>
      </c>
      <c r="AF59" s="83">
        <f t="shared" si="14"/>
        <v>5.3608256614065404</v>
      </c>
      <c r="AG59" s="83">
        <f t="shared" si="14"/>
        <v>5.3890540981266266</v>
      </c>
      <c r="AH59" s="83">
        <f t="shared" si="15"/>
        <v>5.4216647570081076</v>
      </c>
      <c r="AI59" s="83">
        <f t="shared" si="15"/>
        <v>5.4592520180526733</v>
      </c>
      <c r="AJ59" s="83">
        <f t="shared" si="15"/>
        <v>5.5025105665066603</v>
      </c>
      <c r="AK59" s="83">
        <f t="shared" si="15"/>
        <v>5.5522385418204099</v>
      </c>
      <c r="AL59" s="83">
        <f t="shared" si="15"/>
        <v>5.6093313637044551</v>
      </c>
      <c r="AM59" s="83">
        <f t="shared" si="15"/>
        <v>5.6747595833387026</v>
      </c>
      <c r="AN59" s="83">
        <f t="shared" si="15"/>
        <v>5.7495229030709494</v>
      </c>
      <c r="AO59" s="83">
        <f t="shared" si="15"/>
        <v>5.8345744194934195</v>
      </c>
      <c r="AP59" s="83">
        <f t="shared" si="15"/>
        <v>5.9307172367947949</v>
      </c>
      <c r="AQ59" s="83">
        <f t="shared" si="15"/>
        <v>6.0384905628429646</v>
      </c>
      <c r="AS59" s="83">
        <f t="shared" si="5"/>
        <v>0</v>
      </c>
    </row>
    <row r="60" spans="1:45" ht="12.75" x14ac:dyDescent="0.2">
      <c r="A60" s="166"/>
      <c r="B60" s="83">
        <f t="shared" si="6"/>
        <v>0.62500000000000022</v>
      </c>
      <c r="C60" s="83">
        <f t="shared" si="7"/>
        <v>5.9775989493264978</v>
      </c>
      <c r="D60" s="83">
        <f t="shared" si="12"/>
        <v>5.8725204661248291</v>
      </c>
      <c r="E60" s="83">
        <f t="shared" si="12"/>
        <v>5.779442275988103</v>
      </c>
      <c r="F60" s="83">
        <f t="shared" si="12"/>
        <v>5.6977605336318762</v>
      </c>
      <c r="G60" s="83">
        <f t="shared" si="12"/>
        <v>5.6265907929350005</v>
      </c>
      <c r="H60" s="83">
        <f t="shared" si="12"/>
        <v>5.5649042749857482</v>
      </c>
      <c r="I60" s="83">
        <f t="shared" si="12"/>
        <v>5.5116439550419143</v>
      </c>
      <c r="J60" s="83">
        <f t="shared" si="12"/>
        <v>5.4658027804139291</v>
      </c>
      <c r="K60" s="83">
        <f t="shared" si="12"/>
        <v>5.4264659785370268</v>
      </c>
      <c r="L60" s="83">
        <f t="shared" si="12"/>
        <v>5.3928276293618627</v>
      </c>
      <c r="M60" s="83">
        <f t="shared" si="12"/>
        <v>5.3641918246734157</v>
      </c>
      <c r="N60" s="83">
        <f t="shared" si="13"/>
        <v>5.3399659174235943</v>
      </c>
      <c r="O60" s="83">
        <f t="shared" si="13"/>
        <v>5.3196504757614083</v>
      </c>
      <c r="P60" s="83">
        <f t="shared" si="13"/>
        <v>5.3028284927847489</v>
      </c>
      <c r="Q60" s="83">
        <f t="shared" si="13"/>
        <v>5.2891551428554591</v>
      </c>
      <c r="R60" s="83">
        <f t="shared" si="13"/>
        <v>5.2783486697040676</v>
      </c>
      <c r="S60" s="83">
        <f t="shared" si="13"/>
        <v>5.2701826190638252</v>
      </c>
      <c r="T60" s="83">
        <f t="shared" si="13"/>
        <v>5.2644794434011128</v>
      </c>
      <c r="U60" s="83">
        <f t="shared" si="13"/>
        <v>5.2611054232260965</v>
      </c>
      <c r="V60" s="83">
        <f t="shared" si="13"/>
        <v>5.2599668212186161</v>
      </c>
      <c r="W60" s="83">
        <f t="shared" si="13"/>
        <v>5.261007186323134</v>
      </c>
      <c r="X60" s="83">
        <f t="shared" si="14"/>
        <v>5.2642057411901453</v>
      </c>
      <c r="Y60" s="83">
        <f t="shared" si="14"/>
        <v>5.2695768103684681</v>
      </c>
      <c r="Z60" s="83">
        <f t="shared" si="14"/>
        <v>5.2771702743496318</v>
      </c>
      <c r="AA60" s="83">
        <f t="shared" si="14"/>
        <v>5.2870730634418823</v>
      </c>
      <c r="AB60" s="83">
        <f t="shared" si="14"/>
        <v>5.2994117335265196</v>
      </c>
      <c r="AC60" s="83">
        <f t="shared" si="14"/>
        <v>5.3143561905914103</v>
      </c>
      <c r="AD60" s="83">
        <f t="shared" si="14"/>
        <v>5.3321246485266283</v>
      </c>
      <c r="AE60" s="83">
        <f t="shared" si="14"/>
        <v>5.3529899076658101</v>
      </c>
      <c r="AF60" s="83">
        <f t="shared" si="14"/>
        <v>5.3772870162834181</v>
      </c>
      <c r="AG60" s="83">
        <f t="shared" si="14"/>
        <v>5.4054222981894613</v>
      </c>
      <c r="AH60" s="83">
        <f t="shared" si="15"/>
        <v>5.4378835494267808</v>
      </c>
      <c r="AI60" s="83">
        <f t="shared" si="15"/>
        <v>5.4752508402693962</v>
      </c>
      <c r="AJ60" s="83">
        <f t="shared" si="15"/>
        <v>5.5182066584021641</v>
      </c>
      <c r="AK60" s="83">
        <f t="shared" si="15"/>
        <v>5.5675428719156601</v>
      </c>
      <c r="AL60" s="83">
        <f t="shared" si="15"/>
        <v>5.6241599246118987</v>
      </c>
      <c r="AM60" s="83">
        <f t="shared" si="15"/>
        <v>5.6890507761254412</v>
      </c>
      <c r="AN60" s="83">
        <f t="shared" si="15"/>
        <v>5.7632592562273137</v>
      </c>
      <c r="AO60" s="83">
        <f t="shared" si="15"/>
        <v>5.8478026159300214</v>
      </c>
      <c r="AP60" s="83">
        <f t="shared" si="15"/>
        <v>5.9435562325134956</v>
      </c>
      <c r="AQ60" s="83">
        <f t="shared" si="15"/>
        <v>6.0511180406655019</v>
      </c>
      <c r="AS60" s="83">
        <f t="shared" si="5"/>
        <v>0</v>
      </c>
    </row>
    <row r="61" spans="1:45" ht="12.75" x14ac:dyDescent="0.2">
      <c r="A61" s="166"/>
      <c r="B61" s="83">
        <f t="shared" si="6"/>
        <v>0.65000000000000024</v>
      </c>
      <c r="C61" s="83">
        <f t="shared" si="7"/>
        <v>5.9917603602503977</v>
      </c>
      <c r="D61" s="83">
        <f t="shared" si="12"/>
        <v>5.8869316137538075</v>
      </c>
      <c r="E61" s="83">
        <f t="shared" si="12"/>
        <v>5.7943384193059071</v>
      </c>
      <c r="F61" s="83">
        <f t="shared" si="12"/>
        <v>5.7132953196445815</v>
      </c>
      <c r="G61" s="83">
        <f t="shared" si="12"/>
        <v>5.6428199260143979</v>
      </c>
      <c r="H61" s="83">
        <f t="shared" si="12"/>
        <v>5.5817994131568156</v>
      </c>
      <c r="I61" s="83">
        <f t="shared" si="12"/>
        <v>5.5291213544229452</v>
      </c>
      <c r="J61" s="83">
        <f t="shared" si="12"/>
        <v>5.4837523033655042</v>
      </c>
      <c r="K61" s="83">
        <f t="shared" si="12"/>
        <v>5.4447730939118015</v>
      </c>
      <c r="L61" s="83">
        <f t="shared" si="12"/>
        <v>5.4113870018797776</v>
      </c>
      <c r="M61" s="83">
        <f t="shared" si="12"/>
        <v>5.3829140290297861</v>
      </c>
      <c r="N61" s="83">
        <f t="shared" si="13"/>
        <v>5.3587795249071188</v>
      </c>
      <c r="O61" s="83">
        <f t="shared" si="13"/>
        <v>5.3385014495693826</v>
      </c>
      <c r="P61" s="83">
        <f t="shared" si="13"/>
        <v>5.3216782503825169</v>
      </c>
      <c r="Q61" s="83">
        <f t="shared" si="13"/>
        <v>5.3079781241775148</v>
      </c>
      <c r="R61" s="83">
        <f t="shared" si="13"/>
        <v>5.2971298746921045</v>
      </c>
      <c r="S61" s="83">
        <f t="shared" si="13"/>
        <v>5.2889153367889126</v>
      </c>
      <c r="T61" s="83">
        <f t="shared" si="13"/>
        <v>5.2831632520653287</v>
      </c>
      <c r="U61" s="83">
        <f t="shared" si="13"/>
        <v>5.2797444614506812</v>
      </c>
      <c r="V61" s="83">
        <f t="shared" si="13"/>
        <v>5.2785682906893436</v>
      </c>
      <c r="W61" s="83">
        <f t="shared" si="13"/>
        <v>5.2795800271389997</v>
      </c>
      <c r="X61" s="83">
        <f t="shared" si="14"/>
        <v>5.2827594136993801</v>
      </c>
      <c r="Y61" s="83">
        <f t="shared" si="14"/>
        <v>5.2881201148686472</v>
      </c>
      <c r="Z61" s="83">
        <f t="shared" si="14"/>
        <v>5.2957101397358599</v>
      </c>
      <c r="AA61" s="83">
        <f t="shared" si="14"/>
        <v>5.3056132367884743</v>
      </c>
      <c r="AB61" s="83">
        <f t="shared" si="14"/>
        <v>5.3179513056069334</v>
      </c>
      <c r="AC61" s="83">
        <f t="shared" si="14"/>
        <v>5.3328879005098999</v>
      </c>
      <c r="AD61" s="83">
        <f t="shared" si="14"/>
        <v>5.3506329299242505</v>
      </c>
      <c r="AE61" s="83">
        <f t="shared" si="14"/>
        <v>5.3714486797391645</v>
      </c>
      <c r="AF61" s="83">
        <f t="shared" si="14"/>
        <v>5.3956573019026557</v>
      </c>
      <c r="AG61" s="83">
        <f t="shared" si="14"/>
        <v>5.4236498939840043</v>
      </c>
      <c r="AH61" s="83">
        <f t="shared" si="15"/>
        <v>5.4558972126975309</v>
      </c>
      <c r="AI61" s="83">
        <f t="shared" si="15"/>
        <v>5.4929618303014704</v>
      </c>
      <c r="AJ61" s="83">
        <f t="shared" si="15"/>
        <v>5.5355109849697621</v>
      </c>
      <c r="AK61" s="83">
        <f t="shared" si="15"/>
        <v>5.5843281753807616</v>
      </c>
      <c r="AL61" s="83">
        <f t="shared" si="15"/>
        <v>5.6403192159768283</v>
      </c>
      <c r="AM61" s="83">
        <f t="shared" si="15"/>
        <v>5.7045045457875831</v>
      </c>
      <c r="AN61" s="83">
        <f t="shared" si="15"/>
        <v>5.7779845172399042</v>
      </c>
      <c r="AO61" s="83">
        <f t="shared" si="15"/>
        <v>5.8618614813511094</v>
      </c>
      <c r="AP61" s="83">
        <f t="shared" si="15"/>
        <v>5.9571096256832679</v>
      </c>
      <c r="AQ61" s="83">
        <f t="shared" si="15"/>
        <v>6.0644090644744644</v>
      </c>
      <c r="AS61" s="83">
        <f t="shared" si="5"/>
        <v>0</v>
      </c>
    </row>
    <row r="62" spans="1:45" ht="12.75" x14ac:dyDescent="0.2">
      <c r="A62" s="166"/>
      <c r="B62" s="83">
        <f t="shared" si="6"/>
        <v>0.67500000000000027</v>
      </c>
      <c r="C62" s="83">
        <f t="shared" si="7"/>
        <v>6.0065698774107332</v>
      </c>
      <c r="D62" s="83">
        <f t="shared" si="12"/>
        <v>5.9020472792955614</v>
      </c>
      <c r="E62" s="83">
        <f t="shared" si="12"/>
        <v>5.8100694963413497</v>
      </c>
      <c r="F62" s="83">
        <f t="shared" si="12"/>
        <v>5.7298390056390351</v>
      </c>
      <c r="G62" s="83">
        <f t="shared" si="12"/>
        <v>5.6602431351734461</v>
      </c>
      <c r="H62" s="83">
        <f t="shared" si="12"/>
        <v>5.6000619037514623</v>
      </c>
      <c r="I62" s="83">
        <f t="shared" si="12"/>
        <v>5.5481158599220519</v>
      </c>
      <c r="J62" s="83">
        <f t="shared" si="12"/>
        <v>5.5033420554165282</v>
      </c>
      <c r="K62" s="83">
        <f t="shared" si="12"/>
        <v>5.4648184890004474</v>
      </c>
      <c r="L62" s="83">
        <f t="shared" si="12"/>
        <v>5.4317610873233075</v>
      </c>
      <c r="M62" s="83">
        <f t="shared" si="12"/>
        <v>5.4035095984661616</v>
      </c>
      <c r="N62" s="83">
        <f t="shared" si="13"/>
        <v>5.3795109156450112</v>
      </c>
      <c r="O62" s="83">
        <f t="shared" si="13"/>
        <v>5.3593034249890517</v>
      </c>
      <c r="P62" s="83">
        <f t="shared" si="13"/>
        <v>5.3425035255877926</v>
      </c>
      <c r="Q62" s="83">
        <f t="shared" si="13"/>
        <v>5.328794448002558</v>
      </c>
      <c r="R62" s="83">
        <f t="shared" si="13"/>
        <v>5.3179171501615521</v>
      </c>
      <c r="S62" s="83">
        <f t="shared" si="13"/>
        <v>5.3096629991094675</v>
      </c>
      <c r="T62" s="83">
        <f t="shared" si="13"/>
        <v>5.3038679731953113</v>
      </c>
      <c r="U62" s="83">
        <f t="shared" si="13"/>
        <v>5.3004081700339185</v>
      </c>
      <c r="V62" s="83">
        <f t="shared" si="13"/>
        <v>5.2991964563256824</v>
      </c>
      <c r="W62" s="83">
        <f t="shared" si="13"/>
        <v>5.3001801401649278</v>
      </c>
      <c r="X62" s="83">
        <f t="shared" si="14"/>
        <v>5.3033395848857481</v>
      </c>
      <c r="Y62" s="83">
        <f t="shared" si="14"/>
        <v>5.3086877175296205</v>
      </c>
      <c r="Z62" s="83">
        <f t="shared" si="14"/>
        <v>5.3162704165955539</v>
      </c>
      <c r="AA62" s="83">
        <f t="shared" si="14"/>
        <v>5.3261677946358938</v>
      </c>
      <c r="AB62" s="83">
        <f t="shared" si="14"/>
        <v>5.338496423210902</v>
      </c>
      <c r="AC62" s="83">
        <f t="shared" si="14"/>
        <v>5.3534125825320684</v>
      </c>
      <c r="AD62" s="83">
        <f t="shared" si="14"/>
        <v>5.3711166577934319</v>
      </c>
      <c r="AE62" s="83">
        <f t="shared" si="14"/>
        <v>5.3918588505304292</v>
      </c>
      <c r="AF62" s="83">
        <f t="shared" si="14"/>
        <v>5.4159464264854575</v>
      </c>
      <c r="AG62" s="83">
        <f t="shared" si="14"/>
        <v>5.4437527751731132</v>
      </c>
      <c r="AH62" s="83">
        <f t="shared" si="15"/>
        <v>5.475728585787822</v>
      </c>
      <c r="AI62" s="83">
        <f t="shared" si="15"/>
        <v>5.5124153768683222</v>
      </c>
      <c r="AJ62" s="83">
        <f t="shared" si="15"/>
        <v>5.5544612720322002</v>
      </c>
      <c r="AK62" s="83">
        <f t="shared" si="15"/>
        <v>5.6026378917845197</v>
      </c>
      <c r="AL62" s="83">
        <f t="shared" si="15"/>
        <v>5.6578547810387576</v>
      </c>
      <c r="AM62" s="83">
        <f t="shared" si="15"/>
        <v>5.7211628577074469</v>
      </c>
      <c r="AN62" s="83">
        <f t="shared" si="15"/>
        <v>5.7937304918907273</v>
      </c>
      <c r="AO62" s="83">
        <f t="shared" si="15"/>
        <v>5.876768111438607</v>
      </c>
      <c r="AP62" s="83">
        <f t="shared" si="15"/>
        <v>5.9713809370603439</v>
      </c>
      <c r="AQ62" s="83">
        <f t="shared" si="15"/>
        <v>6.0783616345497933</v>
      </c>
      <c r="AS62" s="83">
        <f t="shared" si="5"/>
        <v>0</v>
      </c>
    </row>
    <row r="63" spans="1:45" ht="12.75" x14ac:dyDescent="0.2">
      <c r="A63" s="166"/>
      <c r="B63" s="83">
        <f t="shared" si="6"/>
        <v>0.70000000000000029</v>
      </c>
      <c r="C63" s="83">
        <f t="shared" si="7"/>
        <v>6.0220254546698904</v>
      </c>
      <c r="D63" s="83">
        <f t="shared" si="12"/>
        <v>5.9178731555871114</v>
      </c>
      <c r="E63" s="83">
        <f t="shared" si="12"/>
        <v>5.8266597018569684</v>
      </c>
      <c r="F63" s="83">
        <f t="shared" si="12"/>
        <v>5.747434857626077</v>
      </c>
      <c r="G63" s="83">
        <f t="shared" si="12"/>
        <v>5.6789157507463708</v>
      </c>
      <c r="H63" s="83">
        <f t="shared" si="12"/>
        <v>5.6197502019420016</v>
      </c>
      <c r="I63" s="83">
        <f t="shared" si="12"/>
        <v>5.5686820085772943</v>
      </c>
      <c r="J63" s="83">
        <f t="shared" si="12"/>
        <v>5.5246186081196766</v>
      </c>
      <c r="K63" s="83">
        <f t="shared" si="12"/>
        <v>5.486639251184763</v>
      </c>
      <c r="L63" s="83">
        <f t="shared" si="12"/>
        <v>5.45397760337843</v>
      </c>
      <c r="M63" s="83">
        <f t="shared" si="12"/>
        <v>5.4259978510552109</v>
      </c>
      <c r="N63" s="83">
        <f t="shared" si="13"/>
        <v>5.4021723107533965</v>
      </c>
      <c r="O63" s="83">
        <f t="shared" si="13"/>
        <v>5.3820628608369203</v>
      </c>
      <c r="P63" s="83">
        <f t="shared" si="13"/>
        <v>5.3653062333863115</v>
      </c>
      <c r="Q63" s="83">
        <f t="shared" si="13"/>
        <v>5.3516025312719409</v>
      </c>
      <c r="R63" s="83">
        <f t="shared" si="13"/>
        <v>5.3407062816208075</v>
      </c>
      <c r="S63" s="83">
        <f t="shared" si="13"/>
        <v>5.332419465564703</v>
      </c>
      <c r="T63" s="83">
        <f t="shared" si="13"/>
        <v>5.326586112909486</v>
      </c>
      <c r="U63" s="83">
        <f t="shared" si="13"/>
        <v>5.3230881723861767</v>
      </c>
      <c r="V63" s="83">
        <f t="shared" si="13"/>
        <v>5.3218424583495603</v>
      </c>
      <c r="W63" s="83">
        <f t="shared" si="13"/>
        <v>5.3227985399515418</v>
      </c>
      <c r="X63" s="83">
        <f t="shared" si="14"/>
        <v>5.3259374870641496</v>
      </c>
      <c r="Y63" s="83">
        <f t="shared" si="14"/>
        <v>5.331271425183246</v>
      </c>
      <c r="Z63" s="83">
        <f t="shared" si="14"/>
        <v>5.3388438841348052</v>
      </c>
      <c r="AA63" s="83">
        <f t="shared" si="14"/>
        <v>5.3487309564482794</v>
      </c>
      <c r="AB63" s="83">
        <f t="shared" si="14"/>
        <v>5.3610433142085725</v>
      </c>
      <c r="AC63" s="83">
        <f t="shared" si="14"/>
        <v>5.3759291718900499</v>
      </c>
      <c r="AD63" s="83">
        <f t="shared" si="14"/>
        <v>5.3935783320786825</v>
      </c>
      <c r="AE63" s="83">
        <f t="shared" si="14"/>
        <v>5.4142275177629493</v>
      </c>
      <c r="AF63" s="83">
        <f t="shared" si="14"/>
        <v>5.4381672871570084</v>
      </c>
      <c r="AG63" s="83">
        <f t="shared" si="14"/>
        <v>5.4657509515062319</v>
      </c>
      <c r="AH63" s="83">
        <f t="shared" si="15"/>
        <v>5.4974060676941727</v>
      </c>
      <c r="AI63" s="83">
        <f t="shared" si="15"/>
        <v>5.5336492084261346</v>
      </c>
      <c r="AJ63" s="83">
        <f t="shared" si="15"/>
        <v>5.5751046601581065</v>
      </c>
      <c r="AK63" s="83">
        <f t="shared" si="15"/>
        <v>5.6225270246022259</v>
      </c>
      <c r="AL63" s="83">
        <f t="shared" si="15"/>
        <v>5.6768254141985608</v>
      </c>
      <c r="AM63" s="83">
        <f t="shared" si="15"/>
        <v>5.7390812408791092</v>
      </c>
      <c r="AN63" s="83">
        <f t="shared" si="15"/>
        <v>5.8105405071921492</v>
      </c>
      <c r="AO63" s="83">
        <f t="shared" si="15"/>
        <v>5.8925466464542255</v>
      </c>
      <c r="AP63" s="83">
        <f t="shared" si="15"/>
        <v>5.9863757302435712</v>
      </c>
      <c r="AQ63" s="83">
        <f t="shared" si="15"/>
        <v>6.0929735551719775</v>
      </c>
      <c r="AS63" s="83">
        <f t="shared" si="5"/>
        <v>0</v>
      </c>
    </row>
    <row r="64" spans="1:45" ht="12.75" x14ac:dyDescent="0.2">
      <c r="A64" s="166"/>
      <c r="B64" s="83">
        <f t="shared" si="6"/>
        <v>0.72500000000000031</v>
      </c>
      <c r="C64" s="83">
        <f t="shared" si="7"/>
        <v>6.0381248552578679</v>
      </c>
      <c r="D64" s="83">
        <f t="shared" si="12"/>
        <v>5.9344178904239557</v>
      </c>
      <c r="E64" s="83">
        <f t="shared" si="12"/>
        <v>5.8441428402107221</v>
      </c>
      <c r="F64" s="83">
        <f t="shared" si="12"/>
        <v>5.7661409903919782</v>
      </c>
      <c r="G64" s="83">
        <f t="shared" si="12"/>
        <v>5.6989095288868192</v>
      </c>
      <c r="H64" s="83">
        <f t="shared" si="12"/>
        <v>5.6409378300125637</v>
      </c>
      <c r="I64" s="83">
        <f t="shared" si="12"/>
        <v>5.5908867207949307</v>
      </c>
      <c r="J64" s="83">
        <f t="shared" si="12"/>
        <v>5.5476380795516063</v>
      </c>
      <c r="K64" s="83">
        <f t="shared" si="12"/>
        <v>5.5102795610693107</v>
      </c>
      <c r="L64" s="83">
        <f t="shared" si="12"/>
        <v>5.4780694227071614</v>
      </c>
      <c r="M64" s="83">
        <f t="shared" si="12"/>
        <v>5.4504017905087405</v>
      </c>
      <c r="N64" s="83">
        <f t="shared" si="13"/>
        <v>5.4267785207366259</v>
      </c>
      <c r="O64" s="83">
        <f t="shared" si="13"/>
        <v>5.4067879899343279</v>
      </c>
      <c r="P64" s="83">
        <f t="shared" si="13"/>
        <v>5.39008945506915</v>
      </c>
      <c r="Q64" s="83">
        <f t="shared" si="13"/>
        <v>5.3764015035003228</v>
      </c>
      <c r="R64" s="83">
        <f t="shared" si="13"/>
        <v>5.3654934292501313</v>
      </c>
      <c r="S64" s="83">
        <f t="shared" si="13"/>
        <v>5.3571787215882578</v>
      </c>
      <c r="T64" s="83">
        <f t="shared" si="13"/>
        <v>5.3513101250372994</v>
      </c>
      <c r="U64" s="83">
        <f t="shared" si="13"/>
        <v>5.3477759194230341</v>
      </c>
      <c r="V64" s="83">
        <f t="shared" si="13"/>
        <v>5.3464971940867869</v>
      </c>
      <c r="W64" s="83">
        <f t="shared" si="13"/>
        <v>5.3474259729335953</v>
      </c>
      <c r="X64" s="83">
        <f t="shared" si="14"/>
        <v>5.3505441028490752</v>
      </c>
      <c r="Y64" s="83">
        <f t="shared" si="14"/>
        <v>5.3558628583976793</v>
      </c>
      <c r="Z64" s="83">
        <f t="shared" si="14"/>
        <v>5.363423248230152</v>
      </c>
      <c r="AA64" s="83">
        <f t="shared" si="14"/>
        <v>5.3732970388480856</v>
      </c>
      <c r="AB64" s="83">
        <f t="shared" si="14"/>
        <v>5.3855885442206608</v>
      </c>
      <c r="AC64" s="83">
        <f t="shared" si="14"/>
        <v>5.4004372708064787</v>
      </c>
      <c r="AD64" s="83">
        <f t="shared" si="14"/>
        <v>5.4180215644373844</v>
      </c>
      <c r="AE64" s="83">
        <f t="shared" si="14"/>
        <v>5.4385634894996704</v>
      </c>
      <c r="AF64" s="83">
        <f t="shared" si="14"/>
        <v>5.4623352981129907</v>
      </c>
      <c r="AG64" s="83">
        <f t="shared" si="14"/>
        <v>5.4896680385319501</v>
      </c>
      <c r="AH64" s="83">
        <f t="shared" si="15"/>
        <v>5.52096312708571</v>
      </c>
      <c r="AI64" s="83">
        <f t="shared" si="15"/>
        <v>5.5567080590180682</v>
      </c>
      <c r="AJ64" s="83">
        <f t="shared" si="15"/>
        <v>5.5974977506449397</v>
      </c>
      <c r="AK64" s="83">
        <f t="shared" si="15"/>
        <v>5.6440628816201244</v>
      </c>
      <c r="AL64" s="83">
        <f t="shared" si="15"/>
        <v>5.6973049095846928</v>
      </c>
      <c r="AM64" s="83">
        <f t="shared" si="15"/>
        <v>5.7583315983472172</v>
      </c>
      <c r="AN64" s="83">
        <f t="shared" si="15"/>
        <v>5.8284727045546445</v>
      </c>
      <c r="AO64" s="83">
        <f t="shared" si="15"/>
        <v>5.9092308179479396</v>
      </c>
      <c r="AP64" s="83">
        <f t="shared" si="15"/>
        <v>6.0021025168964197</v>
      </c>
      <c r="AQ64" s="83">
        <f t="shared" si="15"/>
        <v>6.1082424372553934</v>
      </c>
      <c r="AS64" s="83">
        <f t="shared" si="5"/>
        <v>0</v>
      </c>
    </row>
    <row r="65" spans="1:45" ht="12.75" x14ac:dyDescent="0.2">
      <c r="A65" s="166"/>
      <c r="B65" s="83">
        <f t="shared" si="6"/>
        <v>0.75000000000000033</v>
      </c>
      <c r="C65" s="83">
        <f t="shared" si="7"/>
        <v>6.0548656543028354</v>
      </c>
      <c r="D65" s="83">
        <f t="shared" ref="D65:M75" si="16">wa*SQRT((xa-x)^2+(ya-y)^2)+wb*SQRT((xb-x)^2+(yb-y)^2)+wc*SQRT((xc-x)^2+(yc-y)^2)+wd*SQRT((xd-x)^2+(yd-y)^2)</f>
        <v>5.9516945204044642</v>
      </c>
      <c r="E65" s="83">
        <f t="shared" si="16"/>
        <v>5.8625661497398758</v>
      </c>
      <c r="F65" s="83">
        <f t="shared" si="16"/>
        <v>5.7860349376022784</v>
      </c>
      <c r="G65" s="83">
        <f t="shared" si="16"/>
        <v>5.7203161884078195</v>
      </c>
      <c r="H65" s="83">
        <f t="shared" si="16"/>
        <v>5.6637153132722418</v>
      </c>
      <c r="I65" s="83">
        <f t="shared" si="16"/>
        <v>5.6148099278720949</v>
      </c>
      <c r="J65" s="83">
        <f t="shared" si="16"/>
        <v>5.5724659666450984</v>
      </c>
      <c r="K65" s="83">
        <f t="shared" si="16"/>
        <v>5.5357901467923938</v>
      </c>
      <c r="L65" s="83">
        <f t="shared" si="16"/>
        <v>5.5040739090702155</v>
      </c>
      <c r="M65" s="83">
        <f t="shared" si="16"/>
        <v>5.4767474604808939</v>
      </c>
      <c r="N65" s="83">
        <f t="shared" ref="N65:W75" si="17">wa*SQRT((xa-x)^2+(ya-y)^2)+wb*SQRT((xb-x)^2+(yb-y)^2)+wc*SQRT((xc-x)^2+(yc-y)^2)+wd*SQRT((xd-x)^2+(yd-y)^2)</f>
        <v>5.4533463774341655</v>
      </c>
      <c r="O65" s="83">
        <f t="shared" si="17"/>
        <v>5.4334883460678585</v>
      </c>
      <c r="P65" s="83">
        <f t="shared" si="17"/>
        <v>5.4168570569126162</v>
      </c>
      <c r="Q65" s="83">
        <f t="shared" si="17"/>
        <v>5.4031909051138864</v>
      </c>
      <c r="R65" s="83">
        <f t="shared" si="17"/>
        <v>5.3922748911677729</v>
      </c>
      <c r="S65" s="83">
        <f t="shared" si="17"/>
        <v>5.383934692139813</v>
      </c>
      <c r="T65" s="83">
        <f t="shared" si="17"/>
        <v>5.378032261816303</v>
      </c>
      <c r="U65" s="83">
        <f t="shared" si="17"/>
        <v>5.3744625654926805</v>
      </c>
      <c r="V65" s="83">
        <f t="shared" si="17"/>
        <v>5.3731512085217608</v>
      </c>
      <c r="W65" s="83">
        <f t="shared" si="17"/>
        <v>5.3740528128088307</v>
      </c>
      <c r="X65" s="83">
        <f t="shared" ref="X65:AG75" si="18">wa*SQRT((xa-x)^2+(ya-y)^2)+wb*SQRT((xb-x)^2+(yb-y)^2)+wc*SQRT((xc-x)^2+(yc-y)^2)+wd*SQRT((xd-x)^2+(yd-y)^2)</f>
        <v>5.3771500558400289</v>
      </c>
      <c r="Y65" s="83">
        <f t="shared" si="18"/>
        <v>5.3824533277018523</v>
      </c>
      <c r="Z65" s="83">
        <f t="shared" si="18"/>
        <v>5.3900009926612604</v>
      </c>
      <c r="AA65" s="83">
        <f t="shared" si="18"/>
        <v>5.399860270131585</v>
      </c>
      <c r="AB65" s="83">
        <f t="shared" si="18"/>
        <v>5.4121287812643484</v>
      </c>
      <c r="AC65" s="83">
        <f t="shared" si="18"/>
        <v>5.4269368488911978</v>
      </c>
      <c r="AD65" s="83">
        <f t="shared" si="18"/>
        <v>5.4444506998668203</v>
      </c>
      <c r="AE65" s="83">
        <f t="shared" si="18"/>
        <v>5.4648768151584557</v>
      </c>
      <c r="AF65" s="83">
        <f t="shared" si="18"/>
        <v>5.4884678279263923</v>
      </c>
      <c r="AG65" s="83">
        <f t="shared" si="18"/>
        <v>5.5155306186938367</v>
      </c>
      <c r="AH65" s="83">
        <f t="shared" ref="AH65:AQ75" si="19">wa*SQRT((xa-x)^2+(ya-y)^2)+wb*SQRT((xb-x)^2+(yb-y)^2)+wc*SQRT((xc-x)^2+(yc-y)^2)+wd*SQRT((xd-x)^2+(yd-y)^2)</f>
        <v>5.5464376466474885</v>
      </c>
      <c r="AI65" s="83">
        <f t="shared" si="19"/>
        <v>5.5816431320277546</v>
      </c>
      <c r="AJ65" s="83">
        <f t="shared" si="19"/>
        <v>5.621706448053942</v>
      </c>
      <c r="AK65" s="83">
        <f t="shared" si="19"/>
        <v>5.6673257126988972</v>
      </c>
      <c r="AL65" s="83">
        <f t="shared" si="19"/>
        <v>5.7193840063434367</v>
      </c>
      <c r="AM65" s="83">
        <f t="shared" si="19"/>
        <v>5.7790057516671709</v>
      </c>
      <c r="AN65" s="83">
        <f t="shared" si="19"/>
        <v>5.8476046151387191</v>
      </c>
      <c r="AO65" s="83">
        <f t="shared" si="19"/>
        <v>5.9268677759429007</v>
      </c>
      <c r="AP65" s="83">
        <f t="shared" si="19"/>
        <v>6.0185741915374145</v>
      </c>
      <c r="AQ65" s="83">
        <f t="shared" si="19"/>
        <v>6.1241657011193062</v>
      </c>
      <c r="AS65" s="83">
        <f t="shared" si="5"/>
        <v>0</v>
      </c>
    </row>
    <row r="66" spans="1:45" ht="12.75" x14ac:dyDescent="0.2">
      <c r="A66" s="166"/>
      <c r="B66" s="83">
        <f t="shared" si="6"/>
        <v>0.77500000000000036</v>
      </c>
      <c r="C66" s="83">
        <f t="shared" si="7"/>
        <v>6.0722452415020882</v>
      </c>
      <c r="D66" s="83">
        <f t="shared" si="16"/>
        <v>5.9697228127574231</v>
      </c>
      <c r="E66" s="83">
        <f t="shared" si="16"/>
        <v>5.8819961304717285</v>
      </c>
      <c r="F66" s="83">
        <f t="shared" si="16"/>
        <v>5.8072199504827049</v>
      </c>
      <c r="G66" s="83">
        <f t="shared" si="16"/>
        <v>5.743251710548356</v>
      </c>
      <c r="H66" s="83">
        <f t="shared" si="16"/>
        <v>5.6881921454971556</v>
      </c>
      <c r="I66" s="83">
        <f t="shared" si="16"/>
        <v>5.6405449192187316</v>
      </c>
      <c r="J66" s="83">
        <f t="shared" si="16"/>
        <v>5.5991766506422671</v>
      </c>
      <c r="K66" s="83">
        <f t="shared" si="16"/>
        <v>5.5632274667753192</v>
      </c>
      <c r="L66" s="83">
        <f t="shared" si="16"/>
        <v>5.5320320552393065</v>
      </c>
      <c r="M66" s="83">
        <f t="shared" si="16"/>
        <v>5.5050631621702077</v>
      </c>
      <c r="N66" s="83">
        <f t="shared" si="17"/>
        <v>5.4818940735431196</v>
      </c>
      <c r="O66" s="83">
        <f t="shared" si="17"/>
        <v>5.4621742283163268</v>
      </c>
      <c r="P66" s="83">
        <f t="shared" si="17"/>
        <v>5.4456132656942469</v>
      </c>
      <c r="Q66" s="83">
        <f t="shared" si="17"/>
        <v>5.4319703552438696</v>
      </c>
      <c r="R66" s="83">
        <f t="shared" si="17"/>
        <v>5.4210468443504016</v>
      </c>
      <c r="S66" s="83">
        <f t="shared" si="17"/>
        <v>5.4126810383395449</v>
      </c>
      <c r="T66" s="83">
        <f t="shared" si="17"/>
        <v>5.4067444110600631</v>
      </c>
      <c r="U66" s="83">
        <f t="shared" si="17"/>
        <v>5.4031388329416403</v>
      </c>
      <c r="V66" s="83">
        <f t="shared" si="17"/>
        <v>5.401794574689319</v>
      </c>
      <c r="W66" s="83">
        <f t="shared" si="17"/>
        <v>5.4026689461531987</v>
      </c>
      <c r="X66" s="83">
        <f t="shared" si="18"/>
        <v>5.4057454911938141</v>
      </c>
      <c r="Y66" s="83">
        <f t="shared" si="18"/>
        <v>5.4110336985445313</v>
      </c>
      <c r="Z66" s="83">
        <f t="shared" si="18"/>
        <v>5.4185692169502193</v>
      </c>
      <c r="AA66" s="83">
        <f t="shared" si="18"/>
        <v>5.4284145879504901</v>
      </c>
      <c r="AB66" s="83">
        <f t="shared" si="18"/>
        <v>5.4406605382255089</v>
      </c>
      <c r="AC66" s="83">
        <f t="shared" si="18"/>
        <v>5.455427913146683</v>
      </c>
      <c r="AD66" s="83">
        <f t="shared" si="18"/>
        <v>5.4728703952641773</v>
      </c>
      <c r="AE66" s="83">
        <f t="shared" si="18"/>
        <v>5.4931782538855725</v>
      </c>
      <c r="AF66" s="83">
        <f t="shared" si="18"/>
        <v>5.5165835442585358</v>
      </c>
      <c r="AG66" s="83">
        <f t="shared" si="18"/>
        <v>5.5433674653304816</v>
      </c>
      <c r="AH66" s="83">
        <f t="shared" si="19"/>
        <v>5.5738710685450865</v>
      </c>
      <c r="AI66" s="83">
        <f t="shared" si="19"/>
        <v>5.6085112914068436</v>
      </c>
      <c r="AJ66" s="83">
        <f t="shared" si="19"/>
        <v>5.647805474633703</v>
      </c>
      <c r="AK66" s="83">
        <f t="shared" si="19"/>
        <v>5.6924090658299127</v>
      </c>
      <c r="AL66" s="83">
        <f t="shared" si="19"/>
        <v>5.7431723620370168</v>
      </c>
      <c r="AM66" s="83">
        <f t="shared" si="19"/>
        <v>5.8012197470507312</v>
      </c>
      <c r="AN66" s="83">
        <f t="shared" si="19"/>
        <v>5.8680394628907599</v>
      </c>
      <c r="AO66" s="83">
        <f t="shared" si="19"/>
        <v>5.9455239189713636</v>
      </c>
      <c r="AP66" s="83">
        <f t="shared" si="19"/>
        <v>6.0358103741786193</v>
      </c>
      <c r="AQ66" s="83">
        <f t="shared" si="19"/>
        <v>6.1407405793960983</v>
      </c>
      <c r="AS66" s="83">
        <f t="shared" si="5"/>
        <v>0</v>
      </c>
    </row>
    <row r="67" spans="1:45" ht="12.75" x14ac:dyDescent="0.2">
      <c r="A67" s="166"/>
      <c r="B67" s="83">
        <f t="shared" si="6"/>
        <v>0.80000000000000038</v>
      </c>
      <c r="C67" s="83">
        <f t="shared" si="7"/>
        <v>6.0902608239341198</v>
      </c>
      <c r="D67" s="83">
        <f t="shared" si="16"/>
        <v>5.9885332368356821</v>
      </c>
      <c r="E67" s="83">
        <f t="shared" si="16"/>
        <v>5.9025275678760423</v>
      </c>
      <c r="F67" s="83">
        <f t="shared" si="16"/>
        <v>5.8298335650265996</v>
      </c>
      <c r="G67" s="83">
        <f t="shared" si="16"/>
        <v>5.767861287485859</v>
      </c>
      <c r="H67" s="83">
        <f t="shared" si="16"/>
        <v>5.7144984763499123</v>
      </c>
      <c r="I67" s="83">
        <f t="shared" si="16"/>
        <v>5.6681981596739064</v>
      </c>
      <c r="J67" s="83">
        <f t="shared" si="16"/>
        <v>5.6278524287590628</v>
      </c>
      <c r="K67" s="83">
        <f t="shared" si="16"/>
        <v>5.5926525496093369</v>
      </c>
      <c r="L67" s="83">
        <f t="shared" si="16"/>
        <v>5.5619873945964899</v>
      </c>
      <c r="M67" s="83">
        <f t="shared" si="16"/>
        <v>5.535378528583248</v>
      </c>
      <c r="N67" s="83">
        <f t="shared" si="17"/>
        <v>5.5124404125136852</v>
      </c>
      <c r="O67" s="83">
        <f t="shared" si="17"/>
        <v>5.4928561089643946</v>
      </c>
      <c r="P67" s="83">
        <f t="shared" si="17"/>
        <v>5.47636220792013</v>
      </c>
      <c r="Q67" s="83">
        <f t="shared" si="17"/>
        <v>5.4627391953654074</v>
      </c>
      <c r="R67" s="83">
        <f t="shared" si="17"/>
        <v>5.4518050687491142</v>
      </c>
      <c r="S67" s="83">
        <f t="shared" si="17"/>
        <v>5.443410941787393</v>
      </c>
      <c r="T67" s="83">
        <f t="shared" si="17"/>
        <v>5.4374379237577539</v>
      </c>
      <c r="U67" s="83">
        <f t="shared" si="17"/>
        <v>5.4337948687517521</v>
      </c>
      <c r="V67" s="83">
        <f t="shared" si="17"/>
        <v>5.4324167670172283</v>
      </c>
      <c r="W67" s="83">
        <f t="shared" si="17"/>
        <v>5.4332636512765244</v>
      </c>
      <c r="X67" s="83">
        <f t="shared" si="18"/>
        <v>5.4363199491875784</v>
      </c>
      <c r="Y67" s="83">
        <f t="shared" si="18"/>
        <v>5.4415942484014677</v>
      </c>
      <c r="Z67" s="83">
        <f t="shared" si="18"/>
        <v>5.4491194647387191</v>
      </c>
      <c r="AA67" s="83">
        <f t="shared" si="18"/>
        <v>5.4589534248017495</v>
      </c>
      <c r="AB67" s="83">
        <f t="shared" si="18"/>
        <v>5.4711798986487405</v>
      </c>
      <c r="AC67" s="83">
        <f t="shared" si="18"/>
        <v>5.4859101539141033</v>
      </c>
      <c r="AD67" s="83">
        <f t="shared" si="18"/>
        <v>5.5032851617322844</v>
      </c>
      <c r="AE67" s="83">
        <f t="shared" si="18"/>
        <v>5.5234786864473806</v>
      </c>
      <c r="AF67" s="83">
        <f t="shared" si="18"/>
        <v>5.5467016687247117</v>
      </c>
      <c r="AG67" s="83">
        <f t="shared" si="18"/>
        <v>5.5732086229229649</v>
      </c>
      <c r="AH67" s="83">
        <f t="shared" si="19"/>
        <v>5.6033073129323379</v>
      </c>
      <c r="AI67" s="83">
        <f t="shared" si="19"/>
        <v>5.6373739091593329</v>
      </c>
      <c r="AJ67" s="83">
        <f t="shared" si="19"/>
        <v>5.6758774098720925</v>
      </c>
      <c r="AK67" s="83">
        <f t="shared" si="19"/>
        <v>5.7194196120875995</v>
      </c>
      <c r="AL67" s="83">
        <f t="shared" si="19"/>
        <v>5.768800246838782</v>
      </c>
      <c r="AM67" s="83">
        <f t="shared" si="19"/>
        <v>5.8251188092476447</v>
      </c>
      <c r="AN67" s="83">
        <f t="shared" si="19"/>
        <v>5.8899147353900823</v>
      </c>
      <c r="AO67" s="83">
        <f t="shared" si="19"/>
        <v>5.965293919774993</v>
      </c>
      <c r="AP67" s="83">
        <f t="shared" si="19"/>
        <v>6.053841382522771</v>
      </c>
      <c r="AQ67" s="83">
        <f t="shared" si="19"/>
        <v>6.1579641200768123</v>
      </c>
      <c r="AS67" s="83">
        <f t="shared" si="5"/>
        <v>0</v>
      </c>
    </row>
    <row r="68" spans="1:45" ht="12.75" x14ac:dyDescent="0.2">
      <c r="A68" s="166"/>
      <c r="B68" s="83">
        <f t="shared" si="6"/>
        <v>0.8250000000000004</v>
      </c>
      <c r="C68" s="83">
        <f t="shared" si="7"/>
        <v>6.1089094290129786</v>
      </c>
      <c r="D68" s="83">
        <f t="shared" si="16"/>
        <v>6.0081740150523411</v>
      </c>
      <c r="E68" s="83">
        <f t="shared" si="16"/>
        <v>5.9242977236138792</v>
      </c>
      <c r="F68" s="83">
        <f t="shared" si="16"/>
        <v>5.8540589653205091</v>
      </c>
      <c r="G68" s="83">
        <f t="shared" si="16"/>
        <v>5.794324506664247</v>
      </c>
      <c r="H68" s="83">
        <f t="shared" si="16"/>
        <v>5.7427860142482094</v>
      </c>
      <c r="I68" s="83">
        <f t="shared" si="16"/>
        <v>5.6978882542584657</v>
      </c>
      <c r="J68" s="83">
        <f t="shared" si="16"/>
        <v>5.6585819147386065</v>
      </c>
      <c r="K68" s="83">
        <f t="shared" si="16"/>
        <v>5.6241294291678487</v>
      </c>
      <c r="L68" s="83">
        <f t="shared" si="16"/>
        <v>5.5939846699930671</v>
      </c>
      <c r="M68" s="83">
        <f t="shared" si="16"/>
        <v>5.5677234578707182</v>
      </c>
      <c r="N68" s="83">
        <f t="shared" si="17"/>
        <v>5.545003977635993</v>
      </c>
      <c r="O68" s="83">
        <f t="shared" si="17"/>
        <v>5.5255439949617102</v>
      </c>
      <c r="P68" s="83">
        <f t="shared" si="17"/>
        <v>5.5091074218845888</v>
      </c>
      <c r="Q68" s="83">
        <f t="shared" si="17"/>
        <v>5.4954961165045608</v>
      </c>
      <c r="R68" s="83">
        <f t="shared" si="17"/>
        <v>5.4845446609374235</v>
      </c>
      <c r="S68" s="83">
        <f t="shared" si="17"/>
        <v>5.4761168817346038</v>
      </c>
      <c r="T68" s="83">
        <f t="shared" si="17"/>
        <v>5.4701034363771228</v>
      </c>
      <c r="U68" s="83">
        <f t="shared" si="17"/>
        <v>5.4664200968969814</v>
      </c>
      <c r="V68" s="83">
        <f t="shared" si="17"/>
        <v>5.4650065309016647</v>
      </c>
      <c r="W68" s="83">
        <f t="shared" si="17"/>
        <v>5.4658254734777021</v>
      </c>
      <c r="X68" s="83">
        <f t="shared" si="18"/>
        <v>5.4688622350462248</v>
      </c>
      <c r="Y68" s="83">
        <f t="shared" si="18"/>
        <v>5.4741245196616077</v>
      </c>
      <c r="Z68" s="83">
        <f t="shared" si="18"/>
        <v>5.4816425469483034</v>
      </c>
      <c r="AA68" s="83">
        <f t="shared" si="18"/>
        <v>5.4914694864578522</v>
      </c>
      <c r="AB68" s="83">
        <f t="shared" si="18"/>
        <v>5.5036822321387282</v>
      </c>
      <c r="AC68" s="83">
        <f t="shared" si="18"/>
        <v>5.518382574434419</v>
      </c>
      <c r="AD68" s="83">
        <f t="shared" si="18"/>
        <v>5.5356988797020721</v>
      </c>
      <c r="AE68" s="83">
        <f t="shared" si="18"/>
        <v>5.5557884805539528</v>
      </c>
      <c r="AF68" s="83">
        <f t="shared" si="18"/>
        <v>5.5788411507018782</v>
      </c>
      <c r="AG68" s="83">
        <f t="shared" si="18"/>
        <v>5.6050843459956301</v>
      </c>
      <c r="AH68" s="83">
        <f t="shared" si="19"/>
        <v>5.634791453108301</v>
      </c>
      <c r="AI68" s="83">
        <f t="shared" si="19"/>
        <v>5.6682953072525919</v>
      </c>
      <c r="AJ68" s="83">
        <f t="shared" si="19"/>
        <v>5.7060110979881369</v>
      </c>
      <c r="AK68" s="83">
        <f t="shared" si="19"/>
        <v>5.7484761169967529</v>
      </c>
      <c r="AL68" s="83">
        <f t="shared" si="19"/>
        <v>5.7964194521940229</v>
      </c>
      <c r="AM68" s="83">
        <f t="shared" si="19"/>
        <v>5.8508825304167038</v>
      </c>
      <c r="AN68" s="83">
        <f t="shared" si="19"/>
        <v>5.9134135502371628</v>
      </c>
      <c r="AO68" s="83">
        <f t="shared" si="19"/>
        <v>5.9863149176997803</v>
      </c>
      <c r="AP68" s="83">
        <f t="shared" si="19"/>
        <v>6.0727152835164997</v>
      </c>
      <c r="AQ68" s="83">
        <f t="shared" si="19"/>
        <v>6.1758331896945782</v>
      </c>
      <c r="AS68" s="83">
        <f t="shared" si="5"/>
        <v>0</v>
      </c>
    </row>
    <row r="69" spans="1:45" ht="12.75" x14ac:dyDescent="0.2">
      <c r="A69" s="166"/>
      <c r="B69" s="83">
        <f t="shared" si="6"/>
        <v>0.85000000000000042</v>
      </c>
      <c r="C69" s="83">
        <f t="shared" si="7"/>
        <v>6.1281879075862538</v>
      </c>
      <c r="D69" s="83">
        <f t="shared" si="16"/>
        <v>6.0287243444729901</v>
      </c>
      <c r="E69" s="83">
        <f t="shared" si="16"/>
        <v>5.9475088844547148</v>
      </c>
      <c r="F69" s="83">
        <f t="shared" si="16"/>
        <v>5.8801393168384921</v>
      </c>
      <c r="G69" s="83">
        <f t="shared" si="16"/>
        <v>5.8228598084487917</v>
      </c>
      <c r="H69" s="83">
        <f t="shared" si="16"/>
        <v>5.7732273887521597</v>
      </c>
      <c r="I69" s="83">
        <f t="shared" si="16"/>
        <v>5.7297436838189348</v>
      </c>
      <c r="J69" s="83">
        <f t="shared" si="16"/>
        <v>5.6914576639788521</v>
      </c>
      <c r="K69" s="83">
        <f t="shared" si="16"/>
        <v>5.6577231368176202</v>
      </c>
      <c r="L69" s="83">
        <f t="shared" si="16"/>
        <v>5.6280682622840965</v>
      </c>
      <c r="M69" s="83">
        <f t="shared" si="16"/>
        <v>5.602126920381159</v>
      </c>
      <c r="N69" s="83">
        <f t="shared" si="17"/>
        <v>5.5796022364410742</v>
      </c>
      <c r="O69" s="83">
        <f t="shared" si="17"/>
        <v>5.5602467570674428</v>
      </c>
      <c r="P69" s="83">
        <f t="shared" si="17"/>
        <v>5.5438513540223333</v>
      </c>
      <c r="Q69" s="83">
        <f t="shared" si="17"/>
        <v>5.5302387790295402</v>
      </c>
      <c r="R69" s="83">
        <f t="shared" si="17"/>
        <v>5.5192597443402382</v>
      </c>
      <c r="S69" s="83">
        <f t="shared" si="17"/>
        <v>5.5107904106710066</v>
      </c>
      <c r="T69" s="83">
        <f t="shared" si="17"/>
        <v>5.5047306923688133</v>
      </c>
      <c r="U69" s="83">
        <f t="shared" si="17"/>
        <v>5.5010030702068722</v>
      </c>
      <c r="V69" s="83">
        <f t="shared" si="17"/>
        <v>5.4995517518947725</v>
      </c>
      <c r="W69" s="83">
        <f t="shared" si="17"/>
        <v>5.5003420999434418</v>
      </c>
      <c r="X69" s="83">
        <f t="shared" si="18"/>
        <v>5.5033602884053945</v>
      </c>
      <c r="Y69" s="83">
        <f t="shared" si="18"/>
        <v>5.5086131720634617</v>
      </c>
      <c r="Z69" s="83">
        <f t="shared" si="18"/>
        <v>5.5161283641983321</v>
      </c>
      <c r="AA69" s="83">
        <f t="shared" si="18"/>
        <v>5.5259545288706269</v>
      </c>
      <c r="AB69" s="83">
        <f t="shared" si="18"/>
        <v>5.5381619063856196</v>
      </c>
      <c r="AC69" s="83">
        <f t="shared" si="18"/>
        <v>5.5528431130007236</v>
      </c>
      <c r="AD69" s="83">
        <f t="shared" si="18"/>
        <v>5.5701142982924701</v>
      </c>
      <c r="AE69" s="83">
        <f t="shared" si="18"/>
        <v>5.5901168237215275</v>
      </c>
      <c r="AF69" s="83">
        <f t="shared" si="18"/>
        <v>5.6130197761826413</v>
      </c>
      <c r="AG69" s="83">
        <f t="shared" si="18"/>
        <v>5.6390239113207032</v>
      </c>
      <c r="AH69" s="83">
        <f t="shared" si="19"/>
        <v>5.668368149778237</v>
      </c>
      <c r="AI69" s="83">
        <f t="shared" si="19"/>
        <v>5.7013407559074478</v>
      </c>
      <c r="AJ69" s="83">
        <f t="shared" si="19"/>
        <v>5.7382992791680802</v>
      </c>
      <c r="AK69" s="83">
        <f t="shared" si="19"/>
        <v>5.7797071819193766</v>
      </c>
      <c r="AL69" s="83">
        <f t="shared" si="19"/>
        <v>5.8262026581772064</v>
      </c>
      <c r="AM69" s="83">
        <f t="shared" si="19"/>
        <v>5.8787293316443314</v>
      </c>
      <c r="AN69" s="83">
        <f t="shared" si="19"/>
        <v>5.9387789909419242</v>
      </c>
      <c r="AO69" s="83">
        <f t="shared" si="19"/>
        <v>6.0087890690156502</v>
      </c>
      <c r="AP69" s="83">
        <f t="shared" si="19"/>
        <v>6.0925111154890903</v>
      </c>
      <c r="AQ69" s="83">
        <f t="shared" si="19"/>
        <v>6.1943444766467595</v>
      </c>
      <c r="AS69" s="83">
        <f t="shared" si="5"/>
        <v>0</v>
      </c>
    </row>
    <row r="70" spans="1:45" ht="12.75" x14ac:dyDescent="0.2">
      <c r="A70" s="166"/>
      <c r="B70" s="83">
        <f t="shared" si="6"/>
        <v>0.87500000000000044</v>
      </c>
      <c r="C70" s="83">
        <f t="shared" si="7"/>
        <v>6.1480929371782853</v>
      </c>
      <c r="D70" s="83">
        <f t="shared" si="16"/>
        <v>6.0503208395388421</v>
      </c>
      <c r="E70" s="83">
        <f t="shared" si="16"/>
        <v>5.9724640716995232</v>
      </c>
      <c r="F70" s="83">
        <f t="shared" si="16"/>
        <v>5.908394035833167</v>
      </c>
      <c r="G70" s="83">
        <f t="shared" si="16"/>
        <v>5.8537263759229319</v>
      </c>
      <c r="H70" s="83">
        <f t="shared" si="16"/>
        <v>5.8060129713618478</v>
      </c>
      <c r="I70" s="83">
        <f t="shared" si="16"/>
        <v>5.763898938022936</v>
      </c>
      <c r="J70" s="83">
        <f t="shared" si="16"/>
        <v>5.7265729291363501</v>
      </c>
      <c r="K70" s="83">
        <f t="shared" si="16"/>
        <v>5.6934972539855409</v>
      </c>
      <c r="L70" s="83">
        <f t="shared" si="16"/>
        <v>5.6642804069431421</v>
      </c>
      <c r="M70" s="83">
        <f t="shared" si="16"/>
        <v>5.6386156688622187</v>
      </c>
      <c r="N70" s="83">
        <f t="shared" si="17"/>
        <v>5.6162506045740272</v>
      </c>
      <c r="O70" s="83">
        <f t="shared" si="17"/>
        <v>5.5969714450762993</v>
      </c>
      <c r="P70" s="83">
        <f t="shared" si="17"/>
        <v>5.5805948532247509</v>
      </c>
      <c r="Q70" s="83">
        <f t="shared" si="17"/>
        <v>5.5669634351687307</v>
      </c>
      <c r="R70" s="83">
        <f t="shared" si="17"/>
        <v>5.5559431836522917</v>
      </c>
      <c r="S70" s="83">
        <f t="shared" si="17"/>
        <v>5.5474219341589528</v>
      </c>
      <c r="T70" s="83">
        <f t="shared" si="17"/>
        <v>5.5413083674903429</v>
      </c>
      <c r="U70" s="83">
        <f t="shared" si="17"/>
        <v>5.5375313255721981</v>
      </c>
      <c r="V70" s="83">
        <f t="shared" si="17"/>
        <v>5.5360393279005162</v>
      </c>
      <c r="W70" s="83">
        <f t="shared" si="17"/>
        <v>5.536800237542991</v>
      </c>
      <c r="X70" s="83">
        <f t="shared" si="18"/>
        <v>5.5398010557992521</v>
      </c>
      <c r="Y70" s="83">
        <f t="shared" si="18"/>
        <v>5.5450478385033852</v>
      </c>
      <c r="Z70" s="83">
        <f t="shared" si="18"/>
        <v>5.5525657330796552</v>
      </c>
      <c r="AA70" s="83">
        <f t="shared" si="18"/>
        <v>5.5623991393534524</v>
      </c>
      <c r="AB70" s="83">
        <f t="shared" si="18"/>
        <v>5.5746120033925459</v>
      </c>
      <c r="AC70" s="83">
        <f t="shared" si="18"/>
        <v>5.5892882678122673</v>
      </c>
      <c r="AD70" s="83">
        <f t="shared" si="18"/>
        <v>5.6065325325492505</v>
      </c>
      <c r="AE70" s="83">
        <f t="shared" si="18"/>
        <v>5.6264710420469877</v>
      </c>
      <c r="AF70" s="83">
        <f t="shared" si="18"/>
        <v>5.6492532358247418</v>
      </c>
      <c r="AG70" s="83">
        <f t="shared" si="18"/>
        <v>5.6750543328694141</v>
      </c>
      <c r="AH70" s="83">
        <f t="shared" si="19"/>
        <v>5.7040798728643942</v>
      </c>
      <c r="AI70" s="83">
        <f t="shared" si="19"/>
        <v>5.73657403159749</v>
      </c>
      <c r="AJ70" s="83">
        <f t="shared" si="19"/>
        <v>5.7728353505520236</v>
      </c>
      <c r="AK70" s="83">
        <f t="shared" si="19"/>
        <v>5.8132473820479307</v>
      </c>
      <c r="AL70" s="83">
        <f t="shared" si="19"/>
        <v>5.8583402585694611</v>
      </c>
      <c r="AM70" s="83">
        <f t="shared" si="19"/>
        <v>5.908918356043519</v>
      </c>
      <c r="AN70" s="83">
        <f t="shared" si="19"/>
        <v>5.9663303785255444</v>
      </c>
      <c r="AO70" s="83">
        <f t="shared" si="19"/>
        <v>6.0330192575437982</v>
      </c>
      <c r="AP70" s="83">
        <f t="shared" si="19"/>
        <v>6.1133653313639069</v>
      </c>
      <c r="AQ70" s="83">
        <f t="shared" si="19"/>
        <v>6.2134944946568673</v>
      </c>
      <c r="AS70" s="83">
        <f t="shared" si="5"/>
        <v>0</v>
      </c>
    </row>
    <row r="71" spans="1:45" ht="12.75" x14ac:dyDescent="0.2">
      <c r="A71" s="166"/>
      <c r="B71" s="83">
        <f t="shared" si="6"/>
        <v>0.90000000000000047</v>
      </c>
      <c r="C71" s="83">
        <f t="shared" si="7"/>
        <v>6.16862102538005</v>
      </c>
      <c r="D71" s="83">
        <f t="shared" si="16"/>
        <v>6.0732144806596393</v>
      </c>
      <c r="E71" s="83">
        <f t="shared" si="16"/>
        <v>5.9996215943416296</v>
      </c>
      <c r="F71" s="83">
        <f t="shared" si="16"/>
        <v>5.9392329870108078</v>
      </c>
      <c r="G71" s="83">
        <f t="shared" si="16"/>
        <v>5.8872204708912692</v>
      </c>
      <c r="H71" s="83">
        <f t="shared" si="16"/>
        <v>5.8413440439207971</v>
      </c>
      <c r="I71" s="83">
        <f t="shared" si="16"/>
        <v>5.8004887829949467</v>
      </c>
      <c r="J71" s="83">
        <f t="shared" si="16"/>
        <v>5.7640175510616931</v>
      </c>
      <c r="K71" s="83">
        <f t="shared" si="16"/>
        <v>5.7315110875815378</v>
      </c>
      <c r="L71" s="83">
        <f t="shared" si="16"/>
        <v>5.7026592586582137</v>
      </c>
      <c r="M71" s="83">
        <f t="shared" si="16"/>
        <v>5.6772128972194826</v>
      </c>
      <c r="N71" s="83">
        <f t="shared" si="17"/>
        <v>5.6549615012204004</v>
      </c>
      <c r="O71" s="83">
        <f t="shared" si="17"/>
        <v>5.6357226113766794</v>
      </c>
      <c r="P71" s="83">
        <f t="shared" si="17"/>
        <v>5.6193366786170991</v>
      </c>
      <c r="Q71" s="83">
        <f t="shared" si="17"/>
        <v>5.6056645652203612</v>
      </c>
      <c r="R71" s="83">
        <f t="shared" si="17"/>
        <v>5.5945863113880385</v>
      </c>
      <c r="S71" s="83">
        <f t="shared" si="17"/>
        <v>5.5860005008460449</v>
      </c>
      <c r="T71" s="83">
        <f t="shared" si="17"/>
        <v>5.5798239035629287</v>
      </c>
      <c r="U71" s="83">
        <f t="shared" si="17"/>
        <v>5.5759912462775247</v>
      </c>
      <c r="V71" s="83">
        <f t="shared" si="17"/>
        <v>5.574455047706528</v>
      </c>
      <c r="W71" s="83">
        <f t="shared" si="17"/>
        <v>5.5751854966987118</v>
      </c>
      <c r="X71" s="83">
        <f t="shared" si="18"/>
        <v>5.5781703694947122</v>
      </c>
      <c r="Y71" s="83">
        <f t="shared" si="18"/>
        <v>5.5834149879884958</v>
      </c>
      <c r="Z71" s="83">
        <f t="shared" si="18"/>
        <v>5.5909422208797794</v>
      </c>
      <c r="AA71" s="83">
        <f t="shared" si="18"/>
        <v>5.600792527952084</v>
      </c>
      <c r="AB71" s="83">
        <f t="shared" si="18"/>
        <v>5.6130240478224858</v>
      </c>
      <c r="AC71" s="83">
        <f t="shared" si="18"/>
        <v>5.6277127354696139</v>
      </c>
      <c r="AD71" s="83">
        <f t="shared" si="18"/>
        <v>5.6449525740371014</v>
      </c>
      <c r="AE71" s="83">
        <f t="shared" si="18"/>
        <v>5.6648559271301862</v>
      </c>
      <c r="AF71" s="83">
        <f t="shared" si="18"/>
        <v>5.6875541842754576</v>
      </c>
      <c r="AG71" s="83">
        <f t="shared" si="18"/>
        <v>5.7131990249372269</v>
      </c>
      <c r="AH71" s="83">
        <f t="shared" si="19"/>
        <v>5.7419649708091436</v>
      </c>
      <c r="AI71" s="83">
        <f t="shared" si="19"/>
        <v>5.7740545973259865</v>
      </c>
      <c r="AJ71" s="83">
        <f t="shared" si="19"/>
        <v>5.8097092619181865</v>
      </c>
      <c r="AK71" s="83">
        <f t="shared" si="19"/>
        <v>5.8492315384007796</v>
      </c>
      <c r="AL71" s="83">
        <f t="shared" si="19"/>
        <v>5.8930335329608967</v>
      </c>
      <c r="AM71" s="83">
        <f t="shared" si="19"/>
        <v>5.9417458075922962</v>
      </c>
      <c r="AN71" s="83">
        <f t="shared" si="19"/>
        <v>5.9964774710907767</v>
      </c>
      <c r="AO71" s="83">
        <f t="shared" si="19"/>
        <v>6.0594636488590865</v>
      </c>
      <c r="AP71" s="83">
        <f t="shared" si="19"/>
        <v>6.1355287476909126</v>
      </c>
      <c r="AQ71" s="83">
        <f t="shared" si="19"/>
        <v>6.2332795863773587</v>
      </c>
      <c r="AS71" s="83">
        <f t="shared" si="5"/>
        <v>0</v>
      </c>
    </row>
    <row r="72" spans="1:45" ht="12.75" x14ac:dyDescent="0.2">
      <c r="A72" s="166"/>
      <c r="B72" s="83">
        <f t="shared" si="6"/>
        <v>0.92500000000000049</v>
      </c>
      <c r="C72" s="83">
        <f t="shared" si="7"/>
        <v>6.1897685133871834</v>
      </c>
      <c r="D72" s="83">
        <f t="shared" si="16"/>
        <v>6.0979032272491196</v>
      </c>
      <c r="E72" s="83">
        <f t="shared" si="16"/>
        <v>6.029669096101351</v>
      </c>
      <c r="F72" s="83">
        <f t="shared" si="16"/>
        <v>5.9731588623289484</v>
      </c>
      <c r="G72" s="83">
        <f t="shared" si="16"/>
        <v>5.9236622813220841</v>
      </c>
      <c r="H72" s="83">
        <f t="shared" si="16"/>
        <v>5.8794214494991177</v>
      </c>
      <c r="I72" s="83">
        <f t="shared" si="16"/>
        <v>5.8396406675979655</v>
      </c>
      <c r="J72" s="83">
        <f t="shared" si="16"/>
        <v>5.8038731394688474</v>
      </c>
      <c r="K72" s="83">
        <f t="shared" si="16"/>
        <v>5.7718166030679168</v>
      </c>
      <c r="L72" s="83">
        <f t="shared" si="16"/>
        <v>5.743236897132495</v>
      </c>
      <c r="M72" s="83">
        <f t="shared" si="16"/>
        <v>5.7179369083313851</v>
      </c>
      <c r="N72" s="83">
        <f t="shared" si="17"/>
        <v>5.6957434348958014</v>
      </c>
      <c r="O72" s="83">
        <f t="shared" si="17"/>
        <v>5.6765016680008618</v>
      </c>
      <c r="P72" s="83">
        <f t="shared" si="17"/>
        <v>5.6600730374613528</v>
      </c>
      <c r="Q72" s="83">
        <f t="shared" si="17"/>
        <v>5.6463345388023534</v>
      </c>
      <c r="R72" s="83">
        <f t="shared" si="17"/>
        <v>5.6351786745467702</v>
      </c>
      <c r="S72" s="83">
        <f t="shared" si="17"/>
        <v>5.6265136084914698</v>
      </c>
      <c r="T72" s="83">
        <f t="shared" si="17"/>
        <v>5.6202633551284702</v>
      </c>
      <c r="U72" s="83">
        <f t="shared" si="17"/>
        <v>5.6163679350879869</v>
      </c>
      <c r="V72" s="83">
        <f t="shared" si="17"/>
        <v>5.6147834790227868</v>
      </c>
      <c r="W72" s="83">
        <f t="shared" si="17"/>
        <v>5.6154822843568573</v>
      </c>
      <c r="X72" s="83">
        <f t="shared" si="18"/>
        <v>5.6184528358376884</v>
      </c>
      <c r="Y72" s="83">
        <f t="shared" si="18"/>
        <v>5.6236997993513089</v>
      </c>
      <c r="Z72" s="83">
        <f t="shared" si="18"/>
        <v>5.6312439932121912</v>
      </c>
      <c r="AA72" s="83">
        <f t="shared" si="18"/>
        <v>5.6411223348208042</v>
      </c>
      <c r="AB72" s="83">
        <f t="shared" si="18"/>
        <v>5.6533877554281178</v>
      </c>
      <c r="AC72" s="83">
        <f t="shared" si="18"/>
        <v>5.6681090744397977</v>
      </c>
      <c r="AD72" s="83">
        <f t="shared" si="18"/>
        <v>5.6853708314336435</v>
      </c>
      <c r="AE72" s="83">
        <f t="shared" si="18"/>
        <v>5.7052730962956115</v>
      </c>
      <c r="AF72" s="83">
        <f t="shared" si="18"/>
        <v>5.7279313295848082</v>
      </c>
      <c r="AG72" s="83">
        <f t="shared" si="18"/>
        <v>5.7534764739622375</v>
      </c>
      <c r="AH72" s="83">
        <f t="shared" si="19"/>
        <v>5.7820556806348149</v>
      </c>
      <c r="AI72" s="83">
        <f t="shared" si="19"/>
        <v>5.8138345400324329</v>
      </c>
      <c r="AJ72" s="83">
        <f t="shared" si="19"/>
        <v>5.849002700546853</v>
      </c>
      <c r="AK72" s="83">
        <f t="shared" si="19"/>
        <v>5.8877871279158338</v>
      </c>
      <c r="AL72" s="83">
        <f t="shared" si="19"/>
        <v>5.9304833008413649</v>
      </c>
      <c r="AM72" s="83">
        <f t="shared" si="19"/>
        <v>5.9775318010219092</v>
      </c>
      <c r="AN72" s="83">
        <f t="shared" si="19"/>
        <v>6.0297228442533362</v>
      </c>
      <c r="AO72" s="83">
        <f t="shared" si="19"/>
        <v>6.0888097382315518</v>
      </c>
      <c r="AP72" s="83">
        <f t="shared" si="19"/>
        <v>6.1594991580804832</v>
      </c>
      <c r="AQ72" s="83">
        <f t="shared" si="19"/>
        <v>6.2536959271342871</v>
      </c>
      <c r="AS72" s="83">
        <f t="shared" si="5"/>
        <v>0</v>
      </c>
    </row>
    <row r="73" spans="1:45" ht="12.75" x14ac:dyDescent="0.2">
      <c r="A73" s="166"/>
      <c r="B73" s="83">
        <f t="shared" si="6"/>
        <v>0.95000000000000051</v>
      </c>
      <c r="C73" s="83">
        <f t="shared" si="7"/>
        <v>6.2115315796872466</v>
      </c>
      <c r="D73" s="83">
        <f t="shared" si="16"/>
        <v>6.1254582410394036</v>
      </c>
      <c r="E73" s="83">
        <f t="shared" si="16"/>
        <v>6.0635908212436913</v>
      </c>
      <c r="F73" s="83">
        <f t="shared" si="16"/>
        <v>6.010740324104515</v>
      </c>
      <c r="G73" s="83">
        <f t="shared" si="16"/>
        <v>5.9633697377629487</v>
      </c>
      <c r="H73" s="83">
        <f t="shared" si="16"/>
        <v>5.9204297059532074</v>
      </c>
      <c r="I73" s="83">
        <f t="shared" si="16"/>
        <v>5.8814657059730262</v>
      </c>
      <c r="J73" s="83">
        <f t="shared" si="16"/>
        <v>5.8462078812848324</v>
      </c>
      <c r="K73" s="83">
        <f t="shared" si="16"/>
        <v>5.814455323989792</v>
      </c>
      <c r="L73" s="83">
        <f t="shared" si="16"/>
        <v>5.7860373967946073</v>
      </c>
      <c r="M73" s="83">
        <f t="shared" si="16"/>
        <v>5.7607998629967323</v>
      </c>
      <c r="N73" s="83">
        <f t="shared" si="17"/>
        <v>5.738600162757578</v>
      </c>
      <c r="O73" s="83">
        <f t="shared" si="17"/>
        <v>5.7193063037528127</v>
      </c>
      <c r="P73" s="83">
        <f t="shared" si="17"/>
        <v>5.7027971701142697</v>
      </c>
      <c r="Q73" s="83">
        <f t="shared" si="17"/>
        <v>5.6889633123230832</v>
      </c>
      <c r="R73" s="83">
        <f t="shared" si="17"/>
        <v>5.6777078090751898</v>
      </c>
      <c r="S73" s="83">
        <f t="shared" si="17"/>
        <v>5.6689470315228379</v>
      </c>
      <c r="T73" s="83">
        <f t="shared" si="17"/>
        <v>5.6626112531789392</v>
      </c>
      <c r="U73" s="83">
        <f t="shared" si="17"/>
        <v>5.6586451014514063</v>
      </c>
      <c r="V73" s="83">
        <f t="shared" si="17"/>
        <v>5.6570078689527676</v>
      </c>
      <c r="W73" s="83">
        <f t="shared" si="17"/>
        <v>5.6576737088455165</v>
      </c>
      <c r="X73" s="83">
        <f t="shared" si="18"/>
        <v>5.6606317360325784</v>
      </c>
      <c r="Y73" s="83">
        <f t="shared" si="18"/>
        <v>5.6658860490786376</v>
      </c>
      <c r="Z73" s="83">
        <f t="shared" si="18"/>
        <v>5.6734556787099102</v>
      </c>
      <c r="AA73" s="83">
        <f t="shared" si="18"/>
        <v>5.6833744591060373</v>
      </c>
      <c r="AB73" s="83">
        <f t="shared" si="18"/>
        <v>5.6956908092311771</v>
      </c>
      <c r="AC73" s="83">
        <f t="shared" si="18"/>
        <v>5.7104674046575763</v>
      </c>
      <c r="AD73" s="83">
        <f t="shared" si="18"/>
        <v>5.7277807180442588</v>
      </c>
      <c r="AE73" s="83">
        <f t="shared" si="18"/>
        <v>5.7477204126956458</v>
      </c>
      <c r="AF73" s="83">
        <f t="shared" si="18"/>
        <v>5.7703885958741266</v>
      </c>
      <c r="AG73" s="83">
        <f t="shared" si="18"/>
        <v>5.7958989911355969</v>
      </c>
      <c r="AH73" s="83">
        <f t="shared" si="19"/>
        <v>5.8243762015040241</v>
      </c>
      <c r="AI73" s="83">
        <f t="shared" si="19"/>
        <v>5.8559554739992139</v>
      </c>
      <c r="AJ73" s="83">
        <f t="shared" si="19"/>
        <v>5.8907839032798401</v>
      </c>
      <c r="AK73" s="83">
        <f t="shared" si="19"/>
        <v>5.9290252693308503</v>
      </c>
      <c r="AL73" s="83">
        <f t="shared" si="19"/>
        <v>5.9708740379509369</v>
      </c>
      <c r="AM73" s="83">
        <f t="shared" si="19"/>
        <v>6.0165941803508183</v>
      </c>
      <c r="AN73" s="83">
        <f t="shared" si="19"/>
        <v>6.0666350356657643</v>
      </c>
      <c r="AO73" s="83">
        <f t="shared" si="19"/>
        <v>6.1220416172385752</v>
      </c>
      <c r="AP73" s="83">
        <f t="shared" si="19"/>
        <v>6.1863475568807242</v>
      </c>
      <c r="AQ73" s="83">
        <f t="shared" si="19"/>
        <v>6.2747395288146715</v>
      </c>
      <c r="AS73" s="83">
        <f t="shared" si="5"/>
        <v>0</v>
      </c>
    </row>
    <row r="74" spans="1:45" ht="12.75" x14ac:dyDescent="0.2">
      <c r="A74" s="166"/>
      <c r="B74" s="83">
        <f t="shared" si="6"/>
        <v>0.97500000000000053</v>
      </c>
      <c r="C74" s="83">
        <f t="shared" si="7"/>
        <v>6.2339062438969624</v>
      </c>
      <c r="D74" s="83">
        <f t="shared" si="16"/>
        <v>6.1582577435533654</v>
      </c>
      <c r="E74" s="83">
        <f t="shared" si="16"/>
        <v>6.102627655623321</v>
      </c>
      <c r="F74" s="83">
        <f t="shared" si="16"/>
        <v>6.052536151155306</v>
      </c>
      <c r="G74" s="83">
        <f t="shared" si="16"/>
        <v>6.0066191124425101</v>
      </c>
      <c r="H74" s="83">
        <f t="shared" si="16"/>
        <v>5.9645180788260923</v>
      </c>
      <c r="I74" s="83">
        <f t="shared" si="16"/>
        <v>5.9260492047157829</v>
      </c>
      <c r="J74" s="83">
        <f t="shared" si="16"/>
        <v>5.8910714918708997</v>
      </c>
      <c r="K74" s="83">
        <f t="shared" si="16"/>
        <v>5.8594554653734523</v>
      </c>
      <c r="L74" s="83">
        <f t="shared" si="16"/>
        <v>5.8310751019223783</v>
      </c>
      <c r="M74" s="83">
        <f t="shared" si="16"/>
        <v>5.8058066874509509</v>
      </c>
      <c r="N74" s="83">
        <f t="shared" si="17"/>
        <v>5.7835299674803746</v>
      </c>
      <c r="O74" s="83">
        <f t="shared" si="17"/>
        <v>5.764129987499695</v>
      </c>
      <c r="P74" s="83">
        <f t="shared" si="17"/>
        <v>5.7474989981513041</v>
      </c>
      <c r="Q74" s="83">
        <f t="shared" si="17"/>
        <v>5.7335381730619837</v>
      </c>
      <c r="R74" s="83">
        <f t="shared" si="17"/>
        <v>5.7221590491378249</v>
      </c>
      <c r="S74" s="83">
        <f t="shared" si="17"/>
        <v>5.7132846750934707</v>
      </c>
      <c r="T74" s="83">
        <f t="shared" si="17"/>
        <v>5.7068504896857126</v>
      </c>
      <c r="U74" s="83">
        <f t="shared" si="17"/>
        <v>5.7028049658049147</v>
      </c>
      <c r="V74" s="83">
        <f t="shared" si="17"/>
        <v>5.7011100594937032</v>
      </c>
      <c r="W74" s="83">
        <f t="shared" si="17"/>
        <v>5.7017414990920638</v>
      </c>
      <c r="X74" s="83">
        <f t="shared" si="18"/>
        <v>5.7046889419479285</v>
      </c>
      <c r="Y74" s="83">
        <f t="shared" si="18"/>
        <v>5.7099560162367826</v>
      </c>
      <c r="Z74" s="83">
        <f t="shared" si="18"/>
        <v>5.7175602545009028</v>
      </c>
      <c r="AA74" s="83">
        <f t="shared" si="18"/>
        <v>5.7275329142956561</v>
      </c>
      <c r="AB74" s="83">
        <f t="shared" si="18"/>
        <v>5.7399186704495504</v>
      </c>
      <c r="AC74" s="83">
        <f t="shared" si="18"/>
        <v>5.7547751536411953</v>
      </c>
      <c r="AD74" s="83">
        <f t="shared" si="18"/>
        <v>5.7721723023419189</v>
      </c>
      <c r="AE74" s="83">
        <f t="shared" si="18"/>
        <v>5.7921914913820327</v>
      </c>
      <c r="AF74" s="83">
        <f t="shared" si="18"/>
        <v>5.814924403312312</v>
      </c>
      <c r="AG74" s="83">
        <f t="shared" si="18"/>
        <v>5.8404716232629976</v>
      </c>
      <c r="AH74" s="83">
        <f t="shared" si="19"/>
        <v>5.8689409733212425</v>
      </c>
      <c r="AI74" s="83">
        <f t="shared" si="19"/>
        <v>5.9004456777153163</v>
      </c>
      <c r="AJ74" s="83">
        <f t="shared" si="19"/>
        <v>5.9351026110270038</v>
      </c>
      <c r="AK74" s="83">
        <f t="shared" si="19"/>
        <v>5.9730312532943559</v>
      </c>
      <c r="AL74" s="83">
        <f t="shared" si="19"/>
        <v>6.0143549516159283</v>
      </c>
      <c r="AM74" s="83">
        <f t="shared" si="19"/>
        <v>6.0592091198286964</v>
      </c>
      <c r="AN74" s="83">
        <f t="shared" si="19"/>
        <v>6.1077726923916256</v>
      </c>
      <c r="AO74" s="83">
        <f t="shared" si="19"/>
        <v>6.1604000155098024</v>
      </c>
      <c r="AP74" s="83">
        <f t="shared" si="19"/>
        <v>6.2184519969820657</v>
      </c>
      <c r="AQ74" s="83">
        <f t="shared" si="19"/>
        <v>6.2964062438969632</v>
      </c>
      <c r="AS74" s="83">
        <f t="shared" si="5"/>
        <v>0</v>
      </c>
    </row>
    <row r="75" spans="1:45" ht="12.75" x14ac:dyDescent="0.2">
      <c r="A75" s="166"/>
      <c r="B75" s="83">
        <f t="shared" si="6"/>
        <v>1.0000000000000004</v>
      </c>
      <c r="C75" s="83">
        <f t="shared" si="7"/>
        <v>6.2568883707497278</v>
      </c>
      <c r="D75" s="83">
        <f t="shared" si="16"/>
        <v>6.2005853567342504</v>
      </c>
      <c r="E75" s="83">
        <f t="shared" si="16"/>
        <v>6.1479515808172263</v>
      </c>
      <c r="F75" s="83">
        <f t="shared" si="16"/>
        <v>6.0989693279162793</v>
      </c>
      <c r="G75" s="83">
        <f t="shared" si="16"/>
        <v>6.0535991053266738</v>
      </c>
      <c r="H75" s="83">
        <f t="shared" si="16"/>
        <v>6.01178191684299</v>
      </c>
      <c r="I75" s="83">
        <f t="shared" si="16"/>
        <v>5.9734421587340076</v>
      </c>
      <c r="J75" s="83">
        <f t="shared" si="16"/>
        <v>5.9384909363828697</v>
      </c>
      <c r="K75" s="83">
        <f t="shared" si="16"/>
        <v>5.906829592261035</v>
      </c>
      <c r="L75" s="83">
        <f t="shared" si="16"/>
        <v>5.8783532504042126</v>
      </c>
      <c r="M75" s="83">
        <f t="shared" si="16"/>
        <v>5.8529542138639519</v>
      </c>
      <c r="N75" s="83">
        <f t="shared" si="17"/>
        <v>5.8305250924144101</v>
      </c>
      <c r="O75" s="83">
        <f t="shared" si="17"/>
        <v>5.8109615810393151</v>
      </c>
      <c r="P75" s="83">
        <f t="shared" si="17"/>
        <v>5.7941648497868243</v>
      </c>
      <c r="Q75" s="83">
        <f t="shared" si="17"/>
        <v>5.7800435388154252</v>
      </c>
      <c r="R75" s="83">
        <f t="shared" si="17"/>
        <v>5.7685153771656772</v>
      </c>
      <c r="S75" s="83">
        <f t="shared" si="17"/>
        <v>5.7595084598425998</v>
      </c>
      <c r="T75" s="83">
        <f t="shared" si="17"/>
        <v>5.7529622260715669</v>
      </c>
      <c r="U75" s="83">
        <f t="shared" si="17"/>
        <v>5.7488281835063573</v>
      </c>
      <c r="V75" s="83">
        <f t="shared" si="17"/>
        <v>5.7470704202580531</v>
      </c>
      <c r="W75" s="83">
        <f t="shared" si="17"/>
        <v>5.7476659402887034</v>
      </c>
      <c r="X75" s="83">
        <f t="shared" si="18"/>
        <v>5.7506048491373836</v>
      </c>
      <c r="Y75" s="83">
        <f t="shared" si="18"/>
        <v>5.7558904070075814</v>
      </c>
      <c r="Z75" s="83">
        <f t="shared" si="18"/>
        <v>5.7635389556001728</v>
      </c>
      <c r="AA75" s="83">
        <f t="shared" si="18"/>
        <v>5.7735797142273384</v>
      </c>
      <c r="AB75" s="83">
        <f t="shared" si="18"/>
        <v>5.7860544301335874</v>
      </c>
      <c r="AC75" s="83">
        <f t="shared" si="18"/>
        <v>5.8010168580710397</v>
      </c>
      <c r="AD75" s="83">
        <f t="shared" si="18"/>
        <v>5.8185320356594987</v>
      </c>
      <c r="AE75" s="83">
        <f t="shared" si="18"/>
        <v>5.8386753147612893</v>
      </c>
      <c r="AF75" s="83">
        <f t="shared" si="18"/>
        <v>5.8615311061308866</v>
      </c>
      <c r="AG75" s="83">
        <f t="shared" si="18"/>
        <v>5.8871912963130573</v>
      </c>
      <c r="AH75" s="83">
        <f t="shared" si="19"/>
        <v>5.9157533036340428</v>
      </c>
      <c r="AI75" s="83">
        <f t="shared" si="19"/>
        <v>5.9473177555102552</v>
      </c>
      <c r="AJ75" s="83">
        <f t="shared" si="19"/>
        <v>5.9819857930397031</v>
      </c>
      <c r="AK75" s="83">
        <f t="shared" si="19"/>
        <v>6.0198560408060358</v>
      </c>
      <c r="AL75" s="83">
        <f t="shared" si="19"/>
        <v>6.0610213183765014</v>
      </c>
      <c r="AM75" s="83">
        <f t="shared" si="19"/>
        <v>6.1055652116006165</v>
      </c>
      <c r="AN75" s="83">
        <f t="shared" si="19"/>
        <v>6.1535586610999538</v>
      </c>
      <c r="AO75" s="83">
        <f t="shared" si="19"/>
        <v>6.2050567554795428</v>
      </c>
      <c r="AP75" s="83">
        <f t="shared" si="19"/>
        <v>6.2600959307520556</v>
      </c>
      <c r="AQ75" s="83">
        <f t="shared" si="19"/>
        <v>6.3186917696247207</v>
      </c>
      <c r="AS75" s="83">
        <f t="shared" si="5"/>
        <v>0</v>
      </c>
    </row>
    <row r="76" spans="1:45" ht="12.75" x14ac:dyDescent="0.2">
      <c r="A76" s="166"/>
    </row>
    <row r="77" spans="1:45" ht="12.75" x14ac:dyDescent="0.2">
      <c r="A77" s="166"/>
      <c r="B77" s="83" t="s">
        <v>248</v>
      </c>
      <c r="C77" s="83">
        <f>MIN(C35:AQ75)</f>
        <v>5.1851594388177826</v>
      </c>
    </row>
    <row r="78" spans="1:45" ht="12.75" x14ac:dyDescent="0.2">
      <c r="A78" s="166"/>
      <c r="B78" s="83" t="s">
        <v>241</v>
      </c>
      <c r="C78" s="83">
        <f t="shared" ref="C78:AQ78" si="20">1*(MIN(C35:C75)=MinValue)</f>
        <v>0</v>
      </c>
      <c r="D78" s="83">
        <f t="shared" si="20"/>
        <v>0</v>
      </c>
      <c r="E78" s="83">
        <f t="shared" si="20"/>
        <v>0</v>
      </c>
      <c r="F78" s="83">
        <f t="shared" si="20"/>
        <v>0</v>
      </c>
      <c r="G78" s="83">
        <f t="shared" si="20"/>
        <v>0</v>
      </c>
      <c r="H78" s="83">
        <f t="shared" si="20"/>
        <v>0</v>
      </c>
      <c r="I78" s="83">
        <f t="shared" si="20"/>
        <v>0</v>
      </c>
      <c r="J78" s="83">
        <f t="shared" si="20"/>
        <v>0</v>
      </c>
      <c r="K78" s="83">
        <f t="shared" si="20"/>
        <v>0</v>
      </c>
      <c r="L78" s="83">
        <f t="shared" si="20"/>
        <v>0</v>
      </c>
      <c r="M78" s="83">
        <f t="shared" si="20"/>
        <v>0</v>
      </c>
      <c r="N78" s="83">
        <f t="shared" si="20"/>
        <v>0</v>
      </c>
      <c r="O78" s="83">
        <f t="shared" si="20"/>
        <v>0</v>
      </c>
      <c r="P78" s="83">
        <f t="shared" si="20"/>
        <v>0</v>
      </c>
      <c r="Q78" s="83">
        <f t="shared" si="20"/>
        <v>0</v>
      </c>
      <c r="R78" s="83">
        <f t="shared" si="20"/>
        <v>0</v>
      </c>
      <c r="S78" s="83">
        <f t="shared" si="20"/>
        <v>0</v>
      </c>
      <c r="T78" s="83">
        <f t="shared" si="20"/>
        <v>0</v>
      </c>
      <c r="U78" s="83">
        <f t="shared" si="20"/>
        <v>0</v>
      </c>
      <c r="V78" s="83">
        <f t="shared" si="20"/>
        <v>1</v>
      </c>
      <c r="W78" s="83">
        <f t="shared" si="20"/>
        <v>0</v>
      </c>
      <c r="X78" s="83">
        <f t="shared" si="20"/>
        <v>0</v>
      </c>
      <c r="Y78" s="83">
        <f t="shared" si="20"/>
        <v>0</v>
      </c>
      <c r="Z78" s="83">
        <f t="shared" si="20"/>
        <v>0</v>
      </c>
      <c r="AA78" s="83">
        <f t="shared" si="20"/>
        <v>0</v>
      </c>
      <c r="AB78" s="83">
        <f t="shared" si="20"/>
        <v>0</v>
      </c>
      <c r="AC78" s="83">
        <f t="shared" si="20"/>
        <v>0</v>
      </c>
      <c r="AD78" s="83">
        <f t="shared" si="20"/>
        <v>0</v>
      </c>
      <c r="AE78" s="83">
        <f t="shared" si="20"/>
        <v>0</v>
      </c>
      <c r="AF78" s="83">
        <f t="shared" si="20"/>
        <v>0</v>
      </c>
      <c r="AG78" s="83">
        <f t="shared" si="20"/>
        <v>0</v>
      </c>
      <c r="AH78" s="83">
        <f t="shared" si="20"/>
        <v>0</v>
      </c>
      <c r="AI78" s="83">
        <f t="shared" si="20"/>
        <v>0</v>
      </c>
      <c r="AJ78" s="83">
        <f t="shared" si="20"/>
        <v>0</v>
      </c>
      <c r="AK78" s="83">
        <f t="shared" si="20"/>
        <v>0</v>
      </c>
      <c r="AL78" s="83">
        <f t="shared" si="20"/>
        <v>0</v>
      </c>
      <c r="AM78" s="83">
        <f t="shared" si="20"/>
        <v>0</v>
      </c>
      <c r="AN78" s="83">
        <f t="shared" si="20"/>
        <v>0</v>
      </c>
      <c r="AO78" s="83">
        <f t="shared" si="20"/>
        <v>0</v>
      </c>
      <c r="AP78" s="83">
        <f t="shared" si="20"/>
        <v>0</v>
      </c>
      <c r="AQ78" s="83">
        <f t="shared" si="20"/>
        <v>0</v>
      </c>
    </row>
    <row r="79" spans="1:45" ht="12.75" x14ac:dyDescent="0.2">
      <c r="A79" s="166"/>
    </row>
    <row r="80" spans="1:45" ht="12.75" x14ac:dyDescent="0.2">
      <c r="A80" s="166"/>
      <c r="B80" s="83" t="s">
        <v>241</v>
      </c>
      <c r="C80" s="83">
        <f>SUMPRODUCT(y,AS35:AS75)</f>
        <v>0.4250000000000001</v>
      </c>
    </row>
    <row r="81" spans="1:3" ht="12.75" x14ac:dyDescent="0.2">
      <c r="A81" s="166"/>
      <c r="B81" s="83" t="s">
        <v>237</v>
      </c>
      <c r="C81" s="83">
        <f>SUMPRODUCT(C78:AQ78,x)</f>
        <v>0.95000000000000029</v>
      </c>
    </row>
  </sheetData>
  <dataConsolidate/>
  <dataValidations disablePrompts="1" count="3">
    <dataValidation type="list" allowBlank="1" showInputMessage="1" showErrorMessage="1" sqref="A8" xr:uid="{00000000-0002-0000-4500-000000000000}">
      <formula1>OpenSolverResult</formula1>
    </dataValidation>
    <dataValidation type="list" allowBlank="1" showInputMessage="1" showErrorMessage="1" sqref="A4" xr:uid="{00000000-0002-0000-4500-000001000000}">
      <formula1>ModelType</formula1>
    </dataValidation>
    <dataValidation type="list" allowBlank="1" showInputMessage="1" showErrorMessage="1" sqref="A2" xr:uid="{00000000-0002-0000-4500-000002000000}">
      <formula1>TestType</formula1>
    </dataValidation>
  </dataValidations>
  <pageMargins left="0.75" right="0.75" top="1" bottom="1" header="0.5" footer="0.5"/>
  <pageSetup orientation="portrait" horizontalDpi="0" verticalDpi="0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NonLin4"/>
  <dimension ref="A1:E27"/>
  <sheetViews>
    <sheetView workbookViewId="0"/>
  </sheetViews>
  <sheetFormatPr defaultColWidth="8.85546875" defaultRowHeight="15" x14ac:dyDescent="0.25"/>
  <cols>
    <col min="1" max="1" width="15" style="60" bestFit="1" customWidth="1"/>
    <col min="2" max="2" width="3" style="83" customWidth="1"/>
    <col min="3" max="3" width="25.140625" style="83" bestFit="1" customWidth="1"/>
    <col min="4" max="4" width="12" style="83" bestFit="1" customWidth="1"/>
    <col min="5" max="16384" width="8.85546875" style="83"/>
  </cols>
  <sheetData>
    <row r="1" spans="1:5" x14ac:dyDescent="0.25">
      <c r="A1" s="62" t="s">
        <v>203</v>
      </c>
      <c r="C1" s="102"/>
      <c r="D1" s="103"/>
      <c r="E1" s="102"/>
    </row>
    <row r="2" spans="1:5" ht="15.75" thickBot="1" x14ac:dyDescent="0.3">
      <c r="A2" s="63" t="s">
        <v>205</v>
      </c>
      <c r="C2" s="104"/>
      <c r="D2" s="105"/>
      <c r="E2" s="102"/>
    </row>
    <row r="3" spans="1:5" x14ac:dyDescent="0.25">
      <c r="A3" s="62" t="s">
        <v>208</v>
      </c>
      <c r="C3" s="106" t="s">
        <v>259</v>
      </c>
      <c r="D3" s="107">
        <v>365</v>
      </c>
      <c r="E3" s="108"/>
    </row>
    <row r="4" spans="1:5" ht="15.75" thickBot="1" x14ac:dyDescent="0.3">
      <c r="A4" s="63" t="s">
        <v>207</v>
      </c>
      <c r="C4" s="106" t="s">
        <v>260</v>
      </c>
      <c r="D4" s="107">
        <v>5</v>
      </c>
      <c r="E4" s="108"/>
    </row>
    <row r="5" spans="1:5" x14ac:dyDescent="0.25">
      <c r="A5" s="62" t="s">
        <v>209</v>
      </c>
      <c r="C5" s="106" t="s">
        <v>261</v>
      </c>
      <c r="D5" s="109">
        <v>10</v>
      </c>
      <c r="E5" s="108"/>
    </row>
    <row r="6" spans="1:5" ht="15.75" thickBot="1" x14ac:dyDescent="0.3">
      <c r="A6" s="63" t="b">
        <f>AND(D17)</f>
        <v>0</v>
      </c>
      <c r="C6" s="106" t="s">
        <v>262</v>
      </c>
      <c r="D6" s="109">
        <v>20</v>
      </c>
      <c r="E6" s="108"/>
    </row>
    <row r="7" spans="1:5" x14ac:dyDescent="0.25">
      <c r="A7" s="62" t="s">
        <v>210</v>
      </c>
      <c r="C7" s="106" t="s">
        <v>263</v>
      </c>
      <c r="D7" s="107">
        <v>0.1</v>
      </c>
      <c r="E7" s="108"/>
    </row>
    <row r="8" spans="1:5" x14ac:dyDescent="0.25">
      <c r="A8" s="64" t="s">
        <v>200</v>
      </c>
      <c r="C8" s="106" t="s">
        <v>264</v>
      </c>
      <c r="D8" s="107">
        <f>D6*D7/D3</f>
        <v>5.4794520547945206E-3</v>
      </c>
      <c r="E8" s="108"/>
    </row>
    <row r="9" spans="1:5" ht="15.75" thickBot="1" x14ac:dyDescent="0.3">
      <c r="A9" s="63">
        <f>VLOOKUP(A8,OpenSolverResultCodes,2,FALSE)</f>
        <v>0</v>
      </c>
      <c r="C9" s="106"/>
      <c r="D9" s="107"/>
      <c r="E9" s="108"/>
    </row>
    <row r="10" spans="1:5" ht="15.75" thickBot="1" x14ac:dyDescent="0.3">
      <c r="A10" s="156" t="str">
        <f>HYPERLINK("[OpenSolver Tester.xlsm]Results!A1", "&lt;- Results")</f>
        <v>&lt;- Results</v>
      </c>
      <c r="C10" s="106"/>
      <c r="D10" s="107"/>
      <c r="E10" s="108"/>
    </row>
    <row r="11" spans="1:5" x14ac:dyDescent="0.25">
      <c r="C11" s="106" t="s">
        <v>265</v>
      </c>
      <c r="D11" s="164">
        <v>1</v>
      </c>
      <c r="E11" s="108"/>
    </row>
    <row r="12" spans="1:5" x14ac:dyDescent="0.25">
      <c r="C12" s="106" t="s">
        <v>266</v>
      </c>
      <c r="D12" s="107">
        <f>D11/D4</f>
        <v>0.2</v>
      </c>
      <c r="E12" s="108"/>
    </row>
    <row r="13" spans="1:5" x14ac:dyDescent="0.25">
      <c r="C13" s="106" t="s">
        <v>267</v>
      </c>
      <c r="D13" s="109">
        <f>D8*D11/2</f>
        <v>2.7397260273972603E-3</v>
      </c>
      <c r="E13" s="108"/>
    </row>
    <row r="14" spans="1:5" x14ac:dyDescent="0.25">
      <c r="C14" s="106" t="s">
        <v>268</v>
      </c>
      <c r="D14" s="110">
        <f>D5/D12</f>
        <v>50</v>
      </c>
      <c r="E14" s="108"/>
    </row>
    <row r="15" spans="1:5" x14ac:dyDescent="0.25">
      <c r="C15" s="106"/>
      <c r="D15" s="107"/>
      <c r="E15" s="108"/>
    </row>
    <row r="16" spans="1:5" x14ac:dyDescent="0.25">
      <c r="C16" s="106" t="s">
        <v>269</v>
      </c>
      <c r="D16" s="111">
        <f>D13+D14</f>
        <v>50.0027397260274</v>
      </c>
      <c r="E16" s="108"/>
    </row>
    <row r="17" spans="3:4" x14ac:dyDescent="0.25">
      <c r="D17" s="83" t="b">
        <f>D16&lt;0.75</f>
        <v>0</v>
      </c>
    </row>
    <row r="25" spans="3:4" x14ac:dyDescent="0.25">
      <c r="C25" s="83" t="s">
        <v>270</v>
      </c>
    </row>
    <row r="26" spans="3:4" x14ac:dyDescent="0.25">
      <c r="C26" s="83" t="s">
        <v>271</v>
      </c>
    </row>
    <row r="27" spans="3:4" x14ac:dyDescent="0.25">
      <c r="C27" s="83" t="s">
        <v>272</v>
      </c>
    </row>
  </sheetData>
  <dataConsolidate/>
  <dataValidations count="3">
    <dataValidation type="list" allowBlank="1" showInputMessage="1" showErrorMessage="1" sqref="A8" xr:uid="{00000000-0002-0000-4600-000000000000}">
      <formula1>OpenSolverResult</formula1>
    </dataValidation>
    <dataValidation type="list" allowBlank="1" showInputMessage="1" showErrorMessage="1" sqref="A4" xr:uid="{00000000-0002-0000-4600-000001000000}">
      <formula1>ModelType</formula1>
    </dataValidation>
    <dataValidation type="list" allowBlank="1" showInputMessage="1" showErrorMessage="1" sqref="A2" xr:uid="{00000000-0002-0000-4600-000002000000}">
      <formula1>TestType</formula1>
    </dataValidation>
  </dataValidations>
  <pageMargins left="0.75" right="0.75" top="1" bottom="1" header="0.5" footer="0.5"/>
  <pageSetup orientation="portrait" horizontalDpi="0" verticalDpi="0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NonLin5"/>
  <dimension ref="A1:P36"/>
  <sheetViews>
    <sheetView workbookViewId="0"/>
  </sheetViews>
  <sheetFormatPr defaultColWidth="8.85546875" defaultRowHeight="15" x14ac:dyDescent="0.25"/>
  <cols>
    <col min="1" max="1" width="15" style="60" bestFit="1" customWidth="1"/>
    <col min="2" max="2" width="3" style="83" customWidth="1"/>
    <col min="3" max="3" width="9.85546875" style="83" customWidth="1"/>
    <col min="4" max="4" width="2.28515625" style="86" bestFit="1" customWidth="1"/>
    <col min="5" max="5" width="2.28515625" style="83" bestFit="1" customWidth="1"/>
    <col min="6" max="9" width="5.85546875" style="83" customWidth="1"/>
    <col min="10" max="10" width="15.140625" style="124" bestFit="1" customWidth="1"/>
    <col min="11" max="11" width="3.28515625" style="83" bestFit="1" customWidth="1"/>
    <col min="12" max="13" width="8.85546875" style="83"/>
    <col min="14" max="14" width="10.85546875" style="86" customWidth="1"/>
    <col min="15" max="16" width="8.85546875" style="86"/>
    <col min="17" max="16384" width="8.85546875" style="83"/>
  </cols>
  <sheetData>
    <row r="1" spans="1:16" s="113" customFormat="1" x14ac:dyDescent="0.25">
      <c r="A1" s="62" t="s">
        <v>203</v>
      </c>
      <c r="B1" s="83"/>
      <c r="C1" s="107"/>
      <c r="D1" s="107" t="s">
        <v>273</v>
      </c>
      <c r="E1" s="107" t="s">
        <v>274</v>
      </c>
      <c r="F1" s="112" t="s">
        <v>126</v>
      </c>
      <c r="G1" s="112" t="s">
        <v>222</v>
      </c>
      <c r="H1" s="112" t="s">
        <v>128</v>
      </c>
      <c r="I1" s="112" t="s">
        <v>223</v>
      </c>
      <c r="J1" s="112" t="s">
        <v>275</v>
      </c>
      <c r="K1" s="115"/>
      <c r="N1" s="116" t="s">
        <v>276</v>
      </c>
      <c r="O1" s="116" t="s">
        <v>238</v>
      </c>
      <c r="P1" s="116" t="s">
        <v>239</v>
      </c>
    </row>
    <row r="2" spans="1:16" s="113" customFormat="1" ht="15.75" thickBot="1" x14ac:dyDescent="0.3">
      <c r="A2" s="63" t="s">
        <v>205</v>
      </c>
      <c r="B2" s="83"/>
      <c r="C2" s="107" t="s">
        <v>277</v>
      </c>
      <c r="D2" s="107">
        <v>0</v>
      </c>
      <c r="E2" s="107">
        <v>0</v>
      </c>
      <c r="F2" s="114">
        <v>1</v>
      </c>
      <c r="G2" s="114">
        <v>2</v>
      </c>
      <c r="H2" s="114">
        <v>3</v>
      </c>
      <c r="I2" s="114">
        <v>4</v>
      </c>
      <c r="J2" s="112">
        <f>SQRT(($F$2-D2)^2+($G$2-E2)^2)</f>
        <v>2.2360679774997898</v>
      </c>
      <c r="K2" s="96"/>
      <c r="N2" s="86" t="str">
        <f>C2</f>
        <v>Location 1</v>
      </c>
      <c r="O2" s="86">
        <f>D2</f>
        <v>0</v>
      </c>
      <c r="P2" s="86">
        <f>E2</f>
        <v>0</v>
      </c>
    </row>
    <row r="3" spans="1:16" s="113" customFormat="1" x14ac:dyDescent="0.25">
      <c r="A3" s="62" t="s">
        <v>208</v>
      </c>
      <c r="B3" s="83"/>
      <c r="C3" s="107" t="s">
        <v>278</v>
      </c>
      <c r="D3" s="107">
        <v>0</v>
      </c>
      <c r="E3" s="107">
        <v>1</v>
      </c>
      <c r="F3" s="112"/>
      <c r="G3" s="112"/>
      <c r="H3" s="112"/>
      <c r="I3" s="112"/>
      <c r="J3" s="112">
        <f>SQRT(($F$2-D3)^2+($G$2-E3)^2)</f>
        <v>1.4142135623730951</v>
      </c>
      <c r="K3" s="96"/>
      <c r="N3" s="86" t="s">
        <v>281</v>
      </c>
      <c r="O3" s="86">
        <f>$F$2</f>
        <v>1</v>
      </c>
      <c r="P3" s="86">
        <f>$G$2</f>
        <v>2</v>
      </c>
    </row>
    <row r="4" spans="1:16" s="113" customFormat="1" ht="15.75" thickBot="1" x14ac:dyDescent="0.3">
      <c r="A4" s="63" t="s">
        <v>207</v>
      </c>
      <c r="B4" s="83"/>
      <c r="C4" s="107" t="s">
        <v>279</v>
      </c>
      <c r="D4" s="107">
        <v>2</v>
      </c>
      <c r="E4" s="107">
        <v>1</v>
      </c>
      <c r="F4" s="112"/>
      <c r="G4" s="112"/>
      <c r="H4" s="112"/>
      <c r="I4" s="112"/>
      <c r="J4" s="112">
        <f>SQRT(($H$2-D4)^2+($I$2-E4)^2)</f>
        <v>3.1622776601683795</v>
      </c>
      <c r="K4" s="96"/>
      <c r="N4" s="86"/>
      <c r="O4" s="86"/>
      <c r="P4" s="86"/>
    </row>
    <row r="5" spans="1:16" s="113" customFormat="1" x14ac:dyDescent="0.25">
      <c r="A5" s="62" t="s">
        <v>209</v>
      </c>
      <c r="B5" s="83"/>
      <c r="C5" s="107" t="s">
        <v>280</v>
      </c>
      <c r="D5" s="107">
        <v>2</v>
      </c>
      <c r="E5" s="107">
        <v>0</v>
      </c>
      <c r="F5" s="112"/>
      <c r="G5" s="112"/>
      <c r="H5" s="112"/>
      <c r="I5" s="112"/>
      <c r="J5" s="112">
        <f>SQRT(($H$2-D5)^2+($I$2-E5)^2)</f>
        <v>4.1231056256176606</v>
      </c>
      <c r="K5" s="96"/>
      <c r="N5" s="86" t="str">
        <f>C3</f>
        <v>Location 2</v>
      </c>
      <c r="O5" s="86">
        <f>D3</f>
        <v>0</v>
      </c>
      <c r="P5" s="86">
        <f>E3</f>
        <v>1</v>
      </c>
    </row>
    <row r="6" spans="1:16" s="113" customFormat="1" ht="15.75" thickBot="1" x14ac:dyDescent="0.3">
      <c r="A6" s="63" t="b">
        <f>AND(F23,G23,H23,I23,J23)</f>
        <v>1</v>
      </c>
      <c r="B6" s="83"/>
      <c r="C6" s="117" t="s">
        <v>282</v>
      </c>
      <c r="D6" s="118"/>
      <c r="E6" s="119"/>
      <c r="F6" s="119"/>
      <c r="G6" s="119"/>
      <c r="H6" s="119"/>
      <c r="I6" s="120"/>
      <c r="J6" s="112">
        <f>SQRT((H2-F2)^2+(I2-G2)^2)</f>
        <v>2.8284271247461903</v>
      </c>
      <c r="K6" s="96"/>
      <c r="N6" s="86" t="s">
        <v>281</v>
      </c>
      <c r="O6" s="86">
        <f>$F$2</f>
        <v>1</v>
      </c>
      <c r="P6" s="86">
        <f>$G$2</f>
        <v>2</v>
      </c>
    </row>
    <row r="7" spans="1:16" x14ac:dyDescent="0.25">
      <c r="A7" s="62" t="s">
        <v>210</v>
      </c>
      <c r="C7" s="102"/>
      <c r="D7" s="121"/>
      <c r="E7" s="102"/>
      <c r="F7" s="102"/>
      <c r="G7" s="102"/>
      <c r="H7" s="102"/>
      <c r="I7" s="122" t="s">
        <v>71</v>
      </c>
      <c r="J7" s="123">
        <f>SUM(J2:J6,K2:K6)</f>
        <v>13.764091950405115</v>
      </c>
      <c r="K7" s="108"/>
    </row>
    <row r="8" spans="1:16" x14ac:dyDescent="0.25">
      <c r="A8" s="64" t="s">
        <v>200</v>
      </c>
      <c r="N8" s="86" t="str">
        <f>C4</f>
        <v>Location 3</v>
      </c>
      <c r="O8" s="86">
        <f>D4</f>
        <v>2</v>
      </c>
      <c r="P8" s="86">
        <f>E4</f>
        <v>1</v>
      </c>
    </row>
    <row r="9" spans="1:16" ht="15.75" thickBot="1" x14ac:dyDescent="0.3">
      <c r="A9" s="63">
        <f>VLOOKUP(A8,OpenSolverResultCodes,2,FALSE)</f>
        <v>0</v>
      </c>
      <c r="N9" s="86" t="s">
        <v>283</v>
      </c>
      <c r="O9" s="86">
        <f>$H$2</f>
        <v>3</v>
      </c>
      <c r="P9" s="86">
        <f>$I$2</f>
        <v>4</v>
      </c>
    </row>
    <row r="10" spans="1:16" ht="15.75" thickBot="1" x14ac:dyDescent="0.3">
      <c r="A10" s="156" t="str">
        <f>HYPERLINK("[OpenSolver Tester.xlsm]Results!A1", "&lt;- Results")</f>
        <v>&lt;- Results</v>
      </c>
    </row>
    <row r="11" spans="1:16" x14ac:dyDescent="0.25">
      <c r="N11" s="86" t="str">
        <f>C5</f>
        <v>Location 4</v>
      </c>
      <c r="O11" s="86">
        <f>D5</f>
        <v>2</v>
      </c>
      <c r="P11" s="86">
        <f>E5</f>
        <v>0</v>
      </c>
    </row>
    <row r="12" spans="1:16" x14ac:dyDescent="0.25">
      <c r="N12" s="86" t="s">
        <v>284</v>
      </c>
      <c r="O12" s="86">
        <f>$H$2</f>
        <v>3</v>
      </c>
      <c r="P12" s="86">
        <f>$I$2</f>
        <v>4</v>
      </c>
    </row>
    <row r="14" spans="1:16" x14ac:dyDescent="0.25">
      <c r="N14" s="86" t="s">
        <v>281</v>
      </c>
      <c r="O14" s="86">
        <f>$F$2</f>
        <v>1</v>
      </c>
      <c r="P14" s="86">
        <f>$G$2</f>
        <v>2</v>
      </c>
    </row>
    <row r="15" spans="1:16" x14ac:dyDescent="0.25">
      <c r="N15" s="86" t="s">
        <v>283</v>
      </c>
      <c r="O15" s="86">
        <f>$H$2</f>
        <v>3</v>
      </c>
      <c r="P15" s="86">
        <f>$I$2</f>
        <v>4</v>
      </c>
    </row>
    <row r="18" spans="4:16" x14ac:dyDescent="0.25">
      <c r="N18" s="86" t="s">
        <v>126</v>
      </c>
      <c r="O18" s="86">
        <v>9</v>
      </c>
    </row>
    <row r="19" spans="4:16" x14ac:dyDescent="0.25">
      <c r="N19" s="86" t="s">
        <v>222</v>
      </c>
      <c r="O19" s="86">
        <v>15</v>
      </c>
    </row>
    <row r="20" spans="4:16" x14ac:dyDescent="0.25">
      <c r="N20" s="86" t="s">
        <v>128</v>
      </c>
      <c r="O20" s="86">
        <v>18</v>
      </c>
    </row>
    <row r="21" spans="4:16" x14ac:dyDescent="0.25">
      <c r="N21" s="86" t="s">
        <v>223</v>
      </c>
      <c r="O21" s="86">
        <v>15</v>
      </c>
    </row>
    <row r="23" spans="4:16" x14ac:dyDescent="0.25">
      <c r="F23" s="114">
        <v>0.28867444302612322</v>
      </c>
      <c r="G23" s="114">
        <v>0.49999853295374613</v>
      </c>
      <c r="H23" s="114">
        <v>1.7113233039553806</v>
      </c>
      <c r="I23" s="114">
        <v>0.4999986254183782</v>
      </c>
      <c r="J23" s="123">
        <v>3.732050807574419</v>
      </c>
    </row>
    <row r="24" spans="4:16" x14ac:dyDescent="0.25">
      <c r="F24" s="8" t="b">
        <f>ABS(F2-F23)/(1+ABS(F23))&lt;=0.001</f>
        <v>0</v>
      </c>
      <c r="G24" s="8" t="b">
        <f>ABS(G2-G23)/(1+ABS(G23))&lt;=0.001</f>
        <v>0</v>
      </c>
      <c r="H24" s="8" t="b">
        <f>ABS(H2-H23)/(1+ABS(H23))&lt;=0.001</f>
        <v>0</v>
      </c>
      <c r="I24" s="8" t="b">
        <f>ABS(I2-I23)/(1+ABS(I23))&lt;=0.001</f>
        <v>0</v>
      </c>
      <c r="J24" s="8" t="b">
        <f>ABS(J7-J23)/(1+ABS(J23))&lt;=0.000001</f>
        <v>0</v>
      </c>
    </row>
    <row r="27" spans="4:16" x14ac:dyDescent="0.25">
      <c r="D27" s="83"/>
      <c r="F27" s="86"/>
      <c r="G27" s="86"/>
      <c r="H27" s="86"/>
      <c r="J27" s="83"/>
      <c r="N27" s="83"/>
      <c r="O27" s="83"/>
      <c r="P27" s="83"/>
    </row>
    <row r="28" spans="4:16" x14ac:dyDescent="0.25">
      <c r="D28" s="83"/>
      <c r="F28" s="86"/>
      <c r="G28" s="86"/>
      <c r="H28" s="86"/>
      <c r="J28" s="83"/>
      <c r="N28" s="83"/>
      <c r="O28" s="83"/>
      <c r="P28" s="83"/>
    </row>
    <row r="29" spans="4:16" x14ac:dyDescent="0.25">
      <c r="D29" s="83"/>
      <c r="F29" s="86"/>
      <c r="G29" s="86"/>
      <c r="H29" s="86"/>
      <c r="J29" s="83"/>
      <c r="N29" s="83"/>
      <c r="O29" s="83"/>
      <c r="P29" s="83"/>
    </row>
    <row r="30" spans="4:16" x14ac:dyDescent="0.25">
      <c r="D30" s="83"/>
      <c r="F30" s="86"/>
      <c r="G30" s="86"/>
      <c r="H30" s="86"/>
      <c r="J30" s="83"/>
      <c r="N30" s="83"/>
      <c r="O30" s="83"/>
      <c r="P30" s="83"/>
    </row>
    <row r="31" spans="4:16" x14ac:dyDescent="0.25">
      <c r="D31" s="83"/>
      <c r="F31" s="86"/>
      <c r="G31" s="86"/>
      <c r="H31" s="86"/>
      <c r="J31" s="83"/>
      <c r="N31" s="83"/>
      <c r="O31" s="83"/>
      <c r="P31" s="83"/>
    </row>
    <row r="32" spans="4:16" x14ac:dyDescent="0.25">
      <c r="D32" s="83"/>
      <c r="F32" s="86"/>
      <c r="G32" s="86"/>
      <c r="H32" s="86"/>
      <c r="J32" s="83"/>
      <c r="N32" s="83"/>
      <c r="O32" s="83"/>
      <c r="P32" s="83"/>
    </row>
    <row r="33" spans="4:16" x14ac:dyDescent="0.25">
      <c r="D33" s="83"/>
      <c r="F33" s="86"/>
      <c r="G33" s="86"/>
      <c r="H33" s="86"/>
      <c r="J33" s="83"/>
      <c r="N33" s="83"/>
      <c r="O33" s="83"/>
      <c r="P33" s="83"/>
    </row>
    <row r="34" spans="4:16" x14ac:dyDescent="0.25">
      <c r="D34" s="83"/>
      <c r="F34" s="86"/>
      <c r="G34" s="86"/>
      <c r="H34" s="86"/>
      <c r="J34" s="83"/>
      <c r="N34" s="83"/>
      <c r="O34" s="83"/>
      <c r="P34" s="83"/>
    </row>
    <row r="35" spans="4:16" x14ac:dyDescent="0.25">
      <c r="D35" s="83"/>
      <c r="F35" s="86"/>
      <c r="G35" s="86"/>
      <c r="H35" s="86"/>
      <c r="J35" s="83"/>
      <c r="N35" s="83"/>
      <c r="O35" s="83"/>
      <c r="P35" s="83"/>
    </row>
    <row r="36" spans="4:16" x14ac:dyDescent="0.25">
      <c r="D36" s="83"/>
      <c r="F36" s="86"/>
      <c r="G36" s="86"/>
      <c r="H36" s="86"/>
      <c r="J36" s="83"/>
      <c r="N36" s="83"/>
      <c r="O36" s="83"/>
      <c r="P36" s="83"/>
    </row>
  </sheetData>
  <dataConsolidate/>
  <dataValidations count="3">
    <dataValidation type="list" allowBlank="1" showInputMessage="1" showErrorMessage="1" sqref="A2" xr:uid="{00000000-0002-0000-4700-000000000000}">
      <formula1>TestType</formula1>
    </dataValidation>
    <dataValidation type="list" allowBlank="1" showInputMessage="1" showErrorMessage="1" sqref="A4" xr:uid="{00000000-0002-0000-4700-000001000000}">
      <formula1>ModelType</formula1>
    </dataValidation>
    <dataValidation type="list" allowBlank="1" showInputMessage="1" showErrorMessage="1" sqref="A8" xr:uid="{00000000-0002-0000-4700-000002000000}">
      <formula1>OpenSolverResult</formula1>
    </dataValidation>
  </dataValidations>
  <pageMargins left="0.75" right="0.75" top="1" bottom="1" header="0.5" footer="0.5"/>
  <pageSetup paperSize="9"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 codeName="NonLin6"/>
  <dimension ref="A1:I31"/>
  <sheetViews>
    <sheetView workbookViewId="0">
      <selection activeCell="G16" sqref="G16"/>
    </sheetView>
  </sheetViews>
  <sheetFormatPr defaultColWidth="10.140625" defaultRowHeight="15" x14ac:dyDescent="0.25"/>
  <cols>
    <col min="1" max="1" width="15" style="60" bestFit="1" customWidth="1"/>
    <col min="2" max="2" width="3" style="83" customWidth="1"/>
    <col min="3" max="3" width="10.140625" style="125" customWidth="1"/>
    <col min="4" max="4" width="7" style="125" customWidth="1"/>
    <col min="5" max="16384" width="10.140625" style="125"/>
  </cols>
  <sheetData>
    <row r="1" spans="1:9" x14ac:dyDescent="0.25">
      <c r="A1" s="62" t="s">
        <v>203</v>
      </c>
      <c r="C1" s="191" t="s">
        <v>285</v>
      </c>
      <c r="D1" s="191"/>
      <c r="E1" s="191"/>
    </row>
    <row r="2" spans="1:9" ht="16.5" thickBot="1" x14ac:dyDescent="0.35">
      <c r="A2" s="63" t="s">
        <v>204</v>
      </c>
      <c r="C2" s="126" t="s">
        <v>286</v>
      </c>
      <c r="D2" s="125">
        <v>3</v>
      </c>
      <c r="H2" s="125" t="s">
        <v>287</v>
      </c>
    </row>
    <row r="3" spans="1:9" ht="15.75" x14ac:dyDescent="0.3">
      <c r="A3" s="62" t="s">
        <v>208</v>
      </c>
      <c r="C3" s="126" t="s">
        <v>288</v>
      </c>
      <c r="D3" s="125">
        <v>5</v>
      </c>
      <c r="H3" s="125">
        <v>0</v>
      </c>
      <c r="I3" s="125">
        <v>0</v>
      </c>
    </row>
    <row r="4" spans="1:9" ht="15.75" thickBot="1" x14ac:dyDescent="0.3">
      <c r="A4" s="63" t="s">
        <v>207</v>
      </c>
      <c r="C4" s="126" t="s">
        <v>289</v>
      </c>
      <c r="D4" s="125">
        <v>7</v>
      </c>
      <c r="H4" s="125">
        <f>COS(RADIANS(D7))*D2</f>
        <v>2.598076211353316</v>
      </c>
      <c r="I4" s="125">
        <f>SIN(RADIANS(D7))*D2</f>
        <v>-1.4999999999999998</v>
      </c>
    </row>
    <row r="5" spans="1:9" x14ac:dyDescent="0.25">
      <c r="A5" s="62" t="s">
        <v>209</v>
      </c>
      <c r="H5" s="125">
        <f>H4+COS(RADIANS(D8))*D3</f>
        <v>5.8120142597860127</v>
      </c>
      <c r="I5" s="125">
        <f>I4+SIN(RADIANS(D8))*D3</f>
        <v>2.3302222155948904</v>
      </c>
    </row>
    <row r="6" spans="1:9" ht="15.75" thickBot="1" x14ac:dyDescent="0.3">
      <c r="A6" s="63" t="b">
        <f>AND(F16)</f>
        <v>0</v>
      </c>
      <c r="C6" s="191" t="s">
        <v>224</v>
      </c>
      <c r="D6" s="191"/>
      <c r="E6" s="191"/>
    </row>
    <row r="7" spans="1:9" x14ac:dyDescent="0.25">
      <c r="A7" s="62" t="s">
        <v>210</v>
      </c>
      <c r="C7" s="127" t="s">
        <v>290</v>
      </c>
      <c r="D7" s="168">
        <v>-30</v>
      </c>
      <c r="E7" s="125" t="s">
        <v>291</v>
      </c>
    </row>
    <row r="8" spans="1:9" x14ac:dyDescent="0.25">
      <c r="A8" s="64" t="s">
        <v>200</v>
      </c>
      <c r="C8" s="127" t="s">
        <v>292</v>
      </c>
      <c r="D8" s="168">
        <v>50</v>
      </c>
      <c r="E8" s="125" t="s">
        <v>291</v>
      </c>
      <c r="H8" s="125">
        <f>D4</f>
        <v>7</v>
      </c>
      <c r="I8" s="125">
        <v>0</v>
      </c>
    </row>
    <row r="9" spans="1:9" ht="15.75" thickBot="1" x14ac:dyDescent="0.3">
      <c r="A9" s="63">
        <f>VLOOKUP(A8,OpenSolverResultCodes,2,FALSE)</f>
        <v>0</v>
      </c>
    </row>
    <row r="10" spans="1:9" ht="15.75" thickBot="1" x14ac:dyDescent="0.3">
      <c r="A10" s="156" t="str">
        <f>HYPERLINK("[OpenSolver Tester.xlsm]Results!A1", "&lt;- Results")</f>
        <v>&lt;- Results</v>
      </c>
      <c r="C10" s="191" t="s">
        <v>293</v>
      </c>
      <c r="D10" s="191"/>
      <c r="E10" s="191"/>
    </row>
    <row r="11" spans="1:9" x14ac:dyDescent="0.25">
      <c r="C11" s="129" t="s">
        <v>294</v>
      </c>
      <c r="D11" s="129" t="s">
        <v>295</v>
      </c>
      <c r="E11" s="130" t="s">
        <v>296</v>
      </c>
      <c r="F11" s="130" t="s">
        <v>297</v>
      </c>
    </row>
    <row r="12" spans="1:9" x14ac:dyDescent="0.25">
      <c r="C12" s="130">
        <f>D2*COS(RADIANS(D7))+D3*COS(RADIANS(D8))</f>
        <v>5.8120142597860127</v>
      </c>
      <c r="D12" s="130">
        <f>D4</f>
        <v>7</v>
      </c>
      <c r="E12" s="130">
        <f>D12-C12</f>
        <v>1.1879857402139873</v>
      </c>
      <c r="F12" s="130">
        <f>E12^2</f>
        <v>1.4113101189517754</v>
      </c>
    </row>
    <row r="13" spans="1:9" x14ac:dyDescent="0.25">
      <c r="C13" s="130">
        <f>D2*SIN(RADIANS(D7))+D3*SIN(RADIANS(D8))</f>
        <v>2.3302222155948904</v>
      </c>
      <c r="D13" s="130">
        <v>0</v>
      </c>
      <c r="E13" s="130">
        <f>C13-D13</f>
        <v>2.3302222155948904</v>
      </c>
      <c r="F13" s="130">
        <f>E13^2</f>
        <v>5.4299355740519601</v>
      </c>
    </row>
    <row r="15" spans="1:9" x14ac:dyDescent="0.25">
      <c r="C15" s="191" t="s">
        <v>298</v>
      </c>
      <c r="D15" s="191"/>
      <c r="E15" s="191"/>
      <c r="F15" s="131">
        <f>SUM(F12:F13)</f>
        <v>6.8412456930037351</v>
      </c>
    </row>
    <row r="16" spans="1:9" x14ac:dyDescent="0.25">
      <c r="C16" s="132"/>
      <c r="F16" s="125" t="b">
        <f>ABS(F15)&lt;=0.000001</f>
        <v>0</v>
      </c>
    </row>
    <row r="27" spans="3:4" x14ac:dyDescent="0.25">
      <c r="C27" s="125" t="s">
        <v>299</v>
      </c>
      <c r="D27" s="128">
        <v>-30</v>
      </c>
    </row>
    <row r="28" spans="3:4" x14ac:dyDescent="0.25">
      <c r="C28" s="125" t="s">
        <v>300</v>
      </c>
      <c r="D28" s="128">
        <v>50</v>
      </c>
    </row>
    <row r="30" spans="3:4" x14ac:dyDescent="0.25">
      <c r="C30" s="125" t="s">
        <v>301</v>
      </c>
      <c r="D30" s="128">
        <v>30</v>
      </c>
    </row>
    <row r="31" spans="3:4" x14ac:dyDescent="0.25">
      <c r="D31" s="128">
        <v>-50</v>
      </c>
    </row>
  </sheetData>
  <dataConsolidate/>
  <mergeCells count="4">
    <mergeCell ref="C1:E1"/>
    <mergeCell ref="C6:E6"/>
    <mergeCell ref="C10:E10"/>
    <mergeCell ref="C15:E15"/>
  </mergeCells>
  <dataValidations disablePrompts="1" count="3">
    <dataValidation type="list" allowBlank="1" showInputMessage="1" showErrorMessage="1" sqref="A8" xr:uid="{00000000-0002-0000-4800-000000000000}">
      <formula1>OpenSolverResult</formula1>
    </dataValidation>
    <dataValidation type="list" allowBlank="1" showInputMessage="1" showErrorMessage="1" sqref="A4" xr:uid="{00000000-0002-0000-4800-000001000000}">
      <formula1>ModelType</formula1>
    </dataValidation>
    <dataValidation type="list" allowBlank="1" showInputMessage="1" showErrorMessage="1" sqref="A2" xr:uid="{00000000-0002-0000-4800-000002000000}">
      <formula1>TestType</formula1>
    </dataValidation>
  </dataValidations>
  <pageMargins left="0.75" right="0.75" top="1" bottom="1" header="0.5" footer="0.5"/>
  <pageSetup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 codeName="NOMADCallback"/>
  <dimension ref="A1:E11"/>
  <sheetViews>
    <sheetView workbookViewId="0"/>
  </sheetViews>
  <sheetFormatPr defaultColWidth="8.85546875" defaultRowHeight="15" x14ac:dyDescent="0.25"/>
  <cols>
    <col min="1" max="1" width="15" style="60" bestFit="1" customWidth="1"/>
    <col min="2" max="2" width="3" style="83" customWidth="1"/>
    <col min="3" max="3" width="17.42578125" customWidth="1"/>
    <col min="4" max="4" width="46.28515625" customWidth="1"/>
  </cols>
  <sheetData>
    <row r="1" spans="1:5" x14ac:dyDescent="0.25">
      <c r="A1" s="62" t="s">
        <v>203</v>
      </c>
    </row>
    <row r="2" spans="1:5" ht="15.75" thickBot="1" x14ac:dyDescent="0.3">
      <c r="A2" s="63" t="s">
        <v>204</v>
      </c>
      <c r="C2" s="17" t="s">
        <v>421</v>
      </c>
    </row>
    <row r="3" spans="1:5" x14ac:dyDescent="0.25">
      <c r="A3" s="62" t="s">
        <v>208</v>
      </c>
    </row>
    <row r="4" spans="1:5" ht="15.75" thickBot="1" x14ac:dyDescent="0.3">
      <c r="A4" s="63" t="s">
        <v>207</v>
      </c>
      <c r="C4" t="s">
        <v>422</v>
      </c>
      <c r="D4">
        <v>5.169878828456423E-26</v>
      </c>
      <c r="E4" t="s">
        <v>423</v>
      </c>
    </row>
    <row r="5" spans="1:5" x14ac:dyDescent="0.25">
      <c r="A5" s="62" t="s">
        <v>209</v>
      </c>
      <c r="D5" t="b">
        <f>AND(D4&lt;0.00000001,D6&lt;0.00000001)</f>
        <v>1</v>
      </c>
    </row>
    <row r="6" spans="1:5" ht="15.75" thickBot="1" x14ac:dyDescent="0.3">
      <c r="A6" s="63" t="b">
        <f>D5</f>
        <v>1</v>
      </c>
      <c r="C6" t="s">
        <v>424</v>
      </c>
      <c r="D6">
        <v>0</v>
      </c>
    </row>
    <row r="7" spans="1:5" x14ac:dyDescent="0.25">
      <c r="A7" s="62" t="s">
        <v>210</v>
      </c>
    </row>
    <row r="8" spans="1:5" x14ac:dyDescent="0.25">
      <c r="A8" s="64" t="s">
        <v>200</v>
      </c>
    </row>
    <row r="9" spans="1:5" ht="15.75" thickBot="1" x14ac:dyDescent="0.3">
      <c r="A9" s="63">
        <f>VLOOKUP(A8,OpenSolverResultCodes,2,FALSE)</f>
        <v>0</v>
      </c>
      <c r="C9" s="17" t="s">
        <v>425</v>
      </c>
    </row>
    <row r="10" spans="1:5" ht="15.75" thickBot="1" x14ac:dyDescent="0.3">
      <c r="A10" s="156" t="str">
        <f>HYPERLINK("[OpenSolver Tester.xlsm]Results!A1", "&lt;- Results")</f>
        <v>&lt;- Results</v>
      </c>
      <c r="C10" s="57" t="s">
        <v>426</v>
      </c>
      <c r="D10" s="185" t="s">
        <v>428</v>
      </c>
    </row>
    <row r="11" spans="1:5" x14ac:dyDescent="0.25">
      <c r="D11" t="s">
        <v>427</v>
      </c>
    </row>
  </sheetData>
  <dataValidations count="3">
    <dataValidation type="list" allowBlank="1" showInputMessage="1" showErrorMessage="1" sqref="A2" xr:uid="{00000000-0002-0000-4900-000000000000}">
      <formula1>TestType</formula1>
    </dataValidation>
    <dataValidation type="list" allowBlank="1" showInputMessage="1" showErrorMessage="1" sqref="A4" xr:uid="{00000000-0002-0000-4900-000001000000}">
      <formula1>ModelType</formula1>
    </dataValidation>
    <dataValidation type="list" allowBlank="1" showInputMessage="1" showErrorMessage="1" sqref="A8" xr:uid="{00000000-0002-0000-4900-000002000000}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sheetPr codeName="zHighlighting"/>
  <dimension ref="B1:N18"/>
  <sheetViews>
    <sheetView workbookViewId="0">
      <selection activeCell="I16" sqref="I16"/>
    </sheetView>
  </sheetViews>
  <sheetFormatPr defaultColWidth="8.85546875" defaultRowHeight="15" x14ac:dyDescent="0.25"/>
  <cols>
    <col min="1" max="1" width="2.28515625" customWidth="1"/>
    <col min="2" max="2" width="4.85546875" customWidth="1"/>
    <col min="3" max="5" width="5.140625" style="1" customWidth="1"/>
    <col min="6" max="6" width="3.140625" style="1" customWidth="1"/>
    <col min="7" max="7" width="8.28515625" style="1" customWidth="1"/>
    <col min="8" max="8" width="3" style="1" customWidth="1"/>
    <col min="9" max="10" width="6" style="1" customWidth="1"/>
    <col min="11" max="11" width="1.7109375" style="1" customWidth="1"/>
    <col min="12" max="14" width="7" customWidth="1"/>
    <col min="15" max="15" width="1.7109375" customWidth="1"/>
  </cols>
  <sheetData>
    <row r="1" spans="2:14" x14ac:dyDescent="0.25">
      <c r="B1" t="s">
        <v>122</v>
      </c>
    </row>
    <row r="2" spans="2:14" x14ac:dyDescent="0.25">
      <c r="G2"/>
      <c r="H2"/>
      <c r="I2"/>
      <c r="J2"/>
      <c r="K2"/>
    </row>
    <row r="3" spans="2:14" x14ac:dyDescent="0.25">
      <c r="G3"/>
      <c r="H3"/>
      <c r="I3"/>
      <c r="J3"/>
      <c r="K3"/>
    </row>
    <row r="5" spans="2:14" x14ac:dyDescent="0.25">
      <c r="B5" t="s">
        <v>0</v>
      </c>
      <c r="C5" s="1">
        <v>2</v>
      </c>
      <c r="D5" s="1">
        <v>3</v>
      </c>
      <c r="E5" s="1">
        <v>4</v>
      </c>
      <c r="G5" s="1">
        <f>SUMPRODUCT($L$9:$N$9,C5:E5)</f>
        <v>8.7690000000000001</v>
      </c>
    </row>
    <row r="7" spans="2:14" x14ac:dyDescent="0.25">
      <c r="B7">
        <v>0</v>
      </c>
      <c r="C7" s="1">
        <v>10</v>
      </c>
      <c r="D7" s="1">
        <v>11</v>
      </c>
      <c r="E7" s="1">
        <v>12</v>
      </c>
      <c r="G7" s="1">
        <f>SUMPRODUCT($L$9:$N$9,C7:E7)+5*Q6</f>
        <v>32.152999999999999</v>
      </c>
      <c r="H7" s="1" t="s">
        <v>8</v>
      </c>
      <c r="I7" s="1">
        <v>60</v>
      </c>
    </row>
    <row r="8" spans="2:14" x14ac:dyDescent="0.25">
      <c r="B8">
        <v>0</v>
      </c>
      <c r="C8" s="1">
        <v>21</v>
      </c>
      <c r="D8" s="1">
        <v>22</v>
      </c>
      <c r="E8" s="1">
        <v>23</v>
      </c>
      <c r="G8" s="1">
        <f>SUMPRODUCT($L$9:$N$9,C8:E8)</f>
        <v>64.305999999999997</v>
      </c>
      <c r="H8" s="1" t="s">
        <v>8</v>
      </c>
      <c r="I8" s="1">
        <v>120</v>
      </c>
      <c r="L8" s="1" t="s">
        <v>1</v>
      </c>
      <c r="M8" s="1" t="s">
        <v>2</v>
      </c>
      <c r="N8" s="1" t="s">
        <v>3</v>
      </c>
    </row>
    <row r="9" spans="2:14" x14ac:dyDescent="0.25">
      <c r="C9" s="1">
        <v>21</v>
      </c>
      <c r="D9" s="1">
        <v>22</v>
      </c>
      <c r="E9" s="1">
        <v>-23</v>
      </c>
      <c r="G9" s="1">
        <f>SUMPRODUCT($L$9:$N$9,C9:E9)</f>
        <v>18.305999999999997</v>
      </c>
      <c r="H9" s="1" t="s">
        <v>9</v>
      </c>
      <c r="I9" s="1">
        <v>500</v>
      </c>
      <c r="L9" s="1">
        <v>1</v>
      </c>
      <c r="M9" s="1">
        <v>0.92300000000000004</v>
      </c>
      <c r="N9" s="1">
        <v>1</v>
      </c>
    </row>
    <row r="10" spans="2:14" x14ac:dyDescent="0.25">
      <c r="C10" s="1">
        <v>19</v>
      </c>
      <c r="D10" s="1">
        <v>34</v>
      </c>
      <c r="E10" s="1">
        <v>-32</v>
      </c>
      <c r="G10" s="1">
        <f>SUMPRODUCT($L$9:$N$9,C10:E10)</f>
        <v>18.382000000000005</v>
      </c>
      <c r="H10" s="1" t="s">
        <v>10</v>
      </c>
      <c r="I10" s="1">
        <v>500</v>
      </c>
      <c r="L10" s="1">
        <v>19</v>
      </c>
      <c r="M10" s="1">
        <v>20</v>
      </c>
      <c r="N10" s="1">
        <v>21</v>
      </c>
    </row>
    <row r="12" spans="2:14" x14ac:dyDescent="0.25">
      <c r="L12" s="1">
        <v>20</v>
      </c>
      <c r="M12" s="1">
        <f>M9*2</f>
        <v>1.8460000000000001</v>
      </c>
      <c r="N12">
        <v>50</v>
      </c>
    </row>
    <row r="15" spans="2:14" x14ac:dyDescent="0.25">
      <c r="M15">
        <f>N9</f>
        <v>1</v>
      </c>
    </row>
    <row r="17" spans="13:13" x14ac:dyDescent="0.25">
      <c r="M17">
        <f>L9</f>
        <v>1</v>
      </c>
    </row>
    <row r="18" spans="13:13" x14ac:dyDescent="0.25">
      <c r="M18">
        <f>M9</f>
        <v>0.92300000000000004</v>
      </c>
    </row>
  </sheetData>
  <dataConsolidate/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sheetPr codeName="AutoModel"/>
  <dimension ref="B2:H35"/>
  <sheetViews>
    <sheetView topLeftCell="A4" workbookViewId="0">
      <selection activeCell="E31" sqref="E31"/>
    </sheetView>
  </sheetViews>
  <sheetFormatPr defaultColWidth="9.140625" defaultRowHeight="15" x14ac:dyDescent="0.25"/>
  <cols>
    <col min="1" max="1" width="3.28515625" style="42" customWidth="1"/>
    <col min="2" max="3" width="9.140625" style="42"/>
    <col min="4" max="4" width="9.140625" style="42" customWidth="1"/>
    <col min="5" max="5" width="18.140625" style="42" customWidth="1"/>
    <col min="6" max="6" width="4.7109375" style="42" customWidth="1"/>
    <col min="7" max="7" width="3.28515625" style="43" customWidth="1"/>
    <col min="8" max="8" width="23.140625" style="42" bestFit="1" customWidth="1"/>
    <col min="9" max="16384" width="9.140625" style="42"/>
  </cols>
  <sheetData>
    <row r="2" spans="2:8" x14ac:dyDescent="0.25">
      <c r="B2" s="48" t="s">
        <v>125</v>
      </c>
      <c r="C2" s="45"/>
      <c r="D2" s="45"/>
      <c r="E2" s="45"/>
      <c r="H2" s="39" t="s">
        <v>141</v>
      </c>
    </row>
    <row r="3" spans="2:8" x14ac:dyDescent="0.25">
      <c r="B3" s="46" t="s">
        <v>126</v>
      </c>
      <c r="C3" s="50">
        <v>1</v>
      </c>
      <c r="D3" s="45"/>
      <c r="E3" s="45" t="s">
        <v>127</v>
      </c>
      <c r="H3" s="39" t="s">
        <v>143</v>
      </c>
    </row>
    <row r="4" spans="2:8" x14ac:dyDescent="0.25">
      <c r="B4" s="46" t="s">
        <v>128</v>
      </c>
      <c r="C4" s="50">
        <v>1</v>
      </c>
      <c r="D4" s="45"/>
      <c r="E4" s="45" t="s">
        <v>129</v>
      </c>
      <c r="H4" s="39" t="s">
        <v>144</v>
      </c>
    </row>
    <row r="5" spans="2:8" x14ac:dyDescent="0.25">
      <c r="B5" s="46" t="s">
        <v>130</v>
      </c>
      <c r="C5" s="50">
        <v>2</v>
      </c>
      <c r="D5" s="45"/>
      <c r="E5" s="45" t="s">
        <v>131</v>
      </c>
    </row>
    <row r="6" spans="2:8" x14ac:dyDescent="0.25">
      <c r="H6" s="40" t="s">
        <v>145</v>
      </c>
    </row>
    <row r="7" spans="2:8" x14ac:dyDescent="0.25">
      <c r="B7" s="47" t="s">
        <v>132</v>
      </c>
      <c r="H7" s="40" t="s">
        <v>143</v>
      </c>
    </row>
    <row r="8" spans="2:8" x14ac:dyDescent="0.25">
      <c r="B8" s="42" t="s">
        <v>133</v>
      </c>
      <c r="C8" s="46" t="s">
        <v>0</v>
      </c>
      <c r="H8" s="40" t="s">
        <v>146</v>
      </c>
    </row>
    <row r="9" spans="2:8" x14ac:dyDescent="0.25">
      <c r="B9" s="42">
        <v>5</v>
      </c>
      <c r="C9" s="49">
        <f>B9*C3+SUMPRODUCT(B28:D28,B31:D31)</f>
        <v>5</v>
      </c>
    </row>
    <row r="10" spans="2:8" x14ac:dyDescent="0.25">
      <c r="C10" s="45"/>
      <c r="H10" s="41" t="s">
        <v>147</v>
      </c>
    </row>
    <row r="11" spans="2:8" x14ac:dyDescent="0.25">
      <c r="H11" s="41" t="s">
        <v>143</v>
      </c>
    </row>
    <row r="12" spans="2:8" x14ac:dyDescent="0.25">
      <c r="B12" s="47" t="s">
        <v>134</v>
      </c>
      <c r="H12" s="41" t="s">
        <v>146</v>
      </c>
    </row>
    <row r="13" spans="2:8" x14ac:dyDescent="0.25">
      <c r="B13" s="44"/>
      <c r="C13" s="44" t="s">
        <v>135</v>
      </c>
      <c r="D13" s="44"/>
      <c r="H13" s="41" t="s">
        <v>148</v>
      </c>
    </row>
    <row r="14" spans="2:8" x14ac:dyDescent="0.25">
      <c r="B14" s="49">
        <f>C3+C4</f>
        <v>2</v>
      </c>
      <c r="C14" s="44" t="s">
        <v>9</v>
      </c>
      <c r="D14" s="49">
        <v>2</v>
      </c>
    </row>
    <row r="15" spans="2:8" x14ac:dyDescent="0.25">
      <c r="B15" s="44"/>
      <c r="C15" s="44"/>
      <c r="D15" s="44"/>
    </row>
    <row r="16" spans="2:8" x14ac:dyDescent="0.25">
      <c r="B16" s="44"/>
      <c r="C16" s="44" t="s">
        <v>136</v>
      </c>
      <c r="D16" s="44"/>
    </row>
    <row r="17" spans="2:4" x14ac:dyDescent="0.25">
      <c r="B17" s="49">
        <f>C3+C5</f>
        <v>3</v>
      </c>
      <c r="C17" s="44" t="s">
        <v>9</v>
      </c>
      <c r="D17" s="49">
        <v>3</v>
      </c>
    </row>
    <row r="18" spans="2:4" x14ac:dyDescent="0.25">
      <c r="B18" s="44"/>
      <c r="C18" s="44"/>
      <c r="D18" s="44"/>
    </row>
    <row r="19" spans="2:4" x14ac:dyDescent="0.25">
      <c r="B19" s="44"/>
      <c r="C19" s="44" t="s">
        <v>142</v>
      </c>
      <c r="D19" s="44"/>
    </row>
    <row r="20" spans="2:4" x14ac:dyDescent="0.25">
      <c r="B20" s="49">
        <f>C4+C5</f>
        <v>3</v>
      </c>
      <c r="C20" s="44" t="s">
        <v>8</v>
      </c>
      <c r="D20" s="49">
        <v>3</v>
      </c>
    </row>
    <row r="22" spans="2:4" x14ac:dyDescent="0.25">
      <c r="B22" s="42" t="s">
        <v>137</v>
      </c>
    </row>
    <row r="23" spans="2:4" x14ac:dyDescent="0.25">
      <c r="B23" s="42" t="s">
        <v>138</v>
      </c>
      <c r="C23" s="51" t="s">
        <v>140</v>
      </c>
    </row>
    <row r="24" spans="2:4" x14ac:dyDescent="0.25">
      <c r="B24" s="42" t="s">
        <v>139</v>
      </c>
    </row>
    <row r="26" spans="2:4" x14ac:dyDescent="0.25">
      <c r="B26" s="47" t="s">
        <v>149</v>
      </c>
    </row>
    <row r="27" spans="2:4" x14ac:dyDescent="0.25">
      <c r="B27" s="44" t="s">
        <v>150</v>
      </c>
      <c r="C27" s="44" t="s">
        <v>151</v>
      </c>
      <c r="D27" s="44" t="s">
        <v>152</v>
      </c>
    </row>
    <row r="28" spans="2:4" x14ac:dyDescent="0.25">
      <c r="B28" s="50">
        <v>0</v>
      </c>
      <c r="C28" s="50">
        <v>0</v>
      </c>
      <c r="D28" s="50">
        <v>0</v>
      </c>
    </row>
    <row r="29" spans="2:4" x14ac:dyDescent="0.25">
      <c r="B29" s="53" t="s">
        <v>156</v>
      </c>
      <c r="C29" s="53" t="s">
        <v>156</v>
      </c>
      <c r="D29" s="53" t="s">
        <v>156</v>
      </c>
    </row>
    <row r="30" spans="2:4" x14ac:dyDescent="0.25">
      <c r="B30" s="44" t="s">
        <v>153</v>
      </c>
      <c r="C30" s="44" t="s">
        <v>154</v>
      </c>
      <c r="D30" s="44" t="s">
        <v>155</v>
      </c>
    </row>
    <row r="31" spans="2:4" x14ac:dyDescent="0.25">
      <c r="B31" s="52">
        <v>2</v>
      </c>
      <c r="C31" s="52">
        <v>3</v>
      </c>
      <c r="D31" s="52">
        <v>4</v>
      </c>
    </row>
    <row r="33" spans="2:4" x14ac:dyDescent="0.25">
      <c r="B33" s="192" t="s">
        <v>157</v>
      </c>
      <c r="C33" s="193"/>
      <c r="D33" s="49">
        <f>SUM(B28:D28)</f>
        <v>0</v>
      </c>
    </row>
    <row r="34" spans="2:4" x14ac:dyDescent="0.25">
      <c r="D34" s="44" t="s">
        <v>9</v>
      </c>
    </row>
    <row r="35" spans="2:4" x14ac:dyDescent="0.25">
      <c r="D35" s="49">
        <v>0</v>
      </c>
    </row>
  </sheetData>
  <dataConsolidate/>
  <mergeCells count="1">
    <mergeCell ref="B33:C33"/>
  </mergeCells>
  <pageMargins left="0.7" right="0.7" top="0.75" bottom="0.75" header="0.3" footer="0.3"/>
  <pageSetup orientation="portrait" horizontalDpi="0" verticalDpi="0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76</vt:i4>
      </vt:variant>
      <vt:variant>
        <vt:lpstr>Named Ranges</vt:lpstr>
      </vt:variant>
      <vt:variant>
        <vt:i4>123</vt:i4>
      </vt:variant>
    </vt:vector>
  </HeadingPairs>
  <TitlesOfParts>
    <vt:vector size="199" baseType="lpstr">
      <vt:lpstr>Data</vt:lpstr>
      <vt:lpstr>__OpenSolver__</vt:lpstr>
      <vt:lpstr>Results</vt:lpstr>
      <vt:lpstr>SimpleLP</vt:lpstr>
      <vt:lpstr>SimpleIP</vt:lpstr>
      <vt:lpstr>IP_SUMIF</vt:lpstr>
      <vt:lpstr>OverlappingVars</vt:lpstr>
      <vt:lpstr>BlankRHS</vt:lpstr>
      <vt:lpstr>BlankLHS</vt:lpstr>
      <vt:lpstr>TextRHS</vt:lpstr>
      <vt:lpstr>ErrorRHS</vt:lpstr>
      <vt:lpstr>ErrorLHS</vt:lpstr>
      <vt:lpstr>ErrorObj</vt:lpstr>
      <vt:lpstr>TextObj</vt:lpstr>
      <vt:lpstr>MergedVarsSubset</vt:lpstr>
      <vt:lpstr>MergedVarsOK</vt:lpstr>
      <vt:lpstr>MergedVarsBad</vt:lpstr>
      <vt:lpstr>MergedRHS_OK</vt:lpstr>
      <vt:lpstr>MergedLHS_OK</vt:lpstr>
      <vt:lpstr>MergedLHSMultiple_OK</vt:lpstr>
      <vt:lpstr>BinIntOverlap</vt:lpstr>
      <vt:lpstr>ConFormula</vt:lpstr>
      <vt:lpstr>ConFormulaInf</vt:lpstr>
      <vt:lpstr>BadName!</vt:lpstr>
      <vt:lpstr>EscapeSheetName(1)+2-1</vt:lpstr>
      <vt:lpstr>DeletedConRef</vt:lpstr>
      <vt:lpstr>DeletedObjRef</vt:lpstr>
      <vt:lpstr>InfConstConstraint</vt:lpstr>
      <vt:lpstr>FeasConstConstraint</vt:lpstr>
      <vt:lpstr>Unbounded</vt:lpstr>
      <vt:lpstr>ProtectedSheet</vt:lpstr>
      <vt:lpstr>IndirectLBs</vt:lpstr>
      <vt:lpstr>DirectLBs</vt:lpstr>
      <vt:lpstr>SingleRangeLB</vt:lpstr>
      <vt:lpstr>BinLB</vt:lpstr>
      <vt:lpstr>BinIntLB</vt:lpstr>
      <vt:lpstr>Relaxation</vt:lpstr>
      <vt:lpstr>LargeRangeLB</vt:lpstr>
      <vt:lpstr>OverlapRangeLB</vt:lpstr>
      <vt:lpstr>OverlapRangeLBwithFormula</vt:lpstr>
      <vt:lpstr>ConstFormulaRangeLB</vt:lpstr>
      <vt:lpstr>VariableFormulaRangeLB</vt:lpstr>
      <vt:lpstr>ConstraintLB</vt:lpstr>
      <vt:lpstr>ConstantLB</vt:lpstr>
      <vt:lpstr>FormulaLB</vt:lpstr>
      <vt:lpstr>VarConstraintLB</vt:lpstr>
      <vt:lpstr>FractionalCoeffs</vt:lpstr>
      <vt:lpstr>ComplexLayout</vt:lpstr>
      <vt:lpstr>InfModel</vt:lpstr>
      <vt:lpstr>IterativeCalc</vt:lpstr>
      <vt:lpstr>NoObj</vt:lpstr>
      <vt:lpstr>SeekObj</vt:lpstr>
      <vt:lpstr>SeekObjInf</vt:lpstr>
      <vt:lpstr>DiffSheetObj</vt:lpstr>
      <vt:lpstr>NamedRanges</vt:lpstr>
      <vt:lpstr>QuickSolve</vt:lpstr>
      <vt:lpstr>SolverParameters</vt:lpstr>
      <vt:lpstr>Warmstart</vt:lpstr>
      <vt:lpstr>Sensitivity</vt:lpstr>
      <vt:lpstr>SensitivityNames</vt:lpstr>
      <vt:lpstr>NonLinSimple</vt:lpstr>
      <vt:lpstr>NonLinLarge</vt:lpstr>
      <vt:lpstr>NonLinObj</vt:lpstr>
      <vt:lpstr>NonLinPruning</vt:lpstr>
      <vt:lpstr>NonLinMinMax</vt:lpstr>
      <vt:lpstr>NonLinConstraints</vt:lpstr>
      <vt:lpstr>NonLinBinary</vt:lpstr>
      <vt:lpstr>NonLin</vt:lpstr>
      <vt:lpstr>NonLin2</vt:lpstr>
      <vt:lpstr>NonLin3</vt:lpstr>
      <vt:lpstr>NonLin4</vt:lpstr>
      <vt:lpstr>NonLin5</vt:lpstr>
      <vt:lpstr>NonLin6</vt:lpstr>
      <vt:lpstr>NOMADCallback</vt:lpstr>
      <vt:lpstr>Highlighting</vt:lpstr>
      <vt:lpstr>AutoModel</vt:lpstr>
      <vt:lpstr>NonLinPruning!heey</vt:lpstr>
      <vt:lpstr>hhh</vt:lpstr>
      <vt:lpstr>hhtgfh</vt:lpstr>
      <vt:lpstr>Hiii</vt:lpstr>
      <vt:lpstr>lll</vt:lpstr>
      <vt:lpstr>NonLin3!MinValue</vt:lpstr>
      <vt:lpstr>MinValue</vt:lpstr>
      <vt:lpstr>ModelType</vt:lpstr>
      <vt:lpstr>myNamedRange</vt:lpstr>
      <vt:lpstr>Offset</vt:lpstr>
      <vt:lpstr>OpenSolver_ModelParameters</vt:lpstr>
      <vt:lpstr>OpenSolverResult</vt:lpstr>
      <vt:lpstr>OpenSolverResultCodes</vt:lpstr>
      <vt:lpstr>'BadName!'!Scale</vt:lpstr>
      <vt:lpstr>BinIntLB!Scale</vt:lpstr>
      <vt:lpstr>BinIntOverlap!Scale</vt:lpstr>
      <vt:lpstr>BinLB!Scale</vt:lpstr>
      <vt:lpstr>BlankLHS!Scale</vt:lpstr>
      <vt:lpstr>BlankRHS!Scale</vt:lpstr>
      <vt:lpstr>ComplexLayout!Scale</vt:lpstr>
      <vt:lpstr>ConFormula!Scale</vt:lpstr>
      <vt:lpstr>ConFormulaInf!Scale</vt:lpstr>
      <vt:lpstr>ConstantLB!Scale</vt:lpstr>
      <vt:lpstr>ConstFormulaRangeLB!Scale</vt:lpstr>
      <vt:lpstr>ConstraintLB!Scale</vt:lpstr>
      <vt:lpstr>DeletedConRef!Scale</vt:lpstr>
      <vt:lpstr>DeletedObjRef!Scale</vt:lpstr>
      <vt:lpstr>ErrorLHS!Scale</vt:lpstr>
      <vt:lpstr>ErrorObj!Scale</vt:lpstr>
      <vt:lpstr>ErrorRHS!Scale</vt:lpstr>
      <vt:lpstr>'EscapeSheetName(1)+2-1'!Scale</vt:lpstr>
      <vt:lpstr>FeasConstConstraint!Scale</vt:lpstr>
      <vt:lpstr>FormulaLB!Scale</vt:lpstr>
      <vt:lpstr>Highlighting!Scale</vt:lpstr>
      <vt:lpstr>IndirectLBs!Scale</vt:lpstr>
      <vt:lpstr>InfConstConstraint!Scale</vt:lpstr>
      <vt:lpstr>InfModel!Scale</vt:lpstr>
      <vt:lpstr>IP_SUMIF!Scale</vt:lpstr>
      <vt:lpstr>IterativeCalc!Scale</vt:lpstr>
      <vt:lpstr>LargeRangeLB!Scale</vt:lpstr>
      <vt:lpstr>MergedLHS_OK!Scale</vt:lpstr>
      <vt:lpstr>MergedLHSMultiple_OK!Scale</vt:lpstr>
      <vt:lpstr>MergedRHS_OK!Scale</vt:lpstr>
      <vt:lpstr>MergedVarsBad!Scale</vt:lpstr>
      <vt:lpstr>MergedVarsOK!Scale</vt:lpstr>
      <vt:lpstr>MergedVarsSubset!Scale</vt:lpstr>
      <vt:lpstr>OverlappingVars!Scale</vt:lpstr>
      <vt:lpstr>OverlapRangeLB!Scale</vt:lpstr>
      <vt:lpstr>OverlapRangeLBwithFormula!Scale</vt:lpstr>
      <vt:lpstr>ProtectedSheet!Scale</vt:lpstr>
      <vt:lpstr>QuickSolve!Scale</vt:lpstr>
      <vt:lpstr>Relaxation!Scale</vt:lpstr>
      <vt:lpstr>SimpleIP!Scale</vt:lpstr>
      <vt:lpstr>SingleRangeLB!Scale</vt:lpstr>
      <vt:lpstr>TextObj!Scale</vt:lpstr>
      <vt:lpstr>TextRHS!Scale</vt:lpstr>
      <vt:lpstr>Unbounded!Scale</vt:lpstr>
      <vt:lpstr>VarConstraintLB!Scale</vt:lpstr>
      <vt:lpstr>VariableFormulaRangeLB!Scale</vt:lpstr>
      <vt:lpstr>Scale</vt:lpstr>
      <vt:lpstr>'BadName!'!Sheet1OpenSolverModelParameters</vt:lpstr>
      <vt:lpstr>BinIntLB!Sheet1OpenSolverModelParameters</vt:lpstr>
      <vt:lpstr>BinIntOverlap!Sheet1OpenSolverModelParameters</vt:lpstr>
      <vt:lpstr>BinLB!Sheet1OpenSolverModelParameters</vt:lpstr>
      <vt:lpstr>BlankLHS!Sheet1OpenSolverModelParameters</vt:lpstr>
      <vt:lpstr>BlankRHS!Sheet1OpenSolverModelParameters</vt:lpstr>
      <vt:lpstr>ConstantLB!Sheet1OpenSolverModelParameters</vt:lpstr>
      <vt:lpstr>ConstFormulaRangeLB!Sheet1OpenSolverModelParameters</vt:lpstr>
      <vt:lpstr>ConstraintLB!Sheet1OpenSolverModelParameters</vt:lpstr>
      <vt:lpstr>DeletedConRef!Sheet1OpenSolverModelParameters</vt:lpstr>
      <vt:lpstr>DeletedObjRef!Sheet1OpenSolverModelParameters</vt:lpstr>
      <vt:lpstr>ErrorLHS!Sheet1OpenSolverModelParameters</vt:lpstr>
      <vt:lpstr>ErrorObj!Sheet1OpenSolverModelParameters</vt:lpstr>
      <vt:lpstr>ErrorRHS!Sheet1OpenSolverModelParameters</vt:lpstr>
      <vt:lpstr>'EscapeSheetName(1)+2-1'!Sheet1OpenSolverModelParameters</vt:lpstr>
      <vt:lpstr>FeasConstConstraint!Sheet1OpenSolverModelParameters</vt:lpstr>
      <vt:lpstr>FormulaLB!Sheet1OpenSolverModelParameters</vt:lpstr>
      <vt:lpstr>Highlighting!Sheet1OpenSolverModelParameters</vt:lpstr>
      <vt:lpstr>IndirectLBs!Sheet1OpenSolverModelParameters</vt:lpstr>
      <vt:lpstr>InfConstConstraint!Sheet1OpenSolverModelParameters</vt:lpstr>
      <vt:lpstr>InfModel!Sheet1OpenSolverModelParameters</vt:lpstr>
      <vt:lpstr>IP_SUMIF!Sheet1OpenSolverModelParameters</vt:lpstr>
      <vt:lpstr>IterativeCalc!Sheet1OpenSolverModelParameters</vt:lpstr>
      <vt:lpstr>LargeRangeLB!Sheet1OpenSolverModelParameters</vt:lpstr>
      <vt:lpstr>MergedLHS_OK!Sheet1OpenSolverModelParameters</vt:lpstr>
      <vt:lpstr>MergedLHSMultiple_OK!Sheet1OpenSolverModelParameters</vt:lpstr>
      <vt:lpstr>MergedRHS_OK!Sheet1OpenSolverModelParameters</vt:lpstr>
      <vt:lpstr>MergedVarsBad!Sheet1OpenSolverModelParameters</vt:lpstr>
      <vt:lpstr>MergedVarsOK!Sheet1OpenSolverModelParameters</vt:lpstr>
      <vt:lpstr>MergedVarsSubset!Sheet1OpenSolverModelParameters</vt:lpstr>
      <vt:lpstr>NoObj!Sheet1OpenSolverModelParameters</vt:lpstr>
      <vt:lpstr>OverlappingVars!Sheet1OpenSolverModelParameters</vt:lpstr>
      <vt:lpstr>OverlapRangeLB!Sheet1OpenSolverModelParameters</vt:lpstr>
      <vt:lpstr>OverlapRangeLBwithFormula!Sheet1OpenSolverModelParameters</vt:lpstr>
      <vt:lpstr>ProtectedSheet!Sheet1OpenSolverModelParameters</vt:lpstr>
      <vt:lpstr>QuickSolve!Sheet1OpenSolverModelParameters</vt:lpstr>
      <vt:lpstr>Relaxation!Sheet1OpenSolverModelParameters</vt:lpstr>
      <vt:lpstr>SimpleIP!Sheet1OpenSolverModelParameters</vt:lpstr>
      <vt:lpstr>SingleRangeLB!Sheet1OpenSolverModelParameters</vt:lpstr>
      <vt:lpstr>TextObj!Sheet1OpenSolverModelParameters</vt:lpstr>
      <vt:lpstr>TextRHS!Sheet1OpenSolverModelParameters</vt:lpstr>
      <vt:lpstr>Unbounded!Sheet1OpenSolverModelParameters</vt:lpstr>
      <vt:lpstr>VarConstraintLB!Sheet1OpenSolverModelParameters</vt:lpstr>
      <vt:lpstr>VariableFormulaRangeLB!Sheet1OpenSolverModelParameters</vt:lpstr>
      <vt:lpstr>Sheet1OpenSolverModelParameters</vt:lpstr>
      <vt:lpstr>TestType</vt:lpstr>
      <vt:lpstr>uhj</vt:lpstr>
      <vt:lpstr>wa</vt:lpstr>
      <vt:lpstr>wb</vt:lpstr>
      <vt:lpstr>wc</vt:lpstr>
      <vt:lpstr>wd</vt:lpstr>
      <vt:lpstr>NonLin3!x</vt:lpstr>
      <vt:lpstr>NonLin6!x</vt:lpstr>
      <vt:lpstr>xa</vt:lpstr>
      <vt:lpstr>xb</vt:lpstr>
      <vt:lpstr>xc</vt:lpstr>
      <vt:lpstr>xd</vt:lpstr>
      <vt:lpstr>NonLin3!y</vt:lpstr>
      <vt:lpstr>NonLin6!y</vt:lpstr>
      <vt:lpstr>ya</vt:lpstr>
      <vt:lpstr>yb</vt:lpstr>
      <vt:lpstr>yc</vt:lpstr>
      <vt:lpstr>yd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Jack Dunn</cp:lastModifiedBy>
  <dcterms:created xsi:type="dcterms:W3CDTF">2010-05-06T00:04:01Z</dcterms:created>
  <dcterms:modified xsi:type="dcterms:W3CDTF">2018-01-29T13:45:55Z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2</vt:i4>
  </property>
</Properties>
</file>