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28" activeTab="29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NOMAD</definedName>
    <definedName name="OpenSolver_ChosenSolver" localSheetId="2" hidden="1">NOMAD</definedName>
    <definedName name="OpenSolver_ChosenSolver" localSheetId="27" hidden="1">NOMAD</definedName>
    <definedName name="OpenSolver_ChosenSolver" localSheetId="28" hidden="1">NOMAD</definedName>
    <definedName name="OpenSolver_ChosenSolver" localSheetId="29" hidden="1">NOMAD</definedName>
    <definedName name="OpenSolver_ChosenSolver" localSheetId="30" hidden="1">NOMAD</definedName>
    <definedName name="OpenSolver_ChosenSolver" localSheetId="31" hidden="1">NOMAD</definedName>
    <definedName name="OpenSolver_ChosenSolver" localSheetId="32" hidden="1">NOMAD</definedName>
    <definedName name="OpenSolver_ChosenSolver" localSheetId="33" hidden="1">NOMAD</definedName>
    <definedName name="OpenSolver_ChosenSolver" localSheetId="34" hidden="1">NOMAD</definedName>
    <definedName name="OpenSolver_ChosenSolver" localSheetId="35" hidden="1">NOMAD</definedName>
    <definedName name="OpenSolver_ChosenSolver" localSheetId="36" hidden="1">NOMAD</definedName>
    <definedName name="OpenSolver_ChosenSolver" localSheetId="37" hidden="1">NOMAD</definedName>
    <definedName name="OpenSolver_ChosenSolver" localSheetId="38" hidden="1">NOMAD</definedName>
    <definedName name="OpenSolver_ChosenSolver" localSheetId="39" hidden="1">NOMAD</definedName>
    <definedName name="OpenSolver_ChosenSolver" localSheetId="40" hidden="1">NOMAD</definedName>
    <definedName name="OpenSolver_ChosenSolver" localSheetId="41" hidden="1">NOMAD</definedName>
    <definedName name="OpenSolver_ChosenSolver" localSheetId="3" hidden="1">NOMAD</definedName>
    <definedName name="OpenSolver_ChosenSolver" localSheetId="4" hidden="1">NOMAD</definedName>
    <definedName name="OpenSolver_ChosenSolver" localSheetId="5" hidden="1">NOMAD</definedName>
    <definedName name="OpenSolver_ChosenSolver" localSheetId="6" hidden="1">NOMAD</definedName>
    <definedName name="OpenSolver_ChosenSolver" localSheetId="7" hidden="1">NOMAD</definedName>
    <definedName name="OpenSolver_ChosenSolver" localSheetId="8" hidden="1">NOMAD</definedName>
    <definedName name="OpenSolver_ChosenSolver" localSheetId="9" hidden="1">NOMAD</definedName>
    <definedName name="OpenSolver_ChosenSolver" localSheetId="10" hidden="1">NOMAD</definedName>
    <definedName name="OpenSolver_ChosenSolver" localSheetId="11" hidden="1">NOMAD</definedName>
    <definedName name="OpenSolver_ChosenSolver" localSheetId="12" hidden="1">NOMAD</definedName>
    <definedName name="OpenSolver_ChosenSolver" localSheetId="13" hidden="1">NOMAD</definedName>
    <definedName name="OpenSolver_ChosenSolver" localSheetId="14" hidden="1">NOMAD</definedName>
    <definedName name="OpenSolver_ChosenSolver" localSheetId="15" hidden="1">NOMAD</definedName>
    <definedName name="OpenSolver_ChosenSolver" localSheetId="16" hidden="1">NOMAD</definedName>
    <definedName name="OpenSolver_ChosenSolver" localSheetId="17" hidden="1">NOMAD</definedName>
    <definedName name="OpenSolver_ChosenSolver" localSheetId="42" hidden="1">NOMAD</definedName>
    <definedName name="OpenSolver_ChosenSolver" localSheetId="43" hidden="1">NOMAD</definedName>
    <definedName name="OpenSolver_ChosenSolver" localSheetId="44" hidden="1">NOMAD</definedName>
    <definedName name="OpenSolver_ChosenSolver" localSheetId="45" hidden="1">NOMAD</definedName>
    <definedName name="OpenSolver_ChosenSolver" localSheetId="46" hidden="1">NOMAD</definedName>
    <definedName name="OpenSolver_ChosenSolver" localSheetId="47" hidden="1">NOMAD</definedName>
    <definedName name="OpenSolver_ChosenSolver" localSheetId="48" hidden="1">NOMAD</definedName>
    <definedName name="OpenSolver_ChosenSolver" localSheetId="49" hidden="1">NOMAD</definedName>
    <definedName name="OpenSolver_ChosenSolver" localSheetId="50" hidden="1">NOMAD</definedName>
    <definedName name="OpenSolver_ChosenSolver" localSheetId="51" hidden="1">NOMAD</definedName>
    <definedName name="OpenSolver_ChosenSolver" localSheetId="18" hidden="1">NOMAD</definedName>
    <definedName name="OpenSolver_ChosenSolver" localSheetId="52" hidden="1">NOMAD</definedName>
    <definedName name="OpenSolver_ChosenSolver" localSheetId="54" hidden="1">NOMAD</definedName>
    <definedName name="OpenSolver_ChosenSolver" localSheetId="55" hidden="1">NOMAD</definedName>
    <definedName name="OpenSolver_ChosenSolver" localSheetId="56" hidden="1">NOMAD</definedName>
    <definedName name="OpenSolver_ChosenSolver" localSheetId="57" hidden="1">NOMAD</definedName>
    <definedName name="OpenSolver_ChosenSolver" localSheetId="58" hidden="1">NOMAD</definedName>
    <definedName name="OpenSolver_ChosenSolver" localSheetId="59" hidden="1">NOMAD</definedName>
    <definedName name="OpenSolver_ChosenSolver" localSheetId="60" hidden="1">NOMAD</definedName>
    <definedName name="OpenSolver_ChosenSolver" localSheetId="61" hidden="1">NOMAD</definedName>
    <definedName name="OpenSolver_ChosenSolver" localSheetId="62" hidden="1">CBC</definedName>
    <definedName name="OpenSolver_ChosenSolver" localSheetId="64" hidden="1">NOMAD</definedName>
    <definedName name="OpenSolver_ChosenSolver" localSheetId="19" hidden="1">NOMAD</definedName>
    <definedName name="OpenSolver_ChosenSolver" localSheetId="65" hidden="1">NOMAD</definedName>
    <definedName name="OpenSolver_ChosenSolver" localSheetId="66" hidden="1">NOMAD</definedName>
    <definedName name="OpenSolver_ChosenSolver" localSheetId="67" hidden="1">NOMAD</definedName>
    <definedName name="OpenSolver_ChosenSolver" localSheetId="68" hidden="1">NOMAD</definedName>
    <definedName name="OpenSolver_ChosenSolver" localSheetId="20" hidden="1">NOMAD</definedName>
    <definedName name="OpenSolver_ChosenSolver" localSheetId="22" hidden="1">NOMAD</definedName>
    <definedName name="OpenSolver_ChosenSolver" localSheetId="23" hidden="1">NOMAD</definedName>
    <definedName name="OpenSolver_ChosenSolver" localSheetId="24" hidden="1">NOMAD</definedName>
    <definedName name="OpenSolver_ChosenSolver" localSheetId="25" hidden="1">NOMAD</definedName>
    <definedName name="OpenSolver_ChosenSolver" localSheetId="26" hidden="1">NOMAD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</definedName>
    <definedName name="solver_itr" localSheetId="2" hidden="1">100</definedName>
    <definedName name="solver_itr" localSheetId="27" hidden="1">100</definedName>
    <definedName name="solver_itr" localSheetId="28" hidden="1">1000</definedName>
    <definedName name="solver_itr" localSheetId="29" hidden="1">100</definedName>
    <definedName name="solver_itr" localSheetId="30" hidden="1">100</definedName>
    <definedName name="solver_itr" localSheetId="31" hidden="1">100</definedName>
    <definedName name="solver_itr" localSheetId="32" hidden="1">100</definedName>
    <definedName name="solver_itr" localSheetId="33" hidden="1">100</definedName>
    <definedName name="solver_itr" localSheetId="34" hidden="1">100</definedName>
    <definedName name="solver_itr" localSheetId="35" hidden="1">100</definedName>
    <definedName name="solver_itr" localSheetId="36" hidden="1">100</definedName>
    <definedName name="solver_itr" localSheetId="37" hidden="1">100</definedName>
    <definedName name="solver_itr" localSheetId="38" hidden="1">100</definedName>
    <definedName name="solver_itr" localSheetId="39" hidden="1">100</definedName>
    <definedName name="solver_itr" localSheetId="40" hidden="1">100</definedName>
    <definedName name="solver_itr" localSheetId="41" hidden="1">100</definedName>
    <definedName name="solver_itr" localSheetId="3" hidden="1">100</definedName>
    <definedName name="solver_itr" localSheetId="4" hidden="1">100</definedName>
    <definedName name="solver_itr" localSheetId="5" hidden="1">100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</definedName>
    <definedName name="solver_itr" localSheetId="13" hidden="1">100</definedName>
    <definedName name="solver_itr" localSheetId="14" hidden="1">100</definedName>
    <definedName name="solver_itr" localSheetId="15" hidden="1">100</definedName>
    <definedName name="solver_itr" localSheetId="16" hidden="1">100</definedName>
    <definedName name="solver_itr" localSheetId="17" hidden="1">100</definedName>
    <definedName name="solver_itr" localSheetId="42" hidden="1">100</definedName>
    <definedName name="solver_itr" localSheetId="43" hidden="1">100</definedName>
    <definedName name="solver_itr" localSheetId="44" hidden="1">100</definedName>
    <definedName name="solver_itr" localSheetId="45" hidden="1">100</definedName>
    <definedName name="solver_itr" localSheetId="46" hidden="1">1000</definedName>
    <definedName name="solver_itr" localSheetId="47" hidden="1">100</definedName>
    <definedName name="solver_itr" localSheetId="48" hidden="1">100</definedName>
    <definedName name="solver_itr" localSheetId="49" hidden="1">100</definedName>
    <definedName name="solver_itr" localSheetId="50" hidden="1">100</definedName>
    <definedName name="solver_itr" localSheetId="51" hidden="1">100</definedName>
    <definedName name="solver_itr" localSheetId="18" hidden="1">100</definedName>
    <definedName name="solver_itr" localSheetId="52" hidden="1">100</definedName>
    <definedName name="solver_itr" localSheetId="54" hidden="1">100</definedName>
    <definedName name="solver_itr" localSheetId="55" hidden="1">100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</definedName>
    <definedName name="solver_itr" localSheetId="19" hidden="1">100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H5" i="19" l="1"/>
  <c r="I39" i="3"/>
  <c r="F6" i="69"/>
  <c r="G4" i="90"/>
  <c r="D20" i="77"/>
  <c r="S13" i="75"/>
  <c r="I6" i="71"/>
  <c r="G6" i="70"/>
  <c r="F4" i="68"/>
  <c r="H6" i="67"/>
  <c r="I6" i="66"/>
  <c r="G6" i="65"/>
  <c r="K6" i="63"/>
  <c r="H6" i="62"/>
  <c r="H15" i="2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F24" i="87"/>
  <c r="G24" i="87"/>
  <c r="H24" i="87"/>
  <c r="I24" i="87"/>
  <c r="H6" i="4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 s="1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7" i="87" l="1"/>
  <c r="J24" i="87" s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6" i="76"/>
  <c r="C7" i="76"/>
  <c r="C6" i="76"/>
  <c r="B9" i="76"/>
  <c r="G8" i="70"/>
  <c r="C9" i="76" l="1"/>
  <c r="B11" i="76"/>
  <c r="B10" i="76"/>
  <c r="C10" i="76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F15" i="76" s="1"/>
  <c r="B14" i="76"/>
  <c r="C14" i="76"/>
  <c r="D14" i="76"/>
  <c r="G4" i="76"/>
  <c r="F8" i="76"/>
  <c r="F12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I18" i="76" s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 l="1"/>
  <c r="J42" i="3" s="1"/>
  <c r="O42" i="3" s="1"/>
  <c r="A6" i="20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J44" i="3" l="1"/>
  <c r="O44" i="3" s="1"/>
  <c r="J41" i="3"/>
  <c r="O41" i="3" s="1"/>
  <c r="J43" i="3"/>
  <c r="O43" i="3" s="1"/>
  <c r="J40" i="3"/>
  <c r="O40" i="3" s="1"/>
  <c r="N16" i="76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P25" i="76" s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R27" i="76" s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V31" i="76" s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X33" i="76" s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AD39" i="76" s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<sst xmlns="http://schemas.openxmlformats.org/spreadsheetml/2006/main" count="1958" uniqueCount="460">
  <si>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</si>
  <si>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</si>
  <si>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</si>
  <si>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</si>
  <si>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</si>
  <si>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</si>
  <si>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</si>
  <si>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</si>
  <si>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</si>
  <si>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</si>
  <si>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</si>
  <si>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</si>
  <si>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</si>
  <si>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</si>
  <si>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</si>
  <si>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</si>
  <si>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</si>
  <si>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</si>
  <si>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</si>
  <si>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</si>
  <si>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</si>
  <si>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</si>
  <si>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</si>
  <si>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</si>
  <si>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</si>
  <si>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</si>
  <si>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</si>
  <si>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</si>
  <si>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</si>
  <si>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</si>
  <si>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</si>
  <si>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</si>
  <si>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</si>
  <si>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</si>
  <si>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</si>
  <si>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</si>
  <si>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</si>
  <si>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</si>
  <si>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</si>
  <si>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</si>
  <si>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</si>
  <si>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</si>
  <si>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</si>
  <si>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</si>
  <si>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</si>
  <si>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</si>
  <si>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</si>
  <si>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</si>
  <si>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</si>
  <si>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</si>
  <si>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</si>
  <si>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</si>
  <si>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</si>
  <si>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</si>
  <si>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</si>
  <si>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</si>
  <si>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</si>
  <si>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</si>
  <si>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</si>
  <si>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</si>
  <si>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</si>
  <si>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</si>
  <si>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</si>
  <si>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</si>
  <si>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</si>
  <si>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</si>
  <si>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</si>
  <si>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</si>
  <si>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</si>
  <si>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</si>
  <si>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</si>
  <si>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</si>
  <si>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</si>
  <si>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</si>
  <si>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</si>
  <si>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</si>
  <si>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</si>
  <si>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</si>
  <si>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</si>
  <si>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</si>
  <si>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</si>
  <si>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</si>
  <si>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</si>
  <si>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</si>
  <si>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</si>
  <si>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</si>
  <si>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</si>
  <si>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</si>
  <si>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</si>
  <si>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</si>
  <si>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</si>
  <si>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</si>
  <si>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</si>
  <si>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</si>
  <si>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</si>
  <si>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</si>
  <si>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</si>
  <si>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</si>
  <si>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</si>
  <si>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</si>
  <si>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</si>
  <si>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</si>
  <si>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</si>
  <si>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</si>
  <si>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</si>
  <si>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</si>
  <si>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</si>
  <si>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</si>
  <si>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</si>
  <si>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</si>
  <si>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</si>
  <si>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</si>
  <si>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</si>
  <si>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</si>
  <si>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</si>
  <si>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</si>
  <si>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</si>
  <si>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</si>
  <si>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</si>
  <si>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</si>
  <si>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</si>
  <si>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</si>
  <si>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</si>
  <si>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</si>
  <si>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</si>
  <si>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</si>
  <si>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</si>
  <si>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</si>
  <si>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</si>
  <si>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</si>
  <si>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</si>
  <si>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</si>
  <si>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</si>
  <si>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</si>
  <si>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</si>
  <si>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</si>
  <si>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</si>
  <si>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</si>
  <si>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</si>
  <si>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</si>
  <si>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</si>
  <si>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</si>
  <si>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</si>
  <si>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</si>
  <si>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</si>
  <si>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</si>
  <si>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</si>
  <si>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</si>
  <si>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</si>
  <si>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</si>
  <si>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</si>
  <si>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</si>
  <si>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</si>
  <si>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</si>
  <si>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</si>
  <si>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</si>
  <si>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</si>
  <si>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</si>
  <si>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</si>
  <si>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</si>
  <si>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</si>
  <si>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</si>
  <si>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</si>
  <si>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</si>
  <si>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</si>
  <si>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</si>
  <si>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</si>
  <si>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</si>
  <si>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</si>
  <si>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</si>
  <si>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</si>
  <si>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</si>
  <si>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</si>
  <si>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</si>
  <si>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</si>
  <si>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</si>
  <si>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</si>
  <si>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</si>
  <si>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</si>
  <si>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</si>
  <si>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</si>
  <si>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</si>
  <si>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</si>
  <si>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</si>
  <si>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</si>
  <si>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</si>
  <si>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</si>
  <si>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</si>
  <si>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</si>
  <si>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</si>
  <si>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</si>
  <si>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</si>
  <si>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</si>
  <si>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</si>
  <si>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</si>
  <si>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</si>
  <si>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</si>
  <si>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</si>
  <si>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</si>
  <si>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</si>
  <si>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</si>
  <si>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</si>
  <si>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</si>
  <si>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</si>
  <si>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</si>
  <si>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</si>
  <si>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</si>
  <si>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</si>
  <si>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</si>
  <si>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</si>
  <si>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</si>
  <si>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</si>
  <si>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</si>
  <si>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</si>
  <si>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</si>
  <si>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</si>
  <si>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</si>
  <si>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</si>
  <si>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</si>
  <si>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</si>
  <si>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</si>
  <si>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</si>
  <si>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</si>
  <si>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</si>
  <si>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</si>
  <si>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</si>
  <si>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</si>
  <si>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</si>
  <si>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</si>
  <si>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</si>
  <si>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</si>
  <si>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</si>
  <si>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</si>
  <si>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</si>
  <si>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</si>
  <si>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</si>
  <si>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</si>
  <si>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</si>
  <si>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</si>
  <si>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</si>
  <si>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</si>
  <si>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</si>
  <si>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</si>
  <si>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</si>
  <si>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</si>
  <si>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</si>
  <si>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</si>
  <si>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</si>
  <si>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</si>
  <si>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</si>
  <si>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</si>
  <si>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</si>
  <si>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</si>
  <si>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</si>
  <si>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</si>
  <si>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</si>
  <si>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</si>
  <si>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</si>
  <si>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</si>
  <si>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</si>
  <si>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</si>
  <si>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</si>
  <si>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</si>
  <si>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</si>
  <si>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</si>
  <si>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</si>
  <si>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</si>
  <si>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</si>
  <si>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</si>
  <si>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</si>
  <si>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</si>
  <si>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</si>
  <si>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</si>
  <si>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</si>
  <si>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</si>
  <si>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</si>
  <si>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</si>
  <si>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</si>
  <si>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</si>
  <si>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</si>
  <si>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</si>
  <si>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</si>
  <si>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</si>
  <si>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</si>
  <si>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</si>
  <si>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</si>
  <si>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</si>
  <si>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</si>
  <si>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</si>
  <si>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</si>
  <si>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</si>
  <si>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</si>
  <si>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</si>
  <si>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</si>
  <si>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</si>
  <si>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</si>
  <si>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</si>
  <si>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</si>
  <si>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</si>
  <si>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</si>
  <si>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</si>
  <si>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</si>
  <si>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</si>
  <si>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</si>
  <si>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</si>
  <si>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</si>
  <si>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</si>
  <si>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</si>
  <si>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</si>
  <si>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</si>
  <si>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</si>
  <si>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</si>
  <si>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</si>
  <si>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</si>
  <si>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</si>
  <si>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</si>
  <si>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</si>
  <si>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</si>
  <si>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</si>
  <si>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</si>
  <si>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</si>
  <si>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</si>
  <si>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</si>
  <si>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</si>
  <si>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</si>
  <si>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</si>
  <si>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</si>
  <si>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</si>
  <si>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</si>
  <si>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</si>
  <si>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</si>
  <si>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</si>
  <si>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</si>
  <si>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</si>
  <si>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</si>
  <si>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</si>
  <si>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</si>
  <si>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</si>
  <si>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</si>
  <si>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</si>
  <si>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</si>
  <si>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</si>
  <si>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</si>
  <si>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</si>
  <si>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</si>
  <si>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</si>
  <si>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</si>
  <si>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</si>
  <si>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</si>
  <si>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</si>
  <si>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</si>
  <si>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</si>
  <si>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</si>
  <si>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</si>
  <si>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</si>
  <si>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</si>
  <si>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</si>
  <si>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</si>
  <si>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</si>
  <si>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</si>
  <si>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</si>
  <si>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</si>
  <si>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</si>
  <si>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</si>
  <si>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</si>
  <si>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</si>
  <si>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</si>
  <si>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</si>
  <si>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</si>
  <si>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</si>
  <si>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</si>
  <si>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</si>
  <si>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</si>
  <si>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</si>
  <si>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</si>
  <si>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</si>
  <si>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</si>
  <si>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</si>
  <si>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</si>
  <si>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</si>
  <si>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</si>
  <si>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</si>
  <si>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</si>
  <si>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</si>
  <si>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</si>
  <si>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</si>
  <si>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</si>
  <si>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</si>
  <si>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</si>
  <si>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Test40</t>
  </si>
  <si>
    <t>Lowerbound applied by constraint with decision variable as the RHS</t>
  </si>
  <si>
    <t>Solver doesn't count this as applying a bound</t>
  </si>
  <si>
    <t>Test1</t>
  </si>
  <si>
    <t>Test1b</t>
  </si>
  <si>
    <t>Test1c</t>
  </si>
  <si>
    <t>Test1c2</t>
  </si>
  <si>
    <t>FAIL</t>
  </si>
  <si>
    <t>Test1d</t>
  </si>
  <si>
    <t>Test1e</t>
  </si>
  <si>
    <t>Test1f</t>
  </si>
  <si>
    <t>Test1g</t>
  </si>
  <si>
    <t>Test1h</t>
  </si>
  <si>
    <t>Test1i</t>
  </si>
  <si>
    <t>Test1j</t>
  </si>
  <si>
    <t>Test1j2</t>
  </si>
  <si>
    <t>Test1k</t>
  </si>
  <si>
    <t>Test1l</t>
  </si>
  <si>
    <t>Test1m</t>
  </si>
  <si>
    <t>Test2</t>
  </si>
  <si>
    <t>Test3</t>
  </si>
  <si>
    <t>Test4</t>
  </si>
  <si>
    <t>Test5</t>
  </si>
  <si>
    <t>Test!6</t>
  </si>
  <si>
    <t>Test7</t>
  </si>
  <si>
    <t>Test8</t>
  </si>
  <si>
    <t>Test8B</t>
  </si>
  <si>
    <t>Test9A</t>
  </si>
  <si>
    <t>Test9B</t>
  </si>
  <si>
    <t>Test10</t>
  </si>
  <si>
    <t>Test11</t>
  </si>
  <si>
    <t>Test12</t>
  </si>
  <si>
    <t>Test13</t>
  </si>
  <si>
    <t>Test13b</t>
  </si>
  <si>
    <t>Test14</t>
  </si>
  <si>
    <t>Test15</t>
  </si>
  <si>
    <t>Test15b</t>
  </si>
  <si>
    <t>Test15c</t>
  </si>
  <si>
    <t>Test15d</t>
  </si>
  <si>
    <t>Test16</t>
  </si>
  <si>
    <t>Test16b</t>
  </si>
  <si>
    <t>Test17</t>
  </si>
  <si>
    <t>Test18</t>
  </si>
  <si>
    <t>Test19</t>
  </si>
  <si>
    <t>Test20</t>
  </si>
  <si>
    <t>Test21</t>
  </si>
  <si>
    <t>Test22</t>
  </si>
  <si>
    <t>Test23</t>
  </si>
  <si>
    <t>Test24_IterativeCalc</t>
  </si>
  <si>
    <t>Test25</t>
  </si>
  <si>
    <t>Test26</t>
  </si>
  <si>
    <t>Test27_Parameters</t>
  </si>
  <si>
    <t>N/A</t>
  </si>
  <si>
    <t>Test28_CBCOptions</t>
  </si>
  <si>
    <t>Test29</t>
  </si>
  <si>
    <t>Test30</t>
  </si>
  <si>
    <t>Test31</t>
  </si>
  <si>
    <t>OpenSolver Sensitivity Report - Gurobi</t>
  </si>
  <si>
    <t>Test32</t>
  </si>
  <si>
    <t>Test33</t>
  </si>
  <si>
    <t>Test34</t>
  </si>
  <si>
    <t>Test35</t>
  </si>
  <si>
    <t>Test36</t>
  </si>
  <si>
    <t>Test37</t>
  </si>
  <si>
    <t>Test38</t>
  </si>
  <si>
    <t>Test39_SensNames</t>
  </si>
  <si>
    <t>Test41</t>
  </si>
  <si>
    <t>Test42</t>
  </si>
  <si>
    <t>Test43</t>
  </si>
  <si>
    <t>Report Created: 8/08/2014 4:22:19 p.m.</t>
  </si>
  <si>
    <t>Report Created: 8/08/2014 4:22:25 p.m.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</si>
</sst>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0" fontId="0" fillId="0" borderId="0" xfId="0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078247232"/>
        <c:axId val="1078245056"/>
        <c:axId val="1011422944"/>
      </c:surface3DChart>
      <c:catAx>
        <c:axId val="10782472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50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0782450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7232"/>
        <c:crosses val="min"/>
        <c:crossBetween val="between"/>
        <c:majorUnit val="0.1"/>
      </c:valAx>
      <c:serAx>
        <c:axId val="101142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50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0.28877593976107541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0.49992746358743395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1.7114362133600411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0.49983763373888013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0.28877593976107541</c:v>
                </c:pt>
                <c:pt idx="3">
                  <c:v>0</c:v>
                </c:pt>
                <c:pt idx="4">
                  <c:v>0.28877593976107541</c:v>
                </c:pt>
                <c:pt idx="6">
                  <c:v>2</c:v>
                </c:pt>
                <c:pt idx="7">
                  <c:v>1.7114362133600411</c:v>
                </c:pt>
                <c:pt idx="9">
                  <c:v>2</c:v>
                </c:pt>
                <c:pt idx="10">
                  <c:v>1.7114362133600411</c:v>
                </c:pt>
                <c:pt idx="12">
                  <c:v>0.28877593976107541</c:v>
                </c:pt>
                <c:pt idx="13">
                  <c:v>1.7114362133600411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0.49992746358743395</c:v>
                </c:pt>
                <c:pt idx="3">
                  <c:v>1</c:v>
                </c:pt>
                <c:pt idx="4">
                  <c:v>0.49992746358743395</c:v>
                </c:pt>
                <c:pt idx="6">
                  <c:v>1</c:v>
                </c:pt>
                <c:pt idx="7">
                  <c:v>0.49983763373888013</c:v>
                </c:pt>
                <c:pt idx="9">
                  <c:v>0</c:v>
                </c:pt>
                <c:pt idx="10">
                  <c:v>0.49983763373888013</c:v>
                </c:pt>
                <c:pt idx="12">
                  <c:v>0.49992746358743395</c:v>
                </c:pt>
                <c:pt idx="13">
                  <c:v>0.49983763373888013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36352"/>
        <c:axId val="1078237440"/>
      </c:scatterChart>
      <c:valAx>
        <c:axId val="107823635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7440"/>
        <c:crosses val="autoZero"/>
        <c:crossBetween val="midCat"/>
        <c:majorUnit val="0.5"/>
      </c:valAx>
      <c:valAx>
        <c:axId val="107823744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635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2.3571428578812417</c:v>
                </c:pt>
                <c:pt idx="2">
                  <c:v>7.0000000001171454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1.8557687214573511</c:v>
                </c:pt>
                <c:pt idx="2">
                  <c:v>-2.4921222863127923E-9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39072"/>
        <c:axId val="1078239616"/>
      </c:scatterChart>
      <c:valAx>
        <c:axId val="107823907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9616"/>
        <c:crosses val="autoZero"/>
        <c:crossBetween val="midCat"/>
        <c:majorUnit val="1"/>
      </c:valAx>
      <c:valAx>
        <c:axId val="10782396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907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150719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2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5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C65"/>
  <sheetViews>
    <sheetView zoomScale="85" zoomScaleNormal="85" workbookViewId="0">
      <selection activeCell="G37" sqref="G37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3" s="62" customFormat="1" ht="15.75" thickBot="1" x14ac:dyDescent="0.3">
      <c r="A1" s="83"/>
      <c r="B1" s="87" t="s">
        <v>194</v>
      </c>
      <c r="C1" s="86" t="s">
        <v>197</v>
      </c>
    </row>
    <row r="2" spans="1:3" x14ac:dyDescent="0.25">
      <c r="B2" s="82" t="s">
        <v>392</v>
      </c>
      <c r="C2" s="60" t="s">
        <v>216</v>
      </c>
    </row>
    <row r="3" spans="1:3" x14ac:dyDescent="0.25">
      <c r="B3" s="82" t="s">
        <v>393</v>
      </c>
      <c r="C3" s="60" t="s">
        <v>216</v>
      </c>
    </row>
    <row r="4" spans="1:3" x14ac:dyDescent="0.25">
      <c r="B4" s="82" t="s">
        <v>394</v>
      </c>
      <c r="C4" s="60" t="s">
        <v>216</v>
      </c>
    </row>
    <row r="5" spans="1:3" x14ac:dyDescent="0.25">
      <c r="B5" s="82" t="s">
        <v>395</v>
      </c>
      <c r="C5" s="60" t="s">
        <v>216</v>
      </c>
    </row>
    <row r="6" spans="1:3" x14ac:dyDescent="0.25">
      <c r="B6" s="82" t="s">
        <v>397</v>
      </c>
      <c r="C6" s="60" t="s">
        <v>216</v>
      </c>
    </row>
    <row r="7" spans="1:3" x14ac:dyDescent="0.25">
      <c r="B7" s="82" t="s">
        <v>398</v>
      </c>
      <c r="C7" s="60" t="s">
        <v>216</v>
      </c>
    </row>
    <row r="8" spans="1:3" x14ac:dyDescent="0.25">
      <c r="B8" s="82" t="s">
        <v>399</v>
      </c>
      <c r="C8" s="60" t="s">
        <v>216</v>
      </c>
    </row>
    <row r="9" spans="1:3" x14ac:dyDescent="0.25">
      <c r="B9" s="82" t="s">
        <v>400</v>
      </c>
      <c r="C9" s="60" t="s">
        <v>216</v>
      </c>
    </row>
    <row r="10" spans="1:3" x14ac:dyDescent="0.25">
      <c r="B10" s="82" t="s">
        <v>401</v>
      </c>
      <c r="C10" s="60" t="s">
        <v>216</v>
      </c>
    </row>
    <row r="11" spans="1:3" x14ac:dyDescent="0.25">
      <c r="B11" s="82" t="s">
        <v>402</v>
      </c>
      <c r="C11" s="60" t="s">
        <v>216</v>
      </c>
    </row>
    <row r="12" spans="1:3" x14ac:dyDescent="0.25">
      <c r="B12" s="82" t="s">
        <v>403</v>
      </c>
      <c r="C12" s="60" t="s">
        <v>216</v>
      </c>
    </row>
    <row r="13" spans="1:3" x14ac:dyDescent="0.25">
      <c r="B13" s="82" t="s">
        <v>404</v>
      </c>
      <c r="C13" s="60" t="s">
        <v>216</v>
      </c>
    </row>
    <row r="14" spans="1:3" x14ac:dyDescent="0.25">
      <c r="B14" s="82" t="s">
        <v>405</v>
      </c>
      <c r="C14" s="60" t="s">
        <v>216</v>
      </c>
    </row>
    <row r="15" spans="1:3" x14ac:dyDescent="0.25">
      <c r="B15" s="82" t="s">
        <v>406</v>
      </c>
      <c r="C15" s="60" t="s">
        <v>216</v>
      </c>
    </row>
    <row r="16" spans="1:3" x14ac:dyDescent="0.25">
      <c r="B16" s="82" t="s">
        <v>407</v>
      </c>
      <c r="C16" s="60" t="s">
        <v>216</v>
      </c>
    </row>
    <row r="17" spans="2:3" x14ac:dyDescent="0.25">
      <c r="B17" s="82" t="s">
        <v>408</v>
      </c>
      <c r="C17" s="60" t="s">
        <v>216</v>
      </c>
    </row>
    <row r="18" spans="2:3" x14ac:dyDescent="0.25">
      <c r="B18" s="82" t="s">
        <v>409</v>
      </c>
      <c r="C18" s="60" t="s">
        <v>216</v>
      </c>
    </row>
    <row r="19" spans="2:3" x14ac:dyDescent="0.25">
      <c r="B19" s="82" t="s">
        <v>410</v>
      </c>
      <c r="C19" s="60" t="s">
        <v>216</v>
      </c>
    </row>
    <row r="20" spans="2:3" x14ac:dyDescent="0.25">
      <c r="B20" s="82" t="s">
        <v>411</v>
      </c>
      <c r="C20" s="60" t="s">
        <v>216</v>
      </c>
    </row>
    <row r="21" spans="2:3" x14ac:dyDescent="0.25">
      <c r="B21" s="82" t="s">
        <v>412</v>
      </c>
      <c r="C21" s="60" t="s">
        <v>216</v>
      </c>
    </row>
    <row r="22" spans="2:3" x14ac:dyDescent="0.25">
      <c r="B22" s="82" t="s">
        <v>413</v>
      </c>
      <c r="C22" s="60" t="s">
        <v>216</v>
      </c>
    </row>
    <row r="23" spans="2:3" x14ac:dyDescent="0.25">
      <c r="B23" s="82" t="s">
        <v>414</v>
      </c>
      <c r="C23" s="60" t="s">
        <v>216</v>
      </c>
    </row>
    <row r="24" spans="2:3" x14ac:dyDescent="0.25">
      <c r="B24" s="82" t="s">
        <v>415</v>
      </c>
      <c r="C24" s="60" t="s">
        <v>216</v>
      </c>
    </row>
    <row r="25" spans="2:3" x14ac:dyDescent="0.25">
      <c r="B25" s="82" t="s">
        <v>416</v>
      </c>
      <c r="C25" s="60" t="s">
        <v>216</v>
      </c>
    </row>
    <row r="26" spans="2:3" x14ac:dyDescent="0.25">
      <c r="B26" s="82" t="s">
        <v>417</v>
      </c>
      <c r="C26" s="60" t="s">
        <v>216</v>
      </c>
    </row>
    <row r="27" spans="2:3" x14ac:dyDescent="0.25">
      <c r="B27" s="82" t="s">
        <v>418</v>
      </c>
      <c r="C27" s="60" t="s">
        <v>216</v>
      </c>
    </row>
    <row r="28" spans="2:3" x14ac:dyDescent="0.25">
      <c r="B28" s="82" t="s">
        <v>419</v>
      </c>
      <c r="C28" s="60" t="s">
        <v>396</v>
      </c>
    </row>
    <row r="29" spans="2:3" x14ac:dyDescent="0.25">
      <c r="B29" s="82" t="s">
        <v>420</v>
      </c>
      <c r="C29" s="60" t="s">
        <v>396</v>
      </c>
    </row>
    <row r="30" spans="2:3" x14ac:dyDescent="0.25">
      <c r="B30" s="82" t="s">
        <v>421</v>
      </c>
      <c r="C30" s="60" t="s">
        <v>396</v>
      </c>
    </row>
    <row r="31" spans="2:3" x14ac:dyDescent="0.25">
      <c r="B31" s="82" t="s">
        <v>422</v>
      </c>
      <c r="C31" s="60" t="s">
        <v>396</v>
      </c>
    </row>
    <row r="32" spans="2:3" x14ac:dyDescent="0.25">
      <c r="B32" s="82" t="s">
        <v>423</v>
      </c>
      <c r="C32" s="60" t="s">
        <v>216</v>
      </c>
    </row>
    <row r="33" spans="2:3" x14ac:dyDescent="0.25">
      <c r="B33" s="82" t="s">
        <v>424</v>
      </c>
      <c r="C33" s="60" t="s">
        <v>216</v>
      </c>
    </row>
    <row r="34" spans="2:3" x14ac:dyDescent="0.25">
      <c r="B34" s="82" t="s">
        <v>425</v>
      </c>
      <c r="C34" s="60" t="s">
        <v>216</v>
      </c>
    </row>
    <row r="35" spans="2:3" x14ac:dyDescent="0.25">
      <c r="B35" s="82" t="s">
        <v>426</v>
      </c>
      <c r="C35" s="60" t="s">
        <v>216</v>
      </c>
    </row>
    <row r="36" spans="2:3" x14ac:dyDescent="0.25">
      <c r="B36" s="82" t="s">
        <v>427</v>
      </c>
      <c r="C36" s="60" t="s">
        <v>216</v>
      </c>
    </row>
    <row r="37" spans="2:3" x14ac:dyDescent="0.25">
      <c r="B37" s="82" t="s">
        <v>428</v>
      </c>
      <c r="C37" s="60" t="s">
        <v>216</v>
      </c>
    </row>
    <row r="38" spans="2:3" x14ac:dyDescent="0.25">
      <c r="B38" s="82" t="s">
        <v>429</v>
      </c>
      <c r="C38" s="60" t="s">
        <v>216</v>
      </c>
    </row>
    <row r="39" spans="2:3" x14ac:dyDescent="0.25">
      <c r="B39" s="82" t="s">
        <v>430</v>
      </c>
      <c r="C39" s="60" t="s">
        <v>216</v>
      </c>
    </row>
    <row r="40" spans="2:3" x14ac:dyDescent="0.25">
      <c r="B40" s="82" t="s">
        <v>431</v>
      </c>
      <c r="C40" s="60" t="s">
        <v>216</v>
      </c>
    </row>
    <row r="41" spans="2:3" x14ac:dyDescent="0.25">
      <c r="B41" s="82" t="s">
        <v>432</v>
      </c>
      <c r="C41" s="60" t="s">
        <v>216</v>
      </c>
    </row>
    <row r="42" spans="2:3" x14ac:dyDescent="0.25">
      <c r="B42" s="82" t="s">
        <v>433</v>
      </c>
      <c r="C42" s="60" t="s">
        <v>216</v>
      </c>
    </row>
    <row r="43" spans="2:3" x14ac:dyDescent="0.25">
      <c r="B43" s="82" t="s">
        <v>434</v>
      </c>
      <c r="C43" s="60" t="s">
        <v>216</v>
      </c>
    </row>
    <row r="44" spans="2:3" x14ac:dyDescent="0.25">
      <c r="B44" s="82" t="s">
        <v>435</v>
      </c>
      <c r="C44" s="60" t="s">
        <v>216</v>
      </c>
    </row>
    <row r="45" spans="2:3" x14ac:dyDescent="0.25">
      <c r="B45" s="82" t="s">
        <v>436</v>
      </c>
      <c r="C45" s="60" t="s">
        <v>216</v>
      </c>
    </row>
    <row r="46" spans="2:3" x14ac:dyDescent="0.25">
      <c r="B46" s="82" t="s">
        <v>437</v>
      </c>
      <c r="C46" s="60" t="s">
        <v>216</v>
      </c>
    </row>
    <row r="47" spans="2:3" x14ac:dyDescent="0.25">
      <c r="B47" s="82" t="s">
        <v>438</v>
      </c>
      <c r="C47" s="60" t="s">
        <v>216</v>
      </c>
    </row>
    <row r="48" spans="2:3" x14ac:dyDescent="0.25">
      <c r="B48" s="82" t="s">
        <v>439</v>
      </c>
      <c r="C48" s="60" t="s">
        <v>216</v>
      </c>
    </row>
    <row r="49" spans="2:3" x14ac:dyDescent="0.25">
      <c r="B49" s="82" t="s">
        <v>440</v>
      </c>
      <c r="C49" s="60" t="s">
        <v>441</v>
      </c>
    </row>
    <row r="50" spans="2:3" x14ac:dyDescent="0.25">
      <c r="B50" s="82" t="s">
        <v>442</v>
      </c>
      <c r="C50" s="60" t="s">
        <v>396</v>
      </c>
    </row>
    <row r="51" spans="2:3" x14ac:dyDescent="0.25">
      <c r="B51" s="84" t="s">
        <v>443</v>
      </c>
      <c r="C51" s="60" t="s">
        <v>216</v>
      </c>
    </row>
    <row r="52" spans="2:3" x14ac:dyDescent="0.25">
      <c r="B52" s="84" t="s">
        <v>444</v>
      </c>
      <c r="C52" s="60" t="s">
        <v>216</v>
      </c>
    </row>
    <row r="53" spans="2:3" x14ac:dyDescent="0.25">
      <c r="B53" s="84" t="s">
        <v>445</v>
      </c>
      <c r="C53" s="60" t="s">
        <v>216</v>
      </c>
    </row>
    <row r="54" spans="2:3" x14ac:dyDescent="0.25">
      <c r="B54" s="84" t="s">
        <v>447</v>
      </c>
      <c r="C54" s="60" t="s">
        <v>216</v>
      </c>
    </row>
    <row r="55" spans="2:3" x14ac:dyDescent="0.25">
      <c r="B55" s="84" t="s">
        <v>448</v>
      </c>
      <c r="C55" s="60" t="s">
        <v>216</v>
      </c>
    </row>
    <row r="56" spans="2:3" x14ac:dyDescent="0.25">
      <c r="B56" s="84" t="s">
        <v>449</v>
      </c>
      <c r="C56" s="60" t="s">
        <v>216</v>
      </c>
    </row>
    <row r="57" spans="2:3" x14ac:dyDescent="0.25">
      <c r="B57" s="84" t="s">
        <v>450</v>
      </c>
      <c r="C57" s="60" t="s">
        <v>396</v>
      </c>
    </row>
    <row r="58" spans="2:3" x14ac:dyDescent="0.25">
      <c r="B58" s="84" t="s">
        <v>451</v>
      </c>
      <c r="C58" s="60" t="s">
        <v>396</v>
      </c>
    </row>
    <row r="59" spans="2:3" x14ac:dyDescent="0.25">
      <c r="B59" s="84" t="s">
        <v>452</v>
      </c>
      <c r="C59" s="60" t="s">
        <v>216</v>
      </c>
    </row>
    <row r="60" spans="2:3" x14ac:dyDescent="0.25">
      <c r="B60" s="84" t="s">
        <v>453</v>
      </c>
      <c r="C60" s="60" t="s">
        <v>216</v>
      </c>
    </row>
    <row r="61" spans="2:3" x14ac:dyDescent="0.25">
      <c r="B61" s="84" t="s">
        <v>454</v>
      </c>
      <c r="C61" s="60" t="s">
        <v>216</v>
      </c>
    </row>
    <row r="62" spans="2:3" x14ac:dyDescent="0.25">
      <c r="B62" s="84" t="s">
        <v>389</v>
      </c>
      <c r="C62" s="60" t="s">
        <v>216</v>
      </c>
    </row>
    <row r="63" spans="2:3" x14ac:dyDescent="0.25">
      <c r="B63" s="84" t="s">
        <v>455</v>
      </c>
      <c r="C63" s="60" t="s">
        <v>216</v>
      </c>
    </row>
    <row r="64" spans="2:3" x14ac:dyDescent="0.25">
      <c r="B64" s="84" t="s">
        <v>456</v>
      </c>
      <c r="C64" s="60" t="s">
        <v>216</v>
      </c>
    </row>
    <row r="65" spans="2:3" x14ac:dyDescent="0.25">
      <c r="B65" s="84" t="s">
        <v>457</v>
      </c>
      <c r="C65" s="60" t="s">
        <v>216</v>
      </c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disabled="1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152400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1">
        <v>5.2941176470588198</v>
      </c>
      <c r="F5" s="171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f>SUMPRODUCT($D$5:$F$5,D10:F10)</f>
        <v>116.47058823529403</v>
      </c>
      <c r="H10" s="171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109.28998331327655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218.5799666265531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1092.8998331327655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2076.5096829522545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70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38269042968.75</v>
      </c>
      <c r="Q4" s="9">
        <v>31250000000</v>
      </c>
      <c r="R4" s="10">
        <v>15625000000</v>
      </c>
      <c r="S4" s="9">
        <f>SUM(Q4:R4)</f>
        <v>46875000000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15625000000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31250000000</v>
      </c>
      <c r="R6" s="10">
        <f>SUM(R4:R5)</f>
        <v>15625000000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933532714843.75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187500000000</v>
      </c>
      <c r="J9" s="1" t="s">
        <v>8</v>
      </c>
      <c r="K9" s="1">
        <f>61.2345678+2.3*N4-S5</f>
        <v>88018798889.359573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359375000000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-359375000000</v>
      </c>
      <c r="Q11" t="s">
        <v>22</v>
      </c>
    </row>
    <row r="12" spans="1:21" x14ac:dyDescent="0.25">
      <c r="G12" s="1">
        <v>-32</v>
      </c>
      <c r="I12" s="16">
        <f>SUMPRODUCT($D$5:$G$5,D12:G12)</f>
        <v>-500000000000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724.51200594514376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1449.0240118902875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7245.1200594514376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15214.752124848019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15214.752124848019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13765.728112957731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84217.504081607331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252672.51224482199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926452.54489768064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1852900.0897953613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1853285.0897953613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148087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69987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73901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32530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73338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22392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tabSelected="1" workbookViewId="0">
      <selection activeCell="K25" sqref="K25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0.19149489665310523</v>
      </c>
      <c r="E3" s="1">
        <v>5.2302484795384006</v>
      </c>
      <c r="F3" s="157">
        <v>4.5839104397329723E-2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264.29302890059165</v>
      </c>
      <c r="I5" s="1"/>
      <c r="J5" s="1"/>
    </row>
    <row r="6" spans="1:10" ht="15.75" thickBot="1" x14ac:dyDescent="0.3">
      <c r="A6" s="65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59.997751494221411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120.1411587806986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118.03255997842145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180.00000000000006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0.21214211452624013</v>
      </c>
      <c r="E3" s="1">
        <v>5.2088731574767415</v>
      </c>
      <c r="F3" s="157">
        <v>3.5387110318994427E-2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262.19550639553023</v>
      </c>
      <c r="I5" s="1"/>
      <c r="J5" s="1"/>
    </row>
    <row r="6" spans="1:12" ht="15.75" thickBot="1" x14ac:dyDescent="0.3">
      <c r="A6" s="65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59.843671201334487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4.2416440382238232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118.23629033220249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179.99999999999997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K52" sqref="K52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0</v>
      </c>
      <c r="E3" s="31">
        <v>54189.51332103461</v>
      </c>
      <c r="F3" s="31">
        <v>0</v>
      </c>
      <c r="G3" s="31"/>
      <c r="I3" s="165" t="b">
        <f>ABS(D3-I2)/(1+ABS(I2))&lt;=0.000001</f>
        <v>0</v>
      </c>
      <c r="J3" s="166" t="b">
        <f>ABS(E3-J2)/(1+ABS(J2))&lt;=0.000001</f>
        <v>0</v>
      </c>
      <c r="K3" s="166" t="b">
        <f>ABS(F3-K2)/(1+ABS(K2))&lt;=0.000001</f>
        <v>1</v>
      </c>
      <c r="L3" s="167" t="b">
        <f>ABS(L2-H5)/(1+ABS(L2))&lt;=0.000001</f>
        <v>0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26428530185.735287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596084.64653138071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1192169.2930627614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1192169.2930627614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1192169.2930627614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1192169.2930627614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1192169.2930627614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1192169.2930627614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1192169.2930627614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1192169.2930627614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1192169.2930627614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1192169.2930627614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1192169.2930627614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1192169.2930627614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1192169.2930627614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1192169.2930627614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1192169.2930627614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1192169.2930627614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1192169.2930627614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1192169.2930627614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1192169.2930627614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1192169.2930627614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1192169.2930627614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1192169.2930627614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1192169.2930627614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1192169.2930627614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1192169.2930627614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1192169.2930627614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1192169.2930627614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1192169.2930627614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1192169.2930627614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1192169.2930627614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1192169.2930627614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1192169.2930627614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1192169.2930627614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1192169.2930627614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1192169.2930627614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1192169.2930627614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1192169.2930627614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1192169.2930627614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1192169.2930627614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1192169.2930627614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1192169.2930627614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1192169.2930627614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1192169.2930627614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1192169.2930627614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1192169.2930627614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1192169.2930627614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1192169.2930627614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1192169.2930627614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1192169.2930627614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1192169.2930627614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1192169.2930627614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1192169.2930627614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1192169.2930627614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1192169.2930627614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1192169.2930627614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1192169.2930627614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1192169.2930627614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1192169.2930627614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1192169.2930627614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1192169.2930627614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1192169.2930627614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1192169.2930627614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1192169.2930627614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1192169.2930627614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1842443.4529151767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-27419893.740443513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1192169.2930627614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1192169.2930627614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1192169.2930627614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1192169.2930627614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1192169.2930627614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1192169.2930627614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1192169.2930627614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1192169.2930627614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1192169.2930627614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1192169.2930627614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1192169.2930627614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1192169.2930627614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1192169.2930627614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1192169.2930627614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1192169.2930627614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1192169.2930627614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1192169.2930627614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1192169.2930627614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1192169.2930627614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1192169.2930627614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1192169.2930627614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1192169.2930627614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1192169.2930627614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1192169.2930627614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1192169.2930627614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1192169.2930627614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1192169.2930627614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1192169.2930627614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1192169.2930627614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1192169.2930627614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1192169.2930627614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1192169.2930627614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1192169.2930627614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1192169.2930627614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1192169.2930627614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1192169.2930627614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1192169.2930627614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1192169.2930627614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1192169.2930627614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1192169.2930627614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1192169.2930627614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1192169.2930627614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1192169.2930627614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1192169.2930627614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1192169.2930627614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1192169.2930627614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1192169.2930627614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1192169.2930627614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1192169.2930627614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1192169.2930627614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1192169.2930627614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1192169.2930627614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1192169.2930627614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1192169.2930627614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1192169.2930627614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1192169.2930627614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1192169.2930627614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1192169.2930627614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1192169.2930627614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1192169.2930627614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1192169.2930627614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1192169.2930627614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1192169.2930627614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1192169.2930627614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1842443.4529151767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L19" sqref="L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</v>
      </c>
      <c r="E4" s="54">
        <v>-2</v>
      </c>
      <c r="F4" s="157">
        <v>0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</v>
      </c>
      <c r="E4" s="54">
        <v>-2</v>
      </c>
      <c r="F4" s="54">
        <v>-2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</v>
      </c>
      <c r="E4" s="157">
        <v>-2</v>
      </c>
      <c r="F4" s="54">
        <v>-2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K28" sqref="K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390</v>
      </c>
    </row>
    <row r="2" spans="1:13" ht="15.75" thickBot="1" x14ac:dyDescent="0.3">
      <c r="A2" s="65" t="s">
        <v>205</v>
      </c>
      <c r="D2" s="18" t="s">
        <v>391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M23" sqref="M2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119199</v>
      </c>
      <c r="N9" s="58">
        <f ca="1">M9+1</f>
        <v>119200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69636.200805689441</v>
      </c>
      <c r="F7" s="57">
        <v>34665.39055807516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347570.16464936896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1181982.8955594858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2329300.4005608964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734692.43488943903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1258338.3295350359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H32" sqref="H32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23986805.899767205</v>
      </c>
      <c r="E13" s="30">
        <v>-95243456.598836929</v>
      </c>
      <c r="F13" s="30">
        <v>-61352258.853730746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-483165793.41189939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-1544037069.8343031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-3002735074.9151082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-180531167.64349413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-819255928.94549489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0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5</v>
      </c>
      <c r="F4">
        <v>4</v>
      </c>
      <c r="G4">
        <v>5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446</v>
      </c>
    </row>
    <row r="2" spans="1:8" x14ac:dyDescent="0.25">
      <c r="A2" s="17" t="s">
        <v>244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458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4</v>
      </c>
      <c r="F4">
        <v>3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41358.362068422139</v>
      </c>
      <c r="F4">
        <v>0</v>
      </c>
      <c r="G4">
        <v>227255.89587935247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495870.15382712707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41358.362068422139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227255.89587935247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268614.2579477746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6" sqref="F16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0.99999916974477754</v>
      </c>
      <c r="D4" s="88">
        <v>0.99999878703141643</v>
      </c>
      <c r="F4">
        <f>100*(D4-C4^2)^2+(1-C4)^2</f>
        <v>2.0718633798888858E-11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0.99999916974477754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I5" sqref="I5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21.239411025659454</v>
      </c>
      <c r="E5">
        <v>0.94164569704112699</v>
      </c>
    </row>
    <row r="6" spans="1:15" ht="15.75" thickBot="1" x14ac:dyDescent="0.3">
      <c r="A6" s="65" t="b">
        <f>AND(F21)</f>
        <v>1</v>
      </c>
      <c r="F6">
        <f>D5^2*E5^2</f>
        <v>400.00000000000375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20.000000000000096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22.181056722700582</v>
      </c>
      <c r="H9">
        <v>40</v>
      </c>
    </row>
    <row r="10" spans="1:15" x14ac:dyDescent="0.25">
      <c r="F10">
        <f>D5</f>
        <v>21.239411025659454</v>
      </c>
      <c r="G10" t="s">
        <v>9</v>
      </c>
      <c r="H10">
        <v>0</v>
      </c>
    </row>
    <row r="11" spans="1:15" x14ac:dyDescent="0.25">
      <c r="F11">
        <f>E5</f>
        <v>0.94164569704112699</v>
      </c>
      <c r="H11">
        <v>0</v>
      </c>
    </row>
    <row r="12" spans="1:15" x14ac:dyDescent="0.25">
      <c r="F12">
        <f>E5*D5+E5+D5</f>
        <v>42.181056722700674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42.181056722700674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42.181056722700674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-2.181056722700486</v>
      </c>
      <c r="G15" t="s">
        <v>8</v>
      </c>
      <c r="H15">
        <v>0</v>
      </c>
      <c r="O15" s="90"/>
    </row>
    <row r="16" spans="1:15" x14ac:dyDescent="0.25">
      <c r="F16">
        <f>E5-D5*E5+D5</f>
        <v>2.181056722700486</v>
      </c>
      <c r="G16" t="s">
        <v>8</v>
      </c>
      <c r="H16">
        <v>60</v>
      </c>
      <c r="O16" s="90"/>
    </row>
    <row r="17" spans="6:15" x14ac:dyDescent="0.25">
      <c r="F17">
        <f>E5-D5+E5*D5</f>
        <v>-0.29776532861822957</v>
      </c>
      <c r="G17" t="s">
        <v>8</v>
      </c>
      <c r="H17">
        <v>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H43" sqref="H43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2</v>
      </c>
      <c r="E4">
        <v>0</v>
      </c>
      <c r="F4">
        <v>26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16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0.97701274154315954</v>
      </c>
      <c r="E5">
        <v>5.3962770737807286</v>
      </c>
      <c r="F5">
        <v>1.3020222598784112</v>
      </c>
      <c r="G5">
        <v>0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-3.581002031036526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-27.120246269772665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-19.444934194570365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1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1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1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0.9424051714775652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0.41277403136836521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5.1848876768566923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446</v>
      </c>
    </row>
    <row r="2" spans="1:8" x14ac:dyDescent="0.25">
      <c r="A2" s="17" t="s">
        <v>285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459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69"/>
      <c r="C22" s="169"/>
      <c r="D22" s="169"/>
      <c r="E22" s="169"/>
      <c r="F22" s="169"/>
      <c r="G22" s="169"/>
      <c r="H22" s="169"/>
    </row>
    <row r="23" spans="1:8" ht="15.75" thickBot="1" x14ac:dyDescent="0.3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25">
      <c r="C15" t="s">
        <v>264</v>
      </c>
      <c r="D15">
        <v>0</v>
      </c>
      <c r="E15" s="88">
        <v>0</v>
      </c>
      <c r="F15">
        <v>200</v>
      </c>
      <c r="G15" s="88">
        <v>100</v>
      </c>
      <c r="H15">
        <v>0</v>
      </c>
      <c r="I15">
        <f>SUM(D15:H15)</f>
        <v>300</v>
      </c>
      <c r="J15">
        <v>300</v>
      </c>
    </row>
    <row r="16" spans="1:10" x14ac:dyDescent="0.25">
      <c r="C16" t="s">
        <v>265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13250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135.09256135510151</v>
      </c>
      <c r="E11" s="130"/>
    </row>
    <row r="12" spans="1:5" x14ac:dyDescent="0.25">
      <c r="C12" s="128" t="s">
        <v>329</v>
      </c>
      <c r="D12" s="129">
        <f>D11/D4</f>
        <v>27.018512271020303</v>
      </c>
      <c r="E12" s="130"/>
    </row>
    <row r="13" spans="1:5" x14ac:dyDescent="0.25">
      <c r="C13" s="128" t="s">
        <v>330</v>
      </c>
      <c r="D13" s="131">
        <f>D8*D11/2</f>
        <v>0.37011660645233291</v>
      </c>
      <c r="E13" s="130"/>
    </row>
    <row r="14" spans="1:5" x14ac:dyDescent="0.25">
      <c r="C14" s="128" t="s">
        <v>331</v>
      </c>
      <c r="D14" s="133">
        <f>D5/D12</f>
        <v>0.37011660374527233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I24" sqref="F24:I24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0.28877593976107541</v>
      </c>
      <c r="G2" s="137">
        <v>0.49992746358743395</v>
      </c>
      <c r="H2" s="137">
        <v>1.7114362133600411</v>
      </c>
      <c r="I2" s="137">
        <v>0.49983763373888013</v>
      </c>
      <c r="J2" s="135">
        <f>SQRT(($F$2-D2)^2+($G$2-E2)^2)</f>
        <v>0.57733786662045417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0.57746349240362316</v>
      </c>
      <c r="K3" s="107"/>
      <c r="N3" s="97" t="s">
        <v>344</v>
      </c>
      <c r="O3" s="97">
        <f>$F$2</f>
        <v>0.28877593976107541</v>
      </c>
      <c r="P3" s="97">
        <f>$G$2</f>
        <v>0.49992746358743395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0.57743523583507994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0.5771539821067464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1.4226602764349912</v>
      </c>
      <c r="K6" s="107"/>
      <c r="N6" s="97" t="s">
        <v>344</v>
      </c>
      <c r="O6" s="97">
        <f>$F$2</f>
        <v>0.28877593976107541</v>
      </c>
      <c r="P6" s="97">
        <f>$G$2</f>
        <v>0.49992746358743395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3.7320508534008949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1.7114362133600411</v>
      </c>
      <c r="P9" s="97">
        <f>$I$2</f>
        <v>0.49983763373888013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1.7114362133600411</v>
      </c>
      <c r="P12" s="97">
        <f>$I$2</f>
        <v>0.49983763373888013</v>
      </c>
    </row>
    <row r="14" spans="1:16" x14ac:dyDescent="0.25">
      <c r="N14" s="97" t="s">
        <v>344</v>
      </c>
      <c r="O14" s="97">
        <f>$F$2</f>
        <v>0.28877593976107541</v>
      </c>
      <c r="P14" s="97">
        <f>$G$2</f>
        <v>0.49992746358743395</v>
      </c>
    </row>
    <row r="15" spans="1:16" x14ac:dyDescent="0.25">
      <c r="N15" s="97" t="s">
        <v>346</v>
      </c>
      <c r="O15" s="97">
        <f>$H$2</f>
        <v>1.7114362133600411</v>
      </c>
      <c r="P15" s="97">
        <f>$I$2</f>
        <v>0.49983763373888013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 t="shared" ref="F24:H24" si="0">ABS(F2-F23)/(1+ABS(F23))&lt;=0.001</f>
        <v>1</v>
      </c>
      <c r="G24" s="8" t="b">
        <f t="shared" si="0"/>
        <v>1</v>
      </c>
      <c r="H24" s="8" t="b">
        <f t="shared" si="0"/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3" t="s">
        <v>348</v>
      </c>
      <c r="D1" s="173"/>
      <c r="E1" s="173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2.3571428578812417</v>
      </c>
      <c r="I4" s="148">
        <f>SIN(RADIANS(D7))*D2</f>
        <v>1.8557687214573511</v>
      </c>
    </row>
    <row r="5" spans="1:9" x14ac:dyDescent="0.25">
      <c r="A5" s="64" t="s">
        <v>210</v>
      </c>
      <c r="H5" s="148">
        <f>H4+COS(RADIANS(D8))*D3</f>
        <v>7.0000000001171454</v>
      </c>
      <c r="I5" s="148">
        <f>I4+SIN(RADIANS(D8))*D3</f>
        <v>-2.4921222863127923E-9</v>
      </c>
    </row>
    <row r="6" spans="1:9" ht="15.75" thickBot="1" x14ac:dyDescent="0.3">
      <c r="A6" s="65" t="b">
        <f>AND(F16)</f>
        <v>1</v>
      </c>
      <c r="C6" s="173" t="s">
        <v>229</v>
      </c>
      <c r="D6" s="173"/>
      <c r="E6" s="173"/>
    </row>
    <row r="7" spans="1:9" x14ac:dyDescent="0.25">
      <c r="A7" s="64" t="s">
        <v>211</v>
      </c>
      <c r="C7" s="150" t="s">
        <v>353</v>
      </c>
      <c r="D7" s="151">
        <v>-153171681.78678933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257868698.2132107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3" t="s">
        <v>356</v>
      </c>
      <c r="D10" s="173"/>
      <c r="E10" s="173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7.0000000001171454</v>
      </c>
      <c r="D12" s="153">
        <f>D4</f>
        <v>7</v>
      </c>
      <c r="E12" s="153">
        <f>D12-C12</f>
        <v>-1.1714540448792832E-10</v>
      </c>
      <c r="F12" s="153">
        <f>E12^2</f>
        <v>1.3723045792640336E-20</v>
      </c>
    </row>
    <row r="13" spans="1:9" x14ac:dyDescent="0.25">
      <c r="C13" s="153">
        <f>D2*SIN(RADIANS(D7))+D3*SIN(RADIANS(D8))</f>
        <v>-2.4921222863127923E-9</v>
      </c>
      <c r="D13" s="153">
        <v>0</v>
      </c>
      <c r="E13" s="153">
        <f>C13-D13</f>
        <v>-2.4921222863127923E-9</v>
      </c>
      <c r="F13" s="153">
        <f>E13^2</f>
        <v>6.2106734899368992E-18</v>
      </c>
    </row>
    <row r="15" spans="1:9" x14ac:dyDescent="0.25">
      <c r="C15" s="173" t="s">
        <v>361</v>
      </c>
      <c r="D15" s="173"/>
      <c r="E15" s="173"/>
      <c r="F15" s="154">
        <f>SUM(F12:F13)</f>
        <v>6.2243965357295395E-18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</v>
      </c>
      <c r="E2">
        <v>100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2014-08-08T05:09:07Z</dcterms:modified>
</cp:coreProperties>
</file>