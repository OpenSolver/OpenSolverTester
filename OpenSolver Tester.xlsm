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1.xml" ContentType="application/vnd.openxmlformats-officedocument.drawingml.chart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harts/chart2.xml" ContentType="application/vnd.openxmlformats-officedocument.drawingml.chart+xml"/>
  <Override PartName="/xl/drawings/drawing49.xml" ContentType="application/vnd.openxmlformats-officedocument.drawing+xml"/>
  <Override PartName="/xl/charts/chart3.xml" ContentType="application/vnd.openxmlformats-officedocument.drawingml.chart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8480" windowHeight="20460" firstSheet="1" activeTab="1"/>
  </bookViews>
  <sheets>
    <sheet name="Data" sheetId="61" r:id="rId1"/>
    <sheet name="Results" sheetId="60" r:id="rId2"/>
    <sheet name="SimpleLP" sheetId="1" r:id="rId3"/>
    <sheet name="SimpleIP" sheetId="113" r:id="rId4"/>
    <sheet name="OverlappingVars" sheetId="22" r:id="rId5"/>
    <sheet name="BlankRHS" sheetId="24" r:id="rId6"/>
    <sheet name="BlankLHS" sheetId="32" r:id="rId7"/>
    <sheet name="TextRHS" sheetId="25" r:id="rId8"/>
    <sheet name="ErrorRHS" sheetId="26" r:id="rId9"/>
    <sheet name="ErrorLHS" sheetId="27" r:id="rId10"/>
    <sheet name="ErrorObj" sheetId="28" r:id="rId11"/>
    <sheet name="TextObj" sheetId="29" r:id="rId12"/>
    <sheet name="MergedVarsSubset" sheetId="30" r:id="rId13"/>
    <sheet name="MergedVarsOK" sheetId="31" r:id="rId14"/>
    <sheet name="MergedVarsBad" sheetId="36" r:id="rId15"/>
    <sheet name="MergedRHS_OK" sheetId="33" r:id="rId16"/>
    <sheet name="MergedLHS_OK" sheetId="34" r:id="rId17"/>
    <sheet name="MergedLHSMultiple_OK" sheetId="35" r:id="rId18"/>
    <sheet name="BinIntOverlap" sheetId="6" r:id="rId19"/>
    <sheet name="ConFormula" sheetId="8" r:id="rId20"/>
    <sheet name="ConFormulaInf" sheetId="9" r:id="rId21"/>
    <sheet name="BadName!" sheetId="10" r:id="rId22"/>
    <sheet name="EscapeSheetName(1)+2-1" sheetId="94" r:id="rId23"/>
    <sheet name="DeletedConRef" sheetId="12" r:id="rId24"/>
    <sheet name="DeletedObjRef" sheetId="55" r:id="rId25"/>
    <sheet name="InfConstConstraint" sheetId="14" r:id="rId26"/>
    <sheet name="FeasConstConstraint" sheetId="41" r:id="rId27"/>
    <sheet name="Unbounded" sheetId="111" r:id="rId28"/>
    <sheet name="ProtectedSheet" sheetId="18" r:id="rId29"/>
    <sheet name="IndirectLBs" sheetId="23" r:id="rId30"/>
    <sheet name="DirectLBs" sheetId="42" r:id="rId31"/>
    <sheet name="SingleRangeLB" sheetId="43" r:id="rId32"/>
    <sheet name="BinLB" sheetId="44" r:id="rId33"/>
    <sheet name="BinIntLB" sheetId="45" r:id="rId34"/>
    <sheet name="Relaxation" sheetId="98" r:id="rId35"/>
    <sheet name="LargeRangeLB" sheetId="46" r:id="rId36"/>
    <sheet name="OverlapRangeLB" sheetId="47" r:id="rId37"/>
    <sheet name="OverlapRangeLBwithFormula" sheetId="48" r:id="rId38"/>
    <sheet name="ConstFormulaRangeLB" sheetId="49" r:id="rId39"/>
    <sheet name="VariableFormulaRangeLB" sheetId="50" r:id="rId40"/>
    <sheet name="ConstraintLB" sheetId="51" r:id="rId41"/>
    <sheet name="ConstantLB" sheetId="52" r:id="rId42"/>
    <sheet name="FormulaLB" sheetId="53" r:id="rId43"/>
    <sheet name="VarConstraintLB" sheetId="54" r:id="rId44"/>
    <sheet name="FractionalCoeffs" sheetId="90" r:id="rId45"/>
    <sheet name="ComplexLayout" sheetId="7" r:id="rId46"/>
    <sheet name="InfModel" sheetId="11" r:id="rId47"/>
    <sheet name="IterativeCalc" sheetId="57" r:id="rId48"/>
    <sheet name="NoObj" sheetId="59" r:id="rId49"/>
    <sheet name="SeekObj" sheetId="92" r:id="rId50"/>
    <sheet name="DiffSheetObj" sheetId="112" r:id="rId51"/>
    <sheet name="NamedRanges" sheetId="66" r:id="rId52"/>
    <sheet name="QuickSolve" sheetId="4" r:id="rId53"/>
    <sheet name="SolverParameters" sheetId="2" r:id="rId54"/>
    <sheet name="Sensitivity" sheetId="65" r:id="rId55"/>
    <sheet name="SensitivityNames" sheetId="77" r:id="rId56"/>
    <sheet name="NonLinSimple" sheetId="20" r:id="rId57"/>
    <sheet name="NonLinLarge" sheetId="38" r:id="rId58"/>
    <sheet name="NonLinObj" sheetId="19" r:id="rId59"/>
    <sheet name="NonLinPruning" sheetId="69" r:id="rId60"/>
    <sheet name="NonLinMinMax" sheetId="70" r:id="rId61"/>
    <sheet name="NonLinConstraints" sheetId="71" r:id="rId62"/>
    <sheet name="NonLinBinary" sheetId="95" r:id="rId63"/>
    <sheet name="NonLin" sheetId="3" r:id="rId64"/>
    <sheet name="NonLin2" sheetId="68" r:id="rId65"/>
    <sheet name="NonLin3" sheetId="75" r:id="rId66"/>
    <sheet name="NonLin4" sheetId="85" r:id="rId67"/>
    <sheet name="NonLin5" sheetId="87" r:id="rId68"/>
    <sheet name="NonLin6" sheetId="88" r:id="rId69"/>
    <sheet name="Highlighting" sheetId="5" r:id="rId70"/>
    <sheet name="AutoModel" sheetId="40" r:id="rId71"/>
  </sheets>
  <functionGroups builtInGroupCount="18">
    <functionGroup name="PSI Distribution"/>
    <functionGroup name="PSI Statistics"/>
    <functionGroup name="PSI Property"/>
    <functionGroup name="PSI Dimension"/>
    <functionGroup name="PSI Optimization"/>
    <functionGroup name="PSI Data Mining"/>
  </functionGroups>
  <externalReferences>
    <externalReference r:id="rId72"/>
  </externalReferences>
  <definedNames>
    <definedName name="anscount" hidden="1">1</definedName>
    <definedName name="asdsad" localSheetId="50">#REF!</definedName>
    <definedName name="asdsad" localSheetId="34">#REF!</definedName>
    <definedName name="asdsad" localSheetId="3">#REF!</definedName>
    <definedName name="asdsad" localSheetId="27">#REF!</definedName>
    <definedName name="asdsad">#REF!</definedName>
    <definedName name="b">[1]InventoryStep!$B$4</definedName>
    <definedName name="CBCDualsNewSheet" hidden="1">FALSE</definedName>
    <definedName name="dffd" localSheetId="50">#REF!</definedName>
    <definedName name="dffd" localSheetId="22">#REF!</definedName>
    <definedName name="dffd" localSheetId="34">#REF!</definedName>
    <definedName name="dffd" localSheetId="49">#REF!</definedName>
    <definedName name="dffd" localSheetId="3">#REF!</definedName>
    <definedName name="dffd" localSheetId="27">#REF!</definedName>
    <definedName name="dffd">#REF!</definedName>
    <definedName name="DualsNewSheet" hidden="1">FALSE</definedName>
    <definedName name="feasibilitySolve" localSheetId="50" hidden="1">CBC (default)</definedName>
    <definedName name="feasibilitySolve" localSheetId="22" hidden="1">CBC (default)</definedName>
    <definedName name="feasibilitySolve" localSheetId="62" hidden="1">CBC (default)</definedName>
    <definedName name="feasibilitySolve" localSheetId="34" hidden="1">CBC (default)</definedName>
    <definedName name="feasibilitySolve" localSheetId="49" hidden="1">CBC (default)</definedName>
    <definedName name="feasibilitySolve" localSheetId="3" hidden="1">CBC (default)</definedName>
    <definedName name="feasibilitySolve" localSheetId="27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9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50">#REF!</definedName>
    <definedName name="Hey" localSheetId="22">#REF!</definedName>
    <definedName name="Hey" localSheetId="62">#REF!</definedName>
    <definedName name="Hey" localSheetId="34">#REF!</definedName>
    <definedName name="Hey" localSheetId="49">#REF!</definedName>
    <definedName name="Hey" localSheetId="3">#REF!</definedName>
    <definedName name="Hey" localSheetId="27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50">#REF!</definedName>
    <definedName name="junk" localSheetId="34">#REF!</definedName>
    <definedName name="junk" localSheetId="3">#REF!</definedName>
    <definedName name="junk" localSheetId="27">#REF!</definedName>
    <definedName name="junk">#REF!</definedName>
    <definedName name="K">[1]InventoryStep!$B$5</definedName>
    <definedName name="lll">Sensitivity!$I$9</definedName>
    <definedName name="MaximumCost" localSheetId="50">#REF!</definedName>
    <definedName name="MaximumCost" localSheetId="22">#REF!</definedName>
    <definedName name="MaximumCost" localSheetId="34">#REF!</definedName>
    <definedName name="MaximumCost" localSheetId="49">#REF!</definedName>
    <definedName name="MaximumCost" localSheetId="3">#REF!</definedName>
    <definedName name="MaximumCost" localSheetId="27">#REF!</definedName>
    <definedName name="MaximumCost">#REF!</definedName>
    <definedName name="me">2</definedName>
    <definedName name="MinValue" localSheetId="65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3" hidden="1">SolverParameters!$L$5:$M$5</definedName>
    <definedName name="OpenSolver_CBCParameters" localSheetId="53" hidden="1">SolverParameters!$C$5:$D$7</definedName>
    <definedName name="OpenSolver_ChosenSolver" localSheetId="21" hidden="1">CBC</definedName>
    <definedName name="OpenSolver_ChosenSolver" localSheetId="33" hidden="1">Couenne</definedName>
    <definedName name="OpenSolver_ChosenSolver" localSheetId="18" hidden="1">Couenne</definedName>
    <definedName name="OpenSolver_ChosenSolver" localSheetId="32" hidden="1">Couenne</definedName>
    <definedName name="OpenSolver_ChosenSolver" localSheetId="6" hidden="1">Couenne</definedName>
    <definedName name="OpenSolver_ChosenSolver" localSheetId="5" hidden="1">Couenne</definedName>
    <definedName name="OpenSolver_ChosenSolver" localSheetId="45" hidden="1">Couenne</definedName>
    <definedName name="OpenSolver_ChosenSolver" localSheetId="19" hidden="1">Couenne</definedName>
    <definedName name="OpenSolver_ChosenSolver" localSheetId="20" hidden="1">Couenne</definedName>
    <definedName name="OpenSolver_ChosenSolver" localSheetId="41" hidden="1">Couenne</definedName>
    <definedName name="OpenSolver_ChosenSolver" localSheetId="38" hidden="1">Couenne</definedName>
    <definedName name="OpenSolver_ChosenSolver" localSheetId="40" hidden="1">Couenne</definedName>
    <definedName name="OpenSolver_ChosenSolver" localSheetId="23" hidden="1">Couenne</definedName>
    <definedName name="OpenSolver_ChosenSolver" localSheetId="24" hidden="1">Couenne</definedName>
    <definedName name="OpenSolver_ChosenSolver" localSheetId="50" hidden="1">Couenne</definedName>
    <definedName name="OpenSolver_ChosenSolver" localSheetId="30" hidden="1">Couenne</definedName>
    <definedName name="OpenSolver_ChosenSolver" localSheetId="9" hidden="1">Couenne</definedName>
    <definedName name="OpenSolver_ChosenSolver" localSheetId="10" hidden="1">Couenne</definedName>
    <definedName name="OpenSolver_ChosenSolver" localSheetId="8" hidden="1">Couenne</definedName>
    <definedName name="OpenSolver_ChosenSolver" localSheetId="22" hidden="1">Couenne</definedName>
    <definedName name="OpenSolver_ChosenSolver" localSheetId="26" hidden="1">Couenne</definedName>
    <definedName name="OpenSolver_ChosenSolver" localSheetId="42" hidden="1">Couenne</definedName>
    <definedName name="OpenSolver_ChosenSolver" localSheetId="44" hidden="1">Couenne</definedName>
    <definedName name="OpenSolver_ChosenSolver" localSheetId="29" hidden="1">Couenne</definedName>
    <definedName name="OpenSolver_ChosenSolver" localSheetId="25" hidden="1">Couenne</definedName>
    <definedName name="OpenSolver_ChosenSolver" localSheetId="46" hidden="1">Couenne</definedName>
    <definedName name="OpenSolver_ChosenSolver" localSheetId="47" hidden="1">Couenne</definedName>
    <definedName name="OpenSolver_ChosenSolver" localSheetId="35" hidden="1">Couenne</definedName>
    <definedName name="OpenSolver_ChosenSolver" localSheetId="16" hidden="1">Couenne</definedName>
    <definedName name="OpenSolver_ChosenSolver" localSheetId="17" hidden="1">Couenne</definedName>
    <definedName name="OpenSolver_ChosenSolver" localSheetId="15" hidden="1">Couenne</definedName>
    <definedName name="OpenSolver_ChosenSolver" localSheetId="14" hidden="1">CBC</definedName>
    <definedName name="OpenSolver_ChosenSolver" localSheetId="13" hidden="1">Couenne</definedName>
    <definedName name="OpenSolver_ChosenSolver" localSheetId="12" hidden="1">CBC</definedName>
    <definedName name="OpenSolver_ChosenSolver" localSheetId="51" hidden="1">Couenne</definedName>
    <definedName name="OpenSolver_ChosenSolver" localSheetId="63" hidden="1">Couenne</definedName>
    <definedName name="OpenSolver_ChosenSolver" localSheetId="64" hidden="1">Couenne</definedName>
    <definedName name="OpenSolver_ChosenSolver" localSheetId="65" hidden="1">Couenne</definedName>
    <definedName name="OpenSolver_ChosenSolver" localSheetId="66" hidden="1">Couenne</definedName>
    <definedName name="OpenSolver_ChosenSolver" localSheetId="67" hidden="1">Couenne</definedName>
    <definedName name="OpenSolver_ChosenSolver" localSheetId="68" hidden="1">Couenne</definedName>
    <definedName name="OpenSolver_ChosenSolver" localSheetId="62" hidden="1">Couenne</definedName>
    <definedName name="OpenSolver_ChosenSolver" localSheetId="61" hidden="1">Couenne</definedName>
    <definedName name="OpenSolver_ChosenSolver" localSheetId="57" hidden="1">Couenne</definedName>
    <definedName name="OpenSolver_ChosenSolver" localSheetId="60" hidden="1">Couenne</definedName>
    <definedName name="OpenSolver_ChosenSolver" localSheetId="58" hidden="1">Couenne</definedName>
    <definedName name="OpenSolver_ChosenSolver" localSheetId="59" hidden="1">Couenne</definedName>
    <definedName name="OpenSolver_ChosenSolver" localSheetId="56" hidden="1">Couenne</definedName>
    <definedName name="OpenSolver_ChosenSolver" localSheetId="48" hidden="1">Couenne</definedName>
    <definedName name="OpenSolver_ChosenSolver" localSheetId="4" hidden="1">Couenne</definedName>
    <definedName name="OpenSolver_ChosenSolver" localSheetId="36" hidden="1">Couenne</definedName>
    <definedName name="OpenSolver_ChosenSolver" localSheetId="37" hidden="1">Couenne</definedName>
    <definedName name="OpenSolver_ChosenSolver" localSheetId="28" hidden="1">Couenne</definedName>
    <definedName name="OpenSolver_ChosenSolver" localSheetId="52" hidden="1">Couenne</definedName>
    <definedName name="OpenSolver_ChosenSolver" localSheetId="34" hidden="1">Couenne</definedName>
    <definedName name="OpenSolver_ChosenSolver" localSheetId="1" hidden="1">CBC</definedName>
    <definedName name="OpenSolver_ChosenSolver" localSheetId="49" hidden="1">Couenne</definedName>
    <definedName name="OpenSolver_ChosenSolver" localSheetId="54" hidden="1">Couenne</definedName>
    <definedName name="OpenSolver_ChosenSolver" localSheetId="55" hidden="1">Couenne</definedName>
    <definedName name="OpenSolver_ChosenSolver" localSheetId="3" hidden="1">Couenne</definedName>
    <definedName name="OpenSolver_ChosenSolver" localSheetId="2" hidden="1">Couenne</definedName>
    <definedName name="OpenSolver_ChosenSolver" localSheetId="31" hidden="1">Couenne</definedName>
    <definedName name="OpenSolver_ChosenSolver" localSheetId="53" hidden="1">Couenne</definedName>
    <definedName name="OpenSolver_ChosenSolver" localSheetId="11" hidden="1">Couenne</definedName>
    <definedName name="OpenSolver_ChosenSolver" localSheetId="7" hidden="1">Couenne</definedName>
    <definedName name="OpenSolver_ChosenSolver" localSheetId="27" hidden="1">Couenne</definedName>
    <definedName name="OpenSolver_ChosenSolver" localSheetId="43" hidden="1">Couenne</definedName>
    <definedName name="OpenSolver_ChosenSolver" localSheetId="39" hidden="1">Couenne</definedName>
    <definedName name="OpenSolver_ConstraintList" localSheetId="50">#REF!</definedName>
    <definedName name="OpenSolver_ConstraintList" localSheetId="34">#REF!</definedName>
    <definedName name="OpenSolver_ConstraintList" localSheetId="3">#REF!</definedName>
    <definedName name="OpenSolver_ConstraintList" localSheetId="27">#REF!</definedName>
    <definedName name="OpenSolver_ConstraintList">#REF!</definedName>
    <definedName name="OpenSolver_CouenneParameters" localSheetId="53" hidden="1">SolverParameters!$O$5:$P$5</definedName>
    <definedName name="OpenSolver_Duals" localSheetId="54" hidden="1">Sensitivity!$K$1</definedName>
    <definedName name="OpenSolver_DualsNewSheet" localSheetId="21" hidden="1">FALSE</definedName>
    <definedName name="OpenSolver_DualsNewSheet" localSheetId="57" hidden="1">FALSE</definedName>
    <definedName name="OpenSolver_DualsNewSheet" localSheetId="1" hidden="1">FALSE</definedName>
    <definedName name="OpenSolver_DualsNewSheet" localSheetId="49" hidden="1">TRUE</definedName>
    <definedName name="OpenSolver_DualsNewSheet" localSheetId="54" hidden="1">TRUE</definedName>
    <definedName name="OpenSolver_DualsNewSheet" localSheetId="55" hidden="1">TRUE</definedName>
    <definedName name="OpenSolver_DualsNewSheet" localSheetId="2" hidden="1">FALSE</definedName>
    <definedName name="OpenSolver_GurobiParameters" localSheetId="53" hidden="1">SolverParameters!$F$5:$G$5</definedName>
    <definedName name="OpenSolver_LinearityCheck" localSheetId="21" hidden="1">1</definedName>
    <definedName name="OpenSolver_LinearityCheck" localSheetId="33" hidden="1">1</definedName>
    <definedName name="OpenSolver_LinearityCheck" localSheetId="18" hidden="1">1</definedName>
    <definedName name="OpenSolver_LinearityCheck" localSheetId="32" hidden="1">1</definedName>
    <definedName name="OpenSolver_LinearityCheck" localSheetId="6" hidden="1">1</definedName>
    <definedName name="OpenSolver_LinearityCheck" localSheetId="5" hidden="1">1</definedName>
    <definedName name="OpenSolver_LinearityCheck" localSheetId="45" hidden="1">1</definedName>
    <definedName name="OpenSolver_LinearityCheck" localSheetId="19" hidden="1">1</definedName>
    <definedName name="OpenSolver_LinearityCheck" localSheetId="20" hidden="1">1</definedName>
    <definedName name="OpenSolver_LinearityCheck" localSheetId="41" hidden="1">1</definedName>
    <definedName name="OpenSolver_LinearityCheck" localSheetId="38" hidden="1">1</definedName>
    <definedName name="OpenSolver_LinearityCheck" localSheetId="40" hidden="1">1</definedName>
    <definedName name="OpenSolver_LinearityCheck" localSheetId="23" hidden="1">1</definedName>
    <definedName name="OpenSolver_LinearityCheck" localSheetId="24" hidden="1">1</definedName>
    <definedName name="OpenSolver_LinearityCheck" localSheetId="50" hidden="1">1</definedName>
    <definedName name="OpenSolver_LinearityCheck" localSheetId="30" hidden="1">1</definedName>
    <definedName name="OpenSolver_LinearityCheck" localSheetId="9" hidden="1">1</definedName>
    <definedName name="OpenSolver_LinearityCheck" localSheetId="10" hidden="1">1</definedName>
    <definedName name="OpenSolver_LinearityCheck" localSheetId="8" hidden="1">1</definedName>
    <definedName name="OpenSolver_LinearityCheck" localSheetId="22" hidden="1">1</definedName>
    <definedName name="OpenSolver_LinearityCheck" localSheetId="26" hidden="1">1</definedName>
    <definedName name="OpenSolver_LinearityCheck" localSheetId="42" hidden="1">1</definedName>
    <definedName name="OpenSolver_LinearityCheck" localSheetId="44" hidden="1">1</definedName>
    <definedName name="OpenSolver_LinearityCheck" localSheetId="29" hidden="1">1</definedName>
    <definedName name="OpenSolver_LinearityCheck" localSheetId="25" hidden="1">1</definedName>
    <definedName name="OpenSolver_LinearityCheck" localSheetId="46" hidden="1">1</definedName>
    <definedName name="OpenSolver_LinearityCheck" localSheetId="47" hidden="1">1</definedName>
    <definedName name="OpenSolver_LinearityCheck" localSheetId="35" hidden="1">1</definedName>
    <definedName name="OpenSolver_LinearityCheck" localSheetId="16" hidden="1">1</definedName>
    <definedName name="OpenSolver_LinearityCheck" localSheetId="17" hidden="1">1</definedName>
    <definedName name="OpenSolver_LinearityCheck" localSheetId="15" hidden="1">1</definedName>
    <definedName name="OpenSolver_LinearityCheck" localSheetId="14" hidden="1">1</definedName>
    <definedName name="OpenSolver_LinearityCheck" localSheetId="13" hidden="1">1</definedName>
    <definedName name="OpenSolver_LinearityCheck" localSheetId="12" hidden="1">1</definedName>
    <definedName name="OpenSolver_LinearityCheck" localSheetId="51" hidden="1">1</definedName>
    <definedName name="OpenSolver_LinearityCheck" localSheetId="63" hidden="1">1</definedName>
    <definedName name="OpenSolver_LinearityCheck" localSheetId="64" hidden="1">1</definedName>
    <definedName name="OpenSolver_LinearityCheck" localSheetId="65" hidden="1">1</definedName>
    <definedName name="OpenSolver_LinearityCheck" localSheetId="66" hidden="1">1</definedName>
    <definedName name="OpenSolver_LinearityCheck" localSheetId="67" hidden="1">1</definedName>
    <definedName name="OpenSolver_LinearityCheck" localSheetId="68" hidden="1">1</definedName>
    <definedName name="OpenSolver_LinearityCheck" localSheetId="62" hidden="1">1</definedName>
    <definedName name="OpenSolver_LinearityCheck" localSheetId="61" hidden="1">1</definedName>
    <definedName name="OpenSolver_LinearityCheck" localSheetId="57" hidden="1">1</definedName>
    <definedName name="OpenSolver_LinearityCheck" localSheetId="60" hidden="1">1</definedName>
    <definedName name="OpenSolver_LinearityCheck" localSheetId="58" hidden="1">1</definedName>
    <definedName name="OpenSolver_LinearityCheck" localSheetId="59" hidden="1">1</definedName>
    <definedName name="OpenSolver_LinearityCheck" localSheetId="56" hidden="1">1</definedName>
    <definedName name="OpenSolver_LinearityCheck" localSheetId="48" hidden="1">1</definedName>
    <definedName name="OpenSolver_LinearityCheck" localSheetId="4" hidden="1">1</definedName>
    <definedName name="OpenSolver_LinearityCheck" localSheetId="36" hidden="1">1</definedName>
    <definedName name="OpenSolver_LinearityCheck" localSheetId="37" hidden="1">1</definedName>
    <definedName name="OpenSolver_LinearityCheck" localSheetId="28" hidden="1">1</definedName>
    <definedName name="OpenSolver_LinearityCheck" localSheetId="34" hidden="1">1</definedName>
    <definedName name="OpenSolver_LinearityCheck" localSheetId="1" hidden="1">1</definedName>
    <definedName name="OpenSolver_LinearityCheck" localSheetId="49" hidden="1">1</definedName>
    <definedName name="OpenSolver_LinearityCheck" localSheetId="54" hidden="1">1</definedName>
    <definedName name="OpenSolver_LinearityCheck" localSheetId="55" hidden="1">1</definedName>
    <definedName name="OpenSolver_LinearityCheck" localSheetId="3" hidden="1">1</definedName>
    <definedName name="OpenSolver_LinearityCheck" localSheetId="2" hidden="1">1</definedName>
    <definedName name="OpenSolver_LinearityCheck" localSheetId="31" hidden="1">1</definedName>
    <definedName name="OpenSolver_LinearityCheck" localSheetId="53" hidden="1">1</definedName>
    <definedName name="OpenSolver_LinearityCheck" localSheetId="11" hidden="1">1</definedName>
    <definedName name="OpenSolver_LinearityCheck" localSheetId="7" hidden="1">1</definedName>
    <definedName name="OpenSolver_LinearityCheck" localSheetId="27" hidden="1">1</definedName>
    <definedName name="OpenSolver_LinearityCheck" localSheetId="43" hidden="1">1</definedName>
    <definedName name="OpenSolver_LinearityCheck" localSheetId="39" hidden="1">1</definedName>
    <definedName name="OpenSolver_ModelParameters" localSheetId="21">'BadName!'!$O$8:$P$8</definedName>
    <definedName name="OpenSolver_ModelParameters" localSheetId="33">BinIntLB!$O$10:$P$10</definedName>
    <definedName name="OpenSolver_ModelParameters" localSheetId="18">BinIntOverlap!$P$7:$Q$7</definedName>
    <definedName name="OpenSolver_ModelParameters" localSheetId="32">BinLB!$O$10:$P$10</definedName>
    <definedName name="OpenSolver_ModelParameters" localSheetId="6">BlankLHS!$O$7:$P$7</definedName>
    <definedName name="OpenSolver_ModelParameters" localSheetId="5">BlankRHS!$O$7:$P$7</definedName>
    <definedName name="OpenSolver_ModelParameters" localSheetId="45">ComplexLayout!$O$7:$P$7</definedName>
    <definedName name="OpenSolver_ModelParameters" localSheetId="19">ConFormula!$O$8:$P$8</definedName>
    <definedName name="OpenSolver_ModelParameters" localSheetId="20">ConFormulaInf!$O$8:$P$8</definedName>
    <definedName name="OpenSolver_ModelParameters" localSheetId="41">ConstantLB!$O$10:$P$10</definedName>
    <definedName name="OpenSolver_ModelParameters" localSheetId="38">ConstFormulaRangeLB!$O$9:$P$9</definedName>
    <definedName name="OpenSolver_ModelParameters" localSheetId="40">ConstraintLB!$O$10:$P$10</definedName>
    <definedName name="OpenSolver_ModelParameters" localSheetId="23">DeletedConRef!$O$8:$P$8</definedName>
    <definedName name="OpenSolver_ModelParameters" localSheetId="24">DeletedObjRef!$O$8:$P$8</definedName>
    <definedName name="OpenSolver_ModelParameters" localSheetId="9">ErrorLHS!$O$7:$P$7</definedName>
    <definedName name="OpenSolver_ModelParameters" localSheetId="10">ErrorObj!$O$7:$P$7</definedName>
    <definedName name="OpenSolver_ModelParameters" localSheetId="8">ErrorRHS!$O$7:$P$7</definedName>
    <definedName name="OpenSolver_ModelParameters" localSheetId="22">'EscapeSheetName(1)+2-1'!$O$7:$P$7</definedName>
    <definedName name="OpenSolver_ModelParameters" localSheetId="26">FeasConstConstraint!$Q$7:$R$7</definedName>
    <definedName name="OpenSolver_ModelParameters" localSheetId="42">FormulaLB!$O$10:$P$10</definedName>
    <definedName name="OpenSolver_ModelParameters" localSheetId="69">Highlighting!$P$6:$Q$6</definedName>
    <definedName name="OpenSolver_ModelParameters" localSheetId="29">IndirectLBs!$O$9:$P$9</definedName>
    <definedName name="OpenSolver_ModelParameters" localSheetId="25">InfConstConstraint!$Q$7:$R$7</definedName>
    <definedName name="OpenSolver_ModelParameters" localSheetId="46">InfModel!$O$8:$P$8</definedName>
    <definedName name="OpenSolver_ModelParameters" localSheetId="47">IterativeCalc!$O$8:$P$8</definedName>
    <definedName name="OpenSolver_ModelParameters" localSheetId="35">LargeRangeLB!$O$11:$P$11</definedName>
    <definedName name="OpenSolver_ModelParameters" localSheetId="16">MergedLHS_OK!$O$8:$P$8</definedName>
    <definedName name="OpenSolver_ModelParameters" localSheetId="17">MergedLHSMultiple_OK!$O$8:$P$8</definedName>
    <definedName name="OpenSolver_ModelParameters" localSheetId="15">MergedRHS_OK!$O$8:$P$8</definedName>
    <definedName name="OpenSolver_ModelParameters" localSheetId="14">MergedVarsBad!$O$8:$P$8</definedName>
    <definedName name="OpenSolver_ModelParameters" localSheetId="13">MergedVarsOK!$O$8:$P$8</definedName>
    <definedName name="OpenSolver_ModelParameters" localSheetId="12">MergedVarsSubset!$O$8:$P$8</definedName>
    <definedName name="OpenSolver_ModelParameters" localSheetId="62">#REF!</definedName>
    <definedName name="OpenSolver_ModelParameters" localSheetId="48">NoObj!$M$8:$M$8</definedName>
    <definedName name="OpenSolver_ModelParameters" localSheetId="4">OverlappingVars!$O$7:$P$7</definedName>
    <definedName name="OpenSolver_ModelParameters" localSheetId="36">OverlapRangeLB!$O$11:$P$11</definedName>
    <definedName name="OpenSolver_ModelParameters" localSheetId="37">OverlapRangeLBwithFormula!$O$11:$P$11</definedName>
    <definedName name="OpenSolver_ModelParameters" localSheetId="28">ProtectedSheet!$O$7:$P$7</definedName>
    <definedName name="OpenSolver_ModelParameters" localSheetId="52">QuickSolve!$O$7:$P$7</definedName>
    <definedName name="OpenSolver_ModelParameters" localSheetId="34">Relaxation!$O$10:$P$10</definedName>
    <definedName name="OpenSolver_ModelParameters" localSheetId="3">SimpleIP!$O$7:$P$7</definedName>
    <definedName name="OpenSolver_ModelParameters" localSheetId="31">SingleRangeLB!$O$9:$P$9</definedName>
    <definedName name="OpenSolver_ModelParameters" localSheetId="11">TextObj!$O$7:$P$7</definedName>
    <definedName name="OpenSolver_ModelParameters" localSheetId="7">TextRHS!$O$7:$P$7</definedName>
    <definedName name="OpenSolver_ModelParameters" localSheetId="27">Unbounded!$O$7:$P$7</definedName>
    <definedName name="OpenSolver_ModelParameters" localSheetId="43">VarConstraintLB!$O$10:$P$10</definedName>
    <definedName name="OpenSolver_ModelParameters" localSheetId="39">VariableFormulaRangeLB!$O$10:$P$10</definedName>
    <definedName name="OpenSolver_ModelParameters">SimpleLP!$O$7:$P$7</definedName>
    <definedName name="OpenSolver_NeosBonParameters" localSheetId="53" hidden="1">SolverParameters!$U$5:$V$5</definedName>
    <definedName name="OpenSolver_NeosCBCParameters" localSheetId="53" hidden="1">SolverParameters!$I$5:$J$7</definedName>
    <definedName name="OpenSolver_NeosCouParameters" localSheetId="53" hidden="1">SolverParameters!$X$5:$Y$5</definedName>
    <definedName name="OpenSolver_NOMADParameters" localSheetId="53" hidden="1">SolverParameters!$R$5:$S$5</definedName>
    <definedName name="OpenSolver_UpdateSensitivity" localSheetId="21" hidden="1">TRUE</definedName>
    <definedName name="OpenSolver_UpdateSensitivity" localSheetId="57" hidden="1">TRUE</definedName>
    <definedName name="OpenSolver_UpdateSensitivity" localSheetId="1" hidden="1">TRUE</definedName>
    <definedName name="OpenSolver_UpdateSensitivity" localSheetId="49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2" hidden="1">TRUE</definedName>
    <definedName name="OpenSolverModelParameters" localSheetId="52" hidden="1">QuickSolve!$O$7:$P$7</definedName>
    <definedName name="OpenSolverResult">Data!$A$1:$A$7</definedName>
    <definedName name="OpenSolverResultCodes">Data!$A$1:$B$7</definedName>
    <definedName name="p" localSheetId="50">#REF!</definedName>
    <definedName name="p" localSheetId="22">#REF!</definedName>
    <definedName name="p" localSheetId="34">#REF!</definedName>
    <definedName name="p" localSheetId="49">#REF!</definedName>
    <definedName name="p" localSheetId="3">#REF!</definedName>
    <definedName name="p" localSheetId="27">#REF!</definedName>
    <definedName name="p">#REF!</definedName>
    <definedName name="q" localSheetId="50">#REF!</definedName>
    <definedName name="q" localSheetId="22">#REF!</definedName>
    <definedName name="q" localSheetId="34">#REF!</definedName>
    <definedName name="q" localSheetId="49">#REF!</definedName>
    <definedName name="q" localSheetId="3">#REF!</definedName>
    <definedName name="q" localSheetId="27">#REF!</definedName>
    <definedName name="q">#REF!</definedName>
    <definedName name="s" localSheetId="50">#REF!</definedName>
    <definedName name="s" localSheetId="22">#REF!</definedName>
    <definedName name="s" localSheetId="34">#REF!</definedName>
    <definedName name="s" localSheetId="49">#REF!</definedName>
    <definedName name="s" localSheetId="3">#REF!</definedName>
    <definedName name="s" localSheetId="27">#REF!</definedName>
    <definedName name="s">#REF!</definedName>
    <definedName name="Scale" localSheetId="21">'BadName!'!$O$8</definedName>
    <definedName name="Scale" localSheetId="33">BinIntLB!$O$10</definedName>
    <definedName name="Scale" localSheetId="18">BinIntOverlap!$P$7</definedName>
    <definedName name="Scale" localSheetId="32">BinLB!$O$10</definedName>
    <definedName name="Scale" localSheetId="6">BlankLHS!$O$7</definedName>
    <definedName name="Scale" localSheetId="5">BlankRHS!$O$7</definedName>
    <definedName name="Scale" localSheetId="45">ComplexLayout!$O$7</definedName>
    <definedName name="Scale" localSheetId="19">ConFormula!$O$8</definedName>
    <definedName name="Scale" localSheetId="20">ConFormulaInf!$O$8</definedName>
    <definedName name="Scale" localSheetId="41">ConstantLB!$O$10</definedName>
    <definedName name="Scale" localSheetId="38">ConstFormulaRangeLB!$O$9</definedName>
    <definedName name="Scale" localSheetId="40">ConstraintLB!$O$10</definedName>
    <definedName name="Scale" localSheetId="23">DeletedConRef!$O$8</definedName>
    <definedName name="Scale" localSheetId="24">DeletedObjRef!$O$8</definedName>
    <definedName name="Scale" localSheetId="9">ErrorLHS!$O$7</definedName>
    <definedName name="Scale" localSheetId="10">ErrorObj!$O$7</definedName>
    <definedName name="Scale" localSheetId="8">ErrorRHS!$O$7</definedName>
    <definedName name="Scale" localSheetId="22">'EscapeSheetName(1)+2-1'!$O$7</definedName>
    <definedName name="Scale" localSheetId="26">FeasConstConstraint!$Q$7</definedName>
    <definedName name="Scale" localSheetId="42">FormulaLB!$O$10</definedName>
    <definedName name="Scale" localSheetId="69">Highlighting!$P$6</definedName>
    <definedName name="Scale" localSheetId="29">IndirectLBs!$O$9</definedName>
    <definedName name="Scale" localSheetId="25">InfConstConstraint!$Q$7</definedName>
    <definedName name="Scale" localSheetId="46">InfModel!$O$8</definedName>
    <definedName name="Scale" localSheetId="47">IterativeCalc!$O$8</definedName>
    <definedName name="Scale" localSheetId="35">LargeRangeLB!$O$11</definedName>
    <definedName name="Scale" localSheetId="16">MergedLHS_OK!$O$8</definedName>
    <definedName name="Scale" localSheetId="17">MergedLHSMultiple_OK!$O$8</definedName>
    <definedName name="Scale" localSheetId="15">MergedRHS_OK!$O$8</definedName>
    <definedName name="Scale" localSheetId="14">MergedVarsBad!$O$8</definedName>
    <definedName name="Scale" localSheetId="13">MergedVarsOK!$O$8</definedName>
    <definedName name="Scale" localSheetId="12">MergedVarsSubset!$O$8</definedName>
    <definedName name="Scale" localSheetId="62">#REF!</definedName>
    <definedName name="Scale" localSheetId="48">NoObj!#REF!</definedName>
    <definedName name="Scale" localSheetId="4">OverlappingVars!$O$7</definedName>
    <definedName name="Scale" localSheetId="36">OverlapRangeLB!$O$11</definedName>
    <definedName name="Scale" localSheetId="37">OverlapRangeLBwithFormula!$O$11</definedName>
    <definedName name="Scale" localSheetId="28">ProtectedSheet!$O$7</definedName>
    <definedName name="Scale" localSheetId="52">QuickSolve!$O$7</definedName>
    <definedName name="Scale" localSheetId="34">Relaxation!$O$10</definedName>
    <definedName name="Scale" localSheetId="3">SimpleIP!$O$7</definedName>
    <definedName name="Scale" localSheetId="31">SingleRangeLB!$O$9</definedName>
    <definedName name="Scale" localSheetId="11">TextObj!$O$7</definedName>
    <definedName name="Scale" localSheetId="7">TextRHS!$O$7</definedName>
    <definedName name="Scale" localSheetId="27">Unbounded!$O$7</definedName>
    <definedName name="Scale" localSheetId="43">VarConstraintLB!$O$10</definedName>
    <definedName name="Scale" localSheetId="39">VariableFormulaRangeLB!$O$10</definedName>
    <definedName name="Scale">SimpleLP!$O$7</definedName>
    <definedName name="scale2" localSheetId="50">#REF!</definedName>
    <definedName name="scale2" localSheetId="34">#REF!</definedName>
    <definedName name="scale2" localSheetId="3">#REF!</definedName>
    <definedName name="scale2" localSheetId="27">#REF!</definedName>
    <definedName name="scale2">#REF!</definedName>
    <definedName name="sencount" hidden="1">1</definedName>
    <definedName name="Sheet1OpenSolverModelParameters" localSheetId="21">'BadName!'!$K$6:$K$6</definedName>
    <definedName name="Sheet1OpenSolverModelParameters" localSheetId="33">BinIntLB!$K$8:$K$8</definedName>
    <definedName name="Sheet1OpenSolverModelParameters" localSheetId="18">BinIntOverlap!$L$5:$L$5</definedName>
    <definedName name="Sheet1OpenSolverModelParameters" localSheetId="32">BinLB!$K$8:$K$8</definedName>
    <definedName name="Sheet1OpenSolverModelParameters" localSheetId="6">BlankLHS!$K$5:$K$5</definedName>
    <definedName name="Sheet1OpenSolverModelParameters" localSheetId="5">BlankRHS!$K$5:$K$5</definedName>
    <definedName name="Sheet1OpenSolverModelParameters" localSheetId="45">ComplexLayout!#REF!</definedName>
    <definedName name="Sheet1OpenSolverModelParameters" localSheetId="19">ConFormula!#REF!</definedName>
    <definedName name="Sheet1OpenSolverModelParameters" localSheetId="20">ConFormulaInf!#REF!</definedName>
    <definedName name="Sheet1OpenSolverModelParameters" localSheetId="41">ConstantLB!$K$8:$K$8</definedName>
    <definedName name="Sheet1OpenSolverModelParameters" localSheetId="38">ConstFormulaRangeLB!$K$7:$K$7</definedName>
    <definedName name="Sheet1OpenSolverModelParameters" localSheetId="40">ConstraintLB!$K$8:$K$8</definedName>
    <definedName name="Sheet1OpenSolverModelParameters" localSheetId="23">DeletedConRef!$K$6:$K$6</definedName>
    <definedName name="Sheet1OpenSolverModelParameters" localSheetId="24">DeletedObjRef!$K$6:$K$6</definedName>
    <definedName name="Sheet1OpenSolverModelParameters" localSheetId="9">ErrorLHS!$K$5:$K$5</definedName>
    <definedName name="Sheet1OpenSolverModelParameters" localSheetId="10">ErrorObj!$K$5:$K$5</definedName>
    <definedName name="Sheet1OpenSolverModelParameters" localSheetId="8">ErrorRHS!$K$5:$K$5</definedName>
    <definedName name="Sheet1OpenSolverModelParameters" localSheetId="22">'EscapeSheetName(1)+2-1'!$K$5:$K$5</definedName>
    <definedName name="Sheet1OpenSolverModelParameters" localSheetId="26">FeasConstConstraint!$M$5:$M$5</definedName>
    <definedName name="Sheet1OpenSolverModelParameters" localSheetId="42">FormulaLB!$K$8:$K$8</definedName>
    <definedName name="Sheet1OpenSolverModelParameters" localSheetId="69">Highlighting!$L$4:$L$4</definedName>
    <definedName name="Sheet1OpenSolverModelParameters" localSheetId="29">IndirectLBs!$K$7:$K$7</definedName>
    <definedName name="Sheet1OpenSolverModelParameters" localSheetId="25">InfConstConstraint!$M$5:$M$5</definedName>
    <definedName name="Sheet1OpenSolverModelParameters" localSheetId="46">InfModel!$K$6:$K$6</definedName>
    <definedName name="Sheet1OpenSolverModelParameters" localSheetId="47">IterativeCalc!$K$6:$K$6</definedName>
    <definedName name="Sheet1OpenSolverModelParameters" localSheetId="35">LargeRangeLB!$K$9:$K$9</definedName>
    <definedName name="Sheet1OpenSolverModelParameters" localSheetId="16">MergedLHS_OK!$K$6:$K$6</definedName>
    <definedName name="Sheet1OpenSolverModelParameters" localSheetId="17">MergedLHSMultiple_OK!$K$6:$K$6</definedName>
    <definedName name="Sheet1OpenSolverModelParameters" localSheetId="15">MergedRHS_OK!$K$6:$K$6</definedName>
    <definedName name="Sheet1OpenSolverModelParameters" localSheetId="14">MergedVarsBad!$K$6:$K$6</definedName>
    <definedName name="Sheet1OpenSolverModelParameters" localSheetId="13">MergedVarsOK!$K$6:$K$6</definedName>
    <definedName name="Sheet1OpenSolverModelParameters" localSheetId="12">MergedVarsSubset!$K$6:$K$6</definedName>
    <definedName name="Sheet1OpenSolverModelParameters" localSheetId="62">#REF!</definedName>
    <definedName name="Sheet1OpenSolverModelParameters" localSheetId="48">NoObj!$K$6:$K$6</definedName>
    <definedName name="Sheet1OpenSolverModelParameters" localSheetId="4">OverlappingVars!$K$5:$K$5</definedName>
    <definedName name="Sheet1OpenSolverModelParameters" localSheetId="36">OverlapRangeLB!$K$9:$K$9</definedName>
    <definedName name="Sheet1OpenSolverModelParameters" localSheetId="37">OverlapRangeLBwithFormula!$K$9:$K$9</definedName>
    <definedName name="Sheet1OpenSolverModelParameters" localSheetId="28">ProtectedSheet!$K$5:$K$5</definedName>
    <definedName name="Sheet1OpenSolverModelParameters" localSheetId="52">QuickSolve!$K$5:$K$5</definedName>
    <definedName name="Sheet1OpenSolverModelParameters" localSheetId="34">Relaxation!$K$8:$K$8</definedName>
    <definedName name="Sheet1OpenSolverModelParameters" localSheetId="3">SimpleIP!$K$5:$K$5</definedName>
    <definedName name="Sheet1OpenSolverModelParameters" localSheetId="31">SingleRangeLB!$K$7:$K$7</definedName>
    <definedName name="Sheet1OpenSolverModelParameters" localSheetId="11">TextObj!$K$5:$K$5</definedName>
    <definedName name="Sheet1OpenSolverModelParameters" localSheetId="7">TextRHS!$K$5:$K$5</definedName>
    <definedName name="Sheet1OpenSolverModelParameters" localSheetId="27">Unbounded!$K$5:$K$5</definedName>
    <definedName name="Sheet1OpenSolverModelParameters" localSheetId="43">VarConstraintLB!$K$8:$K$8</definedName>
    <definedName name="Sheet1OpenSolverModelParameters" localSheetId="39">VariableFormulaRangeLB!$K$8:$K$8</definedName>
    <definedName name="Sheet1OpenSolverModelParameters">SimpleLP!$K$5:$K$5</definedName>
    <definedName name="Solver" localSheetId="50" hidden="1">CBC (default)</definedName>
    <definedName name="Solver" localSheetId="22" hidden="1">CBC (default)</definedName>
    <definedName name="Solver" localSheetId="62" hidden="1">CBC (default)</definedName>
    <definedName name="Solver" localSheetId="34" hidden="1">CBC (default)</definedName>
    <definedName name="Solver" localSheetId="49" hidden="1">CBC (default)</definedName>
    <definedName name="Solver" localSheetId="3" hidden="1">CBC (default)</definedName>
    <definedName name="Solver" localSheetId="27" hidden="1">CBC (default)</definedName>
    <definedName name="Solver" hidden="1">CBC (default)</definedName>
    <definedName name="solver_adj" localSheetId="70" hidden="1">AutoModel!$B$28:$D$28,AutoModel!$C$3:$C$5</definedName>
    <definedName name="solver_adj" localSheetId="21" hidden="1">'BadName!'!$D$5:$F$5</definedName>
    <definedName name="solver_adj" localSheetId="33" hidden="1">BinIntLB!$D$5:$F$5</definedName>
    <definedName name="solver_adj" localSheetId="18" hidden="1">BinIntOverlap!$D$4:$G$4</definedName>
    <definedName name="solver_adj" localSheetId="32" hidden="1">BinLB!$D$5:$F$5</definedName>
    <definedName name="solver_adj" localSheetId="6" hidden="1">BlankLHS!$D$4:$F$4</definedName>
    <definedName name="solver_adj" localSheetId="5" hidden="1">BlankRHS!$D$4:$F$4</definedName>
    <definedName name="solver_adj" localSheetId="45" hidden="1">ComplexLayout!$D$4:$G$4,ComplexLayout!$Q$3:$R$4,ComplexLayout!$N$3:$N$4</definedName>
    <definedName name="solver_adj" localSheetId="19" hidden="1">ConFormula!$D$5:$G$5,ConFormula!$Q$4:$R$5,ConFormula!$N$4:$N$5</definedName>
    <definedName name="solver_adj" localSheetId="20" hidden="1">ConFormulaInf!$D$5:$G$5,ConFormulaInf!$Q$4:$R$5,ConFormulaInf!$N$4:$N$5</definedName>
    <definedName name="solver_adj" localSheetId="41" hidden="1">ConstantLB!$D$5:$F$5</definedName>
    <definedName name="solver_adj" localSheetId="38" hidden="1">ConstFormulaRangeLB!$D$4:$F$4</definedName>
    <definedName name="solver_adj" localSheetId="40" hidden="1">ConstraintLB!$D$5:$F$5</definedName>
    <definedName name="solver_adj" localSheetId="23" hidden="1">DeletedConRef!$D$5:$F$5</definedName>
    <definedName name="solver_adj" localSheetId="24" hidden="1">DeletedObjRef!$D$5:$F$5</definedName>
    <definedName name="solver_adj" localSheetId="50" hidden="1">DiffSheetObj!$D$2:$F$2</definedName>
    <definedName name="solver_adj" localSheetId="30" hidden="1">DirectLBs!$D$4:$F$4</definedName>
    <definedName name="solver_adj" localSheetId="9" hidden="1">ErrorLHS!$D$4:$F$4</definedName>
    <definedName name="solver_adj" localSheetId="10" hidden="1">ErrorObj!$D$4:$F$4</definedName>
    <definedName name="solver_adj" localSheetId="8" hidden="1">ErrorRHS!$D$4:$F$4</definedName>
    <definedName name="solver_adj" localSheetId="22" hidden="1">'EscapeSheetName(1)+2-1'!$D$4:$F$4</definedName>
    <definedName name="solver_adj" localSheetId="26" hidden="1">FeasConstConstraint!$D$4:$F$4</definedName>
    <definedName name="solver_adj" localSheetId="42" hidden="1">FormulaLB!$D$5:$F$5</definedName>
    <definedName name="solver_adj" localSheetId="44" hidden="1">FractionalCoeffs!$D$2:$F$2</definedName>
    <definedName name="solver_adj" localSheetId="69" hidden="1">Highlighting!$L$9:$N$9</definedName>
    <definedName name="solver_adj" localSheetId="29" hidden="1">IndirectLBs!$D$5:$F$5</definedName>
    <definedName name="solver_adj" localSheetId="25" hidden="1">InfConstConstraint!$D$4:$F$4</definedName>
    <definedName name="solver_adj" localSheetId="46" hidden="1">InfModel!$D$5:$F$5</definedName>
    <definedName name="solver_adj" localSheetId="47" hidden="1">IterativeCalc!$D$5:$F$5</definedName>
    <definedName name="solver_adj" localSheetId="35" hidden="1">LargeRangeLB!$D$6:$F$6</definedName>
    <definedName name="solver_adj" localSheetId="16" hidden="1">MergedLHS_OK!$D$5:$E$5</definedName>
    <definedName name="solver_adj" localSheetId="17" hidden="1">MergedLHSMultiple_OK!$D$5:$F$5</definedName>
    <definedName name="solver_adj" localSheetId="15" hidden="1">MergedRHS_OK!$D$5:$E$5</definedName>
    <definedName name="solver_adj" localSheetId="14" hidden="1">MergedVarsBad!$D$5:$F$5</definedName>
    <definedName name="solver_adj" localSheetId="13" hidden="1">MergedVarsOK!$D$5:$E$5</definedName>
    <definedName name="solver_adj" localSheetId="12" hidden="1">MergedVarsSubset!$D$5:$F$5</definedName>
    <definedName name="solver_adj" localSheetId="51" hidden="1">NamedRanges!$D$4:$H$4</definedName>
    <definedName name="solver_adj" localSheetId="63" hidden="1">NonLin!$D$3:$D$35</definedName>
    <definedName name="solver_adj" localSheetId="64" hidden="1">NonLin2!$C$4:$D$4</definedName>
    <definedName name="solver_adj" localSheetId="65" hidden="1">NonLin3!$S$10:$S$11</definedName>
    <definedName name="solver_adj" localSheetId="66" hidden="1">NonLin4!$D$11</definedName>
    <definedName name="solver_adj" localSheetId="67" hidden="1">NonLin5!$F$2:$I$2</definedName>
    <definedName name="solver_adj" localSheetId="68" hidden="1">NonLin6!$D$7:$D$8</definedName>
    <definedName name="solver_adj" localSheetId="62" hidden="1">NonLinBinary!$C$4:$D$4</definedName>
    <definedName name="solver_adj" localSheetId="61" hidden="1">NonLinConstraints!$D$5:$H$5</definedName>
    <definedName name="solver_adj" localSheetId="57" hidden="1">NonLinLarge!$D$3:$F$3</definedName>
    <definedName name="solver_adj" localSheetId="60" hidden="1">NonLinMinMax!$D$4:$F$4</definedName>
    <definedName name="solver_adj" localSheetId="58" hidden="1">NonLinObj!$D$3:$F$3</definedName>
    <definedName name="solver_adj" localSheetId="59" hidden="1">NonLinPruning!$D$5:$E$5</definedName>
    <definedName name="solver_adj" localSheetId="56" hidden="1">NonLinSimple!$D$3:$F$3</definedName>
    <definedName name="solver_adj" localSheetId="48" hidden="1">NoObj!$D$5:$F$5</definedName>
    <definedName name="solver_adj" localSheetId="4" hidden="1">OverlappingVars!$D$4:$E$4,OverlappingVars!$E$4:$F$4</definedName>
    <definedName name="solver_adj" localSheetId="36" hidden="1">OverlapRangeLB!$D$6:$F$6</definedName>
    <definedName name="solver_adj" localSheetId="37" hidden="1">OverlapRangeLBwithFormula!$D$6:$F$6</definedName>
    <definedName name="solver_adj" localSheetId="28" hidden="1">ProtectedSheet!$D$4:$F$4</definedName>
    <definedName name="solver_adj" localSheetId="52" hidden="1">QuickSolve!$D$4:$F$4</definedName>
    <definedName name="solver_adj" localSheetId="34" hidden="1">Relaxation!$D$5:$F$5</definedName>
    <definedName name="solver_adj" localSheetId="1" hidden="1">OverlappingVars!$D$4:$E$4,OverlappingVars!$E$4:$F$4</definedName>
    <definedName name="solver_adj" localSheetId="49" hidden="1">SeekObj!$D$2:$F$2</definedName>
    <definedName name="solver_adj" localSheetId="54" hidden="1">Sensitivity!$D$4:$F$4</definedName>
    <definedName name="solver_adj" localSheetId="55" hidden="1">SensitivityNames!$J$21,SensitivityNames!$D$14:$H$16</definedName>
    <definedName name="solver_adj" localSheetId="3" hidden="1">SimpleIP!$E$5:$E$7</definedName>
    <definedName name="solver_adj" localSheetId="2" hidden="1">SimpleLP!$L:$L</definedName>
    <definedName name="solver_adj" localSheetId="31" hidden="1">SingleRangeLB!$D$4:$F$4</definedName>
    <definedName name="solver_adj" localSheetId="53" hidden="1">SolverParameters!$D$13:$F$13</definedName>
    <definedName name="solver_adj" localSheetId="11" hidden="1">TextObj!$D$4:$F$4</definedName>
    <definedName name="solver_adj" localSheetId="7" hidden="1">TextRHS!$D$4:$F$4</definedName>
    <definedName name="solver_adj" localSheetId="27" hidden="1">Unbounded!$D$4:$F$4</definedName>
    <definedName name="solver_adj" localSheetId="43" hidden="1">VarConstraintLB!$D$5:$F$5</definedName>
    <definedName name="solver_adj" localSheetId="39" hidden="1">VariableFormulaRangeLB!$D$5:$F$5</definedName>
    <definedName name="solver_cvg" localSheetId="70" hidden="1">0.0001</definedName>
    <definedName name="solver_cvg" localSheetId="21" hidden="1">0.0001</definedName>
    <definedName name="solver_cvg" localSheetId="33" hidden="1">0.0001</definedName>
    <definedName name="solver_cvg" localSheetId="18" hidden="1">0.0001</definedName>
    <definedName name="solver_cvg" localSheetId="32" hidden="1">0.0001</definedName>
    <definedName name="solver_cvg" localSheetId="6" hidden="1">0.0001</definedName>
    <definedName name="solver_cvg" localSheetId="5" hidden="1">0.0001</definedName>
    <definedName name="solver_cvg" localSheetId="45" hidden="1">0.0001</definedName>
    <definedName name="solver_cvg" localSheetId="19" hidden="1">0.0001</definedName>
    <definedName name="solver_cvg" localSheetId="20" hidden="1">0.0001</definedName>
    <definedName name="solver_cvg" localSheetId="41" hidden="1">0.0001</definedName>
    <definedName name="solver_cvg" localSheetId="38" hidden="1">0.0001</definedName>
    <definedName name="solver_cvg" localSheetId="40" hidden="1">0.0001</definedName>
    <definedName name="solver_cvg" localSheetId="23" hidden="1">0.0001</definedName>
    <definedName name="solver_cvg" localSheetId="24" hidden="1">0.0001</definedName>
    <definedName name="solver_cvg" localSheetId="50" hidden="1">0.0001</definedName>
    <definedName name="solver_cvg" localSheetId="30" hidden="1">0.0001</definedName>
    <definedName name="solver_cvg" localSheetId="9" hidden="1">0.0001</definedName>
    <definedName name="solver_cvg" localSheetId="10" hidden="1">0.0001</definedName>
    <definedName name="solver_cvg" localSheetId="8" hidden="1">0.0001</definedName>
    <definedName name="solver_cvg" localSheetId="22" hidden="1">0.0001</definedName>
    <definedName name="solver_cvg" localSheetId="26" hidden="1">0.0001</definedName>
    <definedName name="solver_cvg" localSheetId="42" hidden="1">0.0001</definedName>
    <definedName name="solver_cvg" localSheetId="44" hidden="1">0.0001</definedName>
    <definedName name="solver_cvg" localSheetId="69" hidden="1">0.0001</definedName>
    <definedName name="solver_cvg" localSheetId="29" hidden="1">0.0001</definedName>
    <definedName name="solver_cvg" localSheetId="25" hidden="1">0.0001</definedName>
    <definedName name="solver_cvg" localSheetId="46" hidden="1">0.0001</definedName>
    <definedName name="solver_cvg" localSheetId="47" hidden="1">0.0001</definedName>
    <definedName name="solver_cvg" localSheetId="35" hidden="1">0.0001</definedName>
    <definedName name="solver_cvg" localSheetId="16" hidden="1">0.0001</definedName>
    <definedName name="solver_cvg" localSheetId="17" hidden="1">0.0001</definedName>
    <definedName name="solver_cvg" localSheetId="15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51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62" hidden="1">0.0001</definedName>
    <definedName name="solver_cvg" localSheetId="61" hidden="1">0.0001</definedName>
    <definedName name="solver_cvg" localSheetId="57" hidden="1">0.0001</definedName>
    <definedName name="solver_cvg" localSheetId="60" hidden="1">0.0001</definedName>
    <definedName name="solver_cvg" localSheetId="58" hidden="1">0.0001</definedName>
    <definedName name="solver_cvg" localSheetId="59" hidden="1">0.0001</definedName>
    <definedName name="solver_cvg" localSheetId="56" hidden="1">0.0001</definedName>
    <definedName name="solver_cvg" localSheetId="48" hidden="1">0.0001</definedName>
    <definedName name="solver_cvg" localSheetId="4" hidden="1">0.0001</definedName>
    <definedName name="solver_cvg" localSheetId="36" hidden="1">0.0001</definedName>
    <definedName name="solver_cvg" localSheetId="37" hidden="1">0.0001</definedName>
    <definedName name="solver_cvg" localSheetId="28" hidden="1">0.0001</definedName>
    <definedName name="solver_cvg" localSheetId="52" hidden="1">0.0001</definedName>
    <definedName name="solver_cvg" localSheetId="34" hidden="1">0.0001</definedName>
    <definedName name="solver_cvg" localSheetId="1" hidden="1">0.0001</definedName>
    <definedName name="solver_cvg" localSheetId="49" hidden="1">0.0001</definedName>
    <definedName name="solver_cvg" localSheetId="54" hidden="1">0.0001</definedName>
    <definedName name="solver_cvg" localSheetId="55" hidden="1">0.0001</definedName>
    <definedName name="solver_cvg" localSheetId="3" hidden="1">0.0001</definedName>
    <definedName name="solver_cvg" localSheetId="2" hidden="1">0.0001</definedName>
    <definedName name="solver_cvg" localSheetId="31" hidden="1">0.0001</definedName>
    <definedName name="solver_cvg" localSheetId="53" hidden="1">0.0001</definedName>
    <definedName name="solver_cvg" localSheetId="11" hidden="1">0.0001</definedName>
    <definedName name="solver_cvg" localSheetId="7" hidden="1">0.0001</definedName>
    <definedName name="solver_cvg" localSheetId="27" hidden="1">0.0001</definedName>
    <definedName name="solver_cvg" localSheetId="43" hidden="1">0.0001</definedName>
    <definedName name="solver_cvg" localSheetId="39" hidden="1">0.0001</definedName>
    <definedName name="solver_drv" localSheetId="70" hidden="1">1</definedName>
    <definedName name="solver_drv" localSheetId="21" hidden="1">1</definedName>
    <definedName name="solver_drv" localSheetId="33" hidden="1">1</definedName>
    <definedName name="solver_drv" localSheetId="18" hidden="1">1</definedName>
    <definedName name="solver_drv" localSheetId="32" hidden="1">1</definedName>
    <definedName name="solver_drv" localSheetId="6" hidden="1">1</definedName>
    <definedName name="solver_drv" localSheetId="5" hidden="1">1</definedName>
    <definedName name="solver_drv" localSheetId="45" hidden="1">1</definedName>
    <definedName name="solver_drv" localSheetId="19" hidden="1">1</definedName>
    <definedName name="solver_drv" localSheetId="20" hidden="1">1</definedName>
    <definedName name="solver_drv" localSheetId="41" hidden="1">1</definedName>
    <definedName name="solver_drv" localSheetId="38" hidden="1">1</definedName>
    <definedName name="solver_drv" localSheetId="40" hidden="1">1</definedName>
    <definedName name="solver_drv" localSheetId="23" hidden="1">1</definedName>
    <definedName name="solver_drv" localSheetId="24" hidden="1">1</definedName>
    <definedName name="solver_drv" localSheetId="50" hidden="1">1</definedName>
    <definedName name="solver_drv" localSheetId="30" hidden="1">1</definedName>
    <definedName name="solver_drv" localSheetId="9" hidden="1">1</definedName>
    <definedName name="solver_drv" localSheetId="10" hidden="1">1</definedName>
    <definedName name="solver_drv" localSheetId="8" hidden="1">1</definedName>
    <definedName name="solver_drv" localSheetId="22" hidden="1">1</definedName>
    <definedName name="solver_drv" localSheetId="26" hidden="1">1</definedName>
    <definedName name="solver_drv" localSheetId="42" hidden="1">1</definedName>
    <definedName name="solver_drv" localSheetId="44" hidden="1">1</definedName>
    <definedName name="solver_drv" localSheetId="69" hidden="1">1</definedName>
    <definedName name="solver_drv" localSheetId="29" hidden="1">1</definedName>
    <definedName name="solver_drv" localSheetId="25" hidden="1">1</definedName>
    <definedName name="solver_drv" localSheetId="46" hidden="1">1</definedName>
    <definedName name="solver_drv" localSheetId="47" hidden="1">1</definedName>
    <definedName name="solver_drv" localSheetId="35" hidden="1">1</definedName>
    <definedName name="solver_drv" localSheetId="16" hidden="1">1</definedName>
    <definedName name="solver_drv" localSheetId="17" hidden="1">1</definedName>
    <definedName name="solver_drv" localSheetId="15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51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62" hidden="1">1</definedName>
    <definedName name="solver_drv" localSheetId="61" hidden="1">1</definedName>
    <definedName name="solver_drv" localSheetId="57" hidden="1">1</definedName>
    <definedName name="solver_drv" localSheetId="60" hidden="1">1</definedName>
    <definedName name="solver_drv" localSheetId="58" hidden="1">1</definedName>
    <definedName name="solver_drv" localSheetId="59" hidden="1">1</definedName>
    <definedName name="solver_drv" localSheetId="56" hidden="1">1</definedName>
    <definedName name="solver_drv" localSheetId="48" hidden="1">1</definedName>
    <definedName name="solver_drv" localSheetId="4" hidden="1">1</definedName>
    <definedName name="solver_drv" localSheetId="36" hidden="1">1</definedName>
    <definedName name="solver_drv" localSheetId="37" hidden="1">1</definedName>
    <definedName name="solver_drv" localSheetId="28" hidden="1">1</definedName>
    <definedName name="solver_drv" localSheetId="52" hidden="1">1</definedName>
    <definedName name="solver_drv" localSheetId="34" hidden="1">1</definedName>
    <definedName name="solver_drv" localSheetId="1" hidden="1">1</definedName>
    <definedName name="solver_drv" localSheetId="49" hidden="1">1</definedName>
    <definedName name="solver_drv" localSheetId="54" hidden="1">1</definedName>
    <definedName name="solver_drv" localSheetId="55" hidden="1">1</definedName>
    <definedName name="solver_drv" localSheetId="3" hidden="1">1</definedName>
    <definedName name="solver_drv" localSheetId="2" hidden="1">1</definedName>
    <definedName name="solver_drv" localSheetId="31" hidden="1">1</definedName>
    <definedName name="solver_drv" localSheetId="53" hidden="1">1</definedName>
    <definedName name="solver_drv" localSheetId="11" hidden="1">1</definedName>
    <definedName name="solver_drv" localSheetId="7" hidden="1">1</definedName>
    <definedName name="solver_drv" localSheetId="27" hidden="1">1</definedName>
    <definedName name="solver_drv" localSheetId="43" hidden="1">1</definedName>
    <definedName name="solver_drv" localSheetId="39" hidden="1">1</definedName>
    <definedName name="solver_eng" localSheetId="70" hidden="1">2</definedName>
    <definedName name="solver_eng" localSheetId="33" hidden="1">2</definedName>
    <definedName name="solver_eng" localSheetId="18">2</definedName>
    <definedName name="solver_eng" localSheetId="32" hidden="1">2</definedName>
    <definedName name="solver_eng" localSheetId="6">2</definedName>
    <definedName name="solver_eng" localSheetId="5">2</definedName>
    <definedName name="solver_eng" localSheetId="45">2</definedName>
    <definedName name="solver_eng" localSheetId="19">2</definedName>
    <definedName name="solver_eng" localSheetId="20">2</definedName>
    <definedName name="solver_eng" localSheetId="41" hidden="1">2</definedName>
    <definedName name="solver_eng" localSheetId="38" hidden="1">2</definedName>
    <definedName name="solver_eng" localSheetId="40">2</definedName>
    <definedName name="solver_eng" localSheetId="23">2</definedName>
    <definedName name="solver_eng" localSheetId="24">2</definedName>
    <definedName name="solver_eng" localSheetId="30">2</definedName>
    <definedName name="solver_eng" localSheetId="9">2</definedName>
    <definedName name="solver_eng" localSheetId="10">2</definedName>
    <definedName name="solver_eng" localSheetId="8">2</definedName>
    <definedName name="solver_eng" localSheetId="22">2</definedName>
    <definedName name="solver_eng" localSheetId="42" hidden="1">2</definedName>
    <definedName name="solver_eng" localSheetId="29">2</definedName>
    <definedName name="solver_eng" localSheetId="25">2</definedName>
    <definedName name="solver_eng" localSheetId="46">2</definedName>
    <definedName name="solver_eng" localSheetId="35" hidden="1">2</definedName>
    <definedName name="solver_eng" localSheetId="16">2</definedName>
    <definedName name="solver_eng" localSheetId="17">2</definedName>
    <definedName name="solver_eng" localSheetId="15">2</definedName>
    <definedName name="solver_eng" localSheetId="14">2</definedName>
    <definedName name="solver_eng" localSheetId="13">2</definedName>
    <definedName name="solver_eng" localSheetId="12">2</definedName>
    <definedName name="solver_eng" localSheetId="51" hidden="1">2</definedName>
    <definedName name="solver_eng" localSheetId="63">2</definedName>
    <definedName name="solver_eng" localSheetId="66" hidden="1">2</definedName>
    <definedName name="solver_eng" localSheetId="67" hidden="1">2</definedName>
    <definedName name="solver_eng" localSheetId="68" hidden="1">2</definedName>
    <definedName name="solver_eng" localSheetId="61" hidden="1">2</definedName>
    <definedName name="solver_eng" localSheetId="57">2</definedName>
    <definedName name="solver_eng" localSheetId="60" hidden="1">2</definedName>
    <definedName name="solver_eng" localSheetId="58">2</definedName>
    <definedName name="solver_eng" localSheetId="59" hidden="1">2</definedName>
    <definedName name="solver_eng" localSheetId="56">2</definedName>
    <definedName name="solver_eng" localSheetId="48" hidden="1">2</definedName>
    <definedName name="solver_eng" localSheetId="4" hidden="1">2</definedName>
    <definedName name="solver_eng" localSheetId="36" hidden="1">2</definedName>
    <definedName name="solver_eng" localSheetId="37" hidden="1">2</definedName>
    <definedName name="solver_eng" localSheetId="28">2</definedName>
    <definedName name="solver_eng" localSheetId="34" hidden="1">2</definedName>
    <definedName name="solver_eng" localSheetId="55" hidden="1">2</definedName>
    <definedName name="solver_eng" localSheetId="3" hidden="1">2</definedName>
    <definedName name="solver_eng" localSheetId="2" hidden="1">2</definedName>
    <definedName name="solver_eng" localSheetId="31" hidden="1">2</definedName>
    <definedName name="solver_eng" localSheetId="11">2</definedName>
    <definedName name="solver_eng" localSheetId="7">2</definedName>
    <definedName name="solver_eng" localSheetId="27" hidden="1">2</definedName>
    <definedName name="solver_eng" localSheetId="43" hidden="1">2</definedName>
    <definedName name="solver_eng" localSheetId="39" hidden="1">2</definedName>
    <definedName name="solver_est" localSheetId="70" hidden="1">1</definedName>
    <definedName name="solver_est" localSheetId="21" hidden="1">1</definedName>
    <definedName name="solver_est" localSheetId="33" hidden="1">1</definedName>
    <definedName name="solver_est" localSheetId="18" hidden="1">1</definedName>
    <definedName name="solver_est" localSheetId="32" hidden="1">1</definedName>
    <definedName name="solver_est" localSheetId="6" hidden="1">1</definedName>
    <definedName name="solver_est" localSheetId="5" hidden="1">1</definedName>
    <definedName name="solver_est" localSheetId="45" hidden="1">1</definedName>
    <definedName name="solver_est" localSheetId="19" hidden="1">1</definedName>
    <definedName name="solver_est" localSheetId="20" hidden="1">1</definedName>
    <definedName name="solver_est" localSheetId="41" hidden="1">1</definedName>
    <definedName name="solver_est" localSheetId="38" hidden="1">1</definedName>
    <definedName name="solver_est" localSheetId="40" hidden="1">1</definedName>
    <definedName name="solver_est" localSheetId="23" hidden="1">1</definedName>
    <definedName name="solver_est" localSheetId="24" hidden="1">1</definedName>
    <definedName name="solver_est" localSheetId="50" hidden="1">1</definedName>
    <definedName name="solver_est" localSheetId="30" hidden="1">1</definedName>
    <definedName name="solver_est" localSheetId="9" hidden="1">1</definedName>
    <definedName name="solver_est" localSheetId="10" hidden="1">1</definedName>
    <definedName name="solver_est" localSheetId="8" hidden="1">1</definedName>
    <definedName name="solver_est" localSheetId="22" hidden="1">1</definedName>
    <definedName name="solver_est" localSheetId="26" hidden="1">1</definedName>
    <definedName name="solver_est" localSheetId="42" hidden="1">1</definedName>
    <definedName name="solver_est" localSheetId="44" hidden="1">1</definedName>
    <definedName name="solver_est" localSheetId="69" hidden="1">1</definedName>
    <definedName name="solver_est" localSheetId="29" hidden="1">1</definedName>
    <definedName name="solver_est" localSheetId="25" hidden="1">1</definedName>
    <definedName name="solver_est" localSheetId="46" hidden="1">1</definedName>
    <definedName name="solver_est" localSheetId="47" hidden="1">1</definedName>
    <definedName name="solver_est" localSheetId="35" hidden="1">1</definedName>
    <definedName name="solver_est" localSheetId="16" hidden="1">1</definedName>
    <definedName name="solver_est" localSheetId="17" hidden="1">1</definedName>
    <definedName name="solver_est" localSheetId="15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51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62" hidden="1">1</definedName>
    <definedName name="solver_est" localSheetId="61" hidden="1">1</definedName>
    <definedName name="solver_est" localSheetId="57" hidden="1">1</definedName>
    <definedName name="solver_est" localSheetId="60" hidden="1">1</definedName>
    <definedName name="solver_est" localSheetId="58" hidden="1">1</definedName>
    <definedName name="solver_est" localSheetId="59" hidden="1">1</definedName>
    <definedName name="solver_est" localSheetId="56" hidden="1">1</definedName>
    <definedName name="solver_est" localSheetId="48" hidden="1">1</definedName>
    <definedName name="solver_est" localSheetId="4" hidden="1">1</definedName>
    <definedName name="solver_est" localSheetId="36" hidden="1">1</definedName>
    <definedName name="solver_est" localSheetId="37" hidden="1">1</definedName>
    <definedName name="solver_est" localSheetId="28" hidden="1">1</definedName>
    <definedName name="solver_est" localSheetId="52" hidden="1">1</definedName>
    <definedName name="solver_est" localSheetId="34" hidden="1">1</definedName>
    <definedName name="solver_est" localSheetId="1" hidden="1">1</definedName>
    <definedName name="solver_est" localSheetId="49" hidden="1">1</definedName>
    <definedName name="solver_est" localSheetId="54" hidden="1">1</definedName>
    <definedName name="solver_est" localSheetId="55" hidden="1">1</definedName>
    <definedName name="solver_est" localSheetId="3" hidden="1">1</definedName>
    <definedName name="solver_est" localSheetId="2" hidden="1">1</definedName>
    <definedName name="solver_est" localSheetId="31" hidden="1">1</definedName>
    <definedName name="solver_est" localSheetId="53" hidden="1">1</definedName>
    <definedName name="solver_est" localSheetId="11" hidden="1">1</definedName>
    <definedName name="solver_est" localSheetId="7" hidden="1">1</definedName>
    <definedName name="solver_est" localSheetId="27" hidden="1">1</definedName>
    <definedName name="solver_est" localSheetId="43" hidden="1">1</definedName>
    <definedName name="solver_est" localSheetId="39" hidden="1">1</definedName>
    <definedName name="solver_itr" localSheetId="21" hidden="1">100</definedName>
    <definedName name="solver_itr" localSheetId="33" hidden="1">999999999</definedName>
    <definedName name="solver_itr" localSheetId="18" hidden="1">999999999</definedName>
    <definedName name="solver_itr" localSheetId="32" hidden="1">999999999</definedName>
    <definedName name="solver_itr" localSheetId="6" hidden="1">999999999</definedName>
    <definedName name="solver_itr" localSheetId="5" hidden="1">999999999</definedName>
    <definedName name="solver_itr" localSheetId="45" hidden="1">999999999</definedName>
    <definedName name="solver_itr" localSheetId="19" hidden="1">999999999</definedName>
    <definedName name="solver_itr" localSheetId="20" hidden="1">999999999</definedName>
    <definedName name="solver_itr" localSheetId="41" hidden="1">999999999</definedName>
    <definedName name="solver_itr" localSheetId="38" hidden="1">999999999</definedName>
    <definedName name="solver_itr" localSheetId="40" hidden="1">999999999</definedName>
    <definedName name="solver_itr" localSheetId="23" hidden="1">999999999</definedName>
    <definedName name="solver_itr" localSheetId="50" hidden="1">999999999</definedName>
    <definedName name="solver_itr" localSheetId="30" hidden="1">999999999</definedName>
    <definedName name="solver_itr" localSheetId="9" hidden="1">999999999</definedName>
    <definedName name="solver_itr" localSheetId="8" hidden="1">999999999</definedName>
    <definedName name="solver_itr" localSheetId="22" hidden="1">999999999</definedName>
    <definedName name="solver_itr" localSheetId="26" hidden="1">999999999</definedName>
    <definedName name="solver_itr" localSheetId="42" hidden="1">999999999</definedName>
    <definedName name="solver_itr" localSheetId="44" hidden="1">999999999</definedName>
    <definedName name="solver_itr" localSheetId="69" hidden="1">100</definedName>
    <definedName name="solver_itr" localSheetId="29" hidden="1">999999999</definedName>
    <definedName name="solver_itr" localSheetId="25" hidden="1">999999999</definedName>
    <definedName name="solver_itr" localSheetId="46" hidden="1">999999999</definedName>
    <definedName name="solver_itr" localSheetId="47" hidden="1">999999999</definedName>
    <definedName name="solver_itr" localSheetId="35" hidden="1">999999999</definedName>
    <definedName name="solver_itr" localSheetId="16" hidden="1">999999999</definedName>
    <definedName name="solver_itr" localSheetId="17" hidden="1">999999999</definedName>
    <definedName name="solver_itr" localSheetId="15" hidden="1">999999999</definedName>
    <definedName name="solver_itr" localSheetId="13" hidden="1">999999999</definedName>
    <definedName name="solver_itr" localSheetId="51" hidden="1">999999999</definedName>
    <definedName name="solver_itr" localSheetId="63" hidden="1">999999999</definedName>
    <definedName name="solver_itr" localSheetId="64" hidden="1">999999999</definedName>
    <definedName name="solver_itr" localSheetId="65" hidden="1">999999999</definedName>
    <definedName name="solver_itr" localSheetId="66" hidden="1">999999999</definedName>
    <definedName name="solver_itr" localSheetId="67" hidden="1">999999999</definedName>
    <definedName name="solver_itr" localSheetId="68" hidden="1">999999999</definedName>
    <definedName name="solver_itr" localSheetId="62" hidden="1">999999999</definedName>
    <definedName name="solver_itr" localSheetId="61" hidden="1">999999999</definedName>
    <definedName name="solver_itr" localSheetId="57" hidden="1">999999999</definedName>
    <definedName name="solver_itr" localSheetId="60" hidden="1">999999999</definedName>
    <definedName name="solver_itr" localSheetId="58" hidden="1">999999999</definedName>
    <definedName name="solver_itr" localSheetId="59" hidden="1">999999999</definedName>
    <definedName name="solver_itr" localSheetId="56" hidden="1">999999999</definedName>
    <definedName name="solver_itr" localSheetId="48" hidden="1">999999999</definedName>
    <definedName name="solver_itr" localSheetId="4" hidden="1">999999999</definedName>
    <definedName name="solver_itr" localSheetId="36" hidden="1">999999999</definedName>
    <definedName name="solver_itr" localSheetId="37" hidden="1">999999999</definedName>
    <definedName name="solver_itr" localSheetId="34" hidden="1">999999999</definedName>
    <definedName name="solver_itr" localSheetId="1" hidden="1">999999999</definedName>
    <definedName name="solver_itr" localSheetId="49" hidden="1">999999999</definedName>
    <definedName name="solver_itr" localSheetId="54" hidden="1">999999999</definedName>
    <definedName name="solver_itr" localSheetId="55" hidden="1">999999999</definedName>
    <definedName name="solver_itr" localSheetId="3" hidden="1">999999999</definedName>
    <definedName name="solver_itr" localSheetId="2" hidden="1">999999999</definedName>
    <definedName name="solver_itr" localSheetId="31" hidden="1">999999999</definedName>
    <definedName name="solver_itr" localSheetId="53" hidden="1">999999999</definedName>
    <definedName name="solver_itr" localSheetId="7" hidden="1">999999999</definedName>
    <definedName name="solver_itr" localSheetId="27" hidden="1">999999999</definedName>
    <definedName name="solver_itr" localSheetId="43" hidden="1">999999999</definedName>
    <definedName name="solver_itr" localSheetId="39" hidden="1">999999999</definedName>
    <definedName name="solver_lhs1" localSheetId="70" hidden="1">AutoModel!$B$20</definedName>
    <definedName name="solver_lhs1" localSheetId="21" hidden="1">'BadName!'!$H$12</definedName>
    <definedName name="solver_lhs1" localSheetId="33" hidden="1">BinIntLB!$H$11:$H$13</definedName>
    <definedName name="solver_lhs1" localSheetId="18" hidden="1">BinIntOverlap!$I$8:$I$9</definedName>
    <definedName name="solver_lhs1" localSheetId="32" hidden="1">BinLB!$H$11:$H$13</definedName>
    <definedName name="solver_lhs1" localSheetId="6" hidden="1">BlankLHS!$H$8:$H$9</definedName>
    <definedName name="solver_lhs1" localSheetId="5" hidden="1">BlankRHS!$H$8:$H$9</definedName>
    <definedName name="solver_lhs1" localSheetId="45" hidden="1">ComplexLayout!$I$8:$I$9</definedName>
    <definedName name="solver_lhs1" localSheetId="19" hidden="1">ConFormula!$I$9:$I$10</definedName>
    <definedName name="solver_lhs1" localSheetId="20" hidden="1">ConFormulaInf!$I$9:$I$10</definedName>
    <definedName name="solver_lhs1" localSheetId="41" hidden="1">ConstantLB!$H$11:$H$13</definedName>
    <definedName name="solver_lhs1" localSheetId="38" hidden="1">ConstFormulaRangeLB!$H$10:$H$12</definedName>
    <definedName name="solver_lhs1" localSheetId="40" hidden="1">ConstraintLB!$H$11:$H$13</definedName>
    <definedName name="solver_lhs1" localSheetId="23" hidden="1">DeletedConRef!$H$9:$H$10</definedName>
    <definedName name="solver_lhs1" localSheetId="24" hidden="1">DeletedObjRef!$H$9:$H$10</definedName>
    <definedName name="solver_lhs1" localSheetId="50" hidden="1">DiffSheetObj!$G$6</definedName>
    <definedName name="solver_lhs1" localSheetId="30" hidden="1">DirectLBs!$H$10:$H$12</definedName>
    <definedName name="solver_lhs1" localSheetId="9" hidden="1">ErrorLHS!$H$8:$H$9</definedName>
    <definedName name="solver_lhs1" localSheetId="10" hidden="1">ErrorObj!$H$8:$H$9</definedName>
    <definedName name="solver_lhs1" localSheetId="8" hidden="1">ErrorRHS!$H$8:$H$9</definedName>
    <definedName name="solver_lhs1" localSheetId="22" hidden="1">'EscapeSheetName(1)+2-1'!$H$8:$H$9</definedName>
    <definedName name="solver_lhs1" localSheetId="26" hidden="1">FeasConstConstraint!$J$8:$J$9</definedName>
    <definedName name="solver_lhs1" localSheetId="42" hidden="1">FormulaLB!$H$11:$H$13</definedName>
    <definedName name="solver_lhs1" localSheetId="44" hidden="1">FractionalCoeffs!$G$6</definedName>
    <definedName name="solver_lhs1" localSheetId="69" hidden="1">Highlighting!$G$7:$G$8</definedName>
    <definedName name="solver_lhs1" localSheetId="29" hidden="1">IndirectLBs!$H$10:$H$11</definedName>
    <definedName name="solver_lhs1" localSheetId="25" hidden="1">InfConstConstraint!$J$8:$J$9</definedName>
    <definedName name="solver_lhs1" localSheetId="46" hidden="1">InfModel!$H$9:$H$10</definedName>
    <definedName name="solver_lhs1" localSheetId="47" hidden="1">IterativeCalc!$H$9:$H$10</definedName>
    <definedName name="solver_lhs1" localSheetId="35" hidden="1">LargeRangeLB!$H$12:$H$14</definedName>
    <definedName name="solver_lhs1" localSheetId="16" hidden="1">MergedLHS_OK!$H$9:$H$10</definedName>
    <definedName name="solver_lhs1" localSheetId="17" hidden="1">MergedLHSMultiple_OK!$H$9:$H$10</definedName>
    <definedName name="solver_lhs1" localSheetId="15" hidden="1">MergedRHS_OK!$H$9:$H$10</definedName>
    <definedName name="solver_lhs1" localSheetId="14" hidden="1">MergedVarsBad!$H$9:$H$10</definedName>
    <definedName name="solver_lhs1" localSheetId="13" hidden="1">MergedVarsOK!$H$9:$H$10</definedName>
    <definedName name="solver_lhs1" localSheetId="12" hidden="1">MergedVarsSubset!$H$9:$H$10</definedName>
    <definedName name="solver_lhs1" localSheetId="51" hidden="1">NamedRanges!$I$8</definedName>
    <definedName name="solver_lhs1" localSheetId="63" hidden="1">NonLin!$J$40</definedName>
    <definedName name="solver_lhs1" localSheetId="64" hidden="1">NonLin2!$E$6:$E$7</definedName>
    <definedName name="solver_lhs1" localSheetId="65" hidden="1">NonLin3!$S$10:$S$11</definedName>
    <definedName name="solver_lhs1" localSheetId="68" hidden="1">NonLin6!$D$7</definedName>
    <definedName name="solver_lhs1" localSheetId="62" hidden="1">NonLinBinary!$E$8:$E$9</definedName>
    <definedName name="solver_lhs1" localSheetId="61" hidden="1">NonLinConstraints!$I$7:$I$9</definedName>
    <definedName name="solver_lhs1" localSheetId="57" hidden="1">NonLinLarge!$H$7:$H$8</definedName>
    <definedName name="solver_lhs1" localSheetId="60" hidden="1">NonLinMinMax!$G$8</definedName>
    <definedName name="solver_lhs1" localSheetId="58" hidden="1">NonLinObj!$H$7:$H$8</definedName>
    <definedName name="solver_lhs1" localSheetId="59" hidden="1">NonLinPruning!$F$8:$F$9</definedName>
    <definedName name="solver_lhs1" localSheetId="56" hidden="1">NonLinSimple!$H$7:$H$8</definedName>
    <definedName name="solver_lhs1" localSheetId="48" hidden="1">NoObj!$H$9:$H$10</definedName>
    <definedName name="solver_lhs1" localSheetId="4" hidden="1">OverlappingVars!$H$8:$H$9</definedName>
    <definedName name="solver_lhs1" localSheetId="36" hidden="1">OverlapRangeLB!$H$12:$H$14</definedName>
    <definedName name="solver_lhs1" localSheetId="37" hidden="1">OverlapRangeLBwithFormula!$H$12:$H$14</definedName>
    <definedName name="solver_lhs1" localSheetId="28" hidden="1">ProtectedSheet!$H$8:$H$9</definedName>
    <definedName name="solver_lhs1" localSheetId="52" hidden="1">QuickSolve!$H$8</definedName>
    <definedName name="solver_lhs1" localSheetId="34" hidden="1">Relaxation!$H$11:$H$13</definedName>
    <definedName name="solver_lhs1" localSheetId="1" hidden="1">OverlappingVars!$H$8:$H$9</definedName>
    <definedName name="solver_lhs1" localSheetId="49" hidden="1">SeekObj!$G$6</definedName>
    <definedName name="solver_lhs1" localSheetId="54" hidden="1">Sensitivity!$G$8</definedName>
    <definedName name="solver_lhs1" localSheetId="55" hidden="1">SensitivityNames!$I$14:$I$16</definedName>
    <definedName name="solver_lhs1" localSheetId="3" hidden="1">SimpleIP!$D$10</definedName>
    <definedName name="solver_lhs1" localSheetId="2" hidden="1">SimpleLP!$H$8:$H$9</definedName>
    <definedName name="solver_lhs1" localSheetId="31" hidden="1">SingleRangeLB!$H$10:$H$12</definedName>
    <definedName name="solver_lhs1" localSheetId="53" hidden="1">SolverParameters!$H$17:$H$18</definedName>
    <definedName name="solver_lhs1" localSheetId="11" hidden="1">TextObj!$H$8:$H$9</definedName>
    <definedName name="solver_lhs1" localSheetId="7" hidden="1">TextRHS!$H$8:$H$9</definedName>
    <definedName name="solver_lhs1" localSheetId="27" hidden="1">Unbounded!$H$8:$H$9</definedName>
    <definedName name="solver_lhs1" localSheetId="43" hidden="1">VarConstraintLB!$H$11:$H$13</definedName>
    <definedName name="solver_lhs1" localSheetId="39" hidden="1">VariableFormulaRangeLB!$H$11:$H$13</definedName>
    <definedName name="solver_lhs10" localSheetId="20" hidden="1">ConFormulaInf!$I$14</definedName>
    <definedName name="solver_lhs10" localSheetId="57" hidden="1">NonLinLarge!$H$74</definedName>
    <definedName name="solver_lhs100" localSheetId="57" hidden="1">NonLinLarge!$H$74</definedName>
    <definedName name="solver_lhs101" localSheetId="57" hidden="1">NonLinLarge!$H$75:$H$138</definedName>
    <definedName name="solver_lhs102" localSheetId="57" hidden="1">NonLinLarge!$H$139</definedName>
    <definedName name="solver_lhs103" localSheetId="57" hidden="1">NonLinLarge!$H$7:$H$8</definedName>
    <definedName name="solver_lhs104" localSheetId="57" hidden="1">NonLinLarge!$H$9:$H$72</definedName>
    <definedName name="solver_lhs105" localSheetId="57" hidden="1">NonLinLarge!$H$73</definedName>
    <definedName name="solver_lhs106" localSheetId="57" hidden="1">NonLinLarge!$H$74</definedName>
    <definedName name="solver_lhs107" localSheetId="57" hidden="1">NonLinLarge!$H$75:$H$138</definedName>
    <definedName name="solver_lhs108" localSheetId="57" hidden="1">NonLinLarge!$H$139</definedName>
    <definedName name="solver_lhs109" localSheetId="57" hidden="1">NonLinLarge!$H$7:$H$8</definedName>
    <definedName name="solver_lhs11" localSheetId="57" hidden="1">NonLinLarge!$H$75:$H$138</definedName>
    <definedName name="solver_lhs110" localSheetId="57" hidden="1">NonLinLarge!$H$9:$H$72</definedName>
    <definedName name="solver_lhs111" localSheetId="57" hidden="1">NonLinLarge!$H$73</definedName>
    <definedName name="solver_lhs112" localSheetId="57" hidden="1">NonLinLarge!$H$74</definedName>
    <definedName name="solver_lhs113" localSheetId="57" hidden="1">NonLinLarge!$H$75:$H$138</definedName>
    <definedName name="solver_lhs114" localSheetId="57" hidden="1">NonLinLarge!$H$139</definedName>
    <definedName name="solver_lhs115" localSheetId="57" hidden="1">NonLinLarge!$H$7:$H$8</definedName>
    <definedName name="solver_lhs116" localSheetId="57" hidden="1">NonLinLarge!$H$9:$H$72</definedName>
    <definedName name="solver_lhs117" localSheetId="57" hidden="1">NonLinLarge!$H$73</definedName>
    <definedName name="solver_lhs118" localSheetId="57" hidden="1">NonLinLarge!$H$74</definedName>
    <definedName name="solver_lhs119" localSheetId="57" hidden="1">NonLinLarge!$H$75:$H$138</definedName>
    <definedName name="solver_lhs12" localSheetId="57" hidden="1">NonLinLarge!$H$139</definedName>
    <definedName name="solver_lhs120" localSheetId="57" hidden="1">NonLinLarge!$H$139</definedName>
    <definedName name="solver_lhs121" localSheetId="57" hidden="1">NonLinLarge!$H$7:$H$8</definedName>
    <definedName name="solver_lhs122" localSheetId="57" hidden="1">NonLinLarge!$H$9:$H$72</definedName>
    <definedName name="solver_lhs123" localSheetId="57" hidden="1">NonLinLarge!$H$73</definedName>
    <definedName name="solver_lhs124" localSheetId="57" hidden="1">NonLinLarge!$H$74</definedName>
    <definedName name="solver_lhs125" localSheetId="57" hidden="1">NonLinLarge!$H$75:$H$138</definedName>
    <definedName name="solver_lhs126" localSheetId="57" hidden="1">NonLinLarge!$H$139</definedName>
    <definedName name="solver_lhs127" localSheetId="57" hidden="1">NonLinLarge!$H$7:$H$8</definedName>
    <definedName name="solver_lhs128" localSheetId="57" hidden="1">NonLinLarge!$H$9:$H$72</definedName>
    <definedName name="solver_lhs129" localSheetId="57" hidden="1">NonLinLarge!$H$73</definedName>
    <definedName name="solver_lhs13" localSheetId="57" hidden="1">NonLinLarge!$H$7:$H$8</definedName>
    <definedName name="solver_lhs130" localSheetId="57" hidden="1">NonLinLarge!$H$74</definedName>
    <definedName name="solver_lhs131" localSheetId="57" hidden="1">NonLinLarge!$H$75:$H$138</definedName>
    <definedName name="solver_lhs132" localSheetId="57" hidden="1">NonLinLarge!$H$139</definedName>
    <definedName name="solver_lhs133" localSheetId="57" hidden="1">NonLinLarge!$H$7:$H$8</definedName>
    <definedName name="solver_lhs134" localSheetId="57" hidden="1">NonLinLarge!$H$9:$H$72</definedName>
    <definedName name="solver_lhs135" localSheetId="57" hidden="1">NonLinLarge!$H$73</definedName>
    <definedName name="solver_lhs136" localSheetId="57" hidden="1">NonLinLarge!$H$74</definedName>
    <definedName name="solver_lhs137" localSheetId="57" hidden="1">NonLinLarge!$H$75:$H$138</definedName>
    <definedName name="solver_lhs138" localSheetId="57" hidden="1">NonLinLarge!$H$139</definedName>
    <definedName name="solver_lhs139" localSheetId="57" hidden="1">NonLinLarge!$H$7:$H$8</definedName>
    <definedName name="solver_lhs14" localSheetId="57" hidden="1">NonLinLarge!$H$9:$H$72</definedName>
    <definedName name="solver_lhs140" localSheetId="57" hidden="1">NonLinLarge!$H$9:$H$72</definedName>
    <definedName name="solver_lhs141" localSheetId="57" hidden="1">NonLinLarge!$H$73</definedName>
    <definedName name="solver_lhs142" localSheetId="57" hidden="1">NonLinLarge!$H$74</definedName>
    <definedName name="solver_lhs143" localSheetId="57" hidden="1">NonLinLarge!$H$75:$H$138</definedName>
    <definedName name="solver_lhs144" localSheetId="57" hidden="1">NonLinLarge!$H$139</definedName>
    <definedName name="solver_lhs145" localSheetId="57" hidden="1">NonLinLarge!$H$7:$H$8</definedName>
    <definedName name="solver_lhs146" localSheetId="57" hidden="1">NonLinLarge!$H$9:$H$72</definedName>
    <definedName name="solver_lhs147" localSheetId="57" hidden="1">NonLinLarge!$H$73</definedName>
    <definedName name="solver_lhs148" localSheetId="57" hidden="1">NonLinLarge!$H$74</definedName>
    <definedName name="solver_lhs149" localSheetId="57" hidden="1">NonLinLarge!$H$75:$H$138</definedName>
    <definedName name="solver_lhs15" localSheetId="57" hidden="1">NonLinLarge!$H$73</definedName>
    <definedName name="solver_lhs150" localSheetId="57" hidden="1">NonLinLarge!$H$139</definedName>
    <definedName name="solver_lhs151" localSheetId="57" hidden="1">NonLinLarge!$H$7:$H$8</definedName>
    <definedName name="solver_lhs152" localSheetId="57" hidden="1">NonLinLarge!$H$9:$H$72</definedName>
    <definedName name="solver_lhs153" localSheetId="57" hidden="1">NonLinLarge!$H$73</definedName>
    <definedName name="solver_lhs154" localSheetId="57" hidden="1">NonLinLarge!$H$74</definedName>
    <definedName name="solver_lhs155" localSheetId="57" hidden="1">NonLinLarge!$H$75:$H$138</definedName>
    <definedName name="solver_lhs156" localSheetId="57" hidden="1">NonLinLarge!$H$139</definedName>
    <definedName name="solver_lhs157" localSheetId="57" hidden="1">NonLinLarge!$H$7:$H$8</definedName>
    <definedName name="solver_lhs158" localSheetId="57" hidden="1">NonLinLarge!$H$9:$H$72</definedName>
    <definedName name="solver_lhs159" localSheetId="57" hidden="1">NonLinLarge!$H$73</definedName>
    <definedName name="solver_lhs16" localSheetId="57" hidden="1">NonLinLarge!$H$74</definedName>
    <definedName name="solver_lhs160" localSheetId="57" hidden="1">NonLinLarge!$H$74</definedName>
    <definedName name="solver_lhs161" localSheetId="57" hidden="1">NonLinLarge!$H$75:$H$138</definedName>
    <definedName name="solver_lhs162" localSheetId="57" hidden="1">NonLinLarge!$H$139</definedName>
    <definedName name="solver_lhs163" localSheetId="57" hidden="1">NonLinLarge!$H$7:$H$8</definedName>
    <definedName name="solver_lhs164" localSheetId="57" hidden="1">NonLinLarge!$H$9:$H$72</definedName>
    <definedName name="solver_lhs165" localSheetId="57" hidden="1">NonLinLarge!$H$73</definedName>
    <definedName name="solver_lhs166" localSheetId="57" hidden="1">NonLinLarge!$H$74</definedName>
    <definedName name="solver_lhs167" localSheetId="57" hidden="1">NonLinLarge!$H$75:$H$138</definedName>
    <definedName name="solver_lhs168" localSheetId="57" hidden="1">NonLinLarge!$H$139</definedName>
    <definedName name="solver_lhs169" localSheetId="57" hidden="1">NonLinLarge!$H$7:$H$8</definedName>
    <definedName name="solver_lhs17" localSheetId="57" hidden="1">NonLinLarge!$H$75:$H$138</definedName>
    <definedName name="solver_lhs170" localSheetId="57" hidden="1">NonLinLarge!$H$9:$H$72</definedName>
    <definedName name="solver_lhs171" localSheetId="57" hidden="1">NonLinLarge!$H$73</definedName>
    <definedName name="solver_lhs172" localSheetId="57" hidden="1">NonLinLarge!$H$74</definedName>
    <definedName name="solver_lhs173" localSheetId="57" hidden="1">NonLinLarge!$H$75:$H$138</definedName>
    <definedName name="solver_lhs174" localSheetId="57" hidden="1">NonLinLarge!$H$139</definedName>
    <definedName name="solver_lhs175" localSheetId="57" hidden="1">NonLinLarge!$H$7:$H$8</definedName>
    <definedName name="solver_lhs176" localSheetId="57" hidden="1">NonLinLarge!$H$9:$H$72</definedName>
    <definedName name="solver_lhs177" localSheetId="57" hidden="1">NonLinLarge!$H$73</definedName>
    <definedName name="solver_lhs178" localSheetId="57" hidden="1">NonLinLarge!$H$74</definedName>
    <definedName name="solver_lhs179" localSheetId="57" hidden="1">NonLinLarge!$H$75:$H$138</definedName>
    <definedName name="solver_lhs18" localSheetId="57" hidden="1">NonLinLarge!$H$139</definedName>
    <definedName name="solver_lhs180" localSheetId="57" hidden="1">NonLinLarge!$H$139</definedName>
    <definedName name="solver_lhs181" localSheetId="57" hidden="1">NonLinLarge!$H$7:$H$8</definedName>
    <definedName name="solver_lhs182" localSheetId="57" hidden="1">NonLinLarge!$H$9:$H$72</definedName>
    <definedName name="solver_lhs183" localSheetId="57" hidden="1">NonLinLarge!$H$73</definedName>
    <definedName name="solver_lhs184" localSheetId="57" hidden="1">NonLinLarge!$H$74</definedName>
    <definedName name="solver_lhs185" localSheetId="57" hidden="1">NonLinLarge!$H$75:$H$138</definedName>
    <definedName name="solver_lhs186" localSheetId="57" hidden="1">NonLinLarge!$H$139</definedName>
    <definedName name="solver_lhs187" localSheetId="57" hidden="1">NonLinLarge!$H$7:$H$8</definedName>
    <definedName name="solver_lhs188" localSheetId="57" hidden="1">NonLinLarge!$H$9:$H$72</definedName>
    <definedName name="solver_lhs189" localSheetId="57" hidden="1">NonLinLarge!$H$73</definedName>
    <definedName name="solver_lhs19" localSheetId="57" hidden="1">NonLinLarge!$H$7:$H$8</definedName>
    <definedName name="solver_lhs190" localSheetId="57" hidden="1">NonLinLarge!$H$74</definedName>
    <definedName name="solver_lhs191" localSheetId="57" hidden="1">NonLinLarge!$H$75:$H$138</definedName>
    <definedName name="solver_lhs192" localSheetId="57" hidden="1">NonLinLarge!$H$139</definedName>
    <definedName name="solver_lhs193" localSheetId="57" hidden="1">NonLinLarge!$H$7:$H$8</definedName>
    <definedName name="solver_lhs194" localSheetId="57" hidden="1">NonLinLarge!$H$9:$H$72</definedName>
    <definedName name="solver_lhs195" localSheetId="57" hidden="1">NonLinLarge!$H$73</definedName>
    <definedName name="solver_lhs196" localSheetId="57" hidden="1">NonLinLarge!$H$74</definedName>
    <definedName name="solver_lhs197" localSheetId="57" hidden="1">NonLinLarge!$H$75:$H$138</definedName>
    <definedName name="solver_lhs198" localSheetId="57" hidden="1">NonLinLarge!$H$139</definedName>
    <definedName name="solver_lhs199" localSheetId="57" hidden="1">NonLinLarge!$H$7:$H$8</definedName>
    <definedName name="solver_lhs2" localSheetId="70" hidden="1">AutoModel!$B$14</definedName>
    <definedName name="solver_lhs2" localSheetId="21" hidden="1">'BadName!'!$H$10</definedName>
    <definedName name="solver_lhs2" localSheetId="33" hidden="1">BinIntLB!$D$5:$F$5</definedName>
    <definedName name="solver_lhs2" localSheetId="18" hidden="1">BinIntOverlap!$I$10</definedName>
    <definedName name="solver_lhs2" localSheetId="32" hidden="1">BinLB!$D$5:$F$5</definedName>
    <definedName name="solver_lhs2" localSheetId="6" hidden="1">BlankLHS!$H$10</definedName>
    <definedName name="solver_lhs2" localSheetId="5" hidden="1">BlankRHS!$H$10</definedName>
    <definedName name="solver_lhs2" localSheetId="45" hidden="1">ComplexLayout!$I$10</definedName>
    <definedName name="solver_lhs2" localSheetId="19" hidden="1">ConFormula!$I$11</definedName>
    <definedName name="solver_lhs2" localSheetId="20" hidden="1">ConFormulaInf!$K$11</definedName>
    <definedName name="solver_lhs2" localSheetId="41" hidden="1">ConstantLB!$D$5</definedName>
    <definedName name="solver_lhs2" localSheetId="38" hidden="1">ConstFormulaRangeLB!$D$4:$F$4</definedName>
    <definedName name="solver_lhs2" localSheetId="40" hidden="1">ConstraintLB!$H$12</definedName>
    <definedName name="solver_lhs2" localSheetId="23" hidden="1">DeletedConRef!$H$11</definedName>
    <definedName name="solver_lhs2" localSheetId="24" hidden="1">DeletedObjRef!$H$11</definedName>
    <definedName name="solver_lhs2" localSheetId="50" hidden="1">DiffSheetObj!$G$7</definedName>
    <definedName name="solver_lhs2" localSheetId="30" hidden="1">DirectLBs!$D$4:$F$4</definedName>
    <definedName name="solver_lhs2" localSheetId="9" hidden="1">ErrorLHS!$H$10</definedName>
    <definedName name="solver_lhs2" localSheetId="10" hidden="1">ErrorObj!$H$10</definedName>
    <definedName name="solver_lhs2" localSheetId="8" hidden="1">ErrorRHS!$H$10</definedName>
    <definedName name="solver_lhs2" localSheetId="22" hidden="1">'EscapeSheetName(1)+2-1'!$H$10</definedName>
    <definedName name="solver_lhs2" localSheetId="26" hidden="1">FeasConstConstraint!$J$10</definedName>
    <definedName name="solver_lhs2" localSheetId="42" hidden="1">FormulaLB!$D$5</definedName>
    <definedName name="solver_lhs2" localSheetId="44" hidden="1">FractionalCoeffs!$G$7</definedName>
    <definedName name="solver_lhs2" localSheetId="69" hidden="1">Highlighting!$G$9</definedName>
    <definedName name="solver_lhs2" localSheetId="29" hidden="1">IndirectLBs!$H$12</definedName>
    <definedName name="solver_lhs2" localSheetId="25" hidden="1">InfConstConstraint!$J$10</definedName>
    <definedName name="solver_lhs2" localSheetId="46" hidden="1">InfModel!$H$11</definedName>
    <definedName name="solver_lhs2" localSheetId="47" hidden="1">IterativeCalc!$H$11</definedName>
    <definedName name="solver_lhs2" localSheetId="35" hidden="1">LargeRangeLB!$D$6:$H$6</definedName>
    <definedName name="solver_lhs2" localSheetId="16" hidden="1">MergedLHS_OK!$H$11</definedName>
    <definedName name="solver_lhs2" localSheetId="17" hidden="1">MergedLHSMultiple_OK!$H$11</definedName>
    <definedName name="solver_lhs2" localSheetId="15" hidden="1">MergedRHS_OK!$H$11</definedName>
    <definedName name="solver_lhs2" localSheetId="14" hidden="1">MergedVarsBad!$H$11</definedName>
    <definedName name="solver_lhs2" localSheetId="13" hidden="1">MergedVarsOK!$H$11</definedName>
    <definedName name="solver_lhs2" localSheetId="12" hidden="1">MergedVarsSubset!$H$11</definedName>
    <definedName name="solver_lhs2" localSheetId="51" hidden="1">NamedRanges!$I$9</definedName>
    <definedName name="solver_lhs2" localSheetId="63" hidden="1">NonLin!$J$41:$J$42</definedName>
    <definedName name="solver_lhs2" localSheetId="64" hidden="1">NonLin2!$C$4:$D$4</definedName>
    <definedName name="solver_lhs2" localSheetId="65" hidden="1">NonLin3!$S$10:$S$11</definedName>
    <definedName name="solver_lhs2" localSheetId="68" hidden="1">NonLin6!$D$7</definedName>
    <definedName name="solver_lhs2" localSheetId="62" hidden="1">NonLinBinary!$C$4:$D$4</definedName>
    <definedName name="solver_lhs2" localSheetId="61" hidden="1">NonLinConstraints!$D$5:$H$5</definedName>
    <definedName name="solver_lhs2" localSheetId="57" hidden="1">NonLinLarge!$H$74</definedName>
    <definedName name="solver_lhs2" localSheetId="60" hidden="1">NonLinMinMax!$D$4:$F$4</definedName>
    <definedName name="solver_lhs2" localSheetId="58" hidden="1">NonLinObj!$H$9</definedName>
    <definedName name="solver_lhs2" localSheetId="59" hidden="1">NonLinPruning!$F$10:$F$11</definedName>
    <definedName name="solver_lhs2" localSheetId="56" hidden="1">NonLinSimple!$H$9</definedName>
    <definedName name="solver_lhs2" localSheetId="48" hidden="1">NoObj!$H$11</definedName>
    <definedName name="solver_lhs2" localSheetId="4" hidden="1">OverlappingVars!$H$10</definedName>
    <definedName name="solver_lhs2" localSheetId="36" hidden="1">OverlapRangeLB!$E$6:$H$6</definedName>
    <definedName name="solver_lhs2" localSheetId="37" hidden="1">OverlapRangeLBwithFormula!$D$6:$H$6</definedName>
    <definedName name="solver_lhs2" localSheetId="28" hidden="1">ProtectedSheet!$H$10</definedName>
    <definedName name="solver_lhs2" localSheetId="52" hidden="1">QuickSolve!$H$9:$H$10</definedName>
    <definedName name="solver_lhs2" localSheetId="34" hidden="1">Relaxation!$D$5:$F$5</definedName>
    <definedName name="solver_lhs2" localSheetId="1" hidden="1">OverlappingVars!$H$10</definedName>
    <definedName name="solver_lhs2" localSheetId="49" hidden="1">SeekObj!$G$7</definedName>
    <definedName name="solver_lhs2" localSheetId="54" hidden="1">Sensitivity!$G$9</definedName>
    <definedName name="solver_lhs2" localSheetId="55" hidden="1">SensitivityNames!$D$17:$H$17</definedName>
    <definedName name="solver_lhs2" localSheetId="3" hidden="1">SimpleIP!$E$5:$E$7</definedName>
    <definedName name="solver_lhs2" localSheetId="2" hidden="1">SimpleLP!$H$10</definedName>
    <definedName name="solver_lhs2" localSheetId="31" hidden="1">SingleRangeLB!$D$4:$F$4</definedName>
    <definedName name="solver_lhs2" localSheetId="53" hidden="1">SolverParameters!$H$19</definedName>
    <definedName name="solver_lhs2" localSheetId="11" hidden="1">TextObj!$H$10</definedName>
    <definedName name="solver_lhs2" localSheetId="7" hidden="1">TextRHS!$H$10</definedName>
    <definedName name="solver_lhs2" localSheetId="27" hidden="1">Unbounded!$H$10</definedName>
    <definedName name="solver_lhs2" localSheetId="43" hidden="1">VarConstraintLB!$D$7</definedName>
    <definedName name="solver_lhs2" localSheetId="39" hidden="1">VariableFormulaRangeLB!$D$5:$F$5</definedName>
    <definedName name="solver_lhs20" localSheetId="57" hidden="1">NonLinLarge!$H$9:$H$72</definedName>
    <definedName name="solver_lhs200" localSheetId="57" hidden="1">NonLinLarge!$H$9:$H$72</definedName>
    <definedName name="solver_lhs201" localSheetId="57" hidden="1">NonLinLarge!$H$73</definedName>
    <definedName name="solver_lhs202" localSheetId="57" hidden="1">NonLinLarge!$H$74</definedName>
    <definedName name="solver_lhs203" localSheetId="57" hidden="1">NonLinLarge!$H$75:$H$138</definedName>
    <definedName name="solver_lhs204" localSheetId="57" hidden="1">NonLinLarge!$H$139</definedName>
    <definedName name="solver_lhs205" localSheetId="57" hidden="1">NonLinLarge!$H$7:$H$8</definedName>
    <definedName name="solver_lhs206" localSheetId="57" hidden="1">NonLinLarge!$H$9:$H$72</definedName>
    <definedName name="solver_lhs207" localSheetId="57" hidden="1">NonLinLarge!$H$73</definedName>
    <definedName name="solver_lhs208" localSheetId="57" hidden="1">NonLinLarge!$H$74</definedName>
    <definedName name="solver_lhs209" localSheetId="57" hidden="1">NonLinLarge!$H$75:$H$138</definedName>
    <definedName name="solver_lhs21" localSheetId="57" hidden="1">NonLinLarge!$H$73</definedName>
    <definedName name="solver_lhs210" localSheetId="57" hidden="1">NonLinLarge!$H$139</definedName>
    <definedName name="solver_lhs211" localSheetId="57" hidden="1">NonLinLarge!$H$7:$H$8</definedName>
    <definedName name="solver_lhs212" localSheetId="57" hidden="1">NonLinLarge!$H$9:$H$72</definedName>
    <definedName name="solver_lhs213" localSheetId="57" hidden="1">NonLinLarge!$H$73</definedName>
    <definedName name="solver_lhs214" localSheetId="57" hidden="1">NonLinLarge!$H$74</definedName>
    <definedName name="solver_lhs215" localSheetId="57" hidden="1">NonLinLarge!$H$75:$H$138</definedName>
    <definedName name="solver_lhs216" localSheetId="57" hidden="1">NonLinLarge!$H$139</definedName>
    <definedName name="solver_lhs217" localSheetId="57" hidden="1">NonLinLarge!$H$7:$H$8</definedName>
    <definedName name="solver_lhs218" localSheetId="57" hidden="1">NonLinLarge!$H$9:$H$72</definedName>
    <definedName name="solver_lhs219" localSheetId="57" hidden="1">NonLinLarge!$H$73</definedName>
    <definedName name="solver_lhs22" localSheetId="57" hidden="1">NonLinLarge!$H$74</definedName>
    <definedName name="solver_lhs220" localSheetId="57" hidden="1">NonLinLarge!$H$74</definedName>
    <definedName name="solver_lhs221" localSheetId="57" hidden="1">NonLinLarge!$H$75:$H$138</definedName>
    <definedName name="solver_lhs222" localSheetId="57" hidden="1">NonLinLarge!$H$139</definedName>
    <definedName name="solver_lhs223" localSheetId="57" hidden="1">NonLinLarge!$H$7:$H$8</definedName>
    <definedName name="solver_lhs224" localSheetId="57" hidden="1">NonLinLarge!$H$9:$H$72</definedName>
    <definedName name="solver_lhs225" localSheetId="57" hidden="1">NonLinLarge!$H$73</definedName>
    <definedName name="solver_lhs226" localSheetId="57" hidden="1">NonLinLarge!$H$74</definedName>
    <definedName name="solver_lhs227" localSheetId="57" hidden="1">NonLinLarge!$H$75:$H$138</definedName>
    <definedName name="solver_lhs228" localSheetId="57" hidden="1">NonLinLarge!$H$139</definedName>
    <definedName name="solver_lhs229" localSheetId="57" hidden="1">NonLinLarge!$H$7:$H$8</definedName>
    <definedName name="solver_lhs23" localSheetId="57" hidden="1">NonLinLarge!$H$75:$H$138</definedName>
    <definedName name="solver_lhs230" localSheetId="57" hidden="1">NonLinLarge!$H$9:$H$72</definedName>
    <definedName name="solver_lhs231" localSheetId="57" hidden="1">NonLinLarge!$H$73</definedName>
    <definedName name="solver_lhs232" localSheetId="57" hidden="1">NonLinLarge!$H$74</definedName>
    <definedName name="solver_lhs233" localSheetId="57" hidden="1">NonLinLarge!$H$75:$H$138</definedName>
    <definedName name="solver_lhs234" localSheetId="57" hidden="1">NonLinLarge!$H$139</definedName>
    <definedName name="solver_lhs235" localSheetId="57" hidden="1">NonLinLarge!$H$7:$H$8</definedName>
    <definedName name="solver_lhs236" localSheetId="57" hidden="1">NonLinLarge!$H$9:$H$72</definedName>
    <definedName name="solver_lhs237" localSheetId="57" hidden="1">NonLinLarge!$H$73</definedName>
    <definedName name="solver_lhs238" localSheetId="57" hidden="1">NonLinLarge!$H$74</definedName>
    <definedName name="solver_lhs239" localSheetId="57" hidden="1">NonLinLarge!$H$75:$H$138</definedName>
    <definedName name="solver_lhs24" localSheetId="57" hidden="1">NonLinLarge!$H$139</definedName>
    <definedName name="solver_lhs240" localSheetId="57" hidden="1">NonLinLarge!$H$139</definedName>
    <definedName name="solver_lhs241" localSheetId="57" hidden="1">NonLinLarge!$H$7:$H$8</definedName>
    <definedName name="solver_lhs242" localSheetId="57" hidden="1">NonLinLarge!$H$9:$H$72</definedName>
    <definedName name="solver_lhs243" localSheetId="57" hidden="1">NonLinLarge!$H$73</definedName>
    <definedName name="solver_lhs244" localSheetId="57" hidden="1">NonLinLarge!$H$74</definedName>
    <definedName name="solver_lhs245" localSheetId="57" hidden="1">NonLinLarge!$H$75:$H$138</definedName>
    <definedName name="solver_lhs246" localSheetId="57" hidden="1">NonLinLarge!$H$139</definedName>
    <definedName name="solver_lhs247" localSheetId="57" hidden="1">NonLinLarge!$H$7:$H$8</definedName>
    <definedName name="solver_lhs248" localSheetId="57" hidden="1">NonLinLarge!$H$9:$H$72</definedName>
    <definedName name="solver_lhs249" localSheetId="57" hidden="1">NonLinLarge!$H$73</definedName>
    <definedName name="solver_lhs25" localSheetId="57" hidden="1">NonLinLarge!$H$7:$H$8</definedName>
    <definedName name="solver_lhs250" localSheetId="57" hidden="1">NonLinLarge!$H$74</definedName>
    <definedName name="solver_lhs251" localSheetId="57" hidden="1">NonLinLarge!$H$75:$H$138</definedName>
    <definedName name="solver_lhs252" localSheetId="57" hidden="1">NonLinLarge!$H$139</definedName>
    <definedName name="solver_lhs253" localSheetId="57" hidden="1">NonLinLarge!$H$7:$H$8</definedName>
    <definedName name="solver_lhs254" localSheetId="57" hidden="1">NonLinLarge!$H$9:$H$72</definedName>
    <definedName name="solver_lhs255" localSheetId="57" hidden="1">NonLinLarge!$H$73</definedName>
    <definedName name="solver_lhs256" localSheetId="57" hidden="1">NonLinLarge!$H$74</definedName>
    <definedName name="solver_lhs257" localSheetId="57" hidden="1">NonLinLarge!$H$75:$H$138</definedName>
    <definedName name="solver_lhs258" localSheetId="57" hidden="1">NonLinLarge!$H$139</definedName>
    <definedName name="solver_lhs259" localSheetId="57" hidden="1">NonLinLarge!$H$7:$H$8</definedName>
    <definedName name="solver_lhs26" localSheetId="57" hidden="1">NonLinLarge!$H$9:$H$72</definedName>
    <definedName name="solver_lhs260" localSheetId="57" hidden="1">NonLinLarge!$H$9:$H$72</definedName>
    <definedName name="solver_lhs261" localSheetId="57" hidden="1">NonLinLarge!$H$73</definedName>
    <definedName name="solver_lhs262" localSheetId="57" hidden="1">NonLinLarge!$H$74</definedName>
    <definedName name="solver_lhs263" localSheetId="57" hidden="1">NonLinLarge!$H$75:$H$138</definedName>
    <definedName name="solver_lhs264" localSheetId="57" hidden="1">NonLinLarge!$H$139</definedName>
    <definedName name="solver_lhs265" localSheetId="57" hidden="1">NonLinLarge!$H$7:$H$8</definedName>
    <definedName name="solver_lhs266" localSheetId="57" hidden="1">NonLinLarge!$H$9:$H$72</definedName>
    <definedName name="solver_lhs267" localSheetId="57" hidden="1">NonLinLarge!$H$73</definedName>
    <definedName name="solver_lhs268" localSheetId="57" hidden="1">NonLinLarge!$H$74</definedName>
    <definedName name="solver_lhs269" localSheetId="57" hidden="1">NonLinLarge!$H$75:$H$138</definedName>
    <definedName name="solver_lhs27" localSheetId="57" hidden="1">NonLinLarge!$H$73</definedName>
    <definedName name="solver_lhs270" localSheetId="57" hidden="1">NonLinLarge!$H$139</definedName>
    <definedName name="solver_lhs271" localSheetId="57" hidden="1">NonLinLarge!$H$7:$H$8</definedName>
    <definedName name="solver_lhs272" localSheetId="57" hidden="1">NonLinLarge!$H$9:$H$72</definedName>
    <definedName name="solver_lhs273" localSheetId="57" hidden="1">NonLinLarge!$H$73</definedName>
    <definedName name="solver_lhs274" localSheetId="57" hidden="1">NonLinLarge!$H$74</definedName>
    <definedName name="solver_lhs275" localSheetId="57" hidden="1">NonLinLarge!$H$75:$H$138</definedName>
    <definedName name="solver_lhs276" localSheetId="57" hidden="1">NonLinLarge!$H$139</definedName>
    <definedName name="solver_lhs277" localSheetId="57" hidden="1">NonLinLarge!$H$7:$H$8</definedName>
    <definedName name="solver_lhs278" localSheetId="57" hidden="1">NonLinLarge!$H$9:$H$72</definedName>
    <definedName name="solver_lhs279" localSheetId="57" hidden="1">NonLinLarge!$H$73</definedName>
    <definedName name="solver_lhs28" localSheetId="57" hidden="1">NonLinLarge!$H$74</definedName>
    <definedName name="solver_lhs280" localSheetId="57" hidden="1">NonLinLarge!$H$74</definedName>
    <definedName name="solver_lhs281" localSheetId="57" hidden="1">NonLinLarge!$H$75:$H$138</definedName>
    <definedName name="solver_lhs282" localSheetId="57" hidden="1">NonLinLarge!$H$139</definedName>
    <definedName name="solver_lhs283" localSheetId="57" hidden="1">NonLinLarge!$H$7:$H$8</definedName>
    <definedName name="solver_lhs284" localSheetId="57" hidden="1">NonLinLarge!$H$9:$H$72</definedName>
    <definedName name="solver_lhs285" localSheetId="57" hidden="1">NonLinLarge!$H$73</definedName>
    <definedName name="solver_lhs286" localSheetId="57" hidden="1">NonLinLarge!$H$74</definedName>
    <definedName name="solver_lhs287" localSheetId="57" hidden="1">NonLinLarge!$H$75:$H$138</definedName>
    <definedName name="solver_lhs288" localSheetId="57" hidden="1">NonLinLarge!$H$139</definedName>
    <definedName name="solver_lhs289" localSheetId="57" hidden="1">NonLinLarge!$H$7:$H$8</definedName>
    <definedName name="solver_lhs29" localSheetId="57" hidden="1">NonLinLarge!$H$75:$H$138</definedName>
    <definedName name="solver_lhs290" localSheetId="57" hidden="1">NonLinLarge!$H$9:$H$72</definedName>
    <definedName name="solver_lhs291" localSheetId="57" hidden="1">NonLinLarge!$H$73</definedName>
    <definedName name="solver_lhs292" localSheetId="57" hidden="1">NonLinLarge!$H$74</definedName>
    <definedName name="solver_lhs293" localSheetId="57" hidden="1">NonLinLarge!$H$75:$H$138</definedName>
    <definedName name="solver_lhs294" localSheetId="57" hidden="1">NonLinLarge!$H$139</definedName>
    <definedName name="solver_lhs295" localSheetId="57" hidden="1">NonLinLarge!$H$7:$H$8</definedName>
    <definedName name="solver_lhs296" localSheetId="57" hidden="1">NonLinLarge!$H$9:$H$72</definedName>
    <definedName name="solver_lhs297" localSheetId="57" hidden="1">NonLinLarge!$H$73</definedName>
    <definedName name="solver_lhs298" localSheetId="57" hidden="1">NonLinLarge!$H$74</definedName>
    <definedName name="solver_lhs299" localSheetId="57" hidden="1">NonLinLarge!$H$75:$H$138</definedName>
    <definedName name="solver_lhs3" localSheetId="70" hidden="1">AutoModel!$B$17</definedName>
    <definedName name="solver_lhs3" localSheetId="21" hidden="1">'BadName!'!$H$11</definedName>
    <definedName name="solver_lhs3" localSheetId="33" hidden="1">BinIntLB!$F$5</definedName>
    <definedName name="solver_lhs3" localSheetId="18" hidden="1">BinIntOverlap!$I$11</definedName>
    <definedName name="solver_lhs3" localSheetId="32" hidden="1">BinLB!$F$5</definedName>
    <definedName name="solver_lhs3" localSheetId="6" hidden="1">BlankLHS!$H$11</definedName>
    <definedName name="solver_lhs3" localSheetId="5" hidden="1">BlankRHS!$H$11</definedName>
    <definedName name="solver_lhs3" localSheetId="45" hidden="1">ComplexLayout!$I$11</definedName>
    <definedName name="solver_lhs3" localSheetId="19" hidden="1">ConFormula!$I$12</definedName>
    <definedName name="solver_lhs3" localSheetId="20" hidden="1">ConFormulaInf!$I$12</definedName>
    <definedName name="solver_lhs3" localSheetId="41" hidden="1">ConstantLB!$H$12</definedName>
    <definedName name="solver_lhs3" localSheetId="38" hidden="1">ConstFormulaRangeLB!$H$11</definedName>
    <definedName name="solver_lhs3" localSheetId="40" hidden="1">ConstraintLB!$H$13</definedName>
    <definedName name="solver_lhs3" localSheetId="23" hidden="1">DeletedConRef!$H$12</definedName>
    <definedName name="solver_lhs3" localSheetId="24" hidden="1">DeletedObjRef!$H$12</definedName>
    <definedName name="solver_lhs3" localSheetId="50" hidden="1">DiffSheetObj!$G$8:$G$9</definedName>
    <definedName name="solver_lhs3" localSheetId="30" hidden="1">DirectLBs!$H$12</definedName>
    <definedName name="solver_lhs3" localSheetId="9" hidden="1">ErrorLHS!$H$11</definedName>
    <definedName name="solver_lhs3" localSheetId="10" hidden="1">ErrorObj!$H$11</definedName>
    <definedName name="solver_lhs3" localSheetId="8" hidden="1">ErrorRHS!$H$11</definedName>
    <definedName name="solver_lhs3" localSheetId="22" hidden="1">'EscapeSheetName(1)+2-1'!$H$11</definedName>
    <definedName name="solver_lhs3" localSheetId="26" hidden="1">FeasConstConstraint!$J$11</definedName>
    <definedName name="solver_lhs3" localSheetId="42" hidden="1">FormulaLB!$H$12</definedName>
    <definedName name="solver_lhs3" localSheetId="44" hidden="1">FractionalCoeffs!$G$8:$G$9</definedName>
    <definedName name="solver_lhs3" localSheetId="69" hidden="1">Highlighting!$G$10</definedName>
    <definedName name="solver_lhs3" localSheetId="29" hidden="1">IndirectLBs!$H$13</definedName>
    <definedName name="solver_lhs3" localSheetId="25" hidden="1">InfConstConstraint!$J$11</definedName>
    <definedName name="solver_lhs3" localSheetId="46" hidden="1">InfModel!$H$12</definedName>
    <definedName name="solver_lhs3" localSheetId="47" hidden="1">IterativeCalc!$H$12</definedName>
    <definedName name="solver_lhs3" localSheetId="35" hidden="1">LargeRangeLB!$H$13</definedName>
    <definedName name="solver_lhs3" localSheetId="16" hidden="1">MergedLHS_OK!$H$12</definedName>
    <definedName name="solver_lhs3" localSheetId="17" hidden="1">MergedLHSMultiple_OK!$H$12</definedName>
    <definedName name="solver_lhs3" localSheetId="15" hidden="1">MergedRHS_OK!$H$12</definedName>
    <definedName name="solver_lhs3" localSheetId="14" hidden="1">MergedVarsBad!$H$12</definedName>
    <definedName name="solver_lhs3" localSheetId="13" hidden="1">MergedVarsOK!$H$12</definedName>
    <definedName name="solver_lhs3" localSheetId="12" hidden="1">MergedVarsSubset!$H$12</definedName>
    <definedName name="solver_lhs3" localSheetId="51" hidden="1">NamedRanges!$I$10:$I$11</definedName>
    <definedName name="solver_lhs3" localSheetId="63" hidden="1">NonLin!$J$43</definedName>
    <definedName name="solver_lhs3" localSheetId="68" hidden="1">NonLin6!$D$8</definedName>
    <definedName name="solver_lhs3" localSheetId="57" hidden="1">NonLinLarge!$H$73</definedName>
    <definedName name="solver_lhs3" localSheetId="58" hidden="1">NonLinObj!$H$10</definedName>
    <definedName name="solver_lhs3" localSheetId="59" hidden="1">NonLinPruning!$F$12:$F$18</definedName>
    <definedName name="solver_lhs3" localSheetId="56" hidden="1">NonLinSimple!$H$10</definedName>
    <definedName name="solver_lhs3" localSheetId="48" hidden="1">NoObj!$H$12</definedName>
    <definedName name="solver_lhs3" localSheetId="4" hidden="1">OverlappingVars!$H$11</definedName>
    <definedName name="solver_lhs3" localSheetId="36" hidden="1">OverlapRangeLB!$H$13</definedName>
    <definedName name="solver_lhs3" localSheetId="37" hidden="1">OverlapRangeLBwithFormula!$H$13</definedName>
    <definedName name="solver_lhs3" localSheetId="28" hidden="1">ProtectedSheet!$H$11</definedName>
    <definedName name="solver_lhs3" localSheetId="52" hidden="1">QuickSolve!$H$10</definedName>
    <definedName name="solver_lhs3" localSheetId="34" hidden="1">Relaxation!$F$5</definedName>
    <definedName name="solver_lhs3" localSheetId="1" hidden="1">OverlappingVars!$H$11</definedName>
    <definedName name="solver_lhs3" localSheetId="49" hidden="1">SeekObj!$G$8:$G$9</definedName>
    <definedName name="solver_lhs3" localSheetId="54" hidden="1">Sensitivity!$G$10:$G$11</definedName>
    <definedName name="solver_lhs3" localSheetId="55" hidden="1">SensitivityNames!$J$24</definedName>
    <definedName name="solver_lhs3" localSheetId="3" hidden="1">SimpleIP!$H$11</definedName>
    <definedName name="solver_lhs3" localSheetId="2" hidden="1">SimpleLP!$H$11</definedName>
    <definedName name="solver_lhs3" localSheetId="31" hidden="1">SingleRangeLB!$H$11</definedName>
    <definedName name="solver_lhs3" localSheetId="53" hidden="1">SolverParameters!$H$20</definedName>
    <definedName name="solver_lhs3" localSheetId="11" hidden="1">TextObj!$H$11</definedName>
    <definedName name="solver_lhs3" localSheetId="7" hidden="1">TextRHS!$H$11</definedName>
    <definedName name="solver_lhs3" localSheetId="27" hidden="1">Unbounded!$H$11</definedName>
    <definedName name="solver_lhs3" localSheetId="43" hidden="1">VarConstraintLB!$H$12</definedName>
    <definedName name="solver_lhs3" localSheetId="39" hidden="1">VariableFormulaRangeLB!$H$12</definedName>
    <definedName name="solver_lhs30" localSheetId="57" hidden="1">NonLinLarge!$H$139</definedName>
    <definedName name="solver_lhs300" localSheetId="57" hidden="1">NonLinLarge!$H$139</definedName>
    <definedName name="solver_lhs31" localSheetId="57" hidden="1">NonLinLarge!$H$7:$H$8</definedName>
    <definedName name="solver_lhs32" localSheetId="57" hidden="1">NonLinLarge!$H$9:$H$72</definedName>
    <definedName name="solver_lhs33" localSheetId="57" hidden="1">NonLinLarge!$H$73</definedName>
    <definedName name="solver_lhs34" localSheetId="57" hidden="1">NonLinLarge!$H$74</definedName>
    <definedName name="solver_lhs35" localSheetId="57" hidden="1">NonLinLarge!$H$75:$H$138</definedName>
    <definedName name="solver_lhs36" localSheetId="57" hidden="1">NonLinLarge!$H$139</definedName>
    <definedName name="solver_lhs37" localSheetId="57" hidden="1">NonLinLarge!$H$7:$H$8</definedName>
    <definedName name="solver_lhs38" localSheetId="57" hidden="1">NonLinLarge!$H$9:$H$72</definedName>
    <definedName name="solver_lhs39" localSheetId="57" hidden="1">NonLinLarge!$H$73</definedName>
    <definedName name="solver_lhs4" localSheetId="70" hidden="1">AutoModel!$D$33</definedName>
    <definedName name="solver_lhs4" localSheetId="21" hidden="1">'BadName!'!$H$12</definedName>
    <definedName name="solver_lhs4" localSheetId="33" hidden="1">BinIntLB!$E$5:$F$5</definedName>
    <definedName name="solver_lhs4" localSheetId="18" hidden="1">BinIntOverlap!$E$4:$F$4</definedName>
    <definedName name="solver_lhs4" localSheetId="32" hidden="1">BinLB!$H$12</definedName>
    <definedName name="solver_lhs4" localSheetId="6" hidden="1">BlankLHS!$H$11</definedName>
    <definedName name="solver_lhs4" localSheetId="5" hidden="1">BlankRHS!$H$11</definedName>
    <definedName name="solver_lhs4" localSheetId="45" hidden="1">ComplexLayout!$E$4:$F$4</definedName>
    <definedName name="solver_lhs4" localSheetId="19" hidden="1">ConFormula!$E$5:$F$5</definedName>
    <definedName name="solver_lhs4" localSheetId="20" hidden="1">ConFormulaInf!$E$5:$F$5</definedName>
    <definedName name="solver_lhs4" localSheetId="41" hidden="1">ConstantLB!$H$13</definedName>
    <definedName name="solver_lhs4" localSheetId="38" hidden="1">ConstFormulaRangeLB!$H$12</definedName>
    <definedName name="solver_lhs4" localSheetId="40" hidden="1">ConstraintLB!$D$5:$F$5</definedName>
    <definedName name="solver_lhs4" localSheetId="23" hidden="1">DeletedConRef!$K$1</definedName>
    <definedName name="solver_lhs4" localSheetId="24" hidden="1">DeletedObjRef!$H$12</definedName>
    <definedName name="solver_lhs4" localSheetId="50" hidden="1">DiffSheetObj!$G$9</definedName>
    <definedName name="solver_lhs4" localSheetId="30" hidden="1">DirectLBs!$D$4:$F$4</definedName>
    <definedName name="solver_lhs4" localSheetId="9" hidden="1">ErrorLHS!$H$11</definedName>
    <definedName name="solver_lhs4" localSheetId="10" hidden="1">ErrorObj!$H$11</definedName>
    <definedName name="solver_lhs4" localSheetId="8" hidden="1">ErrorRHS!$H$11</definedName>
    <definedName name="solver_lhs4" localSheetId="22" hidden="1">'EscapeSheetName(1)+2-1'!$H$11</definedName>
    <definedName name="solver_lhs4" localSheetId="26" hidden="1">FeasConstConstraint!$J$11</definedName>
    <definedName name="solver_lhs4" localSheetId="42" hidden="1">FormulaLB!$H$13</definedName>
    <definedName name="solver_lhs4" localSheetId="44" hidden="1">FractionalCoeffs!$G$9</definedName>
    <definedName name="solver_lhs4" localSheetId="69" hidden="1">Highlighting!$M$15</definedName>
    <definedName name="solver_lhs4" localSheetId="29" hidden="1">IndirectLBs!$D$5:$E$5</definedName>
    <definedName name="solver_lhs4" localSheetId="25" hidden="1">InfConstConstraint!$J$11</definedName>
    <definedName name="solver_lhs4" localSheetId="46" hidden="1">InfModel!$D$5</definedName>
    <definedName name="solver_lhs4" localSheetId="47" hidden="1">IterativeCalc!$H$12</definedName>
    <definedName name="solver_lhs4" localSheetId="35" hidden="1">LargeRangeLB!$H$14</definedName>
    <definedName name="solver_lhs4" localSheetId="16" hidden="1">MergedLHS_OK!$H$12</definedName>
    <definedName name="solver_lhs4" localSheetId="17" hidden="1">MergedLHSMultiple_OK!$H$12</definedName>
    <definedName name="solver_lhs4" localSheetId="15" hidden="1">MergedRHS_OK!$H$12</definedName>
    <definedName name="solver_lhs4" localSheetId="14" hidden="1">MergedVarsBad!$H$12</definedName>
    <definedName name="solver_lhs4" localSheetId="13" hidden="1">MergedVarsOK!$H$12</definedName>
    <definedName name="solver_lhs4" localSheetId="12" hidden="1">MergedVarsSubset!$H$12</definedName>
    <definedName name="solver_lhs4" localSheetId="51" hidden="1">NamedRanges!$I$12</definedName>
    <definedName name="solver_lhs4" localSheetId="63" hidden="1">NonLin!$J$44</definedName>
    <definedName name="solver_lhs4" localSheetId="68" hidden="1">NonLin6!$D$8</definedName>
    <definedName name="solver_lhs4" localSheetId="57" hidden="1">NonLinLarge!$H$139</definedName>
    <definedName name="solver_lhs4" localSheetId="59" hidden="1">NonLinPruning!$F$11</definedName>
    <definedName name="solver_lhs4" localSheetId="48" hidden="1">NoObj!$H$12</definedName>
    <definedName name="solver_lhs4" localSheetId="4" hidden="1">OverlappingVars!$H$8:$H$9</definedName>
    <definedName name="solver_lhs4" localSheetId="36" hidden="1">OverlapRangeLB!$H$14</definedName>
    <definedName name="solver_lhs4" localSheetId="37" hidden="1">OverlapRangeLBwithFormula!$H$14</definedName>
    <definedName name="solver_lhs4" localSheetId="28" hidden="1">ProtectedSheet!$H$11</definedName>
    <definedName name="solver_lhs4" localSheetId="52" hidden="1">QuickSolve!$D$4:$E$4</definedName>
    <definedName name="solver_lhs4" localSheetId="34" hidden="1">Relaxation!$E$5:$F$5</definedName>
    <definedName name="solver_lhs4" localSheetId="49" hidden="1">SeekObj!$G$9</definedName>
    <definedName name="solver_lhs4" localSheetId="54" hidden="1">Sensitivity!$G$20</definedName>
    <definedName name="solver_lhs4" localSheetId="55" hidden="1">SensitivityNames!$D$14:$H$16</definedName>
    <definedName name="solver_lhs4" localSheetId="3" hidden="1">SimpleIP!$H$8:$H$9</definedName>
    <definedName name="solver_lhs4" localSheetId="2" hidden="1">SimpleLP!$H$8:$H$9</definedName>
    <definedName name="solver_lhs4" localSheetId="31" hidden="1">SingleRangeLB!$H$12</definedName>
    <definedName name="solver_lhs4" localSheetId="53" hidden="1">SolverParameters!$H$20</definedName>
    <definedName name="solver_lhs4" localSheetId="11" hidden="1">TextObj!$H$11</definedName>
    <definedName name="solver_lhs4" localSheetId="7" hidden="1">TextRHS!$H$11</definedName>
    <definedName name="solver_lhs4" localSheetId="27" hidden="1">Unbounded!$H$8:$H$9</definedName>
    <definedName name="solver_lhs4" localSheetId="43" hidden="1">VarConstraintLB!$H$13</definedName>
    <definedName name="solver_lhs4" localSheetId="39" hidden="1">VariableFormulaRangeLB!$H$13</definedName>
    <definedName name="solver_lhs40" localSheetId="57" hidden="1">NonLinLarge!$H$74</definedName>
    <definedName name="solver_lhs41" localSheetId="57" hidden="1">NonLinLarge!$H$75:$H$138</definedName>
    <definedName name="solver_lhs42" localSheetId="57" hidden="1">NonLinLarge!$H$139</definedName>
    <definedName name="solver_lhs43" localSheetId="57" hidden="1">NonLinLarge!$H$7:$H$8</definedName>
    <definedName name="solver_lhs44" localSheetId="57" hidden="1">NonLinLarge!$H$9:$H$72</definedName>
    <definedName name="solver_lhs45" localSheetId="57" hidden="1">NonLinLarge!$H$73</definedName>
    <definedName name="solver_lhs46" localSheetId="57" hidden="1">NonLinLarge!$H$74</definedName>
    <definedName name="solver_lhs47" localSheetId="57" hidden="1">NonLinLarge!$H$75:$H$138</definedName>
    <definedName name="solver_lhs48" localSheetId="57" hidden="1">NonLinLarge!$H$139</definedName>
    <definedName name="solver_lhs49" localSheetId="57" hidden="1">NonLinLarge!$H$7:$H$8</definedName>
    <definedName name="solver_lhs5" localSheetId="70" hidden="1">AutoModel!$B$28:$D$28</definedName>
    <definedName name="solver_lhs5" localSheetId="21" hidden="1">'BadName!'!$D$5</definedName>
    <definedName name="solver_lhs5" localSheetId="33" hidden="1">BinIntLB!$H$12</definedName>
    <definedName name="solver_lhs5" localSheetId="18" hidden="1">BinIntOverlap!$D$4:$F$4</definedName>
    <definedName name="solver_lhs5" localSheetId="32" hidden="1">BinLB!$H$13</definedName>
    <definedName name="solver_lhs5" localSheetId="6" hidden="1">BlankLHS!$D$4</definedName>
    <definedName name="solver_lhs5" localSheetId="5" hidden="1">BlankRHS!$D$4</definedName>
    <definedName name="solver_lhs5" localSheetId="45" hidden="1">ComplexLayout!$D$4:$F$4</definedName>
    <definedName name="solver_lhs5" localSheetId="19" hidden="1">ConFormula!$D$5:$F$5</definedName>
    <definedName name="solver_lhs5" localSheetId="20" hidden="1">ConFormulaInf!$D$5:$F$5</definedName>
    <definedName name="solver_lhs5" localSheetId="41" hidden="1">ConstantLB!$D$5</definedName>
    <definedName name="solver_lhs5" localSheetId="38" hidden="1">ConstFormulaRangeLB!$D$4</definedName>
    <definedName name="solver_lhs5" localSheetId="40" hidden="1">ConstraintLB!$D$5</definedName>
    <definedName name="solver_lhs5" localSheetId="23" hidden="1">DeletedConRef!$D$5</definedName>
    <definedName name="solver_lhs5" localSheetId="24" hidden="1">DeletedObjRef!$D$5</definedName>
    <definedName name="solver_lhs5" localSheetId="30" hidden="1">DirectLBs!$D$4</definedName>
    <definedName name="solver_lhs5" localSheetId="9" hidden="1">ErrorLHS!$D$4</definedName>
    <definedName name="solver_lhs5" localSheetId="10" hidden="1">ErrorObj!$D$4</definedName>
    <definedName name="solver_lhs5" localSheetId="8" hidden="1">ErrorRHS!$D$4</definedName>
    <definedName name="solver_lhs5" localSheetId="22" hidden="1">'EscapeSheetName(1)+2-1'!$D$4</definedName>
    <definedName name="solver_lhs5" localSheetId="26" hidden="1">FeasConstConstraint!$D$4</definedName>
    <definedName name="solver_lhs5" localSheetId="42" hidden="1">FormulaLB!$D$5</definedName>
    <definedName name="solver_lhs5" localSheetId="69" hidden="1">Highlighting!$M$12</definedName>
    <definedName name="solver_lhs5" localSheetId="29" hidden="1">IndirectLBs!$D$5</definedName>
    <definedName name="solver_lhs5" localSheetId="25" hidden="1">InfConstConstraint!$D$4</definedName>
    <definedName name="solver_lhs5" localSheetId="46" hidden="1">InfModel!$D$5</definedName>
    <definedName name="solver_lhs5" localSheetId="47" hidden="1">IterativeCalc!$D$5</definedName>
    <definedName name="solver_lhs5" localSheetId="35" hidden="1">LargeRangeLB!$D$6</definedName>
    <definedName name="solver_lhs5" localSheetId="16" hidden="1">MergedLHS_OK!$H$10</definedName>
    <definedName name="solver_lhs5" localSheetId="17" hidden="1">MergedLHSMultiple_OK!$H$10</definedName>
    <definedName name="solver_lhs5" localSheetId="15" hidden="1">MergedRHS_OK!$D$5</definedName>
    <definedName name="solver_lhs5" localSheetId="14" hidden="1">MergedVarsBad!$D$5</definedName>
    <definedName name="solver_lhs5" localSheetId="13" hidden="1">MergedVarsOK!$D$5</definedName>
    <definedName name="solver_lhs5" localSheetId="12" hidden="1">MergedVarsSubset!$D$5</definedName>
    <definedName name="solver_lhs5" localSheetId="63" hidden="1">NonLin!$D$3:$D$35</definedName>
    <definedName name="solver_lhs5" localSheetId="57" hidden="1">NonLinLarge!$H$9:$H$72</definedName>
    <definedName name="solver_lhs5" localSheetId="59" hidden="1">NonLinPruning!$F$12:$F$17</definedName>
    <definedName name="solver_lhs5" localSheetId="48" hidden="1">NoObj!$D$5</definedName>
    <definedName name="solver_lhs5" localSheetId="4" hidden="1">OverlappingVars!$H$10</definedName>
    <definedName name="solver_lhs5" localSheetId="36" hidden="1">OverlapRangeLB!$D$6</definedName>
    <definedName name="solver_lhs5" localSheetId="37" hidden="1">OverlapRangeLBwithFormula!$D$6</definedName>
    <definedName name="solver_lhs5" localSheetId="28" hidden="1">ProtectedSheet!$D$4</definedName>
    <definedName name="solver_lhs5" localSheetId="52" hidden="1">QuickSolve!$H$11</definedName>
    <definedName name="solver_lhs5" localSheetId="34" hidden="1">Relaxation!$F$5</definedName>
    <definedName name="solver_lhs5" localSheetId="3" hidden="1">SimpleIP!$H$10</definedName>
    <definedName name="solver_lhs5" localSheetId="2" hidden="1">SimpleLP!$H$10</definedName>
    <definedName name="solver_lhs5" localSheetId="31" hidden="1">SingleRangeLB!$D$4</definedName>
    <definedName name="solver_lhs5" localSheetId="11" hidden="1">TextObj!$D$4</definedName>
    <definedName name="solver_lhs5" localSheetId="7" hidden="1">TextRHS!$D$4</definedName>
    <definedName name="solver_lhs5" localSheetId="27" hidden="1">Unbounded!$H$10</definedName>
    <definedName name="solver_lhs5" localSheetId="43" hidden="1">VarConstraintLB!$D$5</definedName>
    <definedName name="solver_lhs5" localSheetId="39" hidden="1">VariableFormulaRangeLB!$D$5</definedName>
    <definedName name="solver_lhs50" localSheetId="57" hidden="1">NonLinLarge!$H$9:$H$72</definedName>
    <definedName name="solver_lhs51" localSheetId="57" hidden="1">NonLinLarge!$H$73</definedName>
    <definedName name="solver_lhs52" localSheetId="57" hidden="1">NonLinLarge!$H$74</definedName>
    <definedName name="solver_lhs53" localSheetId="57" hidden="1">NonLinLarge!$H$75:$H$138</definedName>
    <definedName name="solver_lhs54" localSheetId="57" hidden="1">NonLinLarge!$H$139</definedName>
    <definedName name="solver_lhs55" localSheetId="57" hidden="1">NonLinLarge!$H$7:$H$8</definedName>
    <definedName name="solver_lhs56" localSheetId="57" hidden="1">NonLinLarge!$H$9:$H$72</definedName>
    <definedName name="solver_lhs57" localSheetId="57" hidden="1">NonLinLarge!$H$73</definedName>
    <definedName name="solver_lhs58" localSheetId="57" hidden="1">NonLinLarge!$H$74</definedName>
    <definedName name="solver_lhs59" localSheetId="57" hidden="1">NonLinLarge!$H$75:$H$138</definedName>
    <definedName name="solver_lhs6" localSheetId="70" hidden="1">AutoModel!$C$28</definedName>
    <definedName name="solver_lhs6" localSheetId="21" hidden="1">'BadName!'!#REF!</definedName>
    <definedName name="solver_lhs6" localSheetId="33" hidden="1">BinIntLB!$H$13</definedName>
    <definedName name="solver_lhs6" localSheetId="18" hidden="1">BinIntOverlap!$I$11</definedName>
    <definedName name="solver_lhs6" localSheetId="32" hidden="1">BinLB!$D$5</definedName>
    <definedName name="solver_lhs6" localSheetId="6" hidden="1">BlankLHS!#REF!</definedName>
    <definedName name="solver_lhs6" localSheetId="5" hidden="1">BlankRHS!#REF!</definedName>
    <definedName name="solver_lhs6" localSheetId="45" hidden="1">ComplexLayout!$S$3:$S$4</definedName>
    <definedName name="solver_lhs6" localSheetId="19" hidden="1">ConFormula!$S$4:$S$5</definedName>
    <definedName name="solver_lhs6" localSheetId="20" hidden="1">ConFormulaInf!$S$4:$S$5</definedName>
    <definedName name="solver_lhs6" localSheetId="41" hidden="1">ConstantLB!$D$5:$F$5</definedName>
    <definedName name="solver_lhs6" localSheetId="38" hidden="1">ConstFormulaRangeLB!$D$4:$F$4</definedName>
    <definedName name="solver_lhs6" localSheetId="40" hidden="1">ConstraintLB!$D$5:$F$5</definedName>
    <definedName name="solver_lhs6" localSheetId="23" hidden="1">DeletedConRef!#REF!</definedName>
    <definedName name="solver_lhs6" localSheetId="24" hidden="1">DeletedObjRef!#REF!</definedName>
    <definedName name="solver_lhs6" localSheetId="30" hidden="1">DirectLBs!$D$4:$F$4</definedName>
    <definedName name="solver_lhs6" localSheetId="9" hidden="1">ErrorLHS!#REF!</definedName>
    <definedName name="solver_lhs6" localSheetId="10" hidden="1">ErrorObj!#REF!</definedName>
    <definedName name="solver_lhs6" localSheetId="8" hidden="1">ErrorRHS!#REF!</definedName>
    <definedName name="solver_lhs6" localSheetId="22" hidden="1">'EscapeSheetName(1)+2-1'!#REF!</definedName>
    <definedName name="solver_lhs6" localSheetId="26" hidden="1">FeasConstConstraint!#REF!</definedName>
    <definedName name="solver_lhs6" localSheetId="42" hidden="1">FormulaLB!$D$5:$F$5</definedName>
    <definedName name="solver_lhs6" localSheetId="69" hidden="1">Highlighting!$M$12</definedName>
    <definedName name="solver_lhs6" localSheetId="29" hidden="1">IndirectLBs!$D$5:$E$5</definedName>
    <definedName name="solver_lhs6" localSheetId="25" hidden="1">InfConstConstraint!#REF!</definedName>
    <definedName name="solver_lhs6" localSheetId="46" hidden="1">InfModel!#REF!</definedName>
    <definedName name="solver_lhs6" localSheetId="47" hidden="1">IterativeCalc!#REF!</definedName>
    <definedName name="solver_lhs6" localSheetId="35" hidden="1">LargeRangeLB!$D$6:$F$6</definedName>
    <definedName name="solver_lhs6" localSheetId="16" hidden="1">MergedLHS_OK!#REF!</definedName>
    <definedName name="solver_lhs6" localSheetId="17" hidden="1">MergedLHSMultiple_OK!#REF!</definedName>
    <definedName name="solver_lhs6" localSheetId="15" hidden="1">MergedRHS_OK!#REF!</definedName>
    <definedName name="solver_lhs6" localSheetId="14" hidden="1">MergedVarsBad!#REF!</definedName>
    <definedName name="solver_lhs6" localSheetId="13" hidden="1">MergedVarsOK!#REF!</definedName>
    <definedName name="solver_lhs6" localSheetId="12" hidden="1">MergedVarsSubset!#REF!</definedName>
    <definedName name="solver_lhs6" localSheetId="57" hidden="1">NonLinLarge!$H$75:$H$138</definedName>
    <definedName name="solver_lhs6" localSheetId="59" hidden="1">NonLinPruning!$F$18</definedName>
    <definedName name="solver_lhs6" localSheetId="48" hidden="1">NoObj!#REF!</definedName>
    <definedName name="solver_lhs6" localSheetId="4" hidden="1">OverlappingVars!$H$11</definedName>
    <definedName name="solver_lhs6" localSheetId="36" hidden="1">OverlapRangeLB!$D$6:$F$6</definedName>
    <definedName name="solver_lhs6" localSheetId="37" hidden="1">OverlapRangeLBwithFormula!$D$6:$F$6</definedName>
    <definedName name="solver_lhs6" localSheetId="28" hidden="1">ProtectedSheet!#REF!</definedName>
    <definedName name="solver_lhs6" localSheetId="52" hidden="1">QuickSolve!#REF!</definedName>
    <definedName name="solver_lhs6" localSheetId="34" hidden="1">Relaxation!$E$5:$F$5</definedName>
    <definedName name="solver_lhs6" localSheetId="3" hidden="1">SimpleIP!$H$11</definedName>
    <definedName name="solver_lhs6" localSheetId="2" hidden="1">SimpleLP!$H$11</definedName>
    <definedName name="solver_lhs6" localSheetId="31" hidden="1">SingleRangeLB!$D$4:$F$4</definedName>
    <definedName name="solver_lhs6" localSheetId="11" hidden="1">TextObj!#REF!</definedName>
    <definedName name="solver_lhs6" localSheetId="7" hidden="1">TextRHS!#REF!</definedName>
    <definedName name="solver_lhs6" localSheetId="27" hidden="1">Unbounded!$H$11</definedName>
    <definedName name="solver_lhs6" localSheetId="43" hidden="1">VarConstraintLB!$D$5:$F$5</definedName>
    <definedName name="solver_lhs6" localSheetId="39" hidden="1">VariableFormulaRangeLB!$D$5:$F$5</definedName>
    <definedName name="solver_lhs60" localSheetId="57" hidden="1">NonLinLarge!$H$139</definedName>
    <definedName name="solver_lhs61" localSheetId="57" hidden="1">NonLinLarge!$H$7:$H$8</definedName>
    <definedName name="solver_lhs62" localSheetId="57" hidden="1">NonLinLarge!$H$9:$H$72</definedName>
    <definedName name="solver_lhs63" localSheetId="57" hidden="1">NonLinLarge!$H$73</definedName>
    <definedName name="solver_lhs64" localSheetId="57" hidden="1">NonLinLarge!$H$74</definedName>
    <definedName name="solver_lhs65" localSheetId="57" hidden="1">NonLinLarge!$H$75:$H$138</definedName>
    <definedName name="solver_lhs66" localSheetId="57" hidden="1">NonLinLarge!$H$139</definedName>
    <definedName name="solver_lhs67" localSheetId="57" hidden="1">NonLinLarge!$H$7:$H$8</definedName>
    <definedName name="solver_lhs68" localSheetId="57" hidden="1">NonLinLarge!$H$9:$H$72</definedName>
    <definedName name="solver_lhs69" localSheetId="57" hidden="1">NonLinLarge!$H$73</definedName>
    <definedName name="solver_lhs7" localSheetId="70" hidden="1">AutoModel!$D$28</definedName>
    <definedName name="solver_lhs7" localSheetId="21" hidden="1">'BadName!'!#REF!</definedName>
    <definedName name="solver_lhs7" localSheetId="33" hidden="1">BinIntLB!$E$5:$F$5</definedName>
    <definedName name="solver_lhs7" localSheetId="18" hidden="1">BinIntOverlap!#REF!</definedName>
    <definedName name="solver_lhs7" localSheetId="32" hidden="1">BinLB!#REF!</definedName>
    <definedName name="solver_lhs7" localSheetId="6" hidden="1">BlankLHS!#REF!</definedName>
    <definedName name="solver_lhs7" localSheetId="5" hidden="1">BlankRHS!#REF!</definedName>
    <definedName name="solver_lhs7" localSheetId="45" hidden="1">ComplexLayout!$Q$5:$R$5</definedName>
    <definedName name="solver_lhs7" localSheetId="19" hidden="1">ConFormula!$Q$6:$R$6</definedName>
    <definedName name="solver_lhs7" localSheetId="20" hidden="1">ConFormulaInf!$Q$6:$R$6</definedName>
    <definedName name="solver_lhs7" localSheetId="41" hidden="1">ConstantLB!#REF!</definedName>
    <definedName name="solver_lhs7" localSheetId="38" hidden="1">ConstFormulaRangeLB!#REF!</definedName>
    <definedName name="solver_lhs7" localSheetId="40" hidden="1">ConstraintLB!#REF!</definedName>
    <definedName name="solver_lhs7" localSheetId="23" hidden="1">DeletedConRef!#REF!</definedName>
    <definedName name="solver_lhs7" localSheetId="24" hidden="1">DeletedObjRef!#REF!</definedName>
    <definedName name="solver_lhs7" localSheetId="30" hidden="1">DirectLBs!#REF!</definedName>
    <definedName name="solver_lhs7" localSheetId="9" hidden="1">ErrorLHS!#REF!</definedName>
    <definedName name="solver_lhs7" localSheetId="10" hidden="1">ErrorObj!#REF!</definedName>
    <definedName name="solver_lhs7" localSheetId="8" hidden="1">ErrorRHS!#REF!</definedName>
    <definedName name="solver_lhs7" localSheetId="22" hidden="1">'EscapeSheetName(1)+2-1'!#REF!</definedName>
    <definedName name="solver_lhs7" localSheetId="26" hidden="1">FeasConstConstraint!#REF!</definedName>
    <definedName name="solver_lhs7" localSheetId="42" hidden="1">FormulaLB!#REF!</definedName>
    <definedName name="solver_lhs7" localSheetId="69" hidden="1">Highlighting!$M$17:$M$18</definedName>
    <definedName name="solver_lhs7" localSheetId="29" hidden="1">IndirectLBs!#REF!</definedName>
    <definedName name="solver_lhs7" localSheetId="25" hidden="1">InfConstConstraint!#REF!</definedName>
    <definedName name="solver_lhs7" localSheetId="46" hidden="1">InfModel!#REF!</definedName>
    <definedName name="solver_lhs7" localSheetId="47" hidden="1">IterativeCalc!#REF!</definedName>
    <definedName name="solver_lhs7" localSheetId="35" hidden="1">LargeRangeLB!#REF!</definedName>
    <definedName name="solver_lhs7" localSheetId="16" hidden="1">MergedLHS_OK!#REF!</definedName>
    <definedName name="solver_lhs7" localSheetId="17" hidden="1">MergedLHSMultiple_OK!#REF!</definedName>
    <definedName name="solver_lhs7" localSheetId="15" hidden="1">MergedRHS_OK!#REF!</definedName>
    <definedName name="solver_lhs7" localSheetId="14" hidden="1">MergedVarsBad!#REF!</definedName>
    <definedName name="solver_lhs7" localSheetId="13" hidden="1">MergedVarsOK!#REF!</definedName>
    <definedName name="solver_lhs7" localSheetId="12" hidden="1">MergedVarsSubset!#REF!</definedName>
    <definedName name="solver_lhs7" localSheetId="57" hidden="1">NonLinLarge!$H$7:$H$8</definedName>
    <definedName name="solver_lhs7" localSheetId="48" hidden="1">NoObj!#REF!</definedName>
    <definedName name="solver_lhs7" localSheetId="4" hidden="1">OverlappingVars!$H$8:$H$9</definedName>
    <definedName name="solver_lhs7" localSheetId="36" hidden="1">OverlapRangeLB!#REF!</definedName>
    <definedName name="solver_lhs7" localSheetId="37" hidden="1">OverlapRangeLBwithFormula!#REF!</definedName>
    <definedName name="solver_lhs7" localSheetId="28" hidden="1">ProtectedSheet!#REF!</definedName>
    <definedName name="solver_lhs7" localSheetId="52" hidden="1">QuickSolve!#REF!</definedName>
    <definedName name="solver_lhs7" localSheetId="34" hidden="1">Relaxation!$E$5:$F$5</definedName>
    <definedName name="solver_lhs7" localSheetId="3" hidden="1">SimpleIP!#REF!</definedName>
    <definedName name="solver_lhs7" localSheetId="2" hidden="1">SimpleLP!#REF!</definedName>
    <definedName name="solver_lhs7" localSheetId="31" hidden="1">SingleRangeLB!#REF!</definedName>
    <definedName name="solver_lhs7" localSheetId="11" hidden="1">TextObj!#REF!</definedName>
    <definedName name="solver_lhs7" localSheetId="7" hidden="1">TextRHS!#REF!</definedName>
    <definedName name="solver_lhs7" localSheetId="27" hidden="1">Unbounded!#REF!</definedName>
    <definedName name="solver_lhs7" localSheetId="43" hidden="1">VarConstraintLB!#REF!</definedName>
    <definedName name="solver_lhs7" localSheetId="39" hidden="1">VariableFormulaRangeLB!#REF!</definedName>
    <definedName name="solver_lhs70" localSheetId="57" hidden="1">NonLinLarge!$H$74</definedName>
    <definedName name="solver_lhs71" localSheetId="57" hidden="1">NonLinLarge!$H$75:$H$138</definedName>
    <definedName name="solver_lhs72" localSheetId="57" hidden="1">NonLinLarge!$H$139</definedName>
    <definedName name="solver_lhs73" localSheetId="57" hidden="1">NonLinLarge!$H$7:$H$8</definedName>
    <definedName name="solver_lhs74" localSheetId="57" hidden="1">NonLinLarge!$H$9:$H$72</definedName>
    <definedName name="solver_lhs75" localSheetId="57" hidden="1">NonLinLarge!$H$73</definedName>
    <definedName name="solver_lhs76" localSheetId="57" hidden="1">NonLinLarge!$H$74</definedName>
    <definedName name="solver_lhs77" localSheetId="57" hidden="1">NonLinLarge!$H$75:$H$138</definedName>
    <definedName name="solver_lhs78" localSheetId="57" hidden="1">NonLinLarge!$H$139</definedName>
    <definedName name="solver_lhs79" localSheetId="57" hidden="1">NonLinLarge!$H$7:$H$8</definedName>
    <definedName name="solver_lhs8" localSheetId="21" hidden="1">'BadName!'!#REF!</definedName>
    <definedName name="solver_lhs8" localSheetId="33" hidden="1">BinIntLB!#REF!</definedName>
    <definedName name="solver_lhs8" localSheetId="18" hidden="1">BinIntOverlap!#REF!</definedName>
    <definedName name="solver_lhs8" localSheetId="32" hidden="1">BinLB!#REF!</definedName>
    <definedName name="solver_lhs8" localSheetId="6" hidden="1">BlankLHS!#REF!</definedName>
    <definedName name="solver_lhs8" localSheetId="5" hidden="1">BlankRHS!#REF!</definedName>
    <definedName name="solver_lhs8" localSheetId="45" hidden="1">ComplexLayout!$F$4</definedName>
    <definedName name="solver_lhs8" localSheetId="19" hidden="1">ConFormula!$I$10</definedName>
    <definedName name="solver_lhs8" localSheetId="20" hidden="1">ConFormulaInf!$I$10</definedName>
    <definedName name="solver_lhs8" localSheetId="41" hidden="1">ConstantLB!#REF!</definedName>
    <definedName name="solver_lhs8" localSheetId="38" hidden="1">ConstFormulaRangeLB!#REF!</definedName>
    <definedName name="solver_lhs8" localSheetId="40" hidden="1">ConstraintLB!#REF!</definedName>
    <definedName name="solver_lhs8" localSheetId="23" hidden="1">DeletedConRef!#REF!</definedName>
    <definedName name="solver_lhs8" localSheetId="24" hidden="1">DeletedObjRef!#REF!</definedName>
    <definedName name="solver_lhs8" localSheetId="30" hidden="1">DirectLBs!#REF!</definedName>
    <definedName name="solver_lhs8" localSheetId="9" hidden="1">ErrorLHS!#REF!</definedName>
    <definedName name="solver_lhs8" localSheetId="10" hidden="1">ErrorObj!#REF!</definedName>
    <definedName name="solver_lhs8" localSheetId="8" hidden="1">ErrorRHS!#REF!</definedName>
    <definedName name="solver_lhs8" localSheetId="22" hidden="1">'EscapeSheetName(1)+2-1'!#REF!</definedName>
    <definedName name="solver_lhs8" localSheetId="26" hidden="1">FeasConstConstraint!#REF!</definedName>
    <definedName name="solver_lhs8" localSheetId="42" hidden="1">FormulaLB!#REF!</definedName>
    <definedName name="solver_lhs8" localSheetId="69" hidden="1">Highlighting!$L$9:$N$9</definedName>
    <definedName name="solver_lhs8" localSheetId="29" hidden="1">IndirectLBs!#REF!</definedName>
    <definedName name="solver_lhs8" localSheetId="25" hidden="1">InfConstConstraint!#REF!</definedName>
    <definedName name="solver_lhs8" localSheetId="46" hidden="1">InfModel!#REF!</definedName>
    <definedName name="solver_lhs8" localSheetId="47" hidden="1">IterativeCalc!#REF!</definedName>
    <definedName name="solver_lhs8" localSheetId="35" hidden="1">LargeRangeLB!#REF!</definedName>
    <definedName name="solver_lhs8" localSheetId="16" hidden="1">MergedLHS_OK!#REF!</definedName>
    <definedName name="solver_lhs8" localSheetId="17" hidden="1">MergedLHSMultiple_OK!#REF!</definedName>
    <definedName name="solver_lhs8" localSheetId="15" hidden="1">MergedRHS_OK!#REF!</definedName>
    <definedName name="solver_lhs8" localSheetId="14" hidden="1">MergedVarsBad!#REF!</definedName>
    <definedName name="solver_lhs8" localSheetId="13" hidden="1">MergedVarsOK!#REF!</definedName>
    <definedName name="solver_lhs8" localSheetId="12" hidden="1">MergedVarsSubset!#REF!</definedName>
    <definedName name="solver_lhs8" localSheetId="57" hidden="1">NonLinLarge!$H$9:$H$72</definedName>
    <definedName name="solver_lhs8" localSheetId="48" hidden="1">NoObj!#REF!</definedName>
    <definedName name="solver_lhs8" localSheetId="4" hidden="1">OverlappingVars!$H$10</definedName>
    <definedName name="solver_lhs8" localSheetId="36" hidden="1">OverlapRangeLB!#REF!</definedName>
    <definedName name="solver_lhs8" localSheetId="37" hidden="1">OverlapRangeLBwithFormula!#REF!</definedName>
    <definedName name="solver_lhs8" localSheetId="28" hidden="1">ProtectedSheet!#REF!</definedName>
    <definedName name="solver_lhs8" localSheetId="52" hidden="1">QuickSolve!#REF!</definedName>
    <definedName name="solver_lhs8" localSheetId="34" hidden="1">Relaxation!#REF!</definedName>
    <definedName name="solver_lhs8" localSheetId="3" hidden="1">SimpleIP!#REF!</definedName>
    <definedName name="solver_lhs8" localSheetId="2" hidden="1">SimpleLP!#REF!</definedName>
    <definedName name="solver_lhs8" localSheetId="31" hidden="1">SingleRangeLB!#REF!</definedName>
    <definedName name="solver_lhs8" localSheetId="11" hidden="1">TextObj!#REF!</definedName>
    <definedName name="solver_lhs8" localSheetId="7" hidden="1">TextRHS!#REF!</definedName>
    <definedName name="solver_lhs8" localSheetId="27" hidden="1">Unbounded!#REF!</definedName>
    <definedName name="solver_lhs8" localSheetId="43" hidden="1">VarConstraintLB!#REF!</definedName>
    <definedName name="solver_lhs8" localSheetId="39" hidden="1">VariableFormulaRangeLB!#REF!</definedName>
    <definedName name="solver_lhs80" localSheetId="57" hidden="1">NonLinLarge!$H$9:$H$72</definedName>
    <definedName name="solver_lhs81" localSheetId="57" hidden="1">NonLinLarge!$H$73</definedName>
    <definedName name="solver_lhs82" localSheetId="57" hidden="1">NonLinLarge!$H$74</definedName>
    <definedName name="solver_lhs83" localSheetId="57" hidden="1">NonLinLarge!$H$75:$H$138</definedName>
    <definedName name="solver_lhs84" localSheetId="57" hidden="1">NonLinLarge!$H$139</definedName>
    <definedName name="solver_lhs85" localSheetId="57" hidden="1">NonLinLarge!$H$7:$H$8</definedName>
    <definedName name="solver_lhs86" localSheetId="57" hidden="1">NonLinLarge!$H$9:$H$72</definedName>
    <definedName name="solver_lhs87" localSheetId="57" hidden="1">NonLinLarge!$H$73</definedName>
    <definedName name="solver_lhs88" localSheetId="57" hidden="1">NonLinLarge!$H$74</definedName>
    <definedName name="solver_lhs89" localSheetId="57" hidden="1">NonLinLarge!$H$75:$H$138</definedName>
    <definedName name="solver_lhs9" localSheetId="19" hidden="1">ConFormula!$I$10</definedName>
    <definedName name="solver_lhs9" localSheetId="20" hidden="1">ConFormulaInf!$I$14</definedName>
    <definedName name="solver_lhs9" localSheetId="69" hidden="1">Highlighting!$L$9:$N$9</definedName>
    <definedName name="solver_lhs9" localSheetId="57" hidden="1">NonLinLarge!$H$73</definedName>
    <definedName name="solver_lhs9" localSheetId="4" hidden="1">OverlappingVars!$H$11</definedName>
    <definedName name="solver_lhs90" localSheetId="57" hidden="1">NonLinLarge!$H$139</definedName>
    <definedName name="solver_lhs91" localSheetId="57" hidden="1">NonLinLarge!$H$7:$H$8</definedName>
    <definedName name="solver_lhs92" localSheetId="57" hidden="1">NonLinLarge!$H$9:$H$72</definedName>
    <definedName name="solver_lhs93" localSheetId="57" hidden="1">NonLinLarge!$H$73</definedName>
    <definedName name="solver_lhs94" localSheetId="57" hidden="1">NonLinLarge!$H$74</definedName>
    <definedName name="solver_lhs95" localSheetId="57" hidden="1">NonLinLarge!$H$75:$H$138</definedName>
    <definedName name="solver_lhs96" localSheetId="57" hidden="1">NonLinLarge!$H$139</definedName>
    <definedName name="solver_lhs97" localSheetId="57" hidden="1">NonLinLarge!$H$7:$H$8</definedName>
    <definedName name="solver_lhs98" localSheetId="57" hidden="1">NonLinLarge!$H$9:$H$72</definedName>
    <definedName name="solver_lhs99" localSheetId="57" hidden="1">NonLinLarge!$H$73</definedName>
    <definedName name="solver_lin" localSheetId="70" hidden="1">1</definedName>
    <definedName name="solver_lin" localSheetId="21" hidden="1">1</definedName>
    <definedName name="solver_lin" localSheetId="33" hidden="1">1</definedName>
    <definedName name="solver_lin" localSheetId="18" hidden="1">1</definedName>
    <definedName name="solver_lin" localSheetId="32" hidden="1">1</definedName>
    <definedName name="solver_lin" localSheetId="6" hidden="1">1</definedName>
    <definedName name="solver_lin" localSheetId="5" hidden="1">1</definedName>
    <definedName name="solver_lin" localSheetId="45" hidden="1">1</definedName>
    <definedName name="solver_lin" localSheetId="19" hidden="1">1</definedName>
    <definedName name="solver_lin" localSheetId="20" hidden="1">1</definedName>
    <definedName name="solver_lin" localSheetId="41" hidden="1">1</definedName>
    <definedName name="solver_lin" localSheetId="38" hidden="1">1</definedName>
    <definedName name="solver_lin" localSheetId="40" hidden="1">1</definedName>
    <definedName name="solver_lin" localSheetId="23" hidden="1">1</definedName>
    <definedName name="solver_lin" localSheetId="24" hidden="1">1</definedName>
    <definedName name="solver_lin" localSheetId="50" hidden="1">1</definedName>
    <definedName name="solver_lin" localSheetId="30" hidden="1">1</definedName>
    <definedName name="solver_lin" localSheetId="9" hidden="1">1</definedName>
    <definedName name="solver_lin" localSheetId="10" hidden="1">1</definedName>
    <definedName name="solver_lin" localSheetId="8" hidden="1">1</definedName>
    <definedName name="solver_lin" localSheetId="22" hidden="1">1</definedName>
    <definedName name="solver_lin" localSheetId="26" hidden="1">1</definedName>
    <definedName name="solver_lin" localSheetId="42" hidden="1">1</definedName>
    <definedName name="solver_lin" localSheetId="44" hidden="1">1</definedName>
    <definedName name="solver_lin" localSheetId="69" hidden="1">1</definedName>
    <definedName name="solver_lin" localSheetId="29" hidden="1">1</definedName>
    <definedName name="solver_lin" localSheetId="25" hidden="1">1</definedName>
    <definedName name="solver_lin" localSheetId="46" hidden="1">1</definedName>
    <definedName name="solver_lin" localSheetId="47" hidden="1">1</definedName>
    <definedName name="solver_lin" localSheetId="35" hidden="1">1</definedName>
    <definedName name="solver_lin" localSheetId="16" hidden="1">1</definedName>
    <definedName name="solver_lin" localSheetId="17" hidden="1">1</definedName>
    <definedName name="solver_lin" localSheetId="15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51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62" hidden="1">1</definedName>
    <definedName name="solver_lin" localSheetId="61" hidden="1">1</definedName>
    <definedName name="solver_lin" localSheetId="57" hidden="1">1</definedName>
    <definedName name="solver_lin" localSheetId="60" hidden="1">1</definedName>
    <definedName name="solver_lin" localSheetId="58" hidden="1">1</definedName>
    <definedName name="solver_lin" localSheetId="59" hidden="1">1</definedName>
    <definedName name="solver_lin" localSheetId="56" hidden="1">1</definedName>
    <definedName name="solver_lin" localSheetId="48" hidden="1">1</definedName>
    <definedName name="solver_lin" localSheetId="4" hidden="1">1</definedName>
    <definedName name="solver_lin" localSheetId="36" hidden="1">1</definedName>
    <definedName name="solver_lin" localSheetId="37" hidden="1">1</definedName>
    <definedName name="solver_lin" localSheetId="28" hidden="1">1</definedName>
    <definedName name="solver_lin" localSheetId="52" hidden="1">1</definedName>
    <definedName name="solver_lin" localSheetId="34" hidden="1">1</definedName>
    <definedName name="solver_lin" localSheetId="1" hidden="1">1</definedName>
    <definedName name="solver_lin" localSheetId="49" hidden="1">1</definedName>
    <definedName name="solver_lin" localSheetId="54" hidden="1">1</definedName>
    <definedName name="solver_lin" localSheetId="55" hidden="1">1</definedName>
    <definedName name="solver_lin" localSheetId="3" hidden="1">1</definedName>
    <definedName name="solver_lin" localSheetId="2" hidden="1">1</definedName>
    <definedName name="solver_lin" localSheetId="31" hidden="1">1</definedName>
    <definedName name="solver_lin" localSheetId="53" hidden="1">1</definedName>
    <definedName name="solver_lin" localSheetId="11" hidden="1">1</definedName>
    <definedName name="solver_lin" localSheetId="7" hidden="1">1</definedName>
    <definedName name="solver_lin" localSheetId="27" hidden="1">1</definedName>
    <definedName name="solver_lin" localSheetId="43" hidden="1">1</definedName>
    <definedName name="solver_lin" localSheetId="39" hidden="1">1</definedName>
    <definedName name="solver_mip" localSheetId="33" hidden="1">2147483647</definedName>
    <definedName name="solver_mip" localSheetId="32" hidden="1">2147483647</definedName>
    <definedName name="solver_mip" localSheetId="41" hidden="1">2147483647</definedName>
    <definedName name="solver_mip" localSheetId="38" hidden="1">2147483647</definedName>
    <definedName name="solver_mip" localSheetId="42" hidden="1">2147483647</definedName>
    <definedName name="solver_mip" localSheetId="35" hidden="1">2147483647</definedName>
    <definedName name="solver_mip" localSheetId="66" hidden="1">2147483647</definedName>
    <definedName name="solver_mip" localSheetId="67" hidden="1">2147483647</definedName>
    <definedName name="solver_mip" localSheetId="59" hidden="1">2147483647</definedName>
    <definedName name="solver_mip" localSheetId="4" hidden="1">2147483647</definedName>
    <definedName name="solver_mip" localSheetId="36" hidden="1">2147483647</definedName>
    <definedName name="solver_mip" localSheetId="37" hidden="1">2147483647</definedName>
    <definedName name="solver_mip" localSheetId="34" hidden="1">2147483647</definedName>
    <definedName name="solver_mip" localSheetId="55" hidden="1">2147483647</definedName>
    <definedName name="solver_mip" localSheetId="3" hidden="1">2147483647</definedName>
    <definedName name="solver_mip" localSheetId="2" hidden="1">2147483647</definedName>
    <definedName name="solver_mip" localSheetId="31" hidden="1">2147483647</definedName>
    <definedName name="solver_mip" localSheetId="27" hidden="1">2147483647</definedName>
    <definedName name="solver_mip" localSheetId="43" hidden="1">2147483647</definedName>
    <definedName name="solver_mip" localSheetId="39" hidden="1">2147483647</definedName>
    <definedName name="solver_mni" localSheetId="33" hidden="1">30</definedName>
    <definedName name="solver_mni" localSheetId="32" hidden="1">30</definedName>
    <definedName name="solver_mni" localSheetId="41" hidden="1">30</definedName>
    <definedName name="solver_mni" localSheetId="38" hidden="1">30</definedName>
    <definedName name="solver_mni" localSheetId="42" hidden="1">30</definedName>
    <definedName name="solver_mni" localSheetId="35" hidden="1">30</definedName>
    <definedName name="solver_mni" localSheetId="66" hidden="1">30</definedName>
    <definedName name="solver_mni" localSheetId="67" hidden="1">30</definedName>
    <definedName name="solver_mni" localSheetId="59" hidden="1">30</definedName>
    <definedName name="solver_mni" localSheetId="4" hidden="1">30</definedName>
    <definedName name="solver_mni" localSheetId="36" hidden="1">30</definedName>
    <definedName name="solver_mni" localSheetId="37" hidden="1">30</definedName>
    <definedName name="solver_mni" localSheetId="34" hidden="1">30</definedName>
    <definedName name="solver_mni" localSheetId="55" hidden="1">30</definedName>
    <definedName name="solver_mni" localSheetId="3" hidden="1">30</definedName>
    <definedName name="solver_mni" localSheetId="2" hidden="1">30</definedName>
    <definedName name="solver_mni" localSheetId="31" hidden="1">30</definedName>
    <definedName name="solver_mni" localSheetId="27" hidden="1">30</definedName>
    <definedName name="solver_mni" localSheetId="43" hidden="1">30</definedName>
    <definedName name="solver_mni" localSheetId="39" hidden="1">30</definedName>
    <definedName name="solver_mrt" localSheetId="33" hidden="1">0.075</definedName>
    <definedName name="solver_mrt" localSheetId="32" hidden="1">0.075</definedName>
    <definedName name="solver_mrt" localSheetId="41" hidden="1">0.075</definedName>
    <definedName name="solver_mrt" localSheetId="38" hidden="1">0.075</definedName>
    <definedName name="solver_mrt" localSheetId="42" hidden="1">0.075</definedName>
    <definedName name="solver_mrt" localSheetId="35" hidden="1">0.075</definedName>
    <definedName name="solver_mrt" localSheetId="66" hidden="1">0.075</definedName>
    <definedName name="solver_mrt" localSheetId="67" hidden="1">0.075</definedName>
    <definedName name="solver_mrt" localSheetId="59" hidden="1">0.075</definedName>
    <definedName name="solver_mrt" localSheetId="4" hidden="1">0.075</definedName>
    <definedName name="solver_mrt" localSheetId="36" hidden="1">0.075</definedName>
    <definedName name="solver_mrt" localSheetId="37" hidden="1">0.075</definedName>
    <definedName name="solver_mrt" localSheetId="34" hidden="1">0.075</definedName>
    <definedName name="solver_mrt" localSheetId="55" hidden="1">0.075</definedName>
    <definedName name="solver_mrt" localSheetId="3" hidden="1">0.075</definedName>
    <definedName name="solver_mrt" localSheetId="2" hidden="1">0.075</definedName>
    <definedName name="solver_mrt" localSheetId="31" hidden="1">0.075</definedName>
    <definedName name="solver_mrt" localSheetId="27" hidden="1">0.075</definedName>
    <definedName name="solver_mrt" localSheetId="43" hidden="1">0.075</definedName>
    <definedName name="solver_mrt" localSheetId="39" hidden="1">0.075</definedName>
    <definedName name="solver_msl" localSheetId="33" hidden="1">2</definedName>
    <definedName name="solver_msl" localSheetId="32" hidden="1">2</definedName>
    <definedName name="solver_msl" localSheetId="41" hidden="1">2</definedName>
    <definedName name="solver_msl" localSheetId="38" hidden="1">2</definedName>
    <definedName name="solver_msl" localSheetId="42" hidden="1">2</definedName>
    <definedName name="solver_msl" localSheetId="35" hidden="1">2</definedName>
    <definedName name="solver_msl" localSheetId="66" hidden="1">2</definedName>
    <definedName name="solver_msl" localSheetId="67" hidden="1">2</definedName>
    <definedName name="solver_msl" localSheetId="59" hidden="1">2</definedName>
    <definedName name="solver_msl" localSheetId="4" hidden="1">2</definedName>
    <definedName name="solver_msl" localSheetId="36" hidden="1">2</definedName>
    <definedName name="solver_msl" localSheetId="37" hidden="1">2</definedName>
    <definedName name="solver_msl" localSheetId="34" hidden="1">2</definedName>
    <definedName name="solver_msl" localSheetId="55" hidden="1">2</definedName>
    <definedName name="solver_msl" localSheetId="3" hidden="1">2</definedName>
    <definedName name="solver_msl" localSheetId="2" hidden="1">2</definedName>
    <definedName name="solver_msl" localSheetId="31" hidden="1">2</definedName>
    <definedName name="solver_msl" localSheetId="27" hidden="1">2</definedName>
    <definedName name="solver_msl" localSheetId="43" hidden="1">2</definedName>
    <definedName name="solver_msl" localSheetId="39" hidden="1">2</definedName>
    <definedName name="solver_neg" localSheetId="70" hidden="1">1</definedName>
    <definedName name="solver_neg" localSheetId="21" hidden="1">1</definedName>
    <definedName name="solver_neg" localSheetId="33" hidden="1">1</definedName>
    <definedName name="solver_neg" localSheetId="18" hidden="1">1</definedName>
    <definedName name="solver_neg" localSheetId="32" hidden="1">1</definedName>
    <definedName name="solver_neg" localSheetId="6" hidden="1">1</definedName>
    <definedName name="solver_neg" localSheetId="5" hidden="1">1</definedName>
    <definedName name="solver_neg" localSheetId="45" hidden="1">1</definedName>
    <definedName name="solver_neg" localSheetId="19" hidden="1">1</definedName>
    <definedName name="solver_neg" localSheetId="20" hidden="1">1</definedName>
    <definedName name="solver_neg" localSheetId="41" hidden="1">1</definedName>
    <definedName name="solver_neg" localSheetId="38" hidden="1">1</definedName>
    <definedName name="solver_neg" localSheetId="40" hidden="1">1</definedName>
    <definedName name="solver_neg" localSheetId="23" hidden="1">1</definedName>
    <definedName name="solver_neg" localSheetId="50" hidden="1">1</definedName>
    <definedName name="solver_neg" localSheetId="30" hidden="1">1</definedName>
    <definedName name="solver_neg" localSheetId="9" hidden="1">1</definedName>
    <definedName name="solver_neg" localSheetId="8" hidden="1">1</definedName>
    <definedName name="solver_neg" localSheetId="22" hidden="1">1</definedName>
    <definedName name="solver_neg" localSheetId="26" hidden="1">1</definedName>
    <definedName name="solver_neg" localSheetId="42" hidden="1">1</definedName>
    <definedName name="solver_neg" localSheetId="44" hidden="1">1</definedName>
    <definedName name="solver_neg" localSheetId="69" hidden="1">1</definedName>
    <definedName name="solver_neg" localSheetId="29" hidden="1">1</definedName>
    <definedName name="solver_neg" localSheetId="25" hidden="1">1</definedName>
    <definedName name="solver_neg" localSheetId="46" hidden="1">1</definedName>
    <definedName name="solver_neg" localSheetId="47" hidden="1">1</definedName>
    <definedName name="solver_neg" localSheetId="35" hidden="1">1</definedName>
    <definedName name="solver_neg" localSheetId="16" hidden="1">1</definedName>
    <definedName name="solver_neg" localSheetId="17" hidden="1">1</definedName>
    <definedName name="solver_neg" localSheetId="15" hidden="1">1</definedName>
    <definedName name="solver_neg" localSheetId="13" hidden="1">1</definedName>
    <definedName name="solver_neg" localSheetId="51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66" hidden="1">1</definedName>
    <definedName name="solver_neg" localSheetId="67" hidden="1">1</definedName>
    <definedName name="solver_neg" localSheetId="68" hidden="1">1</definedName>
    <definedName name="solver_neg" localSheetId="62" hidden="1">1</definedName>
    <definedName name="solver_neg" localSheetId="61" hidden="1">1</definedName>
    <definedName name="solver_neg" localSheetId="57" hidden="1">1</definedName>
    <definedName name="solver_neg" localSheetId="60" hidden="1">1</definedName>
    <definedName name="solver_neg" localSheetId="58" hidden="1">1</definedName>
    <definedName name="solver_neg" localSheetId="59" hidden="1">1</definedName>
    <definedName name="solver_neg" localSheetId="56" hidden="1">1</definedName>
    <definedName name="solver_neg" localSheetId="48" hidden="1">1</definedName>
    <definedName name="solver_neg" localSheetId="4" hidden="1">1</definedName>
    <definedName name="solver_neg" localSheetId="36" hidden="1">1</definedName>
    <definedName name="solver_neg" localSheetId="37" hidden="1">1</definedName>
    <definedName name="solver_neg" localSheetId="34" hidden="1">1</definedName>
    <definedName name="solver_neg" localSheetId="1" hidden="1">1</definedName>
    <definedName name="solver_neg" localSheetId="49" hidden="1">1</definedName>
    <definedName name="solver_neg" localSheetId="54" hidden="1">1</definedName>
    <definedName name="solver_neg" localSheetId="55" hidden="1">2</definedName>
    <definedName name="solver_neg" localSheetId="3" hidden="1">1</definedName>
    <definedName name="solver_neg" localSheetId="2" hidden="1">1</definedName>
    <definedName name="solver_neg" localSheetId="31" hidden="1">1</definedName>
    <definedName name="solver_neg" localSheetId="53" hidden="1">2</definedName>
    <definedName name="solver_neg" localSheetId="7" hidden="1">1</definedName>
    <definedName name="solver_neg" localSheetId="27" hidden="1">2</definedName>
    <definedName name="solver_neg" localSheetId="43" hidden="1">1</definedName>
    <definedName name="solver_neg" localSheetId="39" hidden="1">1</definedName>
    <definedName name="solver_nod" localSheetId="33" hidden="1">2147483647</definedName>
    <definedName name="solver_nod" localSheetId="32" hidden="1">2147483647</definedName>
    <definedName name="solver_nod" localSheetId="41" hidden="1">2147483647</definedName>
    <definedName name="solver_nod" localSheetId="38" hidden="1">2147483647</definedName>
    <definedName name="solver_nod" localSheetId="42" hidden="1">2147483647</definedName>
    <definedName name="solver_nod" localSheetId="35" hidden="1">2147483647</definedName>
    <definedName name="solver_nod" localSheetId="66" hidden="1">2147483647</definedName>
    <definedName name="solver_nod" localSheetId="67" hidden="1">2147483647</definedName>
    <definedName name="solver_nod" localSheetId="59" hidden="1">2147483647</definedName>
    <definedName name="solver_nod" localSheetId="4" hidden="1">2147483647</definedName>
    <definedName name="solver_nod" localSheetId="36" hidden="1">2147483647</definedName>
    <definedName name="solver_nod" localSheetId="37" hidden="1">2147483647</definedName>
    <definedName name="solver_nod" localSheetId="34" hidden="1">2147483647</definedName>
    <definedName name="solver_nod" localSheetId="55" hidden="1">2147483647</definedName>
    <definedName name="solver_nod" localSheetId="3" hidden="1">2147483647</definedName>
    <definedName name="solver_nod" localSheetId="2" hidden="1">2147483647</definedName>
    <definedName name="solver_nod" localSheetId="31" hidden="1">2147483647</definedName>
    <definedName name="solver_nod" localSheetId="27" hidden="1">2147483647</definedName>
    <definedName name="solver_nod" localSheetId="43" hidden="1">2147483647</definedName>
    <definedName name="solver_nod" localSheetId="39" hidden="1">2147483647</definedName>
    <definedName name="solver_num" localSheetId="70" hidden="1">5</definedName>
    <definedName name="solver_num" localSheetId="21" hidden="1">1</definedName>
    <definedName name="solver_num" localSheetId="33" hidden="1">4</definedName>
    <definedName name="solver_num" localSheetId="18" hidden="1">5</definedName>
    <definedName name="solver_num" localSheetId="32" hidden="1">3</definedName>
    <definedName name="solver_num" localSheetId="6" hidden="1">3</definedName>
    <definedName name="solver_num" localSheetId="5" hidden="1">3</definedName>
    <definedName name="solver_num" localSheetId="45" hidden="1">7</definedName>
    <definedName name="solver_num" localSheetId="19" hidden="1">8</definedName>
    <definedName name="solver_num" localSheetId="20" hidden="1">9</definedName>
    <definedName name="solver_num" localSheetId="41" hidden="1">2</definedName>
    <definedName name="solver_num" localSheetId="38" hidden="1">2</definedName>
    <definedName name="solver_num" localSheetId="40" hidden="1">1</definedName>
    <definedName name="solver_num" localSheetId="23" hidden="1">4</definedName>
    <definedName name="solver_num" localSheetId="24" hidden="1">3</definedName>
    <definedName name="solver_num" localSheetId="50" hidden="1">3</definedName>
    <definedName name="solver_num" localSheetId="30" hidden="1">2</definedName>
    <definedName name="solver_num" localSheetId="9" hidden="1">3</definedName>
    <definedName name="solver_num" localSheetId="10" hidden="1">3</definedName>
    <definedName name="solver_num" localSheetId="8" hidden="1">3</definedName>
    <definedName name="solver_num" localSheetId="22" hidden="1">3</definedName>
    <definedName name="solver_num" localSheetId="26" hidden="1">3</definedName>
    <definedName name="solver_num" localSheetId="42" hidden="1">2</definedName>
    <definedName name="solver_num" localSheetId="44" hidden="1">3</definedName>
    <definedName name="solver_num" localSheetId="69" hidden="1">8</definedName>
    <definedName name="solver_num" localSheetId="29" hidden="1">5</definedName>
    <definedName name="solver_num" localSheetId="25" hidden="1">3</definedName>
    <definedName name="solver_num" localSheetId="46" hidden="1">4</definedName>
    <definedName name="solver_num" localSheetId="47" hidden="1">3</definedName>
    <definedName name="solver_num" localSheetId="35" hidden="1">2</definedName>
    <definedName name="solver_num" localSheetId="16" hidden="1">3</definedName>
    <definedName name="solver_num" localSheetId="17" hidden="1">3</definedName>
    <definedName name="solver_num" localSheetId="15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51" hidden="1">4</definedName>
    <definedName name="solver_num" localSheetId="63" hidden="1">5</definedName>
    <definedName name="solver_num" localSheetId="64" hidden="1">1</definedName>
    <definedName name="solver_num" localSheetId="65" hidden="1">2</definedName>
    <definedName name="solver_num" localSheetId="66" hidden="1">0</definedName>
    <definedName name="solver_num" localSheetId="67" hidden="1">0</definedName>
    <definedName name="solver_num" localSheetId="68" hidden="1">4</definedName>
    <definedName name="solver_num" localSheetId="62" hidden="1">2</definedName>
    <definedName name="solver_num" localSheetId="61" hidden="1">1</definedName>
    <definedName name="solver_num" localSheetId="57" hidden="1">6</definedName>
    <definedName name="solver_num" localSheetId="60" hidden="1">2</definedName>
    <definedName name="solver_num" localSheetId="58" hidden="1">3</definedName>
    <definedName name="solver_num" localSheetId="59" hidden="1">3</definedName>
    <definedName name="solver_num" localSheetId="56" hidden="1">3</definedName>
    <definedName name="solver_num" localSheetId="48" hidden="1">3</definedName>
    <definedName name="solver_num" localSheetId="4" hidden="1">3</definedName>
    <definedName name="solver_num" localSheetId="36" hidden="1">2</definedName>
    <definedName name="solver_num" localSheetId="37" hidden="1">2</definedName>
    <definedName name="solver_num" localSheetId="28" hidden="1">3</definedName>
    <definedName name="solver_num" localSheetId="52" hidden="1">2</definedName>
    <definedName name="solver_num" localSheetId="34" hidden="1">4</definedName>
    <definedName name="solver_num" localSheetId="1" hidden="1">0</definedName>
    <definedName name="solver_num" localSheetId="49" hidden="1">3</definedName>
    <definedName name="solver_num" localSheetId="54" hidden="1">4</definedName>
    <definedName name="solver_num" localSheetId="55" hidden="1">4</definedName>
    <definedName name="solver_num" localSheetId="3" hidden="1">2</definedName>
    <definedName name="solver_num" localSheetId="2" hidden="1">3</definedName>
    <definedName name="solver_num" localSheetId="31" hidden="1">2</definedName>
    <definedName name="solver_num" localSheetId="53" hidden="1">3</definedName>
    <definedName name="solver_num" localSheetId="11" hidden="1">3</definedName>
    <definedName name="solver_num" localSheetId="7" hidden="1">3</definedName>
    <definedName name="solver_num" localSheetId="27" hidden="1">3</definedName>
    <definedName name="solver_num" localSheetId="43" hidden="1">2</definedName>
    <definedName name="solver_num" localSheetId="39" hidden="1">2</definedName>
    <definedName name="solver_nwt" localSheetId="70" hidden="1">1</definedName>
    <definedName name="solver_nwt" localSheetId="21" hidden="1">1</definedName>
    <definedName name="solver_nwt" localSheetId="33" hidden="1">1</definedName>
    <definedName name="solver_nwt" localSheetId="18" hidden="1">1</definedName>
    <definedName name="solver_nwt" localSheetId="32" hidden="1">1</definedName>
    <definedName name="solver_nwt" localSheetId="6" hidden="1">1</definedName>
    <definedName name="solver_nwt" localSheetId="5" hidden="1">1</definedName>
    <definedName name="solver_nwt" localSheetId="45" hidden="1">1</definedName>
    <definedName name="solver_nwt" localSheetId="19" hidden="1">1</definedName>
    <definedName name="solver_nwt" localSheetId="20" hidden="1">1</definedName>
    <definedName name="solver_nwt" localSheetId="41" hidden="1">1</definedName>
    <definedName name="solver_nwt" localSheetId="38" hidden="1">1</definedName>
    <definedName name="solver_nwt" localSheetId="40" hidden="1">1</definedName>
    <definedName name="solver_nwt" localSheetId="23" hidden="1">1</definedName>
    <definedName name="solver_nwt" localSheetId="24" hidden="1">1</definedName>
    <definedName name="solver_nwt" localSheetId="50" hidden="1">1</definedName>
    <definedName name="solver_nwt" localSheetId="30" hidden="1">1</definedName>
    <definedName name="solver_nwt" localSheetId="9" hidden="1">1</definedName>
    <definedName name="solver_nwt" localSheetId="10" hidden="1">1</definedName>
    <definedName name="solver_nwt" localSheetId="8" hidden="1">1</definedName>
    <definedName name="solver_nwt" localSheetId="22" hidden="1">1</definedName>
    <definedName name="solver_nwt" localSheetId="26" hidden="1">1</definedName>
    <definedName name="solver_nwt" localSheetId="42" hidden="1">1</definedName>
    <definedName name="solver_nwt" localSheetId="44" hidden="1">1</definedName>
    <definedName name="solver_nwt" localSheetId="69" hidden="1">1</definedName>
    <definedName name="solver_nwt" localSheetId="29" hidden="1">1</definedName>
    <definedName name="solver_nwt" localSheetId="25" hidden="1">1</definedName>
    <definedName name="solver_nwt" localSheetId="46" hidden="1">1</definedName>
    <definedName name="solver_nwt" localSheetId="47" hidden="1">1</definedName>
    <definedName name="solver_nwt" localSheetId="35" hidden="1">1</definedName>
    <definedName name="solver_nwt" localSheetId="16" hidden="1">1</definedName>
    <definedName name="solver_nwt" localSheetId="17" hidden="1">1</definedName>
    <definedName name="solver_nwt" localSheetId="15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51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62" hidden="1">1</definedName>
    <definedName name="solver_nwt" localSheetId="61" hidden="1">1</definedName>
    <definedName name="solver_nwt" localSheetId="57" hidden="1">1</definedName>
    <definedName name="solver_nwt" localSheetId="60" hidden="1">1</definedName>
    <definedName name="solver_nwt" localSheetId="58" hidden="1">1</definedName>
    <definedName name="solver_nwt" localSheetId="59" hidden="1">1</definedName>
    <definedName name="solver_nwt" localSheetId="56" hidden="1">1</definedName>
    <definedName name="solver_nwt" localSheetId="48" hidden="1">1</definedName>
    <definedName name="solver_nwt" localSheetId="4" hidden="1">1</definedName>
    <definedName name="solver_nwt" localSheetId="36" hidden="1">1</definedName>
    <definedName name="solver_nwt" localSheetId="37" hidden="1">1</definedName>
    <definedName name="solver_nwt" localSheetId="28" hidden="1">1</definedName>
    <definedName name="solver_nwt" localSheetId="52" hidden="1">1</definedName>
    <definedName name="solver_nwt" localSheetId="34" hidden="1">1</definedName>
    <definedName name="solver_nwt" localSheetId="1" hidden="1">1</definedName>
    <definedName name="solver_nwt" localSheetId="49" hidden="1">1</definedName>
    <definedName name="solver_nwt" localSheetId="54" hidden="1">1</definedName>
    <definedName name="solver_nwt" localSheetId="55" hidden="1">1</definedName>
    <definedName name="solver_nwt" localSheetId="3" hidden="1">1</definedName>
    <definedName name="solver_nwt" localSheetId="2" hidden="1">1</definedName>
    <definedName name="solver_nwt" localSheetId="31" hidden="1">1</definedName>
    <definedName name="solver_nwt" localSheetId="53" hidden="1">1</definedName>
    <definedName name="solver_nwt" localSheetId="11" hidden="1">1</definedName>
    <definedName name="solver_nwt" localSheetId="7" hidden="1">1</definedName>
    <definedName name="solver_nwt" localSheetId="27" hidden="1">1</definedName>
    <definedName name="solver_nwt" localSheetId="43" hidden="1">1</definedName>
    <definedName name="solver_nwt" localSheetId="39" hidden="1">1</definedName>
    <definedName name="solver_opt" localSheetId="70" hidden="1">AutoModel!$C$9</definedName>
    <definedName name="solver_opt" localSheetId="21" hidden="1">'BadName!'!$H$7</definedName>
    <definedName name="solver_opt" localSheetId="33" hidden="1">BinIntLB!$H$9</definedName>
    <definedName name="solver_opt" localSheetId="18" hidden="1">BinIntOverlap!$I$6</definedName>
    <definedName name="solver_opt" localSheetId="32" hidden="1">BinLB!$H$9</definedName>
    <definedName name="solver_opt" localSheetId="6" hidden="1">BlankLHS!$H$6</definedName>
    <definedName name="solver_opt" localSheetId="5" hidden="1">BlankRHS!$H$6</definedName>
    <definedName name="solver_opt" localSheetId="45" hidden="1">ComplexLayout!$I$6</definedName>
    <definedName name="solver_opt" localSheetId="19" hidden="1">ConFormula!$I$7</definedName>
    <definedName name="solver_opt" localSheetId="20" hidden="1">ConFormulaInf!$I$7</definedName>
    <definedName name="solver_opt" localSheetId="41" hidden="1">ConstantLB!$H$9</definedName>
    <definedName name="solver_opt" localSheetId="38" hidden="1">ConstFormulaRangeLB!$H$8</definedName>
    <definedName name="solver_opt" localSheetId="40" hidden="1">ConstraintLB!$H$9</definedName>
    <definedName name="solver_opt" localSheetId="23" hidden="1">DeletedConRef!$H$7</definedName>
    <definedName name="solver_opt" localSheetId="24" hidden="1">DeletedObjRef!#REF!</definedName>
    <definedName name="solver_opt" localSheetId="50" hidden="1">SeekObj!$G$17</definedName>
    <definedName name="solver_opt" localSheetId="30" hidden="1">DirectLBs!$H$8</definedName>
    <definedName name="solver_opt" localSheetId="9" hidden="1">ErrorLHS!$H$6</definedName>
    <definedName name="solver_opt" localSheetId="10" hidden="1">ErrorObj!$H$6</definedName>
    <definedName name="solver_opt" localSheetId="8" hidden="1">ErrorRHS!$H$6</definedName>
    <definedName name="solver_opt" localSheetId="22" hidden="1">'EscapeSheetName(1)+2-1'!$H$6</definedName>
    <definedName name="solver_opt" localSheetId="26" hidden="1">FeasConstConstraint!$J$6</definedName>
    <definedName name="solver_opt" localSheetId="42" hidden="1">FormulaLB!$H$9</definedName>
    <definedName name="solver_opt" localSheetId="44" hidden="1">FractionalCoeffs!$G$4</definedName>
    <definedName name="solver_opt" localSheetId="69" hidden="1">Highlighting!$G$5</definedName>
    <definedName name="solver_opt" localSheetId="29" hidden="1">IndirectLBs!$H$8</definedName>
    <definedName name="solver_opt" localSheetId="25" hidden="1">InfConstConstraint!$J$6</definedName>
    <definedName name="solver_opt" localSheetId="46" hidden="1">InfModel!$H$7</definedName>
    <definedName name="solver_opt" localSheetId="47" hidden="1">IterativeCalc!$H$7</definedName>
    <definedName name="solver_opt" localSheetId="35" hidden="1">LargeRangeLB!$H$10</definedName>
    <definedName name="solver_opt" localSheetId="16" hidden="1">MergedLHS_OK!$H$7</definedName>
    <definedName name="solver_opt" localSheetId="17" hidden="1">MergedLHSMultiple_OK!$H$7</definedName>
    <definedName name="solver_opt" localSheetId="15" hidden="1">MergedRHS_OK!$H$7</definedName>
    <definedName name="solver_opt" localSheetId="14" hidden="1">MergedVarsBad!$H$7</definedName>
    <definedName name="solver_opt" localSheetId="13" hidden="1">MergedVarsOK!$H$7</definedName>
    <definedName name="solver_opt" localSheetId="12" hidden="1">MergedVarsSubset!$H$7</definedName>
    <definedName name="solver_opt" localSheetId="51" hidden="1">NamedRanges!$I$6</definedName>
    <definedName name="solver_opt" localSheetId="63" hidden="1">NonLin!$I$39</definedName>
    <definedName name="solver_opt" localSheetId="64" hidden="1">NonLin2!$F$4</definedName>
    <definedName name="solver_opt" localSheetId="65" hidden="1">NonLin3!$S$13</definedName>
    <definedName name="solver_opt" localSheetId="66" hidden="1">NonLin4!$D$16</definedName>
    <definedName name="solver_opt" localSheetId="67" hidden="1">NonLin5!$J$7</definedName>
    <definedName name="solver_opt" localSheetId="68" hidden="1">NonLin6!$F$15</definedName>
    <definedName name="solver_opt" localSheetId="62" hidden="1">NonLinBinary!$C$6</definedName>
    <definedName name="solver_opt" localSheetId="61" hidden="1">NonLinConstraints!$I$6</definedName>
    <definedName name="solver_opt" localSheetId="57" hidden="1">NonLinLarge!$H$5</definedName>
    <definedName name="solver_opt" localSheetId="60" hidden="1">NonLinMinMax!$G$6</definedName>
    <definedName name="solver_opt" localSheetId="58" hidden="1">NonLinObj!$H$5</definedName>
    <definedName name="solver_opt" localSheetId="59" hidden="1">NonLinPruning!$F$6</definedName>
    <definedName name="solver_opt" localSheetId="56" hidden="1">NonLinSimple!$H$5</definedName>
    <definedName name="solver_opt" localSheetId="4" hidden="1">OverlappingVars!$H$6</definedName>
    <definedName name="solver_opt" localSheetId="36" hidden="1">OverlapRangeLB!$H$10</definedName>
    <definedName name="solver_opt" localSheetId="37" hidden="1">OverlapRangeLBwithFormula!$H$10</definedName>
    <definedName name="solver_opt" localSheetId="28" hidden="1">ProtectedSheet!$H$6</definedName>
    <definedName name="solver_opt" localSheetId="52" hidden="1">QuickSolve!$H$6</definedName>
    <definedName name="solver_opt" localSheetId="34" hidden="1">Relaxation!$H$9</definedName>
    <definedName name="solver_opt" localSheetId="49" hidden="1">SeekObj!$G$4</definedName>
    <definedName name="solver_opt" localSheetId="54" hidden="1">Sensitivity!$G$6</definedName>
    <definedName name="solver_opt" localSheetId="55" hidden="1">SensitivityNames!$D$20</definedName>
    <definedName name="solver_opt" localSheetId="3" hidden="1">SimpleIP!$E$10</definedName>
    <definedName name="solver_opt" localSheetId="2" hidden="1">SimpleLP!$H$6</definedName>
    <definedName name="solver_opt" localSheetId="31" hidden="1">SingleRangeLB!$H$8</definedName>
    <definedName name="solver_opt" localSheetId="53" hidden="1">SolverParameters!$H$15</definedName>
    <definedName name="solver_opt" localSheetId="11" hidden="1">TextObj!$H$6</definedName>
    <definedName name="solver_opt" localSheetId="7" hidden="1">TextRHS!$H$6</definedName>
    <definedName name="solver_opt" localSheetId="27" hidden="1">Unbounded!$H$6</definedName>
    <definedName name="solver_opt" localSheetId="43" hidden="1">VarConstraintLB!$H$9</definedName>
    <definedName name="solver_opt" localSheetId="39" hidden="1">VariableFormulaRangeLB!$H$9</definedName>
    <definedName name="solver_pre" localSheetId="21" hidden="1">0.000001</definedName>
    <definedName name="solver_pre" localSheetId="69" hidden="1">0.000001</definedName>
    <definedName name="solver_pre" localSheetId="59" hidden="1">0.001</definedName>
    <definedName name="solver_pre" localSheetId="55" hidden="1">0.0001</definedName>
    <definedName name="solver_rbv" localSheetId="33" hidden="1">1</definedName>
    <definedName name="solver_rbv" localSheetId="32" hidden="1">1</definedName>
    <definedName name="solver_rbv" localSheetId="41" hidden="1">1</definedName>
    <definedName name="solver_rbv" localSheetId="38" hidden="1">1</definedName>
    <definedName name="solver_rbv" localSheetId="42" hidden="1">1</definedName>
    <definedName name="solver_rbv" localSheetId="35" hidden="1">1</definedName>
    <definedName name="solver_rbv" localSheetId="66" hidden="1">1</definedName>
    <definedName name="solver_rbv" localSheetId="67" hidden="1">1</definedName>
    <definedName name="solver_rbv" localSheetId="59" hidden="1">1</definedName>
    <definedName name="solver_rbv" localSheetId="4" hidden="1">1</definedName>
    <definedName name="solver_rbv" localSheetId="36" hidden="1">1</definedName>
    <definedName name="solver_rbv" localSheetId="37" hidden="1">1</definedName>
    <definedName name="solver_rbv" localSheetId="34" hidden="1">1</definedName>
    <definedName name="solver_rbv" localSheetId="55" hidden="1">1</definedName>
    <definedName name="solver_rbv" localSheetId="3" hidden="1">1</definedName>
    <definedName name="solver_rbv" localSheetId="2" hidden="1">1</definedName>
    <definedName name="solver_rbv" localSheetId="31" hidden="1">1</definedName>
    <definedName name="solver_rbv" localSheetId="27" hidden="1">1</definedName>
    <definedName name="solver_rbv" localSheetId="43" hidden="1">1</definedName>
    <definedName name="solver_rbv" localSheetId="39" hidden="1">1</definedName>
    <definedName name="solver_rel1" localSheetId="70" hidden="1">1</definedName>
    <definedName name="solver_rel1" localSheetId="21" hidden="1">1</definedName>
    <definedName name="solver_rel1" localSheetId="33" hidden="1">3</definedName>
    <definedName name="solver_rel1" localSheetId="18" hidden="1">1</definedName>
    <definedName name="solver_rel1" localSheetId="32" hidden="1">3</definedName>
    <definedName name="solver_rel1" localSheetId="6" hidden="1">1</definedName>
    <definedName name="solver_rel1" localSheetId="5" hidden="1">1</definedName>
    <definedName name="solver_rel1" localSheetId="45" hidden="1">1</definedName>
    <definedName name="solver_rel1" localSheetId="19" hidden="1">1</definedName>
    <definedName name="solver_rel1" localSheetId="20" hidden="1">1</definedName>
    <definedName name="solver_rel1" localSheetId="41" hidden="1">3</definedName>
    <definedName name="solver_rel1" localSheetId="38" hidden="1">3</definedName>
    <definedName name="solver_rel1" localSheetId="40" hidden="1">3</definedName>
    <definedName name="solver_rel1" localSheetId="23" hidden="1">1</definedName>
    <definedName name="solver_rel1" localSheetId="24" hidden="1">1</definedName>
    <definedName name="solver_rel1" localSheetId="50" hidden="1">2</definedName>
    <definedName name="solver_rel1" localSheetId="30" hidden="1">3</definedName>
    <definedName name="solver_rel1" localSheetId="9" hidden="1">1</definedName>
    <definedName name="solver_rel1" localSheetId="10" hidden="1">1</definedName>
    <definedName name="solver_rel1" localSheetId="8" hidden="1">1</definedName>
    <definedName name="solver_rel1" localSheetId="22" hidden="1">1</definedName>
    <definedName name="solver_rel1" localSheetId="26" hidden="1">1</definedName>
    <definedName name="solver_rel1" localSheetId="42" hidden="1">3</definedName>
    <definedName name="solver_rel1" localSheetId="44" hidden="1">2</definedName>
    <definedName name="solver_rel1" localSheetId="69" hidden="1">1</definedName>
    <definedName name="solver_rel1" localSheetId="29" hidden="1">1</definedName>
    <definedName name="solver_rel1" localSheetId="25" hidden="1">1</definedName>
    <definedName name="solver_rel1" localSheetId="46" hidden="1">1</definedName>
    <definedName name="solver_rel1" localSheetId="47" hidden="1">1</definedName>
    <definedName name="solver_rel1" localSheetId="35" hidden="1">3</definedName>
    <definedName name="solver_rel1" localSheetId="16" hidden="1">1</definedName>
    <definedName name="solver_rel1" localSheetId="17" hidden="1">1</definedName>
    <definedName name="solver_rel1" localSheetId="15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51" hidden="1">1</definedName>
    <definedName name="solver_rel1" localSheetId="63" hidden="1">3</definedName>
    <definedName name="solver_rel1" localSheetId="64" hidden="1">3</definedName>
    <definedName name="solver_rel1" localSheetId="65" hidden="1">3</definedName>
    <definedName name="solver_rel1" localSheetId="68" hidden="1">3</definedName>
    <definedName name="solver_rel1" localSheetId="62" hidden="1">3</definedName>
    <definedName name="solver_rel1" localSheetId="61" hidden="1">1</definedName>
    <definedName name="solver_rel1" localSheetId="57" hidden="1">1</definedName>
    <definedName name="solver_rel1" localSheetId="60" hidden="1">1</definedName>
    <definedName name="solver_rel1" localSheetId="58" hidden="1">1</definedName>
    <definedName name="solver_rel1" localSheetId="59" hidden="1">1</definedName>
    <definedName name="solver_rel1" localSheetId="56" hidden="1">1</definedName>
    <definedName name="solver_rel1" localSheetId="48" hidden="1">1</definedName>
    <definedName name="solver_rel1" localSheetId="4" hidden="1">1</definedName>
    <definedName name="solver_rel1" localSheetId="36" hidden="1">3</definedName>
    <definedName name="solver_rel1" localSheetId="37" hidden="1">3</definedName>
    <definedName name="solver_rel1" localSheetId="28" hidden="1">1</definedName>
    <definedName name="solver_rel1" localSheetId="52" hidden="1">1</definedName>
    <definedName name="solver_rel1" localSheetId="34" hidden="1">3</definedName>
    <definedName name="solver_rel1" localSheetId="1" hidden="1">1</definedName>
    <definedName name="solver_rel1" localSheetId="49" hidden="1">2</definedName>
    <definedName name="solver_rel1" localSheetId="54" hidden="1">1</definedName>
    <definedName name="solver_rel1" localSheetId="55" hidden="1">1</definedName>
    <definedName name="solver_rel1" localSheetId="3" hidden="1">1</definedName>
    <definedName name="solver_rel1" localSheetId="2" hidden="1">1</definedName>
    <definedName name="solver_rel1" localSheetId="31" hidden="1">3</definedName>
    <definedName name="solver_rel1" localSheetId="53" hidden="1">1</definedName>
    <definedName name="solver_rel1" localSheetId="11" hidden="1">1</definedName>
    <definedName name="solver_rel1" localSheetId="7" hidden="1">1</definedName>
    <definedName name="solver_rel1" localSheetId="27" hidden="1">1</definedName>
    <definedName name="solver_rel1" localSheetId="43" hidden="1">3</definedName>
    <definedName name="solver_rel1" localSheetId="39" hidden="1">3</definedName>
    <definedName name="solver_rel10" localSheetId="20" hidden="1">1</definedName>
    <definedName name="solver_rel10" localSheetId="57" hidden="1">1</definedName>
    <definedName name="solver_rel100" localSheetId="57" hidden="1">1</definedName>
    <definedName name="solver_rel101" localSheetId="57" hidden="1">3</definedName>
    <definedName name="solver_rel102" localSheetId="57" hidden="1">2</definedName>
    <definedName name="solver_rel103" localSheetId="57" hidden="1">1</definedName>
    <definedName name="solver_rel104" localSheetId="57" hidden="1">3</definedName>
    <definedName name="solver_rel105" localSheetId="57" hidden="1">2</definedName>
    <definedName name="solver_rel106" localSheetId="57" hidden="1">1</definedName>
    <definedName name="solver_rel107" localSheetId="57" hidden="1">3</definedName>
    <definedName name="solver_rel108" localSheetId="57" hidden="1">2</definedName>
    <definedName name="solver_rel109" localSheetId="57" hidden="1">1</definedName>
    <definedName name="solver_rel11" localSheetId="57" hidden="1">3</definedName>
    <definedName name="solver_rel110" localSheetId="57" hidden="1">3</definedName>
    <definedName name="solver_rel111" localSheetId="57" hidden="1">2</definedName>
    <definedName name="solver_rel112" localSheetId="57" hidden="1">1</definedName>
    <definedName name="solver_rel113" localSheetId="57" hidden="1">3</definedName>
    <definedName name="solver_rel114" localSheetId="57" hidden="1">2</definedName>
    <definedName name="solver_rel115" localSheetId="57" hidden="1">1</definedName>
    <definedName name="solver_rel116" localSheetId="57" hidden="1">3</definedName>
    <definedName name="solver_rel117" localSheetId="57" hidden="1">2</definedName>
    <definedName name="solver_rel118" localSheetId="57" hidden="1">1</definedName>
    <definedName name="solver_rel119" localSheetId="57" hidden="1">3</definedName>
    <definedName name="solver_rel12" localSheetId="57" hidden="1">2</definedName>
    <definedName name="solver_rel120" localSheetId="57" hidden="1">2</definedName>
    <definedName name="solver_rel121" localSheetId="57" hidden="1">1</definedName>
    <definedName name="solver_rel122" localSheetId="57" hidden="1">3</definedName>
    <definedName name="solver_rel123" localSheetId="57" hidden="1">2</definedName>
    <definedName name="solver_rel124" localSheetId="57" hidden="1">1</definedName>
    <definedName name="solver_rel125" localSheetId="57" hidden="1">3</definedName>
    <definedName name="solver_rel126" localSheetId="57" hidden="1">2</definedName>
    <definedName name="solver_rel127" localSheetId="57" hidden="1">1</definedName>
    <definedName name="solver_rel128" localSheetId="57" hidden="1">3</definedName>
    <definedName name="solver_rel129" localSheetId="57" hidden="1">2</definedName>
    <definedName name="solver_rel13" localSheetId="57" hidden="1">1</definedName>
    <definedName name="solver_rel130" localSheetId="57" hidden="1">1</definedName>
    <definedName name="solver_rel131" localSheetId="57" hidden="1">3</definedName>
    <definedName name="solver_rel132" localSheetId="57" hidden="1">2</definedName>
    <definedName name="solver_rel133" localSheetId="57" hidden="1">1</definedName>
    <definedName name="solver_rel134" localSheetId="57" hidden="1">3</definedName>
    <definedName name="solver_rel135" localSheetId="57" hidden="1">2</definedName>
    <definedName name="solver_rel136" localSheetId="57" hidden="1">1</definedName>
    <definedName name="solver_rel137" localSheetId="57" hidden="1">3</definedName>
    <definedName name="solver_rel138" localSheetId="57" hidden="1">2</definedName>
    <definedName name="solver_rel139" localSheetId="57" hidden="1">1</definedName>
    <definedName name="solver_rel14" localSheetId="57" hidden="1">3</definedName>
    <definedName name="solver_rel140" localSheetId="57" hidden="1">3</definedName>
    <definedName name="solver_rel141" localSheetId="57" hidden="1">2</definedName>
    <definedName name="solver_rel142" localSheetId="57" hidden="1">1</definedName>
    <definedName name="solver_rel143" localSheetId="57" hidden="1">3</definedName>
    <definedName name="solver_rel144" localSheetId="57" hidden="1">2</definedName>
    <definedName name="solver_rel145" localSheetId="57" hidden="1">1</definedName>
    <definedName name="solver_rel146" localSheetId="57" hidden="1">3</definedName>
    <definedName name="solver_rel147" localSheetId="57" hidden="1">2</definedName>
    <definedName name="solver_rel148" localSheetId="57" hidden="1">1</definedName>
    <definedName name="solver_rel149" localSheetId="57" hidden="1">3</definedName>
    <definedName name="solver_rel15" localSheetId="57" hidden="1">2</definedName>
    <definedName name="solver_rel150" localSheetId="57" hidden="1">2</definedName>
    <definedName name="solver_rel151" localSheetId="57" hidden="1">1</definedName>
    <definedName name="solver_rel152" localSheetId="57" hidden="1">3</definedName>
    <definedName name="solver_rel153" localSheetId="57" hidden="1">2</definedName>
    <definedName name="solver_rel154" localSheetId="57" hidden="1">1</definedName>
    <definedName name="solver_rel155" localSheetId="57" hidden="1">3</definedName>
    <definedName name="solver_rel156" localSheetId="57" hidden="1">2</definedName>
    <definedName name="solver_rel157" localSheetId="57" hidden="1">1</definedName>
    <definedName name="solver_rel158" localSheetId="57" hidden="1">3</definedName>
    <definedName name="solver_rel159" localSheetId="57" hidden="1">2</definedName>
    <definedName name="solver_rel16" localSheetId="57" hidden="1">1</definedName>
    <definedName name="solver_rel160" localSheetId="57" hidden="1">1</definedName>
    <definedName name="solver_rel161" localSheetId="57" hidden="1">3</definedName>
    <definedName name="solver_rel162" localSheetId="57" hidden="1">2</definedName>
    <definedName name="solver_rel163" localSheetId="57" hidden="1">1</definedName>
    <definedName name="solver_rel164" localSheetId="57" hidden="1">3</definedName>
    <definedName name="solver_rel165" localSheetId="57" hidden="1">2</definedName>
    <definedName name="solver_rel166" localSheetId="57" hidden="1">1</definedName>
    <definedName name="solver_rel167" localSheetId="57" hidden="1">3</definedName>
    <definedName name="solver_rel168" localSheetId="57" hidden="1">2</definedName>
    <definedName name="solver_rel169" localSheetId="57" hidden="1">1</definedName>
    <definedName name="solver_rel17" localSheetId="57" hidden="1">3</definedName>
    <definedName name="solver_rel170" localSheetId="57" hidden="1">3</definedName>
    <definedName name="solver_rel171" localSheetId="57" hidden="1">2</definedName>
    <definedName name="solver_rel172" localSheetId="57" hidden="1">1</definedName>
    <definedName name="solver_rel173" localSheetId="57" hidden="1">3</definedName>
    <definedName name="solver_rel174" localSheetId="57" hidden="1">2</definedName>
    <definedName name="solver_rel175" localSheetId="57" hidden="1">1</definedName>
    <definedName name="solver_rel176" localSheetId="57" hidden="1">3</definedName>
    <definedName name="solver_rel177" localSheetId="57" hidden="1">2</definedName>
    <definedName name="solver_rel178" localSheetId="57" hidden="1">1</definedName>
    <definedName name="solver_rel179" localSheetId="57" hidden="1">3</definedName>
    <definedName name="solver_rel18" localSheetId="57" hidden="1">2</definedName>
    <definedName name="solver_rel180" localSheetId="57" hidden="1">2</definedName>
    <definedName name="solver_rel181" localSheetId="57" hidden="1">1</definedName>
    <definedName name="solver_rel182" localSheetId="57" hidden="1">3</definedName>
    <definedName name="solver_rel183" localSheetId="57" hidden="1">2</definedName>
    <definedName name="solver_rel184" localSheetId="57" hidden="1">1</definedName>
    <definedName name="solver_rel185" localSheetId="57" hidden="1">3</definedName>
    <definedName name="solver_rel186" localSheetId="57" hidden="1">2</definedName>
    <definedName name="solver_rel187" localSheetId="57" hidden="1">1</definedName>
    <definedName name="solver_rel188" localSheetId="57" hidden="1">3</definedName>
    <definedName name="solver_rel189" localSheetId="57" hidden="1">2</definedName>
    <definedName name="solver_rel19" localSheetId="57" hidden="1">1</definedName>
    <definedName name="solver_rel190" localSheetId="57" hidden="1">1</definedName>
    <definedName name="solver_rel191" localSheetId="57" hidden="1">3</definedName>
    <definedName name="solver_rel192" localSheetId="57" hidden="1">2</definedName>
    <definedName name="solver_rel193" localSheetId="57" hidden="1">1</definedName>
    <definedName name="solver_rel194" localSheetId="57" hidden="1">3</definedName>
    <definedName name="solver_rel195" localSheetId="57" hidden="1">2</definedName>
    <definedName name="solver_rel196" localSheetId="57" hidden="1">1</definedName>
    <definedName name="solver_rel197" localSheetId="57" hidden="1">3</definedName>
    <definedName name="solver_rel198" localSheetId="57" hidden="1">2</definedName>
    <definedName name="solver_rel199" localSheetId="57" hidden="1">1</definedName>
    <definedName name="solver_rel2" localSheetId="70" hidden="1">3</definedName>
    <definedName name="solver_rel2" localSheetId="21" hidden="1">1</definedName>
    <definedName name="solver_rel2" localSheetId="33" hidden="1">3</definedName>
    <definedName name="solver_rel2" localSheetId="18" hidden="1">3</definedName>
    <definedName name="solver_rel2" localSheetId="32" hidden="1">3</definedName>
    <definedName name="solver_rel2" localSheetId="6" hidden="1">3</definedName>
    <definedName name="solver_rel2" localSheetId="5" hidden="1">3</definedName>
    <definedName name="solver_rel2" localSheetId="45" hidden="1">3</definedName>
    <definedName name="solver_rel2" localSheetId="19" hidden="1">3</definedName>
    <definedName name="solver_rel2" localSheetId="20" hidden="1">1</definedName>
    <definedName name="solver_rel2" localSheetId="41" hidden="1">3</definedName>
    <definedName name="solver_rel2" localSheetId="38" hidden="1">3</definedName>
    <definedName name="solver_rel2" localSheetId="40" hidden="1">3</definedName>
    <definedName name="solver_rel2" localSheetId="23" hidden="1">3</definedName>
    <definedName name="solver_rel2" localSheetId="24" hidden="1">3</definedName>
    <definedName name="solver_rel2" localSheetId="50" hidden="1">3</definedName>
    <definedName name="solver_rel2" localSheetId="30" hidden="1">3</definedName>
    <definedName name="solver_rel2" localSheetId="9" hidden="1">3</definedName>
    <definedName name="solver_rel2" localSheetId="10" hidden="1">3</definedName>
    <definedName name="solver_rel2" localSheetId="8" hidden="1">3</definedName>
    <definedName name="solver_rel2" localSheetId="22" hidden="1">3</definedName>
    <definedName name="solver_rel2" localSheetId="26" hidden="1">3</definedName>
    <definedName name="solver_rel2" localSheetId="42" hidden="1">3</definedName>
    <definedName name="solver_rel2" localSheetId="44" hidden="1">3</definedName>
    <definedName name="solver_rel2" localSheetId="69" hidden="1">3</definedName>
    <definedName name="solver_rel2" localSheetId="29" hidden="1">3</definedName>
    <definedName name="solver_rel2" localSheetId="25" hidden="1">3</definedName>
    <definedName name="solver_rel2" localSheetId="46" hidden="1">3</definedName>
    <definedName name="solver_rel2" localSheetId="47" hidden="1">3</definedName>
    <definedName name="solver_rel2" localSheetId="35" hidden="1">3</definedName>
    <definedName name="solver_rel2" localSheetId="16" hidden="1">3</definedName>
    <definedName name="solver_rel2" localSheetId="17" hidden="1">3</definedName>
    <definedName name="solver_rel2" localSheetId="15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51" hidden="1">3</definedName>
    <definedName name="solver_rel2" localSheetId="63" hidden="1">1</definedName>
    <definedName name="solver_rel2" localSheetId="64" hidden="1">5</definedName>
    <definedName name="solver_rel2" localSheetId="65" hidden="1">1</definedName>
    <definedName name="solver_rel2" localSheetId="68" hidden="1">1</definedName>
    <definedName name="solver_rel2" localSheetId="62" hidden="1">5</definedName>
    <definedName name="solver_rel2" localSheetId="61" hidden="1">3</definedName>
    <definedName name="solver_rel2" localSheetId="57" hidden="1">1</definedName>
    <definedName name="solver_rel2" localSheetId="60" hidden="1">4</definedName>
    <definedName name="solver_rel2" localSheetId="58" hidden="1">3</definedName>
    <definedName name="solver_rel2" localSheetId="59" hidden="1">3</definedName>
    <definedName name="solver_rel2" localSheetId="56" hidden="1">3</definedName>
    <definedName name="solver_rel2" localSheetId="48" hidden="1">3</definedName>
    <definedName name="solver_rel2" localSheetId="4" hidden="1">3</definedName>
    <definedName name="solver_rel2" localSheetId="36" hidden="1">3</definedName>
    <definedName name="solver_rel2" localSheetId="37" hidden="1">3</definedName>
    <definedName name="solver_rel2" localSheetId="28" hidden="1">3</definedName>
    <definedName name="solver_rel2" localSheetId="52" hidden="1">3</definedName>
    <definedName name="solver_rel2" localSheetId="34" hidden="1">3</definedName>
    <definedName name="solver_rel2" localSheetId="1" hidden="1">3</definedName>
    <definedName name="solver_rel2" localSheetId="49" hidden="1">3</definedName>
    <definedName name="solver_rel2" localSheetId="54" hidden="1">3</definedName>
    <definedName name="solver_rel2" localSheetId="55" hidden="1">2</definedName>
    <definedName name="solver_rel2" localSheetId="3" hidden="1">5</definedName>
    <definedName name="solver_rel2" localSheetId="2" hidden="1">3</definedName>
    <definedName name="solver_rel2" localSheetId="31" hidden="1">3</definedName>
    <definedName name="solver_rel2" localSheetId="53" hidden="1">3</definedName>
    <definedName name="solver_rel2" localSheetId="11" hidden="1">3</definedName>
    <definedName name="solver_rel2" localSheetId="7" hidden="1">3</definedName>
    <definedName name="solver_rel2" localSheetId="27" hidden="1">3</definedName>
    <definedName name="solver_rel2" localSheetId="43" hidden="1">1</definedName>
    <definedName name="solver_rel2" localSheetId="39" hidden="1">3</definedName>
    <definedName name="solver_rel20" localSheetId="57" hidden="1">3</definedName>
    <definedName name="solver_rel200" localSheetId="57" hidden="1">3</definedName>
    <definedName name="solver_rel201" localSheetId="57" hidden="1">2</definedName>
    <definedName name="solver_rel202" localSheetId="57" hidden="1">1</definedName>
    <definedName name="solver_rel203" localSheetId="57" hidden="1">3</definedName>
    <definedName name="solver_rel204" localSheetId="57" hidden="1">2</definedName>
    <definedName name="solver_rel205" localSheetId="57" hidden="1">1</definedName>
    <definedName name="solver_rel206" localSheetId="57" hidden="1">3</definedName>
    <definedName name="solver_rel207" localSheetId="57" hidden="1">2</definedName>
    <definedName name="solver_rel208" localSheetId="57" hidden="1">1</definedName>
    <definedName name="solver_rel209" localSheetId="57" hidden="1">3</definedName>
    <definedName name="solver_rel21" localSheetId="57" hidden="1">2</definedName>
    <definedName name="solver_rel210" localSheetId="57" hidden="1">2</definedName>
    <definedName name="solver_rel211" localSheetId="57" hidden="1">1</definedName>
    <definedName name="solver_rel212" localSheetId="57" hidden="1">3</definedName>
    <definedName name="solver_rel213" localSheetId="57" hidden="1">2</definedName>
    <definedName name="solver_rel214" localSheetId="57" hidden="1">1</definedName>
    <definedName name="solver_rel215" localSheetId="57" hidden="1">3</definedName>
    <definedName name="solver_rel216" localSheetId="57" hidden="1">2</definedName>
    <definedName name="solver_rel217" localSheetId="57" hidden="1">1</definedName>
    <definedName name="solver_rel218" localSheetId="57" hidden="1">3</definedName>
    <definedName name="solver_rel219" localSheetId="57" hidden="1">2</definedName>
    <definedName name="solver_rel22" localSheetId="57" hidden="1">1</definedName>
    <definedName name="solver_rel220" localSheetId="57" hidden="1">1</definedName>
    <definedName name="solver_rel221" localSheetId="57" hidden="1">3</definedName>
    <definedName name="solver_rel222" localSheetId="57" hidden="1">2</definedName>
    <definedName name="solver_rel223" localSheetId="57" hidden="1">1</definedName>
    <definedName name="solver_rel224" localSheetId="57" hidden="1">3</definedName>
    <definedName name="solver_rel225" localSheetId="57" hidden="1">2</definedName>
    <definedName name="solver_rel226" localSheetId="57" hidden="1">1</definedName>
    <definedName name="solver_rel227" localSheetId="57" hidden="1">3</definedName>
    <definedName name="solver_rel228" localSheetId="57" hidden="1">2</definedName>
    <definedName name="solver_rel229" localSheetId="57" hidden="1">1</definedName>
    <definedName name="solver_rel23" localSheetId="57" hidden="1">3</definedName>
    <definedName name="solver_rel230" localSheetId="57" hidden="1">3</definedName>
    <definedName name="solver_rel231" localSheetId="57" hidden="1">2</definedName>
    <definedName name="solver_rel232" localSheetId="57" hidden="1">1</definedName>
    <definedName name="solver_rel233" localSheetId="57" hidden="1">3</definedName>
    <definedName name="solver_rel234" localSheetId="57" hidden="1">2</definedName>
    <definedName name="solver_rel235" localSheetId="57" hidden="1">1</definedName>
    <definedName name="solver_rel236" localSheetId="57" hidden="1">3</definedName>
    <definedName name="solver_rel237" localSheetId="57" hidden="1">2</definedName>
    <definedName name="solver_rel238" localSheetId="57" hidden="1">1</definedName>
    <definedName name="solver_rel239" localSheetId="57" hidden="1">3</definedName>
    <definedName name="solver_rel24" localSheetId="57" hidden="1">2</definedName>
    <definedName name="solver_rel240" localSheetId="57" hidden="1">2</definedName>
    <definedName name="solver_rel241" localSheetId="57" hidden="1">1</definedName>
    <definedName name="solver_rel242" localSheetId="57" hidden="1">3</definedName>
    <definedName name="solver_rel243" localSheetId="57" hidden="1">2</definedName>
    <definedName name="solver_rel244" localSheetId="57" hidden="1">1</definedName>
    <definedName name="solver_rel245" localSheetId="57" hidden="1">3</definedName>
    <definedName name="solver_rel246" localSheetId="57" hidden="1">2</definedName>
    <definedName name="solver_rel247" localSheetId="57" hidden="1">1</definedName>
    <definedName name="solver_rel248" localSheetId="57" hidden="1">3</definedName>
    <definedName name="solver_rel249" localSheetId="57" hidden="1">2</definedName>
    <definedName name="solver_rel25" localSheetId="57" hidden="1">1</definedName>
    <definedName name="solver_rel250" localSheetId="57" hidden="1">1</definedName>
    <definedName name="solver_rel251" localSheetId="57" hidden="1">3</definedName>
    <definedName name="solver_rel252" localSheetId="57" hidden="1">2</definedName>
    <definedName name="solver_rel253" localSheetId="57" hidden="1">1</definedName>
    <definedName name="solver_rel254" localSheetId="57" hidden="1">3</definedName>
    <definedName name="solver_rel255" localSheetId="57" hidden="1">2</definedName>
    <definedName name="solver_rel256" localSheetId="57" hidden="1">1</definedName>
    <definedName name="solver_rel257" localSheetId="57" hidden="1">3</definedName>
    <definedName name="solver_rel258" localSheetId="57" hidden="1">2</definedName>
    <definedName name="solver_rel259" localSheetId="57" hidden="1">1</definedName>
    <definedName name="solver_rel26" localSheetId="57" hidden="1">3</definedName>
    <definedName name="solver_rel260" localSheetId="57" hidden="1">3</definedName>
    <definedName name="solver_rel261" localSheetId="57" hidden="1">2</definedName>
    <definedName name="solver_rel262" localSheetId="57" hidden="1">1</definedName>
    <definedName name="solver_rel263" localSheetId="57" hidden="1">3</definedName>
    <definedName name="solver_rel264" localSheetId="57" hidden="1">2</definedName>
    <definedName name="solver_rel265" localSheetId="57" hidden="1">1</definedName>
    <definedName name="solver_rel266" localSheetId="57" hidden="1">3</definedName>
    <definedName name="solver_rel267" localSheetId="57" hidden="1">2</definedName>
    <definedName name="solver_rel268" localSheetId="57" hidden="1">1</definedName>
    <definedName name="solver_rel269" localSheetId="57" hidden="1">3</definedName>
    <definedName name="solver_rel27" localSheetId="57" hidden="1">2</definedName>
    <definedName name="solver_rel270" localSheetId="57" hidden="1">2</definedName>
    <definedName name="solver_rel271" localSheetId="57" hidden="1">1</definedName>
    <definedName name="solver_rel272" localSheetId="57" hidden="1">3</definedName>
    <definedName name="solver_rel273" localSheetId="57" hidden="1">2</definedName>
    <definedName name="solver_rel274" localSheetId="57" hidden="1">1</definedName>
    <definedName name="solver_rel275" localSheetId="57" hidden="1">3</definedName>
    <definedName name="solver_rel276" localSheetId="57" hidden="1">2</definedName>
    <definedName name="solver_rel277" localSheetId="57" hidden="1">1</definedName>
    <definedName name="solver_rel278" localSheetId="57" hidden="1">3</definedName>
    <definedName name="solver_rel279" localSheetId="57" hidden="1">2</definedName>
    <definedName name="solver_rel28" localSheetId="57" hidden="1">1</definedName>
    <definedName name="solver_rel280" localSheetId="57" hidden="1">1</definedName>
    <definedName name="solver_rel281" localSheetId="57" hidden="1">3</definedName>
    <definedName name="solver_rel282" localSheetId="57" hidden="1">2</definedName>
    <definedName name="solver_rel283" localSheetId="57" hidden="1">1</definedName>
    <definedName name="solver_rel284" localSheetId="57" hidden="1">3</definedName>
    <definedName name="solver_rel285" localSheetId="57" hidden="1">2</definedName>
    <definedName name="solver_rel286" localSheetId="57" hidden="1">1</definedName>
    <definedName name="solver_rel287" localSheetId="57" hidden="1">3</definedName>
    <definedName name="solver_rel288" localSheetId="57" hidden="1">2</definedName>
    <definedName name="solver_rel289" localSheetId="57" hidden="1">1</definedName>
    <definedName name="solver_rel29" localSheetId="57" hidden="1">3</definedName>
    <definedName name="solver_rel290" localSheetId="57" hidden="1">3</definedName>
    <definedName name="solver_rel291" localSheetId="57" hidden="1">2</definedName>
    <definedName name="solver_rel292" localSheetId="57" hidden="1">1</definedName>
    <definedName name="solver_rel293" localSheetId="57" hidden="1">3</definedName>
    <definedName name="solver_rel294" localSheetId="57" hidden="1">2</definedName>
    <definedName name="solver_rel295" localSheetId="57" hidden="1">1</definedName>
    <definedName name="solver_rel296" localSheetId="57" hidden="1">3</definedName>
    <definedName name="solver_rel297" localSheetId="57" hidden="1">2</definedName>
    <definedName name="solver_rel298" localSheetId="57" hidden="1">1</definedName>
    <definedName name="solver_rel299" localSheetId="57" hidden="1">3</definedName>
    <definedName name="solver_rel3" localSheetId="70" hidden="1">3</definedName>
    <definedName name="solver_rel3" localSheetId="21" hidden="1">3</definedName>
    <definedName name="solver_rel3" localSheetId="33" hidden="1">5</definedName>
    <definedName name="solver_rel3" localSheetId="18" hidden="1">1</definedName>
    <definedName name="solver_rel3" localSheetId="32" hidden="1">5</definedName>
    <definedName name="solver_rel3" localSheetId="6" hidden="1">2</definedName>
    <definedName name="solver_rel3" localSheetId="5" hidden="1">2</definedName>
    <definedName name="solver_rel3" localSheetId="45" hidden="1">1</definedName>
    <definedName name="solver_rel3" localSheetId="19" hidden="1">1</definedName>
    <definedName name="solver_rel3" localSheetId="20" hidden="1">1</definedName>
    <definedName name="solver_rel3" localSheetId="41" hidden="1">3</definedName>
    <definedName name="solver_rel3" localSheetId="38" hidden="1">3</definedName>
    <definedName name="solver_rel3" localSheetId="40" hidden="1">3</definedName>
    <definedName name="solver_rel3" localSheetId="23" hidden="1">1</definedName>
    <definedName name="solver_rel3" localSheetId="24" hidden="1">1</definedName>
    <definedName name="solver_rel3" localSheetId="50" hidden="1">1</definedName>
    <definedName name="solver_rel3" localSheetId="30" hidden="1">3</definedName>
    <definedName name="solver_rel3" localSheetId="9" hidden="1">2</definedName>
    <definedName name="solver_rel3" localSheetId="10" hidden="1">2</definedName>
    <definedName name="solver_rel3" localSheetId="8" hidden="1">2</definedName>
    <definedName name="solver_rel3" localSheetId="22" hidden="1">2</definedName>
    <definedName name="solver_rel3" localSheetId="26" hidden="1">3</definedName>
    <definedName name="solver_rel3" localSheetId="42" hidden="1">3</definedName>
    <definedName name="solver_rel3" localSheetId="44" hidden="1">1</definedName>
    <definedName name="solver_rel3" localSheetId="69" hidden="1">2</definedName>
    <definedName name="solver_rel3" localSheetId="29" hidden="1">2</definedName>
    <definedName name="solver_rel3" localSheetId="25" hidden="1">2</definedName>
    <definedName name="solver_rel3" localSheetId="46" hidden="1">1</definedName>
    <definedName name="solver_rel3" localSheetId="47" hidden="1">2</definedName>
    <definedName name="solver_rel3" localSheetId="35" hidden="1">3</definedName>
    <definedName name="solver_rel3" localSheetId="16" hidden="1">2</definedName>
    <definedName name="solver_rel3" localSheetId="17" hidden="1">2</definedName>
    <definedName name="solver_rel3" localSheetId="15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51" hidden="1">1</definedName>
    <definedName name="solver_rel3" localSheetId="63" hidden="1">3</definedName>
    <definedName name="solver_rel3" localSheetId="68" hidden="1">3</definedName>
    <definedName name="solver_rel3" localSheetId="57" hidden="1">2</definedName>
    <definedName name="solver_rel3" localSheetId="58" hidden="1">2</definedName>
    <definedName name="solver_rel3" localSheetId="59" hidden="1">1</definedName>
    <definedName name="solver_rel3" localSheetId="56" hidden="1">2</definedName>
    <definedName name="solver_rel3" localSheetId="48" hidden="1">2</definedName>
    <definedName name="solver_rel3" localSheetId="4" hidden="1">2</definedName>
    <definedName name="solver_rel3" localSheetId="36" hidden="1">3</definedName>
    <definedName name="solver_rel3" localSheetId="37" hidden="1">3</definedName>
    <definedName name="solver_rel3" localSheetId="28" hidden="1">2</definedName>
    <definedName name="solver_rel3" localSheetId="52" hidden="1">3</definedName>
    <definedName name="solver_rel3" localSheetId="34" hidden="1">5</definedName>
    <definedName name="solver_rel3" localSheetId="1" hidden="1">2</definedName>
    <definedName name="solver_rel3" localSheetId="49" hidden="1">1</definedName>
    <definedName name="solver_rel3" localSheetId="54" hidden="1">1</definedName>
    <definedName name="solver_rel3" localSheetId="55" hidden="1">2</definedName>
    <definedName name="solver_rel3" localSheetId="3" hidden="1">2</definedName>
    <definedName name="solver_rel3" localSheetId="2" hidden="1">2</definedName>
    <definedName name="solver_rel3" localSheetId="31" hidden="1">3</definedName>
    <definedName name="solver_rel3" localSheetId="53" hidden="1">2</definedName>
    <definedName name="solver_rel3" localSheetId="11" hidden="1">2</definedName>
    <definedName name="solver_rel3" localSheetId="7" hidden="1">2</definedName>
    <definedName name="solver_rel3" localSheetId="27" hidden="1">2</definedName>
    <definedName name="solver_rel3" localSheetId="43" hidden="1">3</definedName>
    <definedName name="solver_rel3" localSheetId="39" hidden="1">3</definedName>
    <definedName name="solver_rel30" localSheetId="57" hidden="1">2</definedName>
    <definedName name="solver_rel300" localSheetId="57" hidden="1">2</definedName>
    <definedName name="solver_rel31" localSheetId="57" hidden="1">1</definedName>
    <definedName name="solver_rel32" localSheetId="57" hidden="1">3</definedName>
    <definedName name="solver_rel33" localSheetId="57" hidden="1">2</definedName>
    <definedName name="solver_rel34" localSheetId="57" hidden="1">1</definedName>
    <definedName name="solver_rel35" localSheetId="57" hidden="1">3</definedName>
    <definedName name="solver_rel36" localSheetId="57" hidden="1">2</definedName>
    <definedName name="solver_rel37" localSheetId="57" hidden="1">1</definedName>
    <definedName name="solver_rel38" localSheetId="57" hidden="1">3</definedName>
    <definedName name="solver_rel39" localSheetId="57" hidden="1">2</definedName>
    <definedName name="solver_rel4" localSheetId="70" hidden="1">3</definedName>
    <definedName name="solver_rel4" localSheetId="21" hidden="1">2</definedName>
    <definedName name="solver_rel4" localSheetId="33" hidden="1">4</definedName>
    <definedName name="solver_rel4" localSheetId="18" hidden="1">5</definedName>
    <definedName name="solver_rel4" localSheetId="32" hidden="1">3</definedName>
    <definedName name="solver_rel4" localSheetId="6" hidden="1">2</definedName>
    <definedName name="solver_rel4" localSheetId="5" hidden="1">2</definedName>
    <definedName name="solver_rel4" localSheetId="45" hidden="1">5</definedName>
    <definedName name="solver_rel4" localSheetId="19" hidden="1">5</definedName>
    <definedName name="solver_rel4" localSheetId="20" hidden="1">5</definedName>
    <definedName name="solver_rel4" localSheetId="41" hidden="1">3</definedName>
    <definedName name="solver_rel4" localSheetId="38" hidden="1">3</definedName>
    <definedName name="solver_rel4" localSheetId="40" hidden="1">3</definedName>
    <definedName name="solver_rel4" localSheetId="23" hidden="1">1</definedName>
    <definedName name="solver_rel4" localSheetId="24" hidden="1">2</definedName>
    <definedName name="solver_rel4" localSheetId="50" hidden="1">1</definedName>
    <definedName name="solver_rel4" localSheetId="30" hidden="1">3</definedName>
    <definedName name="solver_rel4" localSheetId="9" hidden="1">2</definedName>
    <definedName name="solver_rel4" localSheetId="10" hidden="1">2</definedName>
    <definedName name="solver_rel4" localSheetId="8" hidden="1">2</definedName>
    <definedName name="solver_rel4" localSheetId="22" hidden="1">2</definedName>
    <definedName name="solver_rel4" localSheetId="26" hidden="1">3</definedName>
    <definedName name="solver_rel4" localSheetId="42" hidden="1">3</definedName>
    <definedName name="solver_rel4" localSheetId="44" hidden="1">1</definedName>
    <definedName name="solver_rel4" localSheetId="69" hidden="1">1</definedName>
    <definedName name="solver_rel4" localSheetId="29" hidden="1">3</definedName>
    <definedName name="solver_rel4" localSheetId="25" hidden="1">2</definedName>
    <definedName name="solver_rel4" localSheetId="46" hidden="1">1</definedName>
    <definedName name="solver_rel4" localSheetId="47" hidden="1">2</definedName>
    <definedName name="solver_rel4" localSheetId="35" hidden="1">3</definedName>
    <definedName name="solver_rel4" localSheetId="16" hidden="1">2</definedName>
    <definedName name="solver_rel4" localSheetId="17" hidden="1">2</definedName>
    <definedName name="solver_rel4" localSheetId="15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51" hidden="1">2</definedName>
    <definedName name="solver_rel4" localSheetId="63" hidden="1">1</definedName>
    <definedName name="solver_rel4" localSheetId="68" hidden="1">1</definedName>
    <definedName name="solver_rel4" localSheetId="57" hidden="1">2</definedName>
    <definedName name="solver_rel4" localSheetId="59" hidden="1">3</definedName>
    <definedName name="solver_rel4" localSheetId="48" hidden="1">2</definedName>
    <definedName name="solver_rel4" localSheetId="4" hidden="1">1</definedName>
    <definedName name="solver_rel4" localSheetId="36" hidden="1">3</definedName>
    <definedName name="solver_rel4" localSheetId="37" hidden="1">3</definedName>
    <definedName name="solver_rel4" localSheetId="28" hidden="1">2</definedName>
    <definedName name="solver_rel4" localSheetId="52" hidden="1">4</definedName>
    <definedName name="solver_rel4" localSheetId="34" hidden="1">4</definedName>
    <definedName name="solver_rel4" localSheetId="49" hidden="1">1</definedName>
    <definedName name="solver_rel4" localSheetId="54" hidden="1">2</definedName>
    <definedName name="solver_rel4" localSheetId="55" hidden="1">3</definedName>
    <definedName name="solver_rel4" localSheetId="3" hidden="1">1</definedName>
    <definedName name="solver_rel4" localSheetId="2" hidden="1">1</definedName>
    <definedName name="solver_rel4" localSheetId="31" hidden="1">3</definedName>
    <definedName name="solver_rel4" localSheetId="53" hidden="1">2</definedName>
    <definedName name="solver_rel4" localSheetId="11" hidden="1">2</definedName>
    <definedName name="solver_rel4" localSheetId="7" hidden="1">2</definedName>
    <definedName name="solver_rel4" localSheetId="27" hidden="1">1</definedName>
    <definedName name="solver_rel4" localSheetId="43" hidden="1">3</definedName>
    <definedName name="solver_rel4" localSheetId="39" hidden="1">3</definedName>
    <definedName name="solver_rel40" localSheetId="57" hidden="1">1</definedName>
    <definedName name="solver_rel41" localSheetId="57" hidden="1">3</definedName>
    <definedName name="solver_rel42" localSheetId="57" hidden="1">2</definedName>
    <definedName name="solver_rel43" localSheetId="57" hidden="1">1</definedName>
    <definedName name="solver_rel44" localSheetId="57" hidden="1">3</definedName>
    <definedName name="solver_rel45" localSheetId="57" hidden="1">2</definedName>
    <definedName name="solver_rel46" localSheetId="57" hidden="1">1</definedName>
    <definedName name="solver_rel47" localSheetId="57" hidden="1">3</definedName>
    <definedName name="solver_rel48" localSheetId="57" hidden="1">2</definedName>
    <definedName name="solver_rel49" localSheetId="57" hidden="1">1</definedName>
    <definedName name="solver_rel5" localSheetId="70" hidden="1">4</definedName>
    <definedName name="solver_rel5" localSheetId="21" hidden="1">1</definedName>
    <definedName name="solver_rel5" localSheetId="33" hidden="1">3</definedName>
    <definedName name="solver_rel5" localSheetId="18" hidden="1">4</definedName>
    <definedName name="solver_rel5" localSheetId="32" hidden="1">3</definedName>
    <definedName name="solver_rel5" localSheetId="6" hidden="1">1</definedName>
    <definedName name="solver_rel5" localSheetId="5" hidden="1">1</definedName>
    <definedName name="solver_rel5" localSheetId="45" hidden="1">4</definedName>
    <definedName name="solver_rel5" localSheetId="19" hidden="1">4</definedName>
    <definedName name="solver_rel5" localSheetId="20" hidden="1">4</definedName>
    <definedName name="solver_rel5" localSheetId="41" hidden="1">1</definedName>
    <definedName name="solver_rel5" localSheetId="38" hidden="1">1</definedName>
    <definedName name="solver_rel5" localSheetId="40" hidden="1">1</definedName>
    <definedName name="solver_rel5" localSheetId="23" hidden="1">1</definedName>
    <definedName name="solver_rel5" localSheetId="24" hidden="1">1</definedName>
    <definedName name="solver_rel5" localSheetId="30" hidden="1">1</definedName>
    <definedName name="solver_rel5" localSheetId="9" hidden="1">1</definedName>
    <definedName name="solver_rel5" localSheetId="10" hidden="1">1</definedName>
    <definedName name="solver_rel5" localSheetId="8" hidden="1">1</definedName>
    <definedName name="solver_rel5" localSheetId="22" hidden="1">1</definedName>
    <definedName name="solver_rel5" localSheetId="26" hidden="1">1</definedName>
    <definedName name="solver_rel5" localSheetId="42" hidden="1">1</definedName>
    <definedName name="solver_rel5" localSheetId="69" hidden="1">1</definedName>
    <definedName name="solver_rel5" localSheetId="29" hidden="1">1</definedName>
    <definedName name="solver_rel5" localSheetId="25" hidden="1">1</definedName>
    <definedName name="solver_rel5" localSheetId="46" hidden="1">1</definedName>
    <definedName name="solver_rel5" localSheetId="47" hidden="1">1</definedName>
    <definedName name="solver_rel5" localSheetId="35" hidden="1">1</definedName>
    <definedName name="solver_rel5" localSheetId="16" hidden="1">1</definedName>
    <definedName name="solver_rel5" localSheetId="17" hidden="1">1</definedName>
    <definedName name="solver_rel5" localSheetId="15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63" hidden="1">4</definedName>
    <definedName name="solver_rel5" localSheetId="57" hidden="1">3</definedName>
    <definedName name="solver_rel5" localSheetId="59" hidden="1">1</definedName>
    <definedName name="solver_rel5" localSheetId="48" hidden="1">1</definedName>
    <definedName name="solver_rel5" localSheetId="4" hidden="1">3</definedName>
    <definedName name="solver_rel5" localSheetId="36" hidden="1">1</definedName>
    <definedName name="solver_rel5" localSheetId="37" hidden="1">1</definedName>
    <definedName name="solver_rel5" localSheetId="28" hidden="1">1</definedName>
    <definedName name="solver_rel5" localSheetId="52" hidden="1">2</definedName>
    <definedName name="solver_rel5" localSheetId="34" hidden="1">5</definedName>
    <definedName name="solver_rel5" localSheetId="3" hidden="1">3</definedName>
    <definedName name="solver_rel5" localSheetId="2" hidden="1">3</definedName>
    <definedName name="solver_rel5" localSheetId="31" hidden="1">1</definedName>
    <definedName name="solver_rel5" localSheetId="11" hidden="1">1</definedName>
    <definedName name="solver_rel5" localSheetId="7" hidden="1">1</definedName>
    <definedName name="solver_rel5" localSheetId="27" hidden="1">3</definedName>
    <definedName name="solver_rel5" localSheetId="43" hidden="1">1</definedName>
    <definedName name="solver_rel5" localSheetId="39" hidden="1">1</definedName>
    <definedName name="solver_rel50" localSheetId="57" hidden="1">3</definedName>
    <definedName name="solver_rel51" localSheetId="57" hidden="1">2</definedName>
    <definedName name="solver_rel52" localSheetId="57" hidden="1">1</definedName>
    <definedName name="solver_rel53" localSheetId="57" hidden="1">3</definedName>
    <definedName name="solver_rel54" localSheetId="57" hidden="1">2</definedName>
    <definedName name="solver_rel55" localSheetId="57" hidden="1">1</definedName>
    <definedName name="solver_rel56" localSheetId="57" hidden="1">3</definedName>
    <definedName name="solver_rel57" localSheetId="57" hidden="1">2</definedName>
    <definedName name="solver_rel58" localSheetId="57" hidden="1">1</definedName>
    <definedName name="solver_rel59" localSheetId="57" hidden="1">3</definedName>
    <definedName name="solver_rel6" localSheetId="70" hidden="1">4</definedName>
    <definedName name="solver_rel6" localSheetId="21" hidden="1">5</definedName>
    <definedName name="solver_rel6" localSheetId="33" hidden="1">3</definedName>
    <definedName name="solver_rel6" localSheetId="18" hidden="1">1</definedName>
    <definedName name="solver_rel6" localSheetId="32" hidden="1">5</definedName>
    <definedName name="solver_rel6" localSheetId="6" hidden="1">5</definedName>
    <definedName name="solver_rel6" localSheetId="5" hidden="1">5</definedName>
    <definedName name="solver_rel6" localSheetId="45" hidden="1">1</definedName>
    <definedName name="solver_rel6" localSheetId="19" hidden="1">1</definedName>
    <definedName name="solver_rel6" localSheetId="20" hidden="1">1</definedName>
    <definedName name="solver_rel6" localSheetId="41" hidden="1">3</definedName>
    <definedName name="solver_rel6" localSheetId="38" hidden="1">3</definedName>
    <definedName name="solver_rel6" localSheetId="40" hidden="1">3</definedName>
    <definedName name="solver_rel6" localSheetId="23" hidden="1">5</definedName>
    <definedName name="solver_rel6" localSheetId="24" hidden="1">5</definedName>
    <definedName name="solver_rel6" localSheetId="30" hidden="1">3</definedName>
    <definedName name="solver_rel6" localSheetId="9" hidden="1">5</definedName>
    <definedName name="solver_rel6" localSheetId="10" hidden="1">5</definedName>
    <definedName name="solver_rel6" localSheetId="8" hidden="1">5</definedName>
    <definedName name="solver_rel6" localSheetId="22" hidden="1">5</definedName>
    <definedName name="solver_rel6" localSheetId="26" hidden="1">5</definedName>
    <definedName name="solver_rel6" localSheetId="42" hidden="1">3</definedName>
    <definedName name="solver_rel6" localSheetId="69" hidden="1">3</definedName>
    <definedName name="solver_rel6" localSheetId="29" hidden="1">3</definedName>
    <definedName name="solver_rel6" localSheetId="25" hidden="1">5</definedName>
    <definedName name="solver_rel6" localSheetId="46" hidden="1">5</definedName>
    <definedName name="solver_rel6" localSheetId="47" hidden="1">5</definedName>
    <definedName name="solver_rel6" localSheetId="35" hidden="1">3</definedName>
    <definedName name="solver_rel6" localSheetId="16" hidden="1">5</definedName>
    <definedName name="solver_rel6" localSheetId="17" hidden="1">5</definedName>
    <definedName name="solver_rel6" localSheetId="15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57" hidden="1">3</definedName>
    <definedName name="solver_rel6" localSheetId="59" hidden="1">1</definedName>
    <definedName name="solver_rel6" localSheetId="48" hidden="1">5</definedName>
    <definedName name="solver_rel6" localSheetId="4" hidden="1">2</definedName>
    <definedName name="solver_rel6" localSheetId="36" hidden="1">3</definedName>
    <definedName name="solver_rel6" localSheetId="37" hidden="1">3</definedName>
    <definedName name="solver_rel6" localSheetId="28" hidden="1">5</definedName>
    <definedName name="solver_rel6" localSheetId="52" hidden="1">5</definedName>
    <definedName name="solver_rel6" localSheetId="34" hidden="1">4</definedName>
    <definedName name="solver_rel6" localSheetId="3" hidden="1">2</definedName>
    <definedName name="solver_rel6" localSheetId="2" hidden="1">2</definedName>
    <definedName name="solver_rel6" localSheetId="31" hidden="1">3</definedName>
    <definedName name="solver_rel6" localSheetId="11" hidden="1">5</definedName>
    <definedName name="solver_rel6" localSheetId="7" hidden="1">5</definedName>
    <definedName name="solver_rel6" localSheetId="27" hidden="1">2</definedName>
    <definedName name="solver_rel6" localSheetId="43" hidden="1">3</definedName>
    <definedName name="solver_rel6" localSheetId="39" hidden="1">3</definedName>
    <definedName name="solver_rel60" localSheetId="57" hidden="1">2</definedName>
    <definedName name="solver_rel61" localSheetId="57" hidden="1">1</definedName>
    <definedName name="solver_rel62" localSheetId="57" hidden="1">3</definedName>
    <definedName name="solver_rel63" localSheetId="57" hidden="1">2</definedName>
    <definedName name="solver_rel64" localSheetId="57" hidden="1">1</definedName>
    <definedName name="solver_rel65" localSheetId="57" hidden="1">3</definedName>
    <definedName name="solver_rel66" localSheetId="57" hidden="1">2</definedName>
    <definedName name="solver_rel67" localSheetId="57" hidden="1">1</definedName>
    <definedName name="solver_rel68" localSheetId="57" hidden="1">3</definedName>
    <definedName name="solver_rel69" localSheetId="57" hidden="1">2</definedName>
    <definedName name="solver_rel7" localSheetId="70" hidden="1">4</definedName>
    <definedName name="solver_rel7" localSheetId="21" hidden="1">4</definedName>
    <definedName name="solver_rel7" localSheetId="33" hidden="1">4</definedName>
    <definedName name="solver_rel7" localSheetId="18" hidden="1">4</definedName>
    <definedName name="solver_rel7" localSheetId="32" hidden="1">4</definedName>
    <definedName name="solver_rel7" localSheetId="6" hidden="1">4</definedName>
    <definedName name="solver_rel7" localSheetId="5" hidden="1">4</definedName>
    <definedName name="solver_rel7" localSheetId="45" hidden="1">3</definedName>
    <definedName name="solver_rel7" localSheetId="19" hidden="1">3</definedName>
    <definedName name="solver_rel7" localSheetId="20" hidden="1">3</definedName>
    <definedName name="solver_rel7" localSheetId="41" hidden="1">4</definedName>
    <definedName name="solver_rel7" localSheetId="38" hidden="1">4</definedName>
    <definedName name="solver_rel7" localSheetId="40" hidden="1">4</definedName>
    <definedName name="solver_rel7" localSheetId="23" hidden="1">4</definedName>
    <definedName name="solver_rel7" localSheetId="24" hidden="1">4</definedName>
    <definedName name="solver_rel7" localSheetId="30" hidden="1">4</definedName>
    <definedName name="solver_rel7" localSheetId="9" hidden="1">4</definedName>
    <definedName name="solver_rel7" localSheetId="10" hidden="1">4</definedName>
    <definedName name="solver_rel7" localSheetId="8" hidden="1">4</definedName>
    <definedName name="solver_rel7" localSheetId="22" hidden="1">4</definedName>
    <definedName name="solver_rel7" localSheetId="26" hidden="1">4</definedName>
    <definedName name="solver_rel7" localSheetId="42" hidden="1">4</definedName>
    <definedName name="solver_rel7" localSheetId="69" hidden="1">3</definedName>
    <definedName name="solver_rel7" localSheetId="29" hidden="1">4</definedName>
    <definedName name="solver_rel7" localSheetId="25" hidden="1">4</definedName>
    <definedName name="solver_rel7" localSheetId="46" hidden="1">4</definedName>
    <definedName name="solver_rel7" localSheetId="47" hidden="1">4</definedName>
    <definedName name="solver_rel7" localSheetId="35" hidden="1">4</definedName>
    <definedName name="solver_rel7" localSheetId="16" hidden="1">4</definedName>
    <definedName name="solver_rel7" localSheetId="17" hidden="1">4</definedName>
    <definedName name="solver_rel7" localSheetId="15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57" hidden="1">1</definedName>
    <definedName name="solver_rel7" localSheetId="48" hidden="1">4</definedName>
    <definedName name="solver_rel7" localSheetId="4" hidden="1">1</definedName>
    <definedName name="solver_rel7" localSheetId="36" hidden="1">4</definedName>
    <definedName name="solver_rel7" localSheetId="37" hidden="1">4</definedName>
    <definedName name="solver_rel7" localSheetId="28" hidden="1">4</definedName>
    <definedName name="solver_rel7" localSheetId="52" hidden="1">4</definedName>
    <definedName name="solver_rel7" localSheetId="34" hidden="1">4</definedName>
    <definedName name="solver_rel7" localSheetId="3" hidden="1">4</definedName>
    <definedName name="solver_rel7" localSheetId="2" hidden="1">4</definedName>
    <definedName name="solver_rel7" localSheetId="31" hidden="1">4</definedName>
    <definedName name="solver_rel7" localSheetId="11" hidden="1">4</definedName>
    <definedName name="solver_rel7" localSheetId="7" hidden="1">4</definedName>
    <definedName name="solver_rel7" localSheetId="27" hidden="1">4</definedName>
    <definedName name="solver_rel7" localSheetId="43" hidden="1">4</definedName>
    <definedName name="solver_rel7" localSheetId="39" hidden="1">4</definedName>
    <definedName name="solver_rel70" localSheetId="57" hidden="1">1</definedName>
    <definedName name="solver_rel71" localSheetId="57" hidden="1">3</definedName>
    <definedName name="solver_rel72" localSheetId="57" hidden="1">2</definedName>
    <definedName name="solver_rel73" localSheetId="57" hidden="1">1</definedName>
    <definedName name="solver_rel74" localSheetId="57" hidden="1">3</definedName>
    <definedName name="solver_rel75" localSheetId="57" hidden="1">2</definedName>
    <definedName name="solver_rel76" localSheetId="57" hidden="1">1</definedName>
    <definedName name="solver_rel77" localSheetId="57" hidden="1">3</definedName>
    <definedName name="solver_rel78" localSheetId="57" hidden="1">2</definedName>
    <definedName name="solver_rel79" localSheetId="57" hidden="1">1</definedName>
    <definedName name="solver_rel8" localSheetId="21" hidden="1">5</definedName>
    <definedName name="solver_rel8" localSheetId="33" hidden="1">5</definedName>
    <definedName name="solver_rel8" localSheetId="18" hidden="1">5</definedName>
    <definedName name="solver_rel8" localSheetId="32" hidden="1">5</definedName>
    <definedName name="solver_rel8" localSheetId="6" hidden="1">5</definedName>
    <definedName name="solver_rel8" localSheetId="5" hidden="1">5</definedName>
    <definedName name="solver_rel8" localSheetId="45" hidden="1">5</definedName>
    <definedName name="solver_rel8" localSheetId="19" hidden="1">3</definedName>
    <definedName name="solver_rel8" localSheetId="20" hidden="1">3</definedName>
    <definedName name="solver_rel8" localSheetId="41" hidden="1">5</definedName>
    <definedName name="solver_rel8" localSheetId="38" hidden="1">5</definedName>
    <definedName name="solver_rel8" localSheetId="40" hidden="1">5</definedName>
    <definedName name="solver_rel8" localSheetId="23" hidden="1">5</definedName>
    <definedName name="solver_rel8" localSheetId="24" hidden="1">5</definedName>
    <definedName name="solver_rel8" localSheetId="30" hidden="1">5</definedName>
    <definedName name="solver_rel8" localSheetId="9" hidden="1">5</definedName>
    <definedName name="solver_rel8" localSheetId="10" hidden="1">5</definedName>
    <definedName name="solver_rel8" localSheetId="8" hidden="1">5</definedName>
    <definedName name="solver_rel8" localSheetId="22" hidden="1">5</definedName>
    <definedName name="solver_rel8" localSheetId="26" hidden="1">5</definedName>
    <definedName name="solver_rel8" localSheetId="42" hidden="1">5</definedName>
    <definedName name="solver_rel8" localSheetId="69" hidden="1">1</definedName>
    <definedName name="solver_rel8" localSheetId="29" hidden="1">5</definedName>
    <definedName name="solver_rel8" localSheetId="25" hidden="1">5</definedName>
    <definedName name="solver_rel8" localSheetId="46" hidden="1">5</definedName>
    <definedName name="solver_rel8" localSheetId="47" hidden="1">5</definedName>
    <definedName name="solver_rel8" localSheetId="35" hidden="1">5</definedName>
    <definedName name="solver_rel8" localSheetId="16" hidden="1">5</definedName>
    <definedName name="solver_rel8" localSheetId="17" hidden="1">5</definedName>
    <definedName name="solver_rel8" localSheetId="15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57" hidden="1">3</definedName>
    <definedName name="solver_rel8" localSheetId="48" hidden="1">5</definedName>
    <definedName name="solver_rel8" localSheetId="4" hidden="1">3</definedName>
    <definedName name="solver_rel8" localSheetId="36" hidden="1">5</definedName>
    <definedName name="solver_rel8" localSheetId="37" hidden="1">5</definedName>
    <definedName name="solver_rel8" localSheetId="28" hidden="1">5</definedName>
    <definedName name="solver_rel8" localSheetId="52" hidden="1">5</definedName>
    <definedName name="solver_rel8" localSheetId="34" hidden="1">5</definedName>
    <definedName name="solver_rel8" localSheetId="3" hidden="1">5</definedName>
    <definedName name="solver_rel8" localSheetId="2" hidden="1">5</definedName>
    <definedName name="solver_rel8" localSheetId="31" hidden="1">5</definedName>
    <definedName name="solver_rel8" localSheetId="11" hidden="1">5</definedName>
    <definedName name="solver_rel8" localSheetId="7" hidden="1">5</definedName>
    <definedName name="solver_rel8" localSheetId="27" hidden="1">5</definedName>
    <definedName name="solver_rel8" localSheetId="43" hidden="1">5</definedName>
    <definedName name="solver_rel8" localSheetId="39" hidden="1">5</definedName>
    <definedName name="solver_rel80" localSheetId="57" hidden="1">3</definedName>
    <definedName name="solver_rel81" localSheetId="57" hidden="1">2</definedName>
    <definedName name="solver_rel82" localSheetId="57" hidden="1">1</definedName>
    <definedName name="solver_rel83" localSheetId="57" hidden="1">3</definedName>
    <definedName name="solver_rel84" localSheetId="57" hidden="1">2</definedName>
    <definedName name="solver_rel85" localSheetId="57" hidden="1">1</definedName>
    <definedName name="solver_rel86" localSheetId="57" hidden="1">3</definedName>
    <definedName name="solver_rel87" localSheetId="57" hidden="1">2</definedName>
    <definedName name="solver_rel88" localSheetId="57" hidden="1">1</definedName>
    <definedName name="solver_rel89" localSheetId="57" hidden="1">3</definedName>
    <definedName name="solver_rel9" localSheetId="19" hidden="1">3</definedName>
    <definedName name="solver_rel9" localSheetId="20" hidden="1">1</definedName>
    <definedName name="solver_rel9" localSheetId="69" hidden="1">3</definedName>
    <definedName name="solver_rel9" localSheetId="57" hidden="1">2</definedName>
    <definedName name="solver_rel9" localSheetId="4" hidden="1">2</definedName>
    <definedName name="solver_rel90" localSheetId="57" hidden="1">2</definedName>
    <definedName name="solver_rel91" localSheetId="57" hidden="1">1</definedName>
    <definedName name="solver_rel92" localSheetId="57" hidden="1">3</definedName>
    <definedName name="solver_rel93" localSheetId="57" hidden="1">2</definedName>
    <definedName name="solver_rel94" localSheetId="57" hidden="1">1</definedName>
    <definedName name="solver_rel95" localSheetId="57" hidden="1">3</definedName>
    <definedName name="solver_rel96" localSheetId="57" hidden="1">2</definedName>
    <definedName name="solver_rel97" localSheetId="57" hidden="1">1</definedName>
    <definedName name="solver_rel98" localSheetId="57" hidden="1">3</definedName>
    <definedName name="solver_rel99" localSheetId="57" hidden="1">2</definedName>
    <definedName name="solver_rhs1" localSheetId="70" hidden="1">AutoModel!$D$20</definedName>
    <definedName name="solver_rhs1" localSheetId="21" hidden="1">'BadName!'!$J$12</definedName>
    <definedName name="solver_rhs1" localSheetId="33" hidden="1">BinIntLB!$J$11:$J$13</definedName>
    <definedName name="solver_rhs1" localSheetId="18" hidden="1">BinIntOverlap!$K$8:$K$9</definedName>
    <definedName name="solver_rhs1" localSheetId="32" hidden="1">BinLB!$J$11:$J$13</definedName>
    <definedName name="solver_rhs1" localSheetId="6" hidden="1">BlankLHS!$J$8:$J$9</definedName>
    <definedName name="solver_rhs1" localSheetId="5" hidden="1">BlankRHS!$J$8:$J$9</definedName>
    <definedName name="solver_rhs1" localSheetId="45" hidden="1">ComplexLayout!$K$8:$K$9</definedName>
    <definedName name="solver_rhs1" localSheetId="19" hidden="1">ConFormula!$K$9:$K$10</definedName>
    <definedName name="solver_rhs1" localSheetId="20" hidden="1">ConFormulaInf!$K$9:$K$10</definedName>
    <definedName name="solver_rhs1" localSheetId="41" hidden="1">ConstantLB!$J$11:$J$13</definedName>
    <definedName name="solver_rhs1" localSheetId="38" hidden="1">ConstFormulaRangeLB!$J$10:$J$12</definedName>
    <definedName name="solver_rhs1" localSheetId="40" hidden="1">ConstraintLB!$J$11:$J$13</definedName>
    <definedName name="solver_rhs1" localSheetId="23" hidden="1">DeletedConRef!$J$9:$J$10</definedName>
    <definedName name="solver_rhs1" localSheetId="24" hidden="1">DeletedObjRef!$J$9:$J$10</definedName>
    <definedName name="solver_rhs1" localSheetId="50" hidden="1">DiffSheetObj!$I$6</definedName>
    <definedName name="solver_rhs1" localSheetId="30" hidden="1">DirectLBs!$J$10:$J$12</definedName>
    <definedName name="solver_rhs1" localSheetId="9" hidden="1">ErrorLHS!$J$8:$J$9</definedName>
    <definedName name="solver_rhs1" localSheetId="10" hidden="1">ErrorObj!$J$8:$J$9</definedName>
    <definedName name="solver_rhs1" localSheetId="8" hidden="1">ErrorRHS!$J$8:$J$9</definedName>
    <definedName name="solver_rhs1" localSheetId="22" hidden="1">'EscapeSheetName(1)+2-1'!$J$8:$J$9</definedName>
    <definedName name="solver_rhs1" localSheetId="26" hidden="1">FeasConstConstraint!$L$8:$L$9</definedName>
    <definedName name="solver_rhs1" localSheetId="42" hidden="1">FormulaLB!$J$11:$J$13</definedName>
    <definedName name="solver_rhs1" localSheetId="44" hidden="1">FractionalCoeffs!$I$6</definedName>
    <definedName name="solver_rhs1" localSheetId="69" hidden="1">Highlighting!$I$7:$I$8</definedName>
    <definedName name="solver_rhs1" localSheetId="29" hidden="1">IndirectLBs!$J$10:$J$11</definedName>
    <definedName name="solver_rhs1" localSheetId="25" hidden="1">InfConstConstraint!$L$8:$L$9</definedName>
    <definedName name="solver_rhs1" localSheetId="46" hidden="1">InfModel!$J$9:$J$10</definedName>
    <definedName name="solver_rhs1" localSheetId="47" hidden="1">IterativeCalc!$J$9:$J$10</definedName>
    <definedName name="solver_rhs1" localSheetId="35" hidden="1">LargeRangeLB!$J$12:$J$14</definedName>
    <definedName name="solver_rhs1" localSheetId="16" hidden="1">MergedLHS_OK!$J$9:$J$10</definedName>
    <definedName name="solver_rhs1" localSheetId="17" hidden="1">MergedLHSMultiple_OK!$J$9:$J$10</definedName>
    <definedName name="solver_rhs1" localSheetId="15" hidden="1">MergedRHS_OK!$J$9:$J$10</definedName>
    <definedName name="solver_rhs1" localSheetId="14" hidden="1">MergedVarsBad!$J$9:$J$10</definedName>
    <definedName name="solver_rhs1" localSheetId="13" hidden="1">MergedVarsOK!$J$9:$J$10</definedName>
    <definedName name="solver_rhs1" localSheetId="12" hidden="1">MergedVarsSubset!$J$9:$J$10</definedName>
    <definedName name="solver_rhs1" localSheetId="51" hidden="1">NamedRanges!$K$8</definedName>
    <definedName name="solver_rhs1" localSheetId="63" hidden="1">NonLin!$L$40</definedName>
    <definedName name="solver_rhs1" localSheetId="64" hidden="1">NonLin2!$G$6:$G$7</definedName>
    <definedName name="solver_rhs1" localSheetId="65" hidden="1">NonLin3!$Q$10:$Q$11</definedName>
    <definedName name="solver_rhs1" localSheetId="68" hidden="1">0</definedName>
    <definedName name="solver_rhs1" localSheetId="62" hidden="1">NonLinBinary!$G$8:$G$9</definedName>
    <definedName name="solver_rhs1" localSheetId="61" hidden="1">NonLinConstraints!$K$7:$K$9</definedName>
    <definedName name="solver_rhs1" localSheetId="57" hidden="1">NonLinLarge!$J$7:$J$8</definedName>
    <definedName name="solver_rhs1" localSheetId="60" hidden="1">NonLinMinMax!$I$8</definedName>
    <definedName name="solver_rhs1" localSheetId="58" hidden="1">NonLinObj!$J$7:$J$8</definedName>
    <definedName name="solver_rhs1" localSheetId="59" hidden="1">NonLinPruning!$H$8:$H$9</definedName>
    <definedName name="solver_rhs1" localSheetId="56" hidden="1">NonLinSimple!$J$7:$J$8</definedName>
    <definedName name="solver_rhs1" localSheetId="48" hidden="1">NoObj!$J$9:$J$10</definedName>
    <definedName name="solver_rhs1" localSheetId="4" hidden="1">OverlappingVars!$J$8:$J$9</definedName>
    <definedName name="solver_rhs1" localSheetId="36" hidden="1">OverlapRangeLB!$J$12:$J$14</definedName>
    <definedName name="solver_rhs1" localSheetId="37" hidden="1">OverlapRangeLBwithFormula!$J$12:$J$14</definedName>
    <definedName name="solver_rhs1" localSheetId="28" hidden="1">ProtectedSheet!$J$8:$J$9</definedName>
    <definedName name="solver_rhs1" localSheetId="52" hidden="1">QuickSolve!$J$8</definedName>
    <definedName name="solver_rhs1" localSheetId="34" hidden="1">Relaxation!$J$11:$J$13</definedName>
    <definedName name="solver_rhs1" localSheetId="1" hidden="1">OverlappingVars!$J$8:$J$9</definedName>
    <definedName name="solver_rhs1" localSheetId="49" hidden="1">SeekObj!$I$6</definedName>
    <definedName name="solver_rhs1" localSheetId="54" hidden="1">Sensitivity!$I$8</definedName>
    <definedName name="solver_rhs1" localSheetId="55" hidden="1">SensitivityNames!$J$14:$J$16</definedName>
    <definedName name="solver_rhs1" localSheetId="3" hidden="1">SimpleIP!$C$10</definedName>
    <definedName name="solver_rhs1" localSheetId="2" hidden="1">SimpleLP!$J$8:$J$9</definedName>
    <definedName name="solver_rhs1" localSheetId="31" hidden="1">SingleRangeLB!$J$10:$J$12</definedName>
    <definedName name="solver_rhs1" localSheetId="53" hidden="1">SolverParameters!$J$17:$J$18</definedName>
    <definedName name="solver_rhs1" localSheetId="11" hidden="1">TextObj!$J$8:$J$9</definedName>
    <definedName name="solver_rhs1" localSheetId="7" hidden="1">TextRHS!$J$8:$J$9</definedName>
    <definedName name="solver_rhs1" localSheetId="27" hidden="1">Unbounded!$J$8:$J$9</definedName>
    <definedName name="solver_rhs1" localSheetId="43" hidden="1">VarConstraintLB!$J$11:$J$13</definedName>
    <definedName name="solver_rhs1" localSheetId="39" hidden="1">VariableFormulaRangeLB!$J$11:$J$13</definedName>
    <definedName name="solver_rhs10" localSheetId="20" hidden="1">5*ConFormulaInf!$I$15-1</definedName>
    <definedName name="solver_rhs10" localSheetId="57" hidden="1">NonLinLarge!$J$74</definedName>
    <definedName name="solver_rhs100" localSheetId="57" hidden="1">NonLinLarge!$J$74</definedName>
    <definedName name="solver_rhs101" localSheetId="57" hidden="1">NonLinLarge!$J$75:$J$138</definedName>
    <definedName name="solver_rhs102" localSheetId="57" hidden="1">NonLinLarge!$J$139</definedName>
    <definedName name="solver_rhs103" localSheetId="57" hidden="1">NonLinLarge!$J$7:$J$8</definedName>
    <definedName name="solver_rhs104" localSheetId="57" hidden="1">NonLinLarge!$J$9:$J$72</definedName>
    <definedName name="solver_rhs105" localSheetId="57" hidden="1">NonLinLarge!$J$73</definedName>
    <definedName name="solver_rhs106" localSheetId="57" hidden="1">NonLinLarge!$J$74</definedName>
    <definedName name="solver_rhs107" localSheetId="57" hidden="1">NonLinLarge!$J$75:$J$138</definedName>
    <definedName name="solver_rhs108" localSheetId="57" hidden="1">NonLinLarge!$J$139</definedName>
    <definedName name="solver_rhs109" localSheetId="57" hidden="1">NonLinLarge!$J$7:$J$8</definedName>
    <definedName name="solver_rhs11" localSheetId="57" hidden="1">NonLinLarge!$J$75:$J$138</definedName>
    <definedName name="solver_rhs110" localSheetId="57" hidden="1">NonLinLarge!$J$9:$J$72</definedName>
    <definedName name="solver_rhs111" localSheetId="57" hidden="1">NonLinLarge!$J$73</definedName>
    <definedName name="solver_rhs112" localSheetId="57" hidden="1">NonLinLarge!$J$74</definedName>
    <definedName name="solver_rhs113" localSheetId="57" hidden="1">NonLinLarge!$J$75:$J$138</definedName>
    <definedName name="solver_rhs114" localSheetId="57" hidden="1">NonLinLarge!$J$139</definedName>
    <definedName name="solver_rhs115" localSheetId="57" hidden="1">NonLinLarge!$J$7:$J$8</definedName>
    <definedName name="solver_rhs116" localSheetId="57" hidden="1">NonLinLarge!$J$9:$J$72</definedName>
    <definedName name="solver_rhs117" localSheetId="57" hidden="1">NonLinLarge!$J$73</definedName>
    <definedName name="solver_rhs118" localSheetId="57" hidden="1">NonLinLarge!$J$74</definedName>
    <definedName name="solver_rhs119" localSheetId="57" hidden="1">NonLinLarge!$J$75:$J$138</definedName>
    <definedName name="solver_rhs12" localSheetId="57" hidden="1">NonLinLarge!$J$139</definedName>
    <definedName name="solver_rhs120" localSheetId="57" hidden="1">NonLinLarge!$J$139</definedName>
    <definedName name="solver_rhs121" localSheetId="57" hidden="1">NonLinLarge!$J$7:$J$8</definedName>
    <definedName name="solver_rhs122" localSheetId="57" hidden="1">NonLinLarge!$J$9:$J$72</definedName>
    <definedName name="solver_rhs123" localSheetId="57" hidden="1">NonLinLarge!$J$73</definedName>
    <definedName name="solver_rhs124" localSheetId="57" hidden="1">NonLinLarge!$J$74</definedName>
    <definedName name="solver_rhs125" localSheetId="57" hidden="1">NonLinLarge!$J$75:$J$138</definedName>
    <definedName name="solver_rhs126" localSheetId="57" hidden="1">NonLinLarge!$J$139</definedName>
    <definedName name="solver_rhs127" localSheetId="57" hidden="1">NonLinLarge!$J$7:$J$8</definedName>
    <definedName name="solver_rhs128" localSheetId="57" hidden="1">NonLinLarge!$J$9:$J$72</definedName>
    <definedName name="solver_rhs129" localSheetId="57" hidden="1">NonLinLarge!$J$73</definedName>
    <definedName name="solver_rhs13" localSheetId="57" hidden="1">NonLinLarge!$J$7:$J$8</definedName>
    <definedName name="solver_rhs130" localSheetId="57" hidden="1">NonLinLarge!$J$74</definedName>
    <definedName name="solver_rhs131" localSheetId="57" hidden="1">NonLinLarge!$J$75:$J$138</definedName>
    <definedName name="solver_rhs132" localSheetId="57" hidden="1">NonLinLarge!$J$139</definedName>
    <definedName name="solver_rhs133" localSheetId="57" hidden="1">NonLinLarge!$J$7:$J$8</definedName>
    <definedName name="solver_rhs134" localSheetId="57" hidden="1">NonLinLarge!$J$9:$J$72</definedName>
    <definedName name="solver_rhs135" localSheetId="57" hidden="1">NonLinLarge!$J$73</definedName>
    <definedName name="solver_rhs136" localSheetId="57" hidden="1">NonLinLarge!$J$74</definedName>
    <definedName name="solver_rhs137" localSheetId="57" hidden="1">NonLinLarge!$J$75:$J$138</definedName>
    <definedName name="solver_rhs138" localSheetId="57" hidden="1">NonLinLarge!$J$139</definedName>
    <definedName name="solver_rhs139" localSheetId="57" hidden="1">NonLinLarge!$J$7:$J$8</definedName>
    <definedName name="solver_rhs14" localSheetId="57" hidden="1">NonLinLarge!$J$9:$J$72</definedName>
    <definedName name="solver_rhs140" localSheetId="57" hidden="1">NonLinLarge!$J$9:$J$72</definedName>
    <definedName name="solver_rhs141" localSheetId="57" hidden="1">NonLinLarge!$J$73</definedName>
    <definedName name="solver_rhs142" localSheetId="57" hidden="1">NonLinLarge!$J$74</definedName>
    <definedName name="solver_rhs143" localSheetId="57" hidden="1">NonLinLarge!$J$75:$J$138</definedName>
    <definedName name="solver_rhs144" localSheetId="57" hidden="1">NonLinLarge!$J$139</definedName>
    <definedName name="solver_rhs145" localSheetId="57" hidden="1">NonLinLarge!$J$7:$J$8</definedName>
    <definedName name="solver_rhs146" localSheetId="57" hidden="1">NonLinLarge!$J$9:$J$72</definedName>
    <definedName name="solver_rhs147" localSheetId="57" hidden="1">NonLinLarge!$J$73</definedName>
    <definedName name="solver_rhs148" localSheetId="57" hidden="1">NonLinLarge!$J$74</definedName>
    <definedName name="solver_rhs149" localSheetId="57" hidden="1">NonLinLarge!$J$75:$J$138</definedName>
    <definedName name="solver_rhs15" localSheetId="57" hidden="1">NonLinLarge!$J$73</definedName>
    <definedName name="solver_rhs150" localSheetId="57" hidden="1">NonLinLarge!$J$139</definedName>
    <definedName name="solver_rhs151" localSheetId="57" hidden="1">NonLinLarge!$J$7:$J$8</definedName>
    <definedName name="solver_rhs152" localSheetId="57" hidden="1">NonLinLarge!$J$9:$J$72</definedName>
    <definedName name="solver_rhs153" localSheetId="57" hidden="1">NonLinLarge!$J$73</definedName>
    <definedName name="solver_rhs154" localSheetId="57" hidden="1">NonLinLarge!$J$74</definedName>
    <definedName name="solver_rhs155" localSheetId="57" hidden="1">NonLinLarge!$J$75:$J$138</definedName>
    <definedName name="solver_rhs156" localSheetId="57" hidden="1">NonLinLarge!$J$139</definedName>
    <definedName name="solver_rhs157" localSheetId="57" hidden="1">NonLinLarge!$J$7:$J$8</definedName>
    <definedName name="solver_rhs158" localSheetId="57" hidden="1">NonLinLarge!$J$9:$J$72</definedName>
    <definedName name="solver_rhs159" localSheetId="57" hidden="1">NonLinLarge!$J$73</definedName>
    <definedName name="solver_rhs16" localSheetId="57" hidden="1">NonLinLarge!$J$74</definedName>
    <definedName name="solver_rhs160" localSheetId="57" hidden="1">NonLinLarge!$J$74</definedName>
    <definedName name="solver_rhs161" localSheetId="57" hidden="1">NonLinLarge!$J$75:$J$138</definedName>
    <definedName name="solver_rhs162" localSheetId="57" hidden="1">NonLinLarge!$J$139</definedName>
    <definedName name="solver_rhs163" localSheetId="57" hidden="1">NonLinLarge!$J$7:$J$8</definedName>
    <definedName name="solver_rhs164" localSheetId="57" hidden="1">NonLinLarge!$J$9:$J$72</definedName>
    <definedName name="solver_rhs165" localSheetId="57" hidden="1">NonLinLarge!$J$73</definedName>
    <definedName name="solver_rhs166" localSheetId="57" hidden="1">NonLinLarge!$J$74</definedName>
    <definedName name="solver_rhs167" localSheetId="57" hidden="1">NonLinLarge!$J$75:$J$138</definedName>
    <definedName name="solver_rhs168" localSheetId="57" hidden="1">NonLinLarge!$J$139</definedName>
    <definedName name="solver_rhs169" localSheetId="57" hidden="1">NonLinLarge!$J$7:$J$8</definedName>
    <definedName name="solver_rhs17" localSheetId="57" hidden="1">NonLinLarge!$J$75:$J$138</definedName>
    <definedName name="solver_rhs170" localSheetId="57" hidden="1">NonLinLarge!$J$9:$J$72</definedName>
    <definedName name="solver_rhs171" localSheetId="57" hidden="1">NonLinLarge!$J$73</definedName>
    <definedName name="solver_rhs172" localSheetId="57" hidden="1">NonLinLarge!$J$74</definedName>
    <definedName name="solver_rhs173" localSheetId="57" hidden="1">NonLinLarge!$J$75:$J$138</definedName>
    <definedName name="solver_rhs174" localSheetId="57" hidden="1">NonLinLarge!$J$139</definedName>
    <definedName name="solver_rhs175" localSheetId="57" hidden="1">NonLinLarge!$J$7:$J$8</definedName>
    <definedName name="solver_rhs176" localSheetId="57" hidden="1">NonLinLarge!$J$9:$J$72</definedName>
    <definedName name="solver_rhs177" localSheetId="57" hidden="1">NonLinLarge!$J$73</definedName>
    <definedName name="solver_rhs178" localSheetId="57" hidden="1">NonLinLarge!$J$74</definedName>
    <definedName name="solver_rhs179" localSheetId="57" hidden="1">NonLinLarge!$J$75:$J$138</definedName>
    <definedName name="solver_rhs18" localSheetId="57" hidden="1">NonLinLarge!$J$139</definedName>
    <definedName name="solver_rhs180" localSheetId="57" hidden="1">NonLinLarge!$J$139</definedName>
    <definedName name="solver_rhs181" localSheetId="57" hidden="1">NonLinLarge!$J$7:$J$8</definedName>
    <definedName name="solver_rhs182" localSheetId="57" hidden="1">NonLinLarge!$J$9:$J$72</definedName>
    <definedName name="solver_rhs183" localSheetId="57" hidden="1">NonLinLarge!$J$73</definedName>
    <definedName name="solver_rhs184" localSheetId="57" hidden="1">NonLinLarge!$J$74</definedName>
    <definedName name="solver_rhs185" localSheetId="57" hidden="1">NonLinLarge!$J$75:$J$138</definedName>
    <definedName name="solver_rhs186" localSheetId="57" hidden="1">NonLinLarge!$J$139</definedName>
    <definedName name="solver_rhs187" localSheetId="57" hidden="1">NonLinLarge!$J$7:$J$8</definedName>
    <definedName name="solver_rhs188" localSheetId="57" hidden="1">NonLinLarge!$J$9:$J$72</definedName>
    <definedName name="solver_rhs189" localSheetId="57" hidden="1">NonLinLarge!$J$73</definedName>
    <definedName name="solver_rhs19" localSheetId="57" hidden="1">NonLinLarge!$J$7:$J$8</definedName>
    <definedName name="solver_rhs190" localSheetId="57" hidden="1">NonLinLarge!$J$74</definedName>
    <definedName name="solver_rhs191" localSheetId="57" hidden="1">NonLinLarge!$J$75:$J$138</definedName>
    <definedName name="solver_rhs192" localSheetId="57" hidden="1">NonLinLarge!$J$139</definedName>
    <definedName name="solver_rhs193" localSheetId="57" hidden="1">NonLinLarge!$J$7:$J$8</definedName>
    <definedName name="solver_rhs194" localSheetId="57" hidden="1">NonLinLarge!$J$9:$J$72</definedName>
    <definedName name="solver_rhs195" localSheetId="57" hidden="1">NonLinLarge!$J$73</definedName>
    <definedName name="solver_rhs196" localSheetId="57" hidden="1">NonLinLarge!$J$74</definedName>
    <definedName name="solver_rhs197" localSheetId="57" hidden="1">NonLinLarge!$J$75:$J$138</definedName>
    <definedName name="solver_rhs198" localSheetId="57" hidden="1">NonLinLarge!$J$139</definedName>
    <definedName name="solver_rhs199" localSheetId="57" hidden="1">NonLinLarge!$J$7:$J$8</definedName>
    <definedName name="solver_rhs2" localSheetId="70" hidden="1">AutoModel!$D$14</definedName>
    <definedName name="solver_rhs2" localSheetId="21" hidden="1">'BadName!'!$J$10</definedName>
    <definedName name="solver_rhs2" localSheetId="33" hidden="1">BinIntLB!$E$7</definedName>
    <definedName name="solver_rhs2" localSheetId="18" hidden="1">BinIntOverlap!$K$10</definedName>
    <definedName name="solver_rhs2" localSheetId="32" hidden="1">BinLB!$E$7</definedName>
    <definedName name="solver_rhs2" localSheetId="6" hidden="1">BlankLHS!$J$10</definedName>
    <definedName name="solver_rhs2" localSheetId="5" hidden="1">BlankRHS!$J$10</definedName>
    <definedName name="solver_rhs2" localSheetId="45" hidden="1">ComplexLayout!$K$10</definedName>
    <definedName name="solver_rhs2" localSheetId="19" hidden="1">ConFormula!$K$11</definedName>
    <definedName name="solver_rhs2" localSheetId="20" hidden="1">ConFormulaInf!$N$11</definedName>
    <definedName name="solver_rhs2" localSheetId="41" hidden="1">-10</definedName>
    <definedName name="solver_rhs2" localSheetId="38" hidden="1">ConstFormulaRangeLB!$D$6:$F$6</definedName>
    <definedName name="solver_rhs2" localSheetId="40" hidden="1">ConstraintLB!$J$12</definedName>
    <definedName name="solver_rhs2" localSheetId="23" hidden="1">DeletedConRef!$J$11</definedName>
    <definedName name="solver_rhs2" localSheetId="24" hidden="1">DeletedObjRef!$J$11</definedName>
    <definedName name="solver_rhs2" localSheetId="50" hidden="1">DiffSheetObj!$I$7</definedName>
    <definedName name="solver_rhs2" localSheetId="30" hidden="1">DirectLBs!$D$6:$F$6</definedName>
    <definedName name="solver_rhs2" localSheetId="9" hidden="1">ErrorLHS!$J$10</definedName>
    <definedName name="solver_rhs2" localSheetId="10" hidden="1">ErrorObj!$J$10</definedName>
    <definedName name="solver_rhs2" localSheetId="8" hidden="1">ErrorRHS!$J$10</definedName>
    <definedName name="solver_rhs2" localSheetId="22" hidden="1">'EscapeSheetName(1)+2-1'!$J$10</definedName>
    <definedName name="solver_rhs2" localSheetId="26" hidden="1">FeasConstConstraint!$L$10</definedName>
    <definedName name="solver_rhs2" localSheetId="42" hidden="1">-10*2</definedName>
    <definedName name="solver_rhs2" localSheetId="44" hidden="1">FractionalCoeffs!$I$7</definedName>
    <definedName name="solver_rhs2" localSheetId="69" hidden="1">Highlighting!$I$9</definedName>
    <definedName name="solver_rhs2" localSheetId="29" hidden="1">IndirectLBs!$J$12</definedName>
    <definedName name="solver_rhs2" localSheetId="25" hidden="1">InfConstConstraint!$L$10</definedName>
    <definedName name="solver_rhs2" localSheetId="46" hidden="1">InfModel!$J$11</definedName>
    <definedName name="solver_rhs2" localSheetId="47" hidden="1">IterativeCalc!$J$11</definedName>
    <definedName name="solver_rhs2" localSheetId="35" hidden="1">LargeRangeLB!$D$8:$H$8</definedName>
    <definedName name="solver_rhs2" localSheetId="16" hidden="1">MergedLHS_OK!$J$11</definedName>
    <definedName name="solver_rhs2" localSheetId="17" hidden="1">MergedLHSMultiple_OK!$J$11</definedName>
    <definedName name="solver_rhs2" localSheetId="15" hidden="1">MergedRHS_OK!$J$11</definedName>
    <definedName name="solver_rhs2" localSheetId="14" hidden="1">MergedVarsBad!$J$11</definedName>
    <definedName name="solver_rhs2" localSheetId="13" hidden="1">MergedVarsOK!$J$11</definedName>
    <definedName name="solver_rhs2" localSheetId="12" hidden="1">MergedVarsSubset!$J$11</definedName>
    <definedName name="solver_rhs2" localSheetId="51" hidden="1">NamedRanges!$K$9</definedName>
    <definedName name="solver_rhs2" localSheetId="63" hidden="1">NonLin!$L$41:$L$42</definedName>
    <definedName name="solver_rhs2" localSheetId="64" hidden="1">binary</definedName>
    <definedName name="solver_rhs2" localSheetId="65" hidden="1">NonLin3!$U$10:$U$11</definedName>
    <definedName name="solver_rhs2" localSheetId="68" hidden="1">90</definedName>
    <definedName name="solver_rhs2" localSheetId="62" hidden="1">binary</definedName>
    <definedName name="solver_rhs2" localSheetId="61" hidden="1">-6</definedName>
    <definedName name="solver_rhs2" localSheetId="57" hidden="1">NonLinLarge!$J$74</definedName>
    <definedName name="solver_rhs2" localSheetId="60" hidden="1">integer</definedName>
    <definedName name="solver_rhs2" localSheetId="58" hidden="1">NonLinObj!$J$9</definedName>
    <definedName name="solver_rhs2" localSheetId="59" hidden="1">NonLinPruning!$H$10:$H$11</definedName>
    <definedName name="solver_rhs2" localSheetId="56" hidden="1">NonLinSimple!$J$9</definedName>
    <definedName name="solver_rhs2" localSheetId="48" hidden="1">NoObj!$J$11</definedName>
    <definedName name="solver_rhs2" localSheetId="4" hidden="1">OverlappingVars!$J$10</definedName>
    <definedName name="solver_rhs2" localSheetId="36" hidden="1">OverlapRangeLB!$E$8:$H$8</definedName>
    <definedName name="solver_rhs2" localSheetId="37" hidden="1">OverlapRangeLBwithFormula!$D$8:$H$8</definedName>
    <definedName name="solver_rhs2" localSheetId="28" hidden="1">ProtectedSheet!$J$10</definedName>
    <definedName name="solver_rhs2" localSheetId="52" hidden="1">QuickSolve!$J$9:$J$10</definedName>
    <definedName name="solver_rhs2" localSheetId="34" hidden="1">Relaxation!$E$7</definedName>
    <definedName name="solver_rhs2" localSheetId="1" hidden="1">OverlappingVars!$J$10</definedName>
    <definedName name="solver_rhs2" localSheetId="49" hidden="1">SeekObj!$I$7</definedName>
    <definedName name="solver_rhs2" localSheetId="54" hidden="1">Sensitivity!$I$9</definedName>
    <definedName name="solver_rhs2" localSheetId="55" hidden="1">SensitivityNames!$D$18:$H$18</definedName>
    <definedName name="solver_rhs2" localSheetId="3" hidden="1">binary</definedName>
    <definedName name="solver_rhs2" localSheetId="2" hidden="1">SimpleLP!$J$10</definedName>
    <definedName name="solver_rhs2" localSheetId="31" hidden="1">-2</definedName>
    <definedName name="solver_rhs2" localSheetId="53" hidden="1">SolverParameters!$J$19</definedName>
    <definedName name="solver_rhs2" localSheetId="11" hidden="1">TextObj!$J$10</definedName>
    <definedName name="solver_rhs2" localSheetId="7" hidden="1">TextRHS!$J$10</definedName>
    <definedName name="solver_rhs2" localSheetId="27" hidden="1">Unbounded!$J$10</definedName>
    <definedName name="solver_rhs2" localSheetId="43" hidden="1">VarConstraintLB!$D$5</definedName>
    <definedName name="solver_rhs2" localSheetId="39" hidden="1">VariableFormulaRangeLB!$D$7:$F$7</definedName>
    <definedName name="solver_rhs20" localSheetId="57" hidden="1">NonLinLarge!$J$9:$J$72</definedName>
    <definedName name="solver_rhs200" localSheetId="57" hidden="1">NonLinLarge!$J$9:$J$72</definedName>
    <definedName name="solver_rhs201" localSheetId="57" hidden="1">NonLinLarge!$J$73</definedName>
    <definedName name="solver_rhs202" localSheetId="57" hidden="1">NonLinLarge!$J$74</definedName>
    <definedName name="solver_rhs203" localSheetId="57" hidden="1">NonLinLarge!$J$75:$J$138</definedName>
    <definedName name="solver_rhs204" localSheetId="57" hidden="1">NonLinLarge!$J$139</definedName>
    <definedName name="solver_rhs205" localSheetId="57" hidden="1">NonLinLarge!$J$7:$J$8</definedName>
    <definedName name="solver_rhs206" localSheetId="57" hidden="1">NonLinLarge!$J$9:$J$72</definedName>
    <definedName name="solver_rhs207" localSheetId="57" hidden="1">NonLinLarge!$J$73</definedName>
    <definedName name="solver_rhs208" localSheetId="57" hidden="1">NonLinLarge!$J$74</definedName>
    <definedName name="solver_rhs209" localSheetId="57" hidden="1">NonLinLarge!$J$75:$J$138</definedName>
    <definedName name="solver_rhs21" localSheetId="57" hidden="1">NonLinLarge!$J$73</definedName>
    <definedName name="solver_rhs210" localSheetId="57" hidden="1">NonLinLarge!$J$139</definedName>
    <definedName name="solver_rhs211" localSheetId="57" hidden="1">NonLinLarge!$J$7:$J$8</definedName>
    <definedName name="solver_rhs212" localSheetId="57" hidden="1">NonLinLarge!$J$9:$J$72</definedName>
    <definedName name="solver_rhs213" localSheetId="57" hidden="1">NonLinLarge!$J$73</definedName>
    <definedName name="solver_rhs214" localSheetId="57" hidden="1">NonLinLarge!$J$74</definedName>
    <definedName name="solver_rhs215" localSheetId="57" hidden="1">NonLinLarge!$J$75:$J$138</definedName>
    <definedName name="solver_rhs216" localSheetId="57" hidden="1">NonLinLarge!$J$139</definedName>
    <definedName name="solver_rhs217" localSheetId="57" hidden="1">NonLinLarge!$J$7:$J$8</definedName>
    <definedName name="solver_rhs218" localSheetId="57" hidden="1">NonLinLarge!$J$9:$J$72</definedName>
    <definedName name="solver_rhs219" localSheetId="57" hidden="1">NonLinLarge!$J$73</definedName>
    <definedName name="solver_rhs22" localSheetId="57" hidden="1">NonLinLarge!$J$74</definedName>
    <definedName name="solver_rhs220" localSheetId="57" hidden="1">NonLinLarge!$J$74</definedName>
    <definedName name="solver_rhs221" localSheetId="57" hidden="1">NonLinLarge!$J$75:$J$138</definedName>
    <definedName name="solver_rhs222" localSheetId="57" hidden="1">NonLinLarge!$J$139</definedName>
    <definedName name="solver_rhs223" localSheetId="57" hidden="1">NonLinLarge!$J$7:$J$8</definedName>
    <definedName name="solver_rhs224" localSheetId="57" hidden="1">NonLinLarge!$J$9:$J$72</definedName>
    <definedName name="solver_rhs225" localSheetId="57" hidden="1">NonLinLarge!$J$73</definedName>
    <definedName name="solver_rhs226" localSheetId="57" hidden="1">NonLinLarge!$J$74</definedName>
    <definedName name="solver_rhs227" localSheetId="57" hidden="1">NonLinLarge!$J$75:$J$138</definedName>
    <definedName name="solver_rhs228" localSheetId="57" hidden="1">NonLinLarge!$J$139</definedName>
    <definedName name="solver_rhs229" localSheetId="57" hidden="1">NonLinLarge!$J$7:$J$8</definedName>
    <definedName name="solver_rhs23" localSheetId="57" hidden="1">NonLinLarge!$J$75:$J$138</definedName>
    <definedName name="solver_rhs230" localSheetId="57" hidden="1">NonLinLarge!$J$9:$J$72</definedName>
    <definedName name="solver_rhs231" localSheetId="57" hidden="1">NonLinLarge!$J$73</definedName>
    <definedName name="solver_rhs232" localSheetId="57" hidden="1">NonLinLarge!$J$74</definedName>
    <definedName name="solver_rhs233" localSheetId="57" hidden="1">NonLinLarge!$J$75:$J$138</definedName>
    <definedName name="solver_rhs234" localSheetId="57" hidden="1">NonLinLarge!$J$139</definedName>
    <definedName name="solver_rhs235" localSheetId="57" hidden="1">NonLinLarge!$J$7:$J$8</definedName>
    <definedName name="solver_rhs236" localSheetId="57" hidden="1">NonLinLarge!$J$9:$J$72</definedName>
    <definedName name="solver_rhs237" localSheetId="57" hidden="1">NonLinLarge!$J$73</definedName>
    <definedName name="solver_rhs238" localSheetId="57" hidden="1">NonLinLarge!$J$74</definedName>
    <definedName name="solver_rhs239" localSheetId="57" hidden="1">NonLinLarge!$J$75:$J$138</definedName>
    <definedName name="solver_rhs24" localSheetId="57" hidden="1">NonLinLarge!$J$139</definedName>
    <definedName name="solver_rhs240" localSheetId="57" hidden="1">NonLinLarge!$J$139</definedName>
    <definedName name="solver_rhs241" localSheetId="57" hidden="1">NonLinLarge!$J$7:$J$8</definedName>
    <definedName name="solver_rhs242" localSheetId="57" hidden="1">NonLinLarge!$J$9:$J$72</definedName>
    <definedName name="solver_rhs243" localSheetId="57" hidden="1">NonLinLarge!$J$73</definedName>
    <definedName name="solver_rhs244" localSheetId="57" hidden="1">NonLinLarge!$J$74</definedName>
    <definedName name="solver_rhs245" localSheetId="57" hidden="1">NonLinLarge!$J$75:$J$138</definedName>
    <definedName name="solver_rhs246" localSheetId="57" hidden="1">NonLinLarge!$J$139</definedName>
    <definedName name="solver_rhs247" localSheetId="57" hidden="1">NonLinLarge!$J$7:$J$8</definedName>
    <definedName name="solver_rhs248" localSheetId="57" hidden="1">NonLinLarge!$J$9:$J$72</definedName>
    <definedName name="solver_rhs249" localSheetId="57" hidden="1">NonLinLarge!$J$73</definedName>
    <definedName name="solver_rhs25" localSheetId="57" hidden="1">NonLinLarge!$J$7:$J$8</definedName>
    <definedName name="solver_rhs250" localSheetId="57" hidden="1">NonLinLarge!$J$74</definedName>
    <definedName name="solver_rhs251" localSheetId="57" hidden="1">NonLinLarge!$J$75:$J$138</definedName>
    <definedName name="solver_rhs252" localSheetId="57" hidden="1">NonLinLarge!$J$139</definedName>
    <definedName name="solver_rhs253" localSheetId="57" hidden="1">NonLinLarge!$J$7:$J$8</definedName>
    <definedName name="solver_rhs254" localSheetId="57" hidden="1">NonLinLarge!$J$9:$J$72</definedName>
    <definedName name="solver_rhs255" localSheetId="57" hidden="1">NonLinLarge!$J$73</definedName>
    <definedName name="solver_rhs256" localSheetId="57" hidden="1">NonLinLarge!$J$74</definedName>
    <definedName name="solver_rhs257" localSheetId="57" hidden="1">NonLinLarge!$J$75:$J$138</definedName>
    <definedName name="solver_rhs258" localSheetId="57" hidden="1">NonLinLarge!$J$139</definedName>
    <definedName name="solver_rhs259" localSheetId="57" hidden="1">NonLinLarge!$J$7:$J$8</definedName>
    <definedName name="solver_rhs26" localSheetId="57" hidden="1">NonLinLarge!$J$9:$J$72</definedName>
    <definedName name="solver_rhs260" localSheetId="57" hidden="1">NonLinLarge!$J$9:$J$72</definedName>
    <definedName name="solver_rhs261" localSheetId="57" hidden="1">NonLinLarge!$J$73</definedName>
    <definedName name="solver_rhs262" localSheetId="57" hidden="1">NonLinLarge!$J$74</definedName>
    <definedName name="solver_rhs263" localSheetId="57" hidden="1">NonLinLarge!$J$75:$J$138</definedName>
    <definedName name="solver_rhs264" localSheetId="57" hidden="1">NonLinLarge!$J$139</definedName>
    <definedName name="solver_rhs265" localSheetId="57" hidden="1">NonLinLarge!$J$7:$J$8</definedName>
    <definedName name="solver_rhs266" localSheetId="57" hidden="1">NonLinLarge!$J$9:$J$72</definedName>
    <definedName name="solver_rhs267" localSheetId="57" hidden="1">NonLinLarge!$J$73</definedName>
    <definedName name="solver_rhs268" localSheetId="57" hidden="1">NonLinLarge!$J$74</definedName>
    <definedName name="solver_rhs269" localSheetId="57" hidden="1">NonLinLarge!$J$75:$J$138</definedName>
    <definedName name="solver_rhs27" localSheetId="57" hidden="1">NonLinLarge!$J$73</definedName>
    <definedName name="solver_rhs270" localSheetId="57" hidden="1">NonLinLarge!$J$139</definedName>
    <definedName name="solver_rhs271" localSheetId="57" hidden="1">NonLinLarge!$J$7:$J$8</definedName>
    <definedName name="solver_rhs272" localSheetId="57" hidden="1">NonLinLarge!$J$9:$J$72</definedName>
    <definedName name="solver_rhs273" localSheetId="57" hidden="1">NonLinLarge!$J$73</definedName>
    <definedName name="solver_rhs274" localSheetId="57" hidden="1">NonLinLarge!$J$74</definedName>
    <definedName name="solver_rhs275" localSheetId="57" hidden="1">NonLinLarge!$J$75:$J$138</definedName>
    <definedName name="solver_rhs276" localSheetId="57" hidden="1">NonLinLarge!$J$139</definedName>
    <definedName name="solver_rhs277" localSheetId="57" hidden="1">NonLinLarge!$J$7:$J$8</definedName>
    <definedName name="solver_rhs278" localSheetId="57" hidden="1">NonLinLarge!$J$9:$J$72</definedName>
    <definedName name="solver_rhs279" localSheetId="57" hidden="1">NonLinLarge!$J$73</definedName>
    <definedName name="solver_rhs28" localSheetId="57" hidden="1">NonLinLarge!$J$74</definedName>
    <definedName name="solver_rhs280" localSheetId="57" hidden="1">NonLinLarge!$J$74</definedName>
    <definedName name="solver_rhs281" localSheetId="57" hidden="1">NonLinLarge!$J$75:$J$138</definedName>
    <definedName name="solver_rhs282" localSheetId="57" hidden="1">NonLinLarge!$J$139</definedName>
    <definedName name="solver_rhs283" localSheetId="57" hidden="1">NonLinLarge!$J$7:$J$8</definedName>
    <definedName name="solver_rhs284" localSheetId="57" hidden="1">NonLinLarge!$J$9:$J$72</definedName>
    <definedName name="solver_rhs285" localSheetId="57" hidden="1">NonLinLarge!$J$73</definedName>
    <definedName name="solver_rhs286" localSheetId="57" hidden="1">NonLinLarge!$J$74</definedName>
    <definedName name="solver_rhs287" localSheetId="57" hidden="1">NonLinLarge!$J$75:$J$138</definedName>
    <definedName name="solver_rhs288" localSheetId="57" hidden="1">NonLinLarge!$J$139</definedName>
    <definedName name="solver_rhs289" localSheetId="57" hidden="1">NonLinLarge!$J$7:$J$8</definedName>
    <definedName name="solver_rhs29" localSheetId="57" hidden="1">NonLinLarge!$J$75:$J$138</definedName>
    <definedName name="solver_rhs290" localSheetId="57" hidden="1">NonLinLarge!$J$9:$J$72</definedName>
    <definedName name="solver_rhs291" localSheetId="57" hidden="1">NonLinLarge!$J$73</definedName>
    <definedName name="solver_rhs292" localSheetId="57" hidden="1">NonLinLarge!$J$74</definedName>
    <definedName name="solver_rhs293" localSheetId="57" hidden="1">NonLinLarge!$J$75:$J$138</definedName>
    <definedName name="solver_rhs294" localSheetId="57" hidden="1">NonLinLarge!$J$139</definedName>
    <definedName name="solver_rhs295" localSheetId="57" hidden="1">NonLinLarge!$J$7:$J$8</definedName>
    <definedName name="solver_rhs296" localSheetId="57" hidden="1">NonLinLarge!$J$9:$J$72</definedName>
    <definedName name="solver_rhs297" localSheetId="57" hidden="1">NonLinLarge!$J$73</definedName>
    <definedName name="solver_rhs298" localSheetId="57" hidden="1">NonLinLarge!$J$74</definedName>
    <definedName name="solver_rhs299" localSheetId="57" hidden="1">NonLinLarge!$J$75:$J$138</definedName>
    <definedName name="solver_rhs3" localSheetId="70" hidden="1">AutoModel!$D$17</definedName>
    <definedName name="solver_rhs3" localSheetId="21" hidden="1">'BadName!'!$J$11</definedName>
    <definedName name="solver_rhs3" localSheetId="33" hidden="1">binary</definedName>
    <definedName name="solver_rhs3" localSheetId="18" hidden="1">BinIntOverlap!$K$11</definedName>
    <definedName name="solver_rhs3" localSheetId="32" hidden="1">binary</definedName>
    <definedName name="solver_rhs3" localSheetId="6" hidden="1">BlankLHS!$J$11</definedName>
    <definedName name="solver_rhs3" localSheetId="5" hidden="1">BlankRHS!$J$11</definedName>
    <definedName name="solver_rhs3" localSheetId="45" hidden="1">ComplexLayout!$K$11</definedName>
    <definedName name="solver_rhs3" localSheetId="19" hidden="1">ConFormula!$K$12</definedName>
    <definedName name="solver_rhs3" localSheetId="20" hidden="1">ConFormulaInf!$K$12</definedName>
    <definedName name="solver_rhs3" localSheetId="41" hidden="1">ConstantLB!$J$12</definedName>
    <definedName name="solver_rhs3" localSheetId="38" hidden="1">ConstFormulaRangeLB!$J$11</definedName>
    <definedName name="solver_rhs3" localSheetId="40" hidden="1">ConstraintLB!$J$13</definedName>
    <definedName name="solver_rhs3" localSheetId="23" hidden="1">DeletedConRef!$J$12</definedName>
    <definedName name="solver_rhs3" localSheetId="24" hidden="1">DeletedObjRef!$J$12</definedName>
    <definedName name="solver_rhs3" localSheetId="50" hidden="1">DiffSheetObj!$I$8:$I$9</definedName>
    <definedName name="solver_rhs3" localSheetId="30" hidden="1">DirectLBs!$J$12</definedName>
    <definedName name="solver_rhs3" localSheetId="9" hidden="1">ErrorLHS!$J$11</definedName>
    <definedName name="solver_rhs3" localSheetId="10" hidden="1">ErrorObj!$J$11</definedName>
    <definedName name="solver_rhs3" localSheetId="8" hidden="1">ErrorRHS!$J$11</definedName>
    <definedName name="solver_rhs3" localSheetId="22" hidden="1">'EscapeSheetName(1)+2-1'!$J$11</definedName>
    <definedName name="solver_rhs3" localSheetId="26" hidden="1">FeasConstConstraint!$L$11</definedName>
    <definedName name="solver_rhs3" localSheetId="42" hidden="1">FormulaLB!$J$12</definedName>
    <definedName name="solver_rhs3" localSheetId="44" hidden="1">FractionalCoeffs!$I$8:$I$9</definedName>
    <definedName name="solver_rhs3" localSheetId="69" hidden="1">Highlighting!$I$10</definedName>
    <definedName name="solver_rhs3" localSheetId="29" hidden="1">IndirectLBs!$J$13</definedName>
    <definedName name="solver_rhs3" localSheetId="25" hidden="1">InfConstConstraint!$L$11</definedName>
    <definedName name="solver_rhs3" localSheetId="46" hidden="1">InfModel!$J$12</definedName>
    <definedName name="solver_rhs3" localSheetId="47" hidden="1">IterativeCalc!$J$12</definedName>
    <definedName name="solver_rhs3" localSheetId="35" hidden="1">LargeRangeLB!$J$13</definedName>
    <definedName name="solver_rhs3" localSheetId="16" hidden="1">MergedLHS_OK!$J$12</definedName>
    <definedName name="solver_rhs3" localSheetId="17" hidden="1">MergedLHSMultiple_OK!$J$12</definedName>
    <definedName name="solver_rhs3" localSheetId="15" hidden="1">MergedRHS_OK!$J$12</definedName>
    <definedName name="solver_rhs3" localSheetId="14" hidden="1">MergedVarsBad!$J$12</definedName>
    <definedName name="solver_rhs3" localSheetId="13" hidden="1">MergedVarsOK!$J$12</definedName>
    <definedName name="solver_rhs3" localSheetId="12" hidden="1">MergedVarsSubset!$J$12</definedName>
    <definedName name="solver_rhs3" localSheetId="51" hidden="1">NamedRanges!$K$10:$K$11</definedName>
    <definedName name="solver_rhs3" localSheetId="63" hidden="1">NonLin!$L$43</definedName>
    <definedName name="solver_rhs3" localSheetId="68" hidden="1">-180</definedName>
    <definedName name="solver_rhs3" localSheetId="57" hidden="1">NonLinLarge!$J$73</definedName>
    <definedName name="solver_rhs3" localSheetId="58" hidden="1">NonLinObj!$J$10</definedName>
    <definedName name="solver_rhs3" localSheetId="59" hidden="1">NonLinPruning!$H$12:$H$18</definedName>
    <definedName name="solver_rhs3" localSheetId="56" hidden="1">NonLinSimple!$J$10</definedName>
    <definedName name="solver_rhs3" localSheetId="48" hidden="1">NoObj!$J$12</definedName>
    <definedName name="solver_rhs3" localSheetId="4" hidden="1">OverlappingVars!$J$11</definedName>
    <definedName name="solver_rhs3" localSheetId="36" hidden="1">OverlapRangeLB!$J$13</definedName>
    <definedName name="solver_rhs3" localSheetId="37" hidden="1">OverlapRangeLBwithFormula!$J$13</definedName>
    <definedName name="solver_rhs3" localSheetId="28" hidden="1">ProtectedSheet!$J$11</definedName>
    <definedName name="solver_rhs3" localSheetId="52" hidden="1">QuickSolve!$J$10</definedName>
    <definedName name="solver_rhs3" localSheetId="34" hidden="1">binary</definedName>
    <definedName name="solver_rhs3" localSheetId="1" hidden="1">OverlappingVars!$J$11</definedName>
    <definedName name="solver_rhs3" localSheetId="49" hidden="1">SeekObj!$I$8:$I$9</definedName>
    <definedName name="solver_rhs3" localSheetId="54" hidden="1">Sensitivity!$I$10:$I$11</definedName>
    <definedName name="solver_rhs3" localSheetId="55" hidden="1">SensitivityNames!$J$24</definedName>
    <definedName name="solver_rhs3" localSheetId="3" hidden="1">SimpleIP!$J$11</definedName>
    <definedName name="solver_rhs3" localSheetId="2" hidden="1">SimpleLP!$J$11</definedName>
    <definedName name="solver_rhs3" localSheetId="31" hidden="1">SingleRangeLB!$J$11</definedName>
    <definedName name="solver_rhs3" localSheetId="53" hidden="1">SolverParameters!$J$20</definedName>
    <definedName name="solver_rhs3" localSheetId="11" hidden="1">TextObj!$J$11</definedName>
    <definedName name="solver_rhs3" localSheetId="7" hidden="1">TextRHS!$J$11</definedName>
    <definedName name="solver_rhs3" localSheetId="27" hidden="1">Unbounded!$J$11</definedName>
    <definedName name="solver_rhs3" localSheetId="43" hidden="1">VarConstraintLB!$J$12</definedName>
    <definedName name="solver_rhs3" localSheetId="39" hidden="1">VariableFormulaRangeLB!$J$12</definedName>
    <definedName name="solver_rhs30" localSheetId="57" hidden="1">NonLinLarge!$J$139</definedName>
    <definedName name="solver_rhs300" localSheetId="57" hidden="1">NonLinLarge!$J$139</definedName>
    <definedName name="solver_rhs31" localSheetId="57" hidden="1">NonLinLarge!$J$7:$J$8</definedName>
    <definedName name="solver_rhs32" localSheetId="57" hidden="1">NonLinLarge!$J$9:$J$72</definedName>
    <definedName name="solver_rhs33" localSheetId="57" hidden="1">NonLinLarge!$J$73</definedName>
    <definedName name="solver_rhs34" localSheetId="57" hidden="1">NonLinLarge!$J$74</definedName>
    <definedName name="solver_rhs35" localSheetId="57" hidden="1">NonLinLarge!$J$75:$J$138</definedName>
    <definedName name="solver_rhs36" localSheetId="57" hidden="1">NonLinLarge!$J$139</definedName>
    <definedName name="solver_rhs37" localSheetId="57" hidden="1">NonLinLarge!$J$7:$J$8</definedName>
    <definedName name="solver_rhs38" localSheetId="57" hidden="1">NonLinLarge!$J$9:$J$72</definedName>
    <definedName name="solver_rhs39" localSheetId="57" hidden="1">NonLinLarge!$J$73</definedName>
    <definedName name="solver_rhs4" localSheetId="70" hidden="1">AutoModel!$D$35</definedName>
    <definedName name="solver_rhs4" localSheetId="21" hidden="1">'BadName!'!$J$12</definedName>
    <definedName name="solver_rhs4" localSheetId="33" hidden="1">integer</definedName>
    <definedName name="solver_rhs4" localSheetId="18" hidden="1">binary</definedName>
    <definedName name="solver_rhs4" localSheetId="32" hidden="1">BinLB!$J$12</definedName>
    <definedName name="solver_rhs4" localSheetId="6" hidden="1">BlankLHS!$J$11</definedName>
    <definedName name="solver_rhs4" localSheetId="5" hidden="1">BlankRHS!$J$11</definedName>
    <definedName name="solver_rhs4" localSheetId="45" hidden="1">binary</definedName>
    <definedName name="solver_rhs4" localSheetId="19" hidden="1">binary</definedName>
    <definedName name="solver_rhs4" localSheetId="20" hidden="1">binary</definedName>
    <definedName name="solver_rhs4" localSheetId="41" hidden="1">ConstantLB!$J$13</definedName>
    <definedName name="solver_rhs4" localSheetId="38" hidden="1">ConstFormulaRangeLB!$J$12</definedName>
    <definedName name="solver_rhs4" localSheetId="40" hidden="1">ConstraintLB!$D$7:$F$7</definedName>
    <definedName name="solver_rhs4" localSheetId="23" hidden="1">DeletedConRef!#REF!</definedName>
    <definedName name="solver_rhs4" localSheetId="24" hidden="1">DeletedObjRef!$J$12</definedName>
    <definedName name="solver_rhs4" localSheetId="50" hidden="1">DiffSheetObj!$I$9</definedName>
    <definedName name="solver_rhs4" localSheetId="30" hidden="1">DirectLBs!$D$6:$F$6</definedName>
    <definedName name="solver_rhs4" localSheetId="9" hidden="1">ErrorLHS!$J$11</definedName>
    <definedName name="solver_rhs4" localSheetId="10" hidden="1">ErrorObj!$J$11</definedName>
    <definedName name="solver_rhs4" localSheetId="8" hidden="1">ErrorRHS!$J$11</definedName>
    <definedName name="solver_rhs4" localSheetId="22" hidden="1">'EscapeSheetName(1)+2-1'!$J$11</definedName>
    <definedName name="solver_rhs4" localSheetId="26" hidden="1">FeasConstConstraint!$L$11</definedName>
    <definedName name="solver_rhs4" localSheetId="42" hidden="1">FormulaLB!$J$13</definedName>
    <definedName name="solver_rhs4" localSheetId="44" hidden="1">FractionalCoeffs!$I$9</definedName>
    <definedName name="solver_rhs4" localSheetId="69" hidden="1">12</definedName>
    <definedName name="solver_rhs4" localSheetId="29" hidden="1">IndirectLBs!$D$6:$E$6</definedName>
    <definedName name="solver_rhs4" localSheetId="25" hidden="1">InfConstConstraint!$L$11</definedName>
    <definedName name="solver_rhs4" localSheetId="46" hidden="1">2</definedName>
    <definedName name="solver_rhs4" localSheetId="47" hidden="1">IterativeCalc!$J$12</definedName>
    <definedName name="solver_rhs4" localSheetId="35" hidden="1">LargeRangeLB!$J$14</definedName>
    <definedName name="solver_rhs4" localSheetId="16" hidden="1">MergedLHS_OK!$J$12</definedName>
    <definedName name="solver_rhs4" localSheetId="17" hidden="1">MergedLHSMultiple_OK!$J$12</definedName>
    <definedName name="solver_rhs4" localSheetId="15" hidden="1">MergedRHS_OK!$J$12</definedName>
    <definedName name="solver_rhs4" localSheetId="14" hidden="1">MergedVarsBad!$J$12</definedName>
    <definedName name="solver_rhs4" localSheetId="13" hidden="1">MergedVarsOK!$J$12</definedName>
    <definedName name="solver_rhs4" localSheetId="12" hidden="1">MergedVarsSubset!$J$12</definedName>
    <definedName name="solver_rhs4" localSheetId="51" hidden="1">NamedRanges!$K$12</definedName>
    <definedName name="solver_rhs4" localSheetId="63" hidden="1">NonLin!$L$44</definedName>
    <definedName name="solver_rhs4" localSheetId="68" hidden="1">0</definedName>
    <definedName name="solver_rhs4" localSheetId="57" hidden="1">NonLinLarge!$J$139</definedName>
    <definedName name="solver_rhs4" localSheetId="59" hidden="1">NonLinPruning!$H$11</definedName>
    <definedName name="solver_rhs4" localSheetId="48" hidden="1">NoObj!$J$12</definedName>
    <definedName name="solver_rhs4" localSheetId="4" hidden="1">OverlappingVars!$J$8:$J$9</definedName>
    <definedName name="solver_rhs4" localSheetId="36" hidden="1">OverlapRangeLB!$J$14</definedName>
    <definedName name="solver_rhs4" localSheetId="37" hidden="1">OverlapRangeLBwithFormula!$J$14</definedName>
    <definedName name="solver_rhs4" localSheetId="28" hidden="1">ProtectedSheet!$J$11</definedName>
    <definedName name="solver_rhs4" localSheetId="52" hidden="1">integer</definedName>
    <definedName name="solver_rhs4" localSheetId="34" hidden="1">integer</definedName>
    <definedName name="solver_rhs4" localSheetId="49" hidden="1">SeekObj!$I$9</definedName>
    <definedName name="solver_rhs4" localSheetId="54" hidden="1">Sensitivity!$G$20</definedName>
    <definedName name="solver_rhs4" localSheetId="55" hidden="1">0</definedName>
    <definedName name="solver_rhs4" localSheetId="3" hidden="1">SimpleIP!$J$8:$J$9</definedName>
    <definedName name="solver_rhs4" localSheetId="2" hidden="1">SimpleLP!$J$8:$J$9</definedName>
    <definedName name="solver_rhs4" localSheetId="31" hidden="1">SingleRangeLB!$J$12</definedName>
    <definedName name="solver_rhs4" localSheetId="53" hidden="1">SolverParameters!$J$20</definedName>
    <definedName name="solver_rhs4" localSheetId="11" hidden="1">TextObj!$J$11</definedName>
    <definedName name="solver_rhs4" localSheetId="7" hidden="1">TextRHS!$J$11</definedName>
    <definedName name="solver_rhs4" localSheetId="27" hidden="1">Unbounded!$J$8:$J$9</definedName>
    <definedName name="solver_rhs4" localSheetId="43" hidden="1">VarConstraintLB!$J$13</definedName>
    <definedName name="solver_rhs4" localSheetId="39" hidden="1">VariableFormulaRangeLB!$J$13</definedName>
    <definedName name="solver_rhs40" localSheetId="57" hidden="1">NonLinLarge!$J$74</definedName>
    <definedName name="solver_rhs41" localSheetId="57" hidden="1">NonLinLarge!$J$75:$J$138</definedName>
    <definedName name="solver_rhs42" localSheetId="57" hidden="1">NonLinLarge!$J$139</definedName>
    <definedName name="solver_rhs43" localSheetId="57" hidden="1">NonLinLarge!$J$7:$J$8</definedName>
    <definedName name="solver_rhs44" localSheetId="57" hidden="1">NonLinLarge!$J$9:$J$72</definedName>
    <definedName name="solver_rhs45" localSheetId="57" hidden="1">NonLinLarge!$J$73</definedName>
    <definedName name="solver_rhs46" localSheetId="57" hidden="1">NonLinLarge!$J$74</definedName>
    <definedName name="solver_rhs47" localSheetId="57" hidden="1">NonLinLarge!$J$75:$J$138</definedName>
    <definedName name="solver_rhs48" localSheetId="57" hidden="1">NonLinLarge!$J$139</definedName>
    <definedName name="solver_rhs49" localSheetId="57" hidden="1">NonLinLarge!$J$7:$J$8</definedName>
    <definedName name="solver_rhs5" localSheetId="70" hidden="1">integer</definedName>
    <definedName name="solver_rhs5" localSheetId="21" hidden="1">2</definedName>
    <definedName name="solver_rhs5" localSheetId="33" hidden="1">BinIntLB!$J$12</definedName>
    <definedName name="solver_rhs5" localSheetId="18" hidden="1">integer</definedName>
    <definedName name="solver_rhs5" localSheetId="32" hidden="1">BinLB!$J$13</definedName>
    <definedName name="solver_rhs5" localSheetId="6" hidden="1">2</definedName>
    <definedName name="solver_rhs5" localSheetId="5" hidden="1">2</definedName>
    <definedName name="solver_rhs5" localSheetId="45" hidden="1">integer</definedName>
    <definedName name="solver_rhs5" localSheetId="19" hidden="1">integer</definedName>
    <definedName name="solver_rhs5" localSheetId="20" hidden="1">integer</definedName>
    <definedName name="solver_rhs5" localSheetId="41" hidden="1">2</definedName>
    <definedName name="solver_rhs5" localSheetId="38" hidden="1">2</definedName>
    <definedName name="solver_rhs5" localSheetId="40" hidden="1">2</definedName>
    <definedName name="solver_rhs5" localSheetId="23" hidden="1">2</definedName>
    <definedName name="solver_rhs5" localSheetId="24" hidden="1">2</definedName>
    <definedName name="solver_rhs5" localSheetId="30" hidden="1">2</definedName>
    <definedName name="solver_rhs5" localSheetId="9" hidden="1">2</definedName>
    <definedName name="solver_rhs5" localSheetId="10" hidden="1">2</definedName>
    <definedName name="solver_rhs5" localSheetId="8" hidden="1">2</definedName>
    <definedName name="solver_rhs5" localSheetId="22" hidden="1">2</definedName>
    <definedName name="solver_rhs5" localSheetId="26" hidden="1">2</definedName>
    <definedName name="solver_rhs5" localSheetId="42" hidden="1">2</definedName>
    <definedName name="solver_rhs5" localSheetId="69" hidden="1">Highlighting!$N$12</definedName>
    <definedName name="solver_rhs5" localSheetId="29" hidden="1">2</definedName>
    <definedName name="solver_rhs5" localSheetId="25" hidden="1">2</definedName>
    <definedName name="solver_rhs5" localSheetId="46" hidden="1">2</definedName>
    <definedName name="solver_rhs5" localSheetId="47" hidden="1">2</definedName>
    <definedName name="solver_rhs5" localSheetId="35" hidden="1">2</definedName>
    <definedName name="solver_rhs5" localSheetId="16" hidden="1">MergedLHS_OK!$J$10</definedName>
    <definedName name="solver_rhs5" localSheetId="17" hidden="1">MergedLHSMultiple_OK!$J$10</definedName>
    <definedName name="solver_rhs5" localSheetId="15" hidden="1">2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63" hidden="1">integer</definedName>
    <definedName name="solver_rhs5" localSheetId="57" hidden="1">NonLinLarge!$J$9:$J$72</definedName>
    <definedName name="solver_rhs5" localSheetId="59" hidden="1">NonLinPruning!$H$12:$H$17</definedName>
    <definedName name="solver_rhs5" localSheetId="48" hidden="1">2</definedName>
    <definedName name="solver_rhs5" localSheetId="4" hidden="1">OverlappingVars!$J$10</definedName>
    <definedName name="solver_rhs5" localSheetId="36" hidden="1">2</definedName>
    <definedName name="solver_rhs5" localSheetId="37" hidden="1">2</definedName>
    <definedName name="solver_rhs5" localSheetId="28" hidden="1">2</definedName>
    <definedName name="solver_rhs5" localSheetId="52" hidden="1">QuickSolve!$J$11</definedName>
    <definedName name="solver_rhs5" localSheetId="34" hidden="1">binary</definedName>
    <definedName name="solver_rhs5" localSheetId="3" hidden="1">SimpleIP!$J$10</definedName>
    <definedName name="solver_rhs5" localSheetId="2" hidden="1">SimpleLP!$J$10</definedName>
    <definedName name="solver_rhs5" localSheetId="31" hidden="1">2</definedName>
    <definedName name="solver_rhs5" localSheetId="11" hidden="1">2</definedName>
    <definedName name="solver_rhs5" localSheetId="7" hidden="1">2</definedName>
    <definedName name="solver_rhs5" localSheetId="27" hidden="1">Unbounded!$J$10</definedName>
    <definedName name="solver_rhs5" localSheetId="43" hidden="1">2</definedName>
    <definedName name="solver_rhs5" localSheetId="39" hidden="1">2</definedName>
    <definedName name="solver_rhs50" localSheetId="57" hidden="1">NonLinLarge!$J$9:$J$72</definedName>
    <definedName name="solver_rhs51" localSheetId="57" hidden="1">NonLinLarge!$J$73</definedName>
    <definedName name="solver_rhs52" localSheetId="57" hidden="1">NonLinLarge!$J$74</definedName>
    <definedName name="solver_rhs53" localSheetId="57" hidden="1">NonLinLarge!$J$75:$J$138</definedName>
    <definedName name="solver_rhs54" localSheetId="57" hidden="1">NonLinLarge!$J$139</definedName>
    <definedName name="solver_rhs55" localSheetId="57" hidden="1">NonLinLarge!$J$7:$J$8</definedName>
    <definedName name="solver_rhs56" localSheetId="57" hidden="1">NonLinLarge!$J$9:$J$72</definedName>
    <definedName name="solver_rhs57" localSheetId="57" hidden="1">NonLinLarge!$J$73</definedName>
    <definedName name="solver_rhs58" localSheetId="57" hidden="1">NonLinLarge!$J$74</definedName>
    <definedName name="solver_rhs59" localSheetId="57" hidden="1">NonLinLarge!$J$75:$J$138</definedName>
    <definedName name="solver_rhs6" localSheetId="70" hidden="1">integer</definedName>
    <definedName name="solver_rhs6" localSheetId="21" hidden="1">binary</definedName>
    <definedName name="solver_rhs6" localSheetId="33" hidden="1">BinIntLB!$J$13</definedName>
    <definedName name="solver_rhs6" localSheetId="18" hidden="1">BinIntOverlap!$K$11</definedName>
    <definedName name="solver_rhs6" localSheetId="32" hidden="1">binary</definedName>
    <definedName name="solver_rhs6" localSheetId="6" hidden="1">binary</definedName>
    <definedName name="solver_rhs6" localSheetId="5" hidden="1">binary</definedName>
    <definedName name="solver_rhs6" localSheetId="45" hidden="1">ComplexLayout!$U$3:$U$4</definedName>
    <definedName name="solver_rhs6" localSheetId="19" hidden="1">ConFormula!$U$4:$U$5</definedName>
    <definedName name="solver_rhs6" localSheetId="20" hidden="1">ConFormulaInf!$U$4:$U$5</definedName>
    <definedName name="solver_rhs6" localSheetId="41" hidden="1">ConstantLB!$D$7:$F$7</definedName>
    <definedName name="solver_rhs6" localSheetId="38" hidden="1">ConstFormulaRangeLB!$D$6:$F$6</definedName>
    <definedName name="solver_rhs6" localSheetId="40" hidden="1">ConstraintLB!$D$7:$F$7</definedName>
    <definedName name="solver_rhs6" localSheetId="23" hidden="1">binary</definedName>
    <definedName name="solver_rhs6" localSheetId="24" hidden="1">binary</definedName>
    <definedName name="solver_rhs6" localSheetId="30" hidden="1">DirectLBs!$D$6:$F$6</definedName>
    <definedName name="solver_rhs6" localSheetId="9" hidden="1">binary</definedName>
    <definedName name="solver_rhs6" localSheetId="10" hidden="1">binary</definedName>
    <definedName name="solver_rhs6" localSheetId="8" hidden="1">binary</definedName>
    <definedName name="solver_rhs6" localSheetId="22" hidden="1">binary</definedName>
    <definedName name="solver_rhs6" localSheetId="26" hidden="1">binary</definedName>
    <definedName name="solver_rhs6" localSheetId="42" hidden="1">FormulaLB!$D$7:$F$7</definedName>
    <definedName name="solver_rhs6" localSheetId="69" hidden="1">Highlighting!$L$12</definedName>
    <definedName name="solver_rhs6" localSheetId="29" hidden="1">IndirectLBs!$D$6:$E$6</definedName>
    <definedName name="solver_rhs6" localSheetId="25" hidden="1">binary</definedName>
    <definedName name="solver_rhs6" localSheetId="46" hidden="1">binary</definedName>
    <definedName name="solver_rhs6" localSheetId="47" hidden="1">binary</definedName>
    <definedName name="solver_rhs6" localSheetId="35" hidden="1">LargeRangeLB!$D$8:$F$8</definedName>
    <definedName name="solver_rhs6" localSheetId="16" hidden="1">binary</definedName>
    <definedName name="solver_rhs6" localSheetId="17" hidden="1">binary</definedName>
    <definedName name="solver_rhs6" localSheetId="15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57" hidden="1">NonLinLarge!$J$75:$J$138</definedName>
    <definedName name="solver_rhs6" localSheetId="59" hidden="1">NonLinPruning!$H$18</definedName>
    <definedName name="solver_rhs6" localSheetId="48" hidden="1">binary</definedName>
    <definedName name="solver_rhs6" localSheetId="4" hidden="1">OverlappingVars!$J$11</definedName>
    <definedName name="solver_rhs6" localSheetId="36" hidden="1">OverlapRangeLB!$D$8:$F$8</definedName>
    <definedName name="solver_rhs6" localSheetId="37" hidden="1">OverlapRangeLBwithFormula!$D$8:$F$8</definedName>
    <definedName name="solver_rhs6" localSheetId="28" hidden="1">binary</definedName>
    <definedName name="solver_rhs6" localSheetId="52" hidden="1">binary</definedName>
    <definedName name="solver_rhs6" localSheetId="34" hidden="1">integer</definedName>
    <definedName name="solver_rhs6" localSheetId="3" hidden="1">SimpleIP!$J$11</definedName>
    <definedName name="solver_rhs6" localSheetId="2" hidden="1">SimpleLP!$J$11</definedName>
    <definedName name="solver_rhs6" localSheetId="31" hidden="1">SingleRangeLB!$D$6:$F$6</definedName>
    <definedName name="solver_rhs6" localSheetId="11" hidden="1">binary</definedName>
    <definedName name="solver_rhs6" localSheetId="7" hidden="1">binary</definedName>
    <definedName name="solver_rhs6" localSheetId="27" hidden="1">Unbounded!$J$11</definedName>
    <definedName name="solver_rhs6" localSheetId="43" hidden="1">VarConstraintLB!$D$7:$F$7</definedName>
    <definedName name="solver_rhs6" localSheetId="39" hidden="1">VariableFormulaRangeLB!$D$7:$F$7</definedName>
    <definedName name="solver_rhs60" localSheetId="57" hidden="1">NonLinLarge!$J$139</definedName>
    <definedName name="solver_rhs61" localSheetId="57" hidden="1">NonLinLarge!$J$7:$J$8</definedName>
    <definedName name="solver_rhs62" localSheetId="57" hidden="1">NonLinLarge!$J$9:$J$72</definedName>
    <definedName name="solver_rhs63" localSheetId="57" hidden="1">NonLinLarge!$J$73</definedName>
    <definedName name="solver_rhs64" localSheetId="57" hidden="1">NonLinLarge!$J$74</definedName>
    <definedName name="solver_rhs65" localSheetId="57" hidden="1">NonLinLarge!$J$75:$J$138</definedName>
    <definedName name="solver_rhs66" localSheetId="57" hidden="1">NonLinLarge!$J$139</definedName>
    <definedName name="solver_rhs67" localSheetId="57" hidden="1">NonLinLarge!$J$7:$J$8</definedName>
    <definedName name="solver_rhs68" localSheetId="57" hidden="1">NonLinLarge!$J$9:$J$72</definedName>
    <definedName name="solver_rhs69" localSheetId="57" hidden="1">NonLinLarge!$J$73</definedName>
    <definedName name="solver_rhs7" localSheetId="70" hidden="1">integer</definedName>
    <definedName name="solver_rhs7" localSheetId="21" hidden="1">integer</definedName>
    <definedName name="solver_rhs7" localSheetId="33" hidden="1">integer</definedName>
    <definedName name="solver_rhs7" localSheetId="18" hidden="1">integer</definedName>
    <definedName name="solver_rhs7" localSheetId="32" hidden="1">integer</definedName>
    <definedName name="solver_rhs7" localSheetId="6" hidden="1">integer</definedName>
    <definedName name="solver_rhs7" localSheetId="5" hidden="1">integer</definedName>
    <definedName name="solver_rhs7" localSheetId="45" hidden="1">ComplexLayout!$Q$7:$R$7</definedName>
    <definedName name="solver_rhs7" localSheetId="19" hidden="1">ConFormula!$Q$8:$R$8</definedName>
    <definedName name="solver_rhs7" localSheetId="20" hidden="1">ConFormulaInf!$Q$8:$R$8</definedName>
    <definedName name="solver_rhs7" localSheetId="41" hidden="1">integer</definedName>
    <definedName name="solver_rhs7" localSheetId="38" hidden="1">integer</definedName>
    <definedName name="solver_rhs7" localSheetId="40" hidden="1">integer</definedName>
    <definedName name="solver_rhs7" localSheetId="23" hidden="1">integer</definedName>
    <definedName name="solver_rhs7" localSheetId="24" hidden="1">integer</definedName>
    <definedName name="solver_rhs7" localSheetId="30" hidden="1">integer</definedName>
    <definedName name="solver_rhs7" localSheetId="9" hidden="1">integer</definedName>
    <definedName name="solver_rhs7" localSheetId="10" hidden="1">integer</definedName>
    <definedName name="solver_rhs7" localSheetId="8" hidden="1">integer</definedName>
    <definedName name="solver_rhs7" localSheetId="22" hidden="1">integer</definedName>
    <definedName name="solver_rhs7" localSheetId="26" hidden="1">integer</definedName>
    <definedName name="solver_rhs7" localSheetId="42" hidden="1">integer</definedName>
    <definedName name="solver_rhs7" localSheetId="69" hidden="1">2</definedName>
    <definedName name="solver_rhs7" localSheetId="29" hidden="1">integer</definedName>
    <definedName name="solver_rhs7" localSheetId="25" hidden="1">integer</definedName>
    <definedName name="solver_rhs7" localSheetId="46" hidden="1">integer</definedName>
    <definedName name="solver_rhs7" localSheetId="47" hidden="1">integer</definedName>
    <definedName name="solver_rhs7" localSheetId="35" hidden="1">integer</definedName>
    <definedName name="solver_rhs7" localSheetId="16" hidden="1">integer</definedName>
    <definedName name="solver_rhs7" localSheetId="17" hidden="1">integer</definedName>
    <definedName name="solver_rhs7" localSheetId="15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57" hidden="1">NonLinLarge!$J$7:$J$8</definedName>
    <definedName name="solver_rhs7" localSheetId="48" hidden="1">integer</definedName>
    <definedName name="solver_rhs7" localSheetId="4" hidden="1">OverlappingVars!$J$8:$J$9</definedName>
    <definedName name="solver_rhs7" localSheetId="36" hidden="1">integer</definedName>
    <definedName name="solver_rhs7" localSheetId="37" hidden="1">integer</definedName>
    <definedName name="solver_rhs7" localSheetId="28" hidden="1">integer</definedName>
    <definedName name="solver_rhs7" localSheetId="52" hidden="1">integer</definedName>
    <definedName name="solver_rhs7" localSheetId="34" hidden="1">integer</definedName>
    <definedName name="solver_rhs7" localSheetId="3" hidden="1">integer</definedName>
    <definedName name="solver_rhs7" localSheetId="2" hidden="1">integer</definedName>
    <definedName name="solver_rhs7" localSheetId="31" hidden="1">integer</definedName>
    <definedName name="solver_rhs7" localSheetId="11" hidden="1">integer</definedName>
    <definedName name="solver_rhs7" localSheetId="7" hidden="1">integer</definedName>
    <definedName name="solver_rhs7" localSheetId="27" hidden="1">integer</definedName>
    <definedName name="solver_rhs7" localSheetId="43" hidden="1">integer</definedName>
    <definedName name="solver_rhs7" localSheetId="39" hidden="1">integer</definedName>
    <definedName name="solver_rhs70" localSheetId="57" hidden="1">NonLinLarge!$J$74</definedName>
    <definedName name="solver_rhs71" localSheetId="57" hidden="1">NonLinLarge!$J$75:$J$138</definedName>
    <definedName name="solver_rhs72" localSheetId="57" hidden="1">NonLinLarge!$J$139</definedName>
    <definedName name="solver_rhs73" localSheetId="57" hidden="1">NonLinLarge!$J$7:$J$8</definedName>
    <definedName name="solver_rhs74" localSheetId="57" hidden="1">NonLinLarge!$J$9:$J$72</definedName>
    <definedName name="solver_rhs75" localSheetId="57" hidden="1">NonLinLarge!$J$73</definedName>
    <definedName name="solver_rhs76" localSheetId="57" hidden="1">NonLinLarge!$J$74</definedName>
    <definedName name="solver_rhs77" localSheetId="57" hidden="1">NonLinLarge!$J$75:$J$138</definedName>
    <definedName name="solver_rhs78" localSheetId="57" hidden="1">NonLinLarge!$J$139</definedName>
    <definedName name="solver_rhs79" localSheetId="57" hidden="1">NonLinLarge!$J$7:$J$8</definedName>
    <definedName name="solver_rhs8" localSheetId="21" hidden="1">binary</definedName>
    <definedName name="solver_rhs8" localSheetId="33" hidden="1">binary</definedName>
    <definedName name="solver_rhs8" localSheetId="18" hidden="1">binary</definedName>
    <definedName name="solver_rhs8" localSheetId="32" hidden="1">binary</definedName>
    <definedName name="solver_rhs8" localSheetId="6" hidden="1">binary</definedName>
    <definedName name="solver_rhs8" localSheetId="5" hidden="1">binary</definedName>
    <definedName name="solver_rhs8" localSheetId="45" hidden="1">binary</definedName>
    <definedName name="solver_rhs8" localSheetId="19" hidden="1">ConFormula!$I$11/4+ConFormula!$B$3</definedName>
    <definedName name="solver_rhs8" localSheetId="20" hidden="1">ConFormulaInf!$I$11/4+ConFormulaInf!$B$3</definedName>
    <definedName name="solver_rhs8" localSheetId="41" hidden="1">binary</definedName>
    <definedName name="solver_rhs8" localSheetId="38" hidden="1">binary</definedName>
    <definedName name="solver_rhs8" localSheetId="40" hidden="1">binary</definedName>
    <definedName name="solver_rhs8" localSheetId="23" hidden="1">binary</definedName>
    <definedName name="solver_rhs8" localSheetId="24" hidden="1">binary</definedName>
    <definedName name="solver_rhs8" localSheetId="30" hidden="1">binary</definedName>
    <definedName name="solver_rhs8" localSheetId="9" hidden="1">binary</definedName>
    <definedName name="solver_rhs8" localSheetId="10" hidden="1">binary</definedName>
    <definedName name="solver_rhs8" localSheetId="8" hidden="1">binary</definedName>
    <definedName name="solver_rhs8" localSheetId="22" hidden="1">binary</definedName>
    <definedName name="solver_rhs8" localSheetId="26" hidden="1">binary</definedName>
    <definedName name="solver_rhs8" localSheetId="42" hidden="1">binary</definedName>
    <definedName name="solver_rhs8" localSheetId="69" hidden="1">Highlighting!$L$10:$N$10</definedName>
    <definedName name="solver_rhs8" localSheetId="29" hidden="1">binary</definedName>
    <definedName name="solver_rhs8" localSheetId="25" hidden="1">binary</definedName>
    <definedName name="solver_rhs8" localSheetId="46" hidden="1">binary</definedName>
    <definedName name="solver_rhs8" localSheetId="47" hidden="1">binary</definedName>
    <definedName name="solver_rhs8" localSheetId="35" hidden="1">binary</definedName>
    <definedName name="solver_rhs8" localSheetId="16" hidden="1">binary</definedName>
    <definedName name="solver_rhs8" localSheetId="17" hidden="1">binary</definedName>
    <definedName name="solver_rhs8" localSheetId="15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57" hidden="1">NonLinLarge!$J$9:$J$72</definedName>
    <definedName name="solver_rhs8" localSheetId="48" hidden="1">binary</definedName>
    <definedName name="solver_rhs8" localSheetId="4" hidden="1">OverlappingVars!$J$10</definedName>
    <definedName name="solver_rhs8" localSheetId="36" hidden="1">binary</definedName>
    <definedName name="solver_rhs8" localSheetId="37" hidden="1">binary</definedName>
    <definedName name="solver_rhs8" localSheetId="28" hidden="1">binary</definedName>
    <definedName name="solver_rhs8" localSheetId="52" hidden="1">binary</definedName>
    <definedName name="solver_rhs8" localSheetId="34" hidden="1">binary</definedName>
    <definedName name="solver_rhs8" localSheetId="3" hidden="1">binary</definedName>
    <definedName name="solver_rhs8" localSheetId="2" hidden="1">binary</definedName>
    <definedName name="solver_rhs8" localSheetId="31" hidden="1">binary</definedName>
    <definedName name="solver_rhs8" localSheetId="11" hidden="1">binary</definedName>
    <definedName name="solver_rhs8" localSheetId="7" hidden="1">binary</definedName>
    <definedName name="solver_rhs8" localSheetId="27" hidden="1">binary</definedName>
    <definedName name="solver_rhs8" localSheetId="43" hidden="1">binary</definedName>
    <definedName name="solver_rhs8" localSheetId="39" hidden="1">binary</definedName>
    <definedName name="solver_rhs80" localSheetId="57" hidden="1">NonLinLarge!$J$9:$J$72</definedName>
    <definedName name="solver_rhs81" localSheetId="57" hidden="1">NonLinLarge!$J$73</definedName>
    <definedName name="solver_rhs82" localSheetId="57" hidden="1">NonLinLarge!$J$74</definedName>
    <definedName name="solver_rhs83" localSheetId="57" hidden="1">NonLinLarge!$J$75:$J$138</definedName>
    <definedName name="solver_rhs84" localSheetId="57" hidden="1">NonLinLarge!$J$139</definedName>
    <definedName name="solver_rhs85" localSheetId="57" hidden="1">NonLinLarge!$J$7:$J$8</definedName>
    <definedName name="solver_rhs86" localSheetId="57" hidden="1">NonLinLarge!$J$9:$J$72</definedName>
    <definedName name="solver_rhs87" localSheetId="57" hidden="1">NonLinLarge!$J$73</definedName>
    <definedName name="solver_rhs88" localSheetId="57" hidden="1">NonLinLarge!$J$74</definedName>
    <definedName name="solver_rhs89" localSheetId="57" hidden="1">NonLinLarge!$J$75:$J$138</definedName>
    <definedName name="solver_rhs9" localSheetId="19" hidden="1">ConFormula!$I$11/4+ConFormula!$B$3</definedName>
    <definedName name="solver_rhs9" localSheetId="20" hidden="1">5*ConFormulaInf!$I$15-1</definedName>
    <definedName name="solver_rhs9" localSheetId="69" hidden="1">Highlighting!#REF!</definedName>
    <definedName name="solver_rhs9" localSheetId="57" hidden="1">NonLinLarge!$J$73</definedName>
    <definedName name="solver_rhs9" localSheetId="4" hidden="1">OverlappingVars!$J$11</definedName>
    <definedName name="solver_rhs90" localSheetId="57" hidden="1">NonLinLarge!$J$139</definedName>
    <definedName name="solver_rhs91" localSheetId="57" hidden="1">NonLinLarge!$J$7:$J$8</definedName>
    <definedName name="solver_rhs92" localSheetId="57" hidden="1">NonLinLarge!$J$9:$J$72</definedName>
    <definedName name="solver_rhs93" localSheetId="57" hidden="1">NonLinLarge!$J$73</definedName>
    <definedName name="solver_rhs94" localSheetId="57" hidden="1">NonLinLarge!$J$74</definedName>
    <definedName name="solver_rhs95" localSheetId="57" hidden="1">NonLinLarge!$J$75:$J$138</definedName>
    <definedName name="solver_rhs96" localSheetId="57" hidden="1">NonLinLarge!$J$139</definedName>
    <definedName name="solver_rhs97" localSheetId="57" hidden="1">NonLinLarge!$J$7:$J$8</definedName>
    <definedName name="solver_rhs98" localSheetId="57" hidden="1">NonLinLarge!$J$9:$J$72</definedName>
    <definedName name="solver_rhs99" localSheetId="57" hidden="1">NonLinLarge!$J$73</definedName>
    <definedName name="solver_rlx" localSheetId="21" hidden="1">2</definedName>
    <definedName name="solver_rlx" localSheetId="33" hidden="1">2</definedName>
    <definedName name="solver_rlx" localSheetId="18" hidden="1">2</definedName>
    <definedName name="solver_rlx" localSheetId="32" hidden="1">2</definedName>
    <definedName name="solver_rlx" localSheetId="6" hidden="1">2</definedName>
    <definedName name="solver_rlx" localSheetId="5" hidden="1">2</definedName>
    <definedName name="solver_rlx" localSheetId="45" hidden="1">2</definedName>
    <definedName name="solver_rlx" localSheetId="19" hidden="1">2</definedName>
    <definedName name="solver_rlx" localSheetId="20" hidden="1">2</definedName>
    <definedName name="solver_rlx" localSheetId="41" hidden="1">2</definedName>
    <definedName name="solver_rlx" localSheetId="38" hidden="1">2</definedName>
    <definedName name="solver_rlx" localSheetId="40" hidden="1">2</definedName>
    <definedName name="solver_rlx" localSheetId="23" hidden="1">2</definedName>
    <definedName name="solver_rlx" localSheetId="50" hidden="1">2</definedName>
    <definedName name="solver_rlx" localSheetId="30" hidden="1">2</definedName>
    <definedName name="solver_rlx" localSheetId="9" hidden="1">2</definedName>
    <definedName name="solver_rlx" localSheetId="8" hidden="1">2</definedName>
    <definedName name="solver_rlx" localSheetId="22" hidden="1">2</definedName>
    <definedName name="solver_rlx" localSheetId="26" hidden="1">2</definedName>
    <definedName name="solver_rlx" localSheetId="42" hidden="1">2</definedName>
    <definedName name="solver_rlx" localSheetId="44" hidden="1">2</definedName>
    <definedName name="solver_rlx" localSheetId="29" hidden="1">2</definedName>
    <definedName name="solver_rlx" localSheetId="25" hidden="1">2</definedName>
    <definedName name="solver_rlx" localSheetId="46" hidden="1">2</definedName>
    <definedName name="solver_rlx" localSheetId="47" hidden="1">2</definedName>
    <definedName name="solver_rlx" localSheetId="35" hidden="1">2</definedName>
    <definedName name="solver_rlx" localSheetId="16" hidden="1">2</definedName>
    <definedName name="solver_rlx" localSheetId="17" hidden="1">2</definedName>
    <definedName name="solver_rlx" localSheetId="15" hidden="1">2</definedName>
    <definedName name="solver_rlx" localSheetId="13" hidden="1">2</definedName>
    <definedName name="solver_rlx" localSheetId="51" hidden="1">2</definedName>
    <definedName name="solver_rlx" localSheetId="63" hidden="1">2</definedName>
    <definedName name="solver_rlx" localSheetId="64" hidden="1">2</definedName>
    <definedName name="solver_rlx" localSheetId="65" hidden="1">2</definedName>
    <definedName name="solver_rlx" localSheetId="66" hidden="1">2</definedName>
    <definedName name="solver_rlx" localSheetId="67" hidden="1">2</definedName>
    <definedName name="solver_rlx" localSheetId="68" hidden="1">2</definedName>
    <definedName name="solver_rlx" localSheetId="62" hidden="1">2</definedName>
    <definedName name="solver_rlx" localSheetId="61" hidden="1">2</definedName>
    <definedName name="solver_rlx" localSheetId="57" hidden="1">2</definedName>
    <definedName name="solver_rlx" localSheetId="60" hidden="1">2</definedName>
    <definedName name="solver_rlx" localSheetId="58" hidden="1">2</definedName>
    <definedName name="solver_rlx" localSheetId="59" hidden="1">2</definedName>
    <definedName name="solver_rlx" localSheetId="56" hidden="1">2</definedName>
    <definedName name="solver_rlx" localSheetId="48" hidden="1">2</definedName>
    <definedName name="solver_rlx" localSheetId="4" hidden="1">2</definedName>
    <definedName name="solver_rlx" localSheetId="36" hidden="1">2</definedName>
    <definedName name="solver_rlx" localSheetId="37" hidden="1">2</definedName>
    <definedName name="solver_rlx" localSheetId="34" hidden="1">1</definedName>
    <definedName name="solver_rlx" localSheetId="1" hidden="1">2</definedName>
    <definedName name="solver_rlx" localSheetId="49" hidden="1">2</definedName>
    <definedName name="solver_rlx" localSheetId="54" hidden="1">2</definedName>
    <definedName name="solver_rlx" localSheetId="55" hidden="1">2</definedName>
    <definedName name="solver_rlx" localSheetId="3" hidden="1">2</definedName>
    <definedName name="solver_rlx" localSheetId="2" hidden="1">2</definedName>
    <definedName name="solver_rlx" localSheetId="31" hidden="1">2</definedName>
    <definedName name="solver_rlx" localSheetId="53" hidden="1">2</definedName>
    <definedName name="solver_rlx" localSheetId="7" hidden="1">2</definedName>
    <definedName name="solver_rlx" localSheetId="27" hidden="1">2</definedName>
    <definedName name="solver_rlx" localSheetId="43" hidden="1">2</definedName>
    <definedName name="solver_rlx" localSheetId="39" hidden="1">2</definedName>
    <definedName name="solver_rsd" localSheetId="33" hidden="1">0</definedName>
    <definedName name="solver_rsd" localSheetId="32" hidden="1">0</definedName>
    <definedName name="solver_rsd" localSheetId="41" hidden="1">0</definedName>
    <definedName name="solver_rsd" localSheetId="38" hidden="1">0</definedName>
    <definedName name="solver_rsd" localSheetId="42" hidden="1">0</definedName>
    <definedName name="solver_rsd" localSheetId="35" hidden="1">0</definedName>
    <definedName name="solver_rsd" localSheetId="66" hidden="1">0</definedName>
    <definedName name="solver_rsd" localSheetId="67" hidden="1">0</definedName>
    <definedName name="solver_rsd" localSheetId="59" hidden="1">0</definedName>
    <definedName name="solver_rsd" localSheetId="4" hidden="1">0</definedName>
    <definedName name="solver_rsd" localSheetId="36" hidden="1">0</definedName>
    <definedName name="solver_rsd" localSheetId="37" hidden="1">0</definedName>
    <definedName name="solver_rsd" localSheetId="34" hidden="1">0</definedName>
    <definedName name="solver_rsd" localSheetId="55" hidden="1">0</definedName>
    <definedName name="solver_rsd" localSheetId="3" hidden="1">0</definedName>
    <definedName name="solver_rsd" localSheetId="2" hidden="1">0</definedName>
    <definedName name="solver_rsd" localSheetId="31" hidden="1">0</definedName>
    <definedName name="solver_rsd" localSheetId="27" hidden="1">0</definedName>
    <definedName name="solver_rsd" localSheetId="43" hidden="1">0</definedName>
    <definedName name="solver_rsd" localSheetId="39" hidden="1">0</definedName>
    <definedName name="solver_scl" localSheetId="70" hidden="1">2</definedName>
    <definedName name="solver_scl" localSheetId="21" hidden="1">2</definedName>
    <definedName name="solver_scl" localSheetId="33" hidden="1">2</definedName>
    <definedName name="solver_scl" localSheetId="18" hidden="1">2</definedName>
    <definedName name="solver_scl" localSheetId="32" hidden="1">2</definedName>
    <definedName name="solver_scl" localSheetId="6" hidden="1">2</definedName>
    <definedName name="solver_scl" localSheetId="5" hidden="1">2</definedName>
    <definedName name="solver_scl" localSheetId="45" hidden="1">2</definedName>
    <definedName name="solver_scl" localSheetId="19" hidden="1">2</definedName>
    <definedName name="solver_scl" localSheetId="20" hidden="1">2</definedName>
    <definedName name="solver_scl" localSheetId="41" hidden="1">2</definedName>
    <definedName name="solver_scl" localSheetId="38" hidden="1">2</definedName>
    <definedName name="solver_scl" localSheetId="40" hidden="1">2</definedName>
    <definedName name="solver_scl" localSheetId="23" hidden="1">2</definedName>
    <definedName name="solver_scl" localSheetId="24" hidden="1">2</definedName>
    <definedName name="solver_scl" localSheetId="50" hidden="1">2</definedName>
    <definedName name="solver_scl" localSheetId="30" hidden="1">2</definedName>
    <definedName name="solver_scl" localSheetId="9" hidden="1">2</definedName>
    <definedName name="solver_scl" localSheetId="10" hidden="1">2</definedName>
    <definedName name="solver_scl" localSheetId="8" hidden="1">2</definedName>
    <definedName name="solver_scl" localSheetId="22" hidden="1">2</definedName>
    <definedName name="solver_scl" localSheetId="26" hidden="1">2</definedName>
    <definedName name="solver_scl" localSheetId="42" hidden="1">2</definedName>
    <definedName name="solver_scl" localSheetId="44" hidden="1">2</definedName>
    <definedName name="solver_scl" localSheetId="69" hidden="1">2</definedName>
    <definedName name="solver_scl" localSheetId="29" hidden="1">2</definedName>
    <definedName name="solver_scl" localSheetId="25" hidden="1">2</definedName>
    <definedName name="solver_scl" localSheetId="46" hidden="1">2</definedName>
    <definedName name="solver_scl" localSheetId="47" hidden="1">2</definedName>
    <definedName name="solver_scl" localSheetId="35" hidden="1">2</definedName>
    <definedName name="solver_scl" localSheetId="16" hidden="1">2</definedName>
    <definedName name="solver_scl" localSheetId="17" hidden="1">2</definedName>
    <definedName name="solver_scl" localSheetId="15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51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62" hidden="1">2</definedName>
    <definedName name="solver_scl" localSheetId="61" hidden="1">2</definedName>
    <definedName name="solver_scl" localSheetId="57" hidden="1">2</definedName>
    <definedName name="solver_scl" localSheetId="60" hidden="1">2</definedName>
    <definedName name="solver_scl" localSheetId="58" hidden="1">2</definedName>
    <definedName name="solver_scl" localSheetId="59" hidden="1">1</definedName>
    <definedName name="solver_scl" localSheetId="56" hidden="1">2</definedName>
    <definedName name="solver_scl" localSheetId="48" hidden="1">2</definedName>
    <definedName name="solver_scl" localSheetId="4" hidden="1">2</definedName>
    <definedName name="solver_scl" localSheetId="36" hidden="1">2</definedName>
    <definedName name="solver_scl" localSheetId="37" hidden="1">2</definedName>
    <definedName name="solver_scl" localSheetId="28" hidden="1">2</definedName>
    <definedName name="solver_scl" localSheetId="52" hidden="1">2</definedName>
    <definedName name="solver_scl" localSheetId="34" hidden="1">2</definedName>
    <definedName name="solver_scl" localSheetId="1" hidden="1">2</definedName>
    <definedName name="solver_scl" localSheetId="49" hidden="1">2</definedName>
    <definedName name="solver_scl" localSheetId="54" hidden="1">2</definedName>
    <definedName name="solver_scl" localSheetId="55" hidden="1">2</definedName>
    <definedName name="solver_scl" localSheetId="3" hidden="1">2</definedName>
    <definedName name="solver_scl" localSheetId="2" hidden="1">2</definedName>
    <definedName name="solver_scl" localSheetId="31" hidden="1">2</definedName>
    <definedName name="solver_scl" localSheetId="53" hidden="1">2</definedName>
    <definedName name="solver_scl" localSheetId="11" hidden="1">2</definedName>
    <definedName name="solver_scl" localSheetId="7" hidden="1">2</definedName>
    <definedName name="solver_scl" localSheetId="27" hidden="1">2</definedName>
    <definedName name="solver_scl" localSheetId="43" hidden="1">2</definedName>
    <definedName name="solver_scl" localSheetId="39" hidden="1">2</definedName>
    <definedName name="solver_sho" localSheetId="21" hidden="1">2</definedName>
    <definedName name="solver_sho" localSheetId="33" hidden="1">2</definedName>
    <definedName name="solver_sho" localSheetId="18" hidden="1">2</definedName>
    <definedName name="solver_sho" localSheetId="32" hidden="1">2</definedName>
    <definedName name="solver_sho" localSheetId="6" hidden="1">2</definedName>
    <definedName name="solver_sho" localSheetId="5" hidden="1">2</definedName>
    <definedName name="solver_sho" localSheetId="45" hidden="1">2</definedName>
    <definedName name="solver_sho" localSheetId="19" hidden="1">2</definedName>
    <definedName name="solver_sho" localSheetId="20" hidden="1">2</definedName>
    <definedName name="solver_sho" localSheetId="41" hidden="1">2</definedName>
    <definedName name="solver_sho" localSheetId="38" hidden="1">2</definedName>
    <definedName name="solver_sho" localSheetId="40" hidden="1">2</definedName>
    <definedName name="solver_sho" localSheetId="23" hidden="1">2</definedName>
    <definedName name="solver_sho" localSheetId="50" hidden="1">2</definedName>
    <definedName name="solver_sho" localSheetId="30" hidden="1">2</definedName>
    <definedName name="solver_sho" localSheetId="9" hidden="1">2</definedName>
    <definedName name="solver_sho" localSheetId="8" hidden="1">2</definedName>
    <definedName name="solver_sho" localSheetId="22" hidden="1">2</definedName>
    <definedName name="solver_sho" localSheetId="26" hidden="1">2</definedName>
    <definedName name="solver_sho" localSheetId="42" hidden="1">2</definedName>
    <definedName name="solver_sho" localSheetId="44" hidden="1">2</definedName>
    <definedName name="solver_sho" localSheetId="69" hidden="1">2</definedName>
    <definedName name="solver_sho" localSheetId="29" hidden="1">2</definedName>
    <definedName name="solver_sho" localSheetId="25" hidden="1">2</definedName>
    <definedName name="solver_sho" localSheetId="46" hidden="1">2</definedName>
    <definedName name="solver_sho" localSheetId="47" hidden="1">2</definedName>
    <definedName name="solver_sho" localSheetId="35" hidden="1">2</definedName>
    <definedName name="solver_sho" localSheetId="16" hidden="1">2</definedName>
    <definedName name="solver_sho" localSheetId="17" hidden="1">2</definedName>
    <definedName name="solver_sho" localSheetId="15" hidden="1">2</definedName>
    <definedName name="solver_sho" localSheetId="13" hidden="1">2</definedName>
    <definedName name="solver_sho" localSheetId="51" hidden="1">2</definedName>
    <definedName name="solver_sho" localSheetId="63" hidden="1">2</definedName>
    <definedName name="solver_sho" localSheetId="64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62" hidden="1">2</definedName>
    <definedName name="solver_sho" localSheetId="61" hidden="1">2</definedName>
    <definedName name="solver_sho" localSheetId="57" hidden="1">2</definedName>
    <definedName name="solver_sho" localSheetId="60" hidden="1">2</definedName>
    <definedName name="solver_sho" localSheetId="58" hidden="1">2</definedName>
    <definedName name="solver_sho" localSheetId="59" hidden="1">2</definedName>
    <definedName name="solver_sho" localSheetId="56" hidden="1">2</definedName>
    <definedName name="solver_sho" localSheetId="48" hidden="1">2</definedName>
    <definedName name="solver_sho" localSheetId="4" hidden="1">2</definedName>
    <definedName name="solver_sho" localSheetId="36" hidden="1">2</definedName>
    <definedName name="solver_sho" localSheetId="37" hidden="1">2</definedName>
    <definedName name="solver_sho" localSheetId="34" hidden="1">2</definedName>
    <definedName name="solver_sho" localSheetId="1" hidden="1">2</definedName>
    <definedName name="solver_sho" localSheetId="49" hidden="1">2</definedName>
    <definedName name="solver_sho" localSheetId="54" hidden="1">2</definedName>
    <definedName name="solver_sho" localSheetId="55" hidden="1">2</definedName>
    <definedName name="solver_sho" localSheetId="3" hidden="1">2</definedName>
    <definedName name="solver_sho" localSheetId="2" hidden="1">2</definedName>
    <definedName name="solver_sho" localSheetId="31" hidden="1">2</definedName>
    <definedName name="solver_sho" localSheetId="53" hidden="1">2</definedName>
    <definedName name="solver_sho" localSheetId="7" hidden="1">2</definedName>
    <definedName name="solver_sho" localSheetId="27" hidden="1">2</definedName>
    <definedName name="solver_sho" localSheetId="43" hidden="1">2</definedName>
    <definedName name="solver_sho" localSheetId="39" hidden="1">2</definedName>
    <definedName name="solver_ssz" localSheetId="33" hidden="1">100</definedName>
    <definedName name="solver_ssz" localSheetId="32" hidden="1">100</definedName>
    <definedName name="solver_ssz" localSheetId="41" hidden="1">100</definedName>
    <definedName name="solver_ssz" localSheetId="38" hidden="1">100</definedName>
    <definedName name="solver_ssz" localSheetId="42" hidden="1">100</definedName>
    <definedName name="solver_ssz" localSheetId="35" hidden="1">100</definedName>
    <definedName name="solver_ssz" localSheetId="66" hidden="1">100</definedName>
    <definedName name="solver_ssz" localSheetId="67" hidden="1">100</definedName>
    <definedName name="solver_ssz" localSheetId="59" hidden="1">100</definedName>
    <definedName name="solver_ssz" localSheetId="4" hidden="1">100</definedName>
    <definedName name="solver_ssz" localSheetId="36" hidden="1">100</definedName>
    <definedName name="solver_ssz" localSheetId="37" hidden="1">100</definedName>
    <definedName name="solver_ssz" localSheetId="34" hidden="1">100</definedName>
    <definedName name="solver_ssz" localSheetId="55" hidden="1">100</definedName>
    <definedName name="solver_ssz" localSheetId="3" hidden="1">100</definedName>
    <definedName name="solver_ssz" localSheetId="2" hidden="1">100</definedName>
    <definedName name="solver_ssz" localSheetId="31" hidden="1">100</definedName>
    <definedName name="solver_ssz" localSheetId="27" hidden="1">100</definedName>
    <definedName name="solver_ssz" localSheetId="43" hidden="1">100</definedName>
    <definedName name="solver_ssz" localSheetId="39" hidden="1">100</definedName>
    <definedName name="solver_tim" localSheetId="21" hidden="1">9999999999</definedName>
    <definedName name="solver_tim" localSheetId="33" hidden="1">999999999</definedName>
    <definedName name="solver_tim" localSheetId="18" hidden="1">999999999</definedName>
    <definedName name="solver_tim" localSheetId="32" hidden="1">999999999</definedName>
    <definedName name="solver_tim" localSheetId="6" hidden="1">999999999</definedName>
    <definedName name="solver_tim" localSheetId="5" hidden="1">999999999</definedName>
    <definedName name="solver_tim" localSheetId="45" hidden="1">999999999</definedName>
    <definedName name="solver_tim" localSheetId="19" hidden="1">999999999</definedName>
    <definedName name="solver_tim" localSheetId="20" hidden="1">999999999</definedName>
    <definedName name="solver_tim" localSheetId="41" hidden="1">999999999</definedName>
    <definedName name="solver_tim" localSheetId="38" hidden="1">999999999</definedName>
    <definedName name="solver_tim" localSheetId="40" hidden="1">999999999</definedName>
    <definedName name="solver_tim" localSheetId="23" hidden="1">999999999</definedName>
    <definedName name="solver_tim" localSheetId="50" hidden="1">999999999</definedName>
    <definedName name="solver_tim" localSheetId="30" hidden="1">999999999</definedName>
    <definedName name="solver_tim" localSheetId="9" hidden="1">999999999</definedName>
    <definedName name="solver_tim" localSheetId="8" hidden="1">999999999</definedName>
    <definedName name="solver_tim" localSheetId="22" hidden="1">999999999</definedName>
    <definedName name="solver_tim" localSheetId="26" hidden="1">999999999</definedName>
    <definedName name="solver_tim" localSheetId="42" hidden="1">999999999</definedName>
    <definedName name="solver_tim" localSheetId="44" hidden="1">999999999</definedName>
    <definedName name="solver_tim" localSheetId="69" hidden="1">100</definedName>
    <definedName name="solver_tim" localSheetId="29" hidden="1">999999999</definedName>
    <definedName name="solver_tim" localSheetId="25" hidden="1">999999999</definedName>
    <definedName name="solver_tim" localSheetId="46" hidden="1">999999999</definedName>
    <definedName name="solver_tim" localSheetId="47" hidden="1">999999999</definedName>
    <definedName name="solver_tim" localSheetId="35" hidden="1">999999999</definedName>
    <definedName name="solver_tim" localSheetId="16" hidden="1">999999999</definedName>
    <definedName name="solver_tim" localSheetId="17" hidden="1">999999999</definedName>
    <definedName name="solver_tim" localSheetId="15" hidden="1">999999999</definedName>
    <definedName name="solver_tim" localSheetId="13" hidden="1">999999999</definedName>
    <definedName name="solver_tim" localSheetId="51" hidden="1">999999999</definedName>
    <definedName name="solver_tim" localSheetId="63" hidden="1">999999999</definedName>
    <definedName name="solver_tim" localSheetId="64" hidden="1">999999999</definedName>
    <definedName name="solver_tim" localSheetId="65" hidden="1">999999999</definedName>
    <definedName name="solver_tim" localSheetId="66" hidden="1">999999999</definedName>
    <definedName name="solver_tim" localSheetId="67" hidden="1">999999999</definedName>
    <definedName name="solver_tim" localSheetId="68" hidden="1">999999999</definedName>
    <definedName name="solver_tim" localSheetId="62" hidden="1">999999999</definedName>
    <definedName name="solver_tim" localSheetId="61" hidden="1">999999999</definedName>
    <definedName name="solver_tim" localSheetId="57" hidden="1">999999999</definedName>
    <definedName name="solver_tim" localSheetId="60" hidden="1">999999999</definedName>
    <definedName name="solver_tim" localSheetId="58" hidden="1">999999999</definedName>
    <definedName name="solver_tim" localSheetId="59" hidden="1">999999999</definedName>
    <definedName name="solver_tim" localSheetId="56" hidden="1">999999999</definedName>
    <definedName name="solver_tim" localSheetId="48" hidden="1">999999999</definedName>
    <definedName name="solver_tim" localSheetId="4" hidden="1">999999999</definedName>
    <definedName name="solver_tim" localSheetId="36" hidden="1">999999999</definedName>
    <definedName name="solver_tim" localSheetId="37" hidden="1">999999999</definedName>
    <definedName name="solver_tim" localSheetId="34" hidden="1">999999999</definedName>
    <definedName name="solver_tim" localSheetId="1" hidden="1">999999999</definedName>
    <definedName name="solver_tim" localSheetId="49" hidden="1">999999999</definedName>
    <definedName name="solver_tim" localSheetId="54" hidden="1">999999999</definedName>
    <definedName name="solver_tim" localSheetId="55" hidden="1">999999999</definedName>
    <definedName name="solver_tim" localSheetId="3" hidden="1">999999999</definedName>
    <definedName name="solver_tim" localSheetId="2" hidden="1">999999999</definedName>
    <definedName name="solver_tim" localSheetId="31" hidden="1">999999999</definedName>
    <definedName name="solver_tim" localSheetId="53" hidden="1">999999999</definedName>
    <definedName name="solver_tim" localSheetId="7" hidden="1">999999999</definedName>
    <definedName name="solver_tim" localSheetId="27" hidden="1">999999999</definedName>
    <definedName name="solver_tim" localSheetId="43" hidden="1">999999999</definedName>
    <definedName name="solver_tim" localSheetId="39" hidden="1">999999999</definedName>
    <definedName name="solver_tol" localSheetId="21" hidden="1">0.05</definedName>
    <definedName name="solver_tol" localSheetId="33" hidden="1">0.05</definedName>
    <definedName name="solver_tol" localSheetId="18" hidden="1">0.05</definedName>
    <definedName name="solver_tol" localSheetId="32" hidden="1">0.05</definedName>
    <definedName name="solver_tol" localSheetId="6" hidden="1">0.05</definedName>
    <definedName name="solver_tol" localSheetId="5" hidden="1">0.05</definedName>
    <definedName name="solver_tol" localSheetId="45" hidden="1">0.05</definedName>
    <definedName name="solver_tol" localSheetId="19" hidden="1">0.05</definedName>
    <definedName name="solver_tol" localSheetId="20" hidden="1">0.05</definedName>
    <definedName name="solver_tol" localSheetId="41" hidden="1">0.05</definedName>
    <definedName name="solver_tol" localSheetId="38" hidden="1">0.05</definedName>
    <definedName name="solver_tol" localSheetId="40" hidden="1">0.05</definedName>
    <definedName name="solver_tol" localSheetId="23" hidden="1">0.05</definedName>
    <definedName name="solver_tol" localSheetId="50" hidden="1">0.05</definedName>
    <definedName name="solver_tol" localSheetId="30" hidden="1">0.05</definedName>
    <definedName name="solver_tol" localSheetId="9" hidden="1">0.05</definedName>
    <definedName name="solver_tol" localSheetId="8" hidden="1">0.05</definedName>
    <definedName name="solver_tol" localSheetId="22" hidden="1">0.05</definedName>
    <definedName name="solver_tol" localSheetId="26" hidden="1">0.05</definedName>
    <definedName name="solver_tol" localSheetId="42" hidden="1">0.05</definedName>
    <definedName name="solver_tol" localSheetId="44" hidden="1">0.05</definedName>
    <definedName name="solver_tol" localSheetId="69" hidden="1">0.05</definedName>
    <definedName name="solver_tol" localSheetId="29" hidden="1">0.05</definedName>
    <definedName name="solver_tol" localSheetId="25" hidden="1">0.05</definedName>
    <definedName name="solver_tol" localSheetId="46" hidden="1">0.05</definedName>
    <definedName name="solver_tol" localSheetId="47" hidden="1">0.05</definedName>
    <definedName name="solver_tol" localSheetId="35" hidden="1">0.05</definedName>
    <definedName name="solver_tol" localSheetId="16" hidden="1">0.05</definedName>
    <definedName name="solver_tol" localSheetId="17" hidden="1">0.05</definedName>
    <definedName name="solver_tol" localSheetId="15" hidden="1">0.05</definedName>
    <definedName name="solver_tol" localSheetId="13" hidden="1">0.05</definedName>
    <definedName name="solver_tol" localSheetId="51" hidden="1">0.05</definedName>
    <definedName name="solver_tol" localSheetId="63" hidden="1">0.01</definedName>
    <definedName name="solver_tol" localSheetId="64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62" hidden="1">0.05</definedName>
    <definedName name="solver_tol" localSheetId="61" hidden="1">0.05</definedName>
    <definedName name="solver_tol" localSheetId="57" hidden="1">0.05</definedName>
    <definedName name="solver_tol" localSheetId="60" hidden="1">0.05</definedName>
    <definedName name="solver_tol" localSheetId="58" hidden="1">0.05</definedName>
    <definedName name="solver_tol" localSheetId="59" hidden="1">0.05</definedName>
    <definedName name="solver_tol" localSheetId="56" hidden="1">0.05</definedName>
    <definedName name="solver_tol" localSheetId="48" hidden="1">0.05</definedName>
    <definedName name="solver_tol" localSheetId="4" hidden="1">0.05</definedName>
    <definedName name="solver_tol" localSheetId="36" hidden="1">0.05</definedName>
    <definedName name="solver_tol" localSheetId="37" hidden="1">0.05</definedName>
    <definedName name="solver_tol" localSheetId="34" hidden="1">0.05</definedName>
    <definedName name="solver_tol" localSheetId="1" hidden="1">0.05</definedName>
    <definedName name="solver_tol" localSheetId="49" hidden="1">0.05</definedName>
    <definedName name="solver_tol" localSheetId="54" hidden="1">0.05</definedName>
    <definedName name="solver_tol" localSheetId="55" hidden="1">0.05</definedName>
    <definedName name="solver_tol" localSheetId="3" hidden="1">0.05</definedName>
    <definedName name="solver_tol" localSheetId="2" hidden="1">0.05</definedName>
    <definedName name="solver_tol" localSheetId="31" hidden="1">0.05</definedName>
    <definedName name="solver_tol" localSheetId="53" hidden="1">0.05</definedName>
    <definedName name="solver_tol" localSheetId="7" hidden="1">0.05</definedName>
    <definedName name="solver_tol" localSheetId="27" hidden="1">0.05</definedName>
    <definedName name="solver_tol" localSheetId="43" hidden="1">0.05</definedName>
    <definedName name="solver_tol" localSheetId="39" hidden="1">0.05</definedName>
    <definedName name="solver_typ" localSheetId="70" hidden="1">2</definedName>
    <definedName name="solver_typ" localSheetId="21" hidden="1">2</definedName>
    <definedName name="solver_typ" localSheetId="33" hidden="1">2</definedName>
    <definedName name="solver_typ" localSheetId="18" hidden="1">2</definedName>
    <definedName name="solver_typ" localSheetId="32" hidden="1">2</definedName>
    <definedName name="solver_typ" localSheetId="6" hidden="1">2</definedName>
    <definedName name="solver_typ" localSheetId="5" hidden="1">2</definedName>
    <definedName name="solver_typ" localSheetId="45" hidden="1">2</definedName>
    <definedName name="solver_typ" localSheetId="19" hidden="1">2</definedName>
    <definedName name="solver_typ" localSheetId="20" hidden="1">2</definedName>
    <definedName name="solver_typ" localSheetId="41" hidden="1">2</definedName>
    <definedName name="solver_typ" localSheetId="38" hidden="1">2</definedName>
    <definedName name="solver_typ" localSheetId="40" hidden="1">2</definedName>
    <definedName name="solver_typ" localSheetId="23" hidden="1">2</definedName>
    <definedName name="solver_typ" localSheetId="24" hidden="1">2</definedName>
    <definedName name="solver_typ" localSheetId="50" hidden="1">2</definedName>
    <definedName name="solver_typ" localSheetId="30" hidden="1">2</definedName>
    <definedName name="solver_typ" localSheetId="9" hidden="1">2</definedName>
    <definedName name="solver_typ" localSheetId="10" hidden="1">2</definedName>
    <definedName name="solver_typ" localSheetId="8" hidden="1">2</definedName>
    <definedName name="solver_typ" localSheetId="22" hidden="1">2</definedName>
    <definedName name="solver_typ" localSheetId="26" hidden="1">2</definedName>
    <definedName name="solver_typ" localSheetId="42" hidden="1">2</definedName>
    <definedName name="solver_typ" localSheetId="44" hidden="1">2</definedName>
    <definedName name="solver_typ" localSheetId="69" hidden="1">2</definedName>
    <definedName name="solver_typ" localSheetId="29" hidden="1">2</definedName>
    <definedName name="solver_typ" localSheetId="25" hidden="1">2</definedName>
    <definedName name="solver_typ" localSheetId="46" hidden="1">2</definedName>
    <definedName name="solver_typ" localSheetId="47" hidden="1">2</definedName>
    <definedName name="solver_typ" localSheetId="35" hidden="1">2</definedName>
    <definedName name="solver_typ" localSheetId="16" hidden="1">2</definedName>
    <definedName name="solver_typ" localSheetId="17" hidden="1">2</definedName>
    <definedName name="solver_typ" localSheetId="15" hidden="1">2</definedName>
    <definedName name="solver_typ" localSheetId="14" hidden="1">2</definedName>
    <definedName name="solver_typ" localSheetId="13" hidden="1">2</definedName>
    <definedName name="solver_typ" localSheetId="51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62" hidden="1">2</definedName>
    <definedName name="solver_typ" localSheetId="61" hidden="1">2</definedName>
    <definedName name="solver_typ" localSheetId="57" hidden="1">2</definedName>
    <definedName name="solver_typ" localSheetId="60" hidden="1">1</definedName>
    <definedName name="solver_typ" localSheetId="58" hidden="1">2</definedName>
    <definedName name="solver_typ" localSheetId="59" hidden="1">1</definedName>
    <definedName name="solver_typ" localSheetId="56" hidden="1">2</definedName>
    <definedName name="solver_typ" localSheetId="48" hidden="1">2</definedName>
    <definedName name="solver_typ" localSheetId="4" hidden="1">2</definedName>
    <definedName name="solver_typ" localSheetId="36" hidden="1">2</definedName>
    <definedName name="solver_typ" localSheetId="37" hidden="1">2</definedName>
    <definedName name="solver_typ" localSheetId="28" hidden="1">2</definedName>
    <definedName name="solver_typ" localSheetId="52" hidden="1">2</definedName>
    <definedName name="solver_typ" localSheetId="34" hidden="1">2</definedName>
    <definedName name="solver_typ" localSheetId="1" hidden="1">2</definedName>
    <definedName name="solver_typ" localSheetId="49" hidden="1">3</definedName>
    <definedName name="solver_typ" localSheetId="54" hidden="1">1</definedName>
    <definedName name="solver_typ" localSheetId="55" hidden="1">2</definedName>
    <definedName name="solver_typ" localSheetId="3" hidden="1">1</definedName>
    <definedName name="solver_typ" localSheetId="2" hidden="1">2</definedName>
    <definedName name="solver_typ" localSheetId="31" hidden="1">2</definedName>
    <definedName name="solver_typ" localSheetId="53" hidden="1">2</definedName>
    <definedName name="solver_typ" localSheetId="11" hidden="1">2</definedName>
    <definedName name="solver_typ" localSheetId="7" hidden="1">2</definedName>
    <definedName name="solver_typ" localSheetId="27" hidden="1">2</definedName>
    <definedName name="solver_typ" localSheetId="43" hidden="1">2</definedName>
    <definedName name="solver_typ" localSheetId="39" hidden="1">2</definedName>
    <definedName name="solver_val" localSheetId="21" hidden="1">0</definedName>
    <definedName name="solver_val" localSheetId="33" hidden="1">0</definedName>
    <definedName name="solver_val" localSheetId="18" hidden="1">0</definedName>
    <definedName name="solver_val" localSheetId="32" hidden="1">0</definedName>
    <definedName name="solver_val" localSheetId="6" hidden="1">0</definedName>
    <definedName name="solver_val" localSheetId="5" hidden="1">0</definedName>
    <definedName name="solver_val" localSheetId="45" hidden="1">0</definedName>
    <definedName name="solver_val" localSheetId="19" hidden="1">0</definedName>
    <definedName name="solver_val" localSheetId="20" hidden="1">0</definedName>
    <definedName name="solver_val" localSheetId="41" hidden="1">0</definedName>
    <definedName name="solver_val" localSheetId="38" hidden="1">0</definedName>
    <definedName name="solver_val" localSheetId="40" hidden="1">0</definedName>
    <definedName name="solver_val" localSheetId="23" hidden="1">0</definedName>
    <definedName name="solver_val" localSheetId="24" hidden="1">0</definedName>
    <definedName name="solver_val" localSheetId="50" hidden="1">0</definedName>
    <definedName name="solver_val" localSheetId="30" hidden="1">0</definedName>
    <definedName name="solver_val" localSheetId="9" hidden="1">0</definedName>
    <definedName name="solver_val" localSheetId="10" hidden="1">0</definedName>
    <definedName name="solver_val" localSheetId="8" hidden="1">0</definedName>
    <definedName name="solver_val" localSheetId="22" hidden="1">0</definedName>
    <definedName name="solver_val" localSheetId="26" hidden="1">0</definedName>
    <definedName name="solver_val" localSheetId="42" hidden="1">0</definedName>
    <definedName name="solver_val" localSheetId="44" hidden="1">0</definedName>
    <definedName name="solver_val" localSheetId="69" hidden="1">0</definedName>
    <definedName name="solver_val" localSheetId="29" hidden="1">0</definedName>
    <definedName name="solver_val" localSheetId="25" hidden="1">0</definedName>
    <definedName name="solver_val" localSheetId="46" hidden="1">0</definedName>
    <definedName name="solver_val" localSheetId="47" hidden="1">0</definedName>
    <definedName name="solver_val" localSheetId="35" hidden="1">0</definedName>
    <definedName name="solver_val" localSheetId="16" hidden="1">0</definedName>
    <definedName name="solver_val" localSheetId="17" hidden="1">0</definedName>
    <definedName name="solver_val" localSheetId="15" hidden="1">0</definedName>
    <definedName name="solver_val" localSheetId="13" hidden="1">0</definedName>
    <definedName name="solver_val" localSheetId="51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62" hidden="1">0</definedName>
    <definedName name="solver_val" localSheetId="61" hidden="1">0</definedName>
    <definedName name="solver_val" localSheetId="57" hidden="1">0</definedName>
    <definedName name="solver_val" localSheetId="60" hidden="1">0</definedName>
    <definedName name="solver_val" localSheetId="58" hidden="1">0</definedName>
    <definedName name="solver_val" localSheetId="59" hidden="1">0</definedName>
    <definedName name="solver_val" localSheetId="56" hidden="1">0</definedName>
    <definedName name="solver_val" localSheetId="48" hidden="1">0</definedName>
    <definedName name="solver_val" localSheetId="4" hidden="1">0</definedName>
    <definedName name="solver_val" localSheetId="36" hidden="1">0</definedName>
    <definedName name="solver_val" localSheetId="37" hidden="1">0</definedName>
    <definedName name="solver_val" localSheetId="34" hidden="1">0</definedName>
    <definedName name="solver_val" localSheetId="1" hidden="1">0</definedName>
    <definedName name="solver_val" localSheetId="49" hidden="1">50</definedName>
    <definedName name="solver_val" localSheetId="54" hidden="1">0</definedName>
    <definedName name="solver_val" localSheetId="55" hidden="1">0</definedName>
    <definedName name="solver_val" localSheetId="3" hidden="1">0</definedName>
    <definedName name="solver_val" localSheetId="2" hidden="1">0</definedName>
    <definedName name="solver_val" localSheetId="31" hidden="1">0</definedName>
    <definedName name="solver_val" localSheetId="53" hidden="1">0</definedName>
    <definedName name="solver_val" localSheetId="11" hidden="1">0</definedName>
    <definedName name="solver_val" localSheetId="7" hidden="1">0</definedName>
    <definedName name="solver_val" localSheetId="27" hidden="1">0</definedName>
    <definedName name="solver_val" localSheetId="43" hidden="1">0</definedName>
    <definedName name="solver_val" localSheetId="39" hidden="1">0</definedName>
    <definedName name="solver_ver" localSheetId="33" hidden="1">3</definedName>
    <definedName name="solver_ver" localSheetId="32" hidden="1">3</definedName>
    <definedName name="solver_ver" localSheetId="41" hidden="1">3</definedName>
    <definedName name="solver_ver" localSheetId="38" hidden="1">3</definedName>
    <definedName name="solver_ver" localSheetId="42" hidden="1">3</definedName>
    <definedName name="solver_ver" localSheetId="35" hidden="1">3</definedName>
    <definedName name="solver_ver" localSheetId="66" hidden="1">3</definedName>
    <definedName name="solver_ver" localSheetId="67" hidden="1">3</definedName>
    <definedName name="solver_ver" localSheetId="61" hidden="1">3</definedName>
    <definedName name="solver_ver" localSheetId="59" hidden="1">3</definedName>
    <definedName name="solver_ver" localSheetId="48" hidden="1">3</definedName>
    <definedName name="solver_ver" localSheetId="4" hidden="1">3</definedName>
    <definedName name="solver_ver" localSheetId="36" hidden="1">3</definedName>
    <definedName name="solver_ver" localSheetId="37" hidden="1">3</definedName>
    <definedName name="solver_ver" localSheetId="34" hidden="1">3</definedName>
    <definedName name="solver_ver" localSheetId="55" hidden="1">3</definedName>
    <definedName name="solver_ver" localSheetId="3" hidden="1">3</definedName>
    <definedName name="solver_ver" localSheetId="2" hidden="1">3</definedName>
    <definedName name="solver_ver" localSheetId="31" hidden="1">3</definedName>
    <definedName name="solver_ver" localSheetId="27" hidden="1">3</definedName>
    <definedName name="solver_ver" localSheetId="43" hidden="1">3</definedName>
    <definedName name="solver_ver" localSheetId="39" hidden="1">3</definedName>
    <definedName name="TestType">Data!$D$1:$D$2</definedName>
    <definedName name="uhj">NonLinMinMax!$B$1</definedName>
    <definedName name="wa" localSheetId="66">#REF!</definedName>
    <definedName name="wa" localSheetId="67">#REF!</definedName>
    <definedName name="wa" localSheetId="68">#REF!</definedName>
    <definedName name="wa">NonLin3!$P$3</definedName>
    <definedName name="wb" localSheetId="66">#REF!</definedName>
    <definedName name="wb" localSheetId="67">#REF!</definedName>
    <definedName name="wb" localSheetId="68">#REF!</definedName>
    <definedName name="wb">NonLin3!$P$4</definedName>
    <definedName name="wc" localSheetId="66">#REF!</definedName>
    <definedName name="wc" localSheetId="67">#REF!</definedName>
    <definedName name="wc" localSheetId="68">#REF!</definedName>
    <definedName name="wc">NonLin3!$P$5</definedName>
    <definedName name="wd" localSheetId="66">#REF!</definedName>
    <definedName name="wd" localSheetId="67">#REF!</definedName>
    <definedName name="wd" localSheetId="68">#REF!</definedName>
    <definedName name="wd">NonLin3!$P$6</definedName>
    <definedName name="x" localSheetId="50">#REF!</definedName>
    <definedName name="x" localSheetId="22">#REF!</definedName>
    <definedName name="x" localSheetId="65">NonLin3!$C$34:$AQ$34</definedName>
    <definedName name="x" localSheetId="68">NonLin6!$E$6</definedName>
    <definedName name="x" localSheetId="34">#REF!</definedName>
    <definedName name="x" localSheetId="49">#REF!</definedName>
    <definedName name="x" localSheetId="3">#REF!</definedName>
    <definedName name="x" localSheetId="27">#REF!</definedName>
    <definedName name="x">#REF!</definedName>
    <definedName name="xa" localSheetId="66">#REF!</definedName>
    <definedName name="xa" localSheetId="67">#REF!</definedName>
    <definedName name="xa" localSheetId="68">#REF!</definedName>
    <definedName name="xa">NonLin3!$N$3</definedName>
    <definedName name="xb" localSheetId="66">#REF!</definedName>
    <definedName name="xb" localSheetId="67">#REF!</definedName>
    <definedName name="xb" localSheetId="68">#REF!</definedName>
    <definedName name="xb">NonLin3!$N$4</definedName>
    <definedName name="xc" localSheetId="66">#REF!</definedName>
    <definedName name="xc" localSheetId="67">#REF!</definedName>
    <definedName name="xc" localSheetId="68">#REF!</definedName>
    <definedName name="xc">NonLin3!$N$5</definedName>
    <definedName name="xd" localSheetId="66">#REF!</definedName>
    <definedName name="xd" localSheetId="67">#REF!</definedName>
    <definedName name="xd" localSheetId="68">#REF!</definedName>
    <definedName name="xd">NonLin3!$N$6</definedName>
    <definedName name="xstep" localSheetId="50">#REF!</definedName>
    <definedName name="xstep" localSheetId="22">#REF!</definedName>
    <definedName name="xstep" localSheetId="34">#REF!</definedName>
    <definedName name="xstep" localSheetId="49">#REF!</definedName>
    <definedName name="xstep" localSheetId="3">#REF!</definedName>
    <definedName name="xstep" localSheetId="27">#REF!</definedName>
    <definedName name="xstep">#REF!</definedName>
    <definedName name="y" localSheetId="50">#REF!</definedName>
    <definedName name="y" localSheetId="22">#REF!</definedName>
    <definedName name="y" localSheetId="65">NonLin3!$B$35:$B$75</definedName>
    <definedName name="y" localSheetId="68">NonLin6!$E$7</definedName>
    <definedName name="y" localSheetId="34">#REF!</definedName>
    <definedName name="y" localSheetId="49">#REF!</definedName>
    <definedName name="y" localSheetId="3">#REF!</definedName>
    <definedName name="y" localSheetId="27">#REF!</definedName>
    <definedName name="y">#REF!</definedName>
    <definedName name="ya" localSheetId="66">#REF!</definedName>
    <definedName name="ya" localSheetId="67">#REF!</definedName>
    <definedName name="ya" localSheetId="68">#REF!</definedName>
    <definedName name="ya">NonLin3!$O$3</definedName>
    <definedName name="yb" localSheetId="66">#REF!</definedName>
    <definedName name="yb" localSheetId="67">#REF!</definedName>
    <definedName name="yb" localSheetId="68">#REF!</definedName>
    <definedName name="yb">NonLin3!$O$4</definedName>
    <definedName name="yc" localSheetId="66">#REF!</definedName>
    <definedName name="yc" localSheetId="67">#REF!</definedName>
    <definedName name="yc" localSheetId="68">#REF!</definedName>
    <definedName name="yc">NonLin3!$O$5</definedName>
    <definedName name="yd" localSheetId="66">#REF!</definedName>
    <definedName name="yd" localSheetId="67">#REF!</definedName>
    <definedName name="yd" localSheetId="68">#REF!</definedName>
    <definedName name="yd">NonLin3!$O$6</definedName>
    <definedName name="ystep" localSheetId="50">#REF!</definedName>
    <definedName name="ystep" localSheetId="22">#REF!</definedName>
    <definedName name="ystep" localSheetId="34">#REF!</definedName>
    <definedName name="ystep" localSheetId="49">#REF!</definedName>
    <definedName name="ystep" localSheetId="3">#REF!</definedName>
    <definedName name="ystep" localSheetId="27">#REF!</definedName>
    <definedName name="ystep">#REF!</definedName>
  </definedNames>
  <calcPr calcId="152511" calcOnSave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9" i="60" l="1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H6" i="1" l="1"/>
  <c r="D21" i="1" s="1"/>
  <c r="S4" i="9"/>
  <c r="I7" i="9" s="1"/>
  <c r="D22" i="9" s="1"/>
  <c r="D20" i="77"/>
  <c r="D24" i="77" s="1"/>
  <c r="A6" i="77" s="1"/>
  <c r="C12" i="88"/>
  <c r="E12" i="88" s="1"/>
  <c r="F12" i="88" s="1"/>
  <c r="D12" i="88"/>
  <c r="C13" i="88"/>
  <c r="E13" i="88" s="1"/>
  <c r="F13" i="88" s="1"/>
  <c r="J2" i="87"/>
  <c r="J3" i="87"/>
  <c r="J6" i="87"/>
  <c r="J4" i="87"/>
  <c r="J5" i="87"/>
  <c r="P3" i="75"/>
  <c r="P4" i="75"/>
  <c r="S13" i="75"/>
  <c r="F4" i="68"/>
  <c r="F11" i="68" s="1"/>
  <c r="I39" i="3"/>
  <c r="K37" i="3" s="1"/>
  <c r="A6" i="3" s="1"/>
  <c r="C6" i="95"/>
  <c r="D21" i="95" s="1"/>
  <c r="I6" i="71"/>
  <c r="I16" i="71" s="1"/>
  <c r="A6" i="71" s="1"/>
  <c r="G6" i="70"/>
  <c r="G12" i="70" s="1"/>
  <c r="F6" i="69"/>
  <c r="F22" i="69" s="1"/>
  <c r="A6" i="69" s="1"/>
  <c r="H5" i="19"/>
  <c r="D20" i="19" s="1"/>
  <c r="H5" i="38"/>
  <c r="L3" i="38" s="1"/>
  <c r="H5" i="20"/>
  <c r="D20" i="20" s="1"/>
  <c r="G6" i="65"/>
  <c r="G15" i="65" s="1"/>
  <c r="H15" i="2"/>
  <c r="H24" i="2" s="1"/>
  <c r="H6" i="4"/>
  <c r="I6" i="66"/>
  <c r="I16" i="66" s="1"/>
  <c r="G17" i="92"/>
  <c r="G13" i="112" s="1"/>
  <c r="G4" i="92"/>
  <c r="G13" i="92" s="1"/>
  <c r="H7" i="57"/>
  <c r="D22" i="57" s="1"/>
  <c r="H7" i="11"/>
  <c r="S3" i="7"/>
  <c r="I6" i="7" s="1"/>
  <c r="D21" i="7" s="1"/>
  <c r="G4" i="90"/>
  <c r="G13" i="90" s="1"/>
  <c r="H9" i="54"/>
  <c r="D23" i="54" s="1"/>
  <c r="H9" i="53"/>
  <c r="D23" i="53" s="1"/>
  <c r="H9" i="52"/>
  <c r="D23" i="52" s="1"/>
  <c r="H9" i="51"/>
  <c r="D23" i="51" s="1"/>
  <c r="H9" i="50"/>
  <c r="D23" i="50" s="1"/>
  <c r="H8" i="49"/>
  <c r="D22" i="49" s="1"/>
  <c r="H10" i="48"/>
  <c r="D24" i="48" s="1"/>
  <c r="H10" i="47"/>
  <c r="D24" i="47" s="1"/>
  <c r="H10" i="46"/>
  <c r="D24" i="46" s="1"/>
  <c r="H9" i="98"/>
  <c r="D23" i="98" s="1"/>
  <c r="H9" i="45"/>
  <c r="D23" i="45" s="1"/>
  <c r="H9" i="44"/>
  <c r="D23" i="44" s="1"/>
  <c r="H8" i="43"/>
  <c r="D22" i="43" s="1"/>
  <c r="H8" i="42"/>
  <c r="D22" i="42" s="1"/>
  <c r="H8" i="23"/>
  <c r="D23" i="23" s="1"/>
  <c r="H6" i="111"/>
  <c r="J6" i="41"/>
  <c r="D21" i="41" s="1"/>
  <c r="J6" i="14"/>
  <c r="H7" i="12"/>
  <c r="H6" i="94"/>
  <c r="D21" i="94" s="1"/>
  <c r="S4" i="8"/>
  <c r="I7" i="8" s="1"/>
  <c r="D22" i="8" s="1"/>
  <c r="I6" i="6"/>
  <c r="D21" i="6" s="1"/>
  <c r="H7" i="35"/>
  <c r="D22" i="35" s="1"/>
  <c r="H7" i="34"/>
  <c r="D22" i="34" s="1"/>
  <c r="H7" i="33"/>
  <c r="D22" i="33" s="1"/>
  <c r="H7" i="31"/>
  <c r="D22" i="31" s="1"/>
  <c r="H6" i="27"/>
  <c r="D21" i="27" s="1"/>
  <c r="H6" i="26"/>
  <c r="D21" i="26" s="1"/>
  <c r="H6" i="25"/>
  <c r="H6" i="32"/>
  <c r="D21" i="32" s="1"/>
  <c r="H6" i="24"/>
  <c r="D21" i="24" s="1"/>
  <c r="H6" i="22"/>
  <c r="D21" i="22" s="1"/>
  <c r="E10" i="113"/>
  <c r="D21" i="113" s="1"/>
  <c r="D8" i="85"/>
  <c r="D13" i="85"/>
  <c r="D12" i="85"/>
  <c r="D14" i="85" s="1"/>
  <c r="D17" i="113"/>
  <c r="E17" i="113"/>
  <c r="F17" i="113"/>
  <c r="D17" i="22"/>
  <c r="E17" i="22"/>
  <c r="F17" i="22"/>
  <c r="D17" i="1"/>
  <c r="E17" i="1"/>
  <c r="F17" i="1"/>
  <c r="A10" i="113"/>
  <c r="D10" i="113"/>
  <c r="A9" i="113"/>
  <c r="F13" i="112"/>
  <c r="E13" i="112"/>
  <c r="D13" i="112"/>
  <c r="A10" i="112"/>
  <c r="G9" i="112"/>
  <c r="A9" i="112"/>
  <c r="G8" i="112"/>
  <c r="G7" i="112"/>
  <c r="G6" i="112"/>
  <c r="H6" i="18"/>
  <c r="A6" i="111"/>
  <c r="H11" i="111"/>
  <c r="H10" i="111"/>
  <c r="A10" i="111"/>
  <c r="H9" i="111"/>
  <c r="A9" i="111"/>
  <c r="H8" i="111"/>
  <c r="D34" i="75"/>
  <c r="E34" i="75"/>
  <c r="F34" i="75"/>
  <c r="G34" i="75"/>
  <c r="H34" i="75"/>
  <c r="I34" i="75"/>
  <c r="J34" i="75"/>
  <c r="K34" i="75"/>
  <c r="L34" i="75"/>
  <c r="M34" i="75"/>
  <c r="N34" i="75"/>
  <c r="O34" i="75"/>
  <c r="P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C34" i="75"/>
  <c r="AD34" i="75"/>
  <c r="AE34" i="75"/>
  <c r="AF34" i="75"/>
  <c r="AG34" i="75"/>
  <c r="AH34" i="75"/>
  <c r="AI34" i="75"/>
  <c r="AJ34" i="75"/>
  <c r="AK34" i="75"/>
  <c r="AL34" i="75"/>
  <c r="AM34" i="75"/>
  <c r="AN34" i="75"/>
  <c r="AO34" i="75"/>
  <c r="AP34" i="75"/>
  <c r="AQ34" i="75"/>
  <c r="B36" i="75"/>
  <c r="B37" i="75"/>
  <c r="B38" i="75"/>
  <c r="B39" i="75"/>
  <c r="B40" i="75"/>
  <c r="B41" i="75"/>
  <c r="B42" i="75"/>
  <c r="B43" i="75"/>
  <c r="B44" i="75"/>
  <c r="B45" i="75"/>
  <c r="B46" i="75"/>
  <c r="B47" i="75"/>
  <c r="B48" i="75"/>
  <c r="B49" i="75"/>
  <c r="B50" i="75"/>
  <c r="B51" i="75"/>
  <c r="B52" i="75"/>
  <c r="B53" i="75"/>
  <c r="B54" i="75"/>
  <c r="B55" i="75"/>
  <c r="B56" i="75"/>
  <c r="B57" i="75"/>
  <c r="B58" i="75"/>
  <c r="B59" i="75"/>
  <c r="B60" i="75"/>
  <c r="B61" i="75"/>
  <c r="B62" i="75"/>
  <c r="B63" i="75"/>
  <c r="B64" i="75"/>
  <c r="B65" i="75"/>
  <c r="B66" i="75"/>
  <c r="B67" i="75"/>
  <c r="B68" i="75"/>
  <c r="B69" i="75"/>
  <c r="B70" i="75"/>
  <c r="B71" i="75"/>
  <c r="B72" i="75"/>
  <c r="B73" i="75"/>
  <c r="B74" i="75"/>
  <c r="B75" i="75"/>
  <c r="J26" i="69"/>
  <c r="D19" i="98"/>
  <c r="A10" i="98"/>
  <c r="A9" i="98"/>
  <c r="F19" i="98"/>
  <c r="H11" i="98"/>
  <c r="E19" i="98"/>
  <c r="H12" i="98"/>
  <c r="H13" i="98"/>
  <c r="D33" i="40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A6" i="95"/>
  <c r="F17" i="94"/>
  <c r="E17" i="94"/>
  <c r="D17" i="94"/>
  <c r="H11" i="94"/>
  <c r="H10" i="94"/>
  <c r="A10" i="94"/>
  <c r="H9" i="94"/>
  <c r="A9" i="94"/>
  <c r="H8" i="94"/>
  <c r="A6" i="94"/>
  <c r="F13" i="92"/>
  <c r="E13" i="92"/>
  <c r="D13" i="92"/>
  <c r="A10" i="92"/>
  <c r="G9" i="92"/>
  <c r="A9" i="92"/>
  <c r="G8" i="92"/>
  <c r="G7" i="92"/>
  <c r="G6" i="92"/>
  <c r="F13" i="90"/>
  <c r="E13" i="90"/>
  <c r="D13" i="90"/>
  <c r="A10" i="90"/>
  <c r="G9" i="90"/>
  <c r="A9" i="90"/>
  <c r="G8" i="90"/>
  <c r="G7" i="90"/>
  <c r="G6" i="90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A6" i="87"/>
  <c r="P5" i="87"/>
  <c r="O5" i="87"/>
  <c r="N5" i="87"/>
  <c r="P3" i="87"/>
  <c r="O3" i="87"/>
  <c r="P2" i="87"/>
  <c r="O2" i="87"/>
  <c r="N2" i="87"/>
  <c r="A10" i="85"/>
  <c r="A9" i="85"/>
  <c r="H17" i="77"/>
  <c r="G17" i="77"/>
  <c r="F17" i="77"/>
  <c r="E17" i="77"/>
  <c r="D17" i="77"/>
  <c r="I16" i="77"/>
  <c r="I15" i="77"/>
  <c r="I14" i="77"/>
  <c r="A10" i="77"/>
  <c r="A9" i="77"/>
  <c r="A10" i="75"/>
  <c r="A9" i="75"/>
  <c r="A10" i="71"/>
  <c r="A9" i="71"/>
  <c r="I8" i="71"/>
  <c r="I9" i="71" s="1"/>
  <c r="I7" i="71"/>
  <c r="E12" i="70"/>
  <c r="D12" i="70"/>
  <c r="A10" i="70"/>
  <c r="A9" i="70"/>
  <c r="G8" i="70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F15" i="65"/>
  <c r="E15" i="65"/>
  <c r="D15" i="65"/>
  <c r="G11" i="65"/>
  <c r="C11" i="65"/>
  <c r="G10" i="65"/>
  <c r="A10" i="65"/>
  <c r="G9" i="65"/>
  <c r="A9" i="65"/>
  <c r="G8" i="65"/>
  <c r="F24" i="2"/>
  <c r="E24" i="2"/>
  <c r="D24" i="2"/>
  <c r="H20" i="2"/>
  <c r="H19" i="2"/>
  <c r="H18" i="2"/>
  <c r="H17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F19" i="54"/>
  <c r="E19" i="54"/>
  <c r="D19" i="54"/>
  <c r="H13" i="54"/>
  <c r="H12" i="54"/>
  <c r="H11" i="54"/>
  <c r="A10" i="54"/>
  <c r="A9" i="54"/>
  <c r="F19" i="53"/>
  <c r="E19" i="53"/>
  <c r="D19" i="53"/>
  <c r="H13" i="53"/>
  <c r="H12" i="53"/>
  <c r="H11" i="53"/>
  <c r="A10" i="53"/>
  <c r="A9" i="53"/>
  <c r="F19" i="52"/>
  <c r="E19" i="52"/>
  <c r="D19" i="52"/>
  <c r="H13" i="52"/>
  <c r="H12" i="52"/>
  <c r="H11" i="52"/>
  <c r="A10" i="52"/>
  <c r="A9" i="52"/>
  <c r="F19" i="51"/>
  <c r="E19" i="51"/>
  <c r="D19" i="51"/>
  <c r="H13" i="51"/>
  <c r="H12" i="51"/>
  <c r="H11" i="51"/>
  <c r="A10" i="51"/>
  <c r="A9" i="51"/>
  <c r="F19" i="50"/>
  <c r="E19" i="50"/>
  <c r="D19" i="50"/>
  <c r="H13" i="50"/>
  <c r="H12" i="50"/>
  <c r="H11" i="50"/>
  <c r="A10" i="50"/>
  <c r="A9" i="50"/>
  <c r="F7" i="50"/>
  <c r="E7" i="50"/>
  <c r="D7" i="50"/>
  <c r="F18" i="49"/>
  <c r="E18" i="49"/>
  <c r="D18" i="49"/>
  <c r="H12" i="49"/>
  <c r="H11" i="49"/>
  <c r="H10" i="49"/>
  <c r="A10" i="49"/>
  <c r="A9" i="49"/>
  <c r="D6" i="49"/>
  <c r="E6" i="49"/>
  <c r="F6" i="49"/>
  <c r="F20" i="48"/>
  <c r="E20" i="48"/>
  <c r="D20" i="48"/>
  <c r="H14" i="48"/>
  <c r="H13" i="48"/>
  <c r="H12" i="48"/>
  <c r="A10" i="48"/>
  <c r="A9" i="48"/>
  <c r="H6" i="48"/>
  <c r="F20" i="47"/>
  <c r="E20" i="47"/>
  <c r="D20" i="47"/>
  <c r="H14" i="47"/>
  <c r="H13" i="47"/>
  <c r="H12" i="47"/>
  <c r="A10" i="47"/>
  <c r="A9" i="47"/>
  <c r="F20" i="46"/>
  <c r="E20" i="46"/>
  <c r="D20" i="46"/>
  <c r="H14" i="46"/>
  <c r="H13" i="46"/>
  <c r="H12" i="46"/>
  <c r="A10" i="46"/>
  <c r="A9" i="46"/>
  <c r="F19" i="45"/>
  <c r="E19" i="45"/>
  <c r="D19" i="45"/>
  <c r="H13" i="45"/>
  <c r="H12" i="45"/>
  <c r="H11" i="45"/>
  <c r="A10" i="45"/>
  <c r="A9" i="45"/>
  <c r="F19" i="44"/>
  <c r="E19" i="44"/>
  <c r="D19" i="44"/>
  <c r="H13" i="44"/>
  <c r="H12" i="44"/>
  <c r="H11" i="44"/>
  <c r="A10" i="44"/>
  <c r="A9" i="44"/>
  <c r="F18" i="43"/>
  <c r="E18" i="43"/>
  <c r="D18" i="43"/>
  <c r="H12" i="43"/>
  <c r="H11" i="43"/>
  <c r="H10" i="43"/>
  <c r="A10" i="43"/>
  <c r="A9" i="43"/>
  <c r="E6" i="43"/>
  <c r="F18" i="42"/>
  <c r="E18" i="42"/>
  <c r="D18" i="42"/>
  <c r="H12" i="42"/>
  <c r="H11" i="42"/>
  <c r="H10" i="42"/>
  <c r="A10" i="42"/>
  <c r="A9" i="42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K3" i="38"/>
  <c r="J3" i="38"/>
  <c r="I3" i="38"/>
  <c r="F16" i="20"/>
  <c r="E16" i="20"/>
  <c r="D16" i="20"/>
  <c r="H10" i="20"/>
  <c r="A10" i="20"/>
  <c r="H9" i="20"/>
  <c r="A9" i="20"/>
  <c r="H8" i="20"/>
  <c r="H7" i="20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N37" i="7"/>
  <c r="N38" i="7"/>
  <c r="K33" i="7"/>
  <c r="K34" i="7"/>
  <c r="K35" i="7"/>
  <c r="L30" i="7"/>
  <c r="L33" i="7"/>
  <c r="L34" i="7"/>
  <c r="L35" i="7"/>
  <c r="L36" i="7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G17" i="6"/>
  <c r="F17" i="6"/>
  <c r="E17" i="6"/>
  <c r="D17" i="6"/>
  <c r="I11" i="6"/>
  <c r="I10" i="6"/>
  <c r="A10" i="6"/>
  <c r="I9" i="6"/>
  <c r="A9" i="6"/>
  <c r="I8" i="6"/>
  <c r="F18" i="35"/>
  <c r="E18" i="35"/>
  <c r="D18" i="35"/>
  <c r="H12" i="35"/>
  <c r="A10" i="35"/>
  <c r="H9" i="35"/>
  <c r="A9" i="35"/>
  <c r="F18" i="34"/>
  <c r="E18" i="34"/>
  <c r="D18" i="34"/>
  <c r="H12" i="34"/>
  <c r="H11" i="34"/>
  <c r="G10" i="34"/>
  <c r="A10" i="34"/>
  <c r="H9" i="34"/>
  <c r="A9" i="34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/>
  <c r="F17" i="27"/>
  <c r="E17" i="27"/>
  <c r="D17" i="27"/>
  <c r="H11" i="27"/>
  <c r="H10" i="27"/>
  <c r="A10" i="27"/>
  <c r="H9" i="27"/>
  <c r="A9" i="27"/>
  <c r="H8" i="27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F17" i="32"/>
  <c r="E17" i="32"/>
  <c r="D17" i="32"/>
  <c r="H11" i="32"/>
  <c r="A10" i="32"/>
  <c r="H9" i="32"/>
  <c r="A9" i="32"/>
  <c r="H8" i="32"/>
  <c r="A6" i="32"/>
  <c r="F17" i="24"/>
  <c r="E17" i="24"/>
  <c r="D17" i="24"/>
  <c r="H11" i="24"/>
  <c r="H10" i="24"/>
  <c r="A10" i="24"/>
  <c r="H9" i="24"/>
  <c r="A9" i="24"/>
  <c r="H8" i="24"/>
  <c r="A6" i="24"/>
  <c r="H11" i="22"/>
  <c r="H10" i="22"/>
  <c r="A10" i="22"/>
  <c r="H9" i="22"/>
  <c r="A9" i="22"/>
  <c r="H8" i="22"/>
  <c r="H11" i="1"/>
  <c r="H10" i="1"/>
  <c r="A10" i="1"/>
  <c r="H9" i="1"/>
  <c r="A9" i="1"/>
  <c r="H8" i="1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K36" i="7"/>
  <c r="K38" i="7"/>
  <c r="L38" i="7"/>
  <c r="C77" i="75"/>
  <c r="AS70" i="75"/>
  <c r="T78" i="75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/>
  <c r="L2" i="75"/>
  <c r="M2" i="75"/>
  <c r="C80" i="75"/>
  <c r="L3" i="75"/>
  <c r="M3" i="75"/>
  <c r="E39" i="3" l="1"/>
  <c r="J41" i="3" s="1"/>
  <c r="O41" i="3" s="1"/>
  <c r="D16" i="85"/>
  <c r="D17" i="85" s="1"/>
  <c r="A6" i="85" s="1"/>
  <c r="H16" i="4"/>
  <c r="H20" i="4"/>
  <c r="A6" i="57"/>
  <c r="A6" i="44"/>
  <c r="A6" i="6"/>
  <c r="A6" i="34"/>
  <c r="F15" i="88"/>
  <c r="F16" i="88" s="1"/>
  <c r="A6" i="88" s="1"/>
  <c r="J7" i="87"/>
  <c r="J24" i="87" s="1"/>
  <c r="A6" i="75"/>
  <c r="A6" i="68"/>
  <c r="A6" i="70"/>
  <c r="A6" i="19"/>
  <c r="A6" i="38"/>
  <c r="A6" i="20"/>
  <c r="A6" i="2"/>
  <c r="A6" i="66"/>
  <c r="A6" i="112"/>
  <c r="A6" i="92"/>
  <c r="F15" i="7"/>
  <c r="A6" i="7"/>
  <c r="A6" i="90"/>
  <c r="A6" i="54"/>
  <c r="A6" i="53"/>
  <c r="A6" i="52"/>
  <c r="A6" i="51"/>
  <c r="A6" i="50"/>
  <c r="A6" i="49"/>
  <c r="A6" i="48"/>
  <c r="A6" i="47"/>
  <c r="A6" i="46"/>
  <c r="A6" i="98"/>
  <c r="A6" i="45"/>
  <c r="A6" i="43"/>
  <c r="A6" i="42"/>
  <c r="A6" i="23"/>
  <c r="A6" i="41"/>
  <c r="F16" i="9"/>
  <c r="F16" i="8"/>
  <c r="A6" i="8"/>
  <c r="A6" i="33"/>
  <c r="A6" i="31"/>
  <c r="A6" i="113"/>
  <c r="A6" i="1"/>
  <c r="A6" i="22"/>
  <c r="A6" i="65"/>
  <c r="J40" i="3" l="1"/>
  <c r="O40" i="3" s="1"/>
  <c r="J42" i="3"/>
  <c r="O42" i="3" s="1"/>
  <c r="J43" i="3"/>
  <c r="O43" i="3" s="1"/>
  <c r="J44" i="3"/>
  <c r="O44" i="3" s="1"/>
</calcChain>
</file>

<file path=xl/sharedStrings.xml><?xml version="1.0" encoding="utf-8"?>
<sst xmlns="http://schemas.openxmlformats.org/spreadsheetml/2006/main" count="1906" uniqueCount="406">
  <si>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</si>
  <si>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</si>
  <si>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</si>
  <si>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</si>
  <si>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</si>
  <si>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</si>
  <si>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</si>
  <si>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</si>
  <si>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</si>
  <si>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</si>
  <si>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</si>
  <si>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</si>
  <si>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</si>
  <si>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</si>
  <si>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</si>
  <si>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</si>
  <si>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</si>
  <si>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</si>
  <si>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</si>
  <si>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</si>
  <si>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</si>
  <si>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</si>
  <si>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</si>
  <si>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</si>
  <si>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</si>
  <si>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</si>
  <si>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</si>
  <si>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</si>
  <si>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</si>
  <si>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</si>
  <si>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</si>
  <si>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</si>
  <si>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</si>
  <si>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</si>
  <si>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</si>
  <si>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</si>
  <si>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</si>
  <si>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</si>
  <si>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</si>
  <si>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</si>
  <si>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</si>
  <si>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</si>
  <si>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</si>
  <si>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</si>
  <si>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</si>
  <si>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</si>
  <si>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</si>
  <si>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</si>
  <si>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</si>
  <si>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</si>
  <si>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</si>
  <si>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</si>
  <si>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</si>
  <si>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</si>
  <si>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</si>
  <si>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</si>
  <si>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</si>
  <si>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</si>
  <si>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</si>
  <si>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</si>
  <si>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</si>
  <si>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</si>
  <si>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</si>
  <si>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</si>
  <si>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</si>
  <si>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</si>
  <si>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</si>
  <si>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</si>
  <si>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</si>
  <si>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</si>
  <si>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</si>
  <si>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</si>
  <si>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</si>
  <si>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</si>
  <si>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</si>
  <si>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</si>
  <si>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</si>
  <si>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</si>
  <si>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</si>
  <si>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</si>
  <si>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</si>
  <si>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</si>
  <si>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</si>
  <si>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</si>
  <si>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</si>
  <si>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</si>
  <si>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</si>
  <si>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</si>
  <si>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</si>
  <si>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</si>
  <si>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</si>
  <si>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</si>
  <si>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</si>
  <si>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</si>
  <si>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</si>
  <si>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</si>
  <si>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</si>
  <si>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</si>
  <si>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</si>
  <si>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</si>
  <si>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</si>
  <si>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</si>
  <si>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</si>
  <si>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</si>
  <si>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</si>
  <si>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</si>
  <si>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</si>
  <si>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</si>
  <si>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</si>
  <si>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</si>
  <si>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</si>
  <si>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</si>
  <si>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</si>
  <si>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</si>
  <si>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</si>
  <si>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</si>
  <si>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</si>
  <si>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</si>
  <si>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</si>
  <si>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</si>
  <si>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</si>
  <si>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</si>
  <si>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</si>
  <si>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</si>
  <si>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</si>
  <si>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</si>
  <si>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</si>
  <si>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</si>
  <si>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</si>
  <si>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</si>
  <si>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</si>
  <si>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</si>
  <si>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</si>
  <si>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</si>
  <si>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</si>
  <si>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</si>
  <si>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</si>
  <si>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</si>
  <si>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</si>
  <si>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</si>
  <si>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</si>
  <si>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</si>
  <si>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</si>
  <si>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</si>
  <si>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</si>
  <si>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</si>
  <si>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</si>
  <si>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</si>
  <si>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</si>
  <si>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</si>
  <si>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</si>
  <si>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</si>
  <si>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</si>
  <si>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</si>
  <si>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</si>
  <si>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</si>
  <si>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</si>
  <si>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</si>
  <si>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</si>
  <si>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</si>
  <si>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</si>
  <si>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</si>
  <si>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</si>
  <si>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</si>
  <si>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</si>
  <si>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</si>
  <si>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</si>
  <si>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</si>
  <si>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</si>
  <si>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</si>
  <si>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</si>
  <si>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</si>
  <si>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</si>
  <si>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</si>
  <si>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</si>
  <si>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</si>
  <si>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</si>
  <si>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</si>
  <si>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</si>
  <si>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</si>
  <si>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</si>
  <si>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</si>
  <si>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</si>
  <si>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</si>
  <si>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</si>
  <si>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</si>
  <si>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</si>
  <si>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</si>
  <si>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</si>
  <si>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</si>
  <si>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</si>
  <si>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</si>
  <si>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</si>
  <si>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</si>
  <si>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</si>
  <si>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</si>
  <si>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</si>
  <si>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</si>
  <si>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</si>
  <si>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</si>
  <si>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</si>
  <si>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</si>
  <si>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</si>
  <si>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</si>
  <si>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</si>
  <si>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</si>
  <si>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</si>
  <si>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</si>
  <si>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</si>
  <si>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</si>
  <si>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</si>
  <si>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</si>
  <si>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</si>
  <si>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</si>
  <si>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</si>
  <si>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</si>
  <si>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</si>
  <si>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</si>
  <si>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</si>
  <si>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</si>
  <si>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</si>
  <si>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</si>
  <si>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</si>
  <si>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</si>
  <si>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</si>
  <si>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</si>
  <si>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</si>
  <si>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</si>
  <si>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</si>
  <si>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</si>
  <si>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</si>
  <si>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</si>
  <si>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</si>
  <si>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</si>
  <si>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</si>
  <si>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</si>
  <si>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</si>
  <si>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</si>
  <si>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</si>
  <si>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</si>
  <si>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</si>
  <si>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</si>
  <si>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</si>
  <si>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</si>
  <si>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</si>
  <si>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</si>
  <si>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</si>
  <si>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</si>
  <si>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</si>
  <si>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</si>
  <si>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</si>
  <si>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</si>
  <si>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</si>
  <si>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</si>
  <si>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</si>
  <si>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</si>
  <si>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</si>
  <si>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</si>
  <si>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</si>
  <si>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</si>
  <si>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</si>
  <si>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</si>
  <si>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</si>
  <si>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</si>
  <si>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</si>
  <si>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</si>
  <si>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</si>
  <si>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</si>
  <si>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</si>
  <si>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</si>
  <si>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</si>
  <si>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</si>
  <si>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</si>
  <si>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</si>
  <si>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</si>
  <si>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</si>
  <si>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</si>
  <si>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</si>
  <si>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</si>
  <si>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</si>
  <si>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</si>
  <si>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</si>
  <si>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</si>
  <si>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</si>
  <si>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</si>
  <si>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</si>
  <si>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</si>
  <si>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</si>
  <si>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</si>
  <si>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</si>
  <si>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</si>
  <si>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</si>
  <si>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</si>
  <si>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</si>
  <si>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</si>
  <si>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</si>
  <si>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</si>
  <si>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</si>
  <si>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</si>
  <si>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</si>
  <si>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</si>
  <si>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</si>
  <si>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</si>
  <si>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</si>
  <si>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</si>
  <si>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</si>
  <si>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</si>
  <si>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</si>
  <si>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</si>
  <si>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</si>
  <si>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</si>
  <si>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</si>
  <si>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</si>
  <si>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</si>
  <si>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</si>
  <si>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</si>
  <si>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</si>
  <si>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</si>
  <si>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</si>
  <si>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</si>
  <si>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</si>
  <si>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</si>
  <si>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</si>
  <si>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</si>
  <si>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</si>
  <si>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</si>
  <si>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</si>
  <si>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</si>
  <si>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</si>
  <si>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</si>
  <si>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</si>
  <si>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</si>
  <si>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</si>
  <si>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</si>
  <si>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</si>
  <si>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</si>
  <si>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</si>
  <si>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</si>
  <si>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</si>
  <si>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</si>
  <si>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</si>
  <si>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</si>
  <si>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</si>
  <si>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</si>
  <si>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NOMAD Options</t>
  </si>
  <si>
    <t>stop_if_feasible</t>
  </si>
  <si>
    <t>NeosCou Options</t>
  </si>
  <si>
    <t>Unbounded model</t>
  </si>
  <si>
    <t>t_limit</t>
  </si>
  <si>
    <t>Objective For DiffSheetObj</t>
  </si>
  <si>
    <t>A simple IP model. All variables binary</t>
  </si>
  <si>
    <t>weight</t>
  </si>
  <si>
    <t>Capacity</t>
  </si>
  <si>
    <t>Total Weight</t>
  </si>
  <si>
    <t>Total Value</t>
  </si>
  <si>
    <t>D4</t>
  </si>
  <si>
    <t>E4</t>
  </si>
  <si>
    <t>F4</t>
  </si>
  <si>
    <t>G9&gt;=I9</t>
  </si>
  <si>
    <t>G10&lt;=I10</t>
  </si>
  <si>
    <t>G11&lt;=I11</t>
  </si>
  <si>
    <t>J21</t>
  </si>
  <si>
    <t>D14</t>
  </si>
  <si>
    <t>E14</t>
  </si>
  <si>
    <t>F14</t>
  </si>
  <si>
    <t>G14</t>
  </si>
  <si>
    <t>H14</t>
  </si>
  <si>
    <t>D15</t>
  </si>
  <si>
    <t>E15</t>
  </si>
  <si>
    <t>F15</t>
  </si>
  <si>
    <t>G15</t>
  </si>
  <si>
    <t>H15</t>
  </si>
  <si>
    <t>D16</t>
  </si>
  <si>
    <t>E16</t>
  </si>
  <si>
    <t>F16</t>
  </si>
  <si>
    <t>G16</t>
  </si>
  <si>
    <t>H16</t>
  </si>
  <si>
    <t>I14&lt;=J14</t>
  </si>
  <si>
    <t>I15&lt;=J15</t>
  </si>
  <si>
    <t>I16&lt;=J16</t>
  </si>
  <si>
    <t>D17=D18</t>
  </si>
  <si>
    <t>E17=E18</t>
  </si>
  <si>
    <t>F17=F18</t>
  </si>
  <si>
    <t>G17=G18</t>
  </si>
  <si>
    <t>H17=H18</t>
  </si>
  <si>
    <t>D14&gt;=0</t>
  </si>
  <si>
    <t>E14&gt;=0</t>
  </si>
  <si>
    <t>F14&gt;=0</t>
  </si>
  <si>
    <t>G14&gt;=0</t>
  </si>
  <si>
    <t>H14&gt;=0</t>
  </si>
  <si>
    <t>D15&gt;=0</t>
  </si>
  <si>
    <t>E15&gt;=0</t>
  </si>
  <si>
    <t>F15&gt;=0</t>
  </si>
  <si>
    <t>G15&gt;=0</t>
  </si>
  <si>
    <t>H15&gt;=0</t>
  </si>
  <si>
    <t>D16&gt;=0</t>
  </si>
  <si>
    <t>E16&gt;=0</t>
  </si>
  <si>
    <t>F16&gt;=0</t>
  </si>
  <si>
    <t>G16&gt;=0</t>
  </si>
  <si>
    <t>H16&gt;=0</t>
  </si>
  <si>
    <t>G20=G20</t>
  </si>
  <si>
    <t>Empty</t>
  </si>
  <si>
    <t>Constraint</t>
  </si>
  <si>
    <t>This is an empty constraint</t>
  </si>
  <si>
    <t>It tests what happens for constraints that don't get sent to the solver</t>
  </si>
  <si>
    <t>J24=J24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</si>
</sst>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8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0" xfId="0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680236848"/>
        <c:axId val="680229400"/>
        <c:axId val="692071256"/>
      </c:surface3DChart>
      <c:catAx>
        <c:axId val="680236848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0229400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680229400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0236848"/>
        <c:crosses val="min"/>
        <c:crossBetween val="between"/>
        <c:majorUnit val="0.1"/>
      </c:valAx>
      <c:serAx>
        <c:axId val="692071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0229400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0.28867513463156941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0.50000000004165057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1.7113248653678492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0.50000000001256872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0.28867513463156941</c:v>
                </c:pt>
                <c:pt idx="3">
                  <c:v>0</c:v>
                </c:pt>
                <c:pt idx="4">
                  <c:v>0.28867513463156941</c:v>
                </c:pt>
                <c:pt idx="6">
                  <c:v>2</c:v>
                </c:pt>
                <c:pt idx="7">
                  <c:v>1.7113248653678492</c:v>
                </c:pt>
                <c:pt idx="9">
                  <c:v>2</c:v>
                </c:pt>
                <c:pt idx="10">
                  <c:v>1.7113248653678492</c:v>
                </c:pt>
                <c:pt idx="12">
                  <c:v>0.28867513463156941</c:v>
                </c:pt>
                <c:pt idx="13">
                  <c:v>1.7113248653678492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0.50000000004165057</c:v>
                </c:pt>
                <c:pt idx="3">
                  <c:v>1</c:v>
                </c:pt>
                <c:pt idx="4">
                  <c:v>0.50000000004165057</c:v>
                </c:pt>
                <c:pt idx="6">
                  <c:v>1</c:v>
                </c:pt>
                <c:pt idx="7">
                  <c:v>0.50000000001256872</c:v>
                </c:pt>
                <c:pt idx="9">
                  <c:v>0</c:v>
                </c:pt>
                <c:pt idx="10">
                  <c:v>0.50000000001256872</c:v>
                </c:pt>
                <c:pt idx="12">
                  <c:v>0.50000000004165057</c:v>
                </c:pt>
                <c:pt idx="13">
                  <c:v>0.50000000001256872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0239200"/>
        <c:axId val="680235280"/>
      </c:scatterChart>
      <c:valAx>
        <c:axId val="680239200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0235280"/>
        <c:crosses val="autoZero"/>
        <c:crossBetween val="midCat"/>
        <c:majorUnit val="0.5"/>
      </c:valAx>
      <c:valAx>
        <c:axId val="680235280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023920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2.3571428554683918</c:v>
                </c:pt>
                <c:pt idx="2">
                  <c:v>6.9999999981945038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1.8557687245220822</c:v>
                </c:pt>
                <c:pt idx="2">
                  <c:v>1.7990355871688735E-9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0230968"/>
        <c:axId val="680238416"/>
      </c:scatterChart>
      <c:valAx>
        <c:axId val="680230968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0238416"/>
        <c:crosses val="autoZero"/>
        <c:crossBetween val="midCat"/>
        <c:majorUnit val="1"/>
      </c:valAx>
      <c:valAx>
        <c:axId val="68023841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023096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" name="OpenSolver1"/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8" name="OpenSolver7"/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9" name="OpenSolver8"/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10" name="OpenSolver9"/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11" name="OpenSolver10"/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7" name="OpenSolver6"/>
        <xdr:cNvCxnSpPr>
          <a:stCxn id="25" idx="3"/>
          <a:endCxn id="26" idx="1"/>
        </xdr:cNvCxnSpPr>
      </xdr:nvCxnSpPr>
      <xdr:spPr>
        <a:xfrm>
          <a:off x="34575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8" name="OpenSolver7"/>
        <xdr:cNvSpPr/>
      </xdr:nvSpPr>
      <xdr:spPr>
        <a:xfrm>
          <a:off x="33670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9" name="OpenSolver8"/>
        <xdr:cNvSpPr/>
      </xdr:nvSpPr>
      <xdr:spPr>
        <a:xfrm>
          <a:off x="28956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0" name="OpenSolver9"/>
        <xdr:cNvSpPr/>
      </xdr:nvSpPr>
      <xdr:spPr>
        <a:xfrm>
          <a:off x="36576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1" name="OpenSolver10"/>
        <xdr:cNvCxnSpPr>
          <a:stCxn id="29" idx="3"/>
          <a:endCxn id="30" idx="1"/>
        </xdr:cNvCxnSpPr>
      </xdr:nvCxnSpPr>
      <xdr:spPr>
        <a:xfrm>
          <a:off x="34575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2" name="OpenSolver11"/>
        <xdr:cNvSpPr/>
      </xdr:nvSpPr>
      <xdr:spPr>
        <a:xfrm>
          <a:off x="33670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3" name="OpenSolver12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4" name="OpenSolver13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5" name="OpenSolver14"/>
        <xdr:cNvCxnSpPr>
          <a:stCxn id="33" idx="3"/>
          <a:endCxn id="34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36" name="OpenSolver15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5143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4575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3670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28956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3657600" y="1752600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33670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48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9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0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1" name="OpenSolver5"/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53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4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5" name="OpenSolver9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7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8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9" name="OpenSolver13"/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1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2" name="OpenSolver1"/>
        <xdr:cNvSpPr/>
      </xdr:nvSpPr>
      <xdr:spPr>
        <a:xfrm>
          <a:off x="1162050" y="781050"/>
          <a:ext cx="1524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3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5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6" name="OpenSolver5"/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37" name="OpenSolver6"/>
        <xdr:cNvCxnSpPr>
          <a:stCxn id="35" idx="3"/>
          <a:endCxn id="3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38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1" name="OpenSolver10"/>
        <xdr:cNvCxnSpPr>
          <a:stCxn id="39" idx="3"/>
          <a:endCxn id="4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2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4" name="OpenSolver13"/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45" name="OpenSolver14"/>
        <xdr:cNvCxnSpPr>
          <a:stCxn id="43" idx="3"/>
          <a:endCxn id="4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4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485900" y="781050"/>
          <a:ext cx="10382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18" name="OpenSolver2"/>
        <xdr:cNvSpPr/>
      </xdr:nvSpPr>
      <xdr:spPr>
        <a:xfrm>
          <a:off x="321945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5</xdr:row>
      <xdr:rowOff>120650</xdr:rowOff>
    </xdr:from>
    <xdr:to>
      <xdr:col>7</xdr:col>
      <xdr:colOff>212039</xdr:colOff>
      <xdr:row>6</xdr:row>
      <xdr:rowOff>47625</xdr:rowOff>
    </xdr:to>
    <xdr:sp macro="" textlink="">
      <xdr:nvSpPr>
        <xdr:cNvPr id="19" name="OpenSolver3"/>
        <xdr:cNvSpPr/>
      </xdr:nvSpPr>
      <xdr:spPr>
        <a:xfrm>
          <a:off x="32004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4"/>
        <xdr:cNvSpPr/>
      </xdr:nvSpPr>
      <xdr:spPr>
        <a:xfrm>
          <a:off x="321945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1" name="OpenSolver5"/>
        <xdr:cNvSpPr/>
      </xdr:nvSpPr>
      <xdr:spPr>
        <a:xfrm>
          <a:off x="3981450" y="1552575"/>
          <a:ext cx="110490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7814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23" name="OpenSolver7"/>
        <xdr:cNvSpPr/>
      </xdr:nvSpPr>
      <xdr:spPr>
        <a:xfrm>
          <a:off x="36909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2194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398145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7814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7" name="OpenSolver11"/>
        <xdr:cNvSpPr/>
      </xdr:nvSpPr>
      <xdr:spPr>
        <a:xfrm>
          <a:off x="36909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12"/>
        <xdr:cNvSpPr/>
      </xdr:nvSpPr>
      <xdr:spPr>
        <a:xfrm>
          <a:off x="321945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13"/>
        <xdr:cNvSpPr/>
      </xdr:nvSpPr>
      <xdr:spPr>
        <a:xfrm>
          <a:off x="398145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7814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5"/>
        <xdr:cNvSpPr/>
      </xdr:nvSpPr>
      <xdr:spPr>
        <a:xfrm>
          <a:off x="36909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86050" y="1552575"/>
          <a:ext cx="771525" cy="59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 flipV="1">
          <a:off x="3457575" y="1752600"/>
          <a:ext cx="200025" cy="95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120650</xdr:rowOff>
    </xdr:from>
    <xdr:to>
      <xdr:col>9</xdr:col>
      <xdr:colOff>90488</xdr:colOff>
      <xdr:row>9</xdr:row>
      <xdr:rowOff>174625</xdr:rowOff>
    </xdr:to>
    <xdr:sp macro="" textlink="">
      <xdr:nvSpPr>
        <xdr:cNvPr id="8" name="OpenSolver7"/>
        <xdr:cNvSpPr/>
      </xdr:nvSpPr>
      <xdr:spPr>
        <a:xfrm>
          <a:off x="3367088" y="1673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86050" y="1752600"/>
          <a:ext cx="77152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195263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1947863"/>
          <a:ext cx="200025" cy="100012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118269</xdr:rowOff>
    </xdr:from>
    <xdr:to>
      <xdr:col>9</xdr:col>
      <xdr:colOff>90488</xdr:colOff>
      <xdr:row>10</xdr:row>
      <xdr:rowOff>172244</xdr:rowOff>
    </xdr:to>
    <xdr:sp macro="" textlink="">
      <xdr:nvSpPr>
        <xdr:cNvPr id="12" name="OpenSolver11"/>
        <xdr:cNvSpPr/>
      </xdr:nvSpPr>
      <xdr:spPr>
        <a:xfrm>
          <a:off x="3367088" y="1870869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240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195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196850</xdr:colOff>
      <xdr:row>4</xdr:row>
      <xdr:rowOff>107950</xdr:rowOff>
    </xdr:from>
    <xdr:to>
      <xdr:col>8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06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36195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4381500" y="1362075"/>
          <a:ext cx="11906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814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40909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36195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4381500" y="1752600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814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40909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6195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381500" y="1952625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814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40909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17" name="OpenSolver16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18" name="OpenSolver17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19" name="OpenSolver1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1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2" name="OpenSolver2"/>
        <xdr:cNvSpPr/>
      </xdr:nvSpPr>
      <xdr:spPr>
        <a:xfrm>
          <a:off x="77533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3" name="OpenSolver3"/>
        <xdr:cNvSpPr/>
      </xdr:nvSpPr>
      <xdr:spPr>
        <a:xfrm>
          <a:off x="60579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4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35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6" name="OpenSolver6"/>
        <xdr:cNvSpPr/>
      </xdr:nvSpPr>
      <xdr:spPr>
        <a:xfrm>
          <a:off x="3067050" y="1552575"/>
          <a:ext cx="15906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7" name="OpenSolver7"/>
        <xdr:cNvSpPr/>
      </xdr:nvSpPr>
      <xdr:spPr>
        <a:xfrm>
          <a:off x="485775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38" name="OpenSolver8"/>
        <xdr:cNvCxnSpPr>
          <a:stCxn id="36" idx="3"/>
          <a:endCxn id="37" idx="1"/>
        </xdr:cNvCxnSpPr>
      </xdr:nvCxnSpPr>
      <xdr:spPr>
        <a:xfrm>
          <a:off x="46577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39" name="OpenSolver9"/>
        <xdr:cNvSpPr/>
      </xdr:nvSpPr>
      <xdr:spPr>
        <a:xfrm>
          <a:off x="45672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0" name="OpenSolver10"/>
        <xdr:cNvSpPr/>
      </xdr:nvSpPr>
      <xdr:spPr>
        <a:xfrm>
          <a:off x="3067050" y="1952625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1" name="OpenSolver11"/>
        <xdr:cNvSpPr/>
      </xdr:nvSpPr>
      <xdr:spPr>
        <a:xfrm>
          <a:off x="4857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2" name="OpenSolver12"/>
        <xdr:cNvCxnSpPr>
          <a:stCxn id="40" idx="3"/>
          <a:endCxn id="41" idx="1"/>
        </xdr:cNvCxnSpPr>
      </xdr:nvCxnSpPr>
      <xdr:spPr>
        <a:xfrm>
          <a:off x="46577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43" name="OpenSolver13"/>
        <xdr:cNvSpPr/>
      </xdr:nvSpPr>
      <xdr:spPr>
        <a:xfrm>
          <a:off x="4567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14"/>
        <xdr:cNvSpPr/>
      </xdr:nvSpPr>
      <xdr:spPr>
        <a:xfrm>
          <a:off x="3067050" y="2143125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15"/>
        <xdr:cNvSpPr/>
      </xdr:nvSpPr>
      <xdr:spPr>
        <a:xfrm>
          <a:off x="485775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16"/>
        <xdr:cNvCxnSpPr>
          <a:stCxn id="44" idx="3"/>
          <a:endCxn id="45" idx="1"/>
        </xdr:cNvCxnSpPr>
      </xdr:nvCxnSpPr>
      <xdr:spPr>
        <a:xfrm>
          <a:off x="46577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47" name="OpenSolver17"/>
        <xdr:cNvSpPr/>
      </xdr:nvSpPr>
      <xdr:spPr>
        <a:xfrm>
          <a:off x="45672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8" name="OpenSolver18"/>
        <xdr:cNvSpPr/>
      </xdr:nvSpPr>
      <xdr:spPr>
        <a:xfrm>
          <a:off x="84296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49" name="OpenSolver19"/>
        <xdr:cNvSpPr/>
      </xdr:nvSpPr>
      <xdr:spPr>
        <a:xfrm>
          <a:off x="88963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50" name="OpenSolver20"/>
        <xdr:cNvCxnSpPr>
          <a:stCxn id="48" idx="3"/>
          <a:endCxn id="49" idx="1"/>
        </xdr:cNvCxnSpPr>
      </xdr:nvCxnSpPr>
      <xdr:spPr>
        <a:xfrm>
          <a:off x="86963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51" name="OpenSolver21"/>
        <xdr:cNvSpPr/>
      </xdr:nvSpPr>
      <xdr:spPr>
        <a:xfrm>
          <a:off x="86058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52" name="OpenSolver22"/>
        <xdr:cNvSpPr/>
      </xdr:nvSpPr>
      <xdr:spPr>
        <a:xfrm>
          <a:off x="77533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53" name="OpenSolver23"/>
        <xdr:cNvSpPr/>
      </xdr:nvSpPr>
      <xdr:spPr>
        <a:xfrm>
          <a:off x="77533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54" name="OpenSolver24"/>
        <xdr:cNvCxnSpPr>
          <a:stCxn id="52" idx="2"/>
          <a:endCxn id="53" idx="0"/>
        </xdr:cNvCxnSpPr>
      </xdr:nvCxnSpPr>
      <xdr:spPr>
        <a:xfrm>
          <a:off x="80914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55" name="OpenSolver25"/>
        <xdr:cNvSpPr/>
      </xdr:nvSpPr>
      <xdr:spPr>
        <a:xfrm>
          <a:off x="79009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56" name="OpenSolverI10"/>
        <xdr:cNvSpPr/>
      </xdr:nvSpPr>
      <xdr:spPr>
        <a:xfrm>
          <a:off x="3067050" y="1752600"/>
          <a:ext cx="15906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57" name="OpenSolver27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58" name="OpenSolver28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59" name="OpenSolver29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80200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63246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1620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162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" name="OpenSolver7"/>
        <xdr:cNvSpPr/>
      </xdr:nvSpPr>
      <xdr:spPr>
        <a:xfrm>
          <a:off x="4429125" y="1552575"/>
          <a:ext cx="10953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229100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1071563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10" name="OpenSolver9"/>
        <xdr:cNvSpPr/>
      </xdr:nvSpPr>
      <xdr:spPr>
        <a:xfrm>
          <a:off x="4138613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1" name="OpenSolver10"/>
        <xdr:cNvSpPr/>
      </xdr:nvSpPr>
      <xdr:spPr>
        <a:xfrm>
          <a:off x="4429125" y="1952625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12" name="OpenSolver11"/>
        <xdr:cNvSpPr/>
      </xdr:nvSpPr>
      <xdr:spPr>
        <a:xfrm>
          <a:off x="6324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5524500" y="2047875"/>
          <a:ext cx="8001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209550</xdr:colOff>
      <xdr:row>9</xdr:row>
      <xdr:rowOff>168275</xdr:rowOff>
    </xdr:from>
    <xdr:to>
      <xdr:col>12</xdr:col>
      <xdr:colOff>0</xdr:colOff>
      <xdr:row>11</xdr:row>
      <xdr:rowOff>31750</xdr:rowOff>
    </xdr:to>
    <xdr:sp macro="" textlink="">
      <xdr:nvSpPr>
        <xdr:cNvPr id="14" name="OpenSolver13"/>
        <xdr:cNvSpPr/>
      </xdr:nvSpPr>
      <xdr:spPr>
        <a:xfrm>
          <a:off x="57340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5" name="OpenSolver14"/>
        <xdr:cNvSpPr/>
      </xdr:nvSpPr>
      <xdr:spPr>
        <a:xfrm>
          <a:off x="3067050" y="2143125"/>
          <a:ext cx="1162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16" name="OpenSolver15"/>
        <xdr:cNvSpPr/>
      </xdr:nvSpPr>
      <xdr:spPr>
        <a:xfrm>
          <a:off x="4429125" y="2143125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2291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1071563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18" name="OpenSolver17"/>
        <xdr:cNvSpPr/>
      </xdr:nvSpPr>
      <xdr:spPr>
        <a:xfrm>
          <a:off x="41386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19" name="OpenSolver18"/>
        <xdr:cNvSpPr/>
      </xdr:nvSpPr>
      <xdr:spPr>
        <a:xfrm>
          <a:off x="86963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0" name="OpenSolver19"/>
        <xdr:cNvSpPr/>
      </xdr:nvSpPr>
      <xdr:spPr>
        <a:xfrm>
          <a:off x="91630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9630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2" name="OpenSolver21"/>
        <xdr:cNvSpPr/>
      </xdr:nvSpPr>
      <xdr:spPr>
        <a:xfrm>
          <a:off x="88725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3" name="OpenSolver22"/>
        <xdr:cNvSpPr/>
      </xdr:nvSpPr>
      <xdr:spPr>
        <a:xfrm>
          <a:off x="80200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4" name="OpenSolver23"/>
        <xdr:cNvSpPr/>
      </xdr:nvSpPr>
      <xdr:spPr>
        <a:xfrm>
          <a:off x="80200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83581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26" name="OpenSolver25"/>
        <xdr:cNvSpPr/>
      </xdr:nvSpPr>
      <xdr:spPr>
        <a:xfrm>
          <a:off x="81676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7" name="OpenSolverI10"/>
        <xdr:cNvSpPr/>
      </xdr:nvSpPr>
      <xdr:spPr>
        <a:xfrm>
          <a:off x="3067050" y="1752600"/>
          <a:ext cx="11620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28" name="OpenSolverI14"/>
        <xdr:cNvSpPr/>
      </xdr:nvSpPr>
      <xdr:spPr>
        <a:xfrm>
          <a:off x="3067050" y="2524125"/>
          <a:ext cx="1162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29" name="OpenSolver28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0" name="OpenSolver29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1" name="OpenSolver30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5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6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7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18" name="OpenSolver4"/>
        <xdr:cNvCxnSpPr>
          <a:stCxn id="16" idx="3"/>
          <a:endCxn id="17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19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8"/>
        <xdr:cNvCxnSpPr>
          <a:stCxn id="20" idx="3"/>
          <a:endCxn id="21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6" name="OpenSolver12"/>
        <xdr:cNvCxnSpPr>
          <a:stCxn id="24" idx="3"/>
          <a:endCxn id="25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7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35814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107950</xdr:rowOff>
    </xdr:from>
    <xdr:to>
      <xdr:col>9</xdr:col>
      <xdr:colOff>218389</xdr:colOff>
      <xdr:row>5</xdr:row>
      <xdr:rowOff>44450</xdr:rowOff>
    </xdr:to>
    <xdr:sp macro="" textlink="">
      <xdr:nvSpPr>
        <xdr:cNvPr id="23" name="OpenSolver3"/>
        <xdr:cNvSpPr/>
      </xdr:nvSpPr>
      <xdr:spPr>
        <a:xfrm>
          <a:off x="35687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4" name="OpenSolver4"/>
        <xdr:cNvSpPr/>
      </xdr:nvSpPr>
      <xdr:spPr>
        <a:xfrm>
          <a:off x="35814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5" name="OpenSolver5"/>
        <xdr:cNvSpPr/>
      </xdr:nvSpPr>
      <xdr:spPr>
        <a:xfrm>
          <a:off x="43434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4763</xdr:rowOff>
    </xdr:from>
    <xdr:to>
      <xdr:col>11</xdr:col>
      <xdr:colOff>0</xdr:colOff>
      <xdr:row>8</xdr:row>
      <xdr:rowOff>4763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433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68263</xdr:rowOff>
    </xdr:from>
    <xdr:to>
      <xdr:col>11</xdr:col>
      <xdr:colOff>90488</xdr:colOff>
      <xdr:row>8</xdr:row>
      <xdr:rowOff>131763</xdr:rowOff>
    </xdr:to>
    <xdr:sp macro="" textlink="">
      <xdr:nvSpPr>
        <xdr:cNvPr id="27" name="OpenSolver7"/>
        <xdr:cNvSpPr/>
      </xdr:nvSpPr>
      <xdr:spPr>
        <a:xfrm>
          <a:off x="40528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8" name="OpenSolver8"/>
        <xdr:cNvSpPr/>
      </xdr:nvSpPr>
      <xdr:spPr>
        <a:xfrm>
          <a:off x="35814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29" name="OpenSolver9"/>
        <xdr:cNvSpPr/>
      </xdr:nvSpPr>
      <xdr:spPr>
        <a:xfrm>
          <a:off x="43434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100013</xdr:rowOff>
    </xdr:from>
    <xdr:to>
      <xdr:col>11</xdr:col>
      <xdr:colOff>0</xdr:colOff>
      <xdr:row>9</xdr:row>
      <xdr:rowOff>100013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433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173038</xdr:rowOff>
    </xdr:from>
    <xdr:to>
      <xdr:col>11</xdr:col>
      <xdr:colOff>90488</xdr:colOff>
      <xdr:row>10</xdr:row>
      <xdr:rowOff>26988</xdr:rowOff>
    </xdr:to>
    <xdr:sp macro="" textlink="">
      <xdr:nvSpPr>
        <xdr:cNvPr id="31" name="OpenSolver11"/>
        <xdr:cNvSpPr/>
      </xdr:nvSpPr>
      <xdr:spPr>
        <a:xfrm>
          <a:off x="40528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2" name="OpenSolver12"/>
        <xdr:cNvSpPr/>
      </xdr:nvSpPr>
      <xdr:spPr>
        <a:xfrm>
          <a:off x="35814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3" name="OpenSolver13"/>
        <xdr:cNvSpPr/>
      </xdr:nvSpPr>
      <xdr:spPr>
        <a:xfrm>
          <a:off x="43434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1433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168275</xdr:rowOff>
    </xdr:from>
    <xdr:to>
      <xdr:col>11</xdr:col>
      <xdr:colOff>90488</xdr:colOff>
      <xdr:row>11</xdr:row>
      <xdr:rowOff>31750</xdr:rowOff>
    </xdr:to>
    <xdr:sp macro="" textlink="">
      <xdr:nvSpPr>
        <xdr:cNvPr id="35" name="OpenSolver15"/>
        <xdr:cNvSpPr/>
      </xdr:nvSpPr>
      <xdr:spPr>
        <a:xfrm>
          <a:off x="40528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814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107950</xdr:rowOff>
    </xdr:from>
    <xdr:to>
      <xdr:col>9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687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35814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43434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4763</xdr:rowOff>
    </xdr:from>
    <xdr:to>
      <xdr:col>11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433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68263</xdr:rowOff>
    </xdr:from>
    <xdr:to>
      <xdr:col>11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40528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35814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43434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100013</xdr:rowOff>
    </xdr:from>
    <xdr:to>
      <xdr:col>11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433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173038</xdr:rowOff>
    </xdr:from>
    <xdr:to>
      <xdr:col>11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40528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5814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3434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433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168275</xdr:rowOff>
    </xdr:from>
    <xdr:to>
      <xdr:col>11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40528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4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8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9" name="OpenSolver8"/>
        <xdr:cNvSpPr/>
      </xdr:nvSpPr>
      <xdr:spPr>
        <a:xfrm>
          <a:off x="2260600" y="593725"/>
          <a:ext cx="11874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0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92075</xdr:colOff>
      <xdr:row>5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 flipH="1">
          <a:off x="2847975" y="781050"/>
          <a:ext cx="635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412750</xdr:colOff>
      <xdr:row>3</xdr:row>
      <xdr:rowOff>168275</xdr:rowOff>
    </xdr:from>
    <xdr:to>
      <xdr:col>4</xdr:col>
      <xdr:colOff>279400</xdr:colOff>
      <xdr:row>5</xdr:row>
      <xdr:rowOff>31750</xdr:rowOff>
    </xdr:to>
    <xdr:sp macro="" textlink="">
      <xdr:nvSpPr>
        <xdr:cNvPr id="12" name="OpenSolver11"/>
        <xdr:cNvSpPr/>
      </xdr:nvSpPr>
      <xdr:spPr>
        <a:xfrm>
          <a:off x="2660650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4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8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9" name="OpenSolverD4:F4"/>
        <xdr:cNvSpPr/>
      </xdr:nvSpPr>
      <xdr:spPr>
        <a:xfrm>
          <a:off x="2260600" y="593725"/>
          <a:ext cx="11874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2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5" name="OpenSolver4"/>
        <xdr:cNvSpPr/>
      </xdr:nvSpPr>
      <xdr:spPr>
        <a:xfrm>
          <a:off x="381952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6" name="OpenSolver5"/>
        <xdr:cNvSpPr/>
      </xdr:nvSpPr>
      <xdr:spPr>
        <a:xfrm>
          <a:off x="458152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6"/>
        <xdr:cNvCxnSpPr>
          <a:stCxn id="25" idx="3"/>
          <a:endCxn id="26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8" name="OpenSolver7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9" name="OpenSolver8"/>
        <xdr:cNvSpPr/>
      </xdr:nvSpPr>
      <xdr:spPr>
        <a:xfrm>
          <a:off x="2260600" y="793750"/>
          <a:ext cx="134937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30" name="OpenSolver9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11113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31" name="OpenSolver10"/>
        <xdr:cNvCxnSpPr>
          <a:stCxn id="29" idx="2"/>
          <a:endCxn id="30" idx="0"/>
        </xdr:cNvCxnSpPr>
      </xdr:nvCxnSpPr>
      <xdr:spPr>
        <a:xfrm>
          <a:off x="2935288" y="971550"/>
          <a:ext cx="160337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577057</xdr:colOff>
      <xdr:row>4</xdr:row>
      <xdr:rowOff>163513</xdr:rowOff>
    </xdr:from>
    <xdr:to>
      <xdr:col>4</xdr:col>
      <xdr:colOff>281782</xdr:colOff>
      <xdr:row>6</xdr:row>
      <xdr:rowOff>26988</xdr:rowOff>
    </xdr:to>
    <xdr:sp macro="" textlink="">
      <xdr:nvSpPr>
        <xdr:cNvPr id="32" name="OpenSolver11"/>
        <xdr:cNvSpPr/>
      </xdr:nvSpPr>
      <xdr:spPr>
        <a:xfrm>
          <a:off x="2824957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33" name="OpenSolver12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5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6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17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8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9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0" name="OpenSolver6"/>
        <xdr:cNvCxnSpPr>
          <a:stCxn id="18" idx="3"/>
          <a:endCxn id="19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1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2" name="OpenSolver8"/>
        <xdr:cNvSpPr/>
      </xdr:nvSpPr>
      <xdr:spPr>
        <a:xfrm>
          <a:off x="2260600" y="793750"/>
          <a:ext cx="13303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3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163513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24" name="OpenSolver10"/>
        <xdr:cNvCxnSpPr>
          <a:stCxn id="22" idx="2"/>
          <a:endCxn id="23" idx="0"/>
        </xdr:cNvCxnSpPr>
      </xdr:nvCxnSpPr>
      <xdr:spPr>
        <a:xfrm>
          <a:off x="2925763" y="971550"/>
          <a:ext cx="7937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12701</xdr:colOff>
      <xdr:row>4</xdr:row>
      <xdr:rowOff>163513</xdr:rowOff>
    </xdr:from>
    <xdr:to>
      <xdr:col>4</xdr:col>
      <xdr:colOff>393701</xdr:colOff>
      <xdr:row>6</xdr:row>
      <xdr:rowOff>26988</xdr:rowOff>
    </xdr:to>
    <xdr:sp macro="" textlink="">
      <xdr:nvSpPr>
        <xdr:cNvPr id="25" name="OpenSolver11"/>
        <xdr:cNvSpPr/>
      </xdr:nvSpPr>
      <xdr:spPr>
        <a:xfrm>
          <a:off x="2774951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6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7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3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25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6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7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8" name="OpenSolver6"/>
        <xdr:cNvCxnSpPr>
          <a:stCxn id="26" idx="3"/>
          <a:endCxn id="27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9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30" name="OpenSolver8"/>
        <xdr:cNvSpPr/>
      </xdr:nvSpPr>
      <xdr:spPr>
        <a:xfrm>
          <a:off x="2260600" y="793750"/>
          <a:ext cx="13303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31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163513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32" name="OpenSolver10"/>
        <xdr:cNvCxnSpPr>
          <a:stCxn id="30" idx="2"/>
          <a:endCxn id="31" idx="0"/>
        </xdr:cNvCxnSpPr>
      </xdr:nvCxnSpPr>
      <xdr:spPr>
        <a:xfrm>
          <a:off x="2925763" y="971550"/>
          <a:ext cx="7937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12701</xdr:colOff>
      <xdr:row>4</xdr:row>
      <xdr:rowOff>163513</xdr:rowOff>
    </xdr:from>
    <xdr:to>
      <xdr:col>4</xdr:col>
      <xdr:colOff>393701</xdr:colOff>
      <xdr:row>6</xdr:row>
      <xdr:rowOff>26988</xdr:rowOff>
    </xdr:to>
    <xdr:sp macro="" textlink="">
      <xdr:nvSpPr>
        <xdr:cNvPr id="33" name="OpenSolver11"/>
        <xdr:cNvSpPr/>
      </xdr:nvSpPr>
      <xdr:spPr>
        <a:xfrm>
          <a:off x="2774951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34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35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4" name="OpenSolver4"/>
        <xdr:cNvSpPr/>
      </xdr:nvSpPr>
      <xdr:spPr>
        <a:xfrm>
          <a:off x="3810000" y="21431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5" name="OpenSolver5"/>
        <xdr:cNvSpPr/>
      </xdr:nvSpPr>
      <xdr:spPr>
        <a:xfrm>
          <a:off x="4572000" y="21431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7" name="OpenSolver7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8" name="OpenSolver8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9" name="OpenSolver9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30" name="OpenSolver10"/>
        <xdr:cNvCxnSpPr>
          <a:stCxn id="28" idx="2"/>
          <a:endCxn id="29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5" name="OpenSolver4"/>
        <xdr:cNvSpPr/>
      </xdr:nvSpPr>
      <xdr:spPr>
        <a:xfrm>
          <a:off x="3810000" y="21431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6" name="OpenSolver5"/>
        <xdr:cNvSpPr/>
      </xdr:nvSpPr>
      <xdr:spPr>
        <a:xfrm>
          <a:off x="4572000" y="21431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8" name="OpenSolver7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9" name="OpenSolver8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12" name="OpenSolver11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2247900" y="581025"/>
          <a:ext cx="16668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2" name="OpenSolver2"/>
        <xdr:cNvSpPr/>
      </xdr:nvSpPr>
      <xdr:spPr>
        <a:xfrm>
          <a:off x="4124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6</xdr:row>
      <xdr:rowOff>111125</xdr:rowOff>
    </xdr:from>
    <xdr:to>
      <xdr:col>7</xdr:col>
      <xdr:colOff>221564</xdr:colOff>
      <xdr:row>7</xdr:row>
      <xdr:rowOff>47625</xdr:rowOff>
    </xdr:to>
    <xdr:sp macro="" textlink="">
      <xdr:nvSpPr>
        <xdr:cNvPr id="23" name="OpenSolver3"/>
        <xdr:cNvSpPr/>
      </xdr:nvSpPr>
      <xdr:spPr>
        <a:xfrm>
          <a:off x="41148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4124325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86325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686300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27" name="OpenSolver7"/>
        <xdr:cNvSpPr/>
      </xdr:nvSpPr>
      <xdr:spPr>
        <a:xfrm>
          <a:off x="4595813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28" name="OpenSolver8"/>
        <xdr:cNvSpPr/>
      </xdr:nvSpPr>
      <xdr:spPr>
        <a:xfrm>
          <a:off x="2260600" y="593725"/>
          <a:ext cx="1654175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9" name="OpenSolver9"/>
        <xdr:cNvSpPr/>
      </xdr:nvSpPr>
      <xdr:spPr>
        <a:xfrm>
          <a:off x="2247900" y="971550"/>
          <a:ext cx="16668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119063</xdr:colOff>
      <xdr:row>4</xdr:row>
      <xdr:rowOff>0</xdr:rowOff>
    </xdr:from>
    <xdr:to>
      <xdr:col>4</xdr:col>
      <xdr:colOff>125413</xdr:colOff>
      <xdr:row>5</xdr:row>
      <xdr:rowOff>0</xdr:rowOff>
    </xdr:to>
    <xdr:cxnSp macro="">
      <xdr:nvCxnSpPr>
        <xdr:cNvPr id="30" name="OpenSolver10"/>
        <xdr:cNvCxnSpPr>
          <a:stCxn id="28" idx="2"/>
          <a:endCxn id="29" idx="0"/>
        </xdr:cNvCxnSpPr>
      </xdr:nvCxnSpPr>
      <xdr:spPr>
        <a:xfrm flipH="1">
          <a:off x="3081338" y="781050"/>
          <a:ext cx="635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646113</xdr:colOff>
      <xdr:row>3</xdr:row>
      <xdr:rowOff>168275</xdr:rowOff>
    </xdr:from>
    <xdr:to>
      <xdr:col>4</xdr:col>
      <xdr:colOff>312738</xdr:colOff>
      <xdr:row>5</xdr:row>
      <xdr:rowOff>31750</xdr:rowOff>
    </xdr:to>
    <xdr:sp macro="" textlink="">
      <xdr:nvSpPr>
        <xdr:cNvPr id="31" name="OpenSolver11"/>
        <xdr:cNvSpPr/>
      </xdr:nvSpPr>
      <xdr:spPr>
        <a:xfrm>
          <a:off x="2894013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1" name="OpenSolver1"/>
        <xdr:cNvSpPr/>
      </xdr:nvSpPr>
      <xdr:spPr>
        <a:xfrm>
          <a:off x="2247900" y="781050"/>
          <a:ext cx="17049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41624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23" name="OpenSolver3"/>
        <xdr:cNvSpPr/>
      </xdr:nvSpPr>
      <xdr:spPr>
        <a:xfrm>
          <a:off x="4152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4" name="OpenSolver4"/>
        <xdr:cNvSpPr/>
      </xdr:nvSpPr>
      <xdr:spPr>
        <a:xfrm>
          <a:off x="416242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5" name="OpenSolver5"/>
        <xdr:cNvSpPr/>
      </xdr:nvSpPr>
      <xdr:spPr>
        <a:xfrm>
          <a:off x="492442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72440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7" name="OpenSolver7"/>
        <xdr:cNvSpPr/>
      </xdr:nvSpPr>
      <xdr:spPr>
        <a:xfrm>
          <a:off x="46339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8" name="OpenSolver8"/>
        <xdr:cNvSpPr/>
      </xdr:nvSpPr>
      <xdr:spPr>
        <a:xfrm>
          <a:off x="2260600" y="793750"/>
          <a:ext cx="169227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2247900" y="1171575"/>
          <a:ext cx="1704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338138</xdr:colOff>
      <xdr:row>5</xdr:row>
      <xdr:rowOff>0</xdr:rowOff>
    </xdr:from>
    <xdr:to>
      <xdr:col>4</xdr:col>
      <xdr:colOff>344488</xdr:colOff>
      <xdr:row>6</xdr:row>
      <xdr:rowOff>0</xdr:rowOff>
    </xdr:to>
    <xdr:cxnSp macro="">
      <xdr:nvCxnSpPr>
        <xdr:cNvPr id="30" name="OpenSolver10"/>
        <xdr:cNvCxnSpPr>
          <a:stCxn id="28" idx="2"/>
          <a:endCxn id="29" idx="0"/>
        </xdr:cNvCxnSpPr>
      </xdr:nvCxnSpPr>
      <xdr:spPr>
        <a:xfrm flipH="1">
          <a:off x="3100388" y="971550"/>
          <a:ext cx="635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150813</xdr:colOff>
      <xdr:row>4</xdr:row>
      <xdr:rowOff>163513</xdr:rowOff>
    </xdr:from>
    <xdr:to>
      <xdr:col>4</xdr:col>
      <xdr:colOff>531813</xdr:colOff>
      <xdr:row>6</xdr:row>
      <xdr:rowOff>26988</xdr:rowOff>
    </xdr:to>
    <xdr:sp macro="" textlink="">
      <xdr:nvSpPr>
        <xdr:cNvPr id="31" name="OpenSolver11"/>
        <xdr:cNvSpPr/>
      </xdr:nvSpPr>
      <xdr:spPr>
        <a:xfrm>
          <a:off x="2913063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1433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1275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1433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49053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47053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46148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00012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-10*2≤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3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4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15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6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7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9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0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21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23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556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12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16" name="OpenSolver15"/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621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31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2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33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4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5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6" name="OpenSolver8"/>
        <xdr:cNvCxnSpPr>
          <a:stCxn id="34" idx="3"/>
          <a:endCxn id="35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37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8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9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40" name="OpenSolver12"/>
        <xdr:cNvCxnSpPr>
          <a:stCxn id="38" idx="3"/>
          <a:endCxn id="39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41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3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4" name="OpenSolver16"/>
        <xdr:cNvCxnSpPr>
          <a:stCxn id="42" idx="3"/>
          <a:endCxn id="43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45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46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47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48" name="OpenSolver20"/>
        <xdr:cNvCxnSpPr>
          <a:stCxn id="46" idx="3"/>
          <a:endCxn id="47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49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50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51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52" name="OpenSolver24"/>
        <xdr:cNvCxnSpPr>
          <a:stCxn id="50" idx="2"/>
          <a:endCxn id="51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53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7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8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8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17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8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19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0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1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3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4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5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27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31" name="OpenSolver15"/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962150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3528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340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3528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1148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9147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38242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33528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41148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914775" y="17526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12" name="OpenSolver11"/>
        <xdr:cNvSpPr/>
      </xdr:nvSpPr>
      <xdr:spPr>
        <a:xfrm>
          <a:off x="38242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16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sp macro="" textlink="">
      <xdr:nvSpPr>
        <xdr:cNvPr id="36" name="OpenSolver16"/>
        <xdr:cNvSpPr/>
      </xdr:nvSpPr>
      <xdr:spPr>
        <a:xfrm>
          <a:off x="3590925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</xdr:col>
      <xdr:colOff>12700</xdr:colOff>
      <xdr:row>19</xdr:row>
      <xdr:rowOff>12700</xdr:rowOff>
    </xdr:from>
    <xdr:to>
      <xdr:col>7</xdr:col>
      <xdr:colOff>0</xdr:colOff>
      <xdr:row>20</xdr:row>
      <xdr:rowOff>0</xdr:rowOff>
    </xdr:to>
    <xdr:sp macro="" textlink="">
      <xdr:nvSpPr>
        <xdr:cNvPr id="37" name="OpenSolver17"/>
        <xdr:cNvSpPr/>
      </xdr:nvSpPr>
      <xdr:spPr>
        <a:xfrm>
          <a:off x="3603625" y="3679825"/>
          <a:ext cx="5778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6</xdr:col>
      <xdr:colOff>295275</xdr:colOff>
      <xdr:row>20</xdr:row>
      <xdr:rowOff>0</xdr:rowOff>
    </xdr:from>
    <xdr:to>
      <xdr:col>6</xdr:col>
      <xdr:colOff>301625</xdr:colOff>
      <xdr:row>20</xdr:row>
      <xdr:rowOff>0</xdr:rowOff>
    </xdr:to>
    <xdr:cxnSp macro="">
      <xdr:nvCxnSpPr>
        <xdr:cNvPr id="38" name="OpenSolver18"/>
        <xdr:cNvCxnSpPr>
          <a:stCxn id="36" idx="2"/>
          <a:endCxn id="37" idx="2"/>
        </xdr:cNvCxnSpPr>
      </xdr:nvCxnSpPr>
      <xdr:spPr>
        <a:xfrm>
          <a:off x="3886200" y="3857625"/>
          <a:ext cx="6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107950</xdr:colOff>
      <xdr:row>19</xdr:row>
      <xdr:rowOff>63500</xdr:rowOff>
    </xdr:from>
    <xdr:to>
      <xdr:col>6</xdr:col>
      <xdr:colOff>488950</xdr:colOff>
      <xdr:row>20</xdr:row>
      <xdr:rowOff>127000</xdr:rowOff>
    </xdr:to>
    <xdr:sp macro="" textlink="">
      <xdr:nvSpPr>
        <xdr:cNvPr id="39" name="OpenSolver19"/>
        <xdr:cNvSpPr/>
      </xdr:nvSpPr>
      <xdr:spPr>
        <a:xfrm>
          <a:off x="3698875" y="373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2" name="OpenSolver1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3" name="OpenSolver2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4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5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6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7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8" name="OpenSolver7"/>
        <xdr:cNvCxnSpPr>
          <a:stCxn id="6" idx="3"/>
          <a:endCxn id="7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9" name="OpenSolver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0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1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12" name="OpenSolver11"/>
        <xdr:cNvCxnSpPr>
          <a:stCxn id="10" idx="2"/>
          <a:endCxn id="11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13" name="OpenSolver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14" name="OpenSolver13"/>
        <xdr:cNvSpPr/>
      </xdr:nvSpPr>
      <xdr:spPr>
        <a:xfrm>
          <a:off x="5334000" y="442912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12700</xdr:colOff>
      <xdr:row>23</xdr:row>
      <xdr:rowOff>12700</xdr:rowOff>
    </xdr:from>
    <xdr:to>
      <xdr:col>10</xdr:col>
      <xdr:colOff>0</xdr:colOff>
      <xdr:row>24</xdr:row>
      <xdr:rowOff>0</xdr:rowOff>
    </xdr:to>
    <xdr:sp macro="" textlink="">
      <xdr:nvSpPr>
        <xdr:cNvPr id="15" name="OpenSolver14"/>
        <xdr:cNvSpPr/>
      </xdr:nvSpPr>
      <xdr:spPr>
        <a:xfrm>
          <a:off x="5346700" y="4441825"/>
          <a:ext cx="5778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9</xdr:col>
      <xdr:colOff>295275</xdr:colOff>
      <xdr:row>24</xdr:row>
      <xdr:rowOff>0</xdr:rowOff>
    </xdr:from>
    <xdr:to>
      <xdr:col>9</xdr:col>
      <xdr:colOff>301625</xdr:colOff>
      <xdr:row>24</xdr:row>
      <xdr:rowOff>0</xdr:rowOff>
    </xdr:to>
    <xdr:cxnSp macro="">
      <xdr:nvCxnSpPr>
        <xdr:cNvPr id="16" name="OpenSolver15"/>
        <xdr:cNvCxnSpPr>
          <a:stCxn id="14" idx="2"/>
          <a:endCxn id="15" idx="2"/>
        </xdr:cNvCxnSpPr>
      </xdr:nvCxnSpPr>
      <xdr:spPr>
        <a:xfrm>
          <a:off x="5629275" y="4619625"/>
          <a:ext cx="6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107950</xdr:colOff>
      <xdr:row>23</xdr:row>
      <xdr:rowOff>63500</xdr:rowOff>
    </xdr:from>
    <xdr:to>
      <xdr:col>9</xdr:col>
      <xdr:colOff>488950</xdr:colOff>
      <xdr:row>24</xdr:row>
      <xdr:rowOff>127000</xdr:rowOff>
    </xdr:to>
    <xdr:sp macro="" textlink="">
      <xdr:nvSpPr>
        <xdr:cNvPr id="17" name="OpenSolver16"/>
        <xdr:cNvSpPr/>
      </xdr:nvSpPr>
      <xdr:spPr>
        <a:xfrm>
          <a:off x="5441950" y="4492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0</xdr:colOff>
      <xdr:row>16</xdr:row>
      <xdr:rowOff>0</xdr:rowOff>
    </xdr:to>
    <xdr:sp macro="" textlink="">
      <xdr:nvSpPr>
        <xdr:cNvPr id="18" name="OpenSolverD14:H16"/>
        <xdr:cNvSpPr/>
      </xdr:nvSpPr>
      <xdr:spPr>
        <a:xfrm>
          <a:off x="1803400" y="2536825"/>
          <a:ext cx="2940050" cy="558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0≤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781175" y="390525"/>
          <a:ext cx="17716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143375" y="7810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130175</xdr:rowOff>
    </xdr:from>
    <xdr:to>
      <xdr:col>7</xdr:col>
      <xdr:colOff>215214</xdr:colOff>
      <xdr:row>4</xdr:row>
      <xdr:rowOff>57150</xdr:rowOff>
    </xdr:to>
    <xdr:sp macro="" textlink="">
      <xdr:nvSpPr>
        <xdr:cNvPr id="4" name="OpenSolver3"/>
        <xdr:cNvSpPr/>
      </xdr:nvSpPr>
      <xdr:spPr>
        <a:xfrm>
          <a:off x="41275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41433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53244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733925" y="136207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483870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41433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53244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73392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</xdr:row>
      <xdr:rowOff>163513</xdr:rowOff>
    </xdr:from>
    <xdr:to>
      <xdr:col>8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8387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41433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53244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733925" y="185261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8</xdr:row>
      <xdr:rowOff>173038</xdr:rowOff>
    </xdr:from>
    <xdr:to>
      <xdr:col>8</xdr:col>
      <xdr:colOff>485775</xdr:colOff>
      <xdr:row>10</xdr:row>
      <xdr:rowOff>26988</xdr:rowOff>
    </xdr:to>
    <xdr:sp macro="" textlink="">
      <xdr:nvSpPr>
        <xdr:cNvPr id="21" name="OpenSolver15"/>
        <xdr:cNvSpPr/>
      </xdr:nvSpPr>
      <xdr:spPr>
        <a:xfrm>
          <a:off x="4838700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9132" name="OpenSolver1"/>
        <xdr:cNvSpPr/>
      </xdr:nvSpPr>
      <xdr:spPr>
        <a:xfrm>
          <a:off x="1819275" y="3905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133" name="OpenSolver2"/>
        <xdr:cNvSpPr/>
      </xdr:nvSpPr>
      <xdr:spPr>
        <a:xfrm>
          <a:off x="4181475" y="79057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120650</xdr:rowOff>
    </xdr:from>
    <xdr:to>
      <xdr:col>7</xdr:col>
      <xdr:colOff>215214</xdr:colOff>
      <xdr:row>4</xdr:row>
      <xdr:rowOff>47625</xdr:rowOff>
    </xdr:to>
    <xdr:sp macro="" textlink="">
      <xdr:nvSpPr>
        <xdr:cNvPr id="9134" name="OpenSolver3"/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135" name="OpenSolver4"/>
        <xdr:cNvSpPr/>
      </xdr:nvSpPr>
      <xdr:spPr>
        <a:xfrm>
          <a:off x="41814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9136" name="OpenSolver5"/>
        <xdr:cNvSpPr/>
      </xdr:nvSpPr>
      <xdr:spPr>
        <a:xfrm>
          <a:off x="53625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9137" name="OpenSolver6"/>
        <xdr:cNvCxnSpPr>
          <a:stCxn id="9135" idx="3"/>
          <a:endCxn id="9136" idx="1"/>
        </xdr:cNvCxnSpPr>
      </xdr:nvCxnSpPr>
      <xdr:spPr>
        <a:xfrm>
          <a:off x="4772025" y="13716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9138" name="OpenSolver7"/>
        <xdr:cNvSpPr/>
      </xdr:nvSpPr>
      <xdr:spPr>
        <a:xfrm>
          <a:off x="4876800" y="124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9139" name="OpenSolver8"/>
        <xdr:cNvSpPr/>
      </xdr:nvSpPr>
      <xdr:spPr>
        <a:xfrm>
          <a:off x="41814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9140" name="OpenSolver9"/>
        <xdr:cNvSpPr/>
      </xdr:nvSpPr>
      <xdr:spPr>
        <a:xfrm>
          <a:off x="53625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9141" name="OpenSolver10"/>
        <xdr:cNvCxnSpPr>
          <a:stCxn id="9139" idx="3"/>
          <a:endCxn id="9140" idx="1"/>
        </xdr:cNvCxnSpPr>
      </xdr:nvCxnSpPr>
      <xdr:spPr>
        <a:xfrm>
          <a:off x="4772025" y="1405890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72</xdr:row>
      <xdr:rowOff>158750</xdr:rowOff>
    </xdr:from>
    <xdr:to>
      <xdr:col>8</xdr:col>
      <xdr:colOff>485775</xdr:colOff>
      <xdr:row>74</xdr:row>
      <xdr:rowOff>31750</xdr:rowOff>
    </xdr:to>
    <xdr:sp macro="" textlink="">
      <xdr:nvSpPr>
        <xdr:cNvPr id="9142" name="OpenSolver11"/>
        <xdr:cNvSpPr/>
      </xdr:nvSpPr>
      <xdr:spPr>
        <a:xfrm>
          <a:off x="4876800" y="13931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9143" name="OpenSolver12"/>
        <xdr:cNvSpPr/>
      </xdr:nvSpPr>
      <xdr:spPr>
        <a:xfrm>
          <a:off x="41814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9144" name="OpenSolver13"/>
        <xdr:cNvSpPr/>
      </xdr:nvSpPr>
      <xdr:spPr>
        <a:xfrm>
          <a:off x="53625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9145" name="OpenSolver14"/>
        <xdr:cNvCxnSpPr>
          <a:stCxn id="9143" idx="3"/>
          <a:endCxn id="9144" idx="1"/>
        </xdr:cNvCxnSpPr>
      </xdr:nvCxnSpPr>
      <xdr:spPr>
        <a:xfrm>
          <a:off x="4772025" y="138684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71</xdr:row>
      <xdr:rowOff>158750</xdr:rowOff>
    </xdr:from>
    <xdr:to>
      <xdr:col>8</xdr:col>
      <xdr:colOff>485775</xdr:colOff>
      <xdr:row>73</xdr:row>
      <xdr:rowOff>31750</xdr:rowOff>
    </xdr:to>
    <xdr:sp macro="" textlink="">
      <xdr:nvSpPr>
        <xdr:cNvPr id="9146" name="OpenSolver15"/>
        <xdr:cNvSpPr/>
      </xdr:nvSpPr>
      <xdr:spPr>
        <a:xfrm>
          <a:off x="4876800" y="13741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147" name="OpenSolver16"/>
        <xdr:cNvSpPr/>
      </xdr:nvSpPr>
      <xdr:spPr>
        <a:xfrm>
          <a:off x="41814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148" name="OpenSolver17"/>
        <xdr:cNvSpPr/>
      </xdr:nvSpPr>
      <xdr:spPr>
        <a:xfrm>
          <a:off x="53625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149" name="OpenSolver18"/>
        <xdr:cNvCxnSpPr>
          <a:stCxn id="9147" idx="3"/>
          <a:endCxn id="9148" idx="1"/>
        </xdr:cNvCxnSpPr>
      </xdr:nvCxnSpPr>
      <xdr:spPr>
        <a:xfrm>
          <a:off x="4772025" y="264414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137</xdr:row>
      <xdr:rowOff>158750</xdr:rowOff>
    </xdr:from>
    <xdr:to>
      <xdr:col>8</xdr:col>
      <xdr:colOff>485775</xdr:colOff>
      <xdr:row>139</xdr:row>
      <xdr:rowOff>31750</xdr:rowOff>
    </xdr:to>
    <xdr:sp macro="" textlink="">
      <xdr:nvSpPr>
        <xdr:cNvPr id="9150" name="OpenSolver19"/>
        <xdr:cNvSpPr/>
      </xdr:nvSpPr>
      <xdr:spPr>
        <a:xfrm>
          <a:off x="4876800" y="26314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9151" name="OpenSolver20"/>
        <xdr:cNvSpPr/>
      </xdr:nvSpPr>
      <xdr:spPr>
        <a:xfrm>
          <a:off x="41814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9152" name="OpenSolver21"/>
        <xdr:cNvSpPr/>
      </xdr:nvSpPr>
      <xdr:spPr>
        <a:xfrm>
          <a:off x="53625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180975</xdr:rowOff>
    </xdr:from>
    <xdr:to>
      <xdr:col>9</xdr:col>
      <xdr:colOff>0</xdr:colOff>
      <xdr:row>39</xdr:row>
      <xdr:rowOff>180975</xdr:rowOff>
    </xdr:to>
    <xdr:cxnSp macro="">
      <xdr:nvCxnSpPr>
        <xdr:cNvPr id="9153" name="OpenSolver22"/>
        <xdr:cNvCxnSpPr>
          <a:stCxn id="9151" idx="3"/>
          <a:endCxn id="9152" idx="1"/>
        </xdr:cNvCxnSpPr>
      </xdr:nvCxnSpPr>
      <xdr:spPr>
        <a:xfrm>
          <a:off x="4772025" y="7667625"/>
          <a:ext cx="5905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39</xdr:row>
      <xdr:rowOff>53975</xdr:rowOff>
    </xdr:from>
    <xdr:to>
      <xdr:col>8</xdr:col>
      <xdr:colOff>485775</xdr:colOff>
      <xdr:row>40</xdr:row>
      <xdr:rowOff>117475</xdr:rowOff>
    </xdr:to>
    <xdr:sp macro="" textlink="">
      <xdr:nvSpPr>
        <xdr:cNvPr id="9154" name="OpenSolver23"/>
        <xdr:cNvSpPr/>
      </xdr:nvSpPr>
      <xdr:spPr>
        <a:xfrm>
          <a:off x="4876800" y="754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155" name="OpenSolver24"/>
        <xdr:cNvSpPr/>
      </xdr:nvSpPr>
      <xdr:spPr>
        <a:xfrm>
          <a:off x="41814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156" name="OpenSolver25"/>
        <xdr:cNvSpPr/>
      </xdr:nvSpPr>
      <xdr:spPr>
        <a:xfrm>
          <a:off x="53625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0</xdr:rowOff>
    </xdr:from>
    <xdr:to>
      <xdr:col>9</xdr:col>
      <xdr:colOff>0</xdr:colOff>
      <xdr:row>106</xdr:row>
      <xdr:rowOff>0</xdr:rowOff>
    </xdr:to>
    <xdr:cxnSp macro="">
      <xdr:nvCxnSpPr>
        <xdr:cNvPr id="9157" name="OpenSolver26"/>
        <xdr:cNvCxnSpPr>
          <a:stCxn id="9155" idx="3"/>
          <a:endCxn id="9156" idx="1"/>
        </xdr:cNvCxnSpPr>
      </xdr:nvCxnSpPr>
      <xdr:spPr>
        <a:xfrm>
          <a:off x="4772025" y="20250150"/>
          <a:ext cx="590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105</xdr:row>
      <xdr:rowOff>63500</xdr:rowOff>
    </xdr:from>
    <xdr:to>
      <xdr:col>8</xdr:col>
      <xdr:colOff>485775</xdr:colOff>
      <xdr:row>106</xdr:row>
      <xdr:rowOff>127000</xdr:rowOff>
    </xdr:to>
    <xdr:sp macro="" textlink="">
      <xdr:nvSpPr>
        <xdr:cNvPr id="9158" name="OpenSolver27"/>
        <xdr:cNvSpPr/>
      </xdr:nvSpPr>
      <xdr:spPr>
        <a:xfrm>
          <a:off x="4876800" y="20123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19275" y="390525"/>
          <a:ext cx="17716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181475" y="7810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130175</xdr:rowOff>
    </xdr:from>
    <xdr:to>
      <xdr:col>7</xdr:col>
      <xdr:colOff>215214</xdr:colOff>
      <xdr:row>4</xdr:row>
      <xdr:rowOff>57150</xdr:rowOff>
    </xdr:to>
    <xdr:sp macro="" textlink="">
      <xdr:nvSpPr>
        <xdr:cNvPr id="4" name="OpenSolver3"/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41814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53625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772025" y="136207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487680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41814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53625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77202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</xdr:row>
      <xdr:rowOff>163513</xdr:rowOff>
    </xdr:from>
    <xdr:to>
      <xdr:col>8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8768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41814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53625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772025" y="185261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8</xdr:row>
      <xdr:rowOff>173038</xdr:rowOff>
    </xdr:from>
    <xdr:to>
      <xdr:col>8</xdr:col>
      <xdr:colOff>485775</xdr:colOff>
      <xdr:row>10</xdr:row>
      <xdr:rowOff>26988</xdr:rowOff>
    </xdr:to>
    <xdr:sp macro="" textlink="">
      <xdr:nvSpPr>
        <xdr:cNvPr id="16" name="OpenSolver15"/>
        <xdr:cNvSpPr/>
      </xdr:nvSpPr>
      <xdr:spPr>
        <a:xfrm>
          <a:off x="4876800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12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13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4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16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790700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560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9" name="OpenSolver8"/>
        <xdr:cNvSpPr/>
      </xdr:nvSpPr>
      <xdr:spPr>
        <a:xfrm>
          <a:off x="1803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6350</xdr:colOff>
      <xdr:row>3</xdr:row>
      <xdr:rowOff>15875</xdr:rowOff>
    </xdr:from>
    <xdr:to>
      <xdr:col>4</xdr:col>
      <xdr:colOff>58480</xdr:colOff>
      <xdr:row>3</xdr:row>
      <xdr:rowOff>130175</xdr:rowOff>
    </xdr:to>
    <xdr:sp macro="" textlink="">
      <xdr:nvSpPr>
        <xdr:cNvPr id="10" name="OpenSolver9"/>
        <xdr:cNvSpPr/>
      </xdr:nvSpPr>
      <xdr:spPr>
        <a:xfrm>
          <a:off x="2387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12700</xdr:colOff>
      <xdr:row>3</xdr:row>
      <xdr:rowOff>15875</xdr:rowOff>
    </xdr:from>
    <xdr:to>
      <xdr:col>5</xdr:col>
      <xdr:colOff>64830</xdr:colOff>
      <xdr:row>3</xdr:row>
      <xdr:rowOff>130175</xdr:rowOff>
    </xdr:to>
    <xdr:sp macro="" textlink="">
      <xdr:nvSpPr>
        <xdr:cNvPr id="11" name="OpenSolver10"/>
        <xdr:cNvSpPr/>
      </xdr:nvSpPr>
      <xdr:spPr>
        <a:xfrm>
          <a:off x="29845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790700" y="781050"/>
          <a:ext cx="2952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4</xdr:row>
      <xdr:rowOff>107950</xdr:rowOff>
    </xdr:from>
    <xdr:to>
      <xdr:col>8</xdr:col>
      <xdr:colOff>212039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4724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4743450" y="1171575"/>
          <a:ext cx="5905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5924550" y="1171575"/>
          <a:ext cx="5905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5334000" y="146208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104775</xdr:colOff>
      <xdr:row>6</xdr:row>
      <xdr:rowOff>163513</xdr:rowOff>
    </xdr:from>
    <xdr:to>
      <xdr:col>9</xdr:col>
      <xdr:colOff>485775</xdr:colOff>
      <xdr:row>8</xdr:row>
      <xdr:rowOff>36513</xdr:rowOff>
    </xdr:to>
    <xdr:sp macro="" textlink="">
      <xdr:nvSpPr>
        <xdr:cNvPr id="8" name="OpenSolver7"/>
        <xdr:cNvSpPr/>
      </xdr:nvSpPr>
      <xdr:spPr>
        <a:xfrm>
          <a:off x="5438775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11" name="OpenSolver1"/>
        <xdr:cNvSpPr/>
      </xdr:nvSpPr>
      <xdr:spPr>
        <a:xfrm>
          <a:off x="1219200" y="581025"/>
          <a:ext cx="12382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12" name="OpenSolver2"/>
        <xdr:cNvSpPr/>
      </xdr:nvSpPr>
      <xdr:spPr>
        <a:xfrm>
          <a:off x="1219200" y="971550"/>
          <a:ext cx="61912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206375</xdr:colOff>
      <xdr:row>4</xdr:row>
      <xdr:rowOff>107950</xdr:rowOff>
    </xdr:from>
    <xdr:to>
      <xdr:col>2</xdr:col>
      <xdr:colOff>218389</xdr:colOff>
      <xdr:row>5</xdr:row>
      <xdr:rowOff>44450</xdr:rowOff>
    </xdr:to>
    <xdr:sp macro="" textlink="">
      <xdr:nvSpPr>
        <xdr:cNvPr id="13" name="OpenSolver3"/>
        <xdr:cNvSpPr/>
      </xdr:nvSpPr>
      <xdr:spPr>
        <a:xfrm>
          <a:off x="1206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4" name="OpenSolver4"/>
        <xdr:cNvSpPr/>
      </xdr:nvSpPr>
      <xdr:spPr>
        <a:xfrm>
          <a:off x="2457450" y="1362075"/>
          <a:ext cx="3619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5" name="OpenSolver5"/>
        <xdr:cNvSpPr/>
      </xdr:nvSpPr>
      <xdr:spPr>
        <a:xfrm>
          <a:off x="3067050" y="1362075"/>
          <a:ext cx="1905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4763</xdr:rowOff>
    </xdr:from>
    <xdr:to>
      <xdr:col>6</xdr:col>
      <xdr:colOff>0</xdr:colOff>
      <xdr:row>8</xdr:row>
      <xdr:rowOff>4763</xdr:rowOff>
    </xdr:to>
    <xdr:cxnSp macro="">
      <xdr:nvCxnSpPr>
        <xdr:cNvPr id="16" name="OpenSolver6"/>
        <xdr:cNvCxnSpPr>
          <a:stCxn id="14" idx="3"/>
          <a:endCxn id="15" idx="1"/>
        </xdr:cNvCxnSpPr>
      </xdr:nvCxnSpPr>
      <xdr:spPr>
        <a:xfrm>
          <a:off x="2819400" y="1557338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68263</xdr:rowOff>
    </xdr:from>
    <xdr:to>
      <xdr:col>6</xdr:col>
      <xdr:colOff>66675</xdr:colOff>
      <xdr:row>8</xdr:row>
      <xdr:rowOff>131763</xdr:rowOff>
    </xdr:to>
    <xdr:sp macro="" textlink="">
      <xdr:nvSpPr>
        <xdr:cNvPr id="17" name="OpenSolver7"/>
        <xdr:cNvSpPr/>
      </xdr:nvSpPr>
      <xdr:spPr>
        <a:xfrm>
          <a:off x="275272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12700</xdr:colOff>
      <xdr:row>3</xdr:row>
      <xdr:rowOff>15875</xdr:rowOff>
    </xdr:from>
    <xdr:to>
      <xdr:col>2</xdr:col>
      <xdr:colOff>99006</xdr:colOff>
      <xdr:row>3</xdr:row>
      <xdr:rowOff>130175</xdr:rowOff>
    </xdr:to>
    <xdr:sp macro="" textlink="">
      <xdr:nvSpPr>
        <xdr:cNvPr id="18" name="OpenSolver8"/>
        <xdr:cNvSpPr/>
      </xdr:nvSpPr>
      <xdr:spPr>
        <a:xfrm>
          <a:off x="12319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15875</xdr:colOff>
      <xdr:row>3</xdr:row>
      <xdr:rowOff>15875</xdr:rowOff>
    </xdr:from>
    <xdr:to>
      <xdr:col>3</xdr:col>
      <xdr:colOff>102181</xdr:colOff>
      <xdr:row>3</xdr:row>
      <xdr:rowOff>130175</xdr:rowOff>
    </xdr:to>
    <xdr:sp macro="" textlink="">
      <xdr:nvSpPr>
        <xdr:cNvPr id="19" name="OpenSolver9"/>
        <xdr:cNvSpPr/>
      </xdr:nvSpPr>
      <xdr:spPr>
        <a:xfrm>
          <a:off x="18542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54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55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56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7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58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59" name="OpenSolver6"/>
        <xdr:cNvCxnSpPr>
          <a:stCxn id="57" idx="3"/>
          <a:endCxn id="58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60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61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62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63" name="OpenSolver10"/>
        <xdr:cNvCxnSpPr>
          <a:stCxn id="61" idx="3"/>
          <a:endCxn id="62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64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65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66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67" name="OpenSolver14"/>
        <xdr:cNvCxnSpPr>
          <a:stCxn id="65" idx="3"/>
          <a:endCxn id="66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68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69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70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71" name="OpenSolver18"/>
        <xdr:cNvCxnSpPr>
          <a:stCxn id="69" idx="3"/>
          <a:endCxn id="70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72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73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74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75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76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77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7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7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8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81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82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83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84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85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86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87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88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89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90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91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92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93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94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95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96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97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98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99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100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101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102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103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104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105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7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8" name="OpenSolver4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0</xdr:colOff>
      <xdr:row>11</xdr:row>
      <xdr:rowOff>0</xdr:rowOff>
    </xdr:to>
    <xdr:sp macro="" textlink="">
      <xdr:nvSpPr>
        <xdr:cNvPr id="9" name="OpenSolver5"/>
        <xdr:cNvSpPr/>
      </xdr:nvSpPr>
      <xdr:spPr>
        <a:xfrm>
          <a:off x="9280525" y="1765300"/>
          <a:ext cx="5778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12700</xdr:colOff>
      <xdr:row>10</xdr:row>
      <xdr:rowOff>1588</xdr:rowOff>
    </xdr:to>
    <xdr:cxnSp macro="">
      <xdr:nvCxnSpPr>
        <xdr:cNvPr id="10" name="OpenSolver6"/>
        <xdr:cNvCxnSpPr>
          <a:stCxn id="8" idx="3"/>
          <a:endCxn id="9" idx="1"/>
        </xdr:cNvCxnSpPr>
      </xdr:nvCxnSpPr>
      <xdr:spPr>
        <a:xfrm>
          <a:off x="8677275" y="1947863"/>
          <a:ext cx="6032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111125</xdr:colOff>
      <xdr:row>9</xdr:row>
      <xdr:rowOff>71438</xdr:rowOff>
    </xdr:from>
    <xdr:to>
      <xdr:col>17</xdr:col>
      <xdr:colOff>492125</xdr:colOff>
      <xdr:row>10</xdr:row>
      <xdr:rowOff>125413</xdr:rowOff>
    </xdr:to>
    <xdr:sp macro="" textlink="">
      <xdr:nvSpPr>
        <xdr:cNvPr id="11" name="OpenSolver7"/>
        <xdr:cNvSpPr/>
      </xdr:nvSpPr>
      <xdr:spPr>
        <a:xfrm>
          <a:off x="87884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0</xdr:colOff>
      <xdr:row>11</xdr:row>
      <xdr:rowOff>0</xdr:rowOff>
    </xdr:to>
    <xdr:sp macro="" textlink="">
      <xdr:nvSpPr>
        <xdr:cNvPr id="12" name="OpenSolver8"/>
        <xdr:cNvSpPr/>
      </xdr:nvSpPr>
      <xdr:spPr>
        <a:xfrm>
          <a:off x="9293225" y="1778000"/>
          <a:ext cx="5651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3" name="OpenSolver9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9</xdr:row>
      <xdr:rowOff>195263</xdr:rowOff>
    </xdr:from>
    <xdr:to>
      <xdr:col>20</xdr:col>
      <xdr:colOff>0</xdr:colOff>
      <xdr:row>10</xdr:row>
      <xdr:rowOff>7938</xdr:rowOff>
    </xdr:to>
    <xdr:cxnSp macro="">
      <xdr:nvCxnSpPr>
        <xdr:cNvPr id="14" name="OpenSolver10"/>
        <xdr:cNvCxnSpPr>
          <a:stCxn id="12" idx="3"/>
          <a:endCxn id="13" idx="1"/>
        </xdr:cNvCxnSpPr>
      </xdr:nvCxnSpPr>
      <xdr:spPr>
        <a:xfrm flipV="1">
          <a:off x="9858375" y="1947863"/>
          <a:ext cx="5905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104775</xdr:colOff>
      <xdr:row>9</xdr:row>
      <xdr:rowOff>74613</xdr:rowOff>
    </xdr:from>
    <xdr:to>
      <xdr:col>19</xdr:col>
      <xdr:colOff>485775</xdr:colOff>
      <xdr:row>10</xdr:row>
      <xdr:rowOff>128588</xdr:rowOff>
    </xdr:to>
    <xdr:sp macro="" textlink="">
      <xdr:nvSpPr>
        <xdr:cNvPr id="15" name="OpenSolver11"/>
        <xdr:cNvSpPr/>
      </xdr:nvSpPr>
      <xdr:spPr>
        <a:xfrm>
          <a:off x="99631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2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3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4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27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28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29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30" name="OpenSolverD7"/>
        <xdr:cNvSpPr/>
      </xdr:nvSpPr>
      <xdr:spPr>
        <a:xfrm>
          <a:off x="1885950" y="1190625"/>
          <a:ext cx="4667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0≤,90≥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1" name="OpenSolverD8"/>
        <xdr:cNvSpPr/>
      </xdr:nvSpPr>
      <xdr:spPr>
        <a:xfrm>
          <a:off x="1885950" y="1381125"/>
          <a:ext cx="4667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-180≤,0≥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2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4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2286000" y="13335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6</xdr:row>
      <xdr:rowOff>63500</xdr:rowOff>
    </xdr:from>
    <xdr:to>
      <xdr:col>8</xdr:col>
      <xdr:colOff>90488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2195513" y="1206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228600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7</xdr:row>
      <xdr:rowOff>158750</xdr:rowOff>
    </xdr:from>
    <xdr:to>
      <xdr:col>8</xdr:col>
      <xdr:colOff>90488</xdr:colOff>
      <xdr:row>9</xdr:row>
      <xdr:rowOff>31750</xdr:rowOff>
    </xdr:to>
    <xdr:sp macro="" textlink="">
      <xdr:nvSpPr>
        <xdr:cNvPr id="12" name="OpenSolver11"/>
        <xdr:cNvSpPr/>
      </xdr:nvSpPr>
      <xdr:spPr>
        <a:xfrm>
          <a:off x="219551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228600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8</xdr:row>
      <xdr:rowOff>158750</xdr:rowOff>
    </xdr:from>
    <xdr:to>
      <xdr:col>8</xdr:col>
      <xdr:colOff>90488</xdr:colOff>
      <xdr:row>10</xdr:row>
      <xdr:rowOff>31750</xdr:rowOff>
    </xdr:to>
    <xdr:sp macro="" textlink="">
      <xdr:nvSpPr>
        <xdr:cNvPr id="16" name="OpenSolver15"/>
        <xdr:cNvSpPr/>
      </xdr:nvSpPr>
      <xdr:spPr>
        <a:xfrm>
          <a:off x="219551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7" name="OpenSolverM15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12≥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cxnSp macro="">
      <xdr:nvCxnSpPr>
        <xdr:cNvPr id="20" name="OpenSolver19"/>
        <xdr:cNvCxnSpPr>
          <a:stCxn id="18" idx="3"/>
          <a:endCxn id="19" idx="1"/>
        </xdr:cNvCxnSpPr>
      </xdr:nvCxnSpPr>
      <xdr:spPr>
        <a:xfrm>
          <a:off x="4333875" y="219075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276225</xdr:colOff>
      <xdr:row>10</xdr:row>
      <xdr:rowOff>158750</xdr:rowOff>
    </xdr:from>
    <xdr:to>
      <xdr:col>13</xdr:col>
      <xdr:colOff>190500</xdr:colOff>
      <xdr:row>12</xdr:row>
      <xdr:rowOff>31750</xdr:rowOff>
    </xdr:to>
    <xdr:sp macro="" textlink="">
      <xdr:nvSpPr>
        <xdr:cNvPr id="21" name="OpenSolver20"/>
        <xdr:cNvSpPr/>
      </xdr:nvSpPr>
      <xdr:spPr>
        <a:xfrm>
          <a:off x="4143375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22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0</xdr:colOff>
      <xdr:row>12</xdr:row>
      <xdr:rowOff>0</xdr:rowOff>
    </xdr:to>
    <xdr:sp macro="" textlink="">
      <xdr:nvSpPr>
        <xdr:cNvPr id="23" name="OpenSolver22"/>
        <xdr:cNvSpPr/>
      </xdr:nvSpPr>
      <xdr:spPr>
        <a:xfrm>
          <a:off x="3879850" y="2108200"/>
          <a:ext cx="454025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101600</xdr:rowOff>
    </xdr:to>
    <xdr:cxnSp macro="">
      <xdr:nvCxnSpPr>
        <xdr:cNvPr id="24" name="OpenSolver23"/>
        <xdr:cNvCxnSpPr>
          <a:stCxn id="22" idx="3"/>
          <a:endCxn id="23" idx="1"/>
        </xdr:cNvCxnSpPr>
      </xdr:nvCxnSpPr>
      <xdr:spPr>
        <a:xfrm>
          <a:off x="3867150" y="2190750"/>
          <a:ext cx="12700" cy="63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161925</xdr:rowOff>
    </xdr:from>
    <xdr:to>
      <xdr:col>12</xdr:col>
      <xdr:colOff>196850</xdr:colOff>
      <xdr:row>12</xdr:row>
      <xdr:rowOff>34925</xdr:rowOff>
    </xdr:to>
    <xdr:sp macro="" textlink="">
      <xdr:nvSpPr>
        <xdr:cNvPr id="25" name="OpenSolver24"/>
        <xdr:cNvSpPr/>
      </xdr:nvSpPr>
      <xdr:spPr>
        <a:xfrm>
          <a:off x="3683000" y="2066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26" name="OpenSolverM17:M18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2≤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0</xdr:colOff>
      <xdr:row>9</xdr:row>
      <xdr:rowOff>0</xdr:rowOff>
    </xdr:to>
    <xdr:sp macro="" textlink="">
      <xdr:nvSpPr>
        <xdr:cNvPr id="27" name="OpenSolver26"/>
        <xdr:cNvSpPr/>
      </xdr:nvSpPr>
      <xdr:spPr>
        <a:xfrm>
          <a:off x="3413125" y="1536700"/>
          <a:ext cx="13874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28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239713</xdr:colOff>
      <xdr:row>9</xdr:row>
      <xdr:rowOff>0</xdr:rowOff>
    </xdr:to>
    <xdr:cxnSp macro="">
      <xdr:nvCxnSpPr>
        <xdr:cNvPr id="29" name="OpenSolver28"/>
        <xdr:cNvCxnSpPr>
          <a:stCxn id="27" idx="2"/>
          <a:endCxn id="28" idx="0"/>
        </xdr:cNvCxnSpPr>
      </xdr:nvCxnSpPr>
      <xdr:spPr>
        <a:xfrm flipH="1">
          <a:off x="4100513" y="1714500"/>
          <a:ext cx="6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46038</xdr:colOff>
      <xdr:row>8</xdr:row>
      <xdr:rowOff>63500</xdr:rowOff>
    </xdr:from>
    <xdr:to>
      <xdr:col>12</xdr:col>
      <xdr:colOff>427038</xdr:colOff>
      <xdr:row>9</xdr:row>
      <xdr:rowOff>127000</xdr:rowOff>
    </xdr:to>
    <xdr:sp macro="" textlink="">
      <xdr:nvSpPr>
        <xdr:cNvPr id="30" name="OpenSolver29"/>
        <xdr:cNvSpPr/>
      </xdr:nvSpPr>
      <xdr:spPr>
        <a:xfrm>
          <a:off x="3913188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2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4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5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6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7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8" name="OpenSolver7"/>
        <xdr:cNvCxnSpPr>
          <a:stCxn id="6" idx="3"/>
          <a:endCxn id="7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9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0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1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2" name="OpenSolver11"/>
        <xdr:cNvCxnSpPr>
          <a:stCxn id="10" idx="3"/>
          <a:endCxn id="11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3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4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5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6" name="OpenSolver15"/>
        <xdr:cNvCxnSpPr>
          <a:stCxn id="14" idx="3"/>
          <a:endCxn id="15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7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8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19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" name="OpenSolver19"/>
        <xdr:cNvCxnSpPr>
          <a:stCxn id="18" idx="2"/>
          <a:endCxn id="19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1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2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3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4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wnloads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S71"/>
  <sheetViews>
    <sheetView tabSelected="1" zoomScale="85" zoomScaleNormal="85" zoomScalePageLayoutView="85" workbookViewId="0"/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19" s="150" customFormat="1" ht="63" customHeight="1" thickBot="1" x14ac:dyDescent="0.3">
      <c r="A1" s="152"/>
      <c r="C1" s="178" t="s">
        <v>318</v>
      </c>
      <c r="D1" s="178"/>
      <c r="E1" s="178"/>
      <c r="F1" s="178"/>
    </row>
    <row r="2" spans="1:1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19" x14ac:dyDescent="0.25">
      <c r="A3" s="155" t="str">
        <f>HYPERLINK("[OpenSolver Tester.xlsm]'SimpleLP'!A1", "SimpleLP")</f>
        <v>SimpleLP</v>
      </c>
    </row>
    <row r="4" spans="1:19" x14ac:dyDescent="0.25">
      <c r="A4" s="155" t="str">
        <f>HYPERLINK("[OpenSolver Tester.xlsm]'SimpleIP'!A1", "SimpleIP")</f>
        <v>SimpleIP</v>
      </c>
    </row>
    <row r="5" spans="1:19" x14ac:dyDescent="0.25">
      <c r="A5" s="155" t="str">
        <f>HYPERLINK("[OpenSolver Tester.xlsm]'OverlappingVars'!A1", "OverlappingVars")</f>
        <v>OverlappingVars</v>
      </c>
      <c r="H5"/>
    </row>
    <row r="6" spans="1:19" x14ac:dyDescent="0.25">
      <c r="A6" s="155" t="str">
        <f>HYPERLINK("[OpenSolver Tester.xlsm]'BlankRHS'!A1", "BlankRHS")</f>
        <v>BlankRHS</v>
      </c>
      <c r="H6"/>
    </row>
    <row r="7" spans="1:19" x14ac:dyDescent="0.25">
      <c r="A7" s="155" t="str">
        <f>HYPERLINK("[OpenSolver Tester.xlsm]'BlankLHS'!A1", "BlankLHS")</f>
        <v>BlankLHS</v>
      </c>
      <c r="H7"/>
    </row>
    <row r="8" spans="1:19" x14ac:dyDescent="0.25">
      <c r="A8" s="155" t="str">
        <f>HYPERLINK("[OpenSolver Tester.xlsm]'TextRHS'!A1", "TextRHS")</f>
        <v>TextRHS</v>
      </c>
      <c r="H8"/>
    </row>
    <row r="9" spans="1:19" x14ac:dyDescent="0.25">
      <c r="A9" s="155" t="str">
        <f>HYPERLINK("[OpenSolver Tester.xlsm]'ErrorRHS'!A1", "ErrorRHS")</f>
        <v>ErrorRHS</v>
      </c>
      <c r="H9"/>
    </row>
    <row r="10" spans="1:19" x14ac:dyDescent="0.25">
      <c r="A10" s="155" t="str">
        <f>HYPERLINK("[OpenSolver Tester.xlsm]'ErrorLHS'!A1", "ErrorLHS")</f>
        <v>ErrorLHS</v>
      </c>
    </row>
    <row r="11" spans="1:19" x14ac:dyDescent="0.25">
      <c r="A11" s="155" t="str">
        <f>HYPERLINK("[OpenSolver Tester.xlsm]'ErrorObj'!A1", "ErrorObj")</f>
        <v>ErrorObj</v>
      </c>
      <c r="R11" s="177"/>
      <c r="S11" s="177"/>
    </row>
    <row r="12" spans="1:19" x14ac:dyDescent="0.25">
      <c r="A12" s="155" t="str">
        <f>HYPERLINK("[OpenSolver Tester.xlsm]'TextObj'!A1", "TextObj")</f>
        <v>TextObj</v>
      </c>
      <c r="R12" s="177"/>
      <c r="S12" s="177"/>
    </row>
    <row r="13" spans="1:19" x14ac:dyDescent="0.25">
      <c r="A13" s="155" t="str">
        <f>HYPERLINK("[OpenSolver Tester.xlsm]'MergedVarsSubset'!A1", "MergedVarsSubset")</f>
        <v>MergedVarsSubset</v>
      </c>
      <c r="B13" s="59" t="s">
        <v>332</v>
      </c>
      <c r="R13" s="177"/>
      <c r="S13" s="177"/>
    </row>
    <row r="14" spans="1:19" x14ac:dyDescent="0.25">
      <c r="A14" s="155" t="str">
        <f>HYPERLINK("[OpenSolver Tester.xlsm]'MergedVarsOK'!A1", "MergedVarsOK")</f>
        <v>MergedVarsOK</v>
      </c>
      <c r="R14" s="177"/>
      <c r="S14" s="177"/>
    </row>
    <row r="15" spans="1:19" x14ac:dyDescent="0.25">
      <c r="A15" s="155" t="str">
        <f>HYPERLINK("[OpenSolver Tester.xlsm]'MergedVarsBad'!A1", "MergedVarsBad")</f>
        <v>MergedVarsBad</v>
      </c>
      <c r="B15" s="59" t="s">
        <v>332</v>
      </c>
      <c r="R15" s="177"/>
      <c r="S15" s="177"/>
    </row>
    <row r="16" spans="1:19" x14ac:dyDescent="0.25">
      <c r="A16" s="155" t="str">
        <f>HYPERLINK("[OpenSolver Tester.xlsm]'MergedRHS_OK'!A1", "MergedRHS_OK")</f>
        <v>MergedRHS_OK</v>
      </c>
    </row>
    <row r="17" spans="1:1" x14ac:dyDescent="0.25">
      <c r="A17" s="155" t="str">
        <f>HYPERLINK("[OpenSolver Tester.xlsm]'MergedLHS_OK'!A1", "MergedLHS_OK")</f>
        <v>MergedLHS_OK</v>
      </c>
    </row>
    <row r="18" spans="1:1" x14ac:dyDescent="0.25">
      <c r="A18" s="155" t="str">
        <f>HYPERLINK("[OpenSolver Tester.xlsm]'MergedLHSMultiple_OK'!A1", "MergedLHSMultiple_OK")</f>
        <v>MergedLHSMultiple_OK</v>
      </c>
    </row>
    <row r="19" spans="1:1" x14ac:dyDescent="0.25">
      <c r="A19" s="155" t="str">
        <f>HYPERLINK("[OpenSolver Tester.xlsm]'BinIntOverlap'!A1", "BinIntOverlap")</f>
        <v>BinIntOverlap</v>
      </c>
    </row>
    <row r="20" spans="1:1" x14ac:dyDescent="0.25">
      <c r="A20" s="155" t="str">
        <f>HYPERLINK("[OpenSolver Tester.xlsm]'ConFormula'!A1", "ConFormula")</f>
        <v>ConFormula</v>
      </c>
    </row>
    <row r="21" spans="1:1" x14ac:dyDescent="0.25">
      <c r="A21" s="155" t="str">
        <f>HYPERLINK("[OpenSolver Tester.xlsm]'ConFormulaInf'!A1", "ConFormulaInf")</f>
        <v>ConFormulaInf</v>
      </c>
    </row>
    <row r="22" spans="1:1" x14ac:dyDescent="0.25">
      <c r="A22" s="155" t="str">
        <f>HYPERLINK("[OpenSolver Tester.xlsm]'BadName!'!A1", "BadName!")</f>
        <v>BadName!</v>
      </c>
    </row>
    <row r="23" spans="1:1" x14ac:dyDescent="0.25">
      <c r="A23" s="155" t="str">
        <f>HYPERLINK("[OpenSolver Tester.xlsm]'EscapeSheetName(1)+2-1'!A1", "EscapeSheetName(1)+2-1")</f>
        <v>EscapeSheetName(1)+2-1</v>
      </c>
    </row>
    <row r="24" spans="1:1" x14ac:dyDescent="0.25">
      <c r="A24" s="155" t="str">
        <f>HYPERLINK("[OpenSolver Tester.xlsm]'DeletedConRef'!A1", "DeletedConRef")</f>
        <v>DeletedConRef</v>
      </c>
    </row>
    <row r="25" spans="1:1" x14ac:dyDescent="0.25">
      <c r="A25" s="155" t="str">
        <f>HYPERLINK("[OpenSolver Tester.xlsm]'DeletedObjRef'!A1", "DeletedObjRef")</f>
        <v>DeletedObjRef</v>
      </c>
    </row>
    <row r="26" spans="1:1" x14ac:dyDescent="0.25">
      <c r="A26" s="155" t="str">
        <f>HYPERLINK("[OpenSolver Tester.xlsm]'InfConstConstraint'!A1", "InfConstConstraint")</f>
        <v>InfConstConstraint</v>
      </c>
    </row>
    <row r="27" spans="1:1" x14ac:dyDescent="0.25">
      <c r="A27" s="155" t="str">
        <f>HYPERLINK("[OpenSolver Tester.xlsm]'FeasConstConstraint'!A1", "FeasConstConstraint")</f>
        <v>FeasConstConstraint</v>
      </c>
    </row>
    <row r="28" spans="1:1" x14ac:dyDescent="0.25">
      <c r="A28" s="155" t="str">
        <f>HYPERLINK("[OpenSolver Tester.xlsm]'Unbounded'!A1", "Unbounded")</f>
        <v>Unbounded</v>
      </c>
    </row>
    <row r="29" spans="1:1" x14ac:dyDescent="0.25">
      <c r="A29" s="155" t="str">
        <f>HYPERLINK("[OpenSolver Tester.xlsm]'ProtectedSheet'!A1", "ProtectedSheet")</f>
        <v>ProtectedSheet</v>
      </c>
    </row>
    <row r="30" spans="1:1" x14ac:dyDescent="0.25">
      <c r="A30" s="155" t="str">
        <f>HYPERLINK("[OpenSolver Tester.xlsm]'IndirectLBs'!A1", "IndirectLBs")</f>
        <v>IndirectLBs</v>
      </c>
    </row>
    <row r="31" spans="1:1" x14ac:dyDescent="0.25">
      <c r="A31" s="155" t="str">
        <f>HYPERLINK("[OpenSolver Tester.xlsm]'DirectLBs'!A1", "DirectLBs")</f>
        <v>DirectLBs</v>
      </c>
    </row>
    <row r="32" spans="1:1" x14ac:dyDescent="0.25">
      <c r="A32" s="155" t="str">
        <f>HYPERLINK("[OpenSolver Tester.xlsm]'SingleRangeLB'!A1", "SingleRangeLB")</f>
        <v>SingleRangeLB</v>
      </c>
    </row>
    <row r="33" spans="1:7" x14ac:dyDescent="0.25">
      <c r="A33" s="155" t="str">
        <f>HYPERLINK("[OpenSolver Tester.xlsm]'BinLB'!A1", "BinLB")</f>
        <v>BinLB</v>
      </c>
    </row>
    <row r="34" spans="1:7" x14ac:dyDescent="0.25">
      <c r="A34" s="155" t="str">
        <f>HYPERLINK("[OpenSolver Tester.xlsm]'BinIntLB'!A1", "BinIntLB")</f>
        <v>BinIntLB</v>
      </c>
    </row>
    <row r="35" spans="1:7" x14ac:dyDescent="0.25">
      <c r="A35" s="155" t="str">
        <f>HYPERLINK("[OpenSolver Tester.xlsm]'Relaxation'!A1", "Relaxation")</f>
        <v>Relaxation</v>
      </c>
    </row>
    <row r="36" spans="1:7" x14ac:dyDescent="0.25">
      <c r="A36" s="155" t="str">
        <f>HYPERLINK("[OpenSolver Tester.xlsm]'LargeRangeLB'!A1", "LargeRangeLB")</f>
        <v>LargeRangeLB</v>
      </c>
      <c r="G36" s="165"/>
    </row>
    <row r="37" spans="1:7" x14ac:dyDescent="0.25">
      <c r="A37" s="155" t="str">
        <f>HYPERLINK("[OpenSolver Tester.xlsm]'OverlapRangeLB'!A1", "OverlapRangeLB")</f>
        <v>OverlapRangeLB</v>
      </c>
      <c r="G37" s="165"/>
    </row>
    <row r="38" spans="1:7" x14ac:dyDescent="0.25">
      <c r="A38" s="155" t="str">
        <f>HYPERLINK("[OpenSolver Tester.xlsm]'OverlapRangeLBwithFormula'!A1", "OverlapRangeLBwithFormula")</f>
        <v>OverlapRangeLBwithFormula</v>
      </c>
      <c r="C38" s="162"/>
    </row>
    <row r="39" spans="1:7" x14ac:dyDescent="0.25">
      <c r="A39" s="155" t="str">
        <f>HYPERLINK("[OpenSolver Tester.xlsm]'ConstFormulaRangeLB'!A1", "ConstFormulaRangeLB")</f>
        <v>ConstFormulaRangeLB</v>
      </c>
    </row>
    <row r="40" spans="1:7" x14ac:dyDescent="0.25">
      <c r="A40" s="155" t="str">
        <f>HYPERLINK("[OpenSolver Tester.xlsm]'VariableFormulaRangeLB'!A1", "VariableFormulaRangeLB")</f>
        <v>VariableFormulaRangeLB</v>
      </c>
    </row>
    <row r="41" spans="1:7" x14ac:dyDescent="0.25">
      <c r="A41" s="155" t="str">
        <f>HYPERLINK("[OpenSolver Tester.xlsm]'ConstraintLB'!A1", "ConstraintLB")</f>
        <v>ConstraintLB</v>
      </c>
    </row>
    <row r="42" spans="1:7" x14ac:dyDescent="0.25">
      <c r="A42" s="155" t="str">
        <f>HYPERLINK("[OpenSolver Tester.xlsm]'ConstantLB'!A1", "ConstantLB")</f>
        <v>ConstantLB</v>
      </c>
    </row>
    <row r="43" spans="1:7" x14ac:dyDescent="0.25">
      <c r="A43" s="155" t="str">
        <f>HYPERLINK("[OpenSolver Tester.xlsm]'FormulaLB'!A1", "FormulaLB")</f>
        <v>FormulaLB</v>
      </c>
    </row>
    <row r="44" spans="1:7" x14ac:dyDescent="0.25">
      <c r="A44" s="155" t="str">
        <f>HYPERLINK("[OpenSolver Tester.xlsm]'VarConstraintLB'!A1", "VarConstraintLB")</f>
        <v>VarConstraintLB</v>
      </c>
    </row>
    <row r="45" spans="1:7" x14ac:dyDescent="0.25">
      <c r="A45" s="155" t="str">
        <f>HYPERLINK("[OpenSolver Tester.xlsm]'FractionalCoeffs'!A1", "FractionalCoeffs")</f>
        <v>FractionalCoeffs</v>
      </c>
    </row>
    <row r="46" spans="1:7" x14ac:dyDescent="0.25">
      <c r="A46" s="155" t="str">
        <f>HYPERLINK("[OpenSolver Tester.xlsm]'ComplexLayout'!A1", "ComplexLayout")</f>
        <v>ComplexLayout</v>
      </c>
    </row>
    <row r="47" spans="1:7" x14ac:dyDescent="0.25">
      <c r="A47" s="155" t="str">
        <f>HYPERLINK("[OpenSolver Tester.xlsm]'InfModel'!A1", "InfModel")</f>
        <v>InfModel</v>
      </c>
    </row>
    <row r="48" spans="1:7" x14ac:dyDescent="0.25">
      <c r="A48" s="155" t="str">
        <f>HYPERLINK("[OpenSolver Tester.xlsm]'IterativeCalc'!A1", "IterativeCalc")</f>
        <v>IterativeCalc</v>
      </c>
    </row>
    <row r="49" spans="1:6" x14ac:dyDescent="0.25">
      <c r="A49" s="155" t="str">
        <f>HYPERLINK("[OpenSolver Tester.xlsm]'NoObj'!A1", "NoObj")</f>
        <v>NoObj</v>
      </c>
    </row>
    <row r="50" spans="1:6" x14ac:dyDescent="0.25">
      <c r="A50" s="155" t="str">
        <f>HYPERLINK("[OpenSolver Tester.xlsm]'SeekObj'!A1", "SeekObj")</f>
        <v>SeekObj</v>
      </c>
    </row>
    <row r="51" spans="1:6" x14ac:dyDescent="0.25">
      <c r="A51" s="155" t="str">
        <f>HYPERLINK("[OpenSolver Tester.xlsm]'DiffSheetObj'!A1", "DiffSheetObj")</f>
        <v>DiffSheetObj</v>
      </c>
    </row>
    <row r="52" spans="1:6" x14ac:dyDescent="0.25">
      <c r="A52" s="155" t="str">
        <f>HYPERLINK("[OpenSolver Tester.xlsm]'NamedRanges'!A1", "NamedRanges")</f>
        <v>NamedRanges</v>
      </c>
    </row>
    <row r="53" spans="1:6" x14ac:dyDescent="0.25">
      <c r="A53" s="155" t="str">
        <f>HYPERLINK("[OpenSolver Tester.xlsm]'QuickSolve'!A1", "QuickSolve")</f>
        <v>QuickSolve</v>
      </c>
    </row>
    <row r="54" spans="1:6" x14ac:dyDescent="0.25">
      <c r="A54" s="155" t="str">
        <f>HYPERLINK("[OpenSolver Tester.xlsm]'SolverParameters'!A1", "SolverParameters")</f>
        <v>SolverParameters</v>
      </c>
    </row>
    <row r="55" spans="1:6" x14ac:dyDescent="0.25">
      <c r="A55" s="155" t="str">
        <f>HYPERLINK("[OpenSolver Tester.xlsm]'Sensitivity'!A1", "Sensitivity")</f>
        <v>Sensitivity</v>
      </c>
    </row>
    <row r="56" spans="1:6" x14ac:dyDescent="0.25">
      <c r="A56" s="155" t="str">
        <f>HYPERLINK("[OpenSolver Tester.xlsm]'SensitivityNames'!A1", "SensitivityNames")</f>
        <v>SensitivityNames</v>
      </c>
    </row>
    <row r="57" spans="1:6" x14ac:dyDescent="0.25">
      <c r="A57" s="155" t="str">
        <f>HYPERLINK("[OpenSolver Tester.xlsm]'NonLinSimple'!A1", "NonLinSimple")</f>
        <v>NonLinSimple</v>
      </c>
    </row>
    <row r="58" spans="1:6" x14ac:dyDescent="0.25">
      <c r="A58" s="155" t="str">
        <f>HYPERLINK("[OpenSolver Tester.xlsm]'NonLinLarge'!A1", "NonLinLarge")</f>
        <v>NonLinLarge</v>
      </c>
      <c r="F58" s="59" t="s">
        <v>332</v>
      </c>
    </row>
    <row r="59" spans="1:6" x14ac:dyDescent="0.25">
      <c r="A59" s="155" t="str">
        <f>HYPERLINK("[OpenSolver Tester.xlsm]'NonLinObj'!A1", "NonLinObj")</f>
        <v>NonLinObj</v>
      </c>
    </row>
    <row r="60" spans="1:6" x14ac:dyDescent="0.25">
      <c r="A60" s="155" t="str">
        <f>HYPERLINK("[OpenSolver Tester.xlsm]'NonLinPruning'!A1", "NonLinPruning")</f>
        <v>NonLinPruning</v>
      </c>
    </row>
    <row r="61" spans="1:6" x14ac:dyDescent="0.25">
      <c r="A61" s="155" t="str">
        <f>HYPERLINK("[OpenSolver Tester.xlsm]'NonLinMinMax'!A1", "NonLinMinMax")</f>
        <v>NonLinMinMax</v>
      </c>
    </row>
    <row r="62" spans="1:6" x14ac:dyDescent="0.25">
      <c r="A62" s="155" t="str">
        <f>HYPERLINK("[OpenSolver Tester.xlsm]'NonLinConstraints'!A1", "NonLinConstraints")</f>
        <v>NonLinConstraints</v>
      </c>
    </row>
    <row r="63" spans="1:6" x14ac:dyDescent="0.25">
      <c r="A63" s="155" t="str">
        <f>HYPERLINK("[OpenSolver Tester.xlsm]'NonLinBinary'!A1", "NonLinBinary")</f>
        <v>NonLinBinary</v>
      </c>
    </row>
    <row r="64" spans="1:6" x14ac:dyDescent="0.25">
      <c r="A64" s="155" t="str">
        <f>HYPERLINK("[OpenSolver Tester.xlsm]'NonLin'!A1", "NonLin")</f>
        <v>NonLin</v>
      </c>
    </row>
    <row r="65" spans="1:8" x14ac:dyDescent="0.25">
      <c r="A65" s="155" t="str">
        <f>HYPERLINK("[OpenSolver Tester.xlsm]'NonLin2'!A1", "NonLin2")</f>
        <v>NonLin2</v>
      </c>
      <c r="H65" s="165"/>
    </row>
    <row r="66" spans="1:8" x14ac:dyDescent="0.25">
      <c r="A66" s="155" t="str">
        <f>HYPERLINK("[OpenSolver Tester.xlsm]'NonLin3'!A1", "NonLin3")</f>
        <v>NonLin3</v>
      </c>
      <c r="G66" s="163"/>
    </row>
    <row r="67" spans="1:8" x14ac:dyDescent="0.25">
      <c r="A67" s="155" t="str">
        <f>HYPERLINK("[OpenSolver Tester.xlsm]'NonLin4'!A1", "NonLin4")</f>
        <v>NonLin4</v>
      </c>
    </row>
    <row r="68" spans="1:8" x14ac:dyDescent="0.25">
      <c r="A68" s="155" t="str">
        <f>HYPERLINK("[OpenSolver Tester.xlsm]'NonLin5'!A1", "NonLin5")</f>
        <v>NonLin5</v>
      </c>
    </row>
    <row r="69" spans="1:8" x14ac:dyDescent="0.25">
      <c r="A69" s="155" t="str">
        <f>HYPERLINK("[OpenSolver Tester.xlsm]'NonLin6'!A1", "NonLin6")</f>
        <v>NonLin6</v>
      </c>
    </row>
    <row r="70" spans="1:8" x14ac:dyDescent="0.25">
      <c r="A70" s="155"/>
    </row>
    <row r="71" spans="1:8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L1" sqref="L1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5.2941176432133004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I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9" customWidth="1"/>
    <col min="4" max="4" width="13.7109375" style="170" customWidth="1"/>
    <col min="5" max="5" width="13" style="170" customWidth="1"/>
    <col min="6" max="6" width="5.140625" style="170" customWidth="1"/>
    <col min="7" max="7" width="3.140625" style="170" customWidth="1"/>
    <col min="8" max="8" width="8.42578125" style="170" customWidth="1"/>
    <col min="9" max="9" width="3" style="170" bestFit="1" customWidth="1"/>
    <col min="10" max="10" width="6" style="170" customWidth="1"/>
    <col min="14" max="14" width="7.7109375" customWidth="1"/>
  </cols>
  <sheetData>
    <row r="1" spans="1:10" x14ac:dyDescent="0.25">
      <c r="A1" s="62" t="s">
        <v>203</v>
      </c>
      <c r="D1" s="18" t="s">
        <v>350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SUMPRODUCT(C5:C7,E5:E7)</f>
        <v>5</v>
      </c>
      <c r="E10" s="176">
        <f>SUMPRODUCT(D5:D7,E5:E7)</f>
        <v>7</v>
      </c>
    </row>
    <row r="15" spans="1:10" x14ac:dyDescent="0.25">
      <c r="C15" s="17" t="s">
        <v>15</v>
      </c>
    </row>
    <row r="16" spans="1:10" x14ac:dyDescent="0.25">
      <c r="D16" s="170">
        <v>0</v>
      </c>
      <c r="E16" s="170">
        <v>1</v>
      </c>
      <c r="F16" s="170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0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A7" sqref="A7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0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5.2941176432194004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5.29411764321042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15.88235292963126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58.23529407531462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116.47058815062924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179.99999986915429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5.2941176431753396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15.882352929526018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58.235294074928738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116.47058814985748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116.47058814985748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179.99999986796155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79">
        <v>5.2941175999999999</v>
      </c>
      <c r="F5" s="179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79">
        <v>5.2941176470588234</v>
      </c>
      <c r="F5" s="179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79">
        <v>2</v>
      </c>
      <c r="D5" s="179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42578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79">
        <v>150</v>
      </c>
      <c r="K10" s="179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1.9428902930940239E-15</v>
      </c>
      <c r="E5" s="1">
        <v>5.2941176470588225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9">
        <f>SUMPRODUCT($D$5:$F$5,D10:F10)</f>
        <v>116.47058823529413</v>
      </c>
      <c r="H10" s="179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10.423</v>
      </c>
      <c r="E5" s="1">
        <v>10.423</v>
      </c>
      <c r="F5" s="1">
        <v>10.423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52.114999999999995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218.88300000000001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80">
        <v>5</v>
      </c>
      <c r="H10" s="180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80"/>
      <c r="H11" s="180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552.41899999999998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8.3970690958461791</v>
      </c>
      <c r="Q4" s="145">
        <v>0</v>
      </c>
      <c r="R4" s="10">
        <v>10.999998579975633</v>
      </c>
      <c r="S4" s="9">
        <f>SUM(Q4:R4)</f>
        <v>10.999998579975633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0.29565218086575346</v>
      </c>
      <c r="J5"/>
      <c r="K5"/>
      <c r="M5" t="s">
        <v>20</v>
      </c>
      <c r="N5">
        <v>0</v>
      </c>
      <c r="Q5" s="4">
        <v>43.999999569970292</v>
      </c>
      <c r="R5" s="5">
        <v>22.000001090025542</v>
      </c>
      <c r="S5" s="4">
        <f>SUM(Q5:R5)</f>
        <v>66.000000659995834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43.999999569970292</v>
      </c>
      <c r="R6" s="10">
        <f>SUM(R4:R5)</f>
        <v>32.999999670001174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721.43093843715724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14.54782617038904</v>
      </c>
      <c r="J9" s="1" t="s">
        <v>8</v>
      </c>
      <c r="K9" s="1">
        <f>61.2345678+2.3*N4-S5</f>
        <v>14.547826060450376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28.800000159912329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115.19999984008767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-9.4608697877041106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28.799999960021918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10.423</v>
      </c>
      <c r="Q4" s="145">
        <v>10.423</v>
      </c>
      <c r="R4" s="10">
        <v>10.423</v>
      </c>
      <c r="S4" s="9">
        <f>SUM(Q4:R4)</f>
        <v>20.846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10.423</v>
      </c>
      <c r="E5" s="1">
        <v>10.423</v>
      </c>
      <c r="F5" s="1">
        <v>10.423</v>
      </c>
      <c r="G5" s="1">
        <v>10.423</v>
      </c>
      <c r="J5"/>
      <c r="K5"/>
      <c r="M5" t="s">
        <v>20</v>
      </c>
      <c r="N5">
        <v>10.423</v>
      </c>
      <c r="Q5" s="4">
        <v>10.423</v>
      </c>
      <c r="R5" s="5">
        <v>10.423</v>
      </c>
      <c r="S5" s="4">
        <f>SUM(Q5:R5)</f>
        <v>20.846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20.846</v>
      </c>
      <c r="R6" s="10">
        <f>SUM(R4:R5)</f>
        <v>20.846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711.29678899999999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343.959</v>
      </c>
      <c r="J9" s="1" t="s">
        <v>8</v>
      </c>
      <c r="K9" s="1">
        <f>61.2345678+2.3*N4-S5</f>
        <v>64.3614678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687.91800000000001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1031.877</v>
      </c>
      <c r="Q11" t="s">
        <v>22</v>
      </c>
    </row>
    <row r="12" spans="1:21" x14ac:dyDescent="0.25">
      <c r="G12" s="1">
        <v>-32</v>
      </c>
      <c r="I12" s="16">
        <f>SUMPRODUCT($D$5:$G$5,D12:G12)</f>
        <v>-333.536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0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5.2941176432133004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58.235294075346303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116.47058815069261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116.47058815069261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179.99999986925221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-381036674817.96606</v>
      </c>
      <c r="E4" s="167">
        <v>-1147995110020.5378</v>
      </c>
      <c r="F4" s="167">
        <v>-1445985330075.6138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-9990000000000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-33790136919312.941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-66515325183368.234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110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180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topLeftCell="A3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7.5294117776138929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14.588235332841677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42.82352955375282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81.64705910750564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180.00000043887235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K14" sqref="K1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-2</v>
      </c>
      <c r="H5"/>
      <c r="I5"/>
      <c r="J5"/>
    </row>
    <row r="6" spans="1:10" ht="15.75" thickBot="1" x14ac:dyDescent="0.3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-2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-1</v>
      </c>
      <c r="H5"/>
      <c r="I5"/>
      <c r="J5"/>
    </row>
    <row r="6" spans="1:10" ht="15.75" thickBot="1" x14ac:dyDescent="0.3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-1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-1.8999999999999997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-1.8999999999999997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-2.0000000099949999</v>
      </c>
      <c r="E4" s="134">
        <v>-2.0000000099966702</v>
      </c>
      <c r="F4" s="54">
        <v>-2.0000000099975002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-2.0000000098275383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-2.0000000098275383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-4.0000000196550767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-2.0000000098275383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H32" sqref="H32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-20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0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0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0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99.999999000066694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6.8545359783200661</v>
      </c>
      <c r="Q3" s="9">
        <v>0</v>
      </c>
      <c r="R3" s="10">
        <v>10.999998578602058</v>
      </c>
      <c r="S3" s="9">
        <f>SUM(Q3:R3)</f>
        <v>10.999998578602058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43.99999956829538</v>
      </c>
      <c r="R4" s="5">
        <v>22.00000098184077</v>
      </c>
      <c r="S4" s="4">
        <f>SUM(Q4:R4)</f>
        <v>66.00000055013615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43.99999956829538</v>
      </c>
      <c r="R5" s="10">
        <f>SUM(R3:R4)</f>
        <v>32.999999560442831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712.53566301960791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topLeftCell="A7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0.163879509167912</v>
      </c>
      <c r="E5" s="58">
        <v>5.2261757755666496</v>
      </c>
      <c r="F5" s="134">
        <v>2.5115220108011801E-2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59.428111264208411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118.99498681747671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117.83968669250818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180.00000000000003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249.99999999014099</v>
      </c>
      <c r="E2">
        <v>100.000000019719</v>
      </c>
      <c r="F2" s="80">
        <v>0</v>
      </c>
      <c r="L2" t="s">
        <v>323</v>
      </c>
      <c r="M2">
        <v>0</v>
      </c>
      <c r="N2">
        <v>0</v>
      </c>
      <c r="O2">
        <v>166.66666666699999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100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50.000000003943853</v>
      </c>
      <c r="L4" t="s">
        <v>315</v>
      </c>
      <c r="M4">
        <v>0</v>
      </c>
      <c r="N4">
        <v>1E+100</v>
      </c>
      <c r="O4">
        <v>500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72.000000000000796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350.00000000986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-499.99999998028198</v>
      </c>
      <c r="H8" t="s">
        <v>8</v>
      </c>
      <c r="I8">
        <v>0</v>
      </c>
      <c r="L8" t="s">
        <v>328</v>
      </c>
      <c r="M8">
        <v>0</v>
      </c>
      <c r="N8" s="80">
        <v>-0.10000000000000053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0.25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-0.40000000000000036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25">
      <c r="G16" t="s">
        <v>349</v>
      </c>
    </row>
    <row r="17" spans="7:7" x14ac:dyDescent="0.25">
      <c r="G17">
        <f>SUMPRODUCT(DiffSheetObj!$D$2:$F$2,DiffSheetObj!D4:F4)</f>
        <v>49.999999851006677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ffSheetObj"/>
  <dimension ref="A1:O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250.00000100989999</v>
      </c>
      <c r="E2">
        <v>99.999999000066694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12.380952380952381</v>
      </c>
      <c r="E4" s="1">
        <v>0</v>
      </c>
      <c r="F4" s="1">
        <v>10.869565217391305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68.240165631469978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4.2443064182194803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topLeftCell="A7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337</v>
      </c>
      <c r="I4" t="s">
        <v>339</v>
      </c>
      <c r="L4" t="s">
        <v>340</v>
      </c>
      <c r="O4" t="s">
        <v>343</v>
      </c>
      <c r="R4" t="s">
        <v>344</v>
      </c>
      <c r="U4" t="s">
        <v>342</v>
      </c>
      <c r="X4" t="s">
        <v>346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338</v>
      </c>
      <c r="G5">
        <v>9999999</v>
      </c>
      <c r="I5" t="s">
        <v>12</v>
      </c>
      <c r="J5">
        <v>0.21</v>
      </c>
      <c r="L5" t="s">
        <v>341</v>
      </c>
      <c r="M5">
        <v>1</v>
      </c>
      <c r="O5" t="s">
        <v>348</v>
      </c>
      <c r="P5">
        <v>1.0000000000000001E-5</v>
      </c>
      <c r="R5" t="s">
        <v>345</v>
      </c>
      <c r="S5">
        <v>1</v>
      </c>
      <c r="U5" t="s">
        <v>341</v>
      </c>
      <c r="V5">
        <v>1</v>
      </c>
      <c r="X5" t="s">
        <v>348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-381036674817.96606</v>
      </c>
      <c r="E13" s="30">
        <v>-1147995110020.5378</v>
      </c>
      <c r="F13" s="30">
        <v>-1445985330075.6138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-9990000000000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-33790136919312.941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-66515325183368.234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0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  <c r="K1" t="s">
        <v>319</v>
      </c>
      <c r="L1" t="s">
        <v>320</v>
      </c>
      <c r="M1" t="s">
        <v>321</v>
      </c>
      <c r="N1" t="s">
        <v>322</v>
      </c>
    </row>
    <row r="2" spans="1:16" ht="15.75" thickBot="1" x14ac:dyDescent="0.3">
      <c r="A2" s="63" t="s">
        <v>204</v>
      </c>
      <c r="K2" t="s">
        <v>315</v>
      </c>
      <c r="L2">
        <v>0</v>
      </c>
      <c r="M2">
        <v>1E+100</v>
      </c>
      <c r="N2">
        <v>5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K3" t="s">
        <v>358</v>
      </c>
      <c r="L3">
        <v>-1</v>
      </c>
      <c r="M3">
        <v>3</v>
      </c>
      <c r="N3">
        <v>2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K4" t="s">
        <v>359</v>
      </c>
      <c r="L4">
        <v>0</v>
      </c>
      <c r="M4">
        <v>1E+100</v>
      </c>
      <c r="N4">
        <v>2</v>
      </c>
      <c r="O4" s="80"/>
    </row>
    <row r="5" spans="1:16" x14ac:dyDescent="0.25">
      <c r="A5" s="62" t="s">
        <v>209</v>
      </c>
      <c r="K5" t="s">
        <v>360</v>
      </c>
      <c r="L5">
        <v>2</v>
      </c>
      <c r="M5">
        <v>2</v>
      </c>
      <c r="N5">
        <v>3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  <c r="K6" t="s">
        <v>400</v>
      </c>
      <c r="L6">
        <v>0</v>
      </c>
      <c r="M6">
        <v>0</v>
      </c>
      <c r="N6">
        <v>0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K8" t="s">
        <v>326</v>
      </c>
      <c r="L8" t="s">
        <v>327</v>
      </c>
      <c r="M8" t="s">
        <v>321</v>
      </c>
      <c r="N8" t="s">
        <v>322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K9" t="s">
        <v>355</v>
      </c>
      <c r="L9">
        <v>-1</v>
      </c>
      <c r="M9">
        <v>1</v>
      </c>
      <c r="N9">
        <v>1E+100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K10" t="s">
        <v>356</v>
      </c>
      <c r="L10">
        <v>0</v>
      </c>
      <c r="M10">
        <v>1</v>
      </c>
      <c r="N10">
        <v>1E+100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  <c r="K11" t="s">
        <v>357</v>
      </c>
      <c r="L11">
        <v>0</v>
      </c>
      <c r="M11">
        <v>1E+100</v>
      </c>
      <c r="N11">
        <v>1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W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23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23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  <c r="T2" t="s">
        <v>319</v>
      </c>
      <c r="U2" t="s">
        <v>320</v>
      </c>
      <c r="V2" t="s">
        <v>321</v>
      </c>
      <c r="W2" t="s">
        <v>322</v>
      </c>
    </row>
    <row r="3" spans="1:23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  <c r="T3" t="s">
        <v>385</v>
      </c>
      <c r="U3">
        <v>0</v>
      </c>
      <c r="V3">
        <v>100</v>
      </c>
      <c r="W3">
        <v>1E+100</v>
      </c>
    </row>
    <row r="4" spans="1:23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  <c r="T4" t="s">
        <v>386</v>
      </c>
      <c r="U4">
        <v>0</v>
      </c>
      <c r="V4">
        <v>100</v>
      </c>
      <c r="W4">
        <v>1E+100</v>
      </c>
    </row>
    <row r="5" spans="1:23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  <c r="T5" t="s">
        <v>387</v>
      </c>
      <c r="U5">
        <v>15</v>
      </c>
      <c r="V5">
        <v>100</v>
      </c>
      <c r="W5">
        <v>0</v>
      </c>
    </row>
    <row r="6" spans="1:23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  <c r="T6" t="s">
        <v>388</v>
      </c>
      <c r="U6">
        <v>10</v>
      </c>
      <c r="V6">
        <v>100</v>
      </c>
      <c r="W6">
        <v>0</v>
      </c>
    </row>
    <row r="7" spans="1:23" x14ac:dyDescent="0.25">
      <c r="A7" s="62" t="s">
        <v>210</v>
      </c>
      <c r="T7" t="s">
        <v>389</v>
      </c>
      <c r="U7">
        <v>25</v>
      </c>
      <c r="V7">
        <v>100</v>
      </c>
      <c r="W7">
        <v>200</v>
      </c>
    </row>
    <row r="8" spans="1:23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  <c r="T8" t="s">
        <v>390</v>
      </c>
      <c r="U8">
        <v>35</v>
      </c>
      <c r="V8">
        <v>0</v>
      </c>
      <c r="W8">
        <v>100</v>
      </c>
    </row>
    <row r="9" spans="1:23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  <c r="T9" t="s">
        <v>391</v>
      </c>
      <c r="U9">
        <v>0</v>
      </c>
      <c r="V9">
        <v>0</v>
      </c>
      <c r="W9">
        <v>1E+100</v>
      </c>
    </row>
    <row r="10" spans="1:23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  <c r="T10" t="s">
        <v>392</v>
      </c>
      <c r="U10">
        <v>0</v>
      </c>
      <c r="V10">
        <v>200</v>
      </c>
      <c r="W10">
        <v>1E+100</v>
      </c>
    </row>
    <row r="11" spans="1:23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  <c r="T11" t="s">
        <v>393</v>
      </c>
      <c r="U11">
        <v>0</v>
      </c>
      <c r="V11">
        <v>100</v>
      </c>
      <c r="W11">
        <v>1E+100</v>
      </c>
    </row>
    <row r="12" spans="1:23" x14ac:dyDescent="0.25">
      <c r="T12" t="s">
        <v>394</v>
      </c>
      <c r="U12">
        <v>5</v>
      </c>
      <c r="V12">
        <v>0</v>
      </c>
      <c r="W12">
        <v>200</v>
      </c>
    </row>
    <row r="13" spans="1:23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  <c r="T13" t="s">
        <v>395</v>
      </c>
      <c r="U13">
        <v>55</v>
      </c>
      <c r="V13">
        <v>100</v>
      </c>
      <c r="W13">
        <v>100</v>
      </c>
    </row>
    <row r="14" spans="1:23" x14ac:dyDescent="0.25">
      <c r="C14" t="s">
        <v>249</v>
      </c>
      <c r="D14" s="160">
        <v>100.00000002</v>
      </c>
      <c r="E14" s="160">
        <v>99.999993509999996</v>
      </c>
      <c r="F14" s="160">
        <v>-9.9993333332337904E-9</v>
      </c>
      <c r="G14" s="160">
        <v>-9.9989999997151892E-9</v>
      </c>
      <c r="H14" s="160">
        <v>-9.9996000000000001E-9</v>
      </c>
      <c r="I14">
        <f>SUM(D14:H14)</f>
        <v>199.99999350000203</v>
      </c>
      <c r="J14">
        <v>200</v>
      </c>
      <c r="T14" t="s">
        <v>396</v>
      </c>
      <c r="U14">
        <v>0</v>
      </c>
      <c r="V14">
        <v>200</v>
      </c>
      <c r="W14">
        <v>1E+100</v>
      </c>
    </row>
    <row r="15" spans="1:23" x14ac:dyDescent="0.25">
      <c r="C15" t="s">
        <v>250</v>
      </c>
      <c r="D15" s="160">
        <v>-9.9997142857102896E-9</v>
      </c>
      <c r="E15" s="160">
        <v>2.9800023813000101E-6</v>
      </c>
      <c r="F15" s="160">
        <v>200.000000019997</v>
      </c>
      <c r="G15" s="160">
        <v>100.000000019997</v>
      </c>
      <c r="H15" s="160">
        <v>-9.9979999966646899E-9</v>
      </c>
      <c r="I15">
        <f>SUM(D15:H15)</f>
        <v>300.00000299999869</v>
      </c>
      <c r="J15">
        <v>300</v>
      </c>
      <c r="T15" t="s">
        <v>397</v>
      </c>
      <c r="U15">
        <v>5</v>
      </c>
      <c r="V15">
        <v>200</v>
      </c>
      <c r="W15">
        <v>0</v>
      </c>
    </row>
    <row r="16" spans="1:23" x14ac:dyDescent="0.25">
      <c r="C16" t="s">
        <v>251</v>
      </c>
      <c r="D16" s="160">
        <v>-9.9998181818181799E-9</v>
      </c>
      <c r="E16" s="160">
        <v>200.00000350999801</v>
      </c>
      <c r="F16" s="160">
        <v>-9.9979999986622202E-9</v>
      </c>
      <c r="G16" s="160">
        <v>-9.9979999986618397E-9</v>
      </c>
      <c r="H16" s="160">
        <v>150.000000019998</v>
      </c>
      <c r="I16">
        <f>SUM(D16:H16)</f>
        <v>350.00000350000022</v>
      </c>
      <c r="J16">
        <v>350</v>
      </c>
      <c r="T16" t="s">
        <v>398</v>
      </c>
      <c r="U16">
        <v>5</v>
      </c>
      <c r="V16">
        <v>100</v>
      </c>
      <c r="W16">
        <v>0</v>
      </c>
    </row>
    <row r="17" spans="3:23" x14ac:dyDescent="0.25">
      <c r="C17" t="s">
        <v>71</v>
      </c>
      <c r="D17">
        <f>SUM(D14:D16)</f>
        <v>100.00000000000047</v>
      </c>
      <c r="E17">
        <f>SUM(E14:E16)</f>
        <v>300.0000000000004</v>
      </c>
      <c r="F17">
        <f>SUM(F14:F16)</f>
        <v>199.99999999999969</v>
      </c>
      <c r="G17">
        <f>SUM(G14:G16)</f>
        <v>100</v>
      </c>
      <c r="H17">
        <f>SUM(H14:H16)</f>
        <v>150.0000000000004</v>
      </c>
      <c r="T17" t="s">
        <v>399</v>
      </c>
      <c r="U17">
        <v>0</v>
      </c>
      <c r="V17">
        <v>150</v>
      </c>
      <c r="W17">
        <v>1E+100</v>
      </c>
    </row>
    <row r="18" spans="3:23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  <c r="T18" t="s">
        <v>377</v>
      </c>
      <c r="U18">
        <v>0</v>
      </c>
      <c r="V18">
        <v>1E+100</v>
      </c>
      <c r="W18">
        <v>0</v>
      </c>
    </row>
    <row r="19" spans="3:23" x14ac:dyDescent="0.25">
      <c r="J19" t="s">
        <v>335</v>
      </c>
      <c r="T19" t="s">
        <v>378</v>
      </c>
      <c r="U19">
        <v>-10</v>
      </c>
      <c r="V19">
        <v>100</v>
      </c>
      <c r="W19">
        <v>0</v>
      </c>
    </row>
    <row r="20" spans="3:23" x14ac:dyDescent="0.25">
      <c r="C20" t="s">
        <v>0</v>
      </c>
      <c r="D20">
        <f>SUMPRODUCT(D9:H11,D14:H16)</f>
        <v>13249.999898450109</v>
      </c>
      <c r="J20" t="s">
        <v>336</v>
      </c>
      <c r="T20" t="s">
        <v>379</v>
      </c>
      <c r="U20">
        <v>-20</v>
      </c>
      <c r="V20">
        <v>100</v>
      </c>
      <c r="W20">
        <v>0</v>
      </c>
    </row>
    <row r="21" spans="3:23" x14ac:dyDescent="0.25">
      <c r="J21">
        <v>99999.999999990003</v>
      </c>
      <c r="T21" t="s">
        <v>380</v>
      </c>
      <c r="U21">
        <v>10</v>
      </c>
      <c r="V21">
        <v>0</v>
      </c>
      <c r="W21">
        <v>100</v>
      </c>
    </row>
    <row r="22" spans="3:23" x14ac:dyDescent="0.25">
      <c r="D22" t="s">
        <v>257</v>
      </c>
      <c r="T22" t="s">
        <v>381</v>
      </c>
      <c r="U22">
        <v>30</v>
      </c>
      <c r="V22">
        <v>0</v>
      </c>
      <c r="W22">
        <v>100</v>
      </c>
    </row>
    <row r="23" spans="3:23" x14ac:dyDescent="0.25">
      <c r="D23">
        <v>13250</v>
      </c>
      <c r="J23" t="s">
        <v>402</v>
      </c>
      <c r="T23" t="s">
        <v>382</v>
      </c>
      <c r="U23">
        <v>25</v>
      </c>
      <c r="V23">
        <v>0</v>
      </c>
      <c r="W23">
        <v>100</v>
      </c>
    </row>
    <row r="24" spans="3:23" x14ac:dyDescent="0.25">
      <c r="D24" s="8" t="b">
        <f>ABS(D20-D23)/(1+ABS(D23))&lt;=0.000001</f>
        <v>1</v>
      </c>
      <c r="I24" t="s">
        <v>401</v>
      </c>
      <c r="J24">
        <v>0</v>
      </c>
      <c r="T24" t="s">
        <v>383</v>
      </c>
      <c r="U24">
        <v>30</v>
      </c>
      <c r="V24">
        <v>0</v>
      </c>
      <c r="W24">
        <v>100</v>
      </c>
    </row>
    <row r="25" spans="3:23" x14ac:dyDescent="0.25">
      <c r="J25" t="s">
        <v>403</v>
      </c>
      <c r="T25" t="s">
        <v>384</v>
      </c>
      <c r="U25">
        <v>35</v>
      </c>
      <c r="V25">
        <v>0</v>
      </c>
      <c r="W25">
        <v>100</v>
      </c>
    </row>
    <row r="26" spans="3:23" x14ac:dyDescent="0.25">
      <c r="J26" t="s">
        <v>404</v>
      </c>
      <c r="T26" t="s">
        <v>405</v>
      </c>
      <c r="U26">
        <v>0</v>
      </c>
      <c r="V26">
        <v>0</v>
      </c>
      <c r="W26">
        <v>0</v>
      </c>
    </row>
    <row r="28" spans="3:23" x14ac:dyDescent="0.25">
      <c r="T28" t="s">
        <v>326</v>
      </c>
      <c r="U28" t="s">
        <v>327</v>
      </c>
      <c r="V28" t="s">
        <v>321</v>
      </c>
      <c r="W28" t="s">
        <v>322</v>
      </c>
    </row>
    <row r="29" spans="3:23" x14ac:dyDescent="0.25">
      <c r="T29" t="s">
        <v>361</v>
      </c>
      <c r="U29">
        <v>0</v>
      </c>
      <c r="V29">
        <v>0</v>
      </c>
      <c r="W29">
        <v>0</v>
      </c>
    </row>
    <row r="30" spans="3:23" x14ac:dyDescent="0.25">
      <c r="T30" t="s">
        <v>362</v>
      </c>
      <c r="U30">
        <v>0</v>
      </c>
      <c r="V30">
        <v>35.000000100000001</v>
      </c>
      <c r="W30">
        <v>1E+100</v>
      </c>
    </row>
    <row r="31" spans="3:23" x14ac:dyDescent="0.25">
      <c r="T31" t="s">
        <v>363</v>
      </c>
      <c r="U31">
        <v>0</v>
      </c>
      <c r="V31">
        <v>10.000000099999999</v>
      </c>
      <c r="W31">
        <v>10.000000099999999</v>
      </c>
    </row>
    <row r="32" spans="3:23" x14ac:dyDescent="0.25">
      <c r="T32" t="s">
        <v>364</v>
      </c>
      <c r="U32">
        <v>0</v>
      </c>
      <c r="V32">
        <v>1E+100</v>
      </c>
      <c r="W32">
        <v>15.000000099999999</v>
      </c>
    </row>
    <row r="33" spans="20:23" x14ac:dyDescent="0.25">
      <c r="T33" t="s">
        <v>365</v>
      </c>
      <c r="U33">
        <v>0</v>
      </c>
      <c r="V33">
        <v>1E+100</v>
      </c>
      <c r="W33">
        <v>10.000000099999999</v>
      </c>
    </row>
    <row r="34" spans="20:23" x14ac:dyDescent="0.25">
      <c r="T34" t="s">
        <v>366</v>
      </c>
      <c r="U34">
        <v>0</v>
      </c>
      <c r="V34">
        <v>1E+100</v>
      </c>
      <c r="W34">
        <v>25.000000100000001</v>
      </c>
    </row>
    <row r="35" spans="20:23" x14ac:dyDescent="0.25">
      <c r="T35" t="s">
        <v>367</v>
      </c>
      <c r="U35">
        <v>0</v>
      </c>
      <c r="V35">
        <v>1E+100</v>
      </c>
      <c r="W35">
        <v>35.000000100000001</v>
      </c>
    </row>
    <row r="36" spans="20:23" x14ac:dyDescent="0.25">
      <c r="T36" t="s">
        <v>368</v>
      </c>
      <c r="U36">
        <v>0</v>
      </c>
      <c r="V36">
        <v>5.0000001000000003</v>
      </c>
      <c r="W36">
        <v>5.0000001000000003</v>
      </c>
    </row>
    <row r="37" spans="20:23" x14ac:dyDescent="0.25">
      <c r="T37" t="s">
        <v>369</v>
      </c>
      <c r="U37">
        <v>0</v>
      </c>
      <c r="V37">
        <v>5.0000001000000003</v>
      </c>
      <c r="W37">
        <v>1E+100</v>
      </c>
    </row>
    <row r="38" spans="20:23" x14ac:dyDescent="0.25">
      <c r="T38" t="s">
        <v>370</v>
      </c>
      <c r="U38">
        <v>0</v>
      </c>
      <c r="V38">
        <v>5.0000001000000003</v>
      </c>
      <c r="W38">
        <v>1E+100</v>
      </c>
    </row>
    <row r="39" spans="20:23" x14ac:dyDescent="0.25">
      <c r="T39" t="s">
        <v>371</v>
      </c>
      <c r="U39">
        <v>0</v>
      </c>
      <c r="V39">
        <v>1E+100</v>
      </c>
      <c r="W39">
        <v>5.0000001000000003</v>
      </c>
    </row>
    <row r="40" spans="20:23" x14ac:dyDescent="0.25">
      <c r="T40" t="s">
        <v>372</v>
      </c>
      <c r="U40">
        <v>0</v>
      </c>
      <c r="V40">
        <v>1E+100</v>
      </c>
      <c r="W40">
        <v>55.000000100000001</v>
      </c>
    </row>
    <row r="41" spans="20:23" x14ac:dyDescent="0.25">
      <c r="T41" t="s">
        <v>373</v>
      </c>
      <c r="U41">
        <v>0</v>
      </c>
      <c r="V41">
        <v>5.0000001000000003</v>
      </c>
      <c r="W41">
        <v>5.0000001000000003</v>
      </c>
    </row>
    <row r="42" spans="20:23" x14ac:dyDescent="0.25">
      <c r="T42" t="s">
        <v>374</v>
      </c>
      <c r="U42">
        <v>0</v>
      </c>
      <c r="V42">
        <v>1E+100</v>
      </c>
      <c r="W42">
        <v>5.0000001000000003</v>
      </c>
    </row>
    <row r="43" spans="20:23" x14ac:dyDescent="0.25">
      <c r="T43" t="s">
        <v>375</v>
      </c>
      <c r="U43">
        <v>0</v>
      </c>
      <c r="V43">
        <v>1E+100</v>
      </c>
      <c r="W43">
        <v>5.0000001000000003</v>
      </c>
    </row>
    <row r="44" spans="20:23" x14ac:dyDescent="0.25">
      <c r="T44" t="s">
        <v>376</v>
      </c>
      <c r="U44">
        <v>0</v>
      </c>
      <c r="V44">
        <v>5.0000001000000003</v>
      </c>
      <c r="W44">
        <v>1E+100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5.2941176432347898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H69" sqref="H69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2.6182822531846499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27.421607829366749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26.182822531846497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198.94736842105308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198.94736842105308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198.94736842105308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198.94736842105308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198.94736842105308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198.94736842105308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198.94736842105308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198.94736842105308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198.94736842105308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198.94736842105308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198.94736842105308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198.94736842105308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198.94736842105308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198.94736842105308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198.94736842105308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198.94736842105308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198.94736842105308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198.94736842105308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198.94736842105308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198.94736842105308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198.94736842105308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198.94736842105308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198.94736842105308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198.94736842105308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198.94736842105308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198.94736842105308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198.94736842105308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198.94736842105308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198.94736842105308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198.94736842105308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198.94736842105308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198.94736842105308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198.94736842105308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198.94736842105308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198.94736842105308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198.94736842105308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198.94736842105308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198.94736842105308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198.94736842105308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198.94736842105308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198.94736842105308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198.94736842105308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198.94736842105308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198.94736842105308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198.94736842105308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198.94736842105308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198.94736842105308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198.94736842105308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198.94736842105308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198.94736842105308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198.94736842105308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198.94736842105308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198.94736842105308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198.94736842105308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198.94736842105308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198.94736842105308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198.94736842105308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198.94736842105308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198.94736842105308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198.94736842105308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198.94736842105308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198.94736842105308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198.94736842105308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198.94736842105308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180.0000000000004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-1264.6303282881859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198.94736842105308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198.94736842105308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198.94736842105308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198.94736842105308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198.94736842105308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198.94736842105308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198.94736842105308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198.94736842105308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198.94736842105308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198.94736842105308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198.94736842105308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198.94736842105308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198.94736842105308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198.94736842105308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198.94736842105308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198.94736842105308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198.94736842105308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198.94736842105308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198.94736842105308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198.94736842105308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198.94736842105308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198.94736842105308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198.94736842105308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198.94736842105308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198.94736842105308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198.94736842105308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198.94736842105308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198.94736842105308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198.94736842105308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198.94736842105308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198.94736842105308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198.94736842105308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198.94736842105308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198.94736842105308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198.94736842105308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198.94736842105308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198.94736842105308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198.94736842105308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198.94736842105308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198.94736842105308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198.94736842105308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198.94736842105308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198.94736842105308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198.94736842105308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198.94736842105308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198.94736842105308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198.94736842105308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198.94736842105308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198.94736842105308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198.94736842105308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198.94736842105308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198.94736842105308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198.94736842105308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198.94736842105308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198.94736842105308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198.94736842105308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198.94736842105308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198.94736842105308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198.94736842105308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198.94736842105308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198.94736842105308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198.94736842105308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198.94736842105308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198.94736842105308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180.0000000000004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5.2941176432347898</v>
      </c>
      <c r="F3" s="134">
        <v>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30.282368610824832</v>
      </c>
      <c r="E5">
        <v>0.66045058800789491</v>
      </c>
    </row>
    <row r="6" spans="1:15" ht="15.75" thickBot="1" x14ac:dyDescent="0.3">
      <c r="A6" s="63" t="b">
        <f>AND(F22)</f>
        <v>1</v>
      </c>
      <c r="F6">
        <f>D5^2*E5^2</f>
        <v>400.00032621170971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20.000008155291081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30.942819198832726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30.282368610824832</v>
      </c>
      <c r="G10" t="s">
        <v>9</v>
      </c>
      <c r="H10">
        <v>0</v>
      </c>
    </row>
    <row r="11" spans="1:15" x14ac:dyDescent="0.25">
      <c r="F11">
        <f>E5</f>
        <v>0.66045058800789491</v>
      </c>
      <c r="H11">
        <v>0</v>
      </c>
    </row>
    <row r="12" spans="1:15" x14ac:dyDescent="0.25">
      <c r="F12">
        <f>E5*D5+E5+D5</f>
        <v>50.942827354123807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50.942827354123807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50.942827354123807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-10.942811043541646</v>
      </c>
      <c r="G15" t="s">
        <v>8</v>
      </c>
      <c r="H15">
        <v>0</v>
      </c>
      <c r="O15" s="81"/>
    </row>
    <row r="16" spans="1:15" x14ac:dyDescent="0.25">
      <c r="F16">
        <f>E5-D5*E5+D5</f>
        <v>10.942811043541646</v>
      </c>
      <c r="G16" t="s">
        <v>8</v>
      </c>
      <c r="H16">
        <v>60</v>
      </c>
      <c r="O16" s="81"/>
    </row>
    <row r="17" spans="6:15" x14ac:dyDescent="0.25">
      <c r="F17">
        <f>E5-D5+E5*D5</f>
        <v>-9.6219098675258579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22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2.55305837884656</v>
      </c>
      <c r="E5">
        <v>2.55305837884656</v>
      </c>
      <c r="F5">
        <v>2.55305837884656</v>
      </c>
      <c r="G5">
        <v>2.55305837884656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-14.352038687577981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-26.496895373966979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-16.284661858580741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36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</v>
      </c>
      <c r="D4" s="80">
        <v>1.00000000004005</v>
      </c>
      <c r="F4">
        <f>100*(D4-C4^2)^2+(1-C4)^2</f>
        <v>4.0024966671309212E-22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0.94240514092842453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0.41277404755459951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5.1848876768566914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1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135.09259044966896</v>
      </c>
      <c r="E11" s="108"/>
    </row>
    <row r="12" spans="1:5" x14ac:dyDescent="0.25">
      <c r="C12" s="106" t="s">
        <v>266</v>
      </c>
      <c r="D12" s="107">
        <f>D11/D4</f>
        <v>27.018518089933792</v>
      </c>
      <c r="E12" s="108"/>
    </row>
    <row r="13" spans="1:5" x14ac:dyDescent="0.25">
      <c r="C13" s="106" t="s">
        <v>267</v>
      </c>
      <c r="D13" s="109">
        <f>D8*D11/2</f>
        <v>0.37011668616347659</v>
      </c>
      <c r="E13" s="108"/>
    </row>
    <row r="14" spans="1:5" x14ac:dyDescent="0.25">
      <c r="C14" s="106" t="s">
        <v>268</v>
      </c>
      <c r="D14" s="110">
        <f>D5/D12</f>
        <v>0.37011652403414641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0.740233210197623</v>
      </c>
      <c r="E16" s="108"/>
    </row>
    <row r="17" spans="3:4" x14ac:dyDescent="0.25">
      <c r="D17" s="83" t="b">
        <f>D16&lt;0.75</f>
        <v>1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0.28867513463156941</v>
      </c>
      <c r="G2" s="114">
        <v>0.50000000004165057</v>
      </c>
      <c r="H2" s="114">
        <v>1.7113248653678492</v>
      </c>
      <c r="I2" s="114">
        <v>0.50000000001256872</v>
      </c>
      <c r="J2" s="112">
        <f>SQRT(($F$2-D2)^2+($G$2-E2)^2)</f>
        <v>0.57735026924407451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0.57735026917193355</v>
      </c>
      <c r="K3" s="96"/>
      <c r="N3" s="86" t="s">
        <v>281</v>
      </c>
      <c r="O3" s="86">
        <f>$F$2</f>
        <v>0.28867513463156941</v>
      </c>
      <c r="P3" s="86">
        <f>$G$2</f>
        <v>0.50000000004165057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0.57735026919740984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0.57735026921917953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1.4226497307362798</v>
      </c>
      <c r="K6" s="96"/>
      <c r="N6" s="86" t="s">
        <v>281</v>
      </c>
      <c r="O6" s="86">
        <f>$F$2</f>
        <v>0.28867513463156941</v>
      </c>
      <c r="P6" s="86">
        <f>$G$2</f>
        <v>0.50000000004165057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3.7320508075688772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1.7113248653678492</v>
      </c>
      <c r="P9" s="86">
        <f>$I$2</f>
        <v>0.50000000001256872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1.7113248653678492</v>
      </c>
      <c r="P12" s="86">
        <f>$I$2</f>
        <v>0.50000000001256872</v>
      </c>
    </row>
    <row r="14" spans="1:16" x14ac:dyDescent="0.25">
      <c r="N14" s="86" t="s">
        <v>281</v>
      </c>
      <c r="O14" s="86">
        <f>$F$2</f>
        <v>0.28867513463156941</v>
      </c>
      <c r="P14" s="86">
        <f>$G$2</f>
        <v>0.50000000004165057</v>
      </c>
    </row>
    <row r="15" spans="1:16" x14ac:dyDescent="0.25">
      <c r="N15" s="86" t="s">
        <v>283</v>
      </c>
      <c r="O15" s="86">
        <f>$H$2</f>
        <v>1.7113248653678492</v>
      </c>
      <c r="P15" s="86">
        <f>$I$2</f>
        <v>0.50000000001256872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1</v>
      </c>
      <c r="G24" s="8" t="b">
        <f>ABS(G2-G23)/(1+ABS(G23))&lt;=0.001</f>
        <v>1</v>
      </c>
      <c r="H24" s="8" t="b">
        <f>ABS(H2-H23)/(1+ABS(H23))&lt;=0.001</f>
        <v>1</v>
      </c>
      <c r="I24" s="8" t="b">
        <f>ABS(I2-I23)/(1+ABS(I23))&lt;=0.001</f>
        <v>1</v>
      </c>
      <c r="J24" s="8" t="b">
        <f>ABS(J7-J23)/(1+ABS(J23))&lt;=0.000001</f>
        <v>1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81" t="s">
        <v>285</v>
      </c>
      <c r="D1" s="181"/>
      <c r="E1" s="181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2.3571428554683918</v>
      </c>
      <c r="I4" s="125">
        <f>SIN(RADIANS(D7))*D2</f>
        <v>1.8557687245220822</v>
      </c>
    </row>
    <row r="5" spans="1:9" x14ac:dyDescent="0.25">
      <c r="A5" s="62" t="s">
        <v>209</v>
      </c>
      <c r="H5" s="125">
        <f>H4+COS(RADIANS(D8))*D3</f>
        <v>6.9999999981945038</v>
      </c>
      <c r="I5" s="125">
        <f>I4+SIN(RADIANS(D8))*D3</f>
        <v>1.7990355871688735E-9</v>
      </c>
    </row>
    <row r="6" spans="1:9" ht="15.75" thickBot="1" x14ac:dyDescent="0.3">
      <c r="A6" s="63" t="b">
        <f>AND(F16)</f>
        <v>1</v>
      </c>
      <c r="C6" s="181" t="s">
        <v>224</v>
      </c>
      <c r="D6" s="181"/>
      <c r="E6" s="181"/>
    </row>
    <row r="7" spans="1:9" x14ac:dyDescent="0.25">
      <c r="A7" s="62" t="s">
        <v>210</v>
      </c>
      <c r="C7" s="127" t="s">
        <v>290</v>
      </c>
      <c r="D7" s="168">
        <v>38.213210753436336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-21.786789302307326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81" t="s">
        <v>293</v>
      </c>
      <c r="D10" s="181"/>
      <c r="E10" s="181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6.9999999981945038</v>
      </c>
      <c r="D12" s="130">
        <f>D4</f>
        <v>7</v>
      </c>
      <c r="E12" s="130">
        <f>D12-C12</f>
        <v>1.8054961969937722E-9</v>
      </c>
      <c r="F12" s="130">
        <f>E12^2</f>
        <v>3.2598165173589742E-18</v>
      </c>
    </row>
    <row r="13" spans="1:9" x14ac:dyDescent="0.25">
      <c r="C13" s="130">
        <f>D2*SIN(RADIANS(D7))+D3*SIN(RADIANS(D8))</f>
        <v>1.7990355871688735E-9</v>
      </c>
      <c r="D13" s="130">
        <v>0</v>
      </c>
      <c r="E13" s="130">
        <f>C13-D13</f>
        <v>1.7990355871688735E-9</v>
      </c>
      <c r="F13" s="130">
        <f>E13^2</f>
        <v>3.2365290439000533E-18</v>
      </c>
    </row>
    <row r="15" spans="1:9" x14ac:dyDescent="0.25">
      <c r="C15" s="181" t="s">
        <v>298</v>
      </c>
      <c r="D15" s="181"/>
      <c r="E15" s="181"/>
      <c r="F15" s="131">
        <f>SUM(F12:F13)</f>
        <v>6.4963455612590275E-18</v>
      </c>
    </row>
    <row r="16" spans="1:9" x14ac:dyDescent="0.25">
      <c r="C16" s="132"/>
      <c r="F16" s="125" t="b">
        <f>ABS(F15)&lt;=0.000001</f>
        <v>1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D39" sqref="D39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2" t="s">
        <v>157</v>
      </c>
      <c r="C33" s="183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167</vt:i4>
      </vt:variant>
    </vt:vector>
  </HeadingPairs>
  <TitlesOfParts>
    <vt:vector size="238" baseType="lpstr">
      <vt:lpstr>Data</vt:lpstr>
      <vt:lpstr>Results</vt:lpstr>
      <vt:lpstr>SimpleLP</vt:lpstr>
      <vt:lpstr>SimpleIP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DiffSheetObj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SimpleIP!OpenSolver_ModelParameters</vt:lpstr>
      <vt:lpstr>SingleRangeLB!OpenSolver_ModelParameters</vt:lpstr>
      <vt:lpstr>TextObj!OpenSolver_ModelParameters</vt:lpstr>
      <vt:lpstr>TextRHS!OpenSolver_ModelParameters</vt:lpstr>
      <vt:lpstr>Unbounded!OpenSolver_ModelParameters</vt:lpstr>
      <vt:lpstr>VarConstraintLB!OpenSolver_ModelParameters</vt:lpstr>
      <vt:lpstr>VariableFormulaRangeLB!OpenSolver_ModelParameters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SimpleIP!Scale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SimpleIP!Sheet1OpenSolverModelParameters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2016-04-13T01:53:31Z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