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harts/chart1.xml" ContentType="application/vnd.openxmlformats-officedocument.drawingml.chart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2.xml" ContentType="application/vnd.openxmlformats-officedocument.drawingml.chart+xml"/>
  <Override PartName="/xl/drawings/drawing43.xml" ContentType="application/vnd.openxmlformats-officedocument.drawing+xml"/>
  <Override PartName="/xl/charts/chart3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Unbounded" sheetId="111" r:id="rId27"/>
    <sheet name="ProtectedSheet" sheetId="18" r:id="rId28"/>
    <sheet name="IndirectLBs" sheetId="23" r:id="rId29"/>
    <sheet name="DirectLBs" sheetId="42" r:id="rId30"/>
    <sheet name="SingleRangeLB" sheetId="43" r:id="rId31"/>
    <sheet name="BinLB" sheetId="44" r:id="rId32"/>
    <sheet name="BinIntLB" sheetId="45" r:id="rId33"/>
    <sheet name="Relaxation" sheetId="98" r:id="rId34"/>
    <sheet name="LargeRangeLB" sheetId="46" r:id="rId35"/>
    <sheet name="OverlapRangeLB" sheetId="47" r:id="rId36"/>
    <sheet name="OverlapRangeLBwithFormula" sheetId="48" r:id="rId37"/>
    <sheet name="ConstFormulaRangeLB" sheetId="49" r:id="rId38"/>
    <sheet name="VariableFormulaRangeLB" sheetId="50" r:id="rId39"/>
    <sheet name="ConstraintLB" sheetId="51" r:id="rId40"/>
    <sheet name="ConstantLB" sheetId="52" r:id="rId41"/>
    <sheet name="FormulaLB" sheetId="53" r:id="rId42"/>
    <sheet name="VarConstraintLB" sheetId="54" r:id="rId43"/>
    <sheet name="FractionalCoeffs" sheetId="90" r:id="rId44"/>
    <sheet name="ComplexLayout" sheetId="7" r:id="rId45"/>
    <sheet name="InfModel" sheetId="11" r:id="rId46"/>
    <sheet name="IterativeCalc" sheetId="57" r:id="rId47"/>
    <sheet name="NoObj" sheetId="59" r:id="rId48"/>
    <sheet name="SeekObj" sheetId="92" r:id="rId49"/>
    <sheet name="NamedRanges" sheetId="66" r:id="rId50"/>
    <sheet name="QuickSolve" sheetId="4" r:id="rId51"/>
    <sheet name="SolverParameters" sheetId="2" r:id="rId52"/>
    <sheet name="Sensitivity" sheetId="65" r:id="rId53"/>
    <sheet name="SensitivityNames" sheetId="77" r:id="rId54"/>
    <sheet name="NonLinSimple" sheetId="20" r:id="rId55"/>
    <sheet name="NonLinLarge" sheetId="38" r:id="rId56"/>
    <sheet name="NonLinObj" sheetId="19" r:id="rId57"/>
    <sheet name="NonLinPruning" sheetId="69" r:id="rId58"/>
    <sheet name="NonLinMinMax" sheetId="70" r:id="rId59"/>
    <sheet name="NonLinConstraints" sheetId="71" r:id="rId60"/>
    <sheet name="NonLinBinary" sheetId="95" r:id="rId61"/>
    <sheet name="NonLin" sheetId="3" r:id="rId62"/>
    <sheet name="NonLin2" sheetId="68" r:id="rId63"/>
    <sheet name="NonLin3" sheetId="75" r:id="rId64"/>
    <sheet name="NonLin4" sheetId="85" r:id="rId65"/>
    <sheet name="NonLin5" sheetId="87" r:id="rId66"/>
    <sheet name="NonLin6" sheetId="88" r:id="rId67"/>
    <sheet name="Highlighting" sheetId="5" r:id="rId68"/>
    <sheet name="AutoModel" sheetId="40" r:id="rId69"/>
  </sheets>
  <functionGroups builtInGroupCount="18"/>
  <externalReferences>
    <externalReference r:id="rId70"/>
  </externalReferences>
  <definedNames>
    <definedName name="anscount" hidden="1">1</definedName>
    <definedName name="asdsad" localSheetId="33">#REF!</definedName>
    <definedName name="asdsad" localSheetId="26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3">#REF!</definedName>
    <definedName name="dffd" localSheetId="48">#REF!</definedName>
    <definedName name="dffd" localSheetId="26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60" hidden="1">CBC (default)</definedName>
    <definedName name="feasibilitySolve" localSheetId="33" hidden="1">CBC (default)</definedName>
    <definedName name="feasibilitySolve" localSheetId="48" hidden="1">CBC (default)</definedName>
    <definedName name="feasibilitySolve" localSheetId="2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7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60">#REF!</definedName>
    <definedName name="Hey" localSheetId="33">#REF!</definedName>
    <definedName name="Hey" localSheetId="48">#REF!</definedName>
    <definedName name="Hey" localSheetId="26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3">#REF!</definedName>
    <definedName name="junk" localSheetId="26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3">#REF!</definedName>
    <definedName name="MaximumCost" localSheetId="48">#REF!</definedName>
    <definedName name="MaximumCost" localSheetId="26">#REF!</definedName>
    <definedName name="MaximumCost">#REF!</definedName>
    <definedName name="me">2</definedName>
    <definedName name="MinValue" localSheetId="63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1" hidden="1">SolverParameters!$L$5:$M$5</definedName>
    <definedName name="OpenSolver_CBCParameters" localSheetId="51" hidden="1">SolverParameters!$C$5:$D$7</definedName>
    <definedName name="OpenSolver_ChosenSolver" localSheetId="20" hidden="1">CBC</definedName>
    <definedName name="OpenSolver_ChosenSolver" localSheetId="32" hidden="1">NOMAD</definedName>
    <definedName name="OpenSolver_ChosenSolver" localSheetId="17" hidden="1">NOMAD</definedName>
    <definedName name="OpenSolver_ChosenSolver" localSheetId="31" hidden="1">NOMAD</definedName>
    <definedName name="OpenSolver_ChosenSolver" localSheetId="5" hidden="1">NOMAD</definedName>
    <definedName name="OpenSolver_ChosenSolver" localSheetId="4" hidden="1">NOMAD</definedName>
    <definedName name="OpenSolver_ChosenSolver" localSheetId="44" hidden="1">NOMAD</definedName>
    <definedName name="OpenSolver_ChosenSolver" localSheetId="18" hidden="1">NOMAD</definedName>
    <definedName name="OpenSolver_ChosenSolver" localSheetId="19" hidden="1">NOMAD</definedName>
    <definedName name="OpenSolver_ChosenSolver" localSheetId="40" hidden="1">NOMAD</definedName>
    <definedName name="OpenSolver_ChosenSolver" localSheetId="37" hidden="1">NOMAD</definedName>
    <definedName name="OpenSolver_ChosenSolver" localSheetId="39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9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7" hidden="1">NOMAD</definedName>
    <definedName name="OpenSolver_ChosenSolver" localSheetId="21" hidden="1">NOMAD</definedName>
    <definedName name="OpenSolver_ChosenSolver" localSheetId="25" hidden="1">NOMAD</definedName>
    <definedName name="OpenSolver_ChosenSolver" localSheetId="41" hidden="1">NOMAD</definedName>
    <definedName name="OpenSolver_ChosenSolver" localSheetId="43" hidden="1">NOMAD</definedName>
    <definedName name="OpenSolver_ChosenSolver" localSheetId="28" hidden="1">NOMAD</definedName>
    <definedName name="OpenSolver_ChosenSolver" localSheetId="2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3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11" hidden="1">NOMAD</definedName>
    <definedName name="OpenSolver_ChosenSolver" localSheetId="49" hidden="1">NOMAD</definedName>
    <definedName name="OpenSolver_ChosenSolver" localSheetId="61" hidden="1">NOMAD</definedName>
    <definedName name="OpenSolver_ChosenSolver" localSheetId="62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0" hidden="1">NOMAD</definedName>
    <definedName name="OpenSolver_ChosenSolver" localSheetId="59" hidden="1">NOMAD</definedName>
    <definedName name="OpenSolver_ChosenSolver" localSheetId="55" hidden="1">NOMAD</definedName>
    <definedName name="OpenSolver_ChosenSolver" localSheetId="58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4" hidden="1">NOMAD</definedName>
    <definedName name="OpenSolver_ChosenSolver" localSheetId="47" hidden="1">NOMAD</definedName>
    <definedName name="OpenSolver_ChosenSolver" localSheetId="3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27" hidden="1">NOMAD</definedName>
    <definedName name="OpenSolver_ChosenSolver" localSheetId="50" hidden="1">NOMAD</definedName>
    <definedName name="OpenSolver_ChosenSolver" localSheetId="33" hidden="1">NOMAD</definedName>
    <definedName name="OpenSolver_ChosenSolver" localSheetId="1" hidden="1">Bonmin</definedName>
    <definedName name="OpenSolver_ChosenSolver" localSheetId="48" hidden="1">NOMAD</definedName>
    <definedName name="OpenSolver_ChosenSolver" localSheetId="52" hidden="1">NOMAD</definedName>
    <definedName name="OpenSolver_ChosenSolver" localSheetId="53" hidden="1">NOMAD</definedName>
    <definedName name="OpenSolver_ChosenSolver" localSheetId="2" hidden="1">NOMAD</definedName>
    <definedName name="OpenSolver_ChosenSolver" localSheetId="30" hidden="1">NOMAD</definedName>
    <definedName name="OpenSolver_ChosenSolver" localSheetId="51" hidden="1">NeosCou</definedName>
    <definedName name="OpenSolver_ChosenSolver" localSheetId="10" hidden="1">NOMAD</definedName>
    <definedName name="OpenSolver_ChosenSolver" localSheetId="6" hidden="1">NOMAD</definedName>
    <definedName name="OpenSolver_ChosenSolver" localSheetId="26" hidden="1">NeosCou</definedName>
    <definedName name="OpenSolver_ChosenSolver" localSheetId="42" hidden="1">NOMAD</definedName>
    <definedName name="OpenSolver_ChosenSolver" localSheetId="38" hidden="1">NOMAD</definedName>
    <definedName name="OpenSolver_ConstraintList" localSheetId="33">#REF!</definedName>
    <definedName name="OpenSolver_ConstraintList" localSheetId="26">#REF!</definedName>
    <definedName name="OpenSolver_ConstraintList">#REF!</definedName>
    <definedName name="OpenSolver_CouenneParameters" localSheetId="51" hidden="1">SolverParameters!$O$5:$P$5</definedName>
    <definedName name="OpenSolver_DualsNewSheet" localSheetId="20" hidden="1">FALSE</definedName>
    <definedName name="OpenSolver_DualsNewSheet" localSheetId="1" hidden="1">FALSE</definedName>
    <definedName name="OpenSolver_DualsNewSheet" localSheetId="48" hidden="1">TRUE</definedName>
    <definedName name="OpenSolver_DualsNewSheet" localSheetId="52" hidden="1">TRUE</definedName>
    <definedName name="OpenSolver_DualsNewSheet" localSheetId="53" hidden="1">TRUE</definedName>
    <definedName name="OpenSolver_GurobiParameters" localSheetId="51" hidden="1">SolverParameters!$F$5:$G$5</definedName>
    <definedName name="OpenSolver_ModelParameters" localSheetId="20">'BadName!'!$O$8:$P$8</definedName>
    <definedName name="OpenSolver_ModelParameters" localSheetId="32">BinIntLB!$O$10:$P$10</definedName>
    <definedName name="OpenSolver_ModelParameters" localSheetId="17">BinIntOverlap!$P$7:$Q$7</definedName>
    <definedName name="OpenSolver_ModelParameters" localSheetId="31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4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40">ConstantLB!$O$10:$P$10</definedName>
    <definedName name="OpenSolver_ModelParameters" localSheetId="37">ConstFormulaRangeLB!$O$9:$P$9</definedName>
    <definedName name="OpenSolver_ModelParameters" localSheetId="39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1">FormulaLB!$O$10:$P$10</definedName>
    <definedName name="OpenSolver_ModelParameters" localSheetId="67">Highlighting!$P$6:$Q$6</definedName>
    <definedName name="OpenSolver_ModelParameters" localSheetId="28">IndirectLBs!$O$9:$P$9</definedName>
    <definedName name="OpenSolver_ModelParameters" localSheetId="24">InfConstConstraint!$Q$7:$R$7</definedName>
    <definedName name="OpenSolver_ModelParameters" localSheetId="45">InfModel!$O$8:$P$8</definedName>
    <definedName name="OpenSolver_ModelParameters" localSheetId="46">IterativeCalc!$O$8:$P$8</definedName>
    <definedName name="OpenSolver_ModelParameters" localSheetId="34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60">#REF!</definedName>
    <definedName name="OpenSolver_ModelParameters" localSheetId="47">NoObj!$M$8:$M$8</definedName>
    <definedName name="OpenSolver_ModelParameters" localSheetId="3">OverlappingVars!$O$7:$P$7</definedName>
    <definedName name="OpenSolver_ModelParameters" localSheetId="35">OverlapRangeLB!$O$11:$P$11</definedName>
    <definedName name="OpenSolver_ModelParameters" localSheetId="36">OverlapRangeLBwithFormula!$O$11:$P$11</definedName>
    <definedName name="OpenSolver_ModelParameters" localSheetId="27">ProtectedSheet!$O$7:$P$7</definedName>
    <definedName name="OpenSolver_ModelParameters" localSheetId="50">QuickSolve!$O$7:$P$7</definedName>
    <definedName name="OpenSolver_ModelParameters" localSheetId="33">Relaxation!$O$10:$P$10</definedName>
    <definedName name="OpenSolver_ModelParameters" localSheetId="30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26">Unbounded!$O$7:$P$7</definedName>
    <definedName name="OpenSolver_ModelParameters" localSheetId="42">VarConstraintLB!$O$10:$P$10</definedName>
    <definedName name="OpenSolver_ModelParameters" localSheetId="38">VariableFormulaRangeLB!$O$10:$P$10</definedName>
    <definedName name="OpenSolver_ModelParameters">SimpleLP!$O$7:$P$7</definedName>
    <definedName name="OpenSolver_NeosBonParameters" localSheetId="51" hidden="1">SolverParameters!$U$5:$V$5</definedName>
    <definedName name="OpenSolver_NeosCBCParameters" localSheetId="51" hidden="1">SolverParameters!$I$5:$J$7</definedName>
    <definedName name="OpenSolver_NeosCouParameters" localSheetId="51" hidden="1">SolverParameters!$X$5:$Y$5</definedName>
    <definedName name="OpenSolver_NOMADParameters" localSheetId="51" hidden="1">SolverParameters!$R$5:$S$5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8" hidden="1">TRUE</definedName>
    <definedName name="OpenSolver_UpdateSensitivity" localSheetId="52" hidden="1">TRUE</definedName>
    <definedName name="OpenSolver_UpdateSensitivity" localSheetId="53" hidden="1">TRUE</definedName>
    <definedName name="OpenSolverModelParameters" localSheetId="50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3">#REF!</definedName>
    <definedName name="p" localSheetId="48">#REF!</definedName>
    <definedName name="p" localSheetId="26">#REF!</definedName>
    <definedName name="p">#REF!</definedName>
    <definedName name="q" localSheetId="21">#REF!</definedName>
    <definedName name="q" localSheetId="33">#REF!</definedName>
    <definedName name="q" localSheetId="48">#REF!</definedName>
    <definedName name="q" localSheetId="26">#REF!</definedName>
    <definedName name="q">#REF!</definedName>
    <definedName name="s" localSheetId="21">#REF!</definedName>
    <definedName name="s" localSheetId="33">#REF!</definedName>
    <definedName name="s" localSheetId="48">#REF!</definedName>
    <definedName name="s" localSheetId="26">#REF!</definedName>
    <definedName name="s">#REF!</definedName>
    <definedName name="Scale" localSheetId="20">'BadName!'!$O$8</definedName>
    <definedName name="Scale" localSheetId="32">BinIntLB!$O$10</definedName>
    <definedName name="Scale" localSheetId="17">BinIntOverlap!$P$7</definedName>
    <definedName name="Scale" localSheetId="31">BinLB!$O$10</definedName>
    <definedName name="Scale" localSheetId="5">BlankLHS!$O$7</definedName>
    <definedName name="Scale" localSheetId="4">BlankRHS!$O$7</definedName>
    <definedName name="Scale" localSheetId="44">ComplexLayout!$O$7</definedName>
    <definedName name="Scale" localSheetId="18">ConFormula!$O$8</definedName>
    <definedName name="Scale" localSheetId="19">ConFormulaInf!$O$8</definedName>
    <definedName name="Scale" localSheetId="40">ConstantLB!$O$10</definedName>
    <definedName name="Scale" localSheetId="37">ConstFormulaRangeLB!$O$9</definedName>
    <definedName name="Scale" localSheetId="39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1">FormulaLB!$O$10</definedName>
    <definedName name="Scale" localSheetId="67">Highlighting!$P$6</definedName>
    <definedName name="Scale" localSheetId="28">IndirectLBs!$O$9</definedName>
    <definedName name="Scale" localSheetId="24">InfConstConstraint!$Q$7</definedName>
    <definedName name="Scale" localSheetId="45">InfModel!$O$8</definedName>
    <definedName name="Scale" localSheetId="46">IterativeCalc!$O$8</definedName>
    <definedName name="Scale" localSheetId="34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60">#REF!</definedName>
    <definedName name="Scale" localSheetId="47">NoObj!#REF!</definedName>
    <definedName name="Scale" localSheetId="3">OverlappingVars!$O$7</definedName>
    <definedName name="Scale" localSheetId="35">OverlapRangeLB!$O$11</definedName>
    <definedName name="Scale" localSheetId="36">OverlapRangeLBwithFormula!$O$11</definedName>
    <definedName name="Scale" localSheetId="27">ProtectedSheet!$O$7</definedName>
    <definedName name="Scale" localSheetId="50">QuickSolve!$O$7</definedName>
    <definedName name="Scale" localSheetId="33">Relaxation!$O$10</definedName>
    <definedName name="Scale" localSheetId="30">SingleRangeLB!$O$9</definedName>
    <definedName name="Scale" localSheetId="10">TextObj!$O$7</definedName>
    <definedName name="Scale" localSheetId="6">TextRHS!$O$7</definedName>
    <definedName name="Scale" localSheetId="26">Unbounded!$O$7</definedName>
    <definedName name="Scale" localSheetId="42">VarConstraintLB!$O$10</definedName>
    <definedName name="Scale" localSheetId="38">VariableFormulaRangeLB!$O$10</definedName>
    <definedName name="Scale">SimpleLP!$O$7</definedName>
    <definedName name="scale2" localSheetId="33">#REF!</definedName>
    <definedName name="scale2" localSheetId="26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2">BinIntLB!$K$8:$K$8</definedName>
    <definedName name="Sheet1OpenSolverModelParameters" localSheetId="17">BinIntOverlap!$L$5:$L$5</definedName>
    <definedName name="Sheet1OpenSolverModelParameters" localSheetId="31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4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40">ConstantLB!$K$8:$K$8</definedName>
    <definedName name="Sheet1OpenSolverModelParameters" localSheetId="37">ConstFormulaRangeLB!$K$7:$K$7</definedName>
    <definedName name="Sheet1OpenSolverModelParameters" localSheetId="39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1">FormulaLB!$K$8:$K$8</definedName>
    <definedName name="Sheet1OpenSolverModelParameters" localSheetId="67">Highlighting!$L$4:$L$4</definedName>
    <definedName name="Sheet1OpenSolverModelParameters" localSheetId="28">IndirectLBs!$K$7:$K$7</definedName>
    <definedName name="Sheet1OpenSolverModelParameters" localSheetId="24">InfConstConstraint!$M$5:$M$5</definedName>
    <definedName name="Sheet1OpenSolverModelParameters" localSheetId="45">InfModel!$K$6:$K$6</definedName>
    <definedName name="Sheet1OpenSolverModelParameters" localSheetId="46">IterativeCalc!$K$6:$K$6</definedName>
    <definedName name="Sheet1OpenSolverModelParameters" localSheetId="34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60">#REF!</definedName>
    <definedName name="Sheet1OpenSolverModelParameters" localSheetId="47">NoObj!$K$6:$K$6</definedName>
    <definedName name="Sheet1OpenSolverModelParameters" localSheetId="3">OverlappingVars!$K$5:$K$5</definedName>
    <definedName name="Sheet1OpenSolverModelParameters" localSheetId="35">OverlapRangeLB!$K$9:$K$9</definedName>
    <definedName name="Sheet1OpenSolverModelParameters" localSheetId="36">OverlapRangeLBwithFormula!$K$9:$K$9</definedName>
    <definedName name="Sheet1OpenSolverModelParameters" localSheetId="27">ProtectedSheet!$K$5:$K$5</definedName>
    <definedName name="Sheet1OpenSolverModelParameters" localSheetId="50">QuickSolve!$K$5:$K$5</definedName>
    <definedName name="Sheet1OpenSolverModelParameters" localSheetId="33">Relaxation!$K$8:$K$8</definedName>
    <definedName name="Sheet1OpenSolverModelParameters" localSheetId="30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26">Unbounded!$K$5:$K$5</definedName>
    <definedName name="Sheet1OpenSolverModelParameters" localSheetId="42">VarConstraintLB!$K$8:$K$8</definedName>
    <definedName name="Sheet1OpenSolverModelParameters" localSheetId="38">VariableFormulaRangeLB!$K$8:$K$8</definedName>
    <definedName name="Sheet1OpenSolverModelParameters">SimpleLP!$K$5:$K$5</definedName>
    <definedName name="Solver" localSheetId="21" hidden="1">CBC (default)</definedName>
    <definedName name="Solver" localSheetId="60" hidden="1">CBC (default)</definedName>
    <definedName name="Solver" localSheetId="33" hidden="1">CBC (default)</definedName>
    <definedName name="Solver" localSheetId="48" hidden="1">CBC (default)</definedName>
    <definedName name="Solver" localSheetId="26" hidden="1">CBC (default)</definedName>
    <definedName name="Solver" hidden="1">CBC (default)</definedName>
    <definedName name="solver_adj" localSheetId="68" hidden="1">AutoModel!$B$28:$D$28,AutoModel!$C$3:$C$5</definedName>
    <definedName name="solver_adj" localSheetId="20" hidden="1">'BadName!'!$D$5:$F$5</definedName>
    <definedName name="solver_adj" localSheetId="32" hidden="1">BinIntLB!$D$5:$F$5</definedName>
    <definedName name="solver_adj" localSheetId="17" hidden="1">BinIntOverlap!$D$4:$G$4</definedName>
    <definedName name="solver_adj" localSheetId="31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4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40" hidden="1">ConstantLB!$D$5:$F$5</definedName>
    <definedName name="solver_adj" localSheetId="37" hidden="1">ConstFormulaRangeLB!$D$4:$F$4</definedName>
    <definedName name="solver_adj" localSheetId="39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9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1" hidden="1">FormulaLB!$D$5:$F$5</definedName>
    <definedName name="solver_adj" localSheetId="43" hidden="1">FractionalCoeffs!$D$2:$F$2</definedName>
    <definedName name="solver_adj" localSheetId="67" hidden="1">Highlighting!$L$9:$N$9</definedName>
    <definedName name="solver_adj" localSheetId="28" hidden="1">IndirectLBs!$D$5:$F$5</definedName>
    <definedName name="solver_adj" localSheetId="24" hidden="1">InfConstConstraint!$D$4:$F$4</definedName>
    <definedName name="solver_adj" localSheetId="45" hidden="1">InfModel!$D$5:$F$5</definedName>
    <definedName name="solver_adj" localSheetId="46" hidden="1">IterativeCalc!$D$5:$F$5</definedName>
    <definedName name="solver_adj" localSheetId="34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9" hidden="1">NamedRanges!$D$4:$H$4</definedName>
    <definedName name="solver_adj" localSheetId="61" hidden="1">NonLin!$D$3:$D$35</definedName>
    <definedName name="solver_adj" localSheetId="62" hidden="1">NonLin2!$C$4:$D$4</definedName>
    <definedName name="solver_adj" localSheetId="63" hidden="1">NonLin3!$S$10:$S$11</definedName>
    <definedName name="solver_adj" localSheetId="64" hidden="1">NonLin4!$D$11</definedName>
    <definedName name="solver_adj" localSheetId="65" hidden="1">NonLin5!$F$2:$I$2</definedName>
    <definedName name="solver_adj" localSheetId="66" hidden="1">NonLin6!$D$7:$D$8</definedName>
    <definedName name="solver_adj" localSheetId="60" hidden="1">NonLinBinary!$C$4:$D$4</definedName>
    <definedName name="solver_adj" localSheetId="59" hidden="1">NonLinConstraints!$D$5:$H$5</definedName>
    <definedName name="solver_adj" localSheetId="55" hidden="1">NonLinLarge!$D$3:$F$3</definedName>
    <definedName name="solver_adj" localSheetId="58" hidden="1">NonLinMinMax!$D$4:$F$4</definedName>
    <definedName name="solver_adj" localSheetId="56" hidden="1">NonLinObj!$D$3:$F$3</definedName>
    <definedName name="solver_adj" localSheetId="57" hidden="1">NonLinPruning!$D$5:$E$5</definedName>
    <definedName name="solver_adj" localSheetId="54" hidden="1">NonLinSimple!$D$3:$F$3</definedName>
    <definedName name="solver_adj" localSheetId="47" hidden="1">NoObj!$D$5:$F$5</definedName>
    <definedName name="solver_adj" localSheetId="3" hidden="1">OverlappingVars!$D$4:$E$4,OverlappingVars!$E$4:$F$4</definedName>
    <definedName name="solver_adj" localSheetId="35" hidden="1">OverlapRangeLB!$D$6:$F$6</definedName>
    <definedName name="solver_adj" localSheetId="36" hidden="1">OverlapRangeLBwithFormula!$D$6:$F$6</definedName>
    <definedName name="solver_adj" localSheetId="27" hidden="1">ProtectedSheet!$D$4:$F$4</definedName>
    <definedName name="solver_adj" localSheetId="50" hidden="1">QuickSolve!$D$4:$F$4</definedName>
    <definedName name="solver_adj" localSheetId="33" hidden="1">Relaxation!$D$5:$F$5</definedName>
    <definedName name="solver_adj" localSheetId="48" hidden="1">SeekObj!$D$2:$F$2</definedName>
    <definedName name="solver_adj" localSheetId="52" hidden="1">Sensitivity!$D$4:$F$4</definedName>
    <definedName name="solver_adj" localSheetId="53" hidden="1">SensitivityNames!$D$14:$H$16,SensitivityNames!$J$21</definedName>
    <definedName name="solver_adj" localSheetId="2" hidden="1">SimpleLP!$D$4:$F$4</definedName>
    <definedName name="solver_adj" localSheetId="30" hidden="1">SingleRangeLB!$D$4:$F$4</definedName>
    <definedName name="solver_adj" localSheetId="51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26" hidden="1">Unbounded!$D$4:$F$4</definedName>
    <definedName name="solver_adj" localSheetId="42" hidden="1">VarConstraintLB!$D$5:$F$5</definedName>
    <definedName name="solver_adj" localSheetId="38" hidden="1">VariableFormulaRangeLB!$D$5:$F$5</definedName>
    <definedName name="solver_cvg" localSheetId="68" hidden="1">0.0001</definedName>
    <definedName name="solver_cvg" localSheetId="20" hidden="1">0.0001</definedName>
    <definedName name="solver_cvg" localSheetId="32" hidden="1">0.0001</definedName>
    <definedName name="solver_cvg" localSheetId="17" hidden="1">0.0001</definedName>
    <definedName name="solver_cvg" localSheetId="31" hidden="1">0.0001</definedName>
    <definedName name="solver_cvg" localSheetId="5" hidden="1">0.0001</definedName>
    <definedName name="solver_cvg" localSheetId="4" hidden="1">0.0001</definedName>
    <definedName name="solver_cvg" localSheetId="44" hidden="1">0.0001</definedName>
    <definedName name="solver_cvg" localSheetId="18" hidden="1">0.0001</definedName>
    <definedName name="solver_cvg" localSheetId="19" hidden="1">0.0001</definedName>
    <definedName name="solver_cvg" localSheetId="40" hidden="1">0.0001</definedName>
    <definedName name="solver_cvg" localSheetId="37" hidden="1">0.0001</definedName>
    <definedName name="solver_cvg" localSheetId="39" hidden="1">0.0001</definedName>
    <definedName name="solver_cvg" localSheetId="22" hidden="1">0.0001</definedName>
    <definedName name="solver_cvg" localSheetId="23" hidden="1">0.0001</definedName>
    <definedName name="solver_cvg" localSheetId="29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1" hidden="1">0.0001</definedName>
    <definedName name="solver_cvg" localSheetId="43" hidden="1">0.0001</definedName>
    <definedName name="solver_cvg" localSheetId="67" hidden="1">0.0001</definedName>
    <definedName name="solver_cvg" localSheetId="28" hidden="1">0.0001</definedName>
    <definedName name="solver_cvg" localSheetId="24" hidden="1">0.0001</definedName>
    <definedName name="solver_cvg" localSheetId="45" hidden="1">0.0001</definedName>
    <definedName name="solver_cvg" localSheetId="46" hidden="1">0.0001</definedName>
    <definedName name="solver_cvg" localSheetId="34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9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0" hidden="1">0.0001</definedName>
    <definedName name="solver_cvg" localSheetId="59" hidden="1">0.0001</definedName>
    <definedName name="solver_cvg" localSheetId="55" hidden="1">0.0001</definedName>
    <definedName name="solver_cvg" localSheetId="58" hidden="1">0.0001</definedName>
    <definedName name="solver_cvg" localSheetId="56" hidden="1">0.0001</definedName>
    <definedName name="solver_cvg" localSheetId="57" hidden="1">0.0001</definedName>
    <definedName name="solver_cvg" localSheetId="54" hidden="1">0.0001</definedName>
    <definedName name="solver_cvg" localSheetId="47" hidden="1">0.0001</definedName>
    <definedName name="solver_cvg" localSheetId="3" hidden="1">0.0001</definedName>
    <definedName name="solver_cvg" localSheetId="35" hidden="1">0.0001</definedName>
    <definedName name="solver_cvg" localSheetId="36" hidden="1">0.0001</definedName>
    <definedName name="solver_cvg" localSheetId="27" hidden="1">0.0001</definedName>
    <definedName name="solver_cvg" localSheetId="50" hidden="1">0.0001</definedName>
    <definedName name="solver_cvg" localSheetId="33" hidden="1">0.0001</definedName>
    <definedName name="solver_cvg" localSheetId="1" hidden="1">0.0001</definedName>
    <definedName name="solver_cvg" localSheetId="48" hidden="1">0.0001</definedName>
    <definedName name="solver_cvg" localSheetId="52" hidden="1">0.0001</definedName>
    <definedName name="solver_cvg" localSheetId="53" hidden="1">0.0001</definedName>
    <definedName name="solver_cvg" localSheetId="2" hidden="1">0.0001</definedName>
    <definedName name="solver_cvg" localSheetId="30" hidden="1">0.0001</definedName>
    <definedName name="solver_cvg" localSheetId="51" hidden="1">0.0001</definedName>
    <definedName name="solver_cvg" localSheetId="10" hidden="1">0.0001</definedName>
    <definedName name="solver_cvg" localSheetId="6" hidden="1">0.0001</definedName>
    <definedName name="solver_cvg" localSheetId="26" hidden="1">0.0001</definedName>
    <definedName name="solver_cvg" localSheetId="42" hidden="1">0.0001</definedName>
    <definedName name="solver_cvg" localSheetId="38" hidden="1">0.0001</definedName>
    <definedName name="solver_drv" localSheetId="68" hidden="1">1</definedName>
    <definedName name="solver_drv" localSheetId="20" hidden="1">1</definedName>
    <definedName name="solver_drv" localSheetId="32" hidden="1">1</definedName>
    <definedName name="solver_drv" localSheetId="17" hidden="1">1</definedName>
    <definedName name="solver_drv" localSheetId="31" hidden="1">1</definedName>
    <definedName name="solver_drv" localSheetId="5" hidden="1">1</definedName>
    <definedName name="solver_drv" localSheetId="4" hidden="1">1</definedName>
    <definedName name="solver_drv" localSheetId="44" hidden="1">1</definedName>
    <definedName name="solver_drv" localSheetId="18" hidden="1">1</definedName>
    <definedName name="solver_drv" localSheetId="19" hidden="1">1</definedName>
    <definedName name="solver_drv" localSheetId="40" hidden="1">1</definedName>
    <definedName name="solver_drv" localSheetId="37" hidden="1">1</definedName>
    <definedName name="solver_drv" localSheetId="39" hidden="1">1</definedName>
    <definedName name="solver_drv" localSheetId="22" hidden="1">1</definedName>
    <definedName name="solver_drv" localSheetId="23" hidden="1">1</definedName>
    <definedName name="solver_drv" localSheetId="29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1" hidden="1">1</definedName>
    <definedName name="solver_drv" localSheetId="43" hidden="1">1</definedName>
    <definedName name="solver_drv" localSheetId="67" hidden="1">1</definedName>
    <definedName name="solver_drv" localSheetId="28" hidden="1">1</definedName>
    <definedName name="solver_drv" localSheetId="24" hidden="1">1</definedName>
    <definedName name="solver_drv" localSheetId="45" hidden="1">1</definedName>
    <definedName name="solver_drv" localSheetId="46" hidden="1">1</definedName>
    <definedName name="solver_drv" localSheetId="34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9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0" hidden="1">1</definedName>
    <definedName name="solver_drv" localSheetId="59" hidden="1">1</definedName>
    <definedName name="solver_drv" localSheetId="55" hidden="1">1</definedName>
    <definedName name="solver_drv" localSheetId="58" hidden="1">1</definedName>
    <definedName name="solver_drv" localSheetId="56" hidden="1">1</definedName>
    <definedName name="solver_drv" localSheetId="57" hidden="1">1</definedName>
    <definedName name="solver_drv" localSheetId="54" hidden="1">1</definedName>
    <definedName name="solver_drv" localSheetId="47" hidden="1">1</definedName>
    <definedName name="solver_drv" localSheetId="3" hidden="1">1</definedName>
    <definedName name="solver_drv" localSheetId="35" hidden="1">1</definedName>
    <definedName name="solver_drv" localSheetId="36" hidden="1">1</definedName>
    <definedName name="solver_drv" localSheetId="27" hidden="1">1</definedName>
    <definedName name="solver_drv" localSheetId="50" hidden="1">1</definedName>
    <definedName name="solver_drv" localSheetId="33" hidden="1">1</definedName>
    <definedName name="solver_drv" localSheetId="1" hidden="1">1</definedName>
    <definedName name="solver_drv" localSheetId="48" hidden="1">1</definedName>
    <definedName name="solver_drv" localSheetId="52" hidden="1">1</definedName>
    <definedName name="solver_drv" localSheetId="53" hidden="1">1</definedName>
    <definedName name="solver_drv" localSheetId="2" hidden="1">1</definedName>
    <definedName name="solver_drv" localSheetId="30" hidden="1">1</definedName>
    <definedName name="solver_drv" localSheetId="51" hidden="1">1</definedName>
    <definedName name="solver_drv" localSheetId="10" hidden="1">1</definedName>
    <definedName name="solver_drv" localSheetId="6" hidden="1">1</definedName>
    <definedName name="solver_drv" localSheetId="26" hidden="1">1</definedName>
    <definedName name="solver_drv" localSheetId="42" hidden="1">1</definedName>
    <definedName name="solver_drv" localSheetId="38" hidden="1">1</definedName>
    <definedName name="solver_eng" localSheetId="68" hidden="1">2</definedName>
    <definedName name="solver_eng" localSheetId="32" hidden="1">2</definedName>
    <definedName name="solver_eng" localSheetId="17">2</definedName>
    <definedName name="solver_eng" localSheetId="31" hidden="1">2</definedName>
    <definedName name="solver_eng" localSheetId="5">2</definedName>
    <definedName name="solver_eng" localSheetId="4">2</definedName>
    <definedName name="solver_eng" localSheetId="44">2</definedName>
    <definedName name="solver_eng" localSheetId="18">2</definedName>
    <definedName name="solver_eng" localSheetId="19">2</definedName>
    <definedName name="solver_eng" localSheetId="40" hidden="1">2</definedName>
    <definedName name="solver_eng" localSheetId="37" hidden="1">2</definedName>
    <definedName name="solver_eng" localSheetId="39">2</definedName>
    <definedName name="solver_eng" localSheetId="22">2</definedName>
    <definedName name="solver_eng" localSheetId="23">2</definedName>
    <definedName name="solver_eng" localSheetId="29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1" hidden="1">2</definedName>
    <definedName name="solver_eng" localSheetId="28">2</definedName>
    <definedName name="solver_eng" localSheetId="24">2</definedName>
    <definedName name="solver_eng" localSheetId="45">2</definedName>
    <definedName name="solver_eng" localSheetId="34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9" hidden="1">2</definedName>
    <definedName name="solver_eng" localSheetId="61">2</definedName>
    <definedName name="solver_eng" localSheetId="64" hidden="1">2</definedName>
    <definedName name="solver_eng" localSheetId="65" hidden="1">2</definedName>
    <definedName name="solver_eng" localSheetId="66" hidden="1">2</definedName>
    <definedName name="solver_eng" localSheetId="59" hidden="1">2</definedName>
    <definedName name="solver_eng" localSheetId="55">2</definedName>
    <definedName name="solver_eng" localSheetId="58" hidden="1">2</definedName>
    <definedName name="solver_eng" localSheetId="56">2</definedName>
    <definedName name="solver_eng" localSheetId="57" hidden="1">2</definedName>
    <definedName name="solver_eng" localSheetId="54">2</definedName>
    <definedName name="solver_eng" localSheetId="47" hidden="1">2</definedName>
    <definedName name="solver_eng" localSheetId="3">2</definedName>
    <definedName name="solver_eng" localSheetId="35" hidden="1">2</definedName>
    <definedName name="solver_eng" localSheetId="36" hidden="1">2</definedName>
    <definedName name="solver_eng" localSheetId="27">2</definedName>
    <definedName name="solver_eng" localSheetId="33" hidden="1">2</definedName>
    <definedName name="solver_eng" localSheetId="2" hidden="1">2</definedName>
    <definedName name="solver_eng" localSheetId="30" hidden="1">2</definedName>
    <definedName name="solver_eng" localSheetId="10">2</definedName>
    <definedName name="solver_eng" localSheetId="6">2</definedName>
    <definedName name="solver_eng" localSheetId="26" hidden="1">2</definedName>
    <definedName name="solver_eng" localSheetId="42" hidden="1">2</definedName>
    <definedName name="solver_eng" localSheetId="38" hidden="1">2</definedName>
    <definedName name="solver_est" localSheetId="68" hidden="1">1</definedName>
    <definedName name="solver_est" localSheetId="20" hidden="1">1</definedName>
    <definedName name="solver_est" localSheetId="32" hidden="1">1</definedName>
    <definedName name="solver_est" localSheetId="17" hidden="1">1</definedName>
    <definedName name="solver_est" localSheetId="31" hidden="1">1</definedName>
    <definedName name="solver_est" localSheetId="5" hidden="1">1</definedName>
    <definedName name="solver_est" localSheetId="4" hidden="1">1</definedName>
    <definedName name="solver_est" localSheetId="44" hidden="1">1</definedName>
    <definedName name="solver_est" localSheetId="18" hidden="1">1</definedName>
    <definedName name="solver_est" localSheetId="19" hidden="1">1</definedName>
    <definedName name="solver_est" localSheetId="40" hidden="1">1</definedName>
    <definedName name="solver_est" localSheetId="37" hidden="1">1</definedName>
    <definedName name="solver_est" localSheetId="39" hidden="1">1</definedName>
    <definedName name="solver_est" localSheetId="22" hidden="1">1</definedName>
    <definedName name="solver_est" localSheetId="23" hidden="1">1</definedName>
    <definedName name="solver_est" localSheetId="29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1" hidden="1">1</definedName>
    <definedName name="solver_est" localSheetId="43" hidden="1">1</definedName>
    <definedName name="solver_est" localSheetId="67" hidden="1">1</definedName>
    <definedName name="solver_est" localSheetId="28" hidden="1">1</definedName>
    <definedName name="solver_est" localSheetId="24" hidden="1">1</definedName>
    <definedName name="solver_est" localSheetId="45" hidden="1">1</definedName>
    <definedName name="solver_est" localSheetId="46" hidden="1">1</definedName>
    <definedName name="solver_est" localSheetId="34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9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0" hidden="1">1</definedName>
    <definedName name="solver_est" localSheetId="59" hidden="1">1</definedName>
    <definedName name="solver_est" localSheetId="55" hidden="1">1</definedName>
    <definedName name="solver_est" localSheetId="58" hidden="1">1</definedName>
    <definedName name="solver_est" localSheetId="56" hidden="1">1</definedName>
    <definedName name="solver_est" localSheetId="57" hidden="1">1</definedName>
    <definedName name="solver_est" localSheetId="54" hidden="1">1</definedName>
    <definedName name="solver_est" localSheetId="47" hidden="1">1</definedName>
    <definedName name="solver_est" localSheetId="3" hidden="1">1</definedName>
    <definedName name="solver_est" localSheetId="35" hidden="1">1</definedName>
    <definedName name="solver_est" localSheetId="36" hidden="1">1</definedName>
    <definedName name="solver_est" localSheetId="27" hidden="1">1</definedName>
    <definedName name="solver_est" localSheetId="50" hidden="1">1</definedName>
    <definedName name="solver_est" localSheetId="33" hidden="1">1</definedName>
    <definedName name="solver_est" localSheetId="1" hidden="1">1</definedName>
    <definedName name="solver_est" localSheetId="48" hidden="1">1</definedName>
    <definedName name="solver_est" localSheetId="52" hidden="1">1</definedName>
    <definedName name="solver_est" localSheetId="53" hidden="1">1</definedName>
    <definedName name="solver_est" localSheetId="2" hidden="1">1</definedName>
    <definedName name="solver_est" localSheetId="30" hidden="1">1</definedName>
    <definedName name="solver_est" localSheetId="51" hidden="1">1</definedName>
    <definedName name="solver_est" localSheetId="10" hidden="1">1</definedName>
    <definedName name="solver_est" localSheetId="6" hidden="1">1</definedName>
    <definedName name="solver_est" localSheetId="26" hidden="1">1</definedName>
    <definedName name="solver_est" localSheetId="42" hidden="1">1</definedName>
    <definedName name="solver_est" localSheetId="38" hidden="1">1</definedName>
    <definedName name="solver_itr" localSheetId="20" hidden="1">100</definedName>
    <definedName name="solver_itr" localSheetId="32" hidden="1">999999999</definedName>
    <definedName name="solver_itr" localSheetId="17" hidden="1">999999999</definedName>
    <definedName name="solver_itr" localSheetId="31" hidden="1">999999999</definedName>
    <definedName name="solver_itr" localSheetId="5" hidden="1">999999999</definedName>
    <definedName name="solver_itr" localSheetId="4" hidden="1">999999999</definedName>
    <definedName name="solver_itr" localSheetId="44" hidden="1">999999999</definedName>
    <definedName name="solver_itr" localSheetId="18" hidden="1">999999999</definedName>
    <definedName name="solver_itr" localSheetId="19" hidden="1">999999999</definedName>
    <definedName name="solver_itr" localSheetId="40" hidden="1">999999999</definedName>
    <definedName name="solver_itr" localSheetId="37" hidden="1">999999999</definedName>
    <definedName name="solver_itr" localSheetId="39" hidden="1">999999999</definedName>
    <definedName name="solver_itr" localSheetId="22" hidden="1">999999999</definedName>
    <definedName name="solver_itr" localSheetId="29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1" hidden="1">999999999</definedName>
    <definedName name="solver_itr" localSheetId="43" hidden="1">999999999</definedName>
    <definedName name="solver_itr" localSheetId="67" hidden="1">100</definedName>
    <definedName name="solver_itr" localSheetId="28" hidden="1">999999999</definedName>
    <definedName name="solver_itr" localSheetId="24" hidden="1">999999999</definedName>
    <definedName name="solver_itr" localSheetId="45" hidden="1">999999999</definedName>
    <definedName name="solver_itr" localSheetId="46" hidden="1">999999999</definedName>
    <definedName name="solver_itr" localSheetId="34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9" hidden="1">999999999</definedName>
    <definedName name="solver_itr" localSheetId="61" hidden="1">999999999</definedName>
    <definedName name="solver_itr" localSheetId="62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0" hidden="1">999999999</definedName>
    <definedName name="solver_itr" localSheetId="59" hidden="1">999999999</definedName>
    <definedName name="solver_itr" localSheetId="55" hidden="1">999999999</definedName>
    <definedName name="solver_itr" localSheetId="58" hidden="1">999999999</definedName>
    <definedName name="solver_itr" localSheetId="56" hidden="1">999999999</definedName>
    <definedName name="solver_itr" localSheetId="57" hidden="1">999999999</definedName>
    <definedName name="solver_itr" localSheetId="54" hidden="1">999999999</definedName>
    <definedName name="solver_itr" localSheetId="47" hidden="1">999999999</definedName>
    <definedName name="solver_itr" localSheetId="3" hidden="1">999999999</definedName>
    <definedName name="solver_itr" localSheetId="35" hidden="1">999999999</definedName>
    <definedName name="solver_itr" localSheetId="36" hidden="1">999999999</definedName>
    <definedName name="solver_itr" localSheetId="27" hidden="1">999999999</definedName>
    <definedName name="solver_itr" localSheetId="33" hidden="1">999999999</definedName>
    <definedName name="solver_itr" localSheetId="1" hidden="1">100</definedName>
    <definedName name="solver_itr" localSheetId="48" hidden="1">999999999</definedName>
    <definedName name="solver_itr" localSheetId="52" hidden="1">999999999</definedName>
    <definedName name="solver_itr" localSheetId="53" hidden="1">999999999</definedName>
    <definedName name="solver_itr" localSheetId="2" hidden="1">999999999</definedName>
    <definedName name="solver_itr" localSheetId="30" hidden="1">999999999</definedName>
    <definedName name="solver_itr" localSheetId="51" hidden="1">999999999</definedName>
    <definedName name="solver_itr" localSheetId="6" hidden="1">999999999</definedName>
    <definedName name="solver_itr" localSheetId="26" hidden="1">999999999</definedName>
    <definedName name="solver_itr" localSheetId="42" hidden="1">999999999</definedName>
    <definedName name="solver_itr" localSheetId="38" hidden="1">999999999</definedName>
    <definedName name="solver_lhs1" localSheetId="68" hidden="1">AutoModel!$B$20</definedName>
    <definedName name="solver_lhs1" localSheetId="20" hidden="1">'BadName!'!$H$12</definedName>
    <definedName name="solver_lhs1" localSheetId="32" hidden="1">BinIntLB!$H$11:$H$13</definedName>
    <definedName name="solver_lhs1" localSheetId="17" hidden="1">BinIntOverlap!$I$8:$I$9</definedName>
    <definedName name="solver_lhs1" localSheetId="31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4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40" hidden="1">ConstantLB!$H$11:$H$13</definedName>
    <definedName name="solver_lhs1" localSheetId="37" hidden="1">ConstFormulaRangeLB!$H$10:$H$12</definedName>
    <definedName name="solver_lhs1" localSheetId="39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9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1" hidden="1">FormulaLB!$H$11:$H$13</definedName>
    <definedName name="solver_lhs1" localSheetId="43" hidden="1">FractionalCoeffs!$G$6</definedName>
    <definedName name="solver_lhs1" localSheetId="67" hidden="1">Highlighting!$G$7:$G$8</definedName>
    <definedName name="solver_lhs1" localSheetId="28" hidden="1">IndirectLBs!$H$10:$H$11</definedName>
    <definedName name="solver_lhs1" localSheetId="24" hidden="1">InfConstConstraint!$J$8:$J$9</definedName>
    <definedName name="solver_lhs1" localSheetId="45" hidden="1">InfModel!$H$9:$H$10</definedName>
    <definedName name="solver_lhs1" localSheetId="46" hidden="1">IterativeCalc!$H$9:$H$10</definedName>
    <definedName name="solver_lhs1" localSheetId="34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9" hidden="1">NamedRanges!$I$8</definedName>
    <definedName name="solver_lhs1" localSheetId="61" hidden="1">NonLin!$J$40</definedName>
    <definedName name="solver_lhs1" localSheetId="62" hidden="1">NonLin2!$E$6:$E$7</definedName>
    <definedName name="solver_lhs1" localSheetId="63" hidden="1">NonLin3!$S$10:$S$11</definedName>
    <definedName name="solver_lhs1" localSheetId="60" hidden="1">NonLinBinary!$E$8:$E$9</definedName>
    <definedName name="solver_lhs1" localSheetId="59" hidden="1">NonLinConstraints!$I$7:$I$9</definedName>
    <definedName name="solver_lhs1" localSheetId="55" hidden="1">NonLinLarge!$H$7:$H$8</definedName>
    <definedName name="solver_lhs1" localSheetId="58" hidden="1">NonLinMinMax!$G$8</definedName>
    <definedName name="solver_lhs1" localSheetId="56" hidden="1">NonLinObj!$H$7:$H$8</definedName>
    <definedName name="solver_lhs1" localSheetId="57" hidden="1">NonLinPruning!$F$8:$F$9</definedName>
    <definedName name="solver_lhs1" localSheetId="54" hidden="1">NonLinSimple!$H$7:$H$8</definedName>
    <definedName name="solver_lhs1" localSheetId="47" hidden="1">NoObj!$H$9:$H$10</definedName>
    <definedName name="solver_lhs1" localSheetId="3" hidden="1">OverlappingVars!$H$8:$H$9</definedName>
    <definedName name="solver_lhs1" localSheetId="35" hidden="1">OverlapRangeLB!$H$12:$H$14</definedName>
    <definedName name="solver_lhs1" localSheetId="36" hidden="1">OverlapRangeLBwithFormula!$H$12:$H$14</definedName>
    <definedName name="solver_lhs1" localSheetId="27" hidden="1">ProtectedSheet!$H$8:$H$9</definedName>
    <definedName name="solver_lhs1" localSheetId="50" hidden="1">QuickSolve!$H$8</definedName>
    <definedName name="solver_lhs1" localSheetId="33" hidden="1">Relaxation!$H$11:$H$13</definedName>
    <definedName name="solver_lhs1" localSheetId="48" hidden="1">SeekObj!$G$6</definedName>
    <definedName name="solver_lhs1" localSheetId="52" hidden="1">Sensitivity!$G$8</definedName>
    <definedName name="solver_lhs1" localSheetId="53" hidden="1">SensitivityNames!$I$14:$I$16</definedName>
    <definedName name="solver_lhs1" localSheetId="2" hidden="1">SimpleLP!$H$8:$H$9</definedName>
    <definedName name="solver_lhs1" localSheetId="30" hidden="1">SingleRangeLB!$H$10:$H$12</definedName>
    <definedName name="solver_lhs1" localSheetId="51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26" hidden="1">Unbounded!$H$8:$H$9</definedName>
    <definedName name="solver_lhs1" localSheetId="42" hidden="1">VarConstraintLB!$H$11:$H$13</definedName>
    <definedName name="solver_lhs1" localSheetId="38" hidden="1">VariableFormulaRangeLB!$H$11:$H$13</definedName>
    <definedName name="solver_lhs10" localSheetId="19" hidden="1">ConFormulaInf!$I$14</definedName>
    <definedName name="solver_lhs10" localSheetId="55" hidden="1">NonLinLarge!$H$16</definedName>
    <definedName name="solver_lhs100" localSheetId="55" hidden="1">NonLinLarge!$H$106</definedName>
    <definedName name="solver_lhs101" localSheetId="55" hidden="1">NonLinLarge!$H$107</definedName>
    <definedName name="solver_lhs102" localSheetId="55" hidden="1">NonLinLarge!$H$108</definedName>
    <definedName name="solver_lhs103" localSheetId="55" hidden="1">NonLinLarge!$H$109</definedName>
    <definedName name="solver_lhs104" localSheetId="55" hidden="1">NonLinLarge!$H$110</definedName>
    <definedName name="solver_lhs105" localSheetId="55" hidden="1">NonLinLarge!$H$111</definedName>
    <definedName name="solver_lhs106" localSheetId="55" hidden="1">NonLinLarge!$H$112</definedName>
    <definedName name="solver_lhs107" localSheetId="55" hidden="1">NonLinLarge!$H$113</definedName>
    <definedName name="solver_lhs108" localSheetId="55" hidden="1">NonLinLarge!$H$114</definedName>
    <definedName name="solver_lhs109" localSheetId="55" hidden="1">NonLinLarge!$H$115</definedName>
    <definedName name="solver_lhs11" localSheetId="55" hidden="1">NonLinLarge!$H$17</definedName>
    <definedName name="solver_lhs110" localSheetId="55" hidden="1">NonLinLarge!$H$116</definedName>
    <definedName name="solver_lhs111" localSheetId="55" hidden="1">NonLinLarge!$H$117</definedName>
    <definedName name="solver_lhs112" localSheetId="55" hidden="1">NonLinLarge!$H$118</definedName>
    <definedName name="solver_lhs113" localSheetId="55" hidden="1">NonLinLarge!$H$119</definedName>
    <definedName name="solver_lhs114" localSheetId="55" hidden="1">NonLinLarge!$H$120</definedName>
    <definedName name="solver_lhs115" localSheetId="55" hidden="1">NonLinLarge!$H$121</definedName>
    <definedName name="solver_lhs116" localSheetId="55" hidden="1">NonLinLarge!$H$122</definedName>
    <definedName name="solver_lhs117" localSheetId="55" hidden="1">NonLinLarge!$H$123</definedName>
    <definedName name="solver_lhs118" localSheetId="55" hidden="1">NonLinLarge!$H$124</definedName>
    <definedName name="solver_lhs119" localSheetId="55" hidden="1">NonLinLarge!$H$125</definedName>
    <definedName name="solver_lhs12" localSheetId="55" hidden="1">NonLinLarge!$H$18</definedName>
    <definedName name="solver_lhs120" localSheetId="55" hidden="1">NonLinLarge!$H$126</definedName>
    <definedName name="solver_lhs121" localSheetId="55" hidden="1">NonLinLarge!$H$127</definedName>
    <definedName name="solver_lhs122" localSheetId="55" hidden="1">NonLinLarge!$H$128</definedName>
    <definedName name="solver_lhs123" localSheetId="55" hidden="1">NonLinLarge!$H$129</definedName>
    <definedName name="solver_lhs124" localSheetId="55" hidden="1">NonLinLarge!$H$130</definedName>
    <definedName name="solver_lhs125" localSheetId="55" hidden="1">NonLinLarge!$H$131</definedName>
    <definedName name="solver_lhs126" localSheetId="55" hidden="1">NonLinLarge!$H$132</definedName>
    <definedName name="solver_lhs127" localSheetId="55" hidden="1">NonLinLarge!$H$133</definedName>
    <definedName name="solver_lhs128" localSheetId="55" hidden="1">NonLinLarge!$H$134</definedName>
    <definedName name="solver_lhs129" localSheetId="55" hidden="1">NonLinLarge!$H$135</definedName>
    <definedName name="solver_lhs13" localSheetId="55" hidden="1">NonLinLarge!$H$19</definedName>
    <definedName name="solver_lhs130" localSheetId="55" hidden="1">NonLinLarge!$H$136</definedName>
    <definedName name="solver_lhs131" localSheetId="55" hidden="1">NonLinLarge!$H$137</definedName>
    <definedName name="solver_lhs132" localSheetId="55" hidden="1">NonLinLarge!$H$138</definedName>
    <definedName name="solver_lhs133" localSheetId="55" hidden="1">NonLinLarge!$H$139</definedName>
    <definedName name="solver_lhs14" localSheetId="55" hidden="1">NonLinLarge!$H$20</definedName>
    <definedName name="solver_lhs15" localSheetId="55" hidden="1">NonLinLarge!$H$21</definedName>
    <definedName name="solver_lhs16" localSheetId="55" hidden="1">NonLinLarge!$H$22</definedName>
    <definedName name="solver_lhs17" localSheetId="55" hidden="1">NonLinLarge!$H$23</definedName>
    <definedName name="solver_lhs18" localSheetId="55" hidden="1">NonLinLarge!$H$24</definedName>
    <definedName name="solver_lhs19" localSheetId="55" hidden="1">NonLinLarge!$H$25</definedName>
    <definedName name="solver_lhs2" localSheetId="68" hidden="1">AutoModel!$B$14</definedName>
    <definedName name="solver_lhs2" localSheetId="20" hidden="1">'BadName!'!$H$10</definedName>
    <definedName name="solver_lhs2" localSheetId="32" hidden="1">BinIntLB!$D$5:$F$5</definedName>
    <definedName name="solver_lhs2" localSheetId="17" hidden="1">BinIntOverlap!$I$10</definedName>
    <definedName name="solver_lhs2" localSheetId="31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4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40" hidden="1">ConstantLB!$D$5</definedName>
    <definedName name="solver_lhs2" localSheetId="37" hidden="1">ConstFormulaRangeLB!$D$4:$F$4</definedName>
    <definedName name="solver_lhs2" localSheetId="39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9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1" hidden="1">FormulaLB!$D$5</definedName>
    <definedName name="solver_lhs2" localSheetId="43" hidden="1">FractionalCoeffs!$G$7</definedName>
    <definedName name="solver_lhs2" localSheetId="67" hidden="1">Highlighting!$G$9</definedName>
    <definedName name="solver_lhs2" localSheetId="28" hidden="1">IndirectLBs!$H$12</definedName>
    <definedName name="solver_lhs2" localSheetId="24" hidden="1">InfConstConstraint!$J$10</definedName>
    <definedName name="solver_lhs2" localSheetId="45" hidden="1">InfModel!$H$11</definedName>
    <definedName name="solver_lhs2" localSheetId="46" hidden="1">IterativeCalc!$H$11</definedName>
    <definedName name="solver_lhs2" localSheetId="34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9" hidden="1">NamedRanges!$I$9</definedName>
    <definedName name="solver_lhs2" localSheetId="61" hidden="1">NonLin!$J$41:$J$42</definedName>
    <definedName name="solver_lhs2" localSheetId="62" hidden="1">NonLin2!$C$4:$D$4</definedName>
    <definedName name="solver_lhs2" localSheetId="63" hidden="1">NonLin3!$S$10:$S$11</definedName>
    <definedName name="solver_lhs2" localSheetId="60" hidden="1">NonLinBinary!$C$4:$D$4</definedName>
    <definedName name="solver_lhs2" localSheetId="59" hidden="1">NonLinConstraints!$D$5:$H$5</definedName>
    <definedName name="solver_lhs2" localSheetId="55" hidden="1">NonLinLarge!$H$9:$H$72</definedName>
    <definedName name="solver_lhs2" localSheetId="58" hidden="1">NonLinMinMax!$D$4:$F$4</definedName>
    <definedName name="solver_lhs2" localSheetId="56" hidden="1">NonLinObj!$H$9</definedName>
    <definedName name="solver_lhs2" localSheetId="57" hidden="1">NonLinPruning!$F$10:$F$11</definedName>
    <definedName name="solver_lhs2" localSheetId="54" hidden="1">NonLinSimple!$H$9</definedName>
    <definedName name="solver_lhs2" localSheetId="47" hidden="1">NoObj!$H$11</definedName>
    <definedName name="solver_lhs2" localSheetId="3" hidden="1">OverlappingVars!$H$10</definedName>
    <definedName name="solver_lhs2" localSheetId="35" hidden="1">OverlapRangeLB!$E$6:$H$6</definedName>
    <definedName name="solver_lhs2" localSheetId="36" hidden="1">OverlapRangeLBwithFormula!$D$6:$H$6</definedName>
    <definedName name="solver_lhs2" localSheetId="27" hidden="1">ProtectedSheet!$H$10</definedName>
    <definedName name="solver_lhs2" localSheetId="50" hidden="1">QuickSolve!$H$9:$H$10</definedName>
    <definedName name="solver_lhs2" localSheetId="33" hidden="1">Relaxation!$D$5:$F$5</definedName>
    <definedName name="solver_lhs2" localSheetId="48" hidden="1">SeekObj!$G$7</definedName>
    <definedName name="solver_lhs2" localSheetId="52" hidden="1">Sensitivity!$G$9</definedName>
    <definedName name="solver_lhs2" localSheetId="53" hidden="1">SensitivityNames!$D$17:$H$17</definedName>
    <definedName name="solver_lhs2" localSheetId="2" hidden="1">SimpleLP!$H$10</definedName>
    <definedName name="solver_lhs2" localSheetId="30" hidden="1">SingleRangeLB!$D$4:$F$4</definedName>
    <definedName name="solver_lhs2" localSheetId="51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26" hidden="1">Unbounded!$H$10</definedName>
    <definedName name="solver_lhs2" localSheetId="42" hidden="1">VarConstraintLB!$D$7</definedName>
    <definedName name="solver_lhs2" localSheetId="38" hidden="1">VariableFormulaRangeLB!$D$5:$F$5</definedName>
    <definedName name="solver_lhs20" localSheetId="55" hidden="1">NonLinLarge!$H$26</definedName>
    <definedName name="solver_lhs21" localSheetId="55" hidden="1">NonLinLarge!$H$27</definedName>
    <definedName name="solver_lhs22" localSheetId="55" hidden="1">NonLinLarge!$H$28</definedName>
    <definedName name="solver_lhs23" localSheetId="55" hidden="1">NonLinLarge!$H$29</definedName>
    <definedName name="solver_lhs24" localSheetId="55" hidden="1">NonLinLarge!$H$30</definedName>
    <definedName name="solver_lhs25" localSheetId="55" hidden="1">NonLinLarge!$H$31</definedName>
    <definedName name="solver_lhs26" localSheetId="55" hidden="1">NonLinLarge!$H$32</definedName>
    <definedName name="solver_lhs27" localSheetId="55" hidden="1">NonLinLarge!$H$33</definedName>
    <definedName name="solver_lhs28" localSheetId="55" hidden="1">NonLinLarge!$H$34</definedName>
    <definedName name="solver_lhs29" localSheetId="55" hidden="1">NonLinLarge!$H$35</definedName>
    <definedName name="solver_lhs3" localSheetId="68" hidden="1">AutoModel!$B$17</definedName>
    <definedName name="solver_lhs3" localSheetId="20" hidden="1">'BadName!'!$H$11</definedName>
    <definedName name="solver_lhs3" localSheetId="32" hidden="1">BinIntLB!$F$5</definedName>
    <definedName name="solver_lhs3" localSheetId="17" hidden="1">BinIntOverlap!$I$11</definedName>
    <definedName name="solver_lhs3" localSheetId="31" hidden="1">BinLB!$F$5</definedName>
    <definedName name="solver_lhs3" localSheetId="5" hidden="1">BlankLHS!$H$11</definedName>
    <definedName name="solver_lhs3" localSheetId="4" hidden="1">BlankRHS!$H$11</definedName>
    <definedName name="solver_lhs3" localSheetId="44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40" hidden="1">ConstantLB!$H$12</definedName>
    <definedName name="solver_lhs3" localSheetId="37" hidden="1">ConstFormulaRangeLB!$H$11</definedName>
    <definedName name="solver_lhs3" localSheetId="39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9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1" hidden="1">FormulaLB!$H$12</definedName>
    <definedName name="solver_lhs3" localSheetId="43" hidden="1">FractionalCoeffs!$G$8:$G$9</definedName>
    <definedName name="solver_lhs3" localSheetId="67" hidden="1">Highlighting!$G$10</definedName>
    <definedName name="solver_lhs3" localSheetId="28" hidden="1">IndirectLBs!$H$13</definedName>
    <definedName name="solver_lhs3" localSheetId="24" hidden="1">InfConstConstraint!$J$11</definedName>
    <definedName name="solver_lhs3" localSheetId="45" hidden="1">InfModel!$H$12</definedName>
    <definedName name="solver_lhs3" localSheetId="46" hidden="1">IterativeCalc!$H$12</definedName>
    <definedName name="solver_lhs3" localSheetId="34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9" hidden="1">NamedRanges!$I$10:$I$11</definedName>
    <definedName name="solver_lhs3" localSheetId="61" hidden="1">NonLin!$J$43</definedName>
    <definedName name="solver_lhs3" localSheetId="55" hidden="1">NonLinLarge!$H$73</definedName>
    <definedName name="solver_lhs3" localSheetId="56" hidden="1">NonLinObj!$H$10</definedName>
    <definedName name="solver_lhs3" localSheetId="57" hidden="1">NonLinPruning!$F$12:$F$18</definedName>
    <definedName name="solver_lhs3" localSheetId="54" hidden="1">NonLinSimple!$H$10</definedName>
    <definedName name="solver_lhs3" localSheetId="47" hidden="1">NoObj!$H$12</definedName>
    <definedName name="solver_lhs3" localSheetId="3" hidden="1">OverlappingVars!$H$11</definedName>
    <definedName name="solver_lhs3" localSheetId="35" hidden="1">OverlapRangeLB!$H$13</definedName>
    <definedName name="solver_lhs3" localSheetId="36" hidden="1">OverlapRangeLBwithFormula!$H$13</definedName>
    <definedName name="solver_lhs3" localSheetId="27" hidden="1">ProtectedSheet!$H$11</definedName>
    <definedName name="solver_lhs3" localSheetId="50" hidden="1">QuickSolve!$H$10</definedName>
    <definedName name="solver_lhs3" localSheetId="33" hidden="1">Relaxation!$F$5</definedName>
    <definedName name="solver_lhs3" localSheetId="48" hidden="1">SeekObj!$G$8:$G$9</definedName>
    <definedName name="solver_lhs3" localSheetId="52" hidden="1">Sensitivity!$G$10:$G$11</definedName>
    <definedName name="solver_lhs3" localSheetId="53" hidden="1">SensitivityNames!$D$14:$H$16</definedName>
    <definedName name="solver_lhs3" localSheetId="2" hidden="1">SimpleLP!$H$11</definedName>
    <definedName name="solver_lhs3" localSheetId="30" hidden="1">SingleRangeLB!$H$11</definedName>
    <definedName name="solver_lhs3" localSheetId="51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26" hidden="1">Unbounded!$H$11</definedName>
    <definedName name="solver_lhs3" localSheetId="42" hidden="1">VarConstraintLB!$H$12</definedName>
    <definedName name="solver_lhs3" localSheetId="38" hidden="1">VariableFormulaRangeLB!$H$12</definedName>
    <definedName name="solver_lhs30" localSheetId="55" hidden="1">NonLinLarge!$H$36</definedName>
    <definedName name="solver_lhs31" localSheetId="55" hidden="1">NonLinLarge!$H$37</definedName>
    <definedName name="solver_lhs32" localSheetId="55" hidden="1">NonLinLarge!$H$38</definedName>
    <definedName name="solver_lhs33" localSheetId="55" hidden="1">NonLinLarge!$H$39</definedName>
    <definedName name="solver_lhs34" localSheetId="55" hidden="1">NonLinLarge!$H$40</definedName>
    <definedName name="solver_lhs35" localSheetId="55" hidden="1">NonLinLarge!$H$41</definedName>
    <definedName name="solver_lhs36" localSheetId="55" hidden="1">NonLinLarge!$H$42</definedName>
    <definedName name="solver_lhs37" localSheetId="55" hidden="1">NonLinLarge!$H$43</definedName>
    <definedName name="solver_lhs38" localSheetId="55" hidden="1">NonLinLarge!$H$44</definedName>
    <definedName name="solver_lhs39" localSheetId="55" hidden="1">NonLinLarge!$H$45</definedName>
    <definedName name="solver_lhs4" localSheetId="68" hidden="1">AutoModel!$D$33</definedName>
    <definedName name="solver_lhs4" localSheetId="20" hidden="1">'BadName!'!$H$12</definedName>
    <definedName name="solver_lhs4" localSheetId="32" hidden="1">BinIntLB!$E$5:$F$5</definedName>
    <definedName name="solver_lhs4" localSheetId="17" hidden="1">BinIntOverlap!$E$4:$F$4</definedName>
    <definedName name="solver_lhs4" localSheetId="31" hidden="1">BinLB!$H$12</definedName>
    <definedName name="solver_lhs4" localSheetId="5" hidden="1">BlankLHS!$H$11</definedName>
    <definedName name="solver_lhs4" localSheetId="4" hidden="1">BlankRHS!$H$11</definedName>
    <definedName name="solver_lhs4" localSheetId="44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40" hidden="1">ConstantLB!$H$13</definedName>
    <definedName name="solver_lhs4" localSheetId="37" hidden="1">ConstFormulaRangeLB!$H$12</definedName>
    <definedName name="solver_lhs4" localSheetId="39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9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1" hidden="1">FormulaLB!$H$13</definedName>
    <definedName name="solver_lhs4" localSheetId="43" hidden="1">FractionalCoeffs!$G$9</definedName>
    <definedName name="solver_lhs4" localSheetId="67" hidden="1">Highlighting!$M$15</definedName>
    <definedName name="solver_lhs4" localSheetId="28" hidden="1">IndirectLBs!$D$5:$E$5</definedName>
    <definedName name="solver_lhs4" localSheetId="24" hidden="1">InfConstConstraint!$J$11</definedName>
    <definedName name="solver_lhs4" localSheetId="45" hidden="1">InfModel!$D$5</definedName>
    <definedName name="solver_lhs4" localSheetId="46" hidden="1">IterativeCalc!$H$12</definedName>
    <definedName name="solver_lhs4" localSheetId="34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9" hidden="1">NamedRanges!$I$12</definedName>
    <definedName name="solver_lhs4" localSheetId="61" hidden="1">NonLin!$J$44</definedName>
    <definedName name="solver_lhs4" localSheetId="55" hidden="1">NonLinLarge!$H$74</definedName>
    <definedName name="solver_lhs4" localSheetId="57" hidden="1">NonLinPruning!$F$11</definedName>
    <definedName name="solver_lhs4" localSheetId="47" hidden="1">NoObj!$H$12</definedName>
    <definedName name="solver_lhs4" localSheetId="3" hidden="1">OverlappingVars!$H$8:$H$9</definedName>
    <definedName name="solver_lhs4" localSheetId="35" hidden="1">OverlapRangeLB!$H$14</definedName>
    <definedName name="solver_lhs4" localSheetId="36" hidden="1">OverlapRangeLBwithFormula!$H$14</definedName>
    <definedName name="solver_lhs4" localSheetId="27" hidden="1">ProtectedSheet!$H$11</definedName>
    <definedName name="solver_lhs4" localSheetId="50" hidden="1">QuickSolve!$D$4:$E$4</definedName>
    <definedName name="solver_lhs4" localSheetId="33" hidden="1">Relaxation!$E$5:$F$5</definedName>
    <definedName name="solver_lhs4" localSheetId="48" hidden="1">SeekObj!$G$9</definedName>
    <definedName name="solver_lhs4" localSheetId="52" hidden="1">Sensitivity!$D$4:$F$4</definedName>
    <definedName name="solver_lhs4" localSheetId="2" hidden="1">SimpleLP!$H$8:$H$9</definedName>
    <definedName name="solver_lhs4" localSheetId="30" hidden="1">SingleRangeLB!$H$12</definedName>
    <definedName name="solver_lhs4" localSheetId="51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26" hidden="1">Unbounded!$H$8:$H$9</definedName>
    <definedName name="solver_lhs4" localSheetId="42" hidden="1">VarConstraintLB!$H$13</definedName>
    <definedName name="solver_lhs4" localSheetId="38" hidden="1">VariableFormulaRangeLB!$H$13</definedName>
    <definedName name="solver_lhs40" localSheetId="55" hidden="1">NonLinLarge!$H$46</definedName>
    <definedName name="solver_lhs41" localSheetId="55" hidden="1">NonLinLarge!$H$47</definedName>
    <definedName name="solver_lhs42" localSheetId="55" hidden="1">NonLinLarge!$H$48</definedName>
    <definedName name="solver_lhs43" localSheetId="55" hidden="1">NonLinLarge!$H$49</definedName>
    <definedName name="solver_lhs44" localSheetId="55" hidden="1">NonLinLarge!$H$50</definedName>
    <definedName name="solver_lhs45" localSheetId="55" hidden="1">NonLinLarge!$H$51</definedName>
    <definedName name="solver_lhs46" localSheetId="55" hidden="1">NonLinLarge!$H$52</definedName>
    <definedName name="solver_lhs47" localSheetId="55" hidden="1">NonLinLarge!$H$53</definedName>
    <definedName name="solver_lhs48" localSheetId="55" hidden="1">NonLinLarge!$H$54</definedName>
    <definedName name="solver_lhs49" localSheetId="55" hidden="1">NonLinLarge!$H$55</definedName>
    <definedName name="solver_lhs5" localSheetId="68" hidden="1">AutoModel!$B$28:$D$28</definedName>
    <definedName name="solver_lhs5" localSheetId="20" hidden="1">'BadName!'!$D$5</definedName>
    <definedName name="solver_lhs5" localSheetId="32" hidden="1">BinIntLB!$H$12</definedName>
    <definedName name="solver_lhs5" localSheetId="17" hidden="1">BinIntOverlap!$D$4:$F$4</definedName>
    <definedName name="solver_lhs5" localSheetId="31" hidden="1">BinLB!$H$13</definedName>
    <definedName name="solver_lhs5" localSheetId="5" hidden="1">BlankLHS!$D$4</definedName>
    <definedName name="solver_lhs5" localSheetId="4" hidden="1">BlankRHS!$D$4</definedName>
    <definedName name="solver_lhs5" localSheetId="44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40" hidden="1">ConstantLB!$D$5</definedName>
    <definedName name="solver_lhs5" localSheetId="37" hidden="1">ConstFormulaRangeLB!$D$4</definedName>
    <definedName name="solver_lhs5" localSheetId="39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9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1" hidden="1">FormulaLB!$D$5</definedName>
    <definedName name="solver_lhs5" localSheetId="67" hidden="1">Highlighting!$M$12</definedName>
    <definedName name="solver_lhs5" localSheetId="28" hidden="1">IndirectLBs!$D$5</definedName>
    <definedName name="solver_lhs5" localSheetId="24" hidden="1">InfConstConstraint!$D$4</definedName>
    <definedName name="solver_lhs5" localSheetId="45" hidden="1">InfModel!$D$5</definedName>
    <definedName name="solver_lhs5" localSheetId="46" hidden="1">IterativeCalc!$D$5</definedName>
    <definedName name="solver_lhs5" localSheetId="34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1" hidden="1">NonLin!$D$3:$D$35</definedName>
    <definedName name="solver_lhs5" localSheetId="55" hidden="1">NonLinLarge!$H$75:$H$138</definedName>
    <definedName name="solver_lhs5" localSheetId="57" hidden="1">NonLinPruning!$F$12:$F$17</definedName>
    <definedName name="solver_lhs5" localSheetId="47" hidden="1">NoObj!$D$5</definedName>
    <definedName name="solver_lhs5" localSheetId="3" hidden="1">OverlappingVars!$H$10</definedName>
    <definedName name="solver_lhs5" localSheetId="35" hidden="1">OverlapRangeLB!$D$6</definedName>
    <definedName name="solver_lhs5" localSheetId="36" hidden="1">OverlapRangeLBwithFormula!$D$6</definedName>
    <definedName name="solver_lhs5" localSheetId="27" hidden="1">ProtectedSheet!$D$4</definedName>
    <definedName name="solver_lhs5" localSheetId="50" hidden="1">QuickSolve!$H$11</definedName>
    <definedName name="solver_lhs5" localSheetId="33" hidden="1">Relaxation!$F$5</definedName>
    <definedName name="solver_lhs5" localSheetId="2" hidden="1">SimpleLP!$H$10</definedName>
    <definedName name="solver_lhs5" localSheetId="30" hidden="1">SingleRangeLB!$D$4</definedName>
    <definedName name="solver_lhs5" localSheetId="10" hidden="1">TextObj!$D$4</definedName>
    <definedName name="solver_lhs5" localSheetId="6" hidden="1">TextRHS!$D$4</definedName>
    <definedName name="solver_lhs5" localSheetId="26" hidden="1">Unbounded!$H$10</definedName>
    <definedName name="solver_lhs5" localSheetId="42" hidden="1">VarConstraintLB!$D$5</definedName>
    <definedName name="solver_lhs5" localSheetId="38" hidden="1">VariableFormulaRangeLB!$D$5</definedName>
    <definedName name="solver_lhs50" localSheetId="55" hidden="1">NonLinLarge!$H$56</definedName>
    <definedName name="solver_lhs51" localSheetId="55" hidden="1">NonLinLarge!$H$57</definedName>
    <definedName name="solver_lhs52" localSheetId="55" hidden="1">NonLinLarge!$H$58</definedName>
    <definedName name="solver_lhs53" localSheetId="55" hidden="1">NonLinLarge!$H$59</definedName>
    <definedName name="solver_lhs54" localSheetId="55" hidden="1">NonLinLarge!$H$60</definedName>
    <definedName name="solver_lhs55" localSheetId="55" hidden="1">NonLinLarge!$H$61</definedName>
    <definedName name="solver_lhs56" localSheetId="55" hidden="1">NonLinLarge!$H$62</definedName>
    <definedName name="solver_lhs57" localSheetId="55" hidden="1">NonLinLarge!$H$63</definedName>
    <definedName name="solver_lhs58" localSheetId="55" hidden="1">NonLinLarge!$H$64</definedName>
    <definedName name="solver_lhs59" localSheetId="55" hidden="1">NonLinLarge!$H$65</definedName>
    <definedName name="solver_lhs6" localSheetId="68" hidden="1">AutoModel!$C$28</definedName>
    <definedName name="solver_lhs6" localSheetId="20" hidden="1">'BadName!'!#REF!</definedName>
    <definedName name="solver_lhs6" localSheetId="32" hidden="1">BinIntLB!$H$13</definedName>
    <definedName name="solver_lhs6" localSheetId="17" hidden="1">BinIntOverlap!$I$11</definedName>
    <definedName name="solver_lhs6" localSheetId="31" hidden="1">BinLB!$D$5</definedName>
    <definedName name="solver_lhs6" localSheetId="5" hidden="1">BlankLHS!#REF!</definedName>
    <definedName name="solver_lhs6" localSheetId="4" hidden="1">BlankRHS!#REF!</definedName>
    <definedName name="solver_lhs6" localSheetId="44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40" hidden="1">ConstantLB!$D$5:$F$5</definedName>
    <definedName name="solver_lhs6" localSheetId="37" hidden="1">ConstFormulaRangeLB!$D$4:$F$4</definedName>
    <definedName name="solver_lhs6" localSheetId="39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9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1" hidden="1">FormulaLB!$D$5:$F$5</definedName>
    <definedName name="solver_lhs6" localSheetId="67" hidden="1">Highlighting!$M$12</definedName>
    <definedName name="solver_lhs6" localSheetId="28" hidden="1">IndirectLBs!$D$5:$E$5</definedName>
    <definedName name="solver_lhs6" localSheetId="24" hidden="1">InfConstConstraint!#REF!</definedName>
    <definedName name="solver_lhs6" localSheetId="45" hidden="1">InfModel!#REF!</definedName>
    <definedName name="solver_lhs6" localSheetId="46" hidden="1">IterativeCalc!#REF!</definedName>
    <definedName name="solver_lhs6" localSheetId="34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5" hidden="1">NonLinLarge!$H$139</definedName>
    <definedName name="solver_lhs6" localSheetId="57" hidden="1">NonLinPruning!$F$18</definedName>
    <definedName name="solver_lhs6" localSheetId="47" hidden="1">NoObj!#REF!</definedName>
    <definedName name="solver_lhs6" localSheetId="3" hidden="1">OverlappingVars!$H$11</definedName>
    <definedName name="solver_lhs6" localSheetId="35" hidden="1">OverlapRangeLB!$D$6:$F$6</definedName>
    <definedName name="solver_lhs6" localSheetId="36" hidden="1">OverlapRangeLBwithFormula!$D$6:$F$6</definedName>
    <definedName name="solver_lhs6" localSheetId="27" hidden="1">ProtectedSheet!#REF!</definedName>
    <definedName name="solver_lhs6" localSheetId="50" hidden="1">QuickSolve!#REF!</definedName>
    <definedName name="solver_lhs6" localSheetId="33" hidden="1">Relaxation!$E$5:$F$5</definedName>
    <definedName name="solver_lhs6" localSheetId="2" hidden="1">SimpleLP!$H$11</definedName>
    <definedName name="solver_lhs6" localSheetId="30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26" hidden="1">Unbounded!$H$11</definedName>
    <definedName name="solver_lhs6" localSheetId="42" hidden="1">VarConstraintLB!$D$5:$F$5</definedName>
    <definedName name="solver_lhs6" localSheetId="38" hidden="1">VariableFormulaRangeLB!$D$5:$F$5</definedName>
    <definedName name="solver_lhs60" localSheetId="55" hidden="1">NonLinLarge!$H$66</definedName>
    <definedName name="solver_lhs61" localSheetId="55" hidden="1">NonLinLarge!$H$67</definedName>
    <definedName name="solver_lhs62" localSheetId="55" hidden="1">NonLinLarge!$H$68</definedName>
    <definedName name="solver_lhs63" localSheetId="55" hidden="1">NonLinLarge!$H$69</definedName>
    <definedName name="solver_lhs64" localSheetId="55" hidden="1">NonLinLarge!$H$70</definedName>
    <definedName name="solver_lhs65" localSheetId="55" hidden="1">NonLinLarge!$H$71</definedName>
    <definedName name="solver_lhs66" localSheetId="55" hidden="1">NonLinLarge!$H$72</definedName>
    <definedName name="solver_lhs67" localSheetId="55" hidden="1">NonLinLarge!$H$73</definedName>
    <definedName name="solver_lhs68" localSheetId="55" hidden="1">NonLinLarge!$H$74</definedName>
    <definedName name="solver_lhs69" localSheetId="55" hidden="1">NonLinLarge!$H$75</definedName>
    <definedName name="solver_lhs7" localSheetId="68" hidden="1">AutoModel!$D$28</definedName>
    <definedName name="solver_lhs7" localSheetId="20" hidden="1">'BadName!'!#REF!</definedName>
    <definedName name="solver_lhs7" localSheetId="32" hidden="1">BinIntLB!$E$5:$F$5</definedName>
    <definedName name="solver_lhs7" localSheetId="17" hidden="1">BinIntOverlap!#REF!</definedName>
    <definedName name="solver_lhs7" localSheetId="31" hidden="1">BinLB!#REF!</definedName>
    <definedName name="solver_lhs7" localSheetId="5" hidden="1">BlankLHS!#REF!</definedName>
    <definedName name="solver_lhs7" localSheetId="4" hidden="1">BlankRHS!#REF!</definedName>
    <definedName name="solver_lhs7" localSheetId="44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40" hidden="1">ConstantLB!#REF!</definedName>
    <definedName name="solver_lhs7" localSheetId="37" hidden="1">ConstFormulaRangeLB!#REF!</definedName>
    <definedName name="solver_lhs7" localSheetId="39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9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1" hidden="1">FormulaLB!#REF!</definedName>
    <definedName name="solver_lhs7" localSheetId="67" hidden="1">Highlighting!$M$17:$M$18</definedName>
    <definedName name="solver_lhs7" localSheetId="28" hidden="1">IndirectLBs!#REF!</definedName>
    <definedName name="solver_lhs7" localSheetId="24" hidden="1">InfConstConstraint!#REF!</definedName>
    <definedName name="solver_lhs7" localSheetId="45" hidden="1">InfModel!#REF!</definedName>
    <definedName name="solver_lhs7" localSheetId="46" hidden="1">IterativeCalc!#REF!</definedName>
    <definedName name="solver_lhs7" localSheetId="34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5" hidden="1">NonLinLarge!$H$13</definedName>
    <definedName name="solver_lhs7" localSheetId="47" hidden="1">NoObj!#REF!</definedName>
    <definedName name="solver_lhs7" localSheetId="3" hidden="1">OverlappingVars!$H$8:$H$9</definedName>
    <definedName name="solver_lhs7" localSheetId="35" hidden="1">OverlapRangeLB!#REF!</definedName>
    <definedName name="solver_lhs7" localSheetId="36" hidden="1">OverlapRangeLBwithFormula!#REF!</definedName>
    <definedName name="solver_lhs7" localSheetId="27" hidden="1">ProtectedSheet!#REF!</definedName>
    <definedName name="solver_lhs7" localSheetId="50" hidden="1">QuickSolve!#REF!</definedName>
    <definedName name="solver_lhs7" localSheetId="33" hidden="1">Relaxation!$E$5:$F$5</definedName>
    <definedName name="solver_lhs7" localSheetId="2" hidden="1">SimpleLP!#REF!</definedName>
    <definedName name="solver_lhs7" localSheetId="30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26" hidden="1">Unbounded!#REF!</definedName>
    <definedName name="solver_lhs7" localSheetId="42" hidden="1">VarConstraintLB!#REF!</definedName>
    <definedName name="solver_lhs7" localSheetId="38" hidden="1">VariableFormulaRangeLB!#REF!</definedName>
    <definedName name="solver_lhs70" localSheetId="55" hidden="1">NonLinLarge!$H$76</definedName>
    <definedName name="solver_lhs71" localSheetId="55" hidden="1">NonLinLarge!$H$77</definedName>
    <definedName name="solver_lhs72" localSheetId="55" hidden="1">NonLinLarge!$H$78</definedName>
    <definedName name="solver_lhs73" localSheetId="55" hidden="1">NonLinLarge!$H$79</definedName>
    <definedName name="solver_lhs74" localSheetId="55" hidden="1">NonLinLarge!$H$80</definedName>
    <definedName name="solver_lhs75" localSheetId="55" hidden="1">NonLinLarge!$H$81</definedName>
    <definedName name="solver_lhs76" localSheetId="55" hidden="1">NonLinLarge!$H$82</definedName>
    <definedName name="solver_lhs77" localSheetId="55" hidden="1">NonLinLarge!$H$83</definedName>
    <definedName name="solver_lhs78" localSheetId="55" hidden="1">NonLinLarge!$H$84</definedName>
    <definedName name="solver_lhs79" localSheetId="55" hidden="1">NonLinLarge!$H$85</definedName>
    <definedName name="solver_lhs8" localSheetId="20" hidden="1">'BadName!'!#REF!</definedName>
    <definedName name="solver_lhs8" localSheetId="32" hidden="1">BinIntLB!#REF!</definedName>
    <definedName name="solver_lhs8" localSheetId="17" hidden="1">BinIntOverlap!#REF!</definedName>
    <definedName name="solver_lhs8" localSheetId="31" hidden="1">BinLB!#REF!</definedName>
    <definedName name="solver_lhs8" localSheetId="5" hidden="1">BlankLHS!#REF!</definedName>
    <definedName name="solver_lhs8" localSheetId="4" hidden="1">BlankRHS!#REF!</definedName>
    <definedName name="solver_lhs8" localSheetId="44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40" hidden="1">ConstantLB!#REF!</definedName>
    <definedName name="solver_lhs8" localSheetId="37" hidden="1">ConstFormulaRangeLB!#REF!</definedName>
    <definedName name="solver_lhs8" localSheetId="39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9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1" hidden="1">FormulaLB!#REF!</definedName>
    <definedName name="solver_lhs8" localSheetId="67" hidden="1">Highlighting!$L$9:$N$9</definedName>
    <definedName name="solver_lhs8" localSheetId="28" hidden="1">IndirectLBs!#REF!</definedName>
    <definedName name="solver_lhs8" localSheetId="24" hidden="1">InfConstConstraint!#REF!</definedName>
    <definedName name="solver_lhs8" localSheetId="45" hidden="1">InfModel!#REF!</definedName>
    <definedName name="solver_lhs8" localSheetId="46" hidden="1">IterativeCalc!#REF!</definedName>
    <definedName name="solver_lhs8" localSheetId="34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5" hidden="1">NonLinLarge!$H$14</definedName>
    <definedName name="solver_lhs8" localSheetId="47" hidden="1">NoObj!#REF!</definedName>
    <definedName name="solver_lhs8" localSheetId="3" hidden="1">OverlappingVars!$H$10</definedName>
    <definedName name="solver_lhs8" localSheetId="35" hidden="1">OverlapRangeLB!#REF!</definedName>
    <definedName name="solver_lhs8" localSheetId="36" hidden="1">OverlapRangeLBwithFormula!#REF!</definedName>
    <definedName name="solver_lhs8" localSheetId="27" hidden="1">ProtectedSheet!#REF!</definedName>
    <definedName name="solver_lhs8" localSheetId="50" hidden="1">QuickSolve!#REF!</definedName>
    <definedName name="solver_lhs8" localSheetId="33" hidden="1">Relaxation!#REF!</definedName>
    <definedName name="solver_lhs8" localSheetId="2" hidden="1">SimpleLP!#REF!</definedName>
    <definedName name="solver_lhs8" localSheetId="30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26" hidden="1">Unbounded!#REF!</definedName>
    <definedName name="solver_lhs8" localSheetId="42" hidden="1">VarConstraintLB!#REF!</definedName>
    <definedName name="solver_lhs8" localSheetId="38" hidden="1">VariableFormulaRangeLB!#REF!</definedName>
    <definedName name="solver_lhs80" localSheetId="55" hidden="1">NonLinLarge!$H$86</definedName>
    <definedName name="solver_lhs81" localSheetId="55" hidden="1">NonLinLarge!$H$87</definedName>
    <definedName name="solver_lhs82" localSheetId="55" hidden="1">NonLinLarge!$H$88</definedName>
    <definedName name="solver_lhs83" localSheetId="55" hidden="1">NonLinLarge!$H$89</definedName>
    <definedName name="solver_lhs84" localSheetId="55" hidden="1">NonLinLarge!$H$90</definedName>
    <definedName name="solver_lhs85" localSheetId="55" hidden="1">NonLinLarge!$H$91</definedName>
    <definedName name="solver_lhs86" localSheetId="55" hidden="1">NonLinLarge!$H$92</definedName>
    <definedName name="solver_lhs87" localSheetId="55" hidden="1">NonLinLarge!$H$93</definedName>
    <definedName name="solver_lhs88" localSheetId="55" hidden="1">NonLinLarge!$H$94</definedName>
    <definedName name="solver_lhs89" localSheetId="55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7" hidden="1">Highlighting!$L$9:$N$9</definedName>
    <definedName name="solver_lhs9" localSheetId="55" hidden="1">NonLinLarge!$H$15</definedName>
    <definedName name="solver_lhs9" localSheetId="3" hidden="1">OverlappingVars!$H$11</definedName>
    <definedName name="solver_lhs90" localSheetId="55" hidden="1">NonLinLarge!$H$96</definedName>
    <definedName name="solver_lhs91" localSheetId="55" hidden="1">NonLinLarge!$H$97</definedName>
    <definedName name="solver_lhs92" localSheetId="55" hidden="1">NonLinLarge!$H$98</definedName>
    <definedName name="solver_lhs93" localSheetId="55" hidden="1">NonLinLarge!$H$99</definedName>
    <definedName name="solver_lhs94" localSheetId="55" hidden="1">NonLinLarge!$H$100</definedName>
    <definedName name="solver_lhs95" localSheetId="55" hidden="1">NonLinLarge!$H$101</definedName>
    <definedName name="solver_lhs96" localSheetId="55" hidden="1">NonLinLarge!$H$102</definedName>
    <definedName name="solver_lhs97" localSheetId="55" hidden="1">NonLinLarge!$H$103</definedName>
    <definedName name="solver_lhs98" localSheetId="55" hidden="1">NonLinLarge!$H$104</definedName>
    <definedName name="solver_lhs99" localSheetId="55" hidden="1">NonLinLarge!$H$105</definedName>
    <definedName name="solver_lin" localSheetId="68" hidden="1">1</definedName>
    <definedName name="solver_lin" localSheetId="20" hidden="1">1</definedName>
    <definedName name="solver_lin" localSheetId="32" hidden="1">1</definedName>
    <definedName name="solver_lin" localSheetId="17" hidden="1">1</definedName>
    <definedName name="solver_lin" localSheetId="31" hidden="1">1</definedName>
    <definedName name="solver_lin" localSheetId="5" hidden="1">1</definedName>
    <definedName name="solver_lin" localSheetId="4" hidden="1">1</definedName>
    <definedName name="solver_lin" localSheetId="44" hidden="1">1</definedName>
    <definedName name="solver_lin" localSheetId="18" hidden="1">1</definedName>
    <definedName name="solver_lin" localSheetId="19" hidden="1">1</definedName>
    <definedName name="solver_lin" localSheetId="40" hidden="1">1</definedName>
    <definedName name="solver_lin" localSheetId="37" hidden="1">1</definedName>
    <definedName name="solver_lin" localSheetId="39" hidden="1">1</definedName>
    <definedName name="solver_lin" localSheetId="22" hidden="1">1</definedName>
    <definedName name="solver_lin" localSheetId="23" hidden="1">1</definedName>
    <definedName name="solver_lin" localSheetId="29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1" hidden="1">1</definedName>
    <definedName name="solver_lin" localSheetId="43" hidden="1">1</definedName>
    <definedName name="solver_lin" localSheetId="67" hidden="1">1</definedName>
    <definedName name="solver_lin" localSheetId="28" hidden="1">1</definedName>
    <definedName name="solver_lin" localSheetId="24" hidden="1">1</definedName>
    <definedName name="solver_lin" localSheetId="45" hidden="1">1</definedName>
    <definedName name="solver_lin" localSheetId="46" hidden="1">1</definedName>
    <definedName name="solver_lin" localSheetId="34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9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0" hidden="1">1</definedName>
    <definedName name="solver_lin" localSheetId="59" hidden="1">1</definedName>
    <definedName name="solver_lin" localSheetId="55" hidden="1">1</definedName>
    <definedName name="solver_lin" localSheetId="58" hidden="1">1</definedName>
    <definedName name="solver_lin" localSheetId="56" hidden="1">1</definedName>
    <definedName name="solver_lin" localSheetId="57" hidden="1">1</definedName>
    <definedName name="solver_lin" localSheetId="54" hidden="1">1</definedName>
    <definedName name="solver_lin" localSheetId="47" hidden="1">1</definedName>
    <definedName name="solver_lin" localSheetId="3" hidden="1">1</definedName>
    <definedName name="solver_lin" localSheetId="35" hidden="1">1</definedName>
    <definedName name="solver_lin" localSheetId="36" hidden="1">1</definedName>
    <definedName name="solver_lin" localSheetId="27" hidden="1">1</definedName>
    <definedName name="solver_lin" localSheetId="50" hidden="1">1</definedName>
    <definedName name="solver_lin" localSheetId="33" hidden="1">1</definedName>
    <definedName name="solver_lin" localSheetId="1" hidden="1">1</definedName>
    <definedName name="solver_lin" localSheetId="48" hidden="1">1</definedName>
    <definedName name="solver_lin" localSheetId="52" hidden="1">1</definedName>
    <definedName name="solver_lin" localSheetId="53" hidden="1">1</definedName>
    <definedName name="solver_lin" localSheetId="2" hidden="1">1</definedName>
    <definedName name="solver_lin" localSheetId="30" hidden="1">1</definedName>
    <definedName name="solver_lin" localSheetId="51" hidden="1">1</definedName>
    <definedName name="solver_lin" localSheetId="10" hidden="1">1</definedName>
    <definedName name="solver_lin" localSheetId="6" hidden="1">1</definedName>
    <definedName name="solver_lin" localSheetId="26" hidden="1">1</definedName>
    <definedName name="solver_lin" localSheetId="42" hidden="1">1</definedName>
    <definedName name="solver_lin" localSheetId="38" hidden="1">1</definedName>
    <definedName name="solver_mip" localSheetId="32" hidden="1">2147483647</definedName>
    <definedName name="solver_mip" localSheetId="31" hidden="1">2147483647</definedName>
    <definedName name="solver_mip" localSheetId="40" hidden="1">2147483647</definedName>
    <definedName name="solver_mip" localSheetId="37" hidden="1">2147483647</definedName>
    <definedName name="solver_mip" localSheetId="41" hidden="1">2147483647</definedName>
    <definedName name="solver_mip" localSheetId="34" hidden="1">2147483647</definedName>
    <definedName name="solver_mip" localSheetId="64" hidden="1">2147483647</definedName>
    <definedName name="solver_mip" localSheetId="65" hidden="1">2147483647</definedName>
    <definedName name="solver_mip" localSheetId="57" hidden="1">2147483647</definedName>
    <definedName name="solver_mip" localSheetId="35" hidden="1">2147483647</definedName>
    <definedName name="solver_mip" localSheetId="36" hidden="1">2147483647</definedName>
    <definedName name="solver_mip" localSheetId="33" hidden="1">2147483647</definedName>
    <definedName name="solver_mip" localSheetId="2" hidden="1">2147483647</definedName>
    <definedName name="solver_mip" localSheetId="30" hidden="1">2147483647</definedName>
    <definedName name="solver_mip" localSheetId="26" hidden="1">2147483647</definedName>
    <definedName name="solver_mip" localSheetId="42" hidden="1">2147483647</definedName>
    <definedName name="solver_mip" localSheetId="38" hidden="1">2147483647</definedName>
    <definedName name="solver_mni" localSheetId="32" hidden="1">30</definedName>
    <definedName name="solver_mni" localSheetId="31" hidden="1">30</definedName>
    <definedName name="solver_mni" localSheetId="40" hidden="1">30</definedName>
    <definedName name="solver_mni" localSheetId="37" hidden="1">30</definedName>
    <definedName name="solver_mni" localSheetId="41" hidden="1">30</definedName>
    <definedName name="solver_mni" localSheetId="34" hidden="1">30</definedName>
    <definedName name="solver_mni" localSheetId="64" hidden="1">30</definedName>
    <definedName name="solver_mni" localSheetId="65" hidden="1">30</definedName>
    <definedName name="solver_mni" localSheetId="57" hidden="1">30</definedName>
    <definedName name="solver_mni" localSheetId="35" hidden="1">30</definedName>
    <definedName name="solver_mni" localSheetId="36" hidden="1">30</definedName>
    <definedName name="solver_mni" localSheetId="33" hidden="1">30</definedName>
    <definedName name="solver_mni" localSheetId="2" hidden="1">30</definedName>
    <definedName name="solver_mni" localSheetId="30" hidden="1">30</definedName>
    <definedName name="solver_mni" localSheetId="26" hidden="1">30</definedName>
    <definedName name="solver_mni" localSheetId="42" hidden="1">30</definedName>
    <definedName name="solver_mni" localSheetId="38" hidden="1">30</definedName>
    <definedName name="solver_mrt" localSheetId="32" hidden="1">0.075</definedName>
    <definedName name="solver_mrt" localSheetId="31" hidden="1">0.075</definedName>
    <definedName name="solver_mrt" localSheetId="40" hidden="1">0.075</definedName>
    <definedName name="solver_mrt" localSheetId="37" hidden="1">0.075</definedName>
    <definedName name="solver_mrt" localSheetId="41" hidden="1">0.075</definedName>
    <definedName name="solver_mrt" localSheetId="34" hidden="1">0.075</definedName>
    <definedName name="solver_mrt" localSheetId="64" hidden="1">0.075</definedName>
    <definedName name="solver_mrt" localSheetId="65" hidden="1">0.075</definedName>
    <definedName name="solver_mrt" localSheetId="57" hidden="1">0.075</definedName>
    <definedName name="solver_mrt" localSheetId="35" hidden="1">0.075</definedName>
    <definedName name="solver_mrt" localSheetId="36" hidden="1">0.075</definedName>
    <definedName name="solver_mrt" localSheetId="33" hidden="1">0.075</definedName>
    <definedName name="solver_mrt" localSheetId="2" hidden="1">0.075</definedName>
    <definedName name="solver_mrt" localSheetId="30" hidden="1">0.075</definedName>
    <definedName name="solver_mrt" localSheetId="26" hidden="1">0.075</definedName>
    <definedName name="solver_mrt" localSheetId="42" hidden="1">0.075</definedName>
    <definedName name="solver_mrt" localSheetId="38" hidden="1">0.075</definedName>
    <definedName name="solver_msl" localSheetId="32" hidden="1">2</definedName>
    <definedName name="solver_msl" localSheetId="31" hidden="1">2</definedName>
    <definedName name="solver_msl" localSheetId="40" hidden="1">2</definedName>
    <definedName name="solver_msl" localSheetId="37" hidden="1">2</definedName>
    <definedName name="solver_msl" localSheetId="41" hidden="1">2</definedName>
    <definedName name="solver_msl" localSheetId="34" hidden="1">2</definedName>
    <definedName name="solver_msl" localSheetId="64" hidden="1">2</definedName>
    <definedName name="solver_msl" localSheetId="65" hidden="1">2</definedName>
    <definedName name="solver_msl" localSheetId="57" hidden="1">2</definedName>
    <definedName name="solver_msl" localSheetId="35" hidden="1">2</definedName>
    <definedName name="solver_msl" localSheetId="36" hidden="1">2</definedName>
    <definedName name="solver_msl" localSheetId="33" hidden="1">2</definedName>
    <definedName name="solver_msl" localSheetId="2" hidden="1">2</definedName>
    <definedName name="solver_msl" localSheetId="30" hidden="1">2</definedName>
    <definedName name="solver_msl" localSheetId="26" hidden="1">2</definedName>
    <definedName name="solver_msl" localSheetId="42" hidden="1">2</definedName>
    <definedName name="solver_msl" localSheetId="38" hidden="1">2</definedName>
    <definedName name="solver_neg" localSheetId="68" hidden="1">1</definedName>
    <definedName name="solver_neg" localSheetId="20" hidden="1">1</definedName>
    <definedName name="solver_neg" localSheetId="32" hidden="1">1</definedName>
    <definedName name="solver_neg" localSheetId="17" hidden="1">1</definedName>
    <definedName name="solver_neg" localSheetId="31" hidden="1">1</definedName>
    <definedName name="solver_neg" localSheetId="5" hidden="1">1</definedName>
    <definedName name="solver_neg" localSheetId="4" hidden="1">1</definedName>
    <definedName name="solver_neg" localSheetId="44" hidden="1">1</definedName>
    <definedName name="solver_neg" localSheetId="18" hidden="1">1</definedName>
    <definedName name="solver_neg" localSheetId="19" hidden="1">1</definedName>
    <definedName name="solver_neg" localSheetId="40" hidden="1">1</definedName>
    <definedName name="solver_neg" localSheetId="37" hidden="1">1</definedName>
    <definedName name="solver_neg" localSheetId="39" hidden="1">1</definedName>
    <definedName name="solver_neg" localSheetId="22" hidden="1">1</definedName>
    <definedName name="solver_neg" localSheetId="29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1" hidden="1">1</definedName>
    <definedName name="solver_neg" localSheetId="43" hidden="1">1</definedName>
    <definedName name="solver_neg" localSheetId="67" hidden="1">1</definedName>
    <definedName name="solver_neg" localSheetId="28" hidden="1">1</definedName>
    <definedName name="solver_neg" localSheetId="24" hidden="1">1</definedName>
    <definedName name="solver_neg" localSheetId="45" hidden="1">1</definedName>
    <definedName name="solver_neg" localSheetId="46" hidden="1">1</definedName>
    <definedName name="solver_neg" localSheetId="34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9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0" hidden="1">1</definedName>
    <definedName name="solver_neg" localSheetId="59" hidden="1">1</definedName>
    <definedName name="solver_neg" localSheetId="55" hidden="1">1</definedName>
    <definedName name="solver_neg" localSheetId="58" hidden="1">1</definedName>
    <definedName name="solver_neg" localSheetId="56" hidden="1">1</definedName>
    <definedName name="solver_neg" localSheetId="57" hidden="1">1</definedName>
    <definedName name="solver_neg" localSheetId="54" hidden="1">1</definedName>
    <definedName name="solver_neg" localSheetId="47" hidden="1">1</definedName>
    <definedName name="solver_neg" localSheetId="3" hidden="1">1</definedName>
    <definedName name="solver_neg" localSheetId="35" hidden="1">1</definedName>
    <definedName name="solver_neg" localSheetId="36" hidden="1">1</definedName>
    <definedName name="solver_neg" localSheetId="27" hidden="1">1</definedName>
    <definedName name="solver_neg" localSheetId="33" hidden="1">1</definedName>
    <definedName name="solver_neg" localSheetId="1" hidden="1">1</definedName>
    <definedName name="solver_neg" localSheetId="48" hidden="1">1</definedName>
    <definedName name="solver_neg" localSheetId="52" hidden="1">1</definedName>
    <definedName name="solver_neg" localSheetId="53" hidden="1">2</definedName>
    <definedName name="solver_neg" localSheetId="2" hidden="1">1</definedName>
    <definedName name="solver_neg" localSheetId="30" hidden="1">1</definedName>
    <definedName name="solver_neg" localSheetId="51" hidden="1">2</definedName>
    <definedName name="solver_neg" localSheetId="6" hidden="1">1</definedName>
    <definedName name="solver_neg" localSheetId="26" hidden="1">2</definedName>
    <definedName name="solver_neg" localSheetId="42" hidden="1">1</definedName>
    <definedName name="solver_neg" localSheetId="38" hidden="1">1</definedName>
    <definedName name="solver_nod" localSheetId="32" hidden="1">2147483647</definedName>
    <definedName name="solver_nod" localSheetId="31" hidden="1">2147483647</definedName>
    <definedName name="solver_nod" localSheetId="40" hidden="1">2147483647</definedName>
    <definedName name="solver_nod" localSheetId="37" hidden="1">2147483647</definedName>
    <definedName name="solver_nod" localSheetId="41" hidden="1">2147483647</definedName>
    <definedName name="solver_nod" localSheetId="34" hidden="1">2147483647</definedName>
    <definedName name="solver_nod" localSheetId="64" hidden="1">2147483647</definedName>
    <definedName name="solver_nod" localSheetId="65" hidden="1">2147483647</definedName>
    <definedName name="solver_nod" localSheetId="57" hidden="1">2147483647</definedName>
    <definedName name="solver_nod" localSheetId="35" hidden="1">2147483647</definedName>
    <definedName name="solver_nod" localSheetId="36" hidden="1">2147483647</definedName>
    <definedName name="solver_nod" localSheetId="33" hidden="1">2147483647</definedName>
    <definedName name="solver_nod" localSheetId="2" hidden="1">2147483647</definedName>
    <definedName name="solver_nod" localSheetId="30" hidden="1">2147483647</definedName>
    <definedName name="solver_nod" localSheetId="26" hidden="1">2147483647</definedName>
    <definedName name="solver_nod" localSheetId="42" hidden="1">2147483647</definedName>
    <definedName name="solver_nod" localSheetId="38" hidden="1">2147483647</definedName>
    <definedName name="solver_num" localSheetId="68" hidden="1">5</definedName>
    <definedName name="solver_num" localSheetId="20" hidden="1">1</definedName>
    <definedName name="solver_num" localSheetId="32" hidden="1">4</definedName>
    <definedName name="solver_num" localSheetId="17" hidden="1">5</definedName>
    <definedName name="solver_num" localSheetId="31" hidden="1">3</definedName>
    <definedName name="solver_num" localSheetId="5" hidden="1">3</definedName>
    <definedName name="solver_num" localSheetId="4" hidden="1">3</definedName>
    <definedName name="solver_num" localSheetId="44" hidden="1">7</definedName>
    <definedName name="solver_num" localSheetId="18" hidden="1">8</definedName>
    <definedName name="solver_num" localSheetId="19" hidden="1">9</definedName>
    <definedName name="solver_num" localSheetId="40" hidden="1">2</definedName>
    <definedName name="solver_num" localSheetId="37" hidden="1">2</definedName>
    <definedName name="solver_num" localSheetId="39" hidden="1">1</definedName>
    <definedName name="solver_num" localSheetId="22" hidden="1">4</definedName>
    <definedName name="solver_num" localSheetId="23" hidden="1">3</definedName>
    <definedName name="solver_num" localSheetId="29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1" hidden="1">2</definedName>
    <definedName name="solver_num" localSheetId="43" hidden="1">3</definedName>
    <definedName name="solver_num" localSheetId="67" hidden="1">8</definedName>
    <definedName name="solver_num" localSheetId="28" hidden="1">5</definedName>
    <definedName name="solver_num" localSheetId="24" hidden="1">3</definedName>
    <definedName name="solver_num" localSheetId="45" hidden="1">4</definedName>
    <definedName name="solver_num" localSheetId="46" hidden="1">3</definedName>
    <definedName name="solver_num" localSheetId="34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9" hidden="1">4</definedName>
    <definedName name="solver_num" localSheetId="61" hidden="1">5</definedName>
    <definedName name="solver_num" localSheetId="62" hidden="1">1</definedName>
    <definedName name="solver_num" localSheetId="63" hidden="1">2</definedName>
    <definedName name="solver_num" localSheetId="64" hidden="1">0</definedName>
    <definedName name="solver_num" localSheetId="65" hidden="1">0</definedName>
    <definedName name="solver_num" localSheetId="66" hidden="1">0</definedName>
    <definedName name="solver_num" localSheetId="60" hidden="1">2</definedName>
    <definedName name="solver_num" localSheetId="59" hidden="1">1</definedName>
    <definedName name="solver_num" localSheetId="55" hidden="1">6</definedName>
    <definedName name="solver_num" localSheetId="58" hidden="1">2</definedName>
    <definedName name="solver_num" localSheetId="56" hidden="1">3</definedName>
    <definedName name="solver_num" localSheetId="57" hidden="1">3</definedName>
    <definedName name="solver_num" localSheetId="54" hidden="1">3</definedName>
    <definedName name="solver_num" localSheetId="47" hidden="1">3</definedName>
    <definedName name="solver_num" localSheetId="3" hidden="1">3</definedName>
    <definedName name="solver_num" localSheetId="35" hidden="1">2</definedName>
    <definedName name="solver_num" localSheetId="36" hidden="1">2</definedName>
    <definedName name="solver_num" localSheetId="27" hidden="1">3</definedName>
    <definedName name="solver_num" localSheetId="50" hidden="1">2</definedName>
    <definedName name="solver_num" localSheetId="33" hidden="1">4</definedName>
    <definedName name="solver_num" localSheetId="1" hidden="1">0</definedName>
    <definedName name="solver_num" localSheetId="48" hidden="1">3</definedName>
    <definedName name="solver_num" localSheetId="52" hidden="1">3</definedName>
    <definedName name="solver_num" localSheetId="53" hidden="1">3</definedName>
    <definedName name="solver_num" localSheetId="2" hidden="1">3</definedName>
    <definedName name="solver_num" localSheetId="30" hidden="1">2</definedName>
    <definedName name="solver_num" localSheetId="51" hidden="1">3</definedName>
    <definedName name="solver_num" localSheetId="10" hidden="1">3</definedName>
    <definedName name="solver_num" localSheetId="6" hidden="1">3</definedName>
    <definedName name="solver_num" localSheetId="26" hidden="1">3</definedName>
    <definedName name="solver_num" localSheetId="42" hidden="1">2</definedName>
    <definedName name="solver_num" localSheetId="38" hidden="1">2</definedName>
    <definedName name="solver_nwt" localSheetId="68" hidden="1">1</definedName>
    <definedName name="solver_nwt" localSheetId="20" hidden="1">1</definedName>
    <definedName name="solver_nwt" localSheetId="32" hidden="1">1</definedName>
    <definedName name="solver_nwt" localSheetId="17" hidden="1">1</definedName>
    <definedName name="solver_nwt" localSheetId="31" hidden="1">1</definedName>
    <definedName name="solver_nwt" localSheetId="5" hidden="1">1</definedName>
    <definedName name="solver_nwt" localSheetId="4" hidden="1">1</definedName>
    <definedName name="solver_nwt" localSheetId="44" hidden="1">1</definedName>
    <definedName name="solver_nwt" localSheetId="18" hidden="1">1</definedName>
    <definedName name="solver_nwt" localSheetId="19" hidden="1">1</definedName>
    <definedName name="solver_nwt" localSheetId="40" hidden="1">1</definedName>
    <definedName name="solver_nwt" localSheetId="37" hidden="1">1</definedName>
    <definedName name="solver_nwt" localSheetId="39" hidden="1">1</definedName>
    <definedName name="solver_nwt" localSheetId="22" hidden="1">1</definedName>
    <definedName name="solver_nwt" localSheetId="23" hidden="1">1</definedName>
    <definedName name="solver_nwt" localSheetId="29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1" hidden="1">1</definedName>
    <definedName name="solver_nwt" localSheetId="43" hidden="1">1</definedName>
    <definedName name="solver_nwt" localSheetId="67" hidden="1">1</definedName>
    <definedName name="solver_nwt" localSheetId="28" hidden="1">1</definedName>
    <definedName name="solver_nwt" localSheetId="24" hidden="1">1</definedName>
    <definedName name="solver_nwt" localSheetId="45" hidden="1">1</definedName>
    <definedName name="solver_nwt" localSheetId="46" hidden="1">1</definedName>
    <definedName name="solver_nwt" localSheetId="34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9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0" hidden="1">1</definedName>
    <definedName name="solver_nwt" localSheetId="59" hidden="1">1</definedName>
    <definedName name="solver_nwt" localSheetId="55" hidden="1">1</definedName>
    <definedName name="solver_nwt" localSheetId="58" hidden="1">1</definedName>
    <definedName name="solver_nwt" localSheetId="56" hidden="1">1</definedName>
    <definedName name="solver_nwt" localSheetId="57" hidden="1">1</definedName>
    <definedName name="solver_nwt" localSheetId="54" hidden="1">1</definedName>
    <definedName name="solver_nwt" localSheetId="47" hidden="1">1</definedName>
    <definedName name="solver_nwt" localSheetId="3" hidden="1">1</definedName>
    <definedName name="solver_nwt" localSheetId="35" hidden="1">1</definedName>
    <definedName name="solver_nwt" localSheetId="36" hidden="1">1</definedName>
    <definedName name="solver_nwt" localSheetId="27" hidden="1">1</definedName>
    <definedName name="solver_nwt" localSheetId="50" hidden="1">1</definedName>
    <definedName name="solver_nwt" localSheetId="33" hidden="1">1</definedName>
    <definedName name="solver_nwt" localSheetId="1" hidden="1">1</definedName>
    <definedName name="solver_nwt" localSheetId="48" hidden="1">1</definedName>
    <definedName name="solver_nwt" localSheetId="52" hidden="1">1</definedName>
    <definedName name="solver_nwt" localSheetId="53" hidden="1">1</definedName>
    <definedName name="solver_nwt" localSheetId="2" hidden="1">1</definedName>
    <definedName name="solver_nwt" localSheetId="30" hidden="1">1</definedName>
    <definedName name="solver_nwt" localSheetId="51" hidden="1">1</definedName>
    <definedName name="solver_nwt" localSheetId="10" hidden="1">1</definedName>
    <definedName name="solver_nwt" localSheetId="6" hidden="1">1</definedName>
    <definedName name="solver_nwt" localSheetId="26" hidden="1">1</definedName>
    <definedName name="solver_nwt" localSheetId="42" hidden="1">1</definedName>
    <definedName name="solver_nwt" localSheetId="38" hidden="1">1</definedName>
    <definedName name="solver_opt" localSheetId="68" hidden="1">AutoModel!$C$9</definedName>
    <definedName name="solver_opt" localSheetId="20" hidden="1">'BadName!'!$H$7</definedName>
    <definedName name="solver_opt" localSheetId="32" hidden="1">BinIntLB!$H$9</definedName>
    <definedName name="solver_opt" localSheetId="17" hidden="1">BinIntOverlap!$I$6</definedName>
    <definedName name="solver_opt" localSheetId="31" hidden="1">BinLB!$H$9</definedName>
    <definedName name="solver_opt" localSheetId="5" hidden="1">BlankLHS!$H$6</definedName>
    <definedName name="solver_opt" localSheetId="4" hidden="1">BlankRHS!$H$6</definedName>
    <definedName name="solver_opt" localSheetId="44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40" hidden="1">ConstantLB!$H$9</definedName>
    <definedName name="solver_opt" localSheetId="37" hidden="1">ConstFormulaRangeLB!$H$8</definedName>
    <definedName name="solver_opt" localSheetId="39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9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1" hidden="1">FormulaLB!$H$9</definedName>
    <definedName name="solver_opt" localSheetId="43" hidden="1">FractionalCoeffs!$G$4</definedName>
    <definedName name="solver_opt" localSheetId="67" hidden="1">Highlighting!$G$5</definedName>
    <definedName name="solver_opt" localSheetId="28" hidden="1">IndirectLBs!$H$8</definedName>
    <definedName name="solver_opt" localSheetId="24" hidden="1">InfConstConstraint!$J$6</definedName>
    <definedName name="solver_opt" localSheetId="45" hidden="1">InfModel!$H$7</definedName>
    <definedName name="solver_opt" localSheetId="46" hidden="1">IterativeCalc!$H$7</definedName>
    <definedName name="solver_opt" localSheetId="34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9" hidden="1">NamedRanges!$I$6</definedName>
    <definedName name="solver_opt" localSheetId="61" hidden="1">NonLin!$I$39</definedName>
    <definedName name="solver_opt" localSheetId="62" hidden="1">NonLin2!$F$4</definedName>
    <definedName name="solver_opt" localSheetId="63" hidden="1">NonLin3!$S$13</definedName>
    <definedName name="solver_opt" localSheetId="64" hidden="1">NonLin4!$D$16</definedName>
    <definedName name="solver_opt" localSheetId="65" hidden="1">NonLin5!$J$7</definedName>
    <definedName name="solver_opt" localSheetId="66" hidden="1">NonLin6!$F$15</definedName>
    <definedName name="solver_opt" localSheetId="60" hidden="1">NonLinBinary!$C$6</definedName>
    <definedName name="solver_opt" localSheetId="59" hidden="1">NonLinConstraints!$I$6</definedName>
    <definedName name="solver_opt" localSheetId="55" hidden="1">NonLinLarge!$H$5</definedName>
    <definedName name="solver_opt" localSheetId="58" hidden="1">NonLinMinMax!$G$6</definedName>
    <definedName name="solver_opt" localSheetId="56" hidden="1">NonLinObj!$H$5</definedName>
    <definedName name="solver_opt" localSheetId="57" hidden="1">NonLinPruning!$F$6</definedName>
    <definedName name="solver_opt" localSheetId="54" hidden="1">NonLinSimple!$H$5</definedName>
    <definedName name="solver_opt" localSheetId="3" hidden="1">OverlappingVars!$H$6</definedName>
    <definedName name="solver_opt" localSheetId="35" hidden="1">OverlapRangeLB!$H$10</definedName>
    <definedName name="solver_opt" localSheetId="36" hidden="1">OverlapRangeLBwithFormula!$H$10</definedName>
    <definedName name="solver_opt" localSheetId="27" hidden="1">ProtectedSheet!$H$6</definedName>
    <definedName name="solver_opt" localSheetId="50" hidden="1">QuickSolve!$H$6</definedName>
    <definedName name="solver_opt" localSheetId="33" hidden="1">Relaxation!$H$9</definedName>
    <definedName name="solver_opt" localSheetId="48" hidden="1">SeekObj!$G$4</definedName>
    <definedName name="solver_opt" localSheetId="52" hidden="1">Sensitivity!$G$6</definedName>
    <definedName name="solver_opt" localSheetId="53" hidden="1">SensitivityNames!$D$20</definedName>
    <definedName name="solver_opt" localSheetId="2" hidden="1">SimpleLP!$H$6</definedName>
    <definedName name="solver_opt" localSheetId="30" hidden="1">SingleRangeLB!$H$8</definedName>
    <definedName name="solver_opt" localSheetId="51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26" hidden="1">Unbounded!$H$6</definedName>
    <definedName name="solver_opt" localSheetId="42" hidden="1">VarConstraintLB!$H$9</definedName>
    <definedName name="solver_opt" localSheetId="38" hidden="1">VariableFormulaRangeLB!$H$9</definedName>
    <definedName name="solver_pre" localSheetId="20" hidden="1">0.000001</definedName>
    <definedName name="solver_pre" localSheetId="32" hidden="1">0.000001</definedName>
    <definedName name="solver_pre" localSheetId="17" hidden="1">0.000001</definedName>
    <definedName name="solver_pre" localSheetId="31" hidden="1">0.000001</definedName>
    <definedName name="solver_pre" localSheetId="5" hidden="1">0.000001</definedName>
    <definedName name="solver_pre" localSheetId="4" hidden="1">0.000001</definedName>
    <definedName name="solver_pre" localSheetId="44" hidden="1">0.000001</definedName>
    <definedName name="solver_pre" localSheetId="18" hidden="1">0.000001</definedName>
    <definedName name="solver_pre" localSheetId="19" hidden="1">0.000001</definedName>
    <definedName name="solver_pre" localSheetId="40" hidden="1">0.000001</definedName>
    <definedName name="solver_pre" localSheetId="37" hidden="1">0.000001</definedName>
    <definedName name="solver_pre" localSheetId="39" hidden="1">0.000001</definedName>
    <definedName name="solver_pre" localSheetId="22" hidden="1">0.000001</definedName>
    <definedName name="solver_pre" localSheetId="29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1" hidden="1">0.000001</definedName>
    <definedName name="solver_pre" localSheetId="43" hidden="1">0.000001</definedName>
    <definedName name="solver_pre" localSheetId="67" hidden="1">0.000001</definedName>
    <definedName name="solver_pre" localSheetId="28" hidden="1">0.000001</definedName>
    <definedName name="solver_pre" localSheetId="24" hidden="1">0.000001</definedName>
    <definedName name="solver_pre" localSheetId="45" hidden="1">0.000001</definedName>
    <definedName name="solver_pre" localSheetId="46" hidden="1">0.000001</definedName>
    <definedName name="solver_pre" localSheetId="34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9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0" hidden="1">0.000001</definedName>
    <definedName name="solver_pre" localSheetId="59" hidden="1">0.000001</definedName>
    <definedName name="solver_pre" localSheetId="55" hidden="1">0.000001</definedName>
    <definedName name="solver_pre" localSheetId="58" hidden="1">0.000001</definedName>
    <definedName name="solver_pre" localSheetId="56" hidden="1">0.000001</definedName>
    <definedName name="solver_pre" localSheetId="57" hidden="1">0.000001</definedName>
    <definedName name="solver_pre" localSheetId="54" hidden="1">0.000001</definedName>
    <definedName name="solver_pre" localSheetId="47" hidden="1">0.000001</definedName>
    <definedName name="solver_pre" localSheetId="3" hidden="1">0.000001</definedName>
    <definedName name="solver_pre" localSheetId="35" hidden="1">0.000001</definedName>
    <definedName name="solver_pre" localSheetId="36" hidden="1">0.000001</definedName>
    <definedName name="solver_pre" localSheetId="27" hidden="1">0.000001</definedName>
    <definedName name="solver_pre" localSheetId="33" hidden="1">0.000001</definedName>
    <definedName name="solver_pre" localSheetId="1" hidden="1">0.000001</definedName>
    <definedName name="solver_pre" localSheetId="48" hidden="1">0.000001</definedName>
    <definedName name="solver_pre" localSheetId="52" hidden="1">0.000001</definedName>
    <definedName name="solver_pre" localSheetId="53" hidden="1">0.0001</definedName>
    <definedName name="solver_pre" localSheetId="2" hidden="1">0.000001</definedName>
    <definedName name="solver_pre" localSheetId="30" hidden="1">0.000001</definedName>
    <definedName name="solver_pre" localSheetId="51" hidden="1">0.000001</definedName>
    <definedName name="solver_pre" localSheetId="6" hidden="1">0.000001</definedName>
    <definedName name="solver_pre" localSheetId="26" hidden="1">0.000001</definedName>
    <definedName name="solver_pre" localSheetId="42" hidden="1">0.000001</definedName>
    <definedName name="solver_pre" localSheetId="38" hidden="1">0.000001</definedName>
    <definedName name="solver_rbv" localSheetId="32" hidden="1">1</definedName>
    <definedName name="solver_rbv" localSheetId="31" hidden="1">1</definedName>
    <definedName name="solver_rbv" localSheetId="40" hidden="1">1</definedName>
    <definedName name="solver_rbv" localSheetId="37" hidden="1">1</definedName>
    <definedName name="solver_rbv" localSheetId="41" hidden="1">1</definedName>
    <definedName name="solver_rbv" localSheetId="34" hidden="1">1</definedName>
    <definedName name="solver_rbv" localSheetId="64" hidden="1">1</definedName>
    <definedName name="solver_rbv" localSheetId="65" hidden="1">1</definedName>
    <definedName name="solver_rbv" localSheetId="57" hidden="1">1</definedName>
    <definedName name="solver_rbv" localSheetId="35" hidden="1">1</definedName>
    <definedName name="solver_rbv" localSheetId="36" hidden="1">1</definedName>
    <definedName name="solver_rbv" localSheetId="33" hidden="1">1</definedName>
    <definedName name="solver_rbv" localSheetId="2" hidden="1">1</definedName>
    <definedName name="solver_rbv" localSheetId="30" hidden="1">1</definedName>
    <definedName name="solver_rbv" localSheetId="26" hidden="1">1</definedName>
    <definedName name="solver_rbv" localSheetId="42" hidden="1">1</definedName>
    <definedName name="solver_rbv" localSheetId="38" hidden="1">1</definedName>
    <definedName name="solver_rel1" localSheetId="68" hidden="1">1</definedName>
    <definedName name="solver_rel1" localSheetId="20" hidden="1">1</definedName>
    <definedName name="solver_rel1" localSheetId="32" hidden="1">3</definedName>
    <definedName name="solver_rel1" localSheetId="17" hidden="1">1</definedName>
    <definedName name="solver_rel1" localSheetId="31" hidden="1">3</definedName>
    <definedName name="solver_rel1" localSheetId="5" hidden="1">1</definedName>
    <definedName name="solver_rel1" localSheetId="4" hidden="1">1</definedName>
    <definedName name="solver_rel1" localSheetId="44" hidden="1">1</definedName>
    <definedName name="solver_rel1" localSheetId="18" hidden="1">1</definedName>
    <definedName name="solver_rel1" localSheetId="19" hidden="1">1</definedName>
    <definedName name="solver_rel1" localSheetId="40" hidden="1">3</definedName>
    <definedName name="solver_rel1" localSheetId="37" hidden="1">3</definedName>
    <definedName name="solver_rel1" localSheetId="39" hidden="1">3</definedName>
    <definedName name="solver_rel1" localSheetId="22" hidden="1">1</definedName>
    <definedName name="solver_rel1" localSheetId="23" hidden="1">1</definedName>
    <definedName name="solver_rel1" localSheetId="29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1" hidden="1">3</definedName>
    <definedName name="solver_rel1" localSheetId="43" hidden="1">2</definedName>
    <definedName name="solver_rel1" localSheetId="67" hidden="1">1</definedName>
    <definedName name="solver_rel1" localSheetId="28" hidden="1">1</definedName>
    <definedName name="solver_rel1" localSheetId="24" hidden="1">1</definedName>
    <definedName name="solver_rel1" localSheetId="45" hidden="1">1</definedName>
    <definedName name="solver_rel1" localSheetId="46" hidden="1">1</definedName>
    <definedName name="solver_rel1" localSheetId="34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9" hidden="1">1</definedName>
    <definedName name="solver_rel1" localSheetId="61" hidden="1">3</definedName>
    <definedName name="solver_rel1" localSheetId="62" hidden="1">3</definedName>
    <definedName name="solver_rel1" localSheetId="63" hidden="1">3</definedName>
    <definedName name="solver_rel1" localSheetId="60" hidden="1">3</definedName>
    <definedName name="solver_rel1" localSheetId="59" hidden="1">1</definedName>
    <definedName name="solver_rel1" localSheetId="55" hidden="1">1</definedName>
    <definedName name="solver_rel1" localSheetId="58" hidden="1">1</definedName>
    <definedName name="solver_rel1" localSheetId="56" hidden="1">1</definedName>
    <definedName name="solver_rel1" localSheetId="57" hidden="1">1</definedName>
    <definedName name="solver_rel1" localSheetId="54" hidden="1">1</definedName>
    <definedName name="solver_rel1" localSheetId="47" hidden="1">1</definedName>
    <definedName name="solver_rel1" localSheetId="3" hidden="1">1</definedName>
    <definedName name="solver_rel1" localSheetId="35" hidden="1">3</definedName>
    <definedName name="solver_rel1" localSheetId="36" hidden="1">3</definedName>
    <definedName name="solver_rel1" localSheetId="27" hidden="1">1</definedName>
    <definedName name="solver_rel1" localSheetId="50" hidden="1">1</definedName>
    <definedName name="solver_rel1" localSheetId="33" hidden="1">3</definedName>
    <definedName name="solver_rel1" localSheetId="48" hidden="1">2</definedName>
    <definedName name="solver_rel1" localSheetId="52" hidden="1">1</definedName>
    <definedName name="solver_rel1" localSheetId="53" hidden="1">1</definedName>
    <definedName name="solver_rel1" localSheetId="2" hidden="1">1</definedName>
    <definedName name="solver_rel1" localSheetId="30" hidden="1">3</definedName>
    <definedName name="solver_rel1" localSheetId="51" hidden="1">1</definedName>
    <definedName name="solver_rel1" localSheetId="10" hidden="1">1</definedName>
    <definedName name="solver_rel1" localSheetId="6" hidden="1">1</definedName>
    <definedName name="solver_rel1" localSheetId="26" hidden="1">1</definedName>
    <definedName name="solver_rel1" localSheetId="42" hidden="1">3</definedName>
    <definedName name="solver_rel1" localSheetId="38" hidden="1">3</definedName>
    <definedName name="solver_rel10" localSheetId="19" hidden="1">1</definedName>
    <definedName name="solver_rel10" localSheetId="55" hidden="1">3</definedName>
    <definedName name="solver_rel100" localSheetId="55" hidden="1">3</definedName>
    <definedName name="solver_rel101" localSheetId="55" hidden="1">3</definedName>
    <definedName name="solver_rel102" localSheetId="55" hidden="1">3</definedName>
    <definedName name="solver_rel103" localSheetId="55" hidden="1">3</definedName>
    <definedName name="solver_rel104" localSheetId="55" hidden="1">3</definedName>
    <definedName name="solver_rel105" localSheetId="55" hidden="1">3</definedName>
    <definedName name="solver_rel106" localSheetId="55" hidden="1">3</definedName>
    <definedName name="solver_rel107" localSheetId="55" hidden="1">3</definedName>
    <definedName name="solver_rel108" localSheetId="55" hidden="1">3</definedName>
    <definedName name="solver_rel109" localSheetId="55" hidden="1">3</definedName>
    <definedName name="solver_rel11" localSheetId="55" hidden="1">3</definedName>
    <definedName name="solver_rel110" localSheetId="55" hidden="1">3</definedName>
    <definedName name="solver_rel111" localSheetId="55" hidden="1">3</definedName>
    <definedName name="solver_rel112" localSheetId="55" hidden="1">3</definedName>
    <definedName name="solver_rel113" localSheetId="55" hidden="1">3</definedName>
    <definedName name="solver_rel114" localSheetId="55" hidden="1">3</definedName>
    <definedName name="solver_rel115" localSheetId="55" hidden="1">3</definedName>
    <definedName name="solver_rel116" localSheetId="55" hidden="1">3</definedName>
    <definedName name="solver_rel117" localSheetId="55" hidden="1">3</definedName>
    <definedName name="solver_rel118" localSheetId="55" hidden="1">3</definedName>
    <definedName name="solver_rel119" localSheetId="55" hidden="1">3</definedName>
    <definedName name="solver_rel12" localSheetId="55" hidden="1">3</definedName>
    <definedName name="solver_rel120" localSheetId="55" hidden="1">3</definedName>
    <definedName name="solver_rel121" localSheetId="55" hidden="1">3</definedName>
    <definedName name="solver_rel122" localSheetId="55" hidden="1">3</definedName>
    <definedName name="solver_rel123" localSheetId="55" hidden="1">3</definedName>
    <definedName name="solver_rel124" localSheetId="55" hidden="1">3</definedName>
    <definedName name="solver_rel125" localSheetId="55" hidden="1">3</definedName>
    <definedName name="solver_rel126" localSheetId="55" hidden="1">3</definedName>
    <definedName name="solver_rel127" localSheetId="55" hidden="1">3</definedName>
    <definedName name="solver_rel128" localSheetId="55" hidden="1">3</definedName>
    <definedName name="solver_rel129" localSheetId="55" hidden="1">3</definedName>
    <definedName name="solver_rel13" localSheetId="55" hidden="1">3</definedName>
    <definedName name="solver_rel130" localSheetId="55" hidden="1">3</definedName>
    <definedName name="solver_rel131" localSheetId="55" hidden="1">3</definedName>
    <definedName name="solver_rel132" localSheetId="55" hidden="1">3</definedName>
    <definedName name="solver_rel133" localSheetId="55" hidden="1">2</definedName>
    <definedName name="solver_rel14" localSheetId="55" hidden="1">3</definedName>
    <definedName name="solver_rel15" localSheetId="55" hidden="1">3</definedName>
    <definedName name="solver_rel16" localSheetId="55" hidden="1">3</definedName>
    <definedName name="solver_rel17" localSheetId="55" hidden="1">3</definedName>
    <definedName name="solver_rel18" localSheetId="55" hidden="1">3</definedName>
    <definedName name="solver_rel19" localSheetId="55" hidden="1">3</definedName>
    <definedName name="solver_rel2" localSheetId="68" hidden="1">3</definedName>
    <definedName name="solver_rel2" localSheetId="20" hidden="1">1</definedName>
    <definedName name="solver_rel2" localSheetId="32" hidden="1">3</definedName>
    <definedName name="solver_rel2" localSheetId="17" hidden="1">3</definedName>
    <definedName name="solver_rel2" localSheetId="31" hidden="1">3</definedName>
    <definedName name="solver_rel2" localSheetId="5" hidden="1">3</definedName>
    <definedName name="solver_rel2" localSheetId="4" hidden="1">3</definedName>
    <definedName name="solver_rel2" localSheetId="44" hidden="1">3</definedName>
    <definedName name="solver_rel2" localSheetId="18" hidden="1">3</definedName>
    <definedName name="solver_rel2" localSheetId="19" hidden="1">1</definedName>
    <definedName name="solver_rel2" localSheetId="40" hidden="1">3</definedName>
    <definedName name="solver_rel2" localSheetId="37" hidden="1">3</definedName>
    <definedName name="solver_rel2" localSheetId="39" hidden="1">3</definedName>
    <definedName name="solver_rel2" localSheetId="22" hidden="1">3</definedName>
    <definedName name="solver_rel2" localSheetId="23" hidden="1">3</definedName>
    <definedName name="solver_rel2" localSheetId="29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1" hidden="1">3</definedName>
    <definedName name="solver_rel2" localSheetId="43" hidden="1">3</definedName>
    <definedName name="solver_rel2" localSheetId="67" hidden="1">3</definedName>
    <definedName name="solver_rel2" localSheetId="28" hidden="1">3</definedName>
    <definedName name="solver_rel2" localSheetId="24" hidden="1">3</definedName>
    <definedName name="solver_rel2" localSheetId="45" hidden="1">3</definedName>
    <definedName name="solver_rel2" localSheetId="46" hidden="1">3</definedName>
    <definedName name="solver_rel2" localSheetId="34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9" hidden="1">3</definedName>
    <definedName name="solver_rel2" localSheetId="61" hidden="1">1</definedName>
    <definedName name="solver_rel2" localSheetId="62" hidden="1">5</definedName>
    <definedName name="solver_rel2" localSheetId="63" hidden="1">1</definedName>
    <definedName name="solver_rel2" localSheetId="60" hidden="1">5</definedName>
    <definedName name="solver_rel2" localSheetId="59" hidden="1">3</definedName>
    <definedName name="solver_rel2" localSheetId="55" hidden="1">3</definedName>
    <definedName name="solver_rel2" localSheetId="58" hidden="1">4</definedName>
    <definedName name="solver_rel2" localSheetId="56" hidden="1">3</definedName>
    <definedName name="solver_rel2" localSheetId="57" hidden="1">3</definedName>
    <definedName name="solver_rel2" localSheetId="54" hidden="1">3</definedName>
    <definedName name="solver_rel2" localSheetId="47" hidden="1">3</definedName>
    <definedName name="solver_rel2" localSheetId="3" hidden="1">3</definedName>
    <definedName name="solver_rel2" localSheetId="35" hidden="1">3</definedName>
    <definedName name="solver_rel2" localSheetId="36" hidden="1">3</definedName>
    <definedName name="solver_rel2" localSheetId="27" hidden="1">3</definedName>
    <definedName name="solver_rel2" localSheetId="50" hidden="1">3</definedName>
    <definedName name="solver_rel2" localSheetId="33" hidden="1">3</definedName>
    <definedName name="solver_rel2" localSheetId="48" hidden="1">3</definedName>
    <definedName name="solver_rel2" localSheetId="52" hidden="1">3</definedName>
    <definedName name="solver_rel2" localSheetId="53" hidden="1">2</definedName>
    <definedName name="solver_rel2" localSheetId="2" hidden="1">3</definedName>
    <definedName name="solver_rel2" localSheetId="30" hidden="1">3</definedName>
    <definedName name="solver_rel2" localSheetId="51" hidden="1">3</definedName>
    <definedName name="solver_rel2" localSheetId="10" hidden="1">3</definedName>
    <definedName name="solver_rel2" localSheetId="6" hidden="1">3</definedName>
    <definedName name="solver_rel2" localSheetId="26" hidden="1">3</definedName>
    <definedName name="solver_rel2" localSheetId="42" hidden="1">1</definedName>
    <definedName name="solver_rel2" localSheetId="38" hidden="1">3</definedName>
    <definedName name="solver_rel20" localSheetId="55" hidden="1">3</definedName>
    <definedName name="solver_rel21" localSheetId="55" hidden="1">3</definedName>
    <definedName name="solver_rel22" localSheetId="55" hidden="1">3</definedName>
    <definedName name="solver_rel23" localSheetId="55" hidden="1">3</definedName>
    <definedName name="solver_rel24" localSheetId="55" hidden="1">3</definedName>
    <definedName name="solver_rel25" localSheetId="55" hidden="1">3</definedName>
    <definedName name="solver_rel26" localSheetId="55" hidden="1">3</definedName>
    <definedName name="solver_rel27" localSheetId="55" hidden="1">3</definedName>
    <definedName name="solver_rel28" localSheetId="55" hidden="1">3</definedName>
    <definedName name="solver_rel29" localSheetId="55" hidden="1">3</definedName>
    <definedName name="solver_rel3" localSheetId="68" hidden="1">3</definedName>
    <definedName name="solver_rel3" localSheetId="20" hidden="1">3</definedName>
    <definedName name="solver_rel3" localSheetId="32" hidden="1">5</definedName>
    <definedName name="solver_rel3" localSheetId="17" hidden="1">1</definedName>
    <definedName name="solver_rel3" localSheetId="31" hidden="1">5</definedName>
    <definedName name="solver_rel3" localSheetId="5" hidden="1">2</definedName>
    <definedName name="solver_rel3" localSheetId="4" hidden="1">2</definedName>
    <definedName name="solver_rel3" localSheetId="44" hidden="1">1</definedName>
    <definedName name="solver_rel3" localSheetId="18" hidden="1">1</definedName>
    <definedName name="solver_rel3" localSheetId="19" hidden="1">1</definedName>
    <definedName name="solver_rel3" localSheetId="40" hidden="1">3</definedName>
    <definedName name="solver_rel3" localSheetId="37" hidden="1">3</definedName>
    <definedName name="solver_rel3" localSheetId="39" hidden="1">3</definedName>
    <definedName name="solver_rel3" localSheetId="22" hidden="1">1</definedName>
    <definedName name="solver_rel3" localSheetId="23" hidden="1">1</definedName>
    <definedName name="solver_rel3" localSheetId="29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1" hidden="1">3</definedName>
    <definedName name="solver_rel3" localSheetId="43" hidden="1">1</definedName>
    <definedName name="solver_rel3" localSheetId="67" hidden="1">2</definedName>
    <definedName name="solver_rel3" localSheetId="28" hidden="1">2</definedName>
    <definedName name="solver_rel3" localSheetId="24" hidden="1">2</definedName>
    <definedName name="solver_rel3" localSheetId="45" hidden="1">1</definedName>
    <definedName name="solver_rel3" localSheetId="46" hidden="1">2</definedName>
    <definedName name="solver_rel3" localSheetId="34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9" hidden="1">1</definedName>
    <definedName name="solver_rel3" localSheetId="61" hidden="1">3</definedName>
    <definedName name="solver_rel3" localSheetId="55" hidden="1">2</definedName>
    <definedName name="solver_rel3" localSheetId="56" hidden="1">2</definedName>
    <definedName name="solver_rel3" localSheetId="57" hidden="1">1</definedName>
    <definedName name="solver_rel3" localSheetId="54" hidden="1">2</definedName>
    <definedName name="solver_rel3" localSheetId="47" hidden="1">2</definedName>
    <definedName name="solver_rel3" localSheetId="3" hidden="1">2</definedName>
    <definedName name="solver_rel3" localSheetId="35" hidden="1">3</definedName>
    <definedName name="solver_rel3" localSheetId="36" hidden="1">3</definedName>
    <definedName name="solver_rel3" localSheetId="27" hidden="1">2</definedName>
    <definedName name="solver_rel3" localSheetId="50" hidden="1">3</definedName>
    <definedName name="solver_rel3" localSheetId="33" hidden="1">5</definedName>
    <definedName name="solver_rel3" localSheetId="48" hidden="1">1</definedName>
    <definedName name="solver_rel3" localSheetId="52" hidden="1">1</definedName>
    <definedName name="solver_rel3" localSheetId="53" hidden="1">3</definedName>
    <definedName name="solver_rel3" localSheetId="2" hidden="1">2</definedName>
    <definedName name="solver_rel3" localSheetId="30" hidden="1">3</definedName>
    <definedName name="solver_rel3" localSheetId="51" hidden="1">2</definedName>
    <definedName name="solver_rel3" localSheetId="10" hidden="1">2</definedName>
    <definedName name="solver_rel3" localSheetId="6" hidden="1">2</definedName>
    <definedName name="solver_rel3" localSheetId="26" hidden="1">2</definedName>
    <definedName name="solver_rel3" localSheetId="42" hidden="1">3</definedName>
    <definedName name="solver_rel3" localSheetId="38" hidden="1">3</definedName>
    <definedName name="solver_rel30" localSheetId="55" hidden="1">3</definedName>
    <definedName name="solver_rel31" localSheetId="55" hidden="1">3</definedName>
    <definedName name="solver_rel32" localSheetId="55" hidden="1">3</definedName>
    <definedName name="solver_rel33" localSheetId="55" hidden="1">3</definedName>
    <definedName name="solver_rel34" localSheetId="55" hidden="1">3</definedName>
    <definedName name="solver_rel35" localSheetId="55" hidden="1">3</definedName>
    <definedName name="solver_rel36" localSheetId="55" hidden="1">3</definedName>
    <definedName name="solver_rel37" localSheetId="55" hidden="1">3</definedName>
    <definedName name="solver_rel38" localSheetId="55" hidden="1">3</definedName>
    <definedName name="solver_rel39" localSheetId="55" hidden="1">3</definedName>
    <definedName name="solver_rel4" localSheetId="68" hidden="1">3</definedName>
    <definedName name="solver_rel4" localSheetId="20" hidden="1">2</definedName>
    <definedName name="solver_rel4" localSheetId="32" hidden="1">4</definedName>
    <definedName name="solver_rel4" localSheetId="17" hidden="1">5</definedName>
    <definedName name="solver_rel4" localSheetId="31" hidden="1">3</definedName>
    <definedName name="solver_rel4" localSheetId="5" hidden="1">2</definedName>
    <definedName name="solver_rel4" localSheetId="4" hidden="1">2</definedName>
    <definedName name="solver_rel4" localSheetId="44" hidden="1">5</definedName>
    <definedName name="solver_rel4" localSheetId="18" hidden="1">5</definedName>
    <definedName name="solver_rel4" localSheetId="19" hidden="1">5</definedName>
    <definedName name="solver_rel4" localSheetId="40" hidden="1">3</definedName>
    <definedName name="solver_rel4" localSheetId="37" hidden="1">3</definedName>
    <definedName name="solver_rel4" localSheetId="39" hidden="1">3</definedName>
    <definedName name="solver_rel4" localSheetId="22" hidden="1">1</definedName>
    <definedName name="solver_rel4" localSheetId="23" hidden="1">2</definedName>
    <definedName name="solver_rel4" localSheetId="29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1" hidden="1">3</definedName>
    <definedName name="solver_rel4" localSheetId="43" hidden="1">1</definedName>
    <definedName name="solver_rel4" localSheetId="67" hidden="1">1</definedName>
    <definedName name="solver_rel4" localSheetId="28" hidden="1">3</definedName>
    <definedName name="solver_rel4" localSheetId="24" hidden="1">2</definedName>
    <definedName name="solver_rel4" localSheetId="45" hidden="1">1</definedName>
    <definedName name="solver_rel4" localSheetId="46" hidden="1">2</definedName>
    <definedName name="solver_rel4" localSheetId="34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9" hidden="1">2</definedName>
    <definedName name="solver_rel4" localSheetId="61" hidden="1">1</definedName>
    <definedName name="solver_rel4" localSheetId="55" hidden="1">1</definedName>
    <definedName name="solver_rel4" localSheetId="57" hidden="1">3</definedName>
    <definedName name="solver_rel4" localSheetId="47" hidden="1">2</definedName>
    <definedName name="solver_rel4" localSheetId="3" hidden="1">1</definedName>
    <definedName name="solver_rel4" localSheetId="35" hidden="1">3</definedName>
    <definedName name="solver_rel4" localSheetId="36" hidden="1">3</definedName>
    <definedName name="solver_rel4" localSheetId="27" hidden="1">2</definedName>
    <definedName name="solver_rel4" localSheetId="50" hidden="1">4</definedName>
    <definedName name="solver_rel4" localSheetId="33" hidden="1">4</definedName>
    <definedName name="solver_rel4" localSheetId="48" hidden="1">1</definedName>
    <definedName name="solver_rel4" localSheetId="52" hidden="1">4</definedName>
    <definedName name="solver_rel4" localSheetId="2" hidden="1">1</definedName>
    <definedName name="solver_rel4" localSheetId="30" hidden="1">3</definedName>
    <definedName name="solver_rel4" localSheetId="51" hidden="1">2</definedName>
    <definedName name="solver_rel4" localSheetId="10" hidden="1">2</definedName>
    <definedName name="solver_rel4" localSheetId="6" hidden="1">2</definedName>
    <definedName name="solver_rel4" localSheetId="26" hidden="1">1</definedName>
    <definedName name="solver_rel4" localSheetId="42" hidden="1">3</definedName>
    <definedName name="solver_rel4" localSheetId="38" hidden="1">3</definedName>
    <definedName name="solver_rel40" localSheetId="55" hidden="1">3</definedName>
    <definedName name="solver_rel41" localSheetId="55" hidden="1">3</definedName>
    <definedName name="solver_rel42" localSheetId="55" hidden="1">3</definedName>
    <definedName name="solver_rel43" localSheetId="55" hidden="1">3</definedName>
    <definedName name="solver_rel44" localSheetId="55" hidden="1">3</definedName>
    <definedName name="solver_rel45" localSheetId="55" hidden="1">3</definedName>
    <definedName name="solver_rel46" localSheetId="55" hidden="1">3</definedName>
    <definedName name="solver_rel47" localSheetId="55" hidden="1">3</definedName>
    <definedName name="solver_rel48" localSheetId="55" hidden="1">3</definedName>
    <definedName name="solver_rel49" localSheetId="55" hidden="1">3</definedName>
    <definedName name="solver_rel5" localSheetId="68" hidden="1">4</definedName>
    <definedName name="solver_rel5" localSheetId="20" hidden="1">1</definedName>
    <definedName name="solver_rel5" localSheetId="32" hidden="1">3</definedName>
    <definedName name="solver_rel5" localSheetId="17" hidden="1">4</definedName>
    <definedName name="solver_rel5" localSheetId="31" hidden="1">3</definedName>
    <definedName name="solver_rel5" localSheetId="5" hidden="1">1</definedName>
    <definedName name="solver_rel5" localSheetId="4" hidden="1">1</definedName>
    <definedName name="solver_rel5" localSheetId="44" hidden="1">4</definedName>
    <definedName name="solver_rel5" localSheetId="18" hidden="1">4</definedName>
    <definedName name="solver_rel5" localSheetId="19" hidden="1">4</definedName>
    <definedName name="solver_rel5" localSheetId="40" hidden="1">1</definedName>
    <definedName name="solver_rel5" localSheetId="37" hidden="1">1</definedName>
    <definedName name="solver_rel5" localSheetId="39" hidden="1">1</definedName>
    <definedName name="solver_rel5" localSheetId="22" hidden="1">1</definedName>
    <definedName name="solver_rel5" localSheetId="23" hidden="1">1</definedName>
    <definedName name="solver_rel5" localSheetId="29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1" hidden="1">1</definedName>
    <definedName name="solver_rel5" localSheetId="67" hidden="1">1</definedName>
    <definedName name="solver_rel5" localSheetId="28" hidden="1">1</definedName>
    <definedName name="solver_rel5" localSheetId="24" hidden="1">1</definedName>
    <definedName name="solver_rel5" localSheetId="45" hidden="1">1</definedName>
    <definedName name="solver_rel5" localSheetId="46" hidden="1">1</definedName>
    <definedName name="solver_rel5" localSheetId="34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1" hidden="1">4</definedName>
    <definedName name="solver_rel5" localSheetId="55" hidden="1">3</definedName>
    <definedName name="solver_rel5" localSheetId="57" hidden="1">1</definedName>
    <definedName name="solver_rel5" localSheetId="47" hidden="1">1</definedName>
    <definedName name="solver_rel5" localSheetId="3" hidden="1">3</definedName>
    <definedName name="solver_rel5" localSheetId="35" hidden="1">1</definedName>
    <definedName name="solver_rel5" localSheetId="36" hidden="1">1</definedName>
    <definedName name="solver_rel5" localSheetId="27" hidden="1">1</definedName>
    <definedName name="solver_rel5" localSheetId="50" hidden="1">2</definedName>
    <definedName name="solver_rel5" localSheetId="33" hidden="1">5</definedName>
    <definedName name="solver_rel5" localSheetId="2" hidden="1">3</definedName>
    <definedName name="solver_rel5" localSheetId="30" hidden="1">1</definedName>
    <definedName name="solver_rel5" localSheetId="10" hidden="1">1</definedName>
    <definedName name="solver_rel5" localSheetId="6" hidden="1">1</definedName>
    <definedName name="solver_rel5" localSheetId="26" hidden="1">3</definedName>
    <definedName name="solver_rel5" localSheetId="42" hidden="1">1</definedName>
    <definedName name="solver_rel5" localSheetId="38" hidden="1">1</definedName>
    <definedName name="solver_rel50" localSheetId="55" hidden="1">3</definedName>
    <definedName name="solver_rel51" localSheetId="55" hidden="1">3</definedName>
    <definedName name="solver_rel52" localSheetId="55" hidden="1">3</definedName>
    <definedName name="solver_rel53" localSheetId="55" hidden="1">3</definedName>
    <definedName name="solver_rel54" localSheetId="55" hidden="1">3</definedName>
    <definedName name="solver_rel55" localSheetId="55" hidden="1">3</definedName>
    <definedName name="solver_rel56" localSheetId="55" hidden="1">3</definedName>
    <definedName name="solver_rel57" localSheetId="55" hidden="1">3</definedName>
    <definedName name="solver_rel58" localSheetId="55" hidden="1">3</definedName>
    <definedName name="solver_rel59" localSheetId="55" hidden="1">3</definedName>
    <definedName name="solver_rel6" localSheetId="68" hidden="1">4</definedName>
    <definedName name="solver_rel6" localSheetId="20" hidden="1">5</definedName>
    <definedName name="solver_rel6" localSheetId="32" hidden="1">3</definedName>
    <definedName name="solver_rel6" localSheetId="17" hidden="1">1</definedName>
    <definedName name="solver_rel6" localSheetId="31" hidden="1">5</definedName>
    <definedName name="solver_rel6" localSheetId="5" hidden="1">5</definedName>
    <definedName name="solver_rel6" localSheetId="4" hidden="1">5</definedName>
    <definedName name="solver_rel6" localSheetId="44" hidden="1">1</definedName>
    <definedName name="solver_rel6" localSheetId="18" hidden="1">1</definedName>
    <definedName name="solver_rel6" localSheetId="19" hidden="1">1</definedName>
    <definedName name="solver_rel6" localSheetId="40" hidden="1">3</definedName>
    <definedName name="solver_rel6" localSheetId="37" hidden="1">3</definedName>
    <definedName name="solver_rel6" localSheetId="39" hidden="1">3</definedName>
    <definedName name="solver_rel6" localSheetId="22" hidden="1">5</definedName>
    <definedName name="solver_rel6" localSheetId="23" hidden="1">5</definedName>
    <definedName name="solver_rel6" localSheetId="29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1" hidden="1">3</definedName>
    <definedName name="solver_rel6" localSheetId="67" hidden="1">3</definedName>
    <definedName name="solver_rel6" localSheetId="28" hidden="1">3</definedName>
    <definedName name="solver_rel6" localSheetId="24" hidden="1">5</definedName>
    <definedName name="solver_rel6" localSheetId="45" hidden="1">5</definedName>
    <definedName name="solver_rel6" localSheetId="46" hidden="1">5</definedName>
    <definedName name="solver_rel6" localSheetId="34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5" hidden="1">2</definedName>
    <definedName name="solver_rel6" localSheetId="57" hidden="1">1</definedName>
    <definedName name="solver_rel6" localSheetId="47" hidden="1">5</definedName>
    <definedName name="solver_rel6" localSheetId="3" hidden="1">2</definedName>
    <definedName name="solver_rel6" localSheetId="35" hidden="1">3</definedName>
    <definedName name="solver_rel6" localSheetId="36" hidden="1">3</definedName>
    <definedName name="solver_rel6" localSheetId="27" hidden="1">5</definedName>
    <definedName name="solver_rel6" localSheetId="50" hidden="1">5</definedName>
    <definedName name="solver_rel6" localSheetId="33" hidden="1">4</definedName>
    <definedName name="solver_rel6" localSheetId="2" hidden="1">2</definedName>
    <definedName name="solver_rel6" localSheetId="30" hidden="1">3</definedName>
    <definedName name="solver_rel6" localSheetId="10" hidden="1">5</definedName>
    <definedName name="solver_rel6" localSheetId="6" hidden="1">5</definedName>
    <definedName name="solver_rel6" localSheetId="26" hidden="1">2</definedName>
    <definedName name="solver_rel6" localSheetId="42" hidden="1">3</definedName>
    <definedName name="solver_rel6" localSheetId="38" hidden="1">3</definedName>
    <definedName name="solver_rel60" localSheetId="55" hidden="1">3</definedName>
    <definedName name="solver_rel61" localSheetId="55" hidden="1">3</definedName>
    <definedName name="solver_rel62" localSheetId="55" hidden="1">3</definedName>
    <definedName name="solver_rel63" localSheetId="55" hidden="1">3</definedName>
    <definedName name="solver_rel64" localSheetId="55" hidden="1">3</definedName>
    <definedName name="solver_rel65" localSheetId="55" hidden="1">3</definedName>
    <definedName name="solver_rel66" localSheetId="55" hidden="1">3</definedName>
    <definedName name="solver_rel67" localSheetId="55" hidden="1">2</definedName>
    <definedName name="solver_rel68" localSheetId="55" hidden="1">1</definedName>
    <definedName name="solver_rel69" localSheetId="55" hidden="1">3</definedName>
    <definedName name="solver_rel7" localSheetId="68" hidden="1">4</definedName>
    <definedName name="solver_rel7" localSheetId="20" hidden="1">4</definedName>
    <definedName name="solver_rel7" localSheetId="32" hidden="1">4</definedName>
    <definedName name="solver_rel7" localSheetId="17" hidden="1">4</definedName>
    <definedName name="solver_rel7" localSheetId="31" hidden="1">4</definedName>
    <definedName name="solver_rel7" localSheetId="5" hidden="1">4</definedName>
    <definedName name="solver_rel7" localSheetId="4" hidden="1">4</definedName>
    <definedName name="solver_rel7" localSheetId="44" hidden="1">3</definedName>
    <definedName name="solver_rel7" localSheetId="18" hidden="1">3</definedName>
    <definedName name="solver_rel7" localSheetId="19" hidden="1">3</definedName>
    <definedName name="solver_rel7" localSheetId="40" hidden="1">4</definedName>
    <definedName name="solver_rel7" localSheetId="37" hidden="1">4</definedName>
    <definedName name="solver_rel7" localSheetId="39" hidden="1">4</definedName>
    <definedName name="solver_rel7" localSheetId="22" hidden="1">4</definedName>
    <definedName name="solver_rel7" localSheetId="23" hidden="1">4</definedName>
    <definedName name="solver_rel7" localSheetId="29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1" hidden="1">4</definedName>
    <definedName name="solver_rel7" localSheetId="67" hidden="1">3</definedName>
    <definedName name="solver_rel7" localSheetId="28" hidden="1">4</definedName>
    <definedName name="solver_rel7" localSheetId="24" hidden="1">4</definedName>
    <definedName name="solver_rel7" localSheetId="45" hidden="1">4</definedName>
    <definedName name="solver_rel7" localSheetId="46" hidden="1">4</definedName>
    <definedName name="solver_rel7" localSheetId="34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5" hidden="1">3</definedName>
    <definedName name="solver_rel7" localSheetId="47" hidden="1">4</definedName>
    <definedName name="solver_rel7" localSheetId="3" hidden="1">1</definedName>
    <definedName name="solver_rel7" localSheetId="35" hidden="1">4</definedName>
    <definedName name="solver_rel7" localSheetId="36" hidden="1">4</definedName>
    <definedName name="solver_rel7" localSheetId="27" hidden="1">4</definedName>
    <definedName name="solver_rel7" localSheetId="50" hidden="1">4</definedName>
    <definedName name="solver_rel7" localSheetId="33" hidden="1">4</definedName>
    <definedName name="solver_rel7" localSheetId="2" hidden="1">4</definedName>
    <definedName name="solver_rel7" localSheetId="30" hidden="1">4</definedName>
    <definedName name="solver_rel7" localSheetId="10" hidden="1">4</definedName>
    <definedName name="solver_rel7" localSheetId="6" hidden="1">4</definedName>
    <definedName name="solver_rel7" localSheetId="26" hidden="1">4</definedName>
    <definedName name="solver_rel7" localSheetId="42" hidden="1">4</definedName>
    <definedName name="solver_rel7" localSheetId="38" hidden="1">4</definedName>
    <definedName name="solver_rel70" localSheetId="55" hidden="1">3</definedName>
    <definedName name="solver_rel71" localSheetId="55" hidden="1">3</definedName>
    <definedName name="solver_rel72" localSheetId="55" hidden="1">3</definedName>
    <definedName name="solver_rel73" localSheetId="55" hidden="1">3</definedName>
    <definedName name="solver_rel74" localSheetId="55" hidden="1">3</definedName>
    <definedName name="solver_rel75" localSheetId="55" hidden="1">3</definedName>
    <definedName name="solver_rel76" localSheetId="55" hidden="1">3</definedName>
    <definedName name="solver_rel77" localSheetId="55" hidden="1">3</definedName>
    <definedName name="solver_rel78" localSheetId="55" hidden="1">3</definedName>
    <definedName name="solver_rel79" localSheetId="55" hidden="1">3</definedName>
    <definedName name="solver_rel8" localSheetId="20" hidden="1">5</definedName>
    <definedName name="solver_rel8" localSheetId="32" hidden="1">5</definedName>
    <definedName name="solver_rel8" localSheetId="17" hidden="1">5</definedName>
    <definedName name="solver_rel8" localSheetId="31" hidden="1">5</definedName>
    <definedName name="solver_rel8" localSheetId="5" hidden="1">5</definedName>
    <definedName name="solver_rel8" localSheetId="4" hidden="1">5</definedName>
    <definedName name="solver_rel8" localSheetId="44" hidden="1">5</definedName>
    <definedName name="solver_rel8" localSheetId="18" hidden="1">3</definedName>
    <definedName name="solver_rel8" localSheetId="19" hidden="1">3</definedName>
    <definedName name="solver_rel8" localSheetId="40" hidden="1">5</definedName>
    <definedName name="solver_rel8" localSheetId="37" hidden="1">5</definedName>
    <definedName name="solver_rel8" localSheetId="39" hidden="1">5</definedName>
    <definedName name="solver_rel8" localSheetId="22" hidden="1">5</definedName>
    <definedName name="solver_rel8" localSheetId="23" hidden="1">5</definedName>
    <definedName name="solver_rel8" localSheetId="29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1" hidden="1">5</definedName>
    <definedName name="solver_rel8" localSheetId="67" hidden="1">1</definedName>
    <definedName name="solver_rel8" localSheetId="28" hidden="1">5</definedName>
    <definedName name="solver_rel8" localSheetId="24" hidden="1">5</definedName>
    <definedName name="solver_rel8" localSheetId="45" hidden="1">5</definedName>
    <definedName name="solver_rel8" localSheetId="46" hidden="1">5</definedName>
    <definedName name="solver_rel8" localSheetId="34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5" hidden="1">3</definedName>
    <definedName name="solver_rel8" localSheetId="47" hidden="1">5</definedName>
    <definedName name="solver_rel8" localSheetId="3" hidden="1">3</definedName>
    <definedName name="solver_rel8" localSheetId="35" hidden="1">5</definedName>
    <definedName name="solver_rel8" localSheetId="36" hidden="1">5</definedName>
    <definedName name="solver_rel8" localSheetId="27" hidden="1">5</definedName>
    <definedName name="solver_rel8" localSheetId="50" hidden="1">5</definedName>
    <definedName name="solver_rel8" localSheetId="33" hidden="1">5</definedName>
    <definedName name="solver_rel8" localSheetId="2" hidden="1">5</definedName>
    <definedName name="solver_rel8" localSheetId="30" hidden="1">5</definedName>
    <definedName name="solver_rel8" localSheetId="10" hidden="1">5</definedName>
    <definedName name="solver_rel8" localSheetId="6" hidden="1">5</definedName>
    <definedName name="solver_rel8" localSheetId="26" hidden="1">5</definedName>
    <definedName name="solver_rel8" localSheetId="42" hidden="1">5</definedName>
    <definedName name="solver_rel8" localSheetId="38" hidden="1">5</definedName>
    <definedName name="solver_rel80" localSheetId="55" hidden="1">3</definedName>
    <definedName name="solver_rel81" localSheetId="55" hidden="1">3</definedName>
    <definedName name="solver_rel82" localSheetId="55" hidden="1">3</definedName>
    <definedName name="solver_rel83" localSheetId="55" hidden="1">3</definedName>
    <definedName name="solver_rel84" localSheetId="55" hidden="1">3</definedName>
    <definedName name="solver_rel85" localSheetId="55" hidden="1">3</definedName>
    <definedName name="solver_rel86" localSheetId="55" hidden="1">3</definedName>
    <definedName name="solver_rel87" localSheetId="55" hidden="1">3</definedName>
    <definedName name="solver_rel88" localSheetId="55" hidden="1">3</definedName>
    <definedName name="solver_rel89" localSheetId="55" hidden="1">3</definedName>
    <definedName name="solver_rel9" localSheetId="18" hidden="1">3</definedName>
    <definedName name="solver_rel9" localSheetId="19" hidden="1">1</definedName>
    <definedName name="solver_rel9" localSheetId="67" hidden="1">3</definedName>
    <definedName name="solver_rel9" localSheetId="55" hidden="1">3</definedName>
    <definedName name="solver_rel9" localSheetId="3" hidden="1">2</definedName>
    <definedName name="solver_rel90" localSheetId="55" hidden="1">3</definedName>
    <definedName name="solver_rel91" localSheetId="55" hidden="1">3</definedName>
    <definedName name="solver_rel92" localSheetId="55" hidden="1">3</definedName>
    <definedName name="solver_rel93" localSheetId="55" hidden="1">3</definedName>
    <definedName name="solver_rel94" localSheetId="55" hidden="1">3</definedName>
    <definedName name="solver_rel95" localSheetId="55" hidden="1">3</definedName>
    <definedName name="solver_rel96" localSheetId="55" hidden="1">3</definedName>
    <definedName name="solver_rel97" localSheetId="55" hidden="1">3</definedName>
    <definedName name="solver_rel98" localSheetId="55" hidden="1">3</definedName>
    <definedName name="solver_rel99" localSheetId="55" hidden="1">3</definedName>
    <definedName name="solver_rhs1" localSheetId="68" hidden="1">AutoModel!$D$20</definedName>
    <definedName name="solver_rhs1" localSheetId="20" hidden="1">'BadName!'!$J$12</definedName>
    <definedName name="solver_rhs1" localSheetId="32" hidden="1">BinIntLB!$J$11:$J$13</definedName>
    <definedName name="solver_rhs1" localSheetId="17" hidden="1">BinIntOverlap!$K$8:$K$9</definedName>
    <definedName name="solver_rhs1" localSheetId="31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4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40" hidden="1">ConstantLB!$J$11:$J$13</definedName>
    <definedName name="solver_rhs1" localSheetId="37" hidden="1">ConstFormulaRangeLB!$J$10:$J$12</definedName>
    <definedName name="solver_rhs1" localSheetId="39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9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1" hidden="1">FormulaLB!$J$11:$J$13</definedName>
    <definedName name="solver_rhs1" localSheetId="43" hidden="1">FractionalCoeffs!$I$6</definedName>
    <definedName name="solver_rhs1" localSheetId="67" hidden="1">Highlighting!$I$7:$I$8</definedName>
    <definedName name="solver_rhs1" localSheetId="28" hidden="1">IndirectLBs!$J$10:$J$11</definedName>
    <definedName name="solver_rhs1" localSheetId="24" hidden="1">InfConstConstraint!$L$8:$L$9</definedName>
    <definedName name="solver_rhs1" localSheetId="45" hidden="1">InfModel!$J$9:$J$10</definedName>
    <definedName name="solver_rhs1" localSheetId="46" hidden="1">IterativeCalc!$J$9:$J$10</definedName>
    <definedName name="solver_rhs1" localSheetId="34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9" hidden="1">NamedRanges!$K$8</definedName>
    <definedName name="solver_rhs1" localSheetId="61" hidden="1">NonLin!$L$40</definedName>
    <definedName name="solver_rhs1" localSheetId="62" hidden="1">NonLin2!$G$6:$G$7</definedName>
    <definedName name="solver_rhs1" localSheetId="63" hidden="1">NonLin3!$Q$10:$Q$11</definedName>
    <definedName name="solver_rhs1" localSheetId="60" hidden="1">NonLinBinary!$G$8:$G$9</definedName>
    <definedName name="solver_rhs1" localSheetId="59" hidden="1">NonLinConstraints!$K$7:$K$9</definedName>
    <definedName name="solver_rhs1" localSheetId="55" hidden="1">NonLinLarge!$J$7:$J$8</definedName>
    <definedName name="solver_rhs1" localSheetId="58" hidden="1">NonLinMinMax!$I$8</definedName>
    <definedName name="solver_rhs1" localSheetId="56" hidden="1">NonLinObj!$J$7:$J$8</definedName>
    <definedName name="solver_rhs1" localSheetId="57" hidden="1">NonLinPruning!$H$8:$H$9</definedName>
    <definedName name="solver_rhs1" localSheetId="54" hidden="1">NonLinSimple!$J$7:$J$8</definedName>
    <definedName name="solver_rhs1" localSheetId="47" hidden="1">NoObj!$J$9:$J$10</definedName>
    <definedName name="solver_rhs1" localSheetId="3" hidden="1">OverlappingVars!$J$8:$J$9</definedName>
    <definedName name="solver_rhs1" localSheetId="35" hidden="1">OverlapRangeLB!$J$12:$J$14</definedName>
    <definedName name="solver_rhs1" localSheetId="36" hidden="1">OverlapRangeLBwithFormula!$J$12:$J$14</definedName>
    <definedName name="solver_rhs1" localSheetId="27" hidden="1">ProtectedSheet!$J$8:$J$9</definedName>
    <definedName name="solver_rhs1" localSheetId="50" hidden="1">QuickSolve!$J$8</definedName>
    <definedName name="solver_rhs1" localSheetId="33" hidden="1">Relaxation!$J$11:$J$13</definedName>
    <definedName name="solver_rhs1" localSheetId="48" hidden="1">SeekObj!$I$6</definedName>
    <definedName name="solver_rhs1" localSheetId="52" hidden="1">Sensitivity!$I$8</definedName>
    <definedName name="solver_rhs1" localSheetId="53" hidden="1">SensitivityNames!$J$14:$J$16</definedName>
    <definedName name="solver_rhs1" localSheetId="2" hidden="1">SimpleLP!$J$8:$J$9</definedName>
    <definedName name="solver_rhs1" localSheetId="30" hidden="1">SingleRangeLB!$J$10:$J$12</definedName>
    <definedName name="solver_rhs1" localSheetId="51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26" hidden="1">Unbounded!$J$8:$J$9</definedName>
    <definedName name="solver_rhs1" localSheetId="42" hidden="1">VarConstraintLB!$J$11:$J$13</definedName>
    <definedName name="solver_rhs1" localSheetId="38" hidden="1">VariableFormulaRangeLB!$J$11:$J$13</definedName>
    <definedName name="solver_rhs10" localSheetId="19" hidden="1">5*ConFormulaInf!$I$15-1</definedName>
    <definedName name="solver_rhs10" localSheetId="55" hidden="1">NonLinLarge!$J$16</definedName>
    <definedName name="solver_rhs100" localSheetId="55" hidden="1">NonLinLarge!$J$106</definedName>
    <definedName name="solver_rhs101" localSheetId="55" hidden="1">NonLinLarge!$J$107</definedName>
    <definedName name="solver_rhs102" localSheetId="55" hidden="1">NonLinLarge!$J$108</definedName>
    <definedName name="solver_rhs103" localSheetId="55" hidden="1">NonLinLarge!$J$109</definedName>
    <definedName name="solver_rhs104" localSheetId="55" hidden="1">NonLinLarge!$J$110</definedName>
    <definedName name="solver_rhs105" localSheetId="55" hidden="1">NonLinLarge!$J$111</definedName>
    <definedName name="solver_rhs106" localSheetId="55" hidden="1">NonLinLarge!$J$112</definedName>
    <definedName name="solver_rhs107" localSheetId="55" hidden="1">NonLinLarge!$J$113</definedName>
    <definedName name="solver_rhs108" localSheetId="55" hidden="1">NonLinLarge!$J$114</definedName>
    <definedName name="solver_rhs109" localSheetId="55" hidden="1">NonLinLarge!$J$115</definedName>
    <definedName name="solver_rhs11" localSheetId="55" hidden="1">NonLinLarge!$J$17</definedName>
    <definedName name="solver_rhs110" localSheetId="55" hidden="1">NonLinLarge!$J$116</definedName>
    <definedName name="solver_rhs111" localSheetId="55" hidden="1">NonLinLarge!$J$117</definedName>
    <definedName name="solver_rhs112" localSheetId="55" hidden="1">NonLinLarge!$J$118</definedName>
    <definedName name="solver_rhs113" localSheetId="55" hidden="1">NonLinLarge!$J$119</definedName>
    <definedName name="solver_rhs114" localSheetId="55" hidden="1">NonLinLarge!$J$120</definedName>
    <definedName name="solver_rhs115" localSheetId="55" hidden="1">NonLinLarge!$J$121</definedName>
    <definedName name="solver_rhs116" localSheetId="55" hidden="1">NonLinLarge!$J$122</definedName>
    <definedName name="solver_rhs117" localSheetId="55" hidden="1">NonLinLarge!$J$123</definedName>
    <definedName name="solver_rhs118" localSheetId="55" hidden="1">NonLinLarge!$J$124</definedName>
    <definedName name="solver_rhs119" localSheetId="55" hidden="1">NonLinLarge!$J$125</definedName>
    <definedName name="solver_rhs12" localSheetId="55" hidden="1">NonLinLarge!$J$18</definedName>
    <definedName name="solver_rhs120" localSheetId="55" hidden="1">NonLinLarge!$J$126</definedName>
    <definedName name="solver_rhs121" localSheetId="55" hidden="1">NonLinLarge!$J$127</definedName>
    <definedName name="solver_rhs122" localSheetId="55" hidden="1">NonLinLarge!$J$128</definedName>
    <definedName name="solver_rhs123" localSheetId="55" hidden="1">NonLinLarge!$J$129</definedName>
    <definedName name="solver_rhs124" localSheetId="55" hidden="1">NonLinLarge!$J$130</definedName>
    <definedName name="solver_rhs125" localSheetId="55" hidden="1">NonLinLarge!$J$131</definedName>
    <definedName name="solver_rhs126" localSheetId="55" hidden="1">NonLinLarge!$J$132</definedName>
    <definedName name="solver_rhs127" localSheetId="55" hidden="1">NonLinLarge!$J$133</definedName>
    <definedName name="solver_rhs128" localSheetId="55" hidden="1">NonLinLarge!$J$134</definedName>
    <definedName name="solver_rhs129" localSheetId="55" hidden="1">NonLinLarge!$J$135</definedName>
    <definedName name="solver_rhs13" localSheetId="55" hidden="1">NonLinLarge!$J$19</definedName>
    <definedName name="solver_rhs130" localSheetId="55" hidden="1">NonLinLarge!$J$136</definedName>
    <definedName name="solver_rhs131" localSheetId="55" hidden="1">NonLinLarge!$J$137</definedName>
    <definedName name="solver_rhs132" localSheetId="55" hidden="1">NonLinLarge!$J$138</definedName>
    <definedName name="solver_rhs133" localSheetId="55" hidden="1">NonLinLarge!$J$139</definedName>
    <definedName name="solver_rhs14" localSheetId="55" hidden="1">NonLinLarge!$J$20</definedName>
    <definedName name="solver_rhs15" localSheetId="55" hidden="1">NonLinLarge!$J$21</definedName>
    <definedName name="solver_rhs16" localSheetId="55" hidden="1">NonLinLarge!$J$22</definedName>
    <definedName name="solver_rhs17" localSheetId="55" hidden="1">NonLinLarge!$J$23</definedName>
    <definedName name="solver_rhs18" localSheetId="55" hidden="1">NonLinLarge!$J$24</definedName>
    <definedName name="solver_rhs19" localSheetId="55" hidden="1">NonLinLarge!$J$25</definedName>
    <definedName name="solver_rhs2" localSheetId="68" hidden="1">AutoModel!$D$14</definedName>
    <definedName name="solver_rhs2" localSheetId="20" hidden="1">'BadName!'!$J$10</definedName>
    <definedName name="solver_rhs2" localSheetId="32" hidden="1">BinIntLB!$E$7</definedName>
    <definedName name="solver_rhs2" localSheetId="17" hidden="1">BinIntOverlap!$K$10</definedName>
    <definedName name="solver_rhs2" localSheetId="31" hidden="1">BinLB!$E$7</definedName>
    <definedName name="solver_rhs2" localSheetId="5" hidden="1">BlankLHS!$J$10</definedName>
    <definedName name="solver_rhs2" localSheetId="4" hidden="1">BlankRHS!$J$10</definedName>
    <definedName name="solver_rhs2" localSheetId="44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40" hidden="1">-10</definedName>
    <definedName name="solver_rhs2" localSheetId="37" hidden="1">ConstFormulaRangeLB!$D$6:$F$6</definedName>
    <definedName name="solver_rhs2" localSheetId="39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9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1" hidden="1">-10*2</definedName>
    <definedName name="solver_rhs2" localSheetId="43" hidden="1">FractionalCoeffs!$I$7</definedName>
    <definedName name="solver_rhs2" localSheetId="67" hidden="1">Highlighting!$I$9</definedName>
    <definedName name="solver_rhs2" localSheetId="28" hidden="1">IndirectLBs!$J$12</definedName>
    <definedName name="solver_rhs2" localSheetId="24" hidden="1">InfConstConstraint!$L$10</definedName>
    <definedName name="solver_rhs2" localSheetId="45" hidden="1">InfModel!$J$11</definedName>
    <definedName name="solver_rhs2" localSheetId="46" hidden="1">IterativeCalc!$J$11</definedName>
    <definedName name="solver_rhs2" localSheetId="34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9" hidden="1">NamedRanges!$K$9</definedName>
    <definedName name="solver_rhs2" localSheetId="61" hidden="1">NonLin!$L$41:$L$42</definedName>
    <definedName name="solver_rhs2" localSheetId="62" hidden="1">binary</definedName>
    <definedName name="solver_rhs2" localSheetId="63" hidden="1">NonLin3!$U$10:$U$11</definedName>
    <definedName name="solver_rhs2" localSheetId="60" hidden="1">binary</definedName>
    <definedName name="solver_rhs2" localSheetId="59" hidden="1">-6</definedName>
    <definedName name="solver_rhs2" localSheetId="55" hidden="1">NonLinLarge!$J$9:$J$72</definedName>
    <definedName name="solver_rhs2" localSheetId="58" hidden="1">integer</definedName>
    <definedName name="solver_rhs2" localSheetId="56" hidden="1">NonLinObj!$J$9</definedName>
    <definedName name="solver_rhs2" localSheetId="57" hidden="1">NonLinPruning!$H$10:$H$11</definedName>
    <definedName name="solver_rhs2" localSheetId="54" hidden="1">NonLinSimple!$J$9</definedName>
    <definedName name="solver_rhs2" localSheetId="47" hidden="1">NoObj!$J$11</definedName>
    <definedName name="solver_rhs2" localSheetId="3" hidden="1">OverlappingVars!$J$10</definedName>
    <definedName name="solver_rhs2" localSheetId="35" hidden="1">OverlapRangeLB!$E$8:$H$8</definedName>
    <definedName name="solver_rhs2" localSheetId="36" hidden="1">OverlapRangeLBwithFormula!$D$8:$H$8</definedName>
    <definedName name="solver_rhs2" localSheetId="27" hidden="1">ProtectedSheet!$J$10</definedName>
    <definedName name="solver_rhs2" localSheetId="50" hidden="1">QuickSolve!$J$9:$J$10</definedName>
    <definedName name="solver_rhs2" localSheetId="33" hidden="1">Relaxation!$E$7</definedName>
    <definedName name="solver_rhs2" localSheetId="48" hidden="1">SeekObj!$I$7</definedName>
    <definedName name="solver_rhs2" localSheetId="52" hidden="1">Sensitivity!$I$9</definedName>
    <definedName name="solver_rhs2" localSheetId="53" hidden="1">SensitivityNames!$D$18:$H$18</definedName>
    <definedName name="solver_rhs2" localSheetId="2" hidden="1">SimpleLP!$J$10</definedName>
    <definedName name="solver_rhs2" localSheetId="30" hidden="1">-2</definedName>
    <definedName name="solver_rhs2" localSheetId="51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26" hidden="1">Unbounded!$J$10</definedName>
    <definedName name="solver_rhs2" localSheetId="42" hidden="1">VarConstraintLB!$D$5</definedName>
    <definedName name="solver_rhs2" localSheetId="38" hidden="1">VariableFormulaRangeLB!$D$7:$F$7</definedName>
    <definedName name="solver_rhs20" localSheetId="55" hidden="1">NonLinLarge!$J$26</definedName>
    <definedName name="solver_rhs21" localSheetId="55" hidden="1">NonLinLarge!$J$27</definedName>
    <definedName name="solver_rhs22" localSheetId="55" hidden="1">NonLinLarge!$J$28</definedName>
    <definedName name="solver_rhs23" localSheetId="55" hidden="1">NonLinLarge!$J$29</definedName>
    <definedName name="solver_rhs24" localSheetId="55" hidden="1">NonLinLarge!$J$30</definedName>
    <definedName name="solver_rhs25" localSheetId="55" hidden="1">NonLinLarge!$J$31</definedName>
    <definedName name="solver_rhs26" localSheetId="55" hidden="1">NonLinLarge!$J$32</definedName>
    <definedName name="solver_rhs27" localSheetId="55" hidden="1">NonLinLarge!$J$33</definedName>
    <definedName name="solver_rhs28" localSheetId="55" hidden="1">NonLinLarge!$J$34</definedName>
    <definedName name="solver_rhs29" localSheetId="55" hidden="1">NonLinLarge!$J$35</definedName>
    <definedName name="solver_rhs3" localSheetId="68" hidden="1">AutoModel!$D$17</definedName>
    <definedName name="solver_rhs3" localSheetId="20" hidden="1">'BadName!'!$J$11</definedName>
    <definedName name="solver_rhs3" localSheetId="32" hidden="1">binary</definedName>
    <definedName name="solver_rhs3" localSheetId="17" hidden="1">BinIntOverlap!$K$11</definedName>
    <definedName name="solver_rhs3" localSheetId="31" hidden="1">binary</definedName>
    <definedName name="solver_rhs3" localSheetId="5" hidden="1">BlankLHS!$J$11</definedName>
    <definedName name="solver_rhs3" localSheetId="4" hidden="1">BlankRHS!$J$11</definedName>
    <definedName name="solver_rhs3" localSheetId="44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40" hidden="1">ConstantLB!$J$12</definedName>
    <definedName name="solver_rhs3" localSheetId="37" hidden="1">ConstFormulaRangeLB!$J$11</definedName>
    <definedName name="solver_rhs3" localSheetId="39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9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1" hidden="1">FormulaLB!$J$12</definedName>
    <definedName name="solver_rhs3" localSheetId="43" hidden="1">FractionalCoeffs!$I$8:$I$9</definedName>
    <definedName name="solver_rhs3" localSheetId="67" hidden="1">Highlighting!$I$10</definedName>
    <definedName name="solver_rhs3" localSheetId="28" hidden="1">IndirectLBs!$J$13</definedName>
    <definedName name="solver_rhs3" localSheetId="24" hidden="1">InfConstConstraint!$L$11</definedName>
    <definedName name="solver_rhs3" localSheetId="45" hidden="1">InfModel!$J$12</definedName>
    <definedName name="solver_rhs3" localSheetId="46" hidden="1">IterativeCalc!$J$12</definedName>
    <definedName name="solver_rhs3" localSheetId="34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9" hidden="1">NamedRanges!$K$10:$K$11</definedName>
    <definedName name="solver_rhs3" localSheetId="61" hidden="1">NonLin!$L$43</definedName>
    <definedName name="solver_rhs3" localSheetId="55" hidden="1">NonLinLarge!$J$73</definedName>
    <definedName name="solver_rhs3" localSheetId="56" hidden="1">NonLinObj!$J$10</definedName>
    <definedName name="solver_rhs3" localSheetId="57" hidden="1">NonLinPruning!$H$12:$H$18</definedName>
    <definedName name="solver_rhs3" localSheetId="54" hidden="1">NonLinSimple!$J$10</definedName>
    <definedName name="solver_rhs3" localSheetId="47" hidden="1">NoObj!$J$12</definedName>
    <definedName name="solver_rhs3" localSheetId="3" hidden="1">OverlappingVars!$J$11</definedName>
    <definedName name="solver_rhs3" localSheetId="35" hidden="1">OverlapRangeLB!$J$13</definedName>
    <definedName name="solver_rhs3" localSheetId="36" hidden="1">OverlapRangeLBwithFormula!$J$13</definedName>
    <definedName name="solver_rhs3" localSheetId="27" hidden="1">ProtectedSheet!$J$11</definedName>
    <definedName name="solver_rhs3" localSheetId="50" hidden="1">QuickSolve!$J$10</definedName>
    <definedName name="solver_rhs3" localSheetId="33" hidden="1">binary</definedName>
    <definedName name="solver_rhs3" localSheetId="48" hidden="1">SeekObj!$I$8:$I$9</definedName>
    <definedName name="solver_rhs3" localSheetId="52" hidden="1">Sensitivity!$I$10:$I$11</definedName>
    <definedName name="solver_rhs3" localSheetId="53" hidden="1">0</definedName>
    <definedName name="solver_rhs3" localSheetId="2" hidden="1">SimpleLP!$J$11</definedName>
    <definedName name="solver_rhs3" localSheetId="30" hidden="1">SingleRangeLB!$J$11</definedName>
    <definedName name="solver_rhs3" localSheetId="51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26" hidden="1">Unbounded!$J$11</definedName>
    <definedName name="solver_rhs3" localSheetId="42" hidden="1">VarConstraintLB!$J$12</definedName>
    <definedName name="solver_rhs3" localSheetId="38" hidden="1">VariableFormulaRangeLB!$J$12</definedName>
    <definedName name="solver_rhs30" localSheetId="55" hidden="1">NonLinLarge!$J$36</definedName>
    <definedName name="solver_rhs31" localSheetId="55" hidden="1">NonLinLarge!$J$37</definedName>
    <definedName name="solver_rhs32" localSheetId="55" hidden="1">NonLinLarge!$J$38</definedName>
    <definedName name="solver_rhs33" localSheetId="55" hidden="1">NonLinLarge!$J$39</definedName>
    <definedName name="solver_rhs34" localSheetId="55" hidden="1">NonLinLarge!$J$40</definedName>
    <definedName name="solver_rhs35" localSheetId="55" hidden="1">NonLinLarge!$J$41</definedName>
    <definedName name="solver_rhs36" localSheetId="55" hidden="1">NonLinLarge!$J$42</definedName>
    <definedName name="solver_rhs37" localSheetId="55" hidden="1">NonLinLarge!$J$43</definedName>
    <definedName name="solver_rhs38" localSheetId="55" hidden="1">NonLinLarge!$J$44</definedName>
    <definedName name="solver_rhs39" localSheetId="55" hidden="1">NonLinLarge!$J$45</definedName>
    <definedName name="solver_rhs4" localSheetId="68" hidden="1">AutoModel!$D$35</definedName>
    <definedName name="solver_rhs4" localSheetId="20" hidden="1">'BadName!'!$J$12</definedName>
    <definedName name="solver_rhs4" localSheetId="32" hidden="1">integer</definedName>
    <definedName name="solver_rhs4" localSheetId="17" hidden="1">binary</definedName>
    <definedName name="solver_rhs4" localSheetId="31" hidden="1">BinLB!$J$12</definedName>
    <definedName name="solver_rhs4" localSheetId="5" hidden="1">BlankLHS!$J$11</definedName>
    <definedName name="solver_rhs4" localSheetId="4" hidden="1">BlankRHS!$J$11</definedName>
    <definedName name="solver_rhs4" localSheetId="44" hidden="1">binary</definedName>
    <definedName name="solver_rhs4" localSheetId="18" hidden="1">binary</definedName>
    <definedName name="solver_rhs4" localSheetId="19" hidden="1">binary</definedName>
    <definedName name="solver_rhs4" localSheetId="40" hidden="1">ConstantLB!$J$13</definedName>
    <definedName name="solver_rhs4" localSheetId="37" hidden="1">ConstFormulaRangeLB!$J$12</definedName>
    <definedName name="solver_rhs4" localSheetId="39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9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1" hidden="1">FormulaLB!$J$13</definedName>
    <definedName name="solver_rhs4" localSheetId="43" hidden="1">FractionalCoeffs!$I$9</definedName>
    <definedName name="solver_rhs4" localSheetId="67" hidden="1">12</definedName>
    <definedName name="solver_rhs4" localSheetId="28" hidden="1">IndirectLBs!$D$6:$E$6</definedName>
    <definedName name="solver_rhs4" localSheetId="24" hidden="1">InfConstConstraint!$L$11</definedName>
    <definedName name="solver_rhs4" localSheetId="45" hidden="1">2</definedName>
    <definedName name="solver_rhs4" localSheetId="46" hidden="1">IterativeCalc!$J$12</definedName>
    <definedName name="solver_rhs4" localSheetId="34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9" hidden="1">NamedRanges!$K$12</definedName>
    <definedName name="solver_rhs4" localSheetId="61" hidden="1">NonLin!$L$44</definedName>
    <definedName name="solver_rhs4" localSheetId="55" hidden="1">NonLinLarge!$J$74</definedName>
    <definedName name="solver_rhs4" localSheetId="57" hidden="1">NonLinPruning!$H$11</definedName>
    <definedName name="solver_rhs4" localSheetId="47" hidden="1">NoObj!$J$12</definedName>
    <definedName name="solver_rhs4" localSheetId="3" hidden="1">OverlappingVars!$J$8:$J$9</definedName>
    <definedName name="solver_rhs4" localSheetId="35" hidden="1">OverlapRangeLB!$J$14</definedName>
    <definedName name="solver_rhs4" localSheetId="36" hidden="1">OverlapRangeLBwithFormula!$J$14</definedName>
    <definedName name="solver_rhs4" localSheetId="27" hidden="1">ProtectedSheet!$J$11</definedName>
    <definedName name="solver_rhs4" localSheetId="50" hidden="1">integer</definedName>
    <definedName name="solver_rhs4" localSheetId="33" hidden="1">integer</definedName>
    <definedName name="solver_rhs4" localSheetId="48" hidden="1">SeekObj!$I$9</definedName>
    <definedName name="solver_rhs4" localSheetId="52" hidden="1">integer</definedName>
    <definedName name="solver_rhs4" localSheetId="2" hidden="1">SimpleLP!$J$8:$J$9</definedName>
    <definedName name="solver_rhs4" localSheetId="30" hidden="1">SingleRangeLB!$J$12</definedName>
    <definedName name="solver_rhs4" localSheetId="51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26" hidden="1">Unbounded!$J$8:$J$9</definedName>
    <definedName name="solver_rhs4" localSheetId="42" hidden="1">VarConstraintLB!$J$13</definedName>
    <definedName name="solver_rhs4" localSheetId="38" hidden="1">VariableFormulaRangeLB!$J$13</definedName>
    <definedName name="solver_rhs40" localSheetId="55" hidden="1">NonLinLarge!$J$46</definedName>
    <definedName name="solver_rhs41" localSheetId="55" hidden="1">NonLinLarge!$J$47</definedName>
    <definedName name="solver_rhs42" localSheetId="55" hidden="1">NonLinLarge!$J$48</definedName>
    <definedName name="solver_rhs43" localSheetId="55" hidden="1">NonLinLarge!$J$49</definedName>
    <definedName name="solver_rhs44" localSheetId="55" hidden="1">NonLinLarge!$J$50</definedName>
    <definedName name="solver_rhs45" localSheetId="55" hidden="1">NonLinLarge!$J$51</definedName>
    <definedName name="solver_rhs46" localSheetId="55" hidden="1">NonLinLarge!$J$52</definedName>
    <definedName name="solver_rhs47" localSheetId="55" hidden="1">NonLinLarge!$J$53</definedName>
    <definedName name="solver_rhs48" localSheetId="55" hidden="1">NonLinLarge!$J$54</definedName>
    <definedName name="solver_rhs49" localSheetId="55" hidden="1">NonLinLarge!$J$55</definedName>
    <definedName name="solver_rhs5" localSheetId="68" hidden="1">integer</definedName>
    <definedName name="solver_rhs5" localSheetId="20" hidden="1">2</definedName>
    <definedName name="solver_rhs5" localSheetId="32" hidden="1">BinIntLB!$J$12</definedName>
    <definedName name="solver_rhs5" localSheetId="17" hidden="1">integer</definedName>
    <definedName name="solver_rhs5" localSheetId="31" hidden="1">BinLB!$J$13</definedName>
    <definedName name="solver_rhs5" localSheetId="5" hidden="1">2</definedName>
    <definedName name="solver_rhs5" localSheetId="4" hidden="1">2</definedName>
    <definedName name="solver_rhs5" localSheetId="44" hidden="1">integer</definedName>
    <definedName name="solver_rhs5" localSheetId="18" hidden="1">integer</definedName>
    <definedName name="solver_rhs5" localSheetId="19" hidden="1">integer</definedName>
    <definedName name="solver_rhs5" localSheetId="40" hidden="1">2</definedName>
    <definedName name="solver_rhs5" localSheetId="37" hidden="1">2</definedName>
    <definedName name="solver_rhs5" localSheetId="39" hidden="1">2</definedName>
    <definedName name="solver_rhs5" localSheetId="22" hidden="1">2</definedName>
    <definedName name="solver_rhs5" localSheetId="23" hidden="1">2</definedName>
    <definedName name="solver_rhs5" localSheetId="29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1" hidden="1">2</definedName>
    <definedName name="solver_rhs5" localSheetId="67" hidden="1">Highlighting!$N$12</definedName>
    <definedName name="solver_rhs5" localSheetId="28" hidden="1">2</definedName>
    <definedName name="solver_rhs5" localSheetId="24" hidden="1">2</definedName>
    <definedName name="solver_rhs5" localSheetId="45" hidden="1">2</definedName>
    <definedName name="solver_rhs5" localSheetId="46" hidden="1">2</definedName>
    <definedName name="solver_rhs5" localSheetId="34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1" hidden="1">integer</definedName>
    <definedName name="solver_rhs5" localSheetId="55" hidden="1">NonLinLarge!$J$75:$J$138</definedName>
    <definedName name="solver_rhs5" localSheetId="57" hidden="1">NonLinPruning!$H$12:$H$17</definedName>
    <definedName name="solver_rhs5" localSheetId="47" hidden="1">2</definedName>
    <definedName name="solver_rhs5" localSheetId="3" hidden="1">OverlappingVars!$J$10</definedName>
    <definedName name="solver_rhs5" localSheetId="35" hidden="1">2</definedName>
    <definedName name="solver_rhs5" localSheetId="36" hidden="1">2</definedName>
    <definedName name="solver_rhs5" localSheetId="27" hidden="1">2</definedName>
    <definedName name="solver_rhs5" localSheetId="50" hidden="1">QuickSolve!$J$11</definedName>
    <definedName name="solver_rhs5" localSheetId="33" hidden="1">binary</definedName>
    <definedName name="solver_rhs5" localSheetId="2" hidden="1">SimpleLP!$J$10</definedName>
    <definedName name="solver_rhs5" localSheetId="30" hidden="1">2</definedName>
    <definedName name="solver_rhs5" localSheetId="10" hidden="1">2</definedName>
    <definedName name="solver_rhs5" localSheetId="6" hidden="1">2</definedName>
    <definedName name="solver_rhs5" localSheetId="26" hidden="1">Unbounded!$J$10</definedName>
    <definedName name="solver_rhs5" localSheetId="42" hidden="1">2</definedName>
    <definedName name="solver_rhs5" localSheetId="38" hidden="1">2</definedName>
    <definedName name="solver_rhs50" localSheetId="55" hidden="1">NonLinLarge!$J$56</definedName>
    <definedName name="solver_rhs51" localSheetId="55" hidden="1">NonLinLarge!$J$57</definedName>
    <definedName name="solver_rhs52" localSheetId="55" hidden="1">NonLinLarge!$J$58</definedName>
    <definedName name="solver_rhs53" localSheetId="55" hidden="1">NonLinLarge!$J$59</definedName>
    <definedName name="solver_rhs54" localSheetId="55" hidden="1">NonLinLarge!$J$60</definedName>
    <definedName name="solver_rhs55" localSheetId="55" hidden="1">NonLinLarge!$J$61</definedName>
    <definedName name="solver_rhs56" localSheetId="55" hidden="1">NonLinLarge!$J$62</definedName>
    <definedName name="solver_rhs57" localSheetId="55" hidden="1">NonLinLarge!$J$63</definedName>
    <definedName name="solver_rhs58" localSheetId="55" hidden="1">NonLinLarge!$J$64</definedName>
    <definedName name="solver_rhs59" localSheetId="55" hidden="1">NonLinLarge!$J$65</definedName>
    <definedName name="solver_rhs6" localSheetId="68" hidden="1">integer</definedName>
    <definedName name="solver_rhs6" localSheetId="20" hidden="1">binary</definedName>
    <definedName name="solver_rhs6" localSheetId="32" hidden="1">BinIntLB!$J$13</definedName>
    <definedName name="solver_rhs6" localSheetId="17" hidden="1">BinIntOverlap!$K$11</definedName>
    <definedName name="solver_rhs6" localSheetId="31" hidden="1">binary</definedName>
    <definedName name="solver_rhs6" localSheetId="5" hidden="1">binary</definedName>
    <definedName name="solver_rhs6" localSheetId="4" hidden="1">binary</definedName>
    <definedName name="solver_rhs6" localSheetId="44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40" hidden="1">ConstantLB!$D$7:$F$7</definedName>
    <definedName name="solver_rhs6" localSheetId="37" hidden="1">ConstFormulaRangeLB!$D$6:$F$6</definedName>
    <definedName name="solver_rhs6" localSheetId="39" hidden="1">ConstraintLB!$D$7:$F$7</definedName>
    <definedName name="solver_rhs6" localSheetId="22" hidden="1">binary</definedName>
    <definedName name="solver_rhs6" localSheetId="23" hidden="1">binary</definedName>
    <definedName name="solver_rhs6" localSheetId="29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1" hidden="1">FormulaLB!$D$7:$F$7</definedName>
    <definedName name="solver_rhs6" localSheetId="67" hidden="1">Highlighting!$L$12</definedName>
    <definedName name="solver_rhs6" localSheetId="28" hidden="1">IndirectLBs!$D$6:$E$6</definedName>
    <definedName name="solver_rhs6" localSheetId="24" hidden="1">binary</definedName>
    <definedName name="solver_rhs6" localSheetId="45" hidden="1">binary</definedName>
    <definedName name="solver_rhs6" localSheetId="46" hidden="1">binary</definedName>
    <definedName name="solver_rhs6" localSheetId="34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5" hidden="1">NonLinLarge!$J$139</definedName>
    <definedName name="solver_rhs6" localSheetId="57" hidden="1">NonLinPruning!$H$18</definedName>
    <definedName name="solver_rhs6" localSheetId="47" hidden="1">binary</definedName>
    <definedName name="solver_rhs6" localSheetId="3" hidden="1">OverlappingVars!$J$11</definedName>
    <definedName name="solver_rhs6" localSheetId="35" hidden="1">OverlapRangeLB!$D$8:$F$8</definedName>
    <definedName name="solver_rhs6" localSheetId="36" hidden="1">OverlapRangeLBwithFormula!$D$8:$F$8</definedName>
    <definedName name="solver_rhs6" localSheetId="27" hidden="1">binary</definedName>
    <definedName name="solver_rhs6" localSheetId="50" hidden="1">binary</definedName>
    <definedName name="solver_rhs6" localSheetId="33" hidden="1">integer</definedName>
    <definedName name="solver_rhs6" localSheetId="2" hidden="1">SimpleLP!$J$11</definedName>
    <definedName name="solver_rhs6" localSheetId="30" hidden="1">SingleRangeLB!$D$6:$F$6</definedName>
    <definedName name="solver_rhs6" localSheetId="10" hidden="1">binary</definedName>
    <definedName name="solver_rhs6" localSheetId="6" hidden="1">binary</definedName>
    <definedName name="solver_rhs6" localSheetId="26" hidden="1">Unbounded!$J$11</definedName>
    <definedName name="solver_rhs6" localSheetId="42" hidden="1">VarConstraintLB!$D$7:$F$7</definedName>
    <definedName name="solver_rhs6" localSheetId="38" hidden="1">VariableFormulaRangeLB!$D$7:$F$7</definedName>
    <definedName name="solver_rhs60" localSheetId="55" hidden="1">NonLinLarge!$J$66</definedName>
    <definedName name="solver_rhs61" localSheetId="55" hidden="1">NonLinLarge!$J$67</definedName>
    <definedName name="solver_rhs62" localSheetId="55" hidden="1">NonLinLarge!$J$68</definedName>
    <definedName name="solver_rhs63" localSheetId="55" hidden="1">NonLinLarge!$J$69</definedName>
    <definedName name="solver_rhs64" localSheetId="55" hidden="1">NonLinLarge!$J$70</definedName>
    <definedName name="solver_rhs65" localSheetId="55" hidden="1">NonLinLarge!$J$71</definedName>
    <definedName name="solver_rhs66" localSheetId="55" hidden="1">NonLinLarge!$J$72</definedName>
    <definedName name="solver_rhs67" localSheetId="55" hidden="1">NonLinLarge!$J$73</definedName>
    <definedName name="solver_rhs68" localSheetId="55" hidden="1">NonLinLarge!$J$74</definedName>
    <definedName name="solver_rhs69" localSheetId="55" hidden="1">NonLinLarge!$J$75</definedName>
    <definedName name="solver_rhs7" localSheetId="68" hidden="1">integer</definedName>
    <definedName name="solver_rhs7" localSheetId="20" hidden="1">integer</definedName>
    <definedName name="solver_rhs7" localSheetId="32" hidden="1">integer</definedName>
    <definedName name="solver_rhs7" localSheetId="17" hidden="1">integer</definedName>
    <definedName name="solver_rhs7" localSheetId="31" hidden="1">integer</definedName>
    <definedName name="solver_rhs7" localSheetId="5" hidden="1">integer</definedName>
    <definedName name="solver_rhs7" localSheetId="4" hidden="1">integer</definedName>
    <definedName name="solver_rhs7" localSheetId="44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40" hidden="1">integer</definedName>
    <definedName name="solver_rhs7" localSheetId="37" hidden="1">integer</definedName>
    <definedName name="solver_rhs7" localSheetId="39" hidden="1">integer</definedName>
    <definedName name="solver_rhs7" localSheetId="22" hidden="1">integer</definedName>
    <definedName name="solver_rhs7" localSheetId="23" hidden="1">integer</definedName>
    <definedName name="solver_rhs7" localSheetId="29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1" hidden="1">integer</definedName>
    <definedName name="solver_rhs7" localSheetId="67" hidden="1">2</definedName>
    <definedName name="solver_rhs7" localSheetId="28" hidden="1">integer</definedName>
    <definedName name="solver_rhs7" localSheetId="24" hidden="1">integer</definedName>
    <definedName name="solver_rhs7" localSheetId="45" hidden="1">integer</definedName>
    <definedName name="solver_rhs7" localSheetId="46" hidden="1">integer</definedName>
    <definedName name="solver_rhs7" localSheetId="34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5" hidden="1">NonLinLarge!$J$13</definedName>
    <definedName name="solver_rhs7" localSheetId="47" hidden="1">integer</definedName>
    <definedName name="solver_rhs7" localSheetId="3" hidden="1">OverlappingVars!$J$8:$J$9</definedName>
    <definedName name="solver_rhs7" localSheetId="35" hidden="1">integer</definedName>
    <definedName name="solver_rhs7" localSheetId="36" hidden="1">integer</definedName>
    <definedName name="solver_rhs7" localSheetId="27" hidden="1">integer</definedName>
    <definedName name="solver_rhs7" localSheetId="50" hidden="1">integer</definedName>
    <definedName name="solver_rhs7" localSheetId="33" hidden="1">integer</definedName>
    <definedName name="solver_rhs7" localSheetId="2" hidden="1">integer</definedName>
    <definedName name="solver_rhs7" localSheetId="30" hidden="1">integer</definedName>
    <definedName name="solver_rhs7" localSheetId="10" hidden="1">integer</definedName>
    <definedName name="solver_rhs7" localSheetId="6" hidden="1">integer</definedName>
    <definedName name="solver_rhs7" localSheetId="26" hidden="1">integer</definedName>
    <definedName name="solver_rhs7" localSheetId="42" hidden="1">integer</definedName>
    <definedName name="solver_rhs7" localSheetId="38" hidden="1">integer</definedName>
    <definedName name="solver_rhs70" localSheetId="55" hidden="1">NonLinLarge!$J$76</definedName>
    <definedName name="solver_rhs71" localSheetId="55" hidden="1">NonLinLarge!$J$77</definedName>
    <definedName name="solver_rhs72" localSheetId="55" hidden="1">NonLinLarge!$J$78</definedName>
    <definedName name="solver_rhs73" localSheetId="55" hidden="1">NonLinLarge!$J$79</definedName>
    <definedName name="solver_rhs74" localSheetId="55" hidden="1">NonLinLarge!$J$80</definedName>
    <definedName name="solver_rhs75" localSheetId="55" hidden="1">NonLinLarge!$J$81</definedName>
    <definedName name="solver_rhs76" localSheetId="55" hidden="1">NonLinLarge!$J$82</definedName>
    <definedName name="solver_rhs77" localSheetId="55" hidden="1">NonLinLarge!$J$83</definedName>
    <definedName name="solver_rhs78" localSheetId="55" hidden="1">NonLinLarge!$J$84</definedName>
    <definedName name="solver_rhs79" localSheetId="55" hidden="1">NonLinLarge!$J$85</definedName>
    <definedName name="solver_rhs8" localSheetId="20" hidden="1">binary</definedName>
    <definedName name="solver_rhs8" localSheetId="32" hidden="1">binary</definedName>
    <definedName name="solver_rhs8" localSheetId="17" hidden="1">binary</definedName>
    <definedName name="solver_rhs8" localSheetId="31" hidden="1">binary</definedName>
    <definedName name="solver_rhs8" localSheetId="5" hidden="1">binary</definedName>
    <definedName name="solver_rhs8" localSheetId="4" hidden="1">binary</definedName>
    <definedName name="solver_rhs8" localSheetId="44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40" hidden="1">binary</definedName>
    <definedName name="solver_rhs8" localSheetId="37" hidden="1">binary</definedName>
    <definedName name="solver_rhs8" localSheetId="39" hidden="1">binary</definedName>
    <definedName name="solver_rhs8" localSheetId="22" hidden="1">binary</definedName>
    <definedName name="solver_rhs8" localSheetId="23" hidden="1">binary</definedName>
    <definedName name="solver_rhs8" localSheetId="29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1" hidden="1">binary</definedName>
    <definedName name="solver_rhs8" localSheetId="67" hidden="1">Highlighting!$L$10:$N$10</definedName>
    <definedName name="solver_rhs8" localSheetId="28" hidden="1">binary</definedName>
    <definedName name="solver_rhs8" localSheetId="24" hidden="1">binary</definedName>
    <definedName name="solver_rhs8" localSheetId="45" hidden="1">binary</definedName>
    <definedName name="solver_rhs8" localSheetId="46" hidden="1">binary</definedName>
    <definedName name="solver_rhs8" localSheetId="34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5" hidden="1">NonLinLarge!$J$14</definedName>
    <definedName name="solver_rhs8" localSheetId="47" hidden="1">binary</definedName>
    <definedName name="solver_rhs8" localSheetId="3" hidden="1">OverlappingVars!$J$10</definedName>
    <definedName name="solver_rhs8" localSheetId="35" hidden="1">binary</definedName>
    <definedName name="solver_rhs8" localSheetId="36" hidden="1">binary</definedName>
    <definedName name="solver_rhs8" localSheetId="27" hidden="1">binary</definedName>
    <definedName name="solver_rhs8" localSheetId="50" hidden="1">binary</definedName>
    <definedName name="solver_rhs8" localSheetId="33" hidden="1">binary</definedName>
    <definedName name="solver_rhs8" localSheetId="2" hidden="1">binary</definedName>
    <definedName name="solver_rhs8" localSheetId="30" hidden="1">binary</definedName>
    <definedName name="solver_rhs8" localSheetId="10" hidden="1">binary</definedName>
    <definedName name="solver_rhs8" localSheetId="6" hidden="1">binary</definedName>
    <definedName name="solver_rhs8" localSheetId="26" hidden="1">binary</definedName>
    <definedName name="solver_rhs8" localSheetId="42" hidden="1">binary</definedName>
    <definedName name="solver_rhs8" localSheetId="38" hidden="1">binary</definedName>
    <definedName name="solver_rhs80" localSheetId="55" hidden="1">NonLinLarge!$J$86</definedName>
    <definedName name="solver_rhs81" localSheetId="55" hidden="1">NonLinLarge!$J$87</definedName>
    <definedName name="solver_rhs82" localSheetId="55" hidden="1">NonLinLarge!$J$88</definedName>
    <definedName name="solver_rhs83" localSheetId="55" hidden="1">NonLinLarge!$J$89</definedName>
    <definedName name="solver_rhs84" localSheetId="55" hidden="1">NonLinLarge!$J$90</definedName>
    <definedName name="solver_rhs85" localSheetId="55" hidden="1">NonLinLarge!$J$91</definedName>
    <definedName name="solver_rhs86" localSheetId="55" hidden="1">NonLinLarge!$J$92</definedName>
    <definedName name="solver_rhs87" localSheetId="55" hidden="1">NonLinLarge!$J$93</definedName>
    <definedName name="solver_rhs88" localSheetId="55" hidden="1">NonLinLarge!$J$94</definedName>
    <definedName name="solver_rhs89" localSheetId="55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7" hidden="1">Highlighting!#REF!</definedName>
    <definedName name="solver_rhs9" localSheetId="55" hidden="1">NonLinLarge!$J$15</definedName>
    <definedName name="solver_rhs9" localSheetId="3" hidden="1">OverlappingVars!$J$11</definedName>
    <definedName name="solver_rhs90" localSheetId="55" hidden="1">NonLinLarge!$J$96</definedName>
    <definedName name="solver_rhs91" localSheetId="55" hidden="1">NonLinLarge!$J$97</definedName>
    <definedName name="solver_rhs92" localSheetId="55" hidden="1">NonLinLarge!$J$98</definedName>
    <definedName name="solver_rhs93" localSheetId="55" hidden="1">NonLinLarge!$J$99</definedName>
    <definedName name="solver_rhs94" localSheetId="55" hidden="1">NonLinLarge!$J$100</definedName>
    <definedName name="solver_rhs95" localSheetId="55" hidden="1">NonLinLarge!$J$101</definedName>
    <definedName name="solver_rhs96" localSheetId="55" hidden="1">NonLinLarge!$J$102</definedName>
    <definedName name="solver_rhs97" localSheetId="55" hidden="1">NonLinLarge!$J$103</definedName>
    <definedName name="solver_rhs98" localSheetId="55" hidden="1">NonLinLarge!$J$104</definedName>
    <definedName name="solver_rhs99" localSheetId="55" hidden="1">NonLinLarge!$J$105</definedName>
    <definedName name="solver_rlx" localSheetId="20" hidden="1">2</definedName>
    <definedName name="solver_rlx" localSheetId="32" hidden="1">2</definedName>
    <definedName name="solver_rlx" localSheetId="17" hidden="1">2</definedName>
    <definedName name="solver_rlx" localSheetId="31" hidden="1">2</definedName>
    <definedName name="solver_rlx" localSheetId="5" hidden="1">2</definedName>
    <definedName name="solver_rlx" localSheetId="4" hidden="1">2</definedName>
    <definedName name="solver_rlx" localSheetId="44" hidden="1">2</definedName>
    <definedName name="solver_rlx" localSheetId="18" hidden="1">2</definedName>
    <definedName name="solver_rlx" localSheetId="19" hidden="1">2</definedName>
    <definedName name="solver_rlx" localSheetId="40" hidden="1">2</definedName>
    <definedName name="solver_rlx" localSheetId="37" hidden="1">2</definedName>
    <definedName name="solver_rlx" localSheetId="39" hidden="1">2</definedName>
    <definedName name="solver_rlx" localSheetId="22" hidden="1">2</definedName>
    <definedName name="solver_rlx" localSheetId="29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1" hidden="1">2</definedName>
    <definedName name="solver_rlx" localSheetId="43" hidden="1">2</definedName>
    <definedName name="solver_rlx" localSheetId="28" hidden="1">2</definedName>
    <definedName name="solver_rlx" localSheetId="24" hidden="1">2</definedName>
    <definedName name="solver_rlx" localSheetId="45" hidden="1">2</definedName>
    <definedName name="solver_rlx" localSheetId="46" hidden="1">2</definedName>
    <definedName name="solver_rlx" localSheetId="34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9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0" hidden="1">2</definedName>
    <definedName name="solver_rlx" localSheetId="59" hidden="1">2</definedName>
    <definedName name="solver_rlx" localSheetId="55" hidden="1">2</definedName>
    <definedName name="solver_rlx" localSheetId="58" hidden="1">2</definedName>
    <definedName name="solver_rlx" localSheetId="56" hidden="1">2</definedName>
    <definedName name="solver_rlx" localSheetId="57" hidden="1">2</definedName>
    <definedName name="solver_rlx" localSheetId="54" hidden="1">2</definedName>
    <definedName name="solver_rlx" localSheetId="47" hidden="1">2</definedName>
    <definedName name="solver_rlx" localSheetId="3" hidden="1">2</definedName>
    <definedName name="solver_rlx" localSheetId="35" hidden="1">2</definedName>
    <definedName name="solver_rlx" localSheetId="36" hidden="1">2</definedName>
    <definedName name="solver_rlx" localSheetId="27" hidden="1">2</definedName>
    <definedName name="solver_rlx" localSheetId="33" hidden="1">1</definedName>
    <definedName name="solver_rlx" localSheetId="1" hidden="1">2</definedName>
    <definedName name="solver_rlx" localSheetId="48" hidden="1">2</definedName>
    <definedName name="solver_rlx" localSheetId="52" hidden="1">2</definedName>
    <definedName name="solver_rlx" localSheetId="53" hidden="1">2</definedName>
    <definedName name="solver_rlx" localSheetId="2" hidden="1">2</definedName>
    <definedName name="solver_rlx" localSheetId="30" hidden="1">2</definedName>
    <definedName name="solver_rlx" localSheetId="51" hidden="1">2</definedName>
    <definedName name="solver_rlx" localSheetId="6" hidden="1">2</definedName>
    <definedName name="solver_rlx" localSheetId="26" hidden="1">2</definedName>
    <definedName name="solver_rlx" localSheetId="42" hidden="1">2</definedName>
    <definedName name="solver_rlx" localSheetId="38" hidden="1">2</definedName>
    <definedName name="solver_rsd" localSheetId="32" hidden="1">0</definedName>
    <definedName name="solver_rsd" localSheetId="31" hidden="1">0</definedName>
    <definedName name="solver_rsd" localSheetId="40" hidden="1">0</definedName>
    <definedName name="solver_rsd" localSheetId="37" hidden="1">0</definedName>
    <definedName name="solver_rsd" localSheetId="41" hidden="1">0</definedName>
    <definedName name="solver_rsd" localSheetId="34" hidden="1">0</definedName>
    <definedName name="solver_rsd" localSheetId="64" hidden="1">0</definedName>
    <definedName name="solver_rsd" localSheetId="65" hidden="1">0</definedName>
    <definedName name="solver_rsd" localSheetId="57" hidden="1">0</definedName>
    <definedName name="solver_rsd" localSheetId="35" hidden="1">0</definedName>
    <definedName name="solver_rsd" localSheetId="36" hidden="1">0</definedName>
    <definedName name="solver_rsd" localSheetId="33" hidden="1">0</definedName>
    <definedName name="solver_rsd" localSheetId="2" hidden="1">0</definedName>
    <definedName name="solver_rsd" localSheetId="30" hidden="1">0</definedName>
    <definedName name="solver_rsd" localSheetId="26" hidden="1">0</definedName>
    <definedName name="solver_rsd" localSheetId="42" hidden="1">0</definedName>
    <definedName name="solver_rsd" localSheetId="38" hidden="1">0</definedName>
    <definedName name="solver_scl" localSheetId="68" hidden="1">2</definedName>
    <definedName name="solver_scl" localSheetId="20" hidden="1">2</definedName>
    <definedName name="solver_scl" localSheetId="32" hidden="1">2</definedName>
    <definedName name="solver_scl" localSheetId="17" hidden="1">2</definedName>
    <definedName name="solver_scl" localSheetId="31" hidden="1">2</definedName>
    <definedName name="solver_scl" localSheetId="5" hidden="1">2</definedName>
    <definedName name="solver_scl" localSheetId="4" hidden="1">2</definedName>
    <definedName name="solver_scl" localSheetId="44" hidden="1">2</definedName>
    <definedName name="solver_scl" localSheetId="18" hidden="1">2</definedName>
    <definedName name="solver_scl" localSheetId="19" hidden="1">2</definedName>
    <definedName name="solver_scl" localSheetId="40" hidden="1">2</definedName>
    <definedName name="solver_scl" localSheetId="37" hidden="1">2</definedName>
    <definedName name="solver_scl" localSheetId="39" hidden="1">2</definedName>
    <definedName name="solver_scl" localSheetId="22" hidden="1">2</definedName>
    <definedName name="solver_scl" localSheetId="23" hidden="1">2</definedName>
    <definedName name="solver_scl" localSheetId="29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1" hidden="1">2</definedName>
    <definedName name="solver_scl" localSheetId="43" hidden="1">2</definedName>
    <definedName name="solver_scl" localSheetId="67" hidden="1">2</definedName>
    <definedName name="solver_scl" localSheetId="28" hidden="1">2</definedName>
    <definedName name="solver_scl" localSheetId="24" hidden="1">2</definedName>
    <definedName name="solver_scl" localSheetId="45" hidden="1">2</definedName>
    <definedName name="solver_scl" localSheetId="46" hidden="1">2</definedName>
    <definedName name="solver_scl" localSheetId="34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9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0" hidden="1">2</definedName>
    <definedName name="solver_scl" localSheetId="59" hidden="1">2</definedName>
    <definedName name="solver_scl" localSheetId="55" hidden="1">2</definedName>
    <definedName name="solver_scl" localSheetId="58" hidden="1">2</definedName>
    <definedName name="solver_scl" localSheetId="56" hidden="1">2</definedName>
    <definedName name="solver_scl" localSheetId="57" hidden="1">1</definedName>
    <definedName name="solver_scl" localSheetId="54" hidden="1">2</definedName>
    <definedName name="solver_scl" localSheetId="47" hidden="1">2</definedName>
    <definedName name="solver_scl" localSheetId="3" hidden="1">2</definedName>
    <definedName name="solver_scl" localSheetId="35" hidden="1">2</definedName>
    <definedName name="solver_scl" localSheetId="36" hidden="1">2</definedName>
    <definedName name="solver_scl" localSheetId="27" hidden="1">2</definedName>
    <definedName name="solver_scl" localSheetId="50" hidden="1">2</definedName>
    <definedName name="solver_scl" localSheetId="33" hidden="1">2</definedName>
    <definedName name="solver_scl" localSheetId="1" hidden="1">2</definedName>
    <definedName name="solver_scl" localSheetId="48" hidden="1">2</definedName>
    <definedName name="solver_scl" localSheetId="52" hidden="1">2</definedName>
    <definedName name="solver_scl" localSheetId="53" hidden="1">2</definedName>
    <definedName name="solver_scl" localSheetId="2" hidden="1">2</definedName>
    <definedName name="solver_scl" localSheetId="30" hidden="1">2</definedName>
    <definedName name="solver_scl" localSheetId="51" hidden="1">2</definedName>
    <definedName name="solver_scl" localSheetId="10" hidden="1">2</definedName>
    <definedName name="solver_scl" localSheetId="6" hidden="1">2</definedName>
    <definedName name="solver_scl" localSheetId="26" hidden="1">2</definedName>
    <definedName name="solver_scl" localSheetId="42" hidden="1">2</definedName>
    <definedName name="solver_scl" localSheetId="38" hidden="1">2</definedName>
    <definedName name="solver_sho" localSheetId="20" hidden="1">2</definedName>
    <definedName name="solver_sho" localSheetId="32" hidden="1">2</definedName>
    <definedName name="solver_sho" localSheetId="17" hidden="1">2</definedName>
    <definedName name="solver_sho" localSheetId="31" hidden="1">2</definedName>
    <definedName name="solver_sho" localSheetId="5" hidden="1">2</definedName>
    <definedName name="solver_sho" localSheetId="4" hidden="1">2</definedName>
    <definedName name="solver_sho" localSheetId="44" hidden="1">2</definedName>
    <definedName name="solver_sho" localSheetId="18" hidden="1">2</definedName>
    <definedName name="solver_sho" localSheetId="19" hidden="1">2</definedName>
    <definedName name="solver_sho" localSheetId="40" hidden="1">2</definedName>
    <definedName name="solver_sho" localSheetId="37" hidden="1">2</definedName>
    <definedName name="solver_sho" localSheetId="39" hidden="1">2</definedName>
    <definedName name="solver_sho" localSheetId="22" hidden="1">2</definedName>
    <definedName name="solver_sho" localSheetId="29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1" hidden="1">2</definedName>
    <definedName name="solver_sho" localSheetId="43" hidden="1">2</definedName>
    <definedName name="solver_sho" localSheetId="67" hidden="1">2</definedName>
    <definedName name="solver_sho" localSheetId="28" hidden="1">2</definedName>
    <definedName name="solver_sho" localSheetId="24" hidden="1">2</definedName>
    <definedName name="solver_sho" localSheetId="45" hidden="1">2</definedName>
    <definedName name="solver_sho" localSheetId="46" hidden="1">2</definedName>
    <definedName name="solver_sho" localSheetId="34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9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0" hidden="1">2</definedName>
    <definedName name="solver_sho" localSheetId="59" hidden="1">2</definedName>
    <definedName name="solver_sho" localSheetId="55" hidden="1">2</definedName>
    <definedName name="solver_sho" localSheetId="58" hidden="1">2</definedName>
    <definedName name="solver_sho" localSheetId="56" hidden="1">2</definedName>
    <definedName name="solver_sho" localSheetId="57" hidden="1">2</definedName>
    <definedName name="solver_sho" localSheetId="54" hidden="1">2</definedName>
    <definedName name="solver_sho" localSheetId="47" hidden="1">2</definedName>
    <definedName name="solver_sho" localSheetId="3" hidden="1">2</definedName>
    <definedName name="solver_sho" localSheetId="35" hidden="1">2</definedName>
    <definedName name="solver_sho" localSheetId="36" hidden="1">2</definedName>
    <definedName name="solver_sho" localSheetId="27" hidden="1">2</definedName>
    <definedName name="solver_sho" localSheetId="33" hidden="1">2</definedName>
    <definedName name="solver_sho" localSheetId="1" hidden="1">2</definedName>
    <definedName name="solver_sho" localSheetId="48" hidden="1">2</definedName>
    <definedName name="solver_sho" localSheetId="52" hidden="1">2</definedName>
    <definedName name="solver_sho" localSheetId="53" hidden="1">2</definedName>
    <definedName name="solver_sho" localSheetId="2" hidden="1">2</definedName>
    <definedName name="solver_sho" localSheetId="30" hidden="1">2</definedName>
    <definedName name="solver_sho" localSheetId="51" hidden="1">2</definedName>
    <definedName name="solver_sho" localSheetId="6" hidden="1">2</definedName>
    <definedName name="solver_sho" localSheetId="26" hidden="1">2</definedName>
    <definedName name="solver_sho" localSheetId="42" hidden="1">2</definedName>
    <definedName name="solver_sho" localSheetId="38" hidden="1">2</definedName>
    <definedName name="solver_ssz" localSheetId="32" hidden="1">100</definedName>
    <definedName name="solver_ssz" localSheetId="31" hidden="1">100</definedName>
    <definedName name="solver_ssz" localSheetId="40" hidden="1">100</definedName>
    <definedName name="solver_ssz" localSheetId="37" hidden="1">100</definedName>
    <definedName name="solver_ssz" localSheetId="41" hidden="1">100</definedName>
    <definedName name="solver_ssz" localSheetId="34" hidden="1">100</definedName>
    <definedName name="solver_ssz" localSheetId="64" hidden="1">100</definedName>
    <definedName name="solver_ssz" localSheetId="65" hidden="1">100</definedName>
    <definedName name="solver_ssz" localSheetId="57" hidden="1">100</definedName>
    <definedName name="solver_ssz" localSheetId="35" hidden="1">100</definedName>
    <definedName name="solver_ssz" localSheetId="36" hidden="1">100</definedName>
    <definedName name="solver_ssz" localSheetId="33" hidden="1">100</definedName>
    <definedName name="solver_ssz" localSheetId="2" hidden="1">100</definedName>
    <definedName name="solver_ssz" localSheetId="30" hidden="1">100</definedName>
    <definedName name="solver_ssz" localSheetId="26" hidden="1">100</definedName>
    <definedName name="solver_ssz" localSheetId="42" hidden="1">100</definedName>
    <definedName name="solver_ssz" localSheetId="38" hidden="1">100</definedName>
    <definedName name="solver_tim" localSheetId="20" hidden="1">9999999999</definedName>
    <definedName name="solver_tim" localSheetId="32" hidden="1">999999999</definedName>
    <definedName name="solver_tim" localSheetId="17" hidden="1">999999999</definedName>
    <definedName name="solver_tim" localSheetId="31" hidden="1">999999999</definedName>
    <definedName name="solver_tim" localSheetId="5" hidden="1">999999999</definedName>
    <definedName name="solver_tim" localSheetId="4" hidden="1">999999999</definedName>
    <definedName name="solver_tim" localSheetId="44" hidden="1">999999999</definedName>
    <definedName name="solver_tim" localSheetId="18" hidden="1">999999999</definedName>
    <definedName name="solver_tim" localSheetId="19" hidden="1">999999999</definedName>
    <definedName name="solver_tim" localSheetId="40" hidden="1">999999999</definedName>
    <definedName name="solver_tim" localSheetId="37" hidden="1">999999999</definedName>
    <definedName name="solver_tim" localSheetId="39" hidden="1">999999999</definedName>
    <definedName name="solver_tim" localSheetId="22" hidden="1">999999999</definedName>
    <definedName name="solver_tim" localSheetId="29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1" hidden="1">999999999</definedName>
    <definedName name="solver_tim" localSheetId="43" hidden="1">999999999</definedName>
    <definedName name="solver_tim" localSheetId="67" hidden="1">100</definedName>
    <definedName name="solver_tim" localSheetId="28" hidden="1">999999999</definedName>
    <definedName name="solver_tim" localSheetId="24" hidden="1">999999999</definedName>
    <definedName name="solver_tim" localSheetId="45" hidden="1">999999999</definedName>
    <definedName name="solver_tim" localSheetId="46" hidden="1">999999999</definedName>
    <definedName name="solver_tim" localSheetId="34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9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0" hidden="1">999999999</definedName>
    <definedName name="solver_tim" localSheetId="59" hidden="1">999999999</definedName>
    <definedName name="solver_tim" localSheetId="55" hidden="1">999999999</definedName>
    <definedName name="solver_tim" localSheetId="58" hidden="1">999999999</definedName>
    <definedName name="solver_tim" localSheetId="56" hidden="1">999999999</definedName>
    <definedName name="solver_tim" localSheetId="57" hidden="1">999999999</definedName>
    <definedName name="solver_tim" localSheetId="54" hidden="1">999999999</definedName>
    <definedName name="solver_tim" localSheetId="47" hidden="1">999999999</definedName>
    <definedName name="solver_tim" localSheetId="3" hidden="1">999999999</definedName>
    <definedName name="solver_tim" localSheetId="35" hidden="1">999999999</definedName>
    <definedName name="solver_tim" localSheetId="36" hidden="1">999999999</definedName>
    <definedName name="solver_tim" localSheetId="27" hidden="1">999999999</definedName>
    <definedName name="solver_tim" localSheetId="33" hidden="1">999999999</definedName>
    <definedName name="solver_tim" localSheetId="1" hidden="1">9999999999</definedName>
    <definedName name="solver_tim" localSheetId="48" hidden="1">999999999</definedName>
    <definedName name="solver_tim" localSheetId="52" hidden="1">999999999</definedName>
    <definedName name="solver_tim" localSheetId="53" hidden="1">999999999</definedName>
    <definedName name="solver_tim" localSheetId="2" hidden="1">999999999</definedName>
    <definedName name="solver_tim" localSheetId="30" hidden="1">999999999</definedName>
    <definedName name="solver_tim" localSheetId="51" hidden="1">999999999</definedName>
    <definedName name="solver_tim" localSheetId="6" hidden="1">999999999</definedName>
    <definedName name="solver_tim" localSheetId="26" hidden="1">999999999</definedName>
    <definedName name="solver_tim" localSheetId="42" hidden="1">999999999</definedName>
    <definedName name="solver_tim" localSheetId="38" hidden="1">999999999</definedName>
    <definedName name="solver_tol" localSheetId="20" hidden="1">0.05</definedName>
    <definedName name="solver_tol" localSheetId="32" hidden="1">0.05</definedName>
    <definedName name="solver_tol" localSheetId="17" hidden="1">0.05</definedName>
    <definedName name="solver_tol" localSheetId="31" hidden="1">0.05</definedName>
    <definedName name="solver_tol" localSheetId="5" hidden="1">0.05</definedName>
    <definedName name="solver_tol" localSheetId="4" hidden="1">0.05</definedName>
    <definedName name="solver_tol" localSheetId="44" hidden="1">0.05</definedName>
    <definedName name="solver_tol" localSheetId="18" hidden="1">0.05</definedName>
    <definedName name="solver_tol" localSheetId="19" hidden="1">0.05</definedName>
    <definedName name="solver_tol" localSheetId="40" hidden="1">0.05</definedName>
    <definedName name="solver_tol" localSheetId="37" hidden="1">0.05</definedName>
    <definedName name="solver_tol" localSheetId="39" hidden="1">0.05</definedName>
    <definedName name="solver_tol" localSheetId="22" hidden="1">0.05</definedName>
    <definedName name="solver_tol" localSheetId="29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1" hidden="1">0.05</definedName>
    <definedName name="solver_tol" localSheetId="43" hidden="1">0.05</definedName>
    <definedName name="solver_tol" localSheetId="67" hidden="1">0.05</definedName>
    <definedName name="solver_tol" localSheetId="28" hidden="1">0.05</definedName>
    <definedName name="solver_tol" localSheetId="24" hidden="1">0.05</definedName>
    <definedName name="solver_tol" localSheetId="45" hidden="1">0.05</definedName>
    <definedName name="solver_tol" localSheetId="46" hidden="1">0.05</definedName>
    <definedName name="solver_tol" localSheetId="34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9" hidden="1">0.05</definedName>
    <definedName name="solver_tol" localSheetId="61" hidden="1">0.01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0" hidden="1">0.05</definedName>
    <definedName name="solver_tol" localSheetId="59" hidden="1">0.05</definedName>
    <definedName name="solver_tol" localSheetId="55" hidden="1">0.05</definedName>
    <definedName name="solver_tol" localSheetId="58" hidden="1">0.05</definedName>
    <definedName name="solver_tol" localSheetId="56" hidden="1">0.05</definedName>
    <definedName name="solver_tol" localSheetId="57" hidden="1">0.05</definedName>
    <definedName name="solver_tol" localSheetId="54" hidden="1">0.05</definedName>
    <definedName name="solver_tol" localSheetId="47" hidden="1">0.05</definedName>
    <definedName name="solver_tol" localSheetId="3" hidden="1">0.05</definedName>
    <definedName name="solver_tol" localSheetId="35" hidden="1">0.05</definedName>
    <definedName name="solver_tol" localSheetId="36" hidden="1">0.05</definedName>
    <definedName name="solver_tol" localSheetId="27" hidden="1">0.05</definedName>
    <definedName name="solver_tol" localSheetId="33" hidden="1">0.05</definedName>
    <definedName name="solver_tol" localSheetId="1" hidden="1">0.05</definedName>
    <definedName name="solver_tol" localSheetId="48" hidden="1">0.05</definedName>
    <definedName name="solver_tol" localSheetId="52" hidden="1">0.05</definedName>
    <definedName name="solver_tol" localSheetId="53" hidden="1">0.05</definedName>
    <definedName name="solver_tol" localSheetId="2" hidden="1">0.05</definedName>
    <definedName name="solver_tol" localSheetId="30" hidden="1">0.05</definedName>
    <definedName name="solver_tol" localSheetId="51" hidden="1">0.05</definedName>
    <definedName name="solver_tol" localSheetId="6" hidden="1">0.05</definedName>
    <definedName name="solver_tol" localSheetId="26" hidden="1">0.05</definedName>
    <definedName name="solver_tol" localSheetId="42" hidden="1">0.05</definedName>
    <definedName name="solver_tol" localSheetId="38" hidden="1">0.05</definedName>
    <definedName name="solver_typ" localSheetId="68" hidden="1">2</definedName>
    <definedName name="solver_typ" localSheetId="20" hidden="1">2</definedName>
    <definedName name="solver_typ" localSheetId="32" hidden="1">2</definedName>
    <definedName name="solver_typ" localSheetId="17" hidden="1">2</definedName>
    <definedName name="solver_typ" localSheetId="31" hidden="1">2</definedName>
    <definedName name="solver_typ" localSheetId="5" hidden="1">2</definedName>
    <definedName name="solver_typ" localSheetId="4" hidden="1">2</definedName>
    <definedName name="solver_typ" localSheetId="44" hidden="1">2</definedName>
    <definedName name="solver_typ" localSheetId="18" hidden="1">2</definedName>
    <definedName name="solver_typ" localSheetId="19" hidden="1">2</definedName>
    <definedName name="solver_typ" localSheetId="40" hidden="1">2</definedName>
    <definedName name="solver_typ" localSheetId="37" hidden="1">2</definedName>
    <definedName name="solver_typ" localSheetId="39" hidden="1">2</definedName>
    <definedName name="solver_typ" localSheetId="22" hidden="1">2</definedName>
    <definedName name="solver_typ" localSheetId="23" hidden="1">2</definedName>
    <definedName name="solver_typ" localSheetId="29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1" hidden="1">2</definedName>
    <definedName name="solver_typ" localSheetId="43" hidden="1">2</definedName>
    <definedName name="solver_typ" localSheetId="67" hidden="1">2</definedName>
    <definedName name="solver_typ" localSheetId="28" hidden="1">2</definedName>
    <definedName name="solver_typ" localSheetId="24" hidden="1">2</definedName>
    <definedName name="solver_typ" localSheetId="45" hidden="1">2</definedName>
    <definedName name="solver_typ" localSheetId="46" hidden="1">2</definedName>
    <definedName name="solver_typ" localSheetId="34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9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0" hidden="1">2</definedName>
    <definedName name="solver_typ" localSheetId="59" hidden="1">2</definedName>
    <definedName name="solver_typ" localSheetId="55" hidden="1">2</definedName>
    <definedName name="solver_typ" localSheetId="58" hidden="1">1</definedName>
    <definedName name="solver_typ" localSheetId="56" hidden="1">2</definedName>
    <definedName name="solver_typ" localSheetId="57" hidden="1">1</definedName>
    <definedName name="solver_typ" localSheetId="54" hidden="1">2</definedName>
    <definedName name="solver_typ" localSheetId="47" hidden="1">2</definedName>
    <definedName name="solver_typ" localSheetId="3" hidden="1">2</definedName>
    <definedName name="solver_typ" localSheetId="35" hidden="1">2</definedName>
    <definedName name="solver_typ" localSheetId="36" hidden="1">2</definedName>
    <definedName name="solver_typ" localSheetId="27" hidden="1">2</definedName>
    <definedName name="solver_typ" localSheetId="33" hidden="1">2</definedName>
    <definedName name="solver_typ" localSheetId="1" hidden="1">1</definedName>
    <definedName name="solver_typ" localSheetId="48" hidden="1">3</definedName>
    <definedName name="solver_typ" localSheetId="52" hidden="1">1</definedName>
    <definedName name="solver_typ" localSheetId="53" hidden="1">2</definedName>
    <definedName name="solver_typ" localSheetId="2" hidden="1">2</definedName>
    <definedName name="solver_typ" localSheetId="30" hidden="1">2</definedName>
    <definedName name="solver_typ" localSheetId="51" hidden="1">2</definedName>
    <definedName name="solver_typ" localSheetId="10" hidden="1">2</definedName>
    <definedName name="solver_typ" localSheetId="6" hidden="1">2</definedName>
    <definedName name="solver_typ" localSheetId="26" hidden="1">2</definedName>
    <definedName name="solver_typ" localSheetId="42" hidden="1">2</definedName>
    <definedName name="solver_typ" localSheetId="38" hidden="1">2</definedName>
    <definedName name="solver_val" localSheetId="20" hidden="1">0</definedName>
    <definedName name="solver_val" localSheetId="32" hidden="1">0</definedName>
    <definedName name="solver_val" localSheetId="17" hidden="1">0</definedName>
    <definedName name="solver_val" localSheetId="31" hidden="1">0</definedName>
    <definedName name="solver_val" localSheetId="5" hidden="1">0</definedName>
    <definedName name="solver_val" localSheetId="4" hidden="1">0</definedName>
    <definedName name="solver_val" localSheetId="44" hidden="1">0</definedName>
    <definedName name="solver_val" localSheetId="18" hidden="1">0</definedName>
    <definedName name="solver_val" localSheetId="19" hidden="1">0</definedName>
    <definedName name="solver_val" localSheetId="40" hidden="1">0</definedName>
    <definedName name="solver_val" localSheetId="37" hidden="1">0</definedName>
    <definedName name="solver_val" localSheetId="39" hidden="1">0</definedName>
    <definedName name="solver_val" localSheetId="22" hidden="1">0</definedName>
    <definedName name="solver_val" localSheetId="23" hidden="1">0</definedName>
    <definedName name="solver_val" localSheetId="29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1" hidden="1">0</definedName>
    <definedName name="solver_val" localSheetId="43" hidden="1">0</definedName>
    <definedName name="solver_val" localSheetId="67" hidden="1">0</definedName>
    <definedName name="solver_val" localSheetId="28" hidden="1">0</definedName>
    <definedName name="solver_val" localSheetId="24" hidden="1">0</definedName>
    <definedName name="solver_val" localSheetId="45" hidden="1">0</definedName>
    <definedName name="solver_val" localSheetId="46" hidden="1">0</definedName>
    <definedName name="solver_val" localSheetId="34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9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0" hidden="1">0</definedName>
    <definedName name="solver_val" localSheetId="59" hidden="1">0</definedName>
    <definedName name="solver_val" localSheetId="55" hidden="1">0</definedName>
    <definedName name="solver_val" localSheetId="58" hidden="1">0</definedName>
    <definedName name="solver_val" localSheetId="56" hidden="1">0</definedName>
    <definedName name="solver_val" localSheetId="57" hidden="1">0</definedName>
    <definedName name="solver_val" localSheetId="54" hidden="1">0</definedName>
    <definedName name="solver_val" localSheetId="47" hidden="1">0</definedName>
    <definedName name="solver_val" localSheetId="3" hidden="1">0</definedName>
    <definedName name="solver_val" localSheetId="35" hidden="1">0</definedName>
    <definedName name="solver_val" localSheetId="36" hidden="1">0</definedName>
    <definedName name="solver_val" localSheetId="27" hidden="1">0</definedName>
    <definedName name="solver_val" localSheetId="33" hidden="1">0</definedName>
    <definedName name="solver_val" localSheetId="1" hidden="1">0</definedName>
    <definedName name="solver_val" localSheetId="48" hidden="1">50</definedName>
    <definedName name="solver_val" localSheetId="52" hidden="1">0</definedName>
    <definedName name="solver_val" localSheetId="53" hidden="1">0</definedName>
    <definedName name="solver_val" localSheetId="2" hidden="1">0</definedName>
    <definedName name="solver_val" localSheetId="30" hidden="1">0</definedName>
    <definedName name="solver_val" localSheetId="51" hidden="1">0</definedName>
    <definedName name="solver_val" localSheetId="10" hidden="1">0</definedName>
    <definedName name="solver_val" localSheetId="6" hidden="1">0</definedName>
    <definedName name="solver_val" localSheetId="26" hidden="1">0</definedName>
    <definedName name="solver_val" localSheetId="42" hidden="1">0</definedName>
    <definedName name="solver_val" localSheetId="38" hidden="1">0</definedName>
    <definedName name="solver_ver" localSheetId="32" hidden="1">3</definedName>
    <definedName name="solver_ver" localSheetId="31" hidden="1">3</definedName>
    <definedName name="solver_ver" localSheetId="40" hidden="1">3</definedName>
    <definedName name="solver_ver" localSheetId="37" hidden="1">3</definedName>
    <definedName name="solver_ver" localSheetId="41" hidden="1">3</definedName>
    <definedName name="solver_ver" localSheetId="34" hidden="1">3</definedName>
    <definedName name="solver_ver" localSheetId="64" hidden="1">3</definedName>
    <definedName name="solver_ver" localSheetId="65" hidden="1">3</definedName>
    <definedName name="solver_ver" localSheetId="59" hidden="1">3</definedName>
    <definedName name="solver_ver" localSheetId="57" hidden="1">3</definedName>
    <definedName name="solver_ver" localSheetId="47" hidden="1">3</definedName>
    <definedName name="solver_ver" localSheetId="35" hidden="1">3</definedName>
    <definedName name="solver_ver" localSheetId="36" hidden="1">3</definedName>
    <definedName name="solver_ver" localSheetId="33" hidden="1">3</definedName>
    <definedName name="solver_ver" localSheetId="2" hidden="1">3</definedName>
    <definedName name="solver_ver" localSheetId="30" hidden="1">3</definedName>
    <definedName name="solver_ver" localSheetId="26" hidden="1">3</definedName>
    <definedName name="solver_ver" localSheetId="42" hidden="1">3</definedName>
    <definedName name="solver_ver" localSheetId="38" hidden="1">3</definedName>
    <definedName name="TestType">Data!$D$1:$D$2</definedName>
    <definedName name="uhj">NonLinMinMax!$B$1</definedName>
    <definedName name="wa" localSheetId="64">#REF!</definedName>
    <definedName name="wa" localSheetId="65">#REF!</definedName>
    <definedName name="wa" localSheetId="66">#REF!</definedName>
    <definedName name="wa">NonLin3!$P$3</definedName>
    <definedName name="wb" localSheetId="64">#REF!</definedName>
    <definedName name="wb" localSheetId="65">#REF!</definedName>
    <definedName name="wb" localSheetId="66">#REF!</definedName>
    <definedName name="wb">NonLin3!$P$4</definedName>
    <definedName name="wc" localSheetId="64">#REF!</definedName>
    <definedName name="wc" localSheetId="65">#REF!</definedName>
    <definedName name="wc" localSheetId="66">#REF!</definedName>
    <definedName name="wc">NonLin3!$P$5</definedName>
    <definedName name="wd" localSheetId="64">#REF!</definedName>
    <definedName name="wd" localSheetId="65">#REF!</definedName>
    <definedName name="wd" localSheetId="66">#REF!</definedName>
    <definedName name="wd">NonLin3!$P$6</definedName>
    <definedName name="x" localSheetId="21">#REF!</definedName>
    <definedName name="x" localSheetId="63">NonLin3!$C$34:$AQ$34</definedName>
    <definedName name="x" localSheetId="66">NonLin6!$E$6</definedName>
    <definedName name="x" localSheetId="33">#REF!</definedName>
    <definedName name="x" localSheetId="48">#REF!</definedName>
    <definedName name="x" localSheetId="26">#REF!</definedName>
    <definedName name="x">#REF!</definedName>
    <definedName name="xa" localSheetId="64">#REF!</definedName>
    <definedName name="xa" localSheetId="65">#REF!</definedName>
    <definedName name="xa" localSheetId="66">#REF!</definedName>
    <definedName name="xa">NonLin3!$N$3</definedName>
    <definedName name="xb" localSheetId="64">#REF!</definedName>
    <definedName name="xb" localSheetId="65">#REF!</definedName>
    <definedName name="xb" localSheetId="66">#REF!</definedName>
    <definedName name="xb">NonLin3!$N$4</definedName>
    <definedName name="xc" localSheetId="64">#REF!</definedName>
    <definedName name="xc" localSheetId="65">#REF!</definedName>
    <definedName name="xc" localSheetId="66">#REF!</definedName>
    <definedName name="xc">NonLin3!$N$5</definedName>
    <definedName name="xd" localSheetId="64">#REF!</definedName>
    <definedName name="xd" localSheetId="65">#REF!</definedName>
    <definedName name="xd" localSheetId="66">#REF!</definedName>
    <definedName name="xd">NonLin3!$N$6</definedName>
    <definedName name="xstep" localSheetId="21">#REF!</definedName>
    <definedName name="xstep" localSheetId="33">#REF!</definedName>
    <definedName name="xstep" localSheetId="48">#REF!</definedName>
    <definedName name="xstep" localSheetId="26">#REF!</definedName>
    <definedName name="xstep">#REF!</definedName>
    <definedName name="y" localSheetId="21">#REF!</definedName>
    <definedName name="y" localSheetId="63">NonLin3!$B$35:$B$75</definedName>
    <definedName name="y" localSheetId="66">NonLin6!$E$7</definedName>
    <definedName name="y" localSheetId="33">#REF!</definedName>
    <definedName name="y" localSheetId="48">#REF!</definedName>
    <definedName name="y" localSheetId="26">#REF!</definedName>
    <definedName name="y">#REF!</definedName>
    <definedName name="ya" localSheetId="64">#REF!</definedName>
    <definedName name="ya" localSheetId="65">#REF!</definedName>
    <definedName name="ya" localSheetId="66">#REF!</definedName>
    <definedName name="ya">NonLin3!$O$3</definedName>
    <definedName name="yb" localSheetId="64">#REF!</definedName>
    <definedName name="yb" localSheetId="65">#REF!</definedName>
    <definedName name="yb" localSheetId="66">#REF!</definedName>
    <definedName name="yb">NonLin3!$O$4</definedName>
    <definedName name="yc" localSheetId="64">#REF!</definedName>
    <definedName name="yc" localSheetId="65">#REF!</definedName>
    <definedName name="yc" localSheetId="66">#REF!</definedName>
    <definedName name="yc">NonLin3!$O$5</definedName>
    <definedName name="yd" localSheetId="64">#REF!</definedName>
    <definedName name="yd" localSheetId="65">#REF!</definedName>
    <definedName name="yd" localSheetId="66">#REF!</definedName>
    <definedName name="yd">NonLin3!$O$6</definedName>
    <definedName name="ystep" localSheetId="21">#REF!</definedName>
    <definedName name="ystep" localSheetId="33">#REF!</definedName>
    <definedName name="ystep" localSheetId="48">#REF!</definedName>
    <definedName name="ystep" localSheetId="26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7" i="60" l="1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H15" i="2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H6" i="111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S13" i="75"/>
  <c r="F4" i="68"/>
  <c r="I39" i="3"/>
  <c r="C6" i="95"/>
  <c r="I6" i="71"/>
  <c r="G6" i="70"/>
  <c r="F6" i="69"/>
  <c r="H5" i="19"/>
  <c r="H5" i="38"/>
  <c r="H5" i="20"/>
  <c r="D20" i="77"/>
  <c r="G6" i="65"/>
  <c r="H6" i="4"/>
  <c r="I6" i="66"/>
  <c r="G4" i="92"/>
  <c r="H7" i="57"/>
  <c r="H7" i="11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8"/>
  <c r="J6" i="41"/>
  <c r="J6" i="14"/>
  <c r="H7" i="12"/>
  <c r="H6" i="94"/>
  <c r="I6" i="6"/>
  <c r="H7" i="35"/>
  <c r="H7" i="34"/>
  <c r="H7" i="33"/>
  <c r="H7" i="31"/>
  <c r="H6" i="27"/>
  <c r="H6" i="26"/>
  <c r="H6" i="25"/>
  <c r="H6" i="32"/>
  <c r="H6" i="24"/>
  <c r="H6" i="22"/>
  <c r="H6" i="1"/>
  <c r="A6" i="111" l="1"/>
  <c r="H11" i="111"/>
  <c r="H10" i="111"/>
  <c r="A10" i="111"/>
  <c r="H9" i="111"/>
  <c r="A9" i="111"/>
  <c r="H8" i="111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M9" i="57"/>
  <c r="N9" i="57"/>
</calcChain>
</file>

<file path=xl/sharedStrings.xml><?xml version="1.0" encoding="utf-8"?>
<sst xmlns="http://schemas.openxmlformats.org/spreadsheetml/2006/main" count="2112" uniqueCount="351">
  <si>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</si>
  <si>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</si>
  <si>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</si>
  <si>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</si>
  <si>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</si>
  <si>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</si>
  <si>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</si>
  <si>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</si>
  <si>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</si>
  <si>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</si>
  <si>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</si>
  <si>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</si>
  <si>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</si>
  <si>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</si>
  <si>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</si>
  <si>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</si>
  <si>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</si>
  <si>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</si>
  <si>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</si>
  <si>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</si>
  <si>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</si>
  <si>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</si>
  <si>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</si>
  <si>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</si>
  <si>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</si>
  <si>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</si>
  <si>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</si>
  <si>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</si>
  <si>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</si>
  <si>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</si>
  <si>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</si>
  <si>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</si>
  <si>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</si>
  <si>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</si>
  <si>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</si>
  <si>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</si>
  <si>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</si>
  <si>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</si>
  <si>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</si>
  <si>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</si>
  <si>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</si>
  <si>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</si>
  <si>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</si>
  <si>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</si>
  <si>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</si>
  <si>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</si>
  <si>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</si>
  <si>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</si>
  <si>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</si>
  <si>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</si>
  <si>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</si>
  <si>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</si>
  <si>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</si>
  <si>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</si>
  <si>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</si>
  <si>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</si>
  <si>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</si>
  <si>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</si>
  <si>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</si>
  <si>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</si>
  <si>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</si>
  <si>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</si>
  <si>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</si>
  <si>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</si>
  <si>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</si>
  <si>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</si>
  <si>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</si>
  <si>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</si>
  <si>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</si>
  <si>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</si>
  <si>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</si>
  <si>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</si>
  <si>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</si>
  <si>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</si>
  <si>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</si>
  <si>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</si>
  <si>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</si>
  <si>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</si>
  <si>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</si>
  <si>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</si>
  <si>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</si>
  <si>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</si>
  <si>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</si>
  <si>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</si>
  <si>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</si>
  <si>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</si>
  <si>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</si>
  <si>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</si>
  <si>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</si>
  <si>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</si>
  <si>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</si>
  <si>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</si>
  <si>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</si>
  <si>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</si>
  <si>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</si>
  <si>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</si>
  <si>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</si>
  <si>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</si>
  <si>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</si>
  <si>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</si>
  <si>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</si>
  <si>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</si>
  <si>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</si>
  <si>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</si>
  <si>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</si>
  <si>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</si>
  <si>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</si>
  <si>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</si>
  <si>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</si>
  <si>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</si>
  <si>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</si>
  <si>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</si>
  <si>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</si>
  <si>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</si>
  <si>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</si>
  <si>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</si>
  <si>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</si>
  <si>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</si>
  <si>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</si>
  <si>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</si>
  <si>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</si>
  <si>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</si>
  <si>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</si>
  <si>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</si>
  <si>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</si>
  <si>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</si>
  <si>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</si>
  <si>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</si>
  <si>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</si>
  <si>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</si>
  <si>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</si>
  <si>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</si>
  <si>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</si>
  <si>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</si>
  <si>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</si>
  <si>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</si>
  <si>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</si>
  <si>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</si>
  <si>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</si>
  <si>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</si>
  <si>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</si>
  <si>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</si>
  <si>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</si>
  <si>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</si>
  <si>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</si>
  <si>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</si>
  <si>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</si>
  <si>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</si>
  <si>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</si>
  <si>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</si>
  <si>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</si>
  <si>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</si>
  <si>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</si>
  <si>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</si>
  <si>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</si>
  <si>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</si>
  <si>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</si>
  <si>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</si>
  <si>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</si>
  <si>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</si>
  <si>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</si>
  <si>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</si>
  <si>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</si>
  <si>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</si>
  <si>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</si>
  <si>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</si>
  <si>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</si>
  <si>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</si>
  <si>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</si>
  <si>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</si>
  <si>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</si>
  <si>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</si>
  <si>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</si>
  <si>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</si>
  <si>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</si>
  <si>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</si>
  <si>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</si>
  <si>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</si>
  <si>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</si>
  <si>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</si>
  <si>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</si>
  <si>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</si>
  <si>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</si>
  <si>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</si>
  <si>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</si>
  <si>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</si>
  <si>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</si>
  <si>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</si>
  <si>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</si>
  <si>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</si>
  <si>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</si>
  <si>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</si>
  <si>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</si>
  <si>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</si>
  <si>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</si>
  <si>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</si>
  <si>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</si>
  <si>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</si>
  <si>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</si>
  <si>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</si>
  <si>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</si>
  <si>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</si>
  <si>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</si>
  <si>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</si>
  <si>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</si>
  <si>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</si>
  <si>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</si>
  <si>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</si>
  <si>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</si>
  <si>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</si>
  <si>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</si>
  <si>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</si>
  <si>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</si>
  <si>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</si>
  <si>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</si>
  <si>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</si>
  <si>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</si>
  <si>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</si>
  <si>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</si>
  <si>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</si>
  <si>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</si>
  <si>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</si>
  <si>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</si>
  <si>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</si>
  <si>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</si>
  <si>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</si>
  <si>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</si>
  <si>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</si>
  <si>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</si>
  <si>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</si>
  <si>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</si>
  <si>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</si>
  <si>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</si>
  <si>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</si>
  <si>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</si>
  <si>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</si>
  <si>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</si>
  <si>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</si>
  <si>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</si>
  <si>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</si>
  <si>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</si>
  <si>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</si>
  <si>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</si>
  <si>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</si>
  <si>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</si>
  <si>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</si>
  <si>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</si>
  <si>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</si>
  <si>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</si>
  <si>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</si>
  <si>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</si>
  <si>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</si>
  <si>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</si>
  <si>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</si>
  <si>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</si>
  <si>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</si>
  <si>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</si>
  <si>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</si>
  <si>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</si>
  <si>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</si>
  <si>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</si>
  <si>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</si>
  <si>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</si>
  <si>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</si>
  <si>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</si>
  <si>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</si>
  <si>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</si>
  <si>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</si>
  <si>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</si>
  <si>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</si>
  <si>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</si>
  <si>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</si>
  <si>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</si>
  <si>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</si>
  <si>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</si>
  <si>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</si>
  <si>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</si>
  <si>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</si>
  <si>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</si>
  <si>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</si>
  <si>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</si>
  <si>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</si>
  <si>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</si>
  <si>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</si>
  <si>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</si>
  <si>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</si>
  <si>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</si>
  <si>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</si>
  <si>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</si>
  <si>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</si>
  <si>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</si>
  <si>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</si>
  <si>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</si>
  <si>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</si>
  <si>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</si>
  <si>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</si>
  <si>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</si>
  <si>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</si>
  <si>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</si>
  <si>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</si>
  <si>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</si>
  <si>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</si>
  <si>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</si>
  <si>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</si>
  <si>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</si>
  <si>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</si>
  <si>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</si>
  <si>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</si>
  <si>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</si>
  <si>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</si>
  <si>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</si>
  <si>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</si>
  <si>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</si>
  <si>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</si>
  <si>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</si>
  <si>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</si>
  <si>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</si>
  <si>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</si>
  <si>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</si>
  <si>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</si>
  <si>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</si>
  <si>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</si>
  <si>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</si>
  <si>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</si>
  <si>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</si>
  <si>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</si>
  <si>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</si>
  <si>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</si>
  <si>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</si>
  <si>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</si>
  <si>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</si>
  <si>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</si>
  <si>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</si>
  <si>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</si>
  <si>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</si>
  <si>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</si>
  <si>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</si>
  <si>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FAIL*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</si>
  <si>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</si>
  <si>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</si>
  <si>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</si>
  <si>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</si>
  <si>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</si>
  <si>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</si>
  <si>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</si>
  <si>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time_limit</t>
  </si>
  <si>
    <t>NOMAD Options</t>
  </si>
  <si>
    <t>stop_if_feasible</t>
  </si>
  <si>
    <t>NeosCou Options</t>
  </si>
  <si>
    <t>Unbounded model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</si>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</sst>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58127488"/>
        <c:axId val="458132584"/>
        <c:axId val="467014264"/>
      </c:surface3DChart>
      <c:catAx>
        <c:axId val="45812748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3258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5813258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27488"/>
        <c:crosses val="min"/>
        <c:crossBetween val="between"/>
        <c:majorUnit val="0.1"/>
      </c:valAx>
      <c:serAx>
        <c:axId val="467014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3258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0.28867439481710888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0.50000039098488547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1.7113253301896656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0.49999782159388062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0.28867439481710888</c:v>
                </c:pt>
                <c:pt idx="3">
                  <c:v>0</c:v>
                </c:pt>
                <c:pt idx="4">
                  <c:v>0.28867439481710888</c:v>
                </c:pt>
                <c:pt idx="6">
                  <c:v>2</c:v>
                </c:pt>
                <c:pt idx="7">
                  <c:v>1.7113253301896656</c:v>
                </c:pt>
                <c:pt idx="9">
                  <c:v>2</c:v>
                </c:pt>
                <c:pt idx="10">
                  <c:v>1.7113253301896656</c:v>
                </c:pt>
                <c:pt idx="12">
                  <c:v>0.28867439481710888</c:v>
                </c:pt>
                <c:pt idx="13">
                  <c:v>1.7113253301896656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0.50000039098488547</c:v>
                </c:pt>
                <c:pt idx="3">
                  <c:v>1</c:v>
                </c:pt>
                <c:pt idx="4">
                  <c:v>0.50000039098488547</c:v>
                </c:pt>
                <c:pt idx="6">
                  <c:v>1</c:v>
                </c:pt>
                <c:pt idx="7">
                  <c:v>0.49999782159388062</c:v>
                </c:pt>
                <c:pt idx="9">
                  <c:v>0</c:v>
                </c:pt>
                <c:pt idx="10">
                  <c:v>0.49999782159388062</c:v>
                </c:pt>
                <c:pt idx="12">
                  <c:v>0.50000039098488547</c:v>
                </c:pt>
                <c:pt idx="13">
                  <c:v>0.49999782159388062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125136"/>
        <c:axId val="458127880"/>
      </c:scatterChart>
      <c:valAx>
        <c:axId val="45812513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27880"/>
        <c:crosses val="autoZero"/>
        <c:crossBetween val="midCat"/>
        <c:majorUnit val="0.5"/>
      </c:valAx>
      <c:valAx>
        <c:axId val="45812788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2513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131016"/>
        <c:axId val="458126312"/>
      </c:scatterChart>
      <c:valAx>
        <c:axId val="45813101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26312"/>
        <c:crosses val="autoZero"/>
        <c:crossBetween val="midCat"/>
        <c:majorUnit val="1"/>
      </c:valAx>
      <c:valAx>
        <c:axId val="45812631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13101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L5" sqref="L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8" t="s">
        <v>318</v>
      </c>
      <c r="D1" s="168"/>
      <c r="E1" s="168"/>
      <c r="F1" s="168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E3" s="59" t="s">
        <v>332</v>
      </c>
      <c r="F3" s="59" t="s">
        <v>332</v>
      </c>
      <c r="G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E4" s="59" t="s">
        <v>332</v>
      </c>
      <c r="F4" s="59" t="s">
        <v>332</v>
      </c>
      <c r="G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E5" s="59" t="s">
        <v>332</v>
      </c>
      <c r="F5" s="59" t="s">
        <v>332</v>
      </c>
      <c r="G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E6" s="59" t="s">
        <v>332</v>
      </c>
      <c r="F6" s="59" t="s">
        <v>332</v>
      </c>
      <c r="G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E7" s="59" t="s">
        <v>332</v>
      </c>
      <c r="F7" s="59" t="s">
        <v>332</v>
      </c>
      <c r="G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E8" s="59" t="s">
        <v>332</v>
      </c>
      <c r="F8" s="59" t="s">
        <v>332</v>
      </c>
      <c r="G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E9" s="59" t="s">
        <v>332</v>
      </c>
      <c r="F9" s="59" t="s">
        <v>332</v>
      </c>
      <c r="G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E10" s="59" t="s">
        <v>332</v>
      </c>
      <c r="F10" s="59" t="s">
        <v>332</v>
      </c>
      <c r="G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E11" s="59" t="s">
        <v>332</v>
      </c>
      <c r="F11" s="59" t="s">
        <v>332</v>
      </c>
      <c r="G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E12" s="59" t="s">
        <v>332</v>
      </c>
      <c r="F12" s="59" t="s">
        <v>332</v>
      </c>
      <c r="G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E13" s="59" t="s">
        <v>332</v>
      </c>
      <c r="F13" s="59" t="s">
        <v>332</v>
      </c>
      <c r="G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E14" s="59" t="s">
        <v>332</v>
      </c>
      <c r="F14" s="59" t="s">
        <v>332</v>
      </c>
      <c r="G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E15" s="59" t="s">
        <v>332</v>
      </c>
      <c r="F15" s="59" t="s">
        <v>332</v>
      </c>
      <c r="G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E16" s="59" t="s">
        <v>332</v>
      </c>
      <c r="F16" s="59" t="s">
        <v>332</v>
      </c>
      <c r="G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E17" s="59" t="s">
        <v>332</v>
      </c>
      <c r="F17" s="59" t="s">
        <v>332</v>
      </c>
      <c r="G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E18" s="59" t="s">
        <v>332</v>
      </c>
      <c r="F18" s="59" t="s">
        <v>332</v>
      </c>
      <c r="G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E19" s="59" t="s">
        <v>332</v>
      </c>
      <c r="F19" s="59" t="s">
        <v>332</v>
      </c>
      <c r="G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E20" s="59" t="s">
        <v>332</v>
      </c>
      <c r="F20" s="59" t="s">
        <v>332</v>
      </c>
      <c r="G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E21" s="59" t="s">
        <v>332</v>
      </c>
      <c r="F21" s="59" t="s">
        <v>332</v>
      </c>
      <c r="G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E22" s="59" t="s">
        <v>332</v>
      </c>
      <c r="F22" s="59" t="s">
        <v>332</v>
      </c>
      <c r="G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E23" s="59" t="s">
        <v>332</v>
      </c>
      <c r="F23" s="59" t="s">
        <v>332</v>
      </c>
      <c r="G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E24" s="59" t="s">
        <v>332</v>
      </c>
      <c r="F24" s="59" t="s">
        <v>332</v>
      </c>
      <c r="G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E25" s="59" t="s">
        <v>332</v>
      </c>
      <c r="F25" s="59" t="s">
        <v>337</v>
      </c>
      <c r="G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E26" s="59" t="s">
        <v>332</v>
      </c>
      <c r="F26" s="59" t="s">
        <v>332</v>
      </c>
      <c r="G26" s="59" t="s">
        <v>332</v>
      </c>
    </row>
    <row r="27" spans="1:9" x14ac:dyDescent="0.25">
      <c r="A27" s="155" t="str">
        <f>HYPERLINK("[OpenSolver Tester.xlsm]'Unbounded'!A1", "Unbounded")</f>
        <v>Unbounded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337</v>
      </c>
      <c r="G27" s="59" t="s">
        <v>337</v>
      </c>
      <c r="H27" s="59" t="s">
        <v>332</v>
      </c>
      <c r="I27" s="59" t="s">
        <v>337</v>
      </c>
    </row>
    <row r="28" spans="1:9" x14ac:dyDescent="0.25">
      <c r="A28" s="155" t="str">
        <f>HYPERLINK("[OpenSolver Tester.xlsm]'ProtectedSheet'!A1", "ProtectedSheet")</f>
        <v>ProtectedSheet</v>
      </c>
      <c r="B28" s="59" t="s">
        <v>332</v>
      </c>
      <c r="C28" s="59" t="s">
        <v>332</v>
      </c>
      <c r="E28" s="59" t="s">
        <v>332</v>
      </c>
      <c r="F28" s="59" t="s">
        <v>332</v>
      </c>
      <c r="G28" s="59" t="s">
        <v>332</v>
      </c>
    </row>
    <row r="29" spans="1:9" x14ac:dyDescent="0.25">
      <c r="A29" s="155" t="str">
        <f>HYPERLINK("[OpenSolver Tester.xlsm]'IndirectLBs'!A1", "IndirectLBs")</f>
        <v>IndirectLBs</v>
      </c>
      <c r="B29" s="59" t="s">
        <v>332</v>
      </c>
      <c r="C29" s="59" t="s">
        <v>332</v>
      </c>
      <c r="E29" s="59" t="s">
        <v>332</v>
      </c>
      <c r="F29" s="59" t="s">
        <v>332</v>
      </c>
      <c r="G29" s="59" t="s">
        <v>332</v>
      </c>
    </row>
    <row r="30" spans="1:9" x14ac:dyDescent="0.25">
      <c r="A30" s="155" t="str">
        <f>HYPERLINK("[OpenSolver Tester.xlsm]'DirectLBs'!A1", "DirectLBs")</f>
        <v>DirectLBs</v>
      </c>
      <c r="B30" s="59" t="s">
        <v>332</v>
      </c>
      <c r="C30" s="59" t="s">
        <v>332</v>
      </c>
      <c r="E30" s="59" t="s">
        <v>332</v>
      </c>
      <c r="F30" s="59" t="s">
        <v>332</v>
      </c>
      <c r="G30" s="59" t="s">
        <v>332</v>
      </c>
    </row>
    <row r="31" spans="1:9" x14ac:dyDescent="0.25">
      <c r="A31" s="155" t="str">
        <f>HYPERLINK("[OpenSolver Tester.xlsm]'SingleRangeLB'!A1", "SingleRangeLB")</f>
        <v>SingleRangeLB</v>
      </c>
      <c r="B31" s="59" t="s">
        <v>332</v>
      </c>
      <c r="C31" s="59" t="s">
        <v>332</v>
      </c>
      <c r="E31" s="59" t="s">
        <v>332</v>
      </c>
      <c r="F31" s="59" t="s">
        <v>332</v>
      </c>
      <c r="G31" s="59" t="s">
        <v>332</v>
      </c>
    </row>
    <row r="32" spans="1:9" x14ac:dyDescent="0.25">
      <c r="A32" s="155" t="str">
        <f>HYPERLINK("[OpenSolver Tester.xlsm]'BinLB'!A1", "BinLB")</f>
        <v>BinLB</v>
      </c>
      <c r="B32" s="59" t="s">
        <v>332</v>
      </c>
      <c r="C32" s="59" t="s">
        <v>332</v>
      </c>
      <c r="E32" s="59" t="s">
        <v>332</v>
      </c>
      <c r="F32" s="59" t="s">
        <v>337</v>
      </c>
      <c r="G32" s="59" t="s">
        <v>332</v>
      </c>
    </row>
    <row r="33" spans="1:7" x14ac:dyDescent="0.25">
      <c r="A33" s="155" t="str">
        <f>HYPERLINK("[OpenSolver Tester.xlsm]'BinIntLB'!A1", "BinIntLB")</f>
        <v>BinIntLB</v>
      </c>
      <c r="B33" s="59" t="s">
        <v>332</v>
      </c>
      <c r="C33" s="59" t="s">
        <v>332</v>
      </c>
      <c r="E33" s="59" t="s">
        <v>332</v>
      </c>
      <c r="F33" s="59" t="s">
        <v>337</v>
      </c>
      <c r="G33" s="59" t="s">
        <v>332</v>
      </c>
    </row>
    <row r="34" spans="1:7" x14ac:dyDescent="0.25">
      <c r="A34" s="155" t="str">
        <f>HYPERLINK("[OpenSolver Tester.xlsm]'Relaxation'!A1", "Relaxation")</f>
        <v>Relaxation</v>
      </c>
      <c r="B34" s="59" t="s">
        <v>332</v>
      </c>
      <c r="C34" s="59" t="s">
        <v>332</v>
      </c>
      <c r="E34" s="59" t="s">
        <v>332</v>
      </c>
      <c r="F34" s="59" t="s">
        <v>332</v>
      </c>
      <c r="G34" s="59" t="s">
        <v>332</v>
      </c>
    </row>
    <row r="35" spans="1:7" x14ac:dyDescent="0.25">
      <c r="A35" s="155" t="str">
        <f>HYPERLINK("[OpenSolver Tester.xlsm]'LargeRangeLB'!A1", "LargeRangeLB")</f>
        <v>LargeRangeLB</v>
      </c>
      <c r="B35" s="59" t="s">
        <v>332</v>
      </c>
      <c r="C35" s="59" t="s">
        <v>332</v>
      </c>
      <c r="E35" s="59" t="s">
        <v>332</v>
      </c>
      <c r="F35" s="59" t="s">
        <v>332</v>
      </c>
      <c r="G35" s="59" t="s">
        <v>332</v>
      </c>
    </row>
    <row r="36" spans="1:7" x14ac:dyDescent="0.25">
      <c r="A36" s="155" t="str">
        <f>HYPERLINK("[OpenSolver Tester.xlsm]'OverlapRangeLB'!A1", "OverlapRangeLB")</f>
        <v>OverlapRangeLB</v>
      </c>
      <c r="B36" s="59" t="s">
        <v>332</v>
      </c>
      <c r="C36" s="59" t="s">
        <v>332</v>
      </c>
      <c r="E36" s="59" t="s">
        <v>332</v>
      </c>
      <c r="F36" s="59" t="s">
        <v>332</v>
      </c>
      <c r="G36" s="165" t="s">
        <v>332</v>
      </c>
    </row>
    <row r="37" spans="1:7" x14ac:dyDescent="0.25">
      <c r="A37" s="155" t="str">
        <f>HYPERLINK("[OpenSolver Tester.xlsm]'OverlapRangeLBwithFormula'!A1", "OverlapRangeLBwithFormula")</f>
        <v>OverlapRangeLBwithFormula</v>
      </c>
      <c r="B37" s="59" t="s">
        <v>332</v>
      </c>
      <c r="C37" s="59" t="s">
        <v>332</v>
      </c>
      <c r="E37" s="59" t="s">
        <v>332</v>
      </c>
      <c r="F37" s="59" t="s">
        <v>332</v>
      </c>
      <c r="G37" s="165" t="s">
        <v>332</v>
      </c>
    </row>
    <row r="38" spans="1:7" x14ac:dyDescent="0.25">
      <c r="A38" s="155" t="str">
        <f>HYPERLINK("[OpenSolver Tester.xlsm]'ConstFormulaRangeLB'!A1", "ConstFormulaRangeLB")</f>
        <v>ConstFormulaRangeLB</v>
      </c>
      <c r="B38" s="59" t="s">
        <v>332</v>
      </c>
      <c r="C38" s="162" t="s">
        <v>332</v>
      </c>
      <c r="E38" s="59" t="s">
        <v>332</v>
      </c>
      <c r="F38" s="59" t="s">
        <v>332</v>
      </c>
      <c r="G38" s="59" t="s">
        <v>332</v>
      </c>
    </row>
    <row r="39" spans="1:7" x14ac:dyDescent="0.25">
      <c r="A39" s="155" t="str">
        <f>HYPERLINK("[OpenSolver Tester.xlsm]'VariableFormulaRangeLB'!A1", "VariableFormulaRangeLB")</f>
        <v>VariableFormulaRangeLB</v>
      </c>
      <c r="B39" s="59" t="s">
        <v>332</v>
      </c>
      <c r="C39" s="59" t="s">
        <v>332</v>
      </c>
      <c r="E39" s="59" t="s">
        <v>332</v>
      </c>
      <c r="F39" s="59" t="s">
        <v>332</v>
      </c>
      <c r="G39" s="59" t="s">
        <v>332</v>
      </c>
    </row>
    <row r="40" spans="1:7" x14ac:dyDescent="0.25">
      <c r="A40" s="155" t="str">
        <f>HYPERLINK("[OpenSolver Tester.xlsm]'ConstraintLB'!A1", "ConstraintLB")</f>
        <v>ConstraintLB</v>
      </c>
      <c r="B40" s="59" t="s">
        <v>332</v>
      </c>
      <c r="C40" s="59" t="s">
        <v>332</v>
      </c>
      <c r="E40" s="59" t="s">
        <v>332</v>
      </c>
      <c r="F40" s="59" t="s">
        <v>332</v>
      </c>
      <c r="G40" s="59" t="s">
        <v>332</v>
      </c>
    </row>
    <row r="41" spans="1:7" x14ac:dyDescent="0.25">
      <c r="A41" s="155" t="str">
        <f>HYPERLINK("[OpenSolver Tester.xlsm]'ConstantLB'!A1", "ConstantLB")</f>
        <v>ConstantLB</v>
      </c>
      <c r="B41" s="59" t="s">
        <v>332</v>
      </c>
      <c r="C41" s="59" t="s">
        <v>332</v>
      </c>
      <c r="E41" s="59" t="s">
        <v>332</v>
      </c>
      <c r="F41" s="59" t="s">
        <v>332</v>
      </c>
      <c r="G41" s="59" t="s">
        <v>332</v>
      </c>
    </row>
    <row r="42" spans="1:7" x14ac:dyDescent="0.25">
      <c r="A42" s="155" t="str">
        <f>HYPERLINK("[OpenSolver Tester.xlsm]'FormulaLB'!A1", "FormulaLB")</f>
        <v>FormulaLB</v>
      </c>
      <c r="B42" s="59" t="s">
        <v>332</v>
      </c>
      <c r="C42" s="59" t="s">
        <v>332</v>
      </c>
      <c r="E42" s="59" t="s">
        <v>332</v>
      </c>
      <c r="F42" s="59" t="s">
        <v>337</v>
      </c>
      <c r="G42" s="59" t="s">
        <v>332</v>
      </c>
    </row>
    <row r="43" spans="1:7" x14ac:dyDescent="0.25">
      <c r="A43" s="155" t="str">
        <f>HYPERLINK("[OpenSolver Tester.xlsm]'VarConstraintLB'!A1", "VarConstraintLB")</f>
        <v>VarConstraintLB</v>
      </c>
      <c r="B43" s="59" t="s">
        <v>332</v>
      </c>
      <c r="C43" s="59" t="s">
        <v>332</v>
      </c>
      <c r="E43" s="59" t="s">
        <v>332</v>
      </c>
      <c r="F43" s="59" t="s">
        <v>337</v>
      </c>
      <c r="G43" s="59" t="s">
        <v>332</v>
      </c>
    </row>
    <row r="44" spans="1:7" x14ac:dyDescent="0.25">
      <c r="A44" s="155" t="str">
        <f>HYPERLINK("[OpenSolver Tester.xlsm]'FractionalCoeffs'!A1", "FractionalCoeffs")</f>
        <v>FractionalCoeffs</v>
      </c>
      <c r="B44" s="59" t="s">
        <v>332</v>
      </c>
      <c r="C44" s="59" t="s">
        <v>332</v>
      </c>
      <c r="E44" s="59" t="s">
        <v>332</v>
      </c>
      <c r="F44" s="59" t="s">
        <v>332</v>
      </c>
      <c r="G44" s="59" t="s">
        <v>332</v>
      </c>
    </row>
    <row r="45" spans="1:7" x14ac:dyDescent="0.25">
      <c r="A45" s="155" t="str">
        <f>HYPERLINK("[OpenSolver Tester.xlsm]'ComplexLayout'!A1", "ComplexLayout")</f>
        <v>ComplexLayout</v>
      </c>
      <c r="B45" s="59" t="s">
        <v>332</v>
      </c>
      <c r="C45" s="59" t="s">
        <v>332</v>
      </c>
      <c r="E45" s="59" t="s">
        <v>332</v>
      </c>
      <c r="F45" s="59" t="s">
        <v>332</v>
      </c>
      <c r="G45" s="59" t="s">
        <v>332</v>
      </c>
    </row>
    <row r="46" spans="1:7" x14ac:dyDescent="0.25">
      <c r="A46" s="155" t="str">
        <f>HYPERLINK("[OpenSolver Tester.xlsm]'InfModel'!A1", "InfModel")</f>
        <v>InfModel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7" x14ac:dyDescent="0.25">
      <c r="A47" s="155" t="str">
        <f>HYPERLINK("[OpenSolver Tester.xlsm]'IterativeCalc'!A1", "IterativeCalc")</f>
        <v>IterativeCalc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7" x14ac:dyDescent="0.25">
      <c r="A48" s="155" t="str">
        <f>HYPERLINK("[OpenSolver Tester.xlsm]'NoObj'!A1", "NoObj")</f>
        <v>NoObj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9" x14ac:dyDescent="0.25">
      <c r="A49" s="155" t="str">
        <f>HYPERLINK("[OpenSolver Tester.xlsm]'SeekObj'!A1", "SeekObj")</f>
        <v>SeekObj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9" x14ac:dyDescent="0.25">
      <c r="A50" s="155" t="str">
        <f>HYPERLINK("[OpenSolver Tester.xlsm]'NamedRanges'!A1", "NamedRanges")</f>
        <v>NamedRanges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9" x14ac:dyDescent="0.25">
      <c r="A51" s="155" t="str">
        <f>HYPERLINK("[OpenSolver Tester.xlsm]'QuickSolve'!A1", "QuickSolve")</f>
        <v>QuickSolve</v>
      </c>
      <c r="B51" s="59" t="s">
        <v>332</v>
      </c>
      <c r="C51" s="59" t="s">
        <v>332</v>
      </c>
      <c r="E51" s="59" t="s">
        <v>350</v>
      </c>
      <c r="F51" s="59" t="s">
        <v>350</v>
      </c>
      <c r="G51" s="59" t="s">
        <v>350</v>
      </c>
    </row>
    <row r="52" spans="1:9" x14ac:dyDescent="0.25">
      <c r="A52" s="155" t="str">
        <f>HYPERLINK("[OpenSolver Tester.xlsm]'SolverParameters'!A1", "SolverParameters")</f>
        <v>SolverParameters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Tester.xlsm]'Sensitivity'!A1", "Sensitivity")</f>
        <v>Sensitivity</v>
      </c>
      <c r="B53" s="59" t="s">
        <v>332</v>
      </c>
      <c r="C53" s="59" t="s">
        <v>332</v>
      </c>
      <c r="E53" s="59" t="s">
        <v>332</v>
      </c>
      <c r="F53" s="59" t="s">
        <v>332</v>
      </c>
      <c r="G53" s="59" t="s">
        <v>332</v>
      </c>
    </row>
    <row r="54" spans="1:9" x14ac:dyDescent="0.25">
      <c r="A54" s="155" t="str">
        <f>HYPERLINK("[OpenSolver Tester.xlsm]'SensitivityNames'!A1", "SensitivityNames")</f>
        <v>SensitivityNames</v>
      </c>
      <c r="B54" s="59" t="s">
        <v>332</v>
      </c>
      <c r="C54" s="59" t="s">
        <v>332</v>
      </c>
      <c r="E54" s="59" t="s">
        <v>332</v>
      </c>
      <c r="F54" s="59" t="s">
        <v>332</v>
      </c>
      <c r="G54" s="59" t="s">
        <v>332</v>
      </c>
    </row>
    <row r="55" spans="1:9" x14ac:dyDescent="0.25">
      <c r="A55" s="155" t="str">
        <f>HYPERLINK("[OpenSolver Tester.xlsm]'NonLinSimple'!A1", "NonLinSimple")</f>
        <v>NonLinSimple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9" x14ac:dyDescent="0.25">
      <c r="A56" s="155" t="str">
        <f>HYPERLINK("[OpenSolver Tester.xlsm]'NonLinLarge'!A1", "NonLinLarge")</f>
        <v>NonLinLarge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9" x14ac:dyDescent="0.25">
      <c r="A57" s="155" t="str">
        <f>HYPERLINK("[OpenSolver Tester.xlsm]'NonLinObj'!A1", "NonLinObj")</f>
        <v>NonLinObj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9" x14ac:dyDescent="0.25">
      <c r="A58" s="155" t="str">
        <f>HYPERLINK("[OpenSolver Tester.xlsm]'NonLinPruning'!A1", "NonLinPruning")</f>
        <v>NonLinPruning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9" x14ac:dyDescent="0.25">
      <c r="A59" s="155" t="str">
        <f>HYPERLINK("[OpenSolver Tester.xlsm]'NonLinMinMax'!A1", "NonLinMinMax")</f>
        <v>NonLinMinMax</v>
      </c>
      <c r="B59" s="59" t="s">
        <v>332</v>
      </c>
      <c r="C59" s="59" t="s">
        <v>332</v>
      </c>
      <c r="E59" s="59" t="s">
        <v>332</v>
      </c>
      <c r="F59" s="59" t="s">
        <v>337</v>
      </c>
      <c r="G59" s="59" t="s">
        <v>332</v>
      </c>
    </row>
    <row r="60" spans="1:9" x14ac:dyDescent="0.25">
      <c r="A60" s="155" t="str">
        <f>HYPERLINK("[OpenSolver Tester.xlsm]'NonLinConstraints'!A1", "NonLinConstraints")</f>
        <v>NonLinConstraints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9" x14ac:dyDescent="0.25">
      <c r="A61" s="155" t="str">
        <f>HYPERLINK("[OpenSolver Tester.xlsm]'NonLinBinary'!A1", "NonLinBinary")</f>
        <v>NonLinBinary</v>
      </c>
      <c r="B61" s="59" t="s">
        <v>332</v>
      </c>
      <c r="C61" s="59" t="s">
        <v>332</v>
      </c>
      <c r="E61" s="59" t="s">
        <v>332</v>
      </c>
      <c r="F61" s="59" t="s">
        <v>332</v>
      </c>
      <c r="G61" s="59" t="s">
        <v>332</v>
      </c>
    </row>
    <row r="62" spans="1:9" x14ac:dyDescent="0.25">
      <c r="A62" s="155" t="str">
        <f>HYPERLINK("[OpenSolver Tester.xlsm]'NonLin'!A1", "NonLin")</f>
        <v>NonLin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9" x14ac:dyDescent="0.25">
      <c r="A63" s="155" t="str">
        <f>HYPERLINK("[OpenSolver Tester.xlsm]'NonLin2'!A1", "NonLin2")</f>
        <v>NonLin2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9" x14ac:dyDescent="0.25">
      <c r="A64" s="155" t="str">
        <f>HYPERLINK("[OpenSolver Tester.xlsm]'NonLin3'!A1", "NonLin3")</f>
        <v>NonLin3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Tester.xlsm]'NonLin4'!A1", "NonLin4")</f>
        <v>NonLin4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332</v>
      </c>
      <c r="H65" s="165"/>
    </row>
    <row r="66" spans="1:8" x14ac:dyDescent="0.25">
      <c r="A66" s="155" t="str">
        <f>HYPERLINK("[OpenSolver Tester.xlsm]'NonLin5'!A1", "NonLin5")</f>
        <v>NonLin5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Tester.xlsm]'NonLin6'!A1", "NonLin6")</f>
        <v>NonLin6</v>
      </c>
      <c r="B67" s="59" t="s">
        <v>332</v>
      </c>
      <c r="C67" s="59" t="s">
        <v>332</v>
      </c>
      <c r="E67" s="59" t="s">
        <v>337</v>
      </c>
      <c r="F67" s="59" t="s">
        <v>332</v>
      </c>
      <c r="G67" s="59" t="s">
        <v>337</v>
      </c>
    </row>
    <row r="68" spans="1:8" x14ac:dyDescent="0.25">
      <c r="A68" s="155"/>
    </row>
    <row r="69" spans="1:8" x14ac:dyDescent="0.25">
      <c r="A69" s="155"/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9">
        <v>5.2941175999999999</v>
      </c>
      <c r="F5" s="169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69">
        <v>5.2941176470588198</v>
      </c>
      <c r="F5" s="169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9">
        <v>2</v>
      </c>
      <c r="D5" s="169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69">
        <v>150</v>
      </c>
      <c r="K10" s="16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f>SUMPRODUCT($D$5:$F$5,D10:F10)</f>
        <v>116.47058823529407</v>
      </c>
      <c r="H10" s="169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0.40719884333305989</v>
      </c>
      <c r="E5" s="1">
        <v>5.0651116558053753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16.009732654082246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59.788216647189728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0">
        <v>5</v>
      </c>
      <c r="H10" s="17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0"/>
      <c r="H11" s="17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179.9505743207109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8.3970690958461809</v>
      </c>
      <c r="Q4" s="145">
        <v>0</v>
      </c>
      <c r="R4" s="10">
        <v>10.9999985799756</v>
      </c>
      <c r="S4" s="9">
        <f>SUM(Q4:R4)</f>
        <v>10.9999985799756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43.999999569970299</v>
      </c>
      <c r="R5" s="5">
        <v>22.000001090025499</v>
      </c>
      <c r="S5" s="4">
        <f>SUM(Q5:R5)</f>
        <v>66.000000659995806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43.999999569970299</v>
      </c>
      <c r="R6" s="10">
        <f>SUM(R4:R5)</f>
        <v>32.999999670001102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721.43093843715633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14.547826170389037</v>
      </c>
      <c r="J9" s="1" t="s">
        <v>8</v>
      </c>
      <c r="K9" s="1">
        <f>61.2345678+2.3*N4-S5</f>
        <v>14.547826060450404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28.800000159912319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O5" sqref="O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20.900970590247422</v>
      </c>
      <c r="Q4" s="145">
        <v>30.325631410569024</v>
      </c>
      <c r="R4" s="10">
        <v>24.461548128043074</v>
      </c>
      <c r="S4" s="9">
        <f>SUM(Q4:R4)</f>
        <v>54.787179538612094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4</v>
      </c>
      <c r="E5" s="1">
        <v>0.99999999999995337</v>
      </c>
      <c r="F5" s="1">
        <v>0.99999999999998102</v>
      </c>
      <c r="G5" s="1">
        <v>0</v>
      </c>
      <c r="J5"/>
      <c r="K5"/>
      <c r="M5" t="s">
        <v>20</v>
      </c>
      <c r="N5">
        <v>7.595156018476926</v>
      </c>
      <c r="Q5" s="4">
        <v>14.495494621848806</v>
      </c>
      <c r="R5" s="5">
        <v>9.1345353989972793</v>
      </c>
      <c r="S5" s="4">
        <f>SUM(Q5:R5)</f>
        <v>23.630030020846085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44.82112603241783</v>
      </c>
      <c r="R6" s="10">
        <f>SUM(R4:R5)</f>
        <v>33.596083527040349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1124.5416289833556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50.999999999999488</v>
      </c>
      <c r="J9" s="1" t="s">
        <v>8</v>
      </c>
      <c r="K9" s="1">
        <f>61.2345678+2.3*N4-S5</f>
        <v>85.676770136722979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105.99999999999898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121.99999999999707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8.417855529543628E-4</v>
      </c>
      <c r="E4" s="1">
        <v>0</v>
      </c>
      <c r="F4" s="1">
        <v>2.2459140496406631E-6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20.001692554762109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60.00844480649814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115.01772915263518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500.01762584058889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9645964912301.0898</v>
      </c>
      <c r="E4" s="167">
        <v>-7198771929833.7598</v>
      </c>
      <c r="F4" s="167">
        <v>-1921403508775.22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-9989999999999.9805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-5783684210463.0937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150.09375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88384561403810.219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179.9140625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6.8545359783201096</v>
      </c>
      <c r="Q3" s="9">
        <v>0</v>
      </c>
      <c r="R3" s="10">
        <v>10.999998578601801</v>
      </c>
      <c r="S3" s="9">
        <f>SUM(Q3:R3)</f>
        <v>10.999998578601801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43.999999568295102</v>
      </c>
      <c r="R4" s="5">
        <v>22.0000010914661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43.999999568295102</v>
      </c>
      <c r="R5" s="10">
        <f>SUM(R3:R4)</f>
        <v>32.999999670067901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712.53566410708538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10.999999890375051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1.9999999999993578</v>
      </c>
      <c r="E5" s="1">
        <v>4.95351930408592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18.860557912256475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74.488712344938705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150.97742468987676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150.97742468987676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206.41965633890908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7">
        <f ca="1">N9+1</f>
        <v>513799</v>
      </c>
      <c r="N9" s="57">
        <f ca="1">M9+1</f>
        <v>513800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0.16387950916791499</v>
      </c>
      <c r="E5" s="58">
        <v>5.2261757755666496</v>
      </c>
      <c r="F5" s="58">
        <v>2.5115220108014799E-2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59.428111264208475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118.99498681747684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117.83968669250817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179.99999999999997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338</v>
      </c>
      <c r="I4" t="s">
        <v>340</v>
      </c>
      <c r="L4" t="s">
        <v>341</v>
      </c>
      <c r="O4" t="s">
        <v>344</v>
      </c>
      <c r="R4" t="s">
        <v>346</v>
      </c>
      <c r="U4" t="s">
        <v>343</v>
      </c>
      <c r="X4" t="s">
        <v>348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339</v>
      </c>
      <c r="G5">
        <v>9999999</v>
      </c>
      <c r="I5" t="s">
        <v>12</v>
      </c>
      <c r="J5">
        <v>0.21</v>
      </c>
      <c r="L5" t="s">
        <v>342</v>
      </c>
      <c r="M5">
        <v>1</v>
      </c>
      <c r="O5" t="s">
        <v>345</v>
      </c>
      <c r="P5">
        <v>1.0000000000000001E-5</v>
      </c>
      <c r="R5" t="s">
        <v>347</v>
      </c>
      <c r="S5">
        <v>1</v>
      </c>
      <c r="U5" t="s">
        <v>342</v>
      </c>
      <c r="V5">
        <v>1</v>
      </c>
      <c r="X5" t="s">
        <v>345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9645964912301.0898</v>
      </c>
      <c r="E13" s="30">
        <v>-7198771929833.7598</v>
      </c>
      <c r="F13" s="30">
        <v>-1921403508775.22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-9989999999999.9805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-5783684210463.0937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150.09375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88384561403810.219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179.9140625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99.999993509999996</v>
      </c>
      <c r="F14" s="160">
        <v>0</v>
      </c>
      <c r="G14" s="160">
        <v>0</v>
      </c>
      <c r="H14" s="160">
        <v>0</v>
      </c>
      <c r="I14">
        <f>SUM(D14:H14)</f>
        <v>199.99999352999998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200.000000019997</v>
      </c>
      <c r="G15" s="160">
        <v>100.000000019997</v>
      </c>
      <c r="H15" s="160">
        <v>0</v>
      </c>
      <c r="I15">
        <f>SUM(D15:H15)</f>
        <v>300.00000003999401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299.99999701999798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13249.999841599843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20.957818296896811</v>
      </c>
      <c r="E5">
        <v>0.95429785279517687</v>
      </c>
    </row>
    <row r="6" spans="1:15" ht="15.75" thickBot="1" x14ac:dyDescent="0.3">
      <c r="A6" s="63" t="b">
        <f>AND(F22)</f>
        <v>1</v>
      </c>
      <c r="F6">
        <f>D5^2*E5^2</f>
        <v>400.00004000000484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20.000001000000097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21.912116149691986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20.957818296896811</v>
      </c>
      <c r="G10" t="s">
        <v>9</v>
      </c>
      <c r="H10">
        <v>0</v>
      </c>
    </row>
    <row r="11" spans="1:15" x14ac:dyDescent="0.25">
      <c r="F11">
        <f>E5</f>
        <v>0.95429785279517687</v>
      </c>
      <c r="H11">
        <v>0</v>
      </c>
    </row>
    <row r="12" spans="1:15" x14ac:dyDescent="0.25">
      <c r="F12">
        <f>E5*D5+E5+D5</f>
        <v>41.912117149692079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41.912117149692079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41.912117149692079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-1.9121151496918891</v>
      </c>
      <c r="G15" t="s">
        <v>8</v>
      </c>
      <c r="H15">
        <v>0</v>
      </c>
      <c r="O15" s="81"/>
    </row>
    <row r="16" spans="1:15" x14ac:dyDescent="0.25">
      <c r="F16">
        <f>E5-D5*E5+D5</f>
        <v>1.9121151496918891</v>
      </c>
      <c r="G16" t="s">
        <v>8</v>
      </c>
      <c r="H16">
        <v>60</v>
      </c>
      <c r="O16" s="81"/>
    </row>
    <row r="17" spans="6:15" x14ac:dyDescent="0.25">
      <c r="F17">
        <f>E5-D5+E5*D5</f>
        <v>-3.5194441015384825E-3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0.94240514019536503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135.09256112439593</v>
      </c>
      <c r="E11" s="108"/>
    </row>
    <row r="12" spans="1:5" x14ac:dyDescent="0.25">
      <c r="C12" s="106" t="s">
        <v>266</v>
      </c>
      <c r="D12" s="107">
        <f>D11/D4</f>
        <v>27.018512224879185</v>
      </c>
      <c r="E12" s="108"/>
    </row>
    <row r="13" spans="1:5" x14ac:dyDescent="0.25">
      <c r="C13" s="106" t="s">
        <v>267</v>
      </c>
      <c r="D13" s="109">
        <f>D8*D11/2</f>
        <v>0.37011660582026285</v>
      </c>
      <c r="E13" s="108"/>
    </row>
    <row r="14" spans="1:5" x14ac:dyDescent="0.25">
      <c r="C14" s="106" t="s">
        <v>268</v>
      </c>
      <c r="D14" s="110">
        <f>D5/D12</f>
        <v>0.37011660437734245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0.28867439481710888</v>
      </c>
      <c r="G2" s="114">
        <v>0.50000039098488547</v>
      </c>
      <c r="H2" s="114">
        <v>1.7113253301896656</v>
      </c>
      <c r="I2" s="114">
        <v>0.49999782159388062</v>
      </c>
      <c r="J2" s="112">
        <f>SQRT(($F$2-D2)^2+($G$2-E2)^2)</f>
        <v>0.57735023790422257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0.57734956069810206</v>
      </c>
      <c r="K3" s="96"/>
      <c r="N3" s="86" t="s">
        <v>281</v>
      </c>
      <c r="O3" s="86">
        <f>$F$2</f>
        <v>0.28867439481710888</v>
      </c>
      <c r="P3" s="86">
        <f>$G$2</f>
        <v>0.50000039098488547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0.57735192335435281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0.57734815024275576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1.4226509353748769</v>
      </c>
      <c r="K6" s="96"/>
      <c r="N6" s="86" t="s">
        <v>281</v>
      </c>
      <c r="O6" s="86">
        <f>$F$2</f>
        <v>0.28867439481710888</v>
      </c>
      <c r="P6" s="86">
        <f>$G$2</f>
        <v>0.50000039098488547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3.7320508075743097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1.7113253301896656</v>
      </c>
      <c r="P9" s="86">
        <f>$I$2</f>
        <v>0.49999782159388062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1.7113253301896656</v>
      </c>
      <c r="P12" s="86">
        <f>$I$2</f>
        <v>0.49999782159388062</v>
      </c>
    </row>
    <row r="14" spans="1:16" x14ac:dyDescent="0.25">
      <c r="N14" s="86" t="s">
        <v>281</v>
      </c>
      <c r="O14" s="86">
        <f>$F$2</f>
        <v>0.28867439481710888</v>
      </c>
      <c r="P14" s="86">
        <f>$G$2</f>
        <v>0.50000039098488547</v>
      </c>
    </row>
    <row r="15" spans="1:16" x14ac:dyDescent="0.25">
      <c r="N15" s="86" t="s">
        <v>283</v>
      </c>
      <c r="O15" s="86">
        <f>$H$2</f>
        <v>1.7113253301896656</v>
      </c>
      <c r="P15" s="86">
        <f>$I$2</f>
        <v>0.49999782159388062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1" t="s">
        <v>285</v>
      </c>
      <c r="D1" s="171"/>
      <c r="E1" s="171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71" t="s">
        <v>224</v>
      </c>
      <c r="D6" s="171"/>
      <c r="E6" s="171"/>
    </row>
    <row r="7" spans="1:9" x14ac:dyDescent="0.25">
      <c r="A7" s="62" t="s">
        <v>210</v>
      </c>
      <c r="C7" s="127" t="s">
        <v>290</v>
      </c>
      <c r="D7" s="12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1" t="s">
        <v>293</v>
      </c>
      <c r="D10" s="171"/>
      <c r="E10" s="171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71" t="s">
        <v>298</v>
      </c>
      <c r="D15" s="171"/>
      <c r="E15" s="171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2" t="s">
        <v>157</v>
      </c>
      <c r="C33" s="17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165</vt:i4>
      </vt:variant>
    </vt:vector>
  </HeadingPairs>
  <TitlesOfParts>
    <vt:vector size="234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QuickSolve!OpenSolverModelParameters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2015-04-07T02:12:17Z</dcterms:modified>
</cp:coreProperties>
</file>