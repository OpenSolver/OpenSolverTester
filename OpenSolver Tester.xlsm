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18480" windowHeight="20460" firstSheet="2" activeTab="2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Sheet19" sheetId="154" r:id="rId13"/>
    <sheet name="ErrorObj" sheetId="28" r:id="rId14"/>
    <sheet name="TextObj" sheetId="29" r:id="rId15"/>
    <sheet name="MergedVarsSubset" sheetId="30" r:id="rId16"/>
    <sheet name="MergedVarsOK" sheetId="31" r:id="rId17"/>
    <sheet name="MergedVarsBad" sheetId="36" r:id="rId18"/>
    <sheet name="MergedRHS_OK" sheetId="33" r:id="rId19"/>
    <sheet name="MergedLHS_OK" sheetId="34" r:id="rId20"/>
    <sheet name="MergedLHSMultiple_OK" sheetId="35" r:id="rId21"/>
    <sheet name="BinIntOverlap" sheetId="6" r:id="rId22"/>
    <sheet name="ConFormula" sheetId="8" r:id="rId23"/>
    <sheet name="ConFormulaInf" sheetId="9" r:id="rId24"/>
    <sheet name="BadName!" sheetId="10" r:id="rId25"/>
    <sheet name="EscapeSheetName(1)+2-1" sheetId="94" r:id="rId26"/>
    <sheet name="DeletedConRef" sheetId="12" r:id="rId27"/>
    <sheet name="DeletedObjRef" sheetId="55" r:id="rId28"/>
    <sheet name="InfConstConstraint" sheetId="14" r:id="rId29"/>
    <sheet name="FeasConstConstraint" sheetId="41" r:id="rId30"/>
    <sheet name="Unbounded" sheetId="111" r:id="rId31"/>
    <sheet name="ProtectedSheet" sheetId="18" r:id="rId32"/>
    <sheet name="IndirectLBs" sheetId="23" r:id="rId33"/>
    <sheet name="DirectLBs" sheetId="42" r:id="rId34"/>
    <sheet name="SingleRangeLB" sheetId="43" r:id="rId35"/>
    <sheet name="BinLB" sheetId="44" r:id="rId36"/>
    <sheet name="BinIntLB" sheetId="45" r:id="rId37"/>
    <sheet name="Relaxation" sheetId="98" r:id="rId38"/>
    <sheet name="LargeRangeLB" sheetId="46" r:id="rId39"/>
    <sheet name="OverlapRangeLB" sheetId="47" r:id="rId40"/>
    <sheet name="OverlapRangeLBwithFormula" sheetId="48" r:id="rId41"/>
    <sheet name="ConstFormulaRangeLB" sheetId="49" r:id="rId42"/>
    <sheet name="VariableFormulaRangeLB" sheetId="50" r:id="rId43"/>
    <sheet name="ConstraintLB" sheetId="51" r:id="rId44"/>
    <sheet name="ConstantLB" sheetId="52" r:id="rId45"/>
    <sheet name="FormulaLB" sheetId="53" r:id="rId46"/>
    <sheet name="VarConstraintLB" sheetId="54" r:id="rId47"/>
    <sheet name="FractionalCoeffs" sheetId="90" r:id="rId48"/>
    <sheet name="ComplexLayout" sheetId="7" r:id="rId49"/>
    <sheet name="InfModel" sheetId="11" r:id="rId50"/>
    <sheet name="IterativeCalc" sheetId="57" r:id="rId51"/>
    <sheet name="NoObj" sheetId="59" r:id="rId52"/>
    <sheet name="SeekObj" sheetId="92" r:id="rId53"/>
    <sheet name="SeekObjInf" sheetId="144" r:id="rId54"/>
    <sheet name="DiffSheetObj" sheetId="112" r:id="rId55"/>
    <sheet name="NamedRanges" sheetId="66" r:id="rId56"/>
    <sheet name="QuickSolve" sheetId="4" r:id="rId57"/>
    <sheet name="SolverParameters" sheetId="2" r:id="rId58"/>
    <sheet name="Warmstart" sheetId="155" r:id="rId59"/>
    <sheet name="Sensitivity" sheetId="65" r:id="rId60"/>
    <sheet name="SensitivityNames" sheetId="77" r:id="rId61"/>
    <sheet name="NonLinSimple" sheetId="20" r:id="rId62"/>
    <sheet name="NonLinLarge" sheetId="38" r:id="rId63"/>
    <sheet name="NonLinObj" sheetId="19" r:id="rId64"/>
    <sheet name="NonLinPruning" sheetId="69" r:id="rId65"/>
    <sheet name="NonLinMinMax" sheetId="70" r:id="rId66"/>
    <sheet name="NonLinConstraints" sheetId="71" r:id="rId67"/>
    <sheet name="NonLinBinary" sheetId="95" r:id="rId68"/>
    <sheet name="NonLin" sheetId="3" r:id="rId69"/>
    <sheet name="NonLin2" sheetId="68" r:id="rId70"/>
    <sheet name="NonLin3" sheetId="75" r:id="rId71"/>
    <sheet name="NonLin4" sheetId="85" r:id="rId72"/>
    <sheet name="NonLin5" sheetId="87" r:id="rId73"/>
    <sheet name="NonLin6" sheetId="88" r:id="rId74"/>
    <sheet name="Highlighting" sheetId="5" r:id="rId75"/>
    <sheet name="AutoModel" sheetId="40" r:id="rId76"/>
  </sheets>
  <functionGroups builtInGroupCount="18"/>
  <externalReferences>
    <externalReference r:id="rId77"/>
  </externalReferences>
  <definedNames>
    <definedName name="anscount" hidden="1">1</definedName>
    <definedName name="asdsad" localSheetId="54">#REF!</definedName>
    <definedName name="asdsad" localSheetId="5">#REF!</definedName>
    <definedName name="asdsad" localSheetId="37">#REF!</definedName>
    <definedName name="asdsad" localSheetId="53">#REF!</definedName>
    <definedName name="asdsad" localSheetId="4">#REF!</definedName>
    <definedName name="asdsad" localSheetId="30">#REF!</definedName>
    <definedName name="asdsad">#REF!</definedName>
    <definedName name="b">[1]InventoryStep!$B$4</definedName>
    <definedName name="CBCDualsNewSheet" hidden="1">FALSE</definedName>
    <definedName name="dffd" localSheetId="54">#REF!</definedName>
    <definedName name="dffd" localSheetId="25">#REF!</definedName>
    <definedName name="dffd" localSheetId="5">#REF!</definedName>
    <definedName name="dffd" localSheetId="37">#REF!</definedName>
    <definedName name="dffd" localSheetId="52">#REF!</definedName>
    <definedName name="dffd" localSheetId="53">#REF!</definedName>
    <definedName name="dffd" localSheetId="4">#REF!</definedName>
    <definedName name="dffd" localSheetId="30">#REF!</definedName>
    <definedName name="dffd">#REF!</definedName>
    <definedName name="DualsNewSheet" hidden="1">FALSE</definedName>
    <definedName name="feasibilitySolve" localSheetId="54" hidden="1">CBC (default)</definedName>
    <definedName name="feasibilitySolve" localSheetId="25" hidden="1">CBC (default)</definedName>
    <definedName name="feasibilitySolve" localSheetId="5" hidden="1">CBC (default)</definedName>
    <definedName name="feasibilitySolve" localSheetId="67" hidden="1">CBC (default)</definedName>
    <definedName name="feasibilitySolve" localSheetId="37" hidden="1">CBC (default)</definedName>
    <definedName name="feasibilitySolve" localSheetId="52" hidden="1">CBC (default)</definedName>
    <definedName name="feasibilitySolve" localSheetId="53" hidden="1">CBC (default)</definedName>
    <definedName name="feasibilitySolve" localSheetId="4" hidden="1">CBC (default)</definedName>
    <definedName name="feasibilitySolve" localSheetId="30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4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4">#REF!</definedName>
    <definedName name="Hey" localSheetId="25">#REF!</definedName>
    <definedName name="Hey" localSheetId="5">#REF!</definedName>
    <definedName name="Hey" localSheetId="67">#REF!</definedName>
    <definedName name="Hey" localSheetId="37">#REF!</definedName>
    <definedName name="Hey" localSheetId="52">#REF!</definedName>
    <definedName name="Hey" localSheetId="53">#REF!</definedName>
    <definedName name="Hey" localSheetId="4">#REF!</definedName>
    <definedName name="Hey" localSheetId="30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4">#REF!</definedName>
    <definedName name="junk" localSheetId="5">#REF!</definedName>
    <definedName name="junk" localSheetId="37">#REF!</definedName>
    <definedName name="junk" localSheetId="53">#REF!</definedName>
    <definedName name="junk" localSheetId="4">#REF!</definedName>
    <definedName name="junk" localSheetId="30">#REF!</definedName>
    <definedName name="junk">#REF!</definedName>
    <definedName name="K">[1]InventoryStep!$B$5</definedName>
    <definedName name="lll">Sensitivity!$I$9</definedName>
    <definedName name="MaximumCost" localSheetId="54">#REF!</definedName>
    <definedName name="MaximumCost" localSheetId="25">#REF!</definedName>
    <definedName name="MaximumCost" localSheetId="5">#REF!</definedName>
    <definedName name="MaximumCost" localSheetId="37">#REF!</definedName>
    <definedName name="MaximumCost" localSheetId="52">#REF!</definedName>
    <definedName name="MaximumCost" localSheetId="53">#REF!</definedName>
    <definedName name="MaximumCost" localSheetId="4">#REF!</definedName>
    <definedName name="MaximumCost" localSheetId="30">#REF!</definedName>
    <definedName name="MaximumCost">#REF!</definedName>
    <definedName name="me">2</definedName>
    <definedName name="MinValue" localSheetId="70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7" hidden="1">SolverParameters!$L$5:$M$5</definedName>
    <definedName name="OpenSolver_CBCParameters" localSheetId="57" hidden="1">SolverParameters!$C$5:$D$7</definedName>
    <definedName name="OpenSolver_ChosenSolver" localSheetId="24" hidden="1">CBC</definedName>
    <definedName name="OpenSolver_ChosenSolver" localSheetId="36" hidden="1">NeosCou</definedName>
    <definedName name="OpenSolver_ChosenSolver" localSheetId="21" hidden="1">NeosCou</definedName>
    <definedName name="OpenSolver_ChosenSolver" localSheetId="35" hidden="1">NeosCou</definedName>
    <definedName name="OpenSolver_ChosenSolver" localSheetId="8" hidden="1">NeosCou</definedName>
    <definedName name="OpenSolver_ChosenSolver" localSheetId="7" hidden="1">NeosCou</definedName>
    <definedName name="OpenSolver_ChosenSolver" localSheetId="48" hidden="1">NeosCou</definedName>
    <definedName name="OpenSolver_ChosenSolver" localSheetId="22" hidden="1">NeosBon</definedName>
    <definedName name="OpenSolver_ChosenSolver" localSheetId="23" hidden="1">NeosCou</definedName>
    <definedName name="OpenSolver_ChosenSolver" localSheetId="44" hidden="1">NeosCou</definedName>
    <definedName name="OpenSolver_ChosenSolver" localSheetId="41" hidden="1">NeosCou</definedName>
    <definedName name="OpenSolver_ChosenSolver" localSheetId="43" hidden="1">NeosCou</definedName>
    <definedName name="OpenSolver_ChosenSolver" localSheetId="26" hidden="1">NeosCou</definedName>
    <definedName name="OpenSolver_ChosenSolver" localSheetId="27" hidden="1">NeosCou</definedName>
    <definedName name="OpenSolver_ChosenSolver" localSheetId="54" hidden="1">NeosCou</definedName>
    <definedName name="OpenSolver_ChosenSolver" localSheetId="33" hidden="1">NeosCou</definedName>
    <definedName name="OpenSolver_ChosenSolver" localSheetId="11" hidden="1">NeosCou</definedName>
    <definedName name="OpenSolver_ChosenSolver" localSheetId="13" hidden="1">NeosCou</definedName>
    <definedName name="OpenSolver_ChosenSolver" localSheetId="10" hidden="1">NeosCou</definedName>
    <definedName name="OpenSolver_ChosenSolver" localSheetId="25" hidden="1">NeosCou</definedName>
    <definedName name="OpenSolver_ChosenSolver" localSheetId="29" hidden="1">NeosCou</definedName>
    <definedName name="OpenSolver_ChosenSolver" localSheetId="45" hidden="1">NeosCou</definedName>
    <definedName name="OpenSolver_ChosenSolver" localSheetId="47" hidden="1">NeosCou</definedName>
    <definedName name="OpenSolver_ChosenSolver" localSheetId="32" hidden="1">NeosCou</definedName>
    <definedName name="OpenSolver_ChosenSolver" localSheetId="28" hidden="1">NeosCou</definedName>
    <definedName name="OpenSolver_ChosenSolver" localSheetId="49" hidden="1">NeosCou</definedName>
    <definedName name="OpenSolver_ChosenSolver" localSheetId="5" hidden="1">NeosCou</definedName>
    <definedName name="OpenSolver_ChosenSolver" localSheetId="50" hidden="1">NeosCou</definedName>
    <definedName name="OpenSolver_ChosenSolver" localSheetId="38" hidden="1">NeosCou</definedName>
    <definedName name="OpenSolver_ChosenSolver" localSheetId="19" hidden="1">NeosCou</definedName>
    <definedName name="OpenSolver_ChosenSolver" localSheetId="20" hidden="1">NeosCou</definedName>
    <definedName name="OpenSolver_ChosenSolver" localSheetId="18" hidden="1">NeosCou</definedName>
    <definedName name="OpenSolver_ChosenSolver" localSheetId="17" hidden="1">NeosCou</definedName>
    <definedName name="OpenSolver_ChosenSolver" localSheetId="16" hidden="1">NeosCou</definedName>
    <definedName name="OpenSolver_ChosenSolver" localSheetId="15" hidden="1">NeosCou</definedName>
    <definedName name="OpenSolver_ChosenSolver" localSheetId="55" hidden="1">NeosCou</definedName>
    <definedName name="OpenSolver_ChosenSolver" localSheetId="68" hidden="1">NeosCou</definedName>
    <definedName name="OpenSolver_ChosenSolver" localSheetId="69" hidden="1">NeosCou</definedName>
    <definedName name="OpenSolver_ChosenSolver" localSheetId="70" hidden="1">NeosCou</definedName>
    <definedName name="OpenSolver_ChosenSolver" localSheetId="71" hidden="1">NeosCou</definedName>
    <definedName name="OpenSolver_ChosenSolver" localSheetId="72" hidden="1">NeosCou</definedName>
    <definedName name="OpenSolver_ChosenSolver" localSheetId="73" hidden="1">NeosCou</definedName>
    <definedName name="OpenSolver_ChosenSolver" localSheetId="67" hidden="1">NeosCou</definedName>
    <definedName name="OpenSolver_ChosenSolver" localSheetId="66" hidden="1">NeosCou</definedName>
    <definedName name="OpenSolver_ChosenSolver" localSheetId="62" hidden="1">NeosCou</definedName>
    <definedName name="OpenSolver_ChosenSolver" localSheetId="65" hidden="1">NeosCou</definedName>
    <definedName name="OpenSolver_ChosenSolver" localSheetId="63" hidden="1">NeosCou</definedName>
    <definedName name="OpenSolver_ChosenSolver" localSheetId="64" hidden="1">NeosCou</definedName>
    <definedName name="OpenSolver_ChosenSolver" localSheetId="61" hidden="1">NeosCou</definedName>
    <definedName name="OpenSolver_ChosenSolver" localSheetId="51" hidden="1">NeosCou</definedName>
    <definedName name="OpenSolver_ChosenSolver" localSheetId="6" hidden="1">Gurobi</definedName>
    <definedName name="OpenSolver_ChosenSolver" localSheetId="39" hidden="1">NeosCou</definedName>
    <definedName name="OpenSolver_ChosenSolver" localSheetId="40" hidden="1">NeosCou</definedName>
    <definedName name="OpenSolver_ChosenSolver" localSheetId="31" hidden="1">NeosCou</definedName>
    <definedName name="OpenSolver_ChosenSolver" localSheetId="56" hidden="1">NeosCou</definedName>
    <definedName name="OpenSolver_ChosenSolver" localSheetId="37" hidden="1">NeosCou</definedName>
    <definedName name="OpenSolver_ChosenSolver" localSheetId="2" hidden="1">CBC</definedName>
    <definedName name="OpenSolver_ChosenSolver" localSheetId="52" hidden="1">NeosCou</definedName>
    <definedName name="OpenSolver_ChosenSolver" localSheetId="53" hidden="1">NeosCou</definedName>
    <definedName name="OpenSolver_ChosenSolver" localSheetId="59" hidden="1">NeosCou</definedName>
    <definedName name="OpenSolver_ChosenSolver" localSheetId="60" hidden="1">NOMAD</definedName>
    <definedName name="OpenSolver_ChosenSolver" localSheetId="4" hidden="1">NeosCou</definedName>
    <definedName name="OpenSolver_ChosenSolver" localSheetId="3" hidden="1">NeosCou</definedName>
    <definedName name="OpenSolver_ChosenSolver" localSheetId="34" hidden="1">NeosCou</definedName>
    <definedName name="OpenSolver_ChosenSolver" localSheetId="57" hidden="1">NeosCou</definedName>
    <definedName name="OpenSolver_ChosenSolver" localSheetId="14" hidden="1">NeosCou</definedName>
    <definedName name="OpenSolver_ChosenSolver" localSheetId="9" hidden="1">NeosCou</definedName>
    <definedName name="OpenSolver_ChosenSolver" localSheetId="30" hidden="1">NeosCou</definedName>
    <definedName name="OpenSolver_ChosenSolver" localSheetId="46" hidden="1">NeosCou</definedName>
    <definedName name="OpenSolver_ChosenSolver" localSheetId="42" hidden="1">NeosCou</definedName>
    <definedName name="OpenSolver_ChosenSolver" localSheetId="58" hidden="1">Gurobi</definedName>
    <definedName name="OpenSolver_ConstraintList" localSheetId="5">#REF!</definedName>
    <definedName name="OpenSolver_ConstraintList" localSheetId="53">#REF!</definedName>
    <definedName name="OpenSolver_ConstraintList">#REF!</definedName>
    <definedName name="OpenSolver_CouenneParameters" localSheetId="57" hidden="1">SolverParameters!$O$5:$P$5</definedName>
    <definedName name="OpenSolver_Duals" localSheetId="59" hidden="1">Sensitivity!$K$1</definedName>
    <definedName name="OpenSolver_DualsNewSheet" localSheetId="6" hidden="1">0</definedName>
    <definedName name="OpenSolver_DualsNewSheet" localSheetId="52" hidden="1">1</definedName>
    <definedName name="OpenSolver_DualsNewSheet" localSheetId="59" hidden="1">1</definedName>
    <definedName name="OpenSolver_DualsNewSheet" localSheetId="60" hidden="1">1</definedName>
    <definedName name="OpenSolver_DualsNewSheet" localSheetId="58" hidden="1">0</definedName>
    <definedName name="OpenSolver_GurobiParameters" localSheetId="57" hidden="1">SolverParameters!$F$5:$G$5</definedName>
    <definedName name="OpenSolver_GurobiParameters" localSheetId="58" hidden="1">Warmstart!$C$20:$D$20</definedName>
    <definedName name="OpenSolver_LinearityCheck" localSheetId="24" hidden="1">1</definedName>
    <definedName name="OpenSolver_LinearityCheck" localSheetId="36" hidden="1">1</definedName>
    <definedName name="OpenSolver_LinearityCheck" localSheetId="21" hidden="1">1</definedName>
    <definedName name="OpenSolver_LinearityCheck" localSheetId="35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8" hidden="1">1</definedName>
    <definedName name="OpenSolver_LinearityCheck" localSheetId="22" hidden="1">1</definedName>
    <definedName name="OpenSolver_LinearityCheck" localSheetId="23" hidden="1">1</definedName>
    <definedName name="OpenSolver_LinearityCheck" localSheetId="44" hidden="1">1</definedName>
    <definedName name="OpenSolver_LinearityCheck" localSheetId="41" hidden="1">1</definedName>
    <definedName name="OpenSolver_LinearityCheck" localSheetId="43" hidden="1">1</definedName>
    <definedName name="OpenSolver_LinearityCheck" localSheetId="26" hidden="1">1</definedName>
    <definedName name="OpenSolver_LinearityCheck" localSheetId="27" hidden="1">1</definedName>
    <definedName name="OpenSolver_LinearityCheck" localSheetId="54" hidden="1">1</definedName>
    <definedName name="OpenSolver_LinearityCheck" localSheetId="33" hidden="1">1</definedName>
    <definedName name="OpenSolver_LinearityCheck" localSheetId="11" hidden="1">1</definedName>
    <definedName name="OpenSolver_LinearityCheck" localSheetId="13" hidden="1">1</definedName>
    <definedName name="OpenSolver_LinearityCheck" localSheetId="10" hidden="1">1</definedName>
    <definedName name="OpenSolver_LinearityCheck" localSheetId="25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7" hidden="1">1</definedName>
    <definedName name="OpenSolver_LinearityCheck" localSheetId="32" hidden="1">1</definedName>
    <definedName name="OpenSolver_LinearityCheck" localSheetId="28" hidden="1">1</definedName>
    <definedName name="OpenSolver_LinearityCheck" localSheetId="49" hidden="1">1</definedName>
    <definedName name="OpenSolver_LinearityCheck" localSheetId="5" hidden="1">1</definedName>
    <definedName name="OpenSolver_LinearityCheck" localSheetId="50" hidden="1">1</definedName>
    <definedName name="OpenSolver_LinearityCheck" localSheetId="38" hidden="1">1</definedName>
    <definedName name="OpenSolver_LinearityCheck" localSheetId="19" hidden="1">1</definedName>
    <definedName name="OpenSolver_LinearityCheck" localSheetId="20" hidden="1">1</definedName>
    <definedName name="OpenSolver_LinearityCheck" localSheetId="18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55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0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6" hidden="1">1</definedName>
    <definedName name="OpenSolver_LinearityCheck" localSheetId="62" hidden="1">1</definedName>
    <definedName name="OpenSolver_LinearityCheck" localSheetId="65" hidden="1">1</definedName>
    <definedName name="OpenSolver_LinearityCheck" localSheetId="63" hidden="1">1</definedName>
    <definedName name="OpenSolver_LinearityCheck" localSheetId="64" hidden="1">1</definedName>
    <definedName name="OpenSolver_LinearityCheck" localSheetId="61" hidden="1">1</definedName>
    <definedName name="OpenSolver_LinearityCheck" localSheetId="51" hidden="1">1</definedName>
    <definedName name="OpenSolver_LinearityCheck" localSheetId="6" hidden="1">1</definedName>
    <definedName name="OpenSolver_LinearityCheck" localSheetId="39" hidden="1">1</definedName>
    <definedName name="OpenSolver_LinearityCheck" localSheetId="40" hidden="1">1</definedName>
    <definedName name="OpenSolver_LinearityCheck" localSheetId="31" hidden="1">1</definedName>
    <definedName name="OpenSolver_LinearityCheck" localSheetId="37" hidden="1">1</definedName>
    <definedName name="OpenSolver_LinearityCheck" localSheetId="2" hidden="1">1</definedName>
    <definedName name="OpenSolver_LinearityCheck" localSheetId="52" hidden="1">1</definedName>
    <definedName name="OpenSolver_LinearityCheck" localSheetId="53" hidden="1">1</definedName>
    <definedName name="OpenSolver_LinearityCheck" localSheetId="59" hidden="1">1</definedName>
    <definedName name="OpenSolver_LinearityCheck" localSheetId="60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4" hidden="1">1</definedName>
    <definedName name="OpenSolver_LinearityCheck" localSheetId="57" hidden="1">1</definedName>
    <definedName name="OpenSolver_LinearityCheck" localSheetId="14" hidden="1">1</definedName>
    <definedName name="OpenSolver_LinearityCheck" localSheetId="9" hidden="1">1</definedName>
    <definedName name="OpenSolver_LinearityCheck" localSheetId="30" hidden="1">1</definedName>
    <definedName name="OpenSolver_LinearityCheck" localSheetId="46" hidden="1">1</definedName>
    <definedName name="OpenSolver_LinearityCheck" localSheetId="42" hidden="1">1</definedName>
    <definedName name="OpenSolver_LinearityCheck" localSheetId="58" hidden="1">1</definedName>
    <definedName name="OpenSolver_ModelParameters">SimpleLP!$O$7:$P$7</definedName>
    <definedName name="OpenSolver_NeosBonParameters" localSheetId="57" hidden="1">SolverParameters!$U$5:$V$5</definedName>
    <definedName name="OpenSolver_NeosCBCParameters" localSheetId="57" hidden="1">SolverParameters!$I$5:$J$7</definedName>
    <definedName name="OpenSolver_NeosCouParameters" localSheetId="57" hidden="1">SolverParameters!$X$5:$Y$5</definedName>
    <definedName name="OpenSolver_NOMADParameters" localSheetId="57" hidden="1">SolverParameters!$R$5:$S$5</definedName>
    <definedName name="OpenSolver_UpdateSensitivity" localSheetId="52" hidden="1">1</definedName>
    <definedName name="OpenSolver_UpdateSensitivity" localSheetId="59" hidden="1">1</definedName>
    <definedName name="OpenSolver_UpdateSensitivity" localSheetId="60" hidden="1">1</definedName>
    <definedName name="OpenSolverModelParameters" localSheetId="56" hidden="1">QuickSolve!$O$7:$P$7</definedName>
    <definedName name="OpenSolverResult">Data!$A$1:$A$7</definedName>
    <definedName name="OpenSolverResultCodes">Data!$A$1:$B$7</definedName>
    <definedName name="p" localSheetId="54">#REF!</definedName>
    <definedName name="p" localSheetId="25">#REF!</definedName>
    <definedName name="p" localSheetId="5">#REF!</definedName>
    <definedName name="p" localSheetId="37">#REF!</definedName>
    <definedName name="p" localSheetId="52">#REF!</definedName>
    <definedName name="p" localSheetId="53">#REF!</definedName>
    <definedName name="p" localSheetId="4">#REF!</definedName>
    <definedName name="p" localSheetId="30">#REF!</definedName>
    <definedName name="p">#REF!</definedName>
    <definedName name="q" localSheetId="54">#REF!</definedName>
    <definedName name="q" localSheetId="25">#REF!</definedName>
    <definedName name="q" localSheetId="5">#REF!</definedName>
    <definedName name="q" localSheetId="37">#REF!</definedName>
    <definedName name="q" localSheetId="52">#REF!</definedName>
    <definedName name="q" localSheetId="53">#REF!</definedName>
    <definedName name="q" localSheetId="4">#REF!</definedName>
    <definedName name="q" localSheetId="30">#REF!</definedName>
    <definedName name="q">#REF!</definedName>
    <definedName name="s" localSheetId="54">#REF!</definedName>
    <definedName name="s" localSheetId="25">#REF!</definedName>
    <definedName name="s" localSheetId="5">#REF!</definedName>
    <definedName name="s" localSheetId="37">#REF!</definedName>
    <definedName name="s" localSheetId="52">#REF!</definedName>
    <definedName name="s" localSheetId="53">#REF!</definedName>
    <definedName name="s" localSheetId="4">#REF!</definedName>
    <definedName name="s" localSheetId="30">#REF!</definedName>
    <definedName name="s">#REF!</definedName>
    <definedName name="Scale" localSheetId="24">'BadName!'!$O$8</definedName>
    <definedName name="Scale" localSheetId="36">BinIntLB!$O$10</definedName>
    <definedName name="Scale" localSheetId="21">BinIntOverlap!$P$7</definedName>
    <definedName name="Scale" localSheetId="35">BinLB!$O$10</definedName>
    <definedName name="Scale" localSheetId="8">BlankLHS!$O$7</definedName>
    <definedName name="Scale" localSheetId="7">BlankRHS!$O$7</definedName>
    <definedName name="Scale" localSheetId="48">ComplexLayout!$O$7</definedName>
    <definedName name="Scale" localSheetId="22">ConFormula!$O$8</definedName>
    <definedName name="Scale" localSheetId="23">ConFormulaInf!$O$8</definedName>
    <definedName name="Scale" localSheetId="44">ConstantLB!$O$10</definedName>
    <definedName name="Scale" localSheetId="41">ConstFormulaRangeLB!$O$9</definedName>
    <definedName name="Scale" localSheetId="43">ConstraintLB!$O$10</definedName>
    <definedName name="Scale" localSheetId="26">DeletedConRef!$O$8</definedName>
    <definedName name="Scale" localSheetId="27">DeletedObjRef!$O$8</definedName>
    <definedName name="Scale" localSheetId="11">ErrorLHS!$O$7</definedName>
    <definedName name="Scale" localSheetId="13">ErrorObj!$O$7</definedName>
    <definedName name="Scale" localSheetId="10">ErrorRHS!$O$7</definedName>
    <definedName name="Scale" localSheetId="25">'EscapeSheetName(1)+2-1'!$O$7</definedName>
    <definedName name="Scale" localSheetId="29">FeasConstConstraint!$Q$7</definedName>
    <definedName name="Scale" localSheetId="45">FormulaLB!$O$10</definedName>
    <definedName name="Scale" localSheetId="74">Highlighting!$P$6</definedName>
    <definedName name="Scale" localSheetId="32">IndirectLBs!$O$9</definedName>
    <definedName name="Scale" localSheetId="28">InfConstConstraint!$Q$7</definedName>
    <definedName name="Scale" localSheetId="49">InfModel!$O$8</definedName>
    <definedName name="Scale" localSheetId="5">IP_SUMIF!$O$7</definedName>
    <definedName name="Scale" localSheetId="50">IterativeCalc!$O$8</definedName>
    <definedName name="Scale" localSheetId="38">LargeRangeLB!$O$11</definedName>
    <definedName name="Scale" localSheetId="19">MergedLHS_OK!$O$8</definedName>
    <definedName name="Scale" localSheetId="20">MergedLHSMultiple_OK!$O$8</definedName>
    <definedName name="Scale" localSheetId="18">MergedRHS_OK!$O$8</definedName>
    <definedName name="Scale" localSheetId="17">MergedVarsBad!$O$8</definedName>
    <definedName name="Scale" localSheetId="16">MergedVarsOK!$O$8</definedName>
    <definedName name="Scale" localSheetId="15">MergedVarsSubset!$O$8</definedName>
    <definedName name="Scale" localSheetId="67">#REF!</definedName>
    <definedName name="Scale" localSheetId="51">NoObj!#REF!</definedName>
    <definedName name="Scale" localSheetId="6">OverlappingVars!$O$7</definedName>
    <definedName name="Scale" localSheetId="39">OverlapRangeLB!$O$11</definedName>
    <definedName name="Scale" localSheetId="40">OverlapRangeLBwithFormula!$O$11</definedName>
    <definedName name="Scale" localSheetId="31">ProtectedSheet!$O$7</definedName>
    <definedName name="Scale" localSheetId="56">QuickSolve!$O$7</definedName>
    <definedName name="Scale" localSheetId="37">Relaxation!$O$10</definedName>
    <definedName name="Scale" localSheetId="4">SimpleIP!$O$7</definedName>
    <definedName name="Scale" localSheetId="34">SingleRangeLB!$O$9</definedName>
    <definedName name="Scale" localSheetId="14">TextObj!$O$7</definedName>
    <definedName name="Scale" localSheetId="9">TextRHS!$O$7</definedName>
    <definedName name="Scale" localSheetId="30">Unbounded!$O$7</definedName>
    <definedName name="Scale" localSheetId="46">VarConstraintLB!$O$10</definedName>
    <definedName name="Scale" localSheetId="42">VariableFormulaRangeLB!$O$10</definedName>
    <definedName name="Scale">SimpleLP!$O$7</definedName>
    <definedName name="scale2" localSheetId="54">#REF!</definedName>
    <definedName name="scale2" localSheetId="5">#REF!</definedName>
    <definedName name="scale2" localSheetId="37">#REF!</definedName>
    <definedName name="scale2" localSheetId="53">#REF!</definedName>
    <definedName name="scale2" localSheetId="4">#REF!</definedName>
    <definedName name="scale2" localSheetId="30">#REF!</definedName>
    <definedName name="scale2">#REF!</definedName>
    <definedName name="sencount" hidden="1">1</definedName>
    <definedName name="Sheet1OpenSolverModelParameters" localSheetId="24">'BadName!'!$K$6:$K$6</definedName>
    <definedName name="Sheet1OpenSolverModelParameters" localSheetId="36">BinIntLB!$K$8:$K$8</definedName>
    <definedName name="Sheet1OpenSolverModelParameters" localSheetId="21">BinIntOverlap!$L$5:$L$5</definedName>
    <definedName name="Sheet1OpenSolverModelParameters" localSheetId="35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8">ComplexLayout!#REF!</definedName>
    <definedName name="Sheet1OpenSolverModelParameters" localSheetId="22">ConFormula!#REF!</definedName>
    <definedName name="Sheet1OpenSolverModelParameters" localSheetId="23">ConFormulaInf!#REF!</definedName>
    <definedName name="Sheet1OpenSolverModelParameters" localSheetId="44">ConstantLB!$K$8:$K$8</definedName>
    <definedName name="Sheet1OpenSolverModelParameters" localSheetId="41">ConstFormulaRangeLB!$K$7:$K$7</definedName>
    <definedName name="Sheet1OpenSolverModelParameters" localSheetId="43">ConstraintLB!$K$8:$K$8</definedName>
    <definedName name="Sheet1OpenSolverModelParameters" localSheetId="26">DeletedConRef!$K$6:$K$6</definedName>
    <definedName name="Sheet1OpenSolverModelParameters" localSheetId="27">DeletedObjRef!$K$6:$K$6</definedName>
    <definedName name="Sheet1OpenSolverModelParameters" localSheetId="11">ErrorLHS!$K$5:$K$5</definedName>
    <definedName name="Sheet1OpenSolverModelParameters" localSheetId="13">ErrorObj!$K$5:$K$5</definedName>
    <definedName name="Sheet1OpenSolverModelParameters" localSheetId="10">ErrorRHS!$K$5:$K$5</definedName>
    <definedName name="Sheet1OpenSolverModelParameters" localSheetId="25">'EscapeSheetName(1)+2-1'!$K$5:$K$5</definedName>
    <definedName name="Sheet1OpenSolverModelParameters" localSheetId="29">FeasConstConstraint!$M$5:$M$5</definedName>
    <definedName name="Sheet1OpenSolverModelParameters" localSheetId="45">FormulaLB!$K$8:$K$8</definedName>
    <definedName name="Sheet1OpenSolverModelParameters" localSheetId="74">Highlighting!$L$4:$L$4</definedName>
    <definedName name="Sheet1OpenSolverModelParameters" localSheetId="32">IndirectLBs!$K$7:$K$7</definedName>
    <definedName name="Sheet1OpenSolverModelParameters" localSheetId="28">InfConstConstraint!$M$5:$M$5</definedName>
    <definedName name="Sheet1OpenSolverModelParameters" localSheetId="49">InfModel!$K$6:$K$6</definedName>
    <definedName name="Sheet1OpenSolverModelParameters" localSheetId="5">IP_SUMIF!$K$5:$K$5</definedName>
    <definedName name="Sheet1OpenSolverModelParameters" localSheetId="50">IterativeCalc!$K$6:$K$6</definedName>
    <definedName name="Sheet1OpenSolverModelParameters" localSheetId="38">LargeRangeLB!$K$9:$K$9</definedName>
    <definedName name="Sheet1OpenSolverModelParameters" localSheetId="19">MergedLHS_OK!$K$6:$K$6</definedName>
    <definedName name="Sheet1OpenSolverModelParameters" localSheetId="20">MergedLHSMultiple_OK!$K$6:$K$6</definedName>
    <definedName name="Sheet1OpenSolverModelParameters" localSheetId="18">MergedRHS_OK!$K$6:$K$6</definedName>
    <definedName name="Sheet1OpenSolverModelParameters" localSheetId="17">MergedVarsBad!$K$6:$K$6</definedName>
    <definedName name="Sheet1OpenSolverModelParameters" localSheetId="16">MergedVarsOK!$K$6:$K$6</definedName>
    <definedName name="Sheet1OpenSolverModelParameters" localSheetId="15">MergedVarsSubset!$K$6:$K$6</definedName>
    <definedName name="Sheet1OpenSolverModelParameters" localSheetId="67">#REF!</definedName>
    <definedName name="Sheet1OpenSolverModelParameters" localSheetId="51">NoObj!$K$6:$K$6</definedName>
    <definedName name="Sheet1OpenSolverModelParameters" localSheetId="6">OverlappingVars!$K$5:$K$5</definedName>
    <definedName name="Sheet1OpenSolverModelParameters" localSheetId="39">OverlapRangeLB!$K$9:$K$9</definedName>
    <definedName name="Sheet1OpenSolverModelParameters" localSheetId="40">OverlapRangeLBwithFormula!$K$9:$K$9</definedName>
    <definedName name="Sheet1OpenSolverModelParameters" localSheetId="31">ProtectedSheet!$K$5:$K$5</definedName>
    <definedName name="Sheet1OpenSolverModelParameters" localSheetId="56">QuickSolve!$K$5:$K$5</definedName>
    <definedName name="Sheet1OpenSolverModelParameters" localSheetId="37">Relaxation!$K$8:$K$8</definedName>
    <definedName name="Sheet1OpenSolverModelParameters" localSheetId="4">SimpleIP!$K$5:$K$5</definedName>
    <definedName name="Sheet1OpenSolverModelParameters" localSheetId="34">SingleRangeLB!$K$7:$K$7</definedName>
    <definedName name="Sheet1OpenSolverModelParameters" localSheetId="14">TextObj!$K$5:$K$5</definedName>
    <definedName name="Sheet1OpenSolverModelParameters" localSheetId="9">TextRHS!$K$5:$K$5</definedName>
    <definedName name="Sheet1OpenSolverModelParameters" localSheetId="30">Unbounded!$K$5:$K$5</definedName>
    <definedName name="Sheet1OpenSolverModelParameters" localSheetId="46">VarConstraintLB!$K$8:$K$8</definedName>
    <definedName name="Sheet1OpenSolverModelParameters" localSheetId="42">VariableFormulaRangeLB!$K$8:$K$8</definedName>
    <definedName name="Sheet1OpenSolverModelParameters">SimpleLP!$K$5:$K$5</definedName>
    <definedName name="Solver" localSheetId="54" hidden="1">CBC (default)</definedName>
    <definedName name="Solver" localSheetId="25" hidden="1">CBC (default)</definedName>
    <definedName name="Solver" localSheetId="5" hidden="1">CBC (default)</definedName>
    <definedName name="Solver" localSheetId="67" hidden="1">CBC (default)</definedName>
    <definedName name="Solver" localSheetId="37" hidden="1">CBC (default)</definedName>
    <definedName name="Solver" localSheetId="52" hidden="1">CBC (default)</definedName>
    <definedName name="Solver" localSheetId="53" hidden="1">CBC (default)</definedName>
    <definedName name="Solver" localSheetId="4" hidden="1">CBC (default)</definedName>
    <definedName name="Solver" localSheetId="30" hidden="1">CBC (default)</definedName>
    <definedName name="Solver" hidden="1">CBC (default)</definedName>
    <definedName name="solver_adj" localSheetId="24" hidden="1">'BadName!'!$D$5:$F$5</definedName>
    <definedName name="solver_adj" localSheetId="36" hidden="1">BinIntLB!$D$5:$F$5</definedName>
    <definedName name="solver_adj" localSheetId="21" hidden="1">BinIntOverlap!$D$4:$G$4</definedName>
    <definedName name="solver_adj" localSheetId="35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8" hidden="1">ComplexLayout!$D$4:$G$4,ComplexLayout!$Q$3:$R$4,ComplexLayout!$N$3:$N$4</definedName>
    <definedName name="solver_adj" localSheetId="22" hidden="1">ConFormula!$D$5:$G$5,ConFormula!$Q$4:$R$5,ConFormula!$N$4:$N$5</definedName>
    <definedName name="solver_adj" localSheetId="23" hidden="1">ConFormulaInf!$D$5:$G$5,ConFormulaInf!$Q$4:$R$5,ConFormulaInf!$N$4:$N$5</definedName>
    <definedName name="solver_adj" localSheetId="44" hidden="1">ConstantLB!$D$5:$F$5</definedName>
    <definedName name="solver_adj" localSheetId="41" hidden="1">ConstFormulaRangeLB!$D$4:$F$4</definedName>
    <definedName name="solver_adj" localSheetId="43" hidden="1">ConstraintLB!$D$5:$F$5</definedName>
    <definedName name="solver_adj" localSheetId="26" hidden="1">DeletedConRef!$D$5:$F$5</definedName>
    <definedName name="solver_adj" localSheetId="27" hidden="1">DeletedObjRef!$D$5:$F$5</definedName>
    <definedName name="solver_adj" localSheetId="54" hidden="1">DiffSheetObj!$D$2:$F$2</definedName>
    <definedName name="solver_adj" localSheetId="33" hidden="1">DirectLBs!$D$4:$F$4</definedName>
    <definedName name="solver_adj" localSheetId="11" hidden="1">ErrorLHS!$D$4:$F$4</definedName>
    <definedName name="solver_adj" localSheetId="13" hidden="1">ErrorObj!$D$4:$F$4</definedName>
    <definedName name="solver_adj" localSheetId="10" hidden="1">ErrorRHS!$D$4:$F$4</definedName>
    <definedName name="solver_adj" localSheetId="25" hidden="1">'EscapeSheetName(1)+2-1'!$D$4:$F$4</definedName>
    <definedName name="solver_adj" localSheetId="29" hidden="1">FeasConstConstraint!$D$4:$F$4</definedName>
    <definedName name="solver_adj" localSheetId="45" hidden="1">FormulaLB!$D$5:$F$5</definedName>
    <definedName name="solver_adj" localSheetId="47" hidden="1">FractionalCoeffs!$D$2:$F$2</definedName>
    <definedName name="solver_adj" localSheetId="32" hidden="1">IndirectLBs!$D$5:$F$5</definedName>
    <definedName name="solver_adj" localSheetId="28" hidden="1">InfConstConstraint!$D$4:$F$4</definedName>
    <definedName name="solver_adj" localSheetId="49" hidden="1">InfModel!$D$5:$F$5</definedName>
    <definedName name="solver_adj" localSheetId="5" hidden="1">IP_SUMIF!$E$5:$E$7</definedName>
    <definedName name="solver_adj" localSheetId="50" hidden="1">IterativeCalc!$D$5:$F$5</definedName>
    <definedName name="solver_adj" localSheetId="38" hidden="1">LargeRangeLB!$D$6:$F$6</definedName>
    <definedName name="solver_adj" localSheetId="19" hidden="1">MergedLHS_OK!$D$5:$E$5</definedName>
    <definedName name="solver_adj" localSheetId="20" hidden="1">MergedLHSMultiple_OK!$D$5:$F$5</definedName>
    <definedName name="solver_adj" localSheetId="18" hidden="1">MergedRHS_OK!$D$5:$E$5</definedName>
    <definedName name="solver_adj" localSheetId="17" hidden="1">MergedVarsBad!$D$5:$F$5</definedName>
    <definedName name="solver_adj" localSheetId="16" hidden="1">MergedVarsOK!$D$5:$E$5</definedName>
    <definedName name="solver_adj" localSheetId="15" hidden="1">MergedVarsSubset!$D$5:$F$5</definedName>
    <definedName name="solver_adj" localSheetId="55" hidden="1">NamedRanges!$D$4:$H$4</definedName>
    <definedName name="solver_adj" localSheetId="68" hidden="1">NonLin!$D$3:$D$35</definedName>
    <definedName name="solver_adj" localSheetId="69" hidden="1">NonLin2!$C$4:$D$4</definedName>
    <definedName name="solver_adj" localSheetId="70" hidden="1">NonLin3!$S$10:$S$11</definedName>
    <definedName name="solver_adj" localSheetId="71" hidden="1">NonLin4!$D$11</definedName>
    <definedName name="solver_adj" localSheetId="72" hidden="1">NonLin5!$F$2:$I$2</definedName>
    <definedName name="solver_adj" localSheetId="73" hidden="1">NonLin6!$D$7:$D$8</definedName>
    <definedName name="solver_adj" localSheetId="67" hidden="1">NonLinBinary!$C$4:$D$4</definedName>
    <definedName name="solver_adj" localSheetId="66" hidden="1">NonLinConstraints!$D$5:$H$5</definedName>
    <definedName name="solver_adj" localSheetId="62" hidden="1">NonLinLarge!$D$3:$F$3</definedName>
    <definedName name="solver_adj" localSheetId="65" hidden="1">NonLinMinMax!$D$4:$F$4</definedName>
    <definedName name="solver_adj" localSheetId="63" hidden="1">NonLinObj!$D$3:$F$3</definedName>
    <definedName name="solver_adj" localSheetId="64" hidden="1">NonLinPruning!$D$5:$E$5</definedName>
    <definedName name="solver_adj" localSheetId="61" hidden="1">NonLinSimple!$D$3:$F$3</definedName>
    <definedName name="solver_adj" localSheetId="51" hidden="1">NoObj!$D$5:$F$5</definedName>
    <definedName name="solver_adj" localSheetId="6" hidden="1">OverlappingVars!$D$4:$E$4,OverlappingVars!$E$4:$F$4</definedName>
    <definedName name="solver_adj" localSheetId="39" hidden="1">OverlapRangeLB!$D$6:$F$6</definedName>
    <definedName name="solver_adj" localSheetId="40" hidden="1">OverlapRangeLBwithFormula!$D$6:$F$6</definedName>
    <definedName name="solver_adj" localSheetId="31" hidden="1">ProtectedSheet!$D$4:$F$4</definedName>
    <definedName name="solver_adj" localSheetId="56" hidden="1">QuickSolve!$D$4:$F$4</definedName>
    <definedName name="solver_adj" localSheetId="37" hidden="1">Relaxation!$D$5:$F$5</definedName>
    <definedName name="solver_adj" localSheetId="52" hidden="1">SeekObj!$D$2:$F$2</definedName>
    <definedName name="solver_adj" localSheetId="53" hidden="1">SeekObjInf!$D$2:$F$2</definedName>
    <definedName name="solver_adj" localSheetId="59" hidden="1">Sensitivity!$D$4:$F$4</definedName>
    <definedName name="solver_adj" localSheetId="60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4" hidden="1">SingleRangeLB!$D$4:$F$4</definedName>
    <definedName name="solver_adj" localSheetId="57" hidden="1">SolverParameters!$D$13:$F$13</definedName>
    <definedName name="solver_adj" localSheetId="14" hidden="1">TextObj!$D$4:$F$4</definedName>
    <definedName name="solver_adj" localSheetId="9" hidden="1">TextRHS!$D$4:$F$4</definedName>
    <definedName name="solver_adj" localSheetId="30" hidden="1">Unbounded!$D$4:$F$4</definedName>
    <definedName name="solver_adj" localSheetId="46" hidden="1">VarConstraintLB!$D$5:$F$5</definedName>
    <definedName name="solver_adj" localSheetId="42" hidden="1">VariableFormulaRangeLB!$D$5:$F$5</definedName>
    <definedName name="solver_adj" localSheetId="58" hidden="1">Warmstart!$D$1:$UE$1,Warmstart!$C$23:$C$24</definedName>
    <definedName name="solver_cvg" localSheetId="62" hidden="1">0.0001</definedName>
    <definedName name="solver_cvg" localSheetId="53" hidden="1">0.0001</definedName>
    <definedName name="solver_cvg" localSheetId="60" hidden="1">0.0001</definedName>
    <definedName name="solver_cvg" localSheetId="3" hidden="1">0.0001</definedName>
    <definedName name="solver_cvg" localSheetId="58" hidden="1">0.001</definedName>
    <definedName name="solver_drv" localSheetId="62" hidden="1">1</definedName>
    <definedName name="solver_drv" localSheetId="53" hidden="1">1</definedName>
    <definedName name="solver_drv" localSheetId="60" hidden="1">1</definedName>
    <definedName name="solver_drv" localSheetId="3" hidden="1">1</definedName>
    <definedName name="solver_drv" localSheetId="58" hidden="1">1</definedName>
    <definedName name="solver_est" localSheetId="62" hidden="1">1</definedName>
    <definedName name="solver_est" localSheetId="53" hidden="1">1</definedName>
    <definedName name="solver_est" localSheetId="60" hidden="1">1</definedName>
    <definedName name="solver_est" localSheetId="3" hidden="1">1</definedName>
    <definedName name="solver_est" localSheetId="58" hidden="1">1</definedName>
    <definedName name="solver_itr" localSheetId="36" hidden="1">999999999</definedName>
    <definedName name="solver_itr" localSheetId="21" hidden="1">999999999</definedName>
    <definedName name="solver_itr" localSheetId="35" hidden="1">999999999</definedName>
    <definedName name="solver_itr" localSheetId="8" hidden="1">999999999</definedName>
    <definedName name="solver_itr" localSheetId="7" hidden="1">999999999</definedName>
    <definedName name="solver_itr" localSheetId="48" hidden="1">999999999</definedName>
    <definedName name="solver_itr" localSheetId="22" hidden="1">999999999</definedName>
    <definedName name="solver_itr" localSheetId="23" hidden="1">999999999</definedName>
    <definedName name="solver_itr" localSheetId="44" hidden="1">999999999</definedName>
    <definedName name="solver_itr" localSheetId="41" hidden="1">999999999</definedName>
    <definedName name="solver_itr" localSheetId="43" hidden="1">999999999</definedName>
    <definedName name="solver_itr" localSheetId="26" hidden="1">999999999</definedName>
    <definedName name="solver_itr" localSheetId="54" hidden="1">999999999</definedName>
    <definedName name="solver_itr" localSheetId="33" hidden="1">999999999</definedName>
    <definedName name="solver_itr" localSheetId="11" hidden="1">999999999</definedName>
    <definedName name="solver_itr" localSheetId="10" hidden="1">999999999</definedName>
    <definedName name="solver_itr" localSheetId="25" hidden="1">999999999</definedName>
    <definedName name="solver_itr" localSheetId="29" hidden="1">999999999</definedName>
    <definedName name="solver_itr" localSheetId="45" hidden="1">999999999</definedName>
    <definedName name="solver_itr" localSheetId="47" hidden="1">999999999</definedName>
    <definedName name="solver_itr" localSheetId="32" hidden="1">999999999</definedName>
    <definedName name="solver_itr" localSheetId="28" hidden="1">999999999</definedName>
    <definedName name="solver_itr" localSheetId="49" hidden="1">999999999</definedName>
    <definedName name="solver_itr" localSheetId="5" hidden="1">999999999</definedName>
    <definedName name="solver_itr" localSheetId="50" hidden="1">999999999</definedName>
    <definedName name="solver_itr" localSheetId="38" hidden="1">999999999</definedName>
    <definedName name="solver_itr" localSheetId="19" hidden="1">999999999</definedName>
    <definedName name="solver_itr" localSheetId="20" hidden="1">999999999</definedName>
    <definedName name="solver_itr" localSheetId="18" hidden="1">999999999</definedName>
    <definedName name="solver_itr" localSheetId="16" hidden="1">999999999</definedName>
    <definedName name="solver_itr" localSheetId="55" hidden="1">999999999</definedName>
    <definedName name="solver_itr" localSheetId="68" hidden="1">999999999</definedName>
    <definedName name="solver_itr" localSheetId="69" hidden="1">999999999</definedName>
    <definedName name="solver_itr" localSheetId="70" hidden="1">999999999</definedName>
    <definedName name="solver_itr" localSheetId="71" hidden="1">999999999</definedName>
    <definedName name="solver_itr" localSheetId="72" hidden="1">999999999</definedName>
    <definedName name="solver_itr" localSheetId="73" hidden="1">999999999</definedName>
    <definedName name="solver_itr" localSheetId="67" hidden="1">999999999</definedName>
    <definedName name="solver_itr" localSheetId="66" hidden="1">999999999</definedName>
    <definedName name="solver_itr" localSheetId="62" hidden="1">999999999</definedName>
    <definedName name="solver_itr" localSheetId="65" hidden="1">999999999</definedName>
    <definedName name="solver_itr" localSheetId="63" hidden="1">999999999</definedName>
    <definedName name="solver_itr" localSheetId="64" hidden="1">999999999</definedName>
    <definedName name="solver_itr" localSheetId="61" hidden="1">999999999</definedName>
    <definedName name="solver_itr" localSheetId="51" hidden="1">999999999</definedName>
    <definedName name="solver_itr" localSheetId="6" hidden="1">999999999</definedName>
    <definedName name="solver_itr" localSheetId="39" hidden="1">999999999</definedName>
    <definedName name="solver_itr" localSheetId="40" hidden="1">999999999</definedName>
    <definedName name="solver_itr" localSheetId="37" hidden="1">999999999</definedName>
    <definedName name="solver_itr" localSheetId="52" hidden="1">999999999</definedName>
    <definedName name="solver_itr" localSheetId="53" hidden="1">999999999</definedName>
    <definedName name="solver_itr" localSheetId="59" hidden="1">999999999</definedName>
    <definedName name="solver_itr" localSheetId="60" hidden="1">999999999</definedName>
    <definedName name="solver_itr" localSheetId="4" hidden="1">999999999</definedName>
    <definedName name="solver_itr" localSheetId="3" hidden="1">999999999</definedName>
    <definedName name="solver_itr" localSheetId="34" hidden="1">999999999</definedName>
    <definedName name="solver_itr" localSheetId="57" hidden="1">999999999</definedName>
    <definedName name="solver_itr" localSheetId="9" hidden="1">999999999</definedName>
    <definedName name="solver_itr" localSheetId="30" hidden="1">999999999</definedName>
    <definedName name="solver_itr" localSheetId="46" hidden="1">999999999</definedName>
    <definedName name="solver_itr" localSheetId="42" hidden="1">999999999</definedName>
    <definedName name="solver_itr" localSheetId="58" hidden="1">999999999</definedName>
    <definedName name="solver_lhs1" localSheetId="24" hidden="1">'BadName!'!$H$12</definedName>
    <definedName name="solver_lhs1" localSheetId="36" hidden="1">BinIntLB!$H$11:$H$13</definedName>
    <definedName name="solver_lhs1" localSheetId="21" hidden="1">BinIntOverlap!$I$8:$I$9</definedName>
    <definedName name="solver_lhs1" localSheetId="35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8" hidden="1">ComplexLayout!$I$8:$I$9</definedName>
    <definedName name="solver_lhs1" localSheetId="22" hidden="1">ConFormula!$I$9:$I$10</definedName>
    <definedName name="solver_lhs1" localSheetId="23" hidden="1">ConFormulaInf!$I$9:$I$10</definedName>
    <definedName name="solver_lhs1" localSheetId="44" hidden="1">ConstantLB!$H$11:$H$13</definedName>
    <definedName name="solver_lhs1" localSheetId="41" hidden="1">ConstFormulaRangeLB!$H$10:$H$12</definedName>
    <definedName name="solver_lhs1" localSheetId="43" hidden="1">ConstraintLB!$H$11:$H$13</definedName>
    <definedName name="solver_lhs1" localSheetId="26" hidden="1">DeletedConRef!$H$9:$H$10</definedName>
    <definedName name="solver_lhs1" localSheetId="27" hidden="1">DeletedObjRef!$H$9:$H$10</definedName>
    <definedName name="solver_lhs1" localSheetId="54" hidden="1">DiffSheetObj!$G$6</definedName>
    <definedName name="solver_lhs1" localSheetId="33" hidden="1">DirectLBs!$H$10:$H$12</definedName>
    <definedName name="solver_lhs1" localSheetId="11" hidden="1">ErrorLHS!$H$8:$H$9</definedName>
    <definedName name="solver_lhs1" localSheetId="13" hidden="1">ErrorObj!$H$8:$H$9</definedName>
    <definedName name="solver_lhs1" localSheetId="10" hidden="1">ErrorRHS!$H$8:$H$9</definedName>
    <definedName name="solver_lhs1" localSheetId="25" hidden="1">'EscapeSheetName(1)+2-1'!$H$8:$H$9</definedName>
    <definedName name="solver_lhs1" localSheetId="29" hidden="1">FeasConstConstraint!$J$8:$J$9</definedName>
    <definedName name="solver_lhs1" localSheetId="45" hidden="1">FormulaLB!$H$11:$H$13</definedName>
    <definedName name="solver_lhs1" localSheetId="47" hidden="1">FractionalCoeffs!$G$6</definedName>
    <definedName name="solver_lhs1" localSheetId="32" hidden="1">IndirectLBs!$H$10:$H$11</definedName>
    <definedName name="solver_lhs1" localSheetId="28" hidden="1">InfConstConstraint!$J$8:$J$9</definedName>
    <definedName name="solver_lhs1" localSheetId="49" hidden="1">InfModel!$H$9:$H$10</definedName>
    <definedName name="solver_lhs1" localSheetId="5" hidden="1">IP_SUMIF!$D$10</definedName>
    <definedName name="solver_lhs1" localSheetId="50" hidden="1">IterativeCalc!$H$9:$H$10</definedName>
    <definedName name="solver_lhs1" localSheetId="38" hidden="1">LargeRangeLB!$H$12:$H$14</definedName>
    <definedName name="solver_lhs1" localSheetId="19" hidden="1">MergedLHS_OK!$H$9:$H$10</definedName>
    <definedName name="solver_lhs1" localSheetId="20" hidden="1">MergedLHSMultiple_OK!$H$9:$H$10</definedName>
    <definedName name="solver_lhs1" localSheetId="18" hidden="1">MergedRHS_OK!$H$9:$H$10</definedName>
    <definedName name="solver_lhs1" localSheetId="17" hidden="1">MergedVarsBad!$H$9:$H$10</definedName>
    <definedName name="solver_lhs1" localSheetId="16" hidden="1">MergedVarsOK!$H$9:$H$10</definedName>
    <definedName name="solver_lhs1" localSheetId="15" hidden="1">MergedVarsSubset!$H$9:$H$10</definedName>
    <definedName name="solver_lhs1" localSheetId="55" hidden="1">NamedRanges!$I$8</definedName>
    <definedName name="solver_lhs1" localSheetId="68" hidden="1">NonLin!$J$40</definedName>
    <definedName name="solver_lhs1" localSheetId="69" hidden="1">NonLin2!$E$6:$E$7</definedName>
    <definedName name="solver_lhs1" localSheetId="70" hidden="1">NonLin3!$S$10:$S$11</definedName>
    <definedName name="solver_lhs1" localSheetId="73" hidden="1">NonLin6!$D$7</definedName>
    <definedName name="solver_lhs1" localSheetId="67" hidden="1">NonLinBinary!$E$8:$E$9</definedName>
    <definedName name="solver_lhs1" localSheetId="66" hidden="1">NonLinConstraints!$I$7:$I$9</definedName>
    <definedName name="solver_lhs1" localSheetId="62" hidden="1">NonLinLarge!$H$7:$H$8</definedName>
    <definedName name="solver_lhs1" localSheetId="65" hidden="1">NonLinMinMax!$G$8</definedName>
    <definedName name="solver_lhs1" localSheetId="63" hidden="1">NonLinObj!$H$7:$H$8</definedName>
    <definedName name="solver_lhs1" localSheetId="64" hidden="1">NonLinPruning!$F$8:$F$9</definedName>
    <definedName name="solver_lhs1" localSheetId="61" hidden="1">NonLinSimple!$H$7:$H$8</definedName>
    <definedName name="solver_lhs1" localSheetId="51" hidden="1">NoObj!$H$9:$H$10</definedName>
    <definedName name="solver_lhs1" localSheetId="6" hidden="1">OverlappingVars!$H$8:$H$9</definedName>
    <definedName name="solver_lhs1" localSheetId="39" hidden="1">OverlapRangeLB!$H$12:$H$14</definedName>
    <definedName name="solver_lhs1" localSheetId="40" hidden="1">OverlapRangeLBwithFormula!$H$12:$H$14</definedName>
    <definedName name="solver_lhs1" localSheetId="31" hidden="1">ProtectedSheet!$H$8:$H$9</definedName>
    <definedName name="solver_lhs1" localSheetId="56" hidden="1">QuickSolve!$H$8</definedName>
    <definedName name="solver_lhs1" localSheetId="37" hidden="1">Relaxation!$H$11:$H$13</definedName>
    <definedName name="solver_lhs1" localSheetId="52" hidden="1">SeekObj!$G$6</definedName>
    <definedName name="solver_lhs1" localSheetId="53" hidden="1">SeekObjInf!$G$6</definedName>
    <definedName name="solver_lhs1" localSheetId="59" hidden="1">Sensitivity!$G$8</definedName>
    <definedName name="solver_lhs1" localSheetId="60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4" hidden="1">SingleRangeLB!$H$10:$H$12</definedName>
    <definedName name="solver_lhs1" localSheetId="57" hidden="1">SolverParameters!$H$17:$H$18</definedName>
    <definedName name="solver_lhs1" localSheetId="14" hidden="1">TextObj!$H$8:$H$9</definedName>
    <definedName name="solver_lhs1" localSheetId="9" hidden="1">TextRHS!$H$8:$H$9</definedName>
    <definedName name="solver_lhs1" localSheetId="30" hidden="1">Unbounded!$H$8:$H$9</definedName>
    <definedName name="solver_lhs1" localSheetId="46" hidden="1">VarConstraintLB!$H$11:$H$13</definedName>
    <definedName name="solver_lhs1" localSheetId="42" hidden="1">VariableFormulaRangeLB!$H$11:$H$13</definedName>
    <definedName name="solver_lhs1" localSheetId="58" hidden="1">Warmstart!$UF$4</definedName>
    <definedName name="solver_lhs10" localSheetId="62" hidden="1">NonLinLarge!$H$74</definedName>
    <definedName name="solver_lhs100" localSheetId="62" hidden="1">NonLinLarge!$H$74</definedName>
    <definedName name="solver_lhs101" localSheetId="62" hidden="1">NonLinLarge!$H$75:$H$138</definedName>
    <definedName name="solver_lhs102" localSheetId="62" hidden="1">NonLinLarge!$H$139</definedName>
    <definedName name="solver_lhs103" localSheetId="62" hidden="1">NonLinLarge!$H$7:$H$8</definedName>
    <definedName name="solver_lhs104" localSheetId="62" hidden="1">NonLinLarge!$H$9:$H$72</definedName>
    <definedName name="solver_lhs105" localSheetId="62" hidden="1">NonLinLarge!$H$73</definedName>
    <definedName name="solver_lhs106" localSheetId="62" hidden="1">NonLinLarge!$H$74</definedName>
    <definedName name="solver_lhs107" localSheetId="62" hidden="1">NonLinLarge!$H$75:$H$138</definedName>
    <definedName name="solver_lhs108" localSheetId="62" hidden="1">NonLinLarge!$H$139</definedName>
    <definedName name="solver_lhs109" localSheetId="62" hidden="1">NonLinLarge!$H$7:$H$8</definedName>
    <definedName name="solver_lhs11" localSheetId="62" hidden="1">NonLinLarge!$H$75:$H$138</definedName>
    <definedName name="solver_lhs110" localSheetId="62" hidden="1">NonLinLarge!$H$9:$H$72</definedName>
    <definedName name="solver_lhs111" localSheetId="62" hidden="1">NonLinLarge!$H$73</definedName>
    <definedName name="solver_lhs112" localSheetId="62" hidden="1">NonLinLarge!$H$74</definedName>
    <definedName name="solver_lhs113" localSheetId="62" hidden="1">NonLinLarge!$H$75:$H$138</definedName>
    <definedName name="solver_lhs114" localSheetId="62" hidden="1">NonLinLarge!$H$139</definedName>
    <definedName name="solver_lhs115" localSheetId="62" hidden="1">NonLinLarge!$H$7:$H$8</definedName>
    <definedName name="solver_lhs116" localSheetId="62" hidden="1">NonLinLarge!$H$9:$H$72</definedName>
    <definedName name="solver_lhs117" localSheetId="62" hidden="1">NonLinLarge!$H$73</definedName>
    <definedName name="solver_lhs118" localSheetId="62" hidden="1">NonLinLarge!$H$74</definedName>
    <definedName name="solver_lhs119" localSheetId="62" hidden="1">NonLinLarge!$H$75:$H$138</definedName>
    <definedName name="solver_lhs12" localSheetId="62" hidden="1">NonLinLarge!$H$139</definedName>
    <definedName name="solver_lhs120" localSheetId="62" hidden="1">NonLinLarge!$H$139</definedName>
    <definedName name="solver_lhs121" localSheetId="62" hidden="1">NonLinLarge!$H$7:$H$8</definedName>
    <definedName name="solver_lhs122" localSheetId="62" hidden="1">NonLinLarge!$H$9:$H$72</definedName>
    <definedName name="solver_lhs123" localSheetId="62" hidden="1">NonLinLarge!$H$73</definedName>
    <definedName name="solver_lhs124" localSheetId="62" hidden="1">NonLinLarge!$H$74</definedName>
    <definedName name="solver_lhs125" localSheetId="62" hidden="1">NonLinLarge!$H$75:$H$138</definedName>
    <definedName name="solver_lhs126" localSheetId="62" hidden="1">NonLinLarge!$H$139</definedName>
    <definedName name="solver_lhs127" localSheetId="62" hidden="1">NonLinLarge!$H$7:$H$8</definedName>
    <definedName name="solver_lhs128" localSheetId="62" hidden="1">NonLinLarge!$H$9:$H$72</definedName>
    <definedName name="solver_lhs129" localSheetId="62" hidden="1">NonLinLarge!$H$73</definedName>
    <definedName name="solver_lhs13" localSheetId="62" hidden="1">NonLinLarge!$H$7:$H$8</definedName>
    <definedName name="solver_lhs130" localSheetId="62" hidden="1">NonLinLarge!$H$74</definedName>
    <definedName name="solver_lhs131" localSheetId="62" hidden="1">NonLinLarge!$H$75:$H$138</definedName>
    <definedName name="solver_lhs132" localSheetId="62" hidden="1">NonLinLarge!$H$139</definedName>
    <definedName name="solver_lhs133" localSheetId="62" hidden="1">NonLinLarge!$H$7:$H$8</definedName>
    <definedName name="solver_lhs134" localSheetId="62" hidden="1">NonLinLarge!$H$9:$H$72</definedName>
    <definedName name="solver_lhs135" localSheetId="62" hidden="1">NonLinLarge!$H$73</definedName>
    <definedName name="solver_lhs136" localSheetId="62" hidden="1">NonLinLarge!$H$74</definedName>
    <definedName name="solver_lhs137" localSheetId="62" hidden="1">NonLinLarge!$H$75:$H$138</definedName>
    <definedName name="solver_lhs138" localSheetId="62" hidden="1">NonLinLarge!$H$139</definedName>
    <definedName name="solver_lhs139" localSheetId="62" hidden="1">NonLinLarge!$H$7:$H$8</definedName>
    <definedName name="solver_lhs14" localSheetId="62" hidden="1">NonLinLarge!$H$9:$H$72</definedName>
    <definedName name="solver_lhs140" localSheetId="62" hidden="1">NonLinLarge!$H$9:$H$72</definedName>
    <definedName name="solver_lhs141" localSheetId="62" hidden="1">NonLinLarge!$H$73</definedName>
    <definedName name="solver_lhs142" localSheetId="62" hidden="1">NonLinLarge!$H$74</definedName>
    <definedName name="solver_lhs143" localSheetId="62" hidden="1">NonLinLarge!$H$75:$H$138</definedName>
    <definedName name="solver_lhs144" localSheetId="62" hidden="1">NonLinLarge!$H$139</definedName>
    <definedName name="solver_lhs145" localSheetId="62" hidden="1">NonLinLarge!$H$7:$H$8</definedName>
    <definedName name="solver_lhs146" localSheetId="62" hidden="1">NonLinLarge!$H$9:$H$72</definedName>
    <definedName name="solver_lhs147" localSheetId="62" hidden="1">NonLinLarge!$H$73</definedName>
    <definedName name="solver_lhs148" localSheetId="62" hidden="1">NonLinLarge!$H$74</definedName>
    <definedName name="solver_lhs149" localSheetId="62" hidden="1">NonLinLarge!$H$75:$H$138</definedName>
    <definedName name="solver_lhs15" localSheetId="62" hidden="1">NonLinLarge!$H$73</definedName>
    <definedName name="solver_lhs150" localSheetId="62" hidden="1">NonLinLarge!$H$139</definedName>
    <definedName name="solver_lhs151" localSheetId="62" hidden="1">NonLinLarge!$H$7:$H$8</definedName>
    <definedName name="solver_lhs152" localSheetId="62" hidden="1">NonLinLarge!$H$9:$H$72</definedName>
    <definedName name="solver_lhs153" localSheetId="62" hidden="1">NonLinLarge!$H$73</definedName>
    <definedName name="solver_lhs154" localSheetId="62" hidden="1">NonLinLarge!$H$74</definedName>
    <definedName name="solver_lhs155" localSheetId="62" hidden="1">NonLinLarge!$H$75:$H$138</definedName>
    <definedName name="solver_lhs156" localSheetId="62" hidden="1">NonLinLarge!$H$139</definedName>
    <definedName name="solver_lhs157" localSheetId="62" hidden="1">NonLinLarge!$H$7:$H$8</definedName>
    <definedName name="solver_lhs158" localSheetId="62" hidden="1">NonLinLarge!$H$9:$H$72</definedName>
    <definedName name="solver_lhs159" localSheetId="62" hidden="1">NonLinLarge!$H$73</definedName>
    <definedName name="solver_lhs16" localSheetId="62" hidden="1">NonLinLarge!$H$74</definedName>
    <definedName name="solver_lhs160" localSheetId="62" hidden="1">NonLinLarge!$H$74</definedName>
    <definedName name="solver_lhs161" localSheetId="62" hidden="1">NonLinLarge!$H$75:$H$138</definedName>
    <definedName name="solver_lhs162" localSheetId="62" hidden="1">NonLinLarge!$H$139</definedName>
    <definedName name="solver_lhs163" localSheetId="62" hidden="1">NonLinLarge!$H$7:$H$8</definedName>
    <definedName name="solver_lhs164" localSheetId="62" hidden="1">NonLinLarge!$H$9:$H$72</definedName>
    <definedName name="solver_lhs165" localSheetId="62" hidden="1">NonLinLarge!$H$73</definedName>
    <definedName name="solver_lhs166" localSheetId="62" hidden="1">NonLinLarge!$H$74</definedName>
    <definedName name="solver_lhs167" localSheetId="62" hidden="1">NonLinLarge!$H$75:$H$138</definedName>
    <definedName name="solver_lhs168" localSheetId="62" hidden="1">NonLinLarge!$H$139</definedName>
    <definedName name="solver_lhs169" localSheetId="62" hidden="1">NonLinLarge!$H$7:$H$8</definedName>
    <definedName name="solver_lhs17" localSheetId="62" hidden="1">NonLinLarge!$H$75:$H$138</definedName>
    <definedName name="solver_lhs170" localSheetId="62" hidden="1">NonLinLarge!$H$9:$H$72</definedName>
    <definedName name="solver_lhs171" localSheetId="62" hidden="1">NonLinLarge!$H$73</definedName>
    <definedName name="solver_lhs172" localSheetId="62" hidden="1">NonLinLarge!$H$74</definedName>
    <definedName name="solver_lhs173" localSheetId="62" hidden="1">NonLinLarge!$H$75:$H$138</definedName>
    <definedName name="solver_lhs174" localSheetId="62" hidden="1">NonLinLarge!$H$139</definedName>
    <definedName name="solver_lhs175" localSheetId="62" hidden="1">NonLinLarge!$H$7:$H$8</definedName>
    <definedName name="solver_lhs176" localSheetId="62" hidden="1">NonLinLarge!$H$9:$H$72</definedName>
    <definedName name="solver_lhs177" localSheetId="62" hidden="1">NonLinLarge!$H$73</definedName>
    <definedName name="solver_lhs178" localSheetId="62" hidden="1">NonLinLarge!$H$74</definedName>
    <definedName name="solver_lhs179" localSheetId="62" hidden="1">NonLinLarge!$H$75:$H$138</definedName>
    <definedName name="solver_lhs18" localSheetId="62" hidden="1">NonLinLarge!$H$139</definedName>
    <definedName name="solver_lhs180" localSheetId="62" hidden="1">NonLinLarge!$H$139</definedName>
    <definedName name="solver_lhs181" localSheetId="62" hidden="1">NonLinLarge!$H$7:$H$8</definedName>
    <definedName name="solver_lhs182" localSheetId="62" hidden="1">NonLinLarge!$H$9:$H$72</definedName>
    <definedName name="solver_lhs183" localSheetId="62" hidden="1">NonLinLarge!$H$73</definedName>
    <definedName name="solver_lhs184" localSheetId="62" hidden="1">NonLinLarge!$H$74</definedName>
    <definedName name="solver_lhs185" localSheetId="62" hidden="1">NonLinLarge!$H$75:$H$138</definedName>
    <definedName name="solver_lhs186" localSheetId="62" hidden="1">NonLinLarge!$H$139</definedName>
    <definedName name="solver_lhs187" localSheetId="62" hidden="1">NonLinLarge!$H$7:$H$8</definedName>
    <definedName name="solver_lhs188" localSheetId="62" hidden="1">NonLinLarge!$H$9:$H$72</definedName>
    <definedName name="solver_lhs189" localSheetId="62" hidden="1">NonLinLarge!$H$73</definedName>
    <definedName name="solver_lhs19" localSheetId="62" hidden="1">NonLinLarge!$H$7:$H$8</definedName>
    <definedName name="solver_lhs190" localSheetId="62" hidden="1">NonLinLarge!$H$74</definedName>
    <definedName name="solver_lhs191" localSheetId="62" hidden="1">NonLinLarge!$H$75:$H$138</definedName>
    <definedName name="solver_lhs192" localSheetId="62" hidden="1">NonLinLarge!$H$139</definedName>
    <definedName name="solver_lhs193" localSheetId="62" hidden="1">NonLinLarge!$H$7:$H$8</definedName>
    <definedName name="solver_lhs194" localSheetId="62" hidden="1">NonLinLarge!$H$9:$H$72</definedName>
    <definedName name="solver_lhs195" localSheetId="62" hidden="1">NonLinLarge!$H$73</definedName>
    <definedName name="solver_lhs196" localSheetId="62" hidden="1">NonLinLarge!$H$74</definedName>
    <definedName name="solver_lhs197" localSheetId="62" hidden="1">NonLinLarge!$H$75:$H$138</definedName>
    <definedName name="solver_lhs198" localSheetId="62" hidden="1">NonLinLarge!$H$139</definedName>
    <definedName name="solver_lhs199" localSheetId="62" hidden="1">NonLinLarge!$H$7:$H$8</definedName>
    <definedName name="solver_lhs2" localSheetId="36" hidden="1">BinIntLB!$D$5:$F$5</definedName>
    <definedName name="solver_lhs2" localSheetId="21" hidden="1">BinIntOverlap!$I$10</definedName>
    <definedName name="solver_lhs2" localSheetId="35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8" hidden="1">ComplexLayout!$I$10</definedName>
    <definedName name="solver_lhs2" localSheetId="22" hidden="1">ConFormula!$I$11</definedName>
    <definedName name="solver_lhs2" localSheetId="23" hidden="1">ConFormulaInf!$K$11</definedName>
    <definedName name="solver_lhs2" localSheetId="44" hidden="1">ConstantLB!$D$5</definedName>
    <definedName name="solver_lhs2" localSheetId="41" hidden="1">ConstFormulaRangeLB!$D$4:$F$4</definedName>
    <definedName name="solver_lhs2" localSheetId="26" hidden="1">DeletedConRef!$H$11</definedName>
    <definedName name="solver_lhs2" localSheetId="27" hidden="1">DeletedObjRef!$H$11</definedName>
    <definedName name="solver_lhs2" localSheetId="54" hidden="1">DiffSheetObj!$G$7</definedName>
    <definedName name="solver_lhs2" localSheetId="33" hidden="1">DirectLBs!$D$4:$F$4</definedName>
    <definedName name="solver_lhs2" localSheetId="11" hidden="1">ErrorLHS!$H$10</definedName>
    <definedName name="solver_lhs2" localSheetId="13" hidden="1">ErrorObj!$H$10</definedName>
    <definedName name="solver_lhs2" localSheetId="10" hidden="1">ErrorRHS!$H$10</definedName>
    <definedName name="solver_lhs2" localSheetId="25" hidden="1">'EscapeSheetName(1)+2-1'!$H$10</definedName>
    <definedName name="solver_lhs2" localSheetId="29" hidden="1">FeasConstConstraint!$J$10</definedName>
    <definedName name="solver_lhs2" localSheetId="45" hidden="1">FormulaLB!$D$5</definedName>
    <definedName name="solver_lhs2" localSheetId="47" hidden="1">FractionalCoeffs!$G$7</definedName>
    <definedName name="solver_lhs2" localSheetId="32" hidden="1">IndirectLBs!$H$12</definedName>
    <definedName name="solver_lhs2" localSheetId="28" hidden="1">InfConstConstraint!$J$10</definedName>
    <definedName name="solver_lhs2" localSheetId="49" hidden="1">InfModel!$H$11</definedName>
    <definedName name="solver_lhs2" localSheetId="5" hidden="1">IP_SUMIF!$E$5:$E$7</definedName>
    <definedName name="solver_lhs2" localSheetId="50" hidden="1">IterativeCalc!$H$11</definedName>
    <definedName name="solver_lhs2" localSheetId="38" hidden="1">LargeRangeLB!$D$6:$H$6</definedName>
    <definedName name="solver_lhs2" localSheetId="19" hidden="1">MergedLHS_OK!$H$11</definedName>
    <definedName name="solver_lhs2" localSheetId="20" hidden="1">MergedLHSMultiple_OK!$H$11</definedName>
    <definedName name="solver_lhs2" localSheetId="18" hidden="1">MergedRHS_OK!$H$11</definedName>
    <definedName name="solver_lhs2" localSheetId="17" hidden="1">MergedVarsBad!$H$11</definedName>
    <definedName name="solver_lhs2" localSheetId="16" hidden="1">MergedVarsOK!$H$11</definedName>
    <definedName name="solver_lhs2" localSheetId="15" hidden="1">MergedVarsSubset!$H$11</definedName>
    <definedName name="solver_lhs2" localSheetId="55" hidden="1">NamedRanges!$I$9</definedName>
    <definedName name="solver_lhs2" localSheetId="68" hidden="1">NonLin!$J$41:$J$42</definedName>
    <definedName name="solver_lhs2" localSheetId="70" hidden="1">NonLin3!$S$10:$S$11</definedName>
    <definedName name="solver_lhs2" localSheetId="73" hidden="1">NonLin6!$D$7</definedName>
    <definedName name="solver_lhs2" localSheetId="67" hidden="1">NonLinBinary!$C$4:$D$4</definedName>
    <definedName name="solver_lhs2" localSheetId="62" hidden="1">NonLinLarge!$H$9:$H$72</definedName>
    <definedName name="solver_lhs2" localSheetId="65" hidden="1">NonLinMinMax!$D$4:$F$4</definedName>
    <definedName name="solver_lhs2" localSheetId="63" hidden="1">NonLinObj!$H$9</definedName>
    <definedName name="solver_lhs2" localSheetId="64" hidden="1">NonLinPruning!$F$10:$F$11</definedName>
    <definedName name="solver_lhs2" localSheetId="61" hidden="1">NonLinSimple!$H$9</definedName>
    <definedName name="solver_lhs2" localSheetId="51" hidden="1">NoObj!$H$11</definedName>
    <definedName name="solver_lhs2" localSheetId="6" hidden="1">OverlappingVars!$H$10</definedName>
    <definedName name="solver_lhs2" localSheetId="39" hidden="1">OverlapRangeLB!$E$6:$H$6</definedName>
    <definedName name="solver_lhs2" localSheetId="40" hidden="1">OverlapRangeLBwithFormula!$D$6:$H$6</definedName>
    <definedName name="solver_lhs2" localSheetId="31" hidden="1">ProtectedSheet!$H$10</definedName>
    <definedName name="solver_lhs2" localSheetId="56" hidden="1">QuickSolve!$H$9:$H$10</definedName>
    <definedName name="solver_lhs2" localSheetId="37" hidden="1">Relaxation!$D$5:$F$5</definedName>
    <definedName name="solver_lhs2" localSheetId="52" hidden="1">SeekObj!$G$7</definedName>
    <definedName name="solver_lhs2" localSheetId="53" hidden="1">SeekObjInf!$G$7</definedName>
    <definedName name="solver_lhs2" localSheetId="59" hidden="1">Sensitivity!$G$9</definedName>
    <definedName name="solver_lhs2" localSheetId="60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4" hidden="1">SingleRangeLB!$D$4:$F$4</definedName>
    <definedName name="solver_lhs2" localSheetId="57" hidden="1">SolverParameters!$H$19</definedName>
    <definedName name="solver_lhs2" localSheetId="14" hidden="1">TextObj!$H$10</definedName>
    <definedName name="solver_lhs2" localSheetId="9" hidden="1">TextRHS!$H$10</definedName>
    <definedName name="solver_lhs2" localSheetId="30" hidden="1">Unbounded!$H$10</definedName>
    <definedName name="solver_lhs2" localSheetId="46" hidden="1">VarConstraintLB!$D$7</definedName>
    <definedName name="solver_lhs2" localSheetId="42" hidden="1">VariableFormulaRangeLB!$D$5:$F$5</definedName>
    <definedName name="solver_lhs2" localSheetId="58" hidden="1">Warmstart!$D$1:$UE$1</definedName>
    <definedName name="solver_lhs20" localSheetId="62" hidden="1">NonLinLarge!$H$9:$H$72</definedName>
    <definedName name="solver_lhs200" localSheetId="62" hidden="1">NonLinLarge!$H$9:$H$72</definedName>
    <definedName name="solver_lhs201" localSheetId="62" hidden="1">NonLinLarge!$H$73</definedName>
    <definedName name="solver_lhs202" localSheetId="62" hidden="1">NonLinLarge!$H$74</definedName>
    <definedName name="solver_lhs203" localSheetId="62" hidden="1">NonLinLarge!$H$75:$H$138</definedName>
    <definedName name="solver_lhs204" localSheetId="62" hidden="1">NonLinLarge!$H$139</definedName>
    <definedName name="solver_lhs205" localSheetId="62" hidden="1">NonLinLarge!$H$7:$H$8</definedName>
    <definedName name="solver_lhs206" localSheetId="62" hidden="1">NonLinLarge!$H$9:$H$72</definedName>
    <definedName name="solver_lhs207" localSheetId="62" hidden="1">NonLinLarge!$H$73</definedName>
    <definedName name="solver_lhs208" localSheetId="62" hidden="1">NonLinLarge!$H$74</definedName>
    <definedName name="solver_lhs209" localSheetId="62" hidden="1">NonLinLarge!$H$75:$H$138</definedName>
    <definedName name="solver_lhs21" localSheetId="62" hidden="1">NonLinLarge!$H$73</definedName>
    <definedName name="solver_lhs210" localSheetId="62" hidden="1">NonLinLarge!$H$139</definedName>
    <definedName name="solver_lhs211" localSheetId="62" hidden="1">NonLinLarge!$H$7:$H$8</definedName>
    <definedName name="solver_lhs212" localSheetId="62" hidden="1">NonLinLarge!$H$9:$H$72</definedName>
    <definedName name="solver_lhs213" localSheetId="62" hidden="1">NonLinLarge!$H$73</definedName>
    <definedName name="solver_lhs214" localSheetId="62" hidden="1">NonLinLarge!$H$74</definedName>
    <definedName name="solver_lhs215" localSheetId="62" hidden="1">NonLinLarge!$H$75:$H$138</definedName>
    <definedName name="solver_lhs216" localSheetId="62" hidden="1">NonLinLarge!$H$139</definedName>
    <definedName name="solver_lhs217" localSheetId="62" hidden="1">NonLinLarge!$H$7:$H$8</definedName>
    <definedName name="solver_lhs218" localSheetId="62" hidden="1">NonLinLarge!$H$9:$H$72</definedName>
    <definedName name="solver_lhs219" localSheetId="62" hidden="1">NonLinLarge!$H$73</definedName>
    <definedName name="solver_lhs22" localSheetId="62" hidden="1">NonLinLarge!$H$74</definedName>
    <definedName name="solver_lhs220" localSheetId="62" hidden="1">NonLinLarge!$H$74</definedName>
    <definedName name="solver_lhs221" localSheetId="62" hidden="1">NonLinLarge!$H$75:$H$138</definedName>
    <definedName name="solver_lhs222" localSheetId="62" hidden="1">NonLinLarge!$H$139</definedName>
    <definedName name="solver_lhs223" localSheetId="62" hidden="1">NonLinLarge!$H$7:$H$8</definedName>
    <definedName name="solver_lhs224" localSheetId="62" hidden="1">NonLinLarge!$H$9:$H$72</definedName>
    <definedName name="solver_lhs225" localSheetId="62" hidden="1">NonLinLarge!$H$73</definedName>
    <definedName name="solver_lhs226" localSheetId="62" hidden="1">NonLinLarge!$H$74</definedName>
    <definedName name="solver_lhs227" localSheetId="62" hidden="1">NonLinLarge!$H$75:$H$138</definedName>
    <definedName name="solver_lhs228" localSheetId="62" hidden="1">NonLinLarge!$H$139</definedName>
    <definedName name="solver_lhs229" localSheetId="62" hidden="1">NonLinLarge!$H$7:$H$8</definedName>
    <definedName name="solver_lhs23" localSheetId="62" hidden="1">NonLinLarge!$H$75:$H$138</definedName>
    <definedName name="solver_lhs230" localSheetId="62" hidden="1">NonLinLarge!$H$9:$H$72</definedName>
    <definedName name="solver_lhs231" localSheetId="62" hidden="1">NonLinLarge!$H$73</definedName>
    <definedName name="solver_lhs232" localSheetId="62" hidden="1">NonLinLarge!$H$74</definedName>
    <definedName name="solver_lhs233" localSheetId="62" hidden="1">NonLinLarge!$H$75:$H$138</definedName>
    <definedName name="solver_lhs234" localSheetId="62" hidden="1">NonLinLarge!$H$139</definedName>
    <definedName name="solver_lhs235" localSheetId="62" hidden="1">NonLinLarge!$H$7:$H$8</definedName>
    <definedName name="solver_lhs236" localSheetId="62" hidden="1">NonLinLarge!$H$9:$H$72</definedName>
    <definedName name="solver_lhs237" localSheetId="62" hidden="1">NonLinLarge!$H$73</definedName>
    <definedName name="solver_lhs238" localSheetId="62" hidden="1">NonLinLarge!$H$74</definedName>
    <definedName name="solver_lhs239" localSheetId="62" hidden="1">NonLinLarge!$H$75:$H$138</definedName>
    <definedName name="solver_lhs24" localSheetId="62" hidden="1">NonLinLarge!$H$139</definedName>
    <definedName name="solver_lhs240" localSheetId="62" hidden="1">NonLinLarge!$H$139</definedName>
    <definedName name="solver_lhs241" localSheetId="62" hidden="1">NonLinLarge!$H$7:$H$8</definedName>
    <definedName name="solver_lhs242" localSheetId="62" hidden="1">NonLinLarge!$H$9:$H$72</definedName>
    <definedName name="solver_lhs243" localSheetId="62" hidden="1">NonLinLarge!$H$73</definedName>
    <definedName name="solver_lhs244" localSheetId="62" hidden="1">NonLinLarge!$H$74</definedName>
    <definedName name="solver_lhs245" localSheetId="62" hidden="1">NonLinLarge!$H$75:$H$138</definedName>
    <definedName name="solver_lhs246" localSheetId="62" hidden="1">NonLinLarge!$H$139</definedName>
    <definedName name="solver_lhs247" localSheetId="62" hidden="1">NonLinLarge!$H$7:$H$8</definedName>
    <definedName name="solver_lhs248" localSheetId="62" hidden="1">NonLinLarge!$H$9:$H$72</definedName>
    <definedName name="solver_lhs249" localSheetId="62" hidden="1">NonLinLarge!$H$73</definedName>
    <definedName name="solver_lhs25" localSheetId="62" hidden="1">NonLinLarge!$H$7:$H$8</definedName>
    <definedName name="solver_lhs250" localSheetId="62" hidden="1">NonLinLarge!$H$74</definedName>
    <definedName name="solver_lhs251" localSheetId="62" hidden="1">NonLinLarge!$H$75:$H$138</definedName>
    <definedName name="solver_lhs252" localSheetId="62" hidden="1">NonLinLarge!$H$139</definedName>
    <definedName name="solver_lhs253" localSheetId="62" hidden="1">NonLinLarge!$H$7:$H$8</definedName>
    <definedName name="solver_lhs254" localSheetId="62" hidden="1">NonLinLarge!$H$9:$H$72</definedName>
    <definedName name="solver_lhs255" localSheetId="62" hidden="1">NonLinLarge!$H$73</definedName>
    <definedName name="solver_lhs256" localSheetId="62" hidden="1">NonLinLarge!$H$74</definedName>
    <definedName name="solver_lhs257" localSheetId="62" hidden="1">NonLinLarge!$H$75:$H$138</definedName>
    <definedName name="solver_lhs258" localSheetId="62" hidden="1">NonLinLarge!$H$139</definedName>
    <definedName name="solver_lhs259" localSheetId="62" hidden="1">NonLinLarge!$H$7:$H$8</definedName>
    <definedName name="solver_lhs26" localSheetId="62" hidden="1">NonLinLarge!$H$9:$H$72</definedName>
    <definedName name="solver_lhs260" localSheetId="62" hidden="1">NonLinLarge!$H$9:$H$72</definedName>
    <definedName name="solver_lhs261" localSheetId="62" hidden="1">NonLinLarge!$H$73</definedName>
    <definedName name="solver_lhs262" localSheetId="62" hidden="1">NonLinLarge!$H$74</definedName>
    <definedName name="solver_lhs263" localSheetId="62" hidden="1">NonLinLarge!$H$75:$H$138</definedName>
    <definedName name="solver_lhs264" localSheetId="62" hidden="1">NonLinLarge!$H$139</definedName>
    <definedName name="solver_lhs265" localSheetId="62" hidden="1">NonLinLarge!$H$7:$H$8</definedName>
    <definedName name="solver_lhs266" localSheetId="62" hidden="1">NonLinLarge!$H$9:$H$72</definedName>
    <definedName name="solver_lhs267" localSheetId="62" hidden="1">NonLinLarge!$H$73</definedName>
    <definedName name="solver_lhs268" localSheetId="62" hidden="1">NonLinLarge!$H$74</definedName>
    <definedName name="solver_lhs269" localSheetId="62" hidden="1">NonLinLarge!$H$75:$H$138</definedName>
    <definedName name="solver_lhs27" localSheetId="62" hidden="1">NonLinLarge!$H$73</definedName>
    <definedName name="solver_lhs270" localSheetId="62" hidden="1">NonLinLarge!$H$139</definedName>
    <definedName name="solver_lhs271" localSheetId="62" hidden="1">NonLinLarge!$H$7:$H$8</definedName>
    <definedName name="solver_lhs272" localSheetId="62" hidden="1">NonLinLarge!$H$9:$H$72</definedName>
    <definedName name="solver_lhs273" localSheetId="62" hidden="1">NonLinLarge!$H$73</definedName>
    <definedName name="solver_lhs274" localSheetId="62" hidden="1">NonLinLarge!$H$74</definedName>
    <definedName name="solver_lhs275" localSheetId="62" hidden="1">NonLinLarge!$H$75:$H$138</definedName>
    <definedName name="solver_lhs276" localSheetId="62" hidden="1">NonLinLarge!$H$139</definedName>
    <definedName name="solver_lhs277" localSheetId="62" hidden="1">NonLinLarge!$H$7:$H$8</definedName>
    <definedName name="solver_lhs278" localSheetId="62" hidden="1">NonLinLarge!$H$9:$H$72</definedName>
    <definedName name="solver_lhs279" localSheetId="62" hidden="1">NonLinLarge!$H$73</definedName>
    <definedName name="solver_lhs28" localSheetId="62" hidden="1">NonLinLarge!$H$74</definedName>
    <definedName name="solver_lhs280" localSheetId="62" hidden="1">NonLinLarge!$H$74</definedName>
    <definedName name="solver_lhs281" localSheetId="62" hidden="1">NonLinLarge!$H$75:$H$138</definedName>
    <definedName name="solver_lhs282" localSheetId="62" hidden="1">NonLinLarge!$H$139</definedName>
    <definedName name="solver_lhs283" localSheetId="62" hidden="1">NonLinLarge!$H$7:$H$8</definedName>
    <definedName name="solver_lhs284" localSheetId="62" hidden="1">NonLinLarge!$H$9:$H$72</definedName>
    <definedName name="solver_lhs285" localSheetId="62" hidden="1">NonLinLarge!$H$73</definedName>
    <definedName name="solver_lhs286" localSheetId="62" hidden="1">NonLinLarge!$H$74</definedName>
    <definedName name="solver_lhs287" localSheetId="62" hidden="1">NonLinLarge!$H$75:$H$138</definedName>
    <definedName name="solver_lhs288" localSheetId="62" hidden="1">NonLinLarge!$H$139</definedName>
    <definedName name="solver_lhs289" localSheetId="62" hidden="1">NonLinLarge!$H$7:$H$8</definedName>
    <definedName name="solver_lhs29" localSheetId="62" hidden="1">NonLinLarge!$H$75:$H$138</definedName>
    <definedName name="solver_lhs290" localSheetId="62" hidden="1">NonLinLarge!$H$9:$H$72</definedName>
    <definedName name="solver_lhs291" localSheetId="62" hidden="1">NonLinLarge!$H$73</definedName>
    <definedName name="solver_lhs292" localSheetId="62" hidden="1">NonLinLarge!$H$74</definedName>
    <definedName name="solver_lhs293" localSheetId="62" hidden="1">NonLinLarge!$H$75:$H$138</definedName>
    <definedName name="solver_lhs294" localSheetId="62" hidden="1">NonLinLarge!$H$139</definedName>
    <definedName name="solver_lhs295" localSheetId="62" hidden="1">NonLinLarge!$H$7:$H$8</definedName>
    <definedName name="solver_lhs296" localSheetId="62" hidden="1">NonLinLarge!$H$9:$H$72</definedName>
    <definedName name="solver_lhs297" localSheetId="62" hidden="1">NonLinLarge!$H$73</definedName>
    <definedName name="solver_lhs298" localSheetId="62" hidden="1">NonLinLarge!$H$74</definedName>
    <definedName name="solver_lhs299" localSheetId="62" hidden="1">NonLinLarge!$H$75:$H$138</definedName>
    <definedName name="solver_lhs3" localSheetId="36" hidden="1">BinIntLB!$F$5</definedName>
    <definedName name="solver_lhs3" localSheetId="21" hidden="1">BinIntOverlap!$I$11</definedName>
    <definedName name="solver_lhs3" localSheetId="35" hidden="1">BinLB!$F$5</definedName>
    <definedName name="solver_lhs3" localSheetId="8" hidden="1">BlankLHS!$H$11</definedName>
    <definedName name="solver_lhs3" localSheetId="7" hidden="1">BlankRHS!$H$11</definedName>
    <definedName name="solver_lhs3" localSheetId="48" hidden="1">ComplexLayout!$I$11</definedName>
    <definedName name="solver_lhs3" localSheetId="22" hidden="1">ConFormula!$I$12</definedName>
    <definedName name="solver_lhs3" localSheetId="23" hidden="1">ConFormulaInf!$I$12</definedName>
    <definedName name="solver_lhs3" localSheetId="26" hidden="1">DeletedConRef!$H$12</definedName>
    <definedName name="solver_lhs3" localSheetId="27" hidden="1">DeletedObjRef!$H$12</definedName>
    <definedName name="solver_lhs3" localSheetId="54" hidden="1">DiffSheetObj!$G$8:$G$9</definedName>
    <definedName name="solver_lhs3" localSheetId="11" hidden="1">ErrorLHS!$H$11</definedName>
    <definedName name="solver_lhs3" localSheetId="13" hidden="1">ErrorObj!$H$11</definedName>
    <definedName name="solver_lhs3" localSheetId="10" hidden="1">ErrorRHS!$H$11</definedName>
    <definedName name="solver_lhs3" localSheetId="25" hidden="1">'EscapeSheetName(1)+2-1'!$H$11</definedName>
    <definedName name="solver_lhs3" localSheetId="29" hidden="1">FeasConstConstraint!$J$11</definedName>
    <definedName name="solver_lhs3" localSheetId="47" hidden="1">FractionalCoeffs!$G$8:$G$9</definedName>
    <definedName name="solver_lhs3" localSheetId="32" hidden="1">IndirectLBs!$H$13</definedName>
    <definedName name="solver_lhs3" localSheetId="28" hidden="1">InfConstConstraint!$J$11</definedName>
    <definedName name="solver_lhs3" localSheetId="49" hidden="1">InfModel!$H$12</definedName>
    <definedName name="solver_lhs3" localSheetId="50" hidden="1">IterativeCalc!$H$12</definedName>
    <definedName name="solver_lhs3" localSheetId="19" hidden="1">MergedLHS_OK!$H$12</definedName>
    <definedName name="solver_lhs3" localSheetId="20" hidden="1">MergedLHSMultiple_OK!$H$12</definedName>
    <definedName name="solver_lhs3" localSheetId="18" hidden="1">MergedRHS_OK!$H$12</definedName>
    <definedName name="solver_lhs3" localSheetId="17" hidden="1">MergedVarsBad!$H$12</definedName>
    <definedName name="solver_lhs3" localSheetId="16" hidden="1">MergedVarsOK!$H$12</definedName>
    <definedName name="solver_lhs3" localSheetId="15" hidden="1">MergedVarsSubset!$H$12</definedName>
    <definedName name="solver_lhs3" localSheetId="55" hidden="1">NamedRanges!$I$10:$I$11</definedName>
    <definedName name="solver_lhs3" localSheetId="68" hidden="1">NonLin!$J$43</definedName>
    <definedName name="solver_lhs3" localSheetId="73" hidden="1">NonLin6!$D$8</definedName>
    <definedName name="solver_lhs3" localSheetId="62" hidden="1">NonLinLarge!$H$73</definedName>
    <definedName name="solver_lhs3" localSheetId="63" hidden="1">NonLinObj!$H$10</definedName>
    <definedName name="solver_lhs3" localSheetId="64" hidden="1">NonLinPruning!$F$12:$F$18</definedName>
    <definedName name="solver_lhs3" localSheetId="61" hidden="1">NonLinSimple!$H$10</definedName>
    <definedName name="solver_lhs3" localSheetId="51" hidden="1">NoObj!$H$12</definedName>
    <definedName name="solver_lhs3" localSheetId="6" hidden="1">OverlappingVars!$H$11</definedName>
    <definedName name="solver_lhs3" localSheetId="31" hidden="1">ProtectedSheet!$H$11</definedName>
    <definedName name="solver_lhs3" localSheetId="37" hidden="1">Relaxation!$F$5</definedName>
    <definedName name="solver_lhs3" localSheetId="52" hidden="1">SeekObj!$G$8:$G$9</definedName>
    <definedName name="solver_lhs3" localSheetId="53" hidden="1">SeekObjInf!$G$8:$G$9</definedName>
    <definedName name="solver_lhs3" localSheetId="59" hidden="1">Sensitivity!$G$10:$G$11</definedName>
    <definedName name="solver_lhs3" localSheetId="60" hidden="1">SensitivityNames!$J$24</definedName>
    <definedName name="solver_lhs3" localSheetId="3" hidden="1">SimpleLP!$H$11</definedName>
    <definedName name="solver_lhs3" localSheetId="57" hidden="1">SolverParameters!$H$20</definedName>
    <definedName name="solver_lhs3" localSheetId="14" hidden="1">TextObj!$H$11</definedName>
    <definedName name="solver_lhs3" localSheetId="9" hidden="1">TextRHS!$H$11</definedName>
    <definedName name="solver_lhs3" localSheetId="30" hidden="1">Unbounded!$H$11</definedName>
    <definedName name="solver_lhs30" localSheetId="62" hidden="1">NonLinLarge!$H$139</definedName>
    <definedName name="solver_lhs300" localSheetId="62" hidden="1">NonLinLarge!$H$139</definedName>
    <definedName name="solver_lhs301" localSheetId="62" hidden="1">NonLinLarge!$H$7:$H$8</definedName>
    <definedName name="solver_lhs302" localSheetId="62" hidden="1">NonLinLarge!$H$9:$H$72</definedName>
    <definedName name="solver_lhs303" localSheetId="62" hidden="1">NonLinLarge!$H$73</definedName>
    <definedName name="solver_lhs304" localSheetId="62" hidden="1">NonLinLarge!$H$74</definedName>
    <definedName name="solver_lhs305" localSheetId="62" hidden="1">NonLinLarge!$H$75:$H$138</definedName>
    <definedName name="solver_lhs306" localSheetId="62" hidden="1">NonLinLarge!$H$139</definedName>
    <definedName name="solver_lhs307" localSheetId="62" hidden="1">NonLinLarge!$H$7:$H$8</definedName>
    <definedName name="solver_lhs308" localSheetId="62" hidden="1">NonLinLarge!$H$9:$H$72</definedName>
    <definedName name="solver_lhs309" localSheetId="62" hidden="1">NonLinLarge!$H$73</definedName>
    <definedName name="solver_lhs31" localSheetId="62" hidden="1">NonLinLarge!$H$7:$H$8</definedName>
    <definedName name="solver_lhs310" localSheetId="62" hidden="1">NonLinLarge!$H$74</definedName>
    <definedName name="solver_lhs311" localSheetId="62" hidden="1">NonLinLarge!$H$75:$H$138</definedName>
    <definedName name="solver_lhs312" localSheetId="62" hidden="1">NonLinLarge!$H$139</definedName>
    <definedName name="solver_lhs313" localSheetId="62" hidden="1">NonLinLarge!$H$7:$H$8</definedName>
    <definedName name="solver_lhs314" localSheetId="62" hidden="1">NonLinLarge!$H$9:$H$72</definedName>
    <definedName name="solver_lhs315" localSheetId="62" hidden="1">NonLinLarge!$H$73</definedName>
    <definedName name="solver_lhs316" localSheetId="62" hidden="1">NonLinLarge!$H$74</definedName>
    <definedName name="solver_lhs317" localSheetId="62" hidden="1">NonLinLarge!$H$75:$H$138</definedName>
    <definedName name="solver_lhs318" localSheetId="62" hidden="1">NonLinLarge!$H$139</definedName>
    <definedName name="solver_lhs319" localSheetId="62" hidden="1">NonLinLarge!$H$7:$H$8</definedName>
    <definedName name="solver_lhs32" localSheetId="62" hidden="1">NonLinLarge!$H$9:$H$72</definedName>
    <definedName name="solver_lhs320" localSheetId="62" hidden="1">NonLinLarge!$H$9:$H$72</definedName>
    <definedName name="solver_lhs321" localSheetId="62" hidden="1">NonLinLarge!$H$73</definedName>
    <definedName name="solver_lhs322" localSheetId="62" hidden="1">NonLinLarge!$H$74</definedName>
    <definedName name="solver_lhs323" localSheetId="62" hidden="1">NonLinLarge!$H$75:$H$138</definedName>
    <definedName name="solver_lhs324" localSheetId="62" hidden="1">NonLinLarge!$H$139</definedName>
    <definedName name="solver_lhs325" localSheetId="62" hidden="1">NonLinLarge!$H$7:$H$8</definedName>
    <definedName name="solver_lhs326" localSheetId="62" hidden="1">NonLinLarge!$H$9:$H$72</definedName>
    <definedName name="solver_lhs327" localSheetId="62" hidden="1">NonLinLarge!$H$73</definedName>
    <definedName name="solver_lhs328" localSheetId="62" hidden="1">NonLinLarge!$H$74</definedName>
    <definedName name="solver_lhs329" localSheetId="62" hidden="1">NonLinLarge!$H$75:$H$138</definedName>
    <definedName name="solver_lhs33" localSheetId="62" hidden="1">NonLinLarge!$H$73</definedName>
    <definedName name="solver_lhs330" localSheetId="62" hidden="1">NonLinLarge!$H$139</definedName>
    <definedName name="solver_lhs331" localSheetId="62" hidden="1">NonLinLarge!$H$7:$H$8</definedName>
    <definedName name="solver_lhs332" localSheetId="62" hidden="1">NonLinLarge!$H$9:$H$72</definedName>
    <definedName name="solver_lhs333" localSheetId="62" hidden="1">NonLinLarge!$H$73</definedName>
    <definedName name="solver_lhs334" localSheetId="62" hidden="1">NonLinLarge!$H$74</definedName>
    <definedName name="solver_lhs335" localSheetId="62" hidden="1">NonLinLarge!$H$75:$H$138</definedName>
    <definedName name="solver_lhs336" localSheetId="62" hidden="1">NonLinLarge!$H$139</definedName>
    <definedName name="solver_lhs337" localSheetId="62" hidden="1">NonLinLarge!$H$7:$H$8</definedName>
    <definedName name="solver_lhs338" localSheetId="62" hidden="1">NonLinLarge!$H$9:$H$72</definedName>
    <definedName name="solver_lhs339" localSheetId="62" hidden="1">NonLinLarge!$H$73</definedName>
    <definedName name="solver_lhs34" localSheetId="62" hidden="1">NonLinLarge!$H$74</definedName>
    <definedName name="solver_lhs340" localSheetId="62" hidden="1">NonLinLarge!$H$74</definedName>
    <definedName name="solver_lhs341" localSheetId="62" hidden="1">NonLinLarge!$H$75:$H$138</definedName>
    <definedName name="solver_lhs342" localSheetId="62" hidden="1">NonLinLarge!$H$139</definedName>
    <definedName name="solver_lhs343" localSheetId="62" hidden="1">NonLinLarge!$H$7:$H$8</definedName>
    <definedName name="solver_lhs344" localSheetId="62" hidden="1">NonLinLarge!$H$9:$H$72</definedName>
    <definedName name="solver_lhs345" localSheetId="62" hidden="1">NonLinLarge!$H$73</definedName>
    <definedName name="solver_lhs346" localSheetId="62" hidden="1">NonLinLarge!$H$74</definedName>
    <definedName name="solver_lhs347" localSheetId="62" hidden="1">NonLinLarge!$H$75:$H$138</definedName>
    <definedName name="solver_lhs348" localSheetId="62" hidden="1">NonLinLarge!$H$139</definedName>
    <definedName name="solver_lhs349" localSheetId="62" hidden="1">NonLinLarge!$H$7:$H$8</definedName>
    <definedName name="solver_lhs35" localSheetId="62" hidden="1">NonLinLarge!$H$75:$H$138</definedName>
    <definedName name="solver_lhs350" localSheetId="62" hidden="1">NonLinLarge!$H$9:$H$72</definedName>
    <definedName name="solver_lhs351" localSheetId="62" hidden="1">NonLinLarge!$H$73</definedName>
    <definedName name="solver_lhs352" localSheetId="62" hidden="1">NonLinLarge!$H$74</definedName>
    <definedName name="solver_lhs353" localSheetId="62" hidden="1">NonLinLarge!$H$75:$H$138</definedName>
    <definedName name="solver_lhs354" localSheetId="62" hidden="1">NonLinLarge!$H$139</definedName>
    <definedName name="solver_lhs355" localSheetId="62" hidden="1">NonLinLarge!$H$7:$H$8</definedName>
    <definedName name="solver_lhs356" localSheetId="62" hidden="1">NonLinLarge!$H$9:$H$72</definedName>
    <definedName name="solver_lhs357" localSheetId="62" hidden="1">NonLinLarge!$H$73</definedName>
    <definedName name="solver_lhs358" localSheetId="62" hidden="1">NonLinLarge!$H$74</definedName>
    <definedName name="solver_lhs359" localSheetId="62" hidden="1">NonLinLarge!$H$75:$H$138</definedName>
    <definedName name="solver_lhs36" localSheetId="62" hidden="1">NonLinLarge!$H$139</definedName>
    <definedName name="solver_lhs360" localSheetId="62" hidden="1">NonLinLarge!$H$139</definedName>
    <definedName name="solver_lhs361" localSheetId="62" hidden="1">NonLinLarge!$H$7:$H$8</definedName>
    <definedName name="solver_lhs362" localSheetId="62" hidden="1">NonLinLarge!$H$9:$H$72</definedName>
    <definedName name="solver_lhs363" localSheetId="62" hidden="1">NonLinLarge!$H$73</definedName>
    <definedName name="solver_lhs364" localSheetId="62" hidden="1">NonLinLarge!$H$74</definedName>
    <definedName name="solver_lhs365" localSheetId="62" hidden="1">NonLinLarge!$H$75:$H$138</definedName>
    <definedName name="solver_lhs366" localSheetId="62" hidden="1">NonLinLarge!$H$139</definedName>
    <definedName name="solver_lhs367" localSheetId="62" hidden="1">NonLinLarge!$H$7:$H$8</definedName>
    <definedName name="solver_lhs368" localSheetId="62" hidden="1">NonLinLarge!$H$9:$H$72</definedName>
    <definedName name="solver_lhs369" localSheetId="62" hidden="1">NonLinLarge!$H$73</definedName>
    <definedName name="solver_lhs37" localSheetId="62" hidden="1">NonLinLarge!$H$7:$H$8</definedName>
    <definedName name="solver_lhs370" localSheetId="62" hidden="1">NonLinLarge!$H$74</definedName>
    <definedName name="solver_lhs371" localSheetId="62" hidden="1">NonLinLarge!$H$75:$H$138</definedName>
    <definedName name="solver_lhs372" localSheetId="62" hidden="1">NonLinLarge!$H$139</definedName>
    <definedName name="solver_lhs373" localSheetId="62" hidden="1">NonLinLarge!$H$7:$H$8</definedName>
    <definedName name="solver_lhs374" localSheetId="62" hidden="1">NonLinLarge!$H$9:$H$72</definedName>
    <definedName name="solver_lhs375" localSheetId="62" hidden="1">NonLinLarge!$H$73</definedName>
    <definedName name="solver_lhs376" localSheetId="62" hidden="1">NonLinLarge!$H$74</definedName>
    <definedName name="solver_lhs377" localSheetId="62" hidden="1">NonLinLarge!$H$75:$H$138</definedName>
    <definedName name="solver_lhs378" localSheetId="62" hidden="1">NonLinLarge!$H$139</definedName>
    <definedName name="solver_lhs379" localSheetId="62" hidden="1">NonLinLarge!$H$7:$H$8</definedName>
    <definedName name="solver_lhs38" localSheetId="62" hidden="1">NonLinLarge!$H$9:$H$72</definedName>
    <definedName name="solver_lhs380" localSheetId="62" hidden="1">NonLinLarge!$H$9:$H$72</definedName>
    <definedName name="solver_lhs381" localSheetId="62" hidden="1">NonLinLarge!$H$73</definedName>
    <definedName name="solver_lhs382" localSheetId="62" hidden="1">NonLinLarge!$H$74</definedName>
    <definedName name="solver_lhs383" localSheetId="62" hidden="1">NonLinLarge!$H$75:$H$138</definedName>
    <definedName name="solver_lhs384" localSheetId="62" hidden="1">NonLinLarge!$H$139</definedName>
    <definedName name="solver_lhs385" localSheetId="62" hidden="1">NonLinLarge!$H$7:$H$8</definedName>
    <definedName name="solver_lhs386" localSheetId="62" hidden="1">NonLinLarge!$H$9:$H$72</definedName>
    <definedName name="solver_lhs387" localSheetId="62" hidden="1">NonLinLarge!$H$73</definedName>
    <definedName name="solver_lhs388" localSheetId="62" hidden="1">NonLinLarge!$H$74</definedName>
    <definedName name="solver_lhs389" localSheetId="62" hidden="1">NonLinLarge!$H$75:$H$138</definedName>
    <definedName name="solver_lhs39" localSheetId="62" hidden="1">NonLinLarge!$H$73</definedName>
    <definedName name="solver_lhs390" localSheetId="62" hidden="1">NonLinLarge!$H$139</definedName>
    <definedName name="solver_lhs391" localSheetId="62" hidden="1">NonLinLarge!$H$7:$H$8</definedName>
    <definedName name="solver_lhs392" localSheetId="62" hidden="1">NonLinLarge!$H$9:$H$72</definedName>
    <definedName name="solver_lhs393" localSheetId="62" hidden="1">NonLinLarge!$H$73</definedName>
    <definedName name="solver_lhs394" localSheetId="62" hidden="1">NonLinLarge!$H$74</definedName>
    <definedName name="solver_lhs395" localSheetId="62" hidden="1">NonLinLarge!$H$75:$H$138</definedName>
    <definedName name="solver_lhs396" localSheetId="62" hidden="1">NonLinLarge!$H$139</definedName>
    <definedName name="solver_lhs397" localSheetId="62" hidden="1">NonLinLarge!$H$7:$H$8</definedName>
    <definedName name="solver_lhs398" localSheetId="62" hidden="1">NonLinLarge!$H$9:$H$72</definedName>
    <definedName name="solver_lhs399" localSheetId="62" hidden="1">NonLinLarge!$H$73</definedName>
    <definedName name="solver_lhs4" localSheetId="36" hidden="1">BinIntLB!$E$5:$F$5</definedName>
    <definedName name="solver_lhs4" localSheetId="21" hidden="1">BinIntOverlap!$E$4:$F$4</definedName>
    <definedName name="solver_lhs4" localSheetId="48" hidden="1">ComplexLayout!$E$4:$F$4</definedName>
    <definedName name="solver_lhs4" localSheetId="22" hidden="1">ConFormula!$E$5:$F$5</definedName>
    <definedName name="solver_lhs4" localSheetId="23" hidden="1">ConFormulaInf!$E$5:$F$5</definedName>
    <definedName name="solver_lhs4" localSheetId="26" hidden="1">DeletedConRef!$K$1</definedName>
    <definedName name="solver_lhs4" localSheetId="32" hidden="1">IndirectLBs!$D$5:$E$5</definedName>
    <definedName name="solver_lhs4" localSheetId="49" hidden="1">InfModel!$D$5</definedName>
    <definedName name="solver_lhs4" localSheetId="55" hidden="1">NamedRanges!$I$12</definedName>
    <definedName name="solver_lhs4" localSheetId="68" hidden="1">NonLin!$J$44</definedName>
    <definedName name="solver_lhs4" localSheetId="73" hidden="1">NonLin6!$D$8</definedName>
    <definedName name="solver_lhs4" localSheetId="62" hidden="1">NonLinLarge!$H$74</definedName>
    <definedName name="solver_lhs4" localSheetId="37" hidden="1">Relaxation!$E$5:$F$5</definedName>
    <definedName name="solver_lhs4" localSheetId="59" hidden="1">Sensitivity!$G$20</definedName>
    <definedName name="solver_lhs4" localSheetId="60" hidden="1">SensitivityNames!$D$14:$H$16</definedName>
    <definedName name="solver_lhs4" localSheetId="58" hidden="1">Warmstart!$D$1:$UE$1</definedName>
    <definedName name="solver_lhs40" localSheetId="62" hidden="1">NonLinLarge!$H$74</definedName>
    <definedName name="solver_lhs400" localSheetId="62" hidden="1">NonLinLarge!$H$74</definedName>
    <definedName name="solver_lhs401" localSheetId="62" hidden="1">NonLinLarge!$H$75:$H$138</definedName>
    <definedName name="solver_lhs402" localSheetId="62" hidden="1">NonLinLarge!$H$139</definedName>
    <definedName name="solver_lhs403" localSheetId="62" hidden="1">NonLinLarge!$H$7:$H$8</definedName>
    <definedName name="solver_lhs404" localSheetId="62" hidden="1">NonLinLarge!$H$9:$H$72</definedName>
    <definedName name="solver_lhs405" localSheetId="62" hidden="1">NonLinLarge!$H$73</definedName>
    <definedName name="solver_lhs406" localSheetId="62" hidden="1">NonLinLarge!$H$74</definedName>
    <definedName name="solver_lhs407" localSheetId="62" hidden="1">NonLinLarge!$H$75:$H$138</definedName>
    <definedName name="solver_lhs408" localSheetId="62" hidden="1">NonLinLarge!$H$139</definedName>
    <definedName name="solver_lhs409" localSheetId="62" hidden="1">NonLinLarge!$H$7:$H$8</definedName>
    <definedName name="solver_lhs41" localSheetId="62" hidden="1">NonLinLarge!$H$75:$H$138</definedName>
    <definedName name="solver_lhs410" localSheetId="62" hidden="1">NonLinLarge!$H$9:$H$72</definedName>
    <definedName name="solver_lhs411" localSheetId="62" hidden="1">NonLinLarge!$H$73</definedName>
    <definedName name="solver_lhs412" localSheetId="62" hidden="1">NonLinLarge!$H$74</definedName>
    <definedName name="solver_lhs413" localSheetId="62" hidden="1">NonLinLarge!$H$75:$H$138</definedName>
    <definedName name="solver_lhs414" localSheetId="62" hidden="1">NonLinLarge!$H$139</definedName>
    <definedName name="solver_lhs415" localSheetId="62" hidden="1">NonLinLarge!$H$7:$H$8</definedName>
    <definedName name="solver_lhs416" localSheetId="62" hidden="1">NonLinLarge!$H$9:$H$72</definedName>
    <definedName name="solver_lhs417" localSheetId="62" hidden="1">NonLinLarge!$H$73</definedName>
    <definedName name="solver_lhs418" localSheetId="62" hidden="1">NonLinLarge!$H$74</definedName>
    <definedName name="solver_lhs419" localSheetId="62" hidden="1">NonLinLarge!$H$75:$H$138</definedName>
    <definedName name="solver_lhs42" localSheetId="62" hidden="1">NonLinLarge!$H$139</definedName>
    <definedName name="solver_lhs420" localSheetId="62" hidden="1">NonLinLarge!$H$139</definedName>
    <definedName name="solver_lhs421" localSheetId="62" hidden="1">NonLinLarge!$H$7:$H$8</definedName>
    <definedName name="solver_lhs422" localSheetId="62" hidden="1">NonLinLarge!$H$9:$H$72</definedName>
    <definedName name="solver_lhs423" localSheetId="62" hidden="1">NonLinLarge!$H$73</definedName>
    <definedName name="solver_lhs424" localSheetId="62" hidden="1">NonLinLarge!$H$74</definedName>
    <definedName name="solver_lhs425" localSheetId="62" hidden="1">NonLinLarge!$H$75:$H$138</definedName>
    <definedName name="solver_lhs426" localSheetId="62" hidden="1">NonLinLarge!$H$139</definedName>
    <definedName name="solver_lhs427" localSheetId="62" hidden="1">NonLinLarge!$H$7:$H$8</definedName>
    <definedName name="solver_lhs428" localSheetId="62" hidden="1">NonLinLarge!$H$9:$H$72</definedName>
    <definedName name="solver_lhs429" localSheetId="62" hidden="1">NonLinLarge!$H$73</definedName>
    <definedName name="solver_lhs43" localSheetId="62" hidden="1">NonLinLarge!$H$7:$H$8</definedName>
    <definedName name="solver_lhs430" localSheetId="62" hidden="1">NonLinLarge!$H$74</definedName>
    <definedName name="solver_lhs431" localSheetId="62" hidden="1">NonLinLarge!$H$75:$H$138</definedName>
    <definedName name="solver_lhs432" localSheetId="62" hidden="1">NonLinLarge!$H$139</definedName>
    <definedName name="solver_lhs433" localSheetId="62" hidden="1">NonLinLarge!$H$7:$H$8</definedName>
    <definedName name="solver_lhs434" localSheetId="62" hidden="1">NonLinLarge!$H$9:$H$72</definedName>
    <definedName name="solver_lhs435" localSheetId="62" hidden="1">NonLinLarge!$H$73</definedName>
    <definedName name="solver_lhs436" localSheetId="62" hidden="1">NonLinLarge!$H$74</definedName>
    <definedName name="solver_lhs437" localSheetId="62" hidden="1">NonLinLarge!$H$75:$H$138</definedName>
    <definedName name="solver_lhs438" localSheetId="62" hidden="1">NonLinLarge!$H$139</definedName>
    <definedName name="solver_lhs439" localSheetId="62" hidden="1">NonLinLarge!$H$7:$H$8</definedName>
    <definedName name="solver_lhs44" localSheetId="62" hidden="1">NonLinLarge!$H$9:$H$72</definedName>
    <definedName name="solver_lhs440" localSheetId="62" hidden="1">NonLinLarge!$H$9:$H$72</definedName>
    <definedName name="solver_lhs441" localSheetId="62" hidden="1">NonLinLarge!$H$73</definedName>
    <definedName name="solver_lhs442" localSheetId="62" hidden="1">NonLinLarge!$H$74</definedName>
    <definedName name="solver_lhs443" localSheetId="62" hidden="1">NonLinLarge!$H$75:$H$138</definedName>
    <definedName name="solver_lhs444" localSheetId="62" hidden="1">NonLinLarge!$H$139</definedName>
    <definedName name="solver_lhs445" localSheetId="62" hidden="1">NonLinLarge!$H$7:$H$8</definedName>
    <definedName name="solver_lhs446" localSheetId="62" hidden="1">NonLinLarge!$H$9:$H$72</definedName>
    <definedName name="solver_lhs447" localSheetId="62" hidden="1">NonLinLarge!$H$73</definedName>
    <definedName name="solver_lhs448" localSheetId="62" hidden="1">NonLinLarge!$H$74</definedName>
    <definedName name="solver_lhs449" localSheetId="62" hidden="1">NonLinLarge!$H$75:$H$138</definedName>
    <definedName name="solver_lhs45" localSheetId="62" hidden="1">NonLinLarge!$H$73</definedName>
    <definedName name="solver_lhs450" localSheetId="62" hidden="1">NonLinLarge!$H$139</definedName>
    <definedName name="solver_lhs451" localSheetId="62" hidden="1">NonLinLarge!$H$7:$H$8</definedName>
    <definedName name="solver_lhs452" localSheetId="62" hidden="1">NonLinLarge!$H$9:$H$72</definedName>
    <definedName name="solver_lhs453" localSheetId="62" hidden="1">NonLinLarge!$H$73</definedName>
    <definedName name="solver_lhs454" localSheetId="62" hidden="1">NonLinLarge!$H$74</definedName>
    <definedName name="solver_lhs455" localSheetId="62" hidden="1">NonLinLarge!$H$75:$H$138</definedName>
    <definedName name="solver_lhs456" localSheetId="62" hidden="1">NonLinLarge!$H$139</definedName>
    <definedName name="solver_lhs457" localSheetId="62" hidden="1">NonLinLarge!$H$7:$H$8</definedName>
    <definedName name="solver_lhs458" localSheetId="62" hidden="1">NonLinLarge!$H$9:$H$72</definedName>
    <definedName name="solver_lhs459" localSheetId="62" hidden="1">NonLinLarge!$H$73</definedName>
    <definedName name="solver_lhs46" localSheetId="62" hidden="1">NonLinLarge!$H$74</definedName>
    <definedName name="solver_lhs460" localSheetId="62" hidden="1">NonLinLarge!$H$74</definedName>
    <definedName name="solver_lhs461" localSheetId="62" hidden="1">NonLinLarge!$H$75:$H$138</definedName>
    <definedName name="solver_lhs462" localSheetId="62" hidden="1">NonLinLarge!$H$139</definedName>
    <definedName name="solver_lhs463" localSheetId="62" hidden="1">NonLinLarge!$H$7:$H$8</definedName>
    <definedName name="solver_lhs464" localSheetId="62" hidden="1">NonLinLarge!$H$9:$H$72</definedName>
    <definedName name="solver_lhs465" localSheetId="62" hidden="1">NonLinLarge!$H$73</definedName>
    <definedName name="solver_lhs466" localSheetId="62" hidden="1">NonLinLarge!$H$74</definedName>
    <definedName name="solver_lhs467" localSheetId="62" hidden="1">NonLinLarge!$H$75:$H$138</definedName>
    <definedName name="solver_lhs468" localSheetId="62" hidden="1">NonLinLarge!$H$139</definedName>
    <definedName name="solver_lhs469" localSheetId="62" hidden="1">NonLinLarge!$H$7:$H$8</definedName>
    <definedName name="solver_lhs47" localSheetId="62" hidden="1">NonLinLarge!$H$75:$H$138</definedName>
    <definedName name="solver_lhs470" localSheetId="62" hidden="1">NonLinLarge!$H$9:$H$72</definedName>
    <definedName name="solver_lhs471" localSheetId="62" hidden="1">NonLinLarge!$H$73</definedName>
    <definedName name="solver_lhs472" localSheetId="62" hidden="1">NonLinLarge!$H$74</definedName>
    <definedName name="solver_lhs473" localSheetId="62" hidden="1">NonLinLarge!$H$75:$H$138</definedName>
    <definedName name="solver_lhs474" localSheetId="62" hidden="1">NonLinLarge!$H$139</definedName>
    <definedName name="solver_lhs475" localSheetId="62" hidden="1">NonLinLarge!$H$7:$H$8</definedName>
    <definedName name="solver_lhs476" localSheetId="62" hidden="1">NonLinLarge!$H$9:$H$72</definedName>
    <definedName name="solver_lhs477" localSheetId="62" hidden="1">NonLinLarge!$H$73</definedName>
    <definedName name="solver_lhs478" localSheetId="62" hidden="1">NonLinLarge!$H$74</definedName>
    <definedName name="solver_lhs479" localSheetId="62" hidden="1">NonLinLarge!$H$75:$H$138</definedName>
    <definedName name="solver_lhs48" localSheetId="62" hidden="1">NonLinLarge!$H$139</definedName>
    <definedName name="solver_lhs480" localSheetId="62" hidden="1">NonLinLarge!$H$139</definedName>
    <definedName name="solver_lhs481" localSheetId="62" hidden="1">NonLinLarge!$H$7:$H$8</definedName>
    <definedName name="solver_lhs482" localSheetId="62" hidden="1">NonLinLarge!$H$9:$H$72</definedName>
    <definedName name="solver_lhs483" localSheetId="62" hidden="1">NonLinLarge!$H$73</definedName>
    <definedName name="solver_lhs484" localSheetId="62" hidden="1">NonLinLarge!$H$74</definedName>
    <definedName name="solver_lhs485" localSheetId="62" hidden="1">NonLinLarge!$H$75:$H$138</definedName>
    <definedName name="solver_lhs486" localSheetId="62" hidden="1">NonLinLarge!$H$139</definedName>
    <definedName name="solver_lhs487" localSheetId="62" hidden="1">NonLinLarge!$H$7:$H$8</definedName>
    <definedName name="solver_lhs488" localSheetId="62" hidden="1">NonLinLarge!$H$9:$H$72</definedName>
    <definedName name="solver_lhs489" localSheetId="62" hidden="1">NonLinLarge!$H$73</definedName>
    <definedName name="solver_lhs49" localSheetId="62" hidden="1">NonLinLarge!$H$7:$H$8</definedName>
    <definedName name="solver_lhs490" localSheetId="62" hidden="1">NonLinLarge!$H$74</definedName>
    <definedName name="solver_lhs491" localSheetId="62" hidden="1">NonLinLarge!$H$75:$H$138</definedName>
    <definedName name="solver_lhs492" localSheetId="62" hidden="1">NonLinLarge!$H$139</definedName>
    <definedName name="solver_lhs493" localSheetId="62" hidden="1">NonLinLarge!$H$7:$H$8</definedName>
    <definedName name="solver_lhs494" localSheetId="62" hidden="1">NonLinLarge!$H$9:$H$72</definedName>
    <definedName name="solver_lhs495" localSheetId="62" hidden="1">NonLinLarge!$H$73</definedName>
    <definedName name="solver_lhs496" localSheetId="62" hidden="1">NonLinLarge!$H$74</definedName>
    <definedName name="solver_lhs497" localSheetId="62" hidden="1">NonLinLarge!$H$75:$H$138</definedName>
    <definedName name="solver_lhs498" localSheetId="62" hidden="1">NonLinLarge!$H$139</definedName>
    <definedName name="solver_lhs499" localSheetId="62" hidden="1">NonLinLarge!$H$7:$H$8</definedName>
    <definedName name="solver_lhs5" localSheetId="21" hidden="1">BinIntOverlap!$D$4:$F$4</definedName>
    <definedName name="solver_lhs5" localSheetId="48" hidden="1">ComplexLayout!$D$4:$F$4</definedName>
    <definedName name="solver_lhs5" localSheetId="22" hidden="1">ConFormula!$D$5:$F$5</definedName>
    <definedName name="solver_lhs5" localSheetId="23" hidden="1">ConFormulaInf!$D$5:$F$5</definedName>
    <definedName name="solver_lhs5" localSheetId="32" hidden="1">IndirectLBs!$D$5</definedName>
    <definedName name="solver_lhs5" localSheetId="68" hidden="1">NonLin!$D$3:$D$35</definedName>
    <definedName name="solver_lhs5" localSheetId="62" hidden="1">NonLinLarge!$H$75:$H$138</definedName>
    <definedName name="solver_lhs5" localSheetId="58" hidden="1">Warmstart!#REF!</definedName>
    <definedName name="solver_lhs50" localSheetId="62" hidden="1">NonLinLarge!$H$9:$H$72</definedName>
    <definedName name="solver_lhs500" localSheetId="62" hidden="1">NonLinLarge!$H$9:$H$72</definedName>
    <definedName name="solver_lhs501" localSheetId="62" hidden="1">NonLinLarge!$H$73</definedName>
    <definedName name="solver_lhs502" localSheetId="62" hidden="1">NonLinLarge!$H$74</definedName>
    <definedName name="solver_lhs503" localSheetId="62" hidden="1">NonLinLarge!$H$75:$H$138</definedName>
    <definedName name="solver_lhs504" localSheetId="62" hidden="1">NonLinLarge!$H$139</definedName>
    <definedName name="solver_lhs505" localSheetId="62" hidden="1">NonLinLarge!$H$7:$H$8</definedName>
    <definedName name="solver_lhs506" localSheetId="62" hidden="1">NonLinLarge!$H$9:$H$72</definedName>
    <definedName name="solver_lhs507" localSheetId="62" hidden="1">NonLinLarge!$H$73</definedName>
    <definedName name="solver_lhs508" localSheetId="62" hidden="1">NonLinLarge!$H$74</definedName>
    <definedName name="solver_lhs509" localSheetId="62" hidden="1">NonLinLarge!$H$75:$H$138</definedName>
    <definedName name="solver_lhs51" localSheetId="62" hidden="1">NonLinLarge!$H$73</definedName>
    <definedName name="solver_lhs510" localSheetId="62" hidden="1">NonLinLarge!$H$139</definedName>
    <definedName name="solver_lhs511" localSheetId="62" hidden="1">NonLinLarge!$H$7:$H$8</definedName>
    <definedName name="solver_lhs512" localSheetId="62" hidden="1">NonLinLarge!$H$9:$H$72</definedName>
    <definedName name="solver_lhs513" localSheetId="62" hidden="1">NonLinLarge!$H$73</definedName>
    <definedName name="solver_lhs514" localSheetId="62" hidden="1">NonLinLarge!$H$74</definedName>
    <definedName name="solver_lhs515" localSheetId="62" hidden="1">NonLinLarge!$H$75:$H$138</definedName>
    <definedName name="solver_lhs516" localSheetId="62" hidden="1">NonLinLarge!$H$139</definedName>
    <definedName name="solver_lhs517" localSheetId="62" hidden="1">NonLinLarge!$H$7:$H$8</definedName>
    <definedName name="solver_lhs518" localSheetId="62" hidden="1">NonLinLarge!$H$9:$H$72</definedName>
    <definedName name="solver_lhs519" localSheetId="62" hidden="1">NonLinLarge!$H$73</definedName>
    <definedName name="solver_lhs52" localSheetId="62" hidden="1">NonLinLarge!$H$74</definedName>
    <definedName name="solver_lhs520" localSheetId="62" hidden="1">NonLinLarge!$H$74</definedName>
    <definedName name="solver_lhs521" localSheetId="62" hidden="1">NonLinLarge!$H$75:$H$138</definedName>
    <definedName name="solver_lhs522" localSheetId="62" hidden="1">NonLinLarge!$H$139</definedName>
    <definedName name="solver_lhs523" localSheetId="62" hidden="1">NonLinLarge!$H$7:$H$8</definedName>
    <definedName name="solver_lhs524" localSheetId="62" hidden="1">NonLinLarge!$H$9:$H$72</definedName>
    <definedName name="solver_lhs525" localSheetId="62" hidden="1">NonLinLarge!$H$73</definedName>
    <definedName name="solver_lhs526" localSheetId="62" hidden="1">NonLinLarge!$H$74</definedName>
    <definedName name="solver_lhs527" localSheetId="62" hidden="1">NonLinLarge!$H$75:$H$138</definedName>
    <definedName name="solver_lhs528" localSheetId="62" hidden="1">NonLinLarge!$H$139</definedName>
    <definedName name="solver_lhs529" localSheetId="62" hidden="1">NonLinLarge!$H$7:$H$8</definedName>
    <definedName name="solver_lhs53" localSheetId="62" hidden="1">NonLinLarge!$H$75:$H$138</definedName>
    <definedName name="solver_lhs530" localSheetId="62" hidden="1">NonLinLarge!$H$9:$H$72</definedName>
    <definedName name="solver_lhs531" localSheetId="62" hidden="1">NonLinLarge!$H$73</definedName>
    <definedName name="solver_lhs532" localSheetId="62" hidden="1">NonLinLarge!$H$74</definedName>
    <definedName name="solver_lhs533" localSheetId="62" hidden="1">NonLinLarge!$H$75:$H$138</definedName>
    <definedName name="solver_lhs534" localSheetId="62" hidden="1">NonLinLarge!$H$139</definedName>
    <definedName name="solver_lhs535" localSheetId="62" hidden="1">NonLinLarge!$H$7:$H$8</definedName>
    <definedName name="solver_lhs536" localSheetId="62" hidden="1">NonLinLarge!$H$9:$H$72</definedName>
    <definedName name="solver_lhs537" localSheetId="62" hidden="1">NonLinLarge!$H$73</definedName>
    <definedName name="solver_lhs538" localSheetId="62" hidden="1">NonLinLarge!$H$74</definedName>
    <definedName name="solver_lhs539" localSheetId="62" hidden="1">NonLinLarge!$H$75:$H$138</definedName>
    <definedName name="solver_lhs54" localSheetId="62" hidden="1">NonLinLarge!$H$139</definedName>
    <definedName name="solver_lhs540" localSheetId="62" hidden="1">NonLinLarge!$H$139</definedName>
    <definedName name="solver_lhs541" localSheetId="62" hidden="1">NonLinLarge!$H$7:$H$8</definedName>
    <definedName name="solver_lhs542" localSheetId="62" hidden="1">NonLinLarge!$H$9:$H$72</definedName>
    <definedName name="solver_lhs543" localSheetId="62" hidden="1">NonLinLarge!$H$73</definedName>
    <definedName name="solver_lhs544" localSheetId="62" hidden="1">NonLinLarge!$H$74</definedName>
    <definedName name="solver_lhs545" localSheetId="62" hidden="1">NonLinLarge!$H$75:$H$138</definedName>
    <definedName name="solver_lhs546" localSheetId="62" hidden="1">NonLinLarge!$H$139</definedName>
    <definedName name="solver_lhs547" localSheetId="62" hidden="1">NonLinLarge!$H$7:$H$8</definedName>
    <definedName name="solver_lhs548" localSheetId="62" hidden="1">NonLinLarge!$H$9:$H$72</definedName>
    <definedName name="solver_lhs549" localSheetId="62" hidden="1">NonLinLarge!$H$73</definedName>
    <definedName name="solver_lhs55" localSheetId="62" hidden="1">NonLinLarge!$H$7:$H$8</definedName>
    <definedName name="solver_lhs550" localSheetId="62" hidden="1">NonLinLarge!$H$74</definedName>
    <definedName name="solver_lhs551" localSheetId="62" hidden="1">NonLinLarge!$H$75:$H$138</definedName>
    <definedName name="solver_lhs552" localSheetId="62" hidden="1">NonLinLarge!$H$139</definedName>
    <definedName name="solver_lhs553" localSheetId="62" hidden="1">NonLinLarge!$H$7:$H$8</definedName>
    <definedName name="solver_lhs554" localSheetId="62" hidden="1">NonLinLarge!$H$9:$H$72</definedName>
    <definedName name="solver_lhs555" localSheetId="62" hidden="1">NonLinLarge!$H$73</definedName>
    <definedName name="solver_lhs556" localSheetId="62" hidden="1">NonLinLarge!$H$74</definedName>
    <definedName name="solver_lhs557" localSheetId="62" hidden="1">NonLinLarge!$H$75:$H$138</definedName>
    <definedName name="solver_lhs558" localSheetId="62" hidden="1">NonLinLarge!$H$139</definedName>
    <definedName name="solver_lhs559" localSheetId="62" hidden="1">NonLinLarge!$H$7:$H$8</definedName>
    <definedName name="solver_lhs56" localSheetId="62" hidden="1">NonLinLarge!$H$9:$H$72</definedName>
    <definedName name="solver_lhs560" localSheetId="62" hidden="1">NonLinLarge!$H$9:$H$72</definedName>
    <definedName name="solver_lhs561" localSheetId="62" hidden="1">NonLinLarge!$H$73</definedName>
    <definedName name="solver_lhs562" localSheetId="62" hidden="1">NonLinLarge!$H$74</definedName>
    <definedName name="solver_lhs563" localSheetId="62" hidden="1">NonLinLarge!$H$75:$H$138</definedName>
    <definedName name="solver_lhs564" localSheetId="62" hidden="1">NonLinLarge!$H$139</definedName>
    <definedName name="solver_lhs565" localSheetId="62" hidden="1">NonLinLarge!$H$7:$H$8</definedName>
    <definedName name="solver_lhs566" localSheetId="62" hidden="1">NonLinLarge!$H$9:$H$72</definedName>
    <definedName name="solver_lhs567" localSheetId="62" hidden="1">NonLinLarge!$H$73</definedName>
    <definedName name="solver_lhs568" localSheetId="62" hidden="1">NonLinLarge!$H$74</definedName>
    <definedName name="solver_lhs569" localSheetId="62" hidden="1">NonLinLarge!$H$75:$H$138</definedName>
    <definedName name="solver_lhs57" localSheetId="62" hidden="1">NonLinLarge!$H$73</definedName>
    <definedName name="solver_lhs570" localSheetId="62" hidden="1">NonLinLarge!$H$139</definedName>
    <definedName name="solver_lhs571" localSheetId="62" hidden="1">NonLinLarge!$H$7:$H$8</definedName>
    <definedName name="solver_lhs572" localSheetId="62" hidden="1">NonLinLarge!$H$9:$H$72</definedName>
    <definedName name="solver_lhs573" localSheetId="62" hidden="1">NonLinLarge!$H$73</definedName>
    <definedName name="solver_lhs574" localSheetId="62" hidden="1">NonLinLarge!$H$74</definedName>
    <definedName name="solver_lhs575" localSheetId="62" hidden="1">NonLinLarge!$H$75:$H$138</definedName>
    <definedName name="solver_lhs576" localSheetId="62" hidden="1">NonLinLarge!$H$139</definedName>
    <definedName name="solver_lhs577" localSheetId="62" hidden="1">NonLinLarge!$H$7:$H$8</definedName>
    <definedName name="solver_lhs578" localSheetId="62" hidden="1">NonLinLarge!$H$9:$H$72</definedName>
    <definedName name="solver_lhs579" localSheetId="62" hidden="1">NonLinLarge!$H$73</definedName>
    <definedName name="solver_lhs58" localSheetId="62" hidden="1">NonLinLarge!$H$74</definedName>
    <definedName name="solver_lhs580" localSheetId="62" hidden="1">NonLinLarge!$H$74</definedName>
    <definedName name="solver_lhs581" localSheetId="62" hidden="1">NonLinLarge!$H$75:$H$138</definedName>
    <definedName name="solver_lhs582" localSheetId="62" hidden="1">NonLinLarge!$H$139</definedName>
    <definedName name="solver_lhs583" localSheetId="62" hidden="1">NonLinLarge!$H$7:$H$8</definedName>
    <definedName name="solver_lhs584" localSheetId="62" hidden="1">NonLinLarge!$H$9:$H$72</definedName>
    <definedName name="solver_lhs585" localSheetId="62" hidden="1">NonLinLarge!$H$73</definedName>
    <definedName name="solver_lhs586" localSheetId="62" hidden="1">NonLinLarge!$H$74</definedName>
    <definedName name="solver_lhs587" localSheetId="62" hidden="1">NonLinLarge!$H$75:$H$138</definedName>
    <definedName name="solver_lhs588" localSheetId="62" hidden="1">NonLinLarge!$H$139</definedName>
    <definedName name="solver_lhs589" localSheetId="62" hidden="1">NonLinLarge!$H$7:$H$8</definedName>
    <definedName name="solver_lhs59" localSheetId="62" hidden="1">NonLinLarge!$H$75:$H$138</definedName>
    <definedName name="solver_lhs590" localSheetId="62" hidden="1">NonLinLarge!$H$9:$H$72</definedName>
    <definedName name="solver_lhs591" localSheetId="62" hidden="1">NonLinLarge!$H$73</definedName>
    <definedName name="solver_lhs592" localSheetId="62" hidden="1">NonLinLarge!$H$74</definedName>
    <definedName name="solver_lhs593" localSheetId="62" hidden="1">NonLinLarge!$H$75:$H$138</definedName>
    <definedName name="solver_lhs594" localSheetId="62" hidden="1">NonLinLarge!$H$139</definedName>
    <definedName name="solver_lhs595" localSheetId="62" hidden="1">NonLinLarge!$H$7:$H$8</definedName>
    <definedName name="solver_lhs596" localSheetId="62" hidden="1">NonLinLarge!$H$9:$H$72</definedName>
    <definedName name="solver_lhs597" localSheetId="62" hidden="1">NonLinLarge!$H$73</definedName>
    <definedName name="solver_lhs598" localSheetId="62" hidden="1">NonLinLarge!$H$74</definedName>
    <definedName name="solver_lhs599" localSheetId="62" hidden="1">NonLinLarge!$H$75:$H$138</definedName>
    <definedName name="solver_lhs6" localSheetId="48" hidden="1">ComplexLayout!$S$3:$S$4</definedName>
    <definedName name="solver_lhs6" localSheetId="22" hidden="1">ConFormula!$S$4:$S$5</definedName>
    <definedName name="solver_lhs6" localSheetId="23" hidden="1">ConFormulaInf!$S$4:$S$5</definedName>
    <definedName name="solver_lhs6" localSheetId="62" hidden="1">NonLinLarge!$H$139</definedName>
    <definedName name="solver_lhs60" localSheetId="62" hidden="1">NonLinLarge!$H$139</definedName>
    <definedName name="solver_lhs600" localSheetId="62" hidden="1">NonLinLarge!$H$139</definedName>
    <definedName name="solver_lhs61" localSheetId="62" hidden="1">NonLinLarge!$H$7:$H$8</definedName>
    <definedName name="solver_lhs62" localSheetId="62" hidden="1">NonLinLarge!$H$9:$H$72</definedName>
    <definedName name="solver_lhs63" localSheetId="62" hidden="1">NonLinLarge!$H$73</definedName>
    <definedName name="solver_lhs64" localSheetId="62" hidden="1">NonLinLarge!$H$74</definedName>
    <definedName name="solver_lhs65" localSheetId="62" hidden="1">NonLinLarge!$H$75:$H$138</definedName>
    <definedName name="solver_lhs66" localSheetId="62" hidden="1">NonLinLarge!$H$139</definedName>
    <definedName name="solver_lhs67" localSheetId="62" hidden="1">NonLinLarge!$H$7:$H$8</definedName>
    <definedName name="solver_lhs68" localSheetId="62" hidden="1">NonLinLarge!$H$9:$H$72</definedName>
    <definedName name="solver_lhs69" localSheetId="62" hidden="1">NonLinLarge!$H$73</definedName>
    <definedName name="solver_lhs7" localSheetId="48" hidden="1">ComplexLayout!$Q$5:$R$5</definedName>
    <definedName name="solver_lhs7" localSheetId="22" hidden="1">ConFormula!$Q$6:$R$6</definedName>
    <definedName name="solver_lhs7" localSheetId="23" hidden="1">ConFormulaInf!$Q$6:$R$6</definedName>
    <definedName name="solver_lhs7" localSheetId="62" hidden="1">NonLinLarge!$H$7:$H$8</definedName>
    <definedName name="solver_lhs70" localSheetId="62" hidden="1">NonLinLarge!$H$74</definedName>
    <definedName name="solver_lhs71" localSheetId="62" hidden="1">NonLinLarge!$H$75:$H$138</definedName>
    <definedName name="solver_lhs72" localSheetId="62" hidden="1">NonLinLarge!$H$139</definedName>
    <definedName name="solver_lhs73" localSheetId="62" hidden="1">NonLinLarge!$H$7:$H$8</definedName>
    <definedName name="solver_lhs74" localSheetId="62" hidden="1">NonLinLarge!$H$9:$H$72</definedName>
    <definedName name="solver_lhs75" localSheetId="62" hidden="1">NonLinLarge!$H$73</definedName>
    <definedName name="solver_lhs76" localSheetId="62" hidden="1">NonLinLarge!$H$74</definedName>
    <definedName name="solver_lhs77" localSheetId="62" hidden="1">NonLinLarge!$H$75:$H$138</definedName>
    <definedName name="solver_lhs78" localSheetId="62" hidden="1">NonLinLarge!$H$139</definedName>
    <definedName name="solver_lhs79" localSheetId="62" hidden="1">NonLinLarge!$H$7:$H$8</definedName>
    <definedName name="solver_lhs8" localSheetId="22" hidden="1">ConFormula!$I$10</definedName>
    <definedName name="solver_lhs8" localSheetId="23" hidden="1">ConFormulaInf!$I$10</definedName>
    <definedName name="solver_lhs8" localSheetId="62" hidden="1">NonLinLarge!$H$9:$H$72</definedName>
    <definedName name="solver_lhs80" localSheetId="62" hidden="1">NonLinLarge!$H$9:$H$72</definedName>
    <definedName name="solver_lhs81" localSheetId="62" hidden="1">NonLinLarge!$H$73</definedName>
    <definedName name="solver_lhs82" localSheetId="62" hidden="1">NonLinLarge!$H$74</definedName>
    <definedName name="solver_lhs83" localSheetId="62" hidden="1">NonLinLarge!$H$75:$H$138</definedName>
    <definedName name="solver_lhs84" localSheetId="62" hidden="1">NonLinLarge!$H$139</definedName>
    <definedName name="solver_lhs85" localSheetId="62" hidden="1">NonLinLarge!$H$7:$H$8</definedName>
    <definedName name="solver_lhs86" localSheetId="62" hidden="1">NonLinLarge!$H$9:$H$72</definedName>
    <definedName name="solver_lhs87" localSheetId="62" hidden="1">NonLinLarge!$H$73</definedName>
    <definedName name="solver_lhs88" localSheetId="62" hidden="1">NonLinLarge!$H$74</definedName>
    <definedName name="solver_lhs89" localSheetId="62" hidden="1">NonLinLarge!$H$75:$H$138</definedName>
    <definedName name="solver_lhs9" localSheetId="23" hidden="1">ConFormulaInf!$I$14</definedName>
    <definedName name="solver_lhs9" localSheetId="62" hidden="1">NonLinLarge!$H$73</definedName>
    <definedName name="solver_lhs90" localSheetId="62" hidden="1">NonLinLarge!$H$139</definedName>
    <definedName name="solver_lhs91" localSheetId="62" hidden="1">NonLinLarge!$H$7:$H$8</definedName>
    <definedName name="solver_lhs92" localSheetId="62" hidden="1">NonLinLarge!$H$9:$H$72</definedName>
    <definedName name="solver_lhs93" localSheetId="62" hidden="1">NonLinLarge!$H$73</definedName>
    <definedName name="solver_lhs94" localSheetId="62" hidden="1">NonLinLarge!$H$74</definedName>
    <definedName name="solver_lhs95" localSheetId="62" hidden="1">NonLinLarge!$H$75:$H$138</definedName>
    <definedName name="solver_lhs96" localSheetId="62" hidden="1">NonLinLarge!$H$139</definedName>
    <definedName name="solver_lhs97" localSheetId="62" hidden="1">NonLinLarge!$H$7:$H$8</definedName>
    <definedName name="solver_lhs98" localSheetId="62" hidden="1">NonLinLarge!$H$9:$H$72</definedName>
    <definedName name="solver_lhs99" localSheetId="62" hidden="1">NonLinLarge!$H$73</definedName>
    <definedName name="solver_lin" localSheetId="58" hidden="1">1</definedName>
    <definedName name="solver_neg" localSheetId="36" hidden="1">1</definedName>
    <definedName name="solver_neg" localSheetId="21" hidden="1">1</definedName>
    <definedName name="solver_neg" localSheetId="35" hidden="1">1</definedName>
    <definedName name="solver_neg" localSheetId="8" hidden="1">1</definedName>
    <definedName name="solver_neg" localSheetId="7" hidden="1">1</definedName>
    <definedName name="solver_neg" localSheetId="48" hidden="1">1</definedName>
    <definedName name="solver_neg" localSheetId="22" hidden="1">1</definedName>
    <definedName name="solver_neg" localSheetId="23" hidden="1">1</definedName>
    <definedName name="solver_neg" localSheetId="44" hidden="1">1</definedName>
    <definedName name="solver_neg" localSheetId="41" hidden="1">1</definedName>
    <definedName name="solver_neg" localSheetId="43" hidden="1">1</definedName>
    <definedName name="solver_neg" localSheetId="26" hidden="1">1</definedName>
    <definedName name="solver_neg" localSheetId="54" hidden="1">1</definedName>
    <definedName name="solver_neg" localSheetId="33" hidden="1">1</definedName>
    <definedName name="solver_neg" localSheetId="11" hidden="1">1</definedName>
    <definedName name="solver_neg" localSheetId="10" hidden="1">1</definedName>
    <definedName name="solver_neg" localSheetId="25" hidden="1">1</definedName>
    <definedName name="solver_neg" localSheetId="29" hidden="1">1</definedName>
    <definedName name="solver_neg" localSheetId="45" hidden="1">1</definedName>
    <definedName name="solver_neg" localSheetId="47" hidden="1">1</definedName>
    <definedName name="solver_neg" localSheetId="32" hidden="1">1</definedName>
    <definedName name="solver_neg" localSheetId="28" hidden="1">1</definedName>
    <definedName name="solver_neg" localSheetId="49" hidden="1">1</definedName>
    <definedName name="solver_neg" localSheetId="5" hidden="1">1</definedName>
    <definedName name="solver_neg" localSheetId="50" hidden="1">1</definedName>
    <definedName name="solver_neg" localSheetId="38" hidden="1">1</definedName>
    <definedName name="solver_neg" localSheetId="19" hidden="1">1</definedName>
    <definedName name="solver_neg" localSheetId="20" hidden="1">1</definedName>
    <definedName name="solver_neg" localSheetId="18" hidden="1">1</definedName>
    <definedName name="solver_neg" localSheetId="16" hidden="1">1</definedName>
    <definedName name="solver_neg" localSheetId="55" hidden="1">1</definedName>
    <definedName name="solver_neg" localSheetId="68" hidden="1">1</definedName>
    <definedName name="solver_neg" localSheetId="69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73" hidden="1">1</definedName>
    <definedName name="solver_neg" localSheetId="67" hidden="1">1</definedName>
    <definedName name="solver_neg" localSheetId="66" hidden="1">1</definedName>
    <definedName name="solver_neg" localSheetId="62" hidden="1">1</definedName>
    <definedName name="solver_neg" localSheetId="65" hidden="1">1</definedName>
    <definedName name="solver_neg" localSheetId="63" hidden="1">1</definedName>
    <definedName name="solver_neg" localSheetId="64" hidden="1">1</definedName>
    <definedName name="solver_neg" localSheetId="61" hidden="1">1</definedName>
    <definedName name="solver_neg" localSheetId="51" hidden="1">1</definedName>
    <definedName name="solver_neg" localSheetId="6" hidden="1">1</definedName>
    <definedName name="solver_neg" localSheetId="39" hidden="1">1</definedName>
    <definedName name="solver_neg" localSheetId="40" hidden="1">1</definedName>
    <definedName name="solver_neg" localSheetId="37" hidden="1">1</definedName>
    <definedName name="solver_neg" localSheetId="52" hidden="1">1</definedName>
    <definedName name="solver_neg" localSheetId="53" hidden="1">1</definedName>
    <definedName name="solver_neg" localSheetId="59" hidden="1">1</definedName>
    <definedName name="solver_neg" localSheetId="60" hidden="1">0</definedName>
    <definedName name="solver_neg" localSheetId="4" hidden="1">1</definedName>
    <definedName name="solver_neg" localSheetId="3" hidden="1">1</definedName>
    <definedName name="solver_neg" localSheetId="34" hidden="1">1</definedName>
    <definedName name="solver_neg" localSheetId="57" hidden="1">0</definedName>
    <definedName name="solver_neg" localSheetId="9" hidden="1">1</definedName>
    <definedName name="solver_neg" localSheetId="30" hidden="1">0</definedName>
    <definedName name="solver_neg" localSheetId="46" hidden="1">1</definedName>
    <definedName name="solver_neg" localSheetId="42" hidden="1">1</definedName>
    <definedName name="solver_neg" localSheetId="58" hidden="1">1</definedName>
    <definedName name="solver_num" localSheetId="24" hidden="1">1</definedName>
    <definedName name="solver_num" localSheetId="36" hidden="1">4</definedName>
    <definedName name="solver_num" localSheetId="21" hidden="1">5</definedName>
    <definedName name="solver_num" localSheetId="35" hidden="1">3</definedName>
    <definedName name="solver_num" localSheetId="8" hidden="1">3</definedName>
    <definedName name="solver_num" localSheetId="7" hidden="1">3</definedName>
    <definedName name="solver_num" localSheetId="48" hidden="1">7</definedName>
    <definedName name="solver_num" localSheetId="22" hidden="1">8</definedName>
    <definedName name="solver_num" localSheetId="23" hidden="1">9</definedName>
    <definedName name="solver_num" localSheetId="44" hidden="1">2</definedName>
    <definedName name="solver_num" localSheetId="41" hidden="1">2</definedName>
    <definedName name="solver_num" localSheetId="43" hidden="1">1</definedName>
    <definedName name="solver_num" localSheetId="26" hidden="1">4</definedName>
    <definedName name="solver_num" localSheetId="27" hidden="1">3</definedName>
    <definedName name="solver_num" localSheetId="54" hidden="1">3</definedName>
    <definedName name="solver_num" localSheetId="33" hidden="1">2</definedName>
    <definedName name="solver_num" localSheetId="11" hidden="1">3</definedName>
    <definedName name="solver_num" localSheetId="13" hidden="1">3</definedName>
    <definedName name="solver_num" localSheetId="10" hidden="1">3</definedName>
    <definedName name="solver_num" localSheetId="25" hidden="1">3</definedName>
    <definedName name="solver_num" localSheetId="29" hidden="1">3</definedName>
    <definedName name="solver_num" localSheetId="45" hidden="1">2</definedName>
    <definedName name="solver_num" localSheetId="47" hidden="1">3</definedName>
    <definedName name="solver_num" localSheetId="32" hidden="1">5</definedName>
    <definedName name="solver_num" localSheetId="28" hidden="1">3</definedName>
    <definedName name="solver_num" localSheetId="49" hidden="1">4</definedName>
    <definedName name="solver_num" localSheetId="5" hidden="1">2</definedName>
    <definedName name="solver_num" localSheetId="50" hidden="1">3</definedName>
    <definedName name="solver_num" localSheetId="38" hidden="1">2</definedName>
    <definedName name="solver_num" localSheetId="19" hidden="1">3</definedName>
    <definedName name="solver_num" localSheetId="20" hidden="1">3</definedName>
    <definedName name="solver_num" localSheetId="18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55" hidden="1">4</definedName>
    <definedName name="solver_num" localSheetId="68" hidden="1">5</definedName>
    <definedName name="solver_num" localSheetId="69" hidden="1">1</definedName>
    <definedName name="solver_num" localSheetId="70" hidden="1">2</definedName>
    <definedName name="solver_num" localSheetId="71" hidden="1">0</definedName>
    <definedName name="solver_num" localSheetId="72" hidden="1">0</definedName>
    <definedName name="solver_num" localSheetId="73" hidden="1">4</definedName>
    <definedName name="solver_num" localSheetId="67" hidden="1">2</definedName>
    <definedName name="solver_num" localSheetId="66" hidden="1">1</definedName>
    <definedName name="solver_num" localSheetId="62" hidden="1">6</definedName>
    <definedName name="solver_num" localSheetId="65" hidden="1">2</definedName>
    <definedName name="solver_num" localSheetId="63" hidden="1">3</definedName>
    <definedName name="solver_num" localSheetId="64" hidden="1">3</definedName>
    <definedName name="solver_num" localSheetId="61" hidden="1">3</definedName>
    <definedName name="solver_num" localSheetId="51" hidden="1">3</definedName>
    <definedName name="solver_num" localSheetId="6" hidden="1">3</definedName>
    <definedName name="solver_num" localSheetId="39" hidden="1">2</definedName>
    <definedName name="solver_num" localSheetId="40" hidden="1">2</definedName>
    <definedName name="solver_num" localSheetId="31" hidden="1">3</definedName>
    <definedName name="solver_num" localSheetId="56" hidden="1">2</definedName>
    <definedName name="solver_num" localSheetId="37" hidden="1">4</definedName>
    <definedName name="solver_num" localSheetId="2" hidden="1">0</definedName>
    <definedName name="solver_num" localSheetId="52" hidden="1">3</definedName>
    <definedName name="solver_num" localSheetId="53" hidden="1">3</definedName>
    <definedName name="solver_num" localSheetId="59" hidden="1">4</definedName>
    <definedName name="solver_num" localSheetId="60" hidden="1">4</definedName>
    <definedName name="solver_num" localSheetId="4" hidden="1">2</definedName>
    <definedName name="solver_num" localSheetId="3" hidden="1">3</definedName>
    <definedName name="solver_num" localSheetId="34" hidden="1">2</definedName>
    <definedName name="solver_num" localSheetId="57" hidden="1">3</definedName>
    <definedName name="solver_num" localSheetId="14" hidden="1">3</definedName>
    <definedName name="solver_num" localSheetId="9" hidden="1">3</definedName>
    <definedName name="solver_num" localSheetId="30" hidden="1">3</definedName>
    <definedName name="solver_num" localSheetId="46" hidden="1">2</definedName>
    <definedName name="solver_num" localSheetId="42" hidden="1">2</definedName>
    <definedName name="solver_num" localSheetId="58" hidden="1">2</definedName>
    <definedName name="solver_nwt" localSheetId="62" hidden="1">1</definedName>
    <definedName name="solver_nwt" localSheetId="53" hidden="1">1</definedName>
    <definedName name="solver_nwt" localSheetId="60" hidden="1">1</definedName>
    <definedName name="solver_nwt" localSheetId="3" hidden="1">1</definedName>
    <definedName name="solver_nwt" localSheetId="58" hidden="1">1</definedName>
    <definedName name="solver_opt" localSheetId="24" hidden="1">'BadName!'!$H$7</definedName>
    <definedName name="solver_opt" localSheetId="36" hidden="1">BinIntLB!$H$9</definedName>
    <definedName name="solver_opt" localSheetId="21" hidden="1">BinIntOverlap!$I$6</definedName>
    <definedName name="solver_opt" localSheetId="35" hidden="1">BinLB!$H$9</definedName>
    <definedName name="solver_opt" localSheetId="8" hidden="1">BlankLHS!$H$6</definedName>
    <definedName name="solver_opt" localSheetId="7" hidden="1">BlankRHS!$H$6</definedName>
    <definedName name="solver_opt" localSheetId="48" hidden="1">ComplexLayout!$I$6</definedName>
    <definedName name="solver_opt" localSheetId="22" hidden="1">ConFormula!$I$7</definedName>
    <definedName name="solver_opt" localSheetId="23" hidden="1">ConFormulaInf!$I$7</definedName>
    <definedName name="solver_opt" localSheetId="44" hidden="1">ConstantLB!$H$9</definedName>
    <definedName name="solver_opt" localSheetId="41" hidden="1">ConstFormulaRangeLB!$H$8</definedName>
    <definedName name="solver_opt" localSheetId="43" hidden="1">ConstraintLB!$H$9</definedName>
    <definedName name="solver_opt" localSheetId="26" hidden="1">DeletedConRef!$H$7</definedName>
    <definedName name="solver_opt" localSheetId="27" hidden="1">DeletedObjRef!#REF!</definedName>
    <definedName name="solver_opt" localSheetId="54" hidden="1">SeekObj!$G$17</definedName>
    <definedName name="solver_opt" localSheetId="33" hidden="1">DirectLBs!$H$8</definedName>
    <definedName name="solver_opt" localSheetId="11" hidden="1">ErrorLHS!$H$6</definedName>
    <definedName name="solver_opt" localSheetId="13" hidden="1">ErrorObj!$H$6</definedName>
    <definedName name="solver_opt" localSheetId="10" hidden="1">ErrorRHS!$H$6</definedName>
    <definedName name="solver_opt" localSheetId="25" hidden="1">'EscapeSheetName(1)+2-1'!$H$6</definedName>
    <definedName name="solver_opt" localSheetId="29" hidden="1">FeasConstConstraint!$J$6</definedName>
    <definedName name="solver_opt" localSheetId="45" hidden="1">FormulaLB!$H$9</definedName>
    <definedName name="solver_opt" localSheetId="47" hidden="1">FractionalCoeffs!$G$4</definedName>
    <definedName name="solver_opt" localSheetId="32" hidden="1">IndirectLBs!$H$8</definedName>
    <definedName name="solver_opt" localSheetId="28" hidden="1">InfConstConstraint!$J$6</definedName>
    <definedName name="solver_opt" localSheetId="49" hidden="1">InfModel!$H$7</definedName>
    <definedName name="solver_opt" localSheetId="5" hidden="1">IP_SUMIF!$E$10</definedName>
    <definedName name="solver_opt" localSheetId="50" hidden="1">IterativeCalc!$H$7</definedName>
    <definedName name="solver_opt" localSheetId="38" hidden="1">LargeRangeLB!$H$10</definedName>
    <definedName name="solver_opt" localSheetId="19" hidden="1">MergedLHS_OK!$H$7</definedName>
    <definedName name="solver_opt" localSheetId="20" hidden="1">MergedLHSMultiple_OK!$H$7</definedName>
    <definedName name="solver_opt" localSheetId="18" hidden="1">MergedRHS_OK!$H$7</definedName>
    <definedName name="solver_opt" localSheetId="17" hidden="1">MergedVarsBad!$H$7</definedName>
    <definedName name="solver_opt" localSheetId="16" hidden="1">MergedVarsOK!$H$7</definedName>
    <definedName name="solver_opt" localSheetId="15" hidden="1">MergedVarsSubset!$H$7</definedName>
    <definedName name="solver_opt" localSheetId="55" hidden="1">NamedRanges!$I$6</definedName>
    <definedName name="solver_opt" localSheetId="68" hidden="1">NonLin!$I$39</definedName>
    <definedName name="solver_opt" localSheetId="69" hidden="1">NonLin2!$F$4</definedName>
    <definedName name="solver_opt" localSheetId="70" hidden="1">NonLin3!$S$13</definedName>
    <definedName name="solver_opt" localSheetId="71" hidden="1">NonLin4!$D$16</definedName>
    <definedName name="solver_opt" localSheetId="72" hidden="1">NonLin5!$J$7</definedName>
    <definedName name="solver_opt" localSheetId="73" hidden="1">NonLin6!$F$15</definedName>
    <definedName name="solver_opt" localSheetId="67" hidden="1">NonLinBinary!$C$6</definedName>
    <definedName name="solver_opt" localSheetId="66" hidden="1">NonLinConstraints!$I$6</definedName>
    <definedName name="solver_opt" localSheetId="62" hidden="1">NonLinLarge!$H$5</definedName>
    <definedName name="solver_opt" localSheetId="65" hidden="1">NonLinMinMax!$G$6</definedName>
    <definedName name="solver_opt" localSheetId="63" hidden="1">NonLinObj!$H$5</definedName>
    <definedName name="solver_opt" localSheetId="64" hidden="1">NonLinPruning!$F$6</definedName>
    <definedName name="solver_opt" localSheetId="61" hidden="1">NonLinSimple!$H$5</definedName>
    <definedName name="solver_opt" localSheetId="6" hidden="1">OverlappingVars!$H$6</definedName>
    <definedName name="solver_opt" localSheetId="39" hidden="1">OverlapRangeLB!$H$10</definedName>
    <definedName name="solver_opt" localSheetId="40" hidden="1">OverlapRangeLBwithFormula!$H$10</definedName>
    <definedName name="solver_opt" localSheetId="31" hidden="1">ProtectedSheet!$H$6</definedName>
    <definedName name="solver_opt" localSheetId="56" hidden="1">QuickSolve!$H$6</definedName>
    <definedName name="solver_opt" localSheetId="37" hidden="1">Relaxation!$H$9</definedName>
    <definedName name="solver_opt" localSheetId="52" hidden="1">SeekObj!$G$4</definedName>
    <definedName name="solver_opt" localSheetId="53" hidden="1">SeekObjInf!$G$4</definedName>
    <definedName name="solver_opt" localSheetId="59" hidden="1">Sensitivity!$G$6</definedName>
    <definedName name="solver_opt" localSheetId="60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4" hidden="1">SingleRangeLB!$H$8</definedName>
    <definedName name="solver_opt" localSheetId="57" hidden="1">SolverParameters!$H$15</definedName>
    <definedName name="solver_opt" localSheetId="14" hidden="1">TextObj!$H$6</definedName>
    <definedName name="solver_opt" localSheetId="9" hidden="1">TextRHS!$H$6</definedName>
    <definedName name="solver_opt" localSheetId="30" hidden="1">Unbounded!$H$6</definedName>
    <definedName name="solver_opt" localSheetId="46" hidden="1">VarConstraintLB!$H$9</definedName>
    <definedName name="solver_opt" localSheetId="42" hidden="1">VariableFormulaRangeLB!$H$9</definedName>
    <definedName name="solver_opt" localSheetId="58" hidden="1">Warmstart!$UF$2</definedName>
    <definedName name="solver_pre" localSheetId="64" hidden="1">0.001</definedName>
    <definedName name="solver_pre" localSheetId="60" hidden="1">0.0001</definedName>
    <definedName name="solver_rel1" localSheetId="24" hidden="1">1</definedName>
    <definedName name="solver_rel1" localSheetId="36" hidden="1">3</definedName>
    <definedName name="solver_rel1" localSheetId="21" hidden="1">1</definedName>
    <definedName name="solver_rel1" localSheetId="35" hidden="1">3</definedName>
    <definedName name="solver_rel1" localSheetId="8" hidden="1">1</definedName>
    <definedName name="solver_rel1" localSheetId="7" hidden="1">1</definedName>
    <definedName name="solver_rel1" localSheetId="48" hidden="1">1</definedName>
    <definedName name="solver_rel1" localSheetId="22" hidden="1">1</definedName>
    <definedName name="solver_rel1" localSheetId="23" hidden="1">1</definedName>
    <definedName name="solver_rel1" localSheetId="44" hidden="1">3</definedName>
    <definedName name="solver_rel1" localSheetId="41" hidden="1">3</definedName>
    <definedName name="solver_rel1" localSheetId="43" hidden="1">3</definedName>
    <definedName name="solver_rel1" localSheetId="26" hidden="1">1</definedName>
    <definedName name="solver_rel1" localSheetId="27" hidden="1">1</definedName>
    <definedName name="solver_rel1" localSheetId="54" hidden="1">2</definedName>
    <definedName name="solver_rel1" localSheetId="33" hidden="1">3</definedName>
    <definedName name="solver_rel1" localSheetId="11" hidden="1">1</definedName>
    <definedName name="solver_rel1" localSheetId="13" hidden="1">1</definedName>
    <definedName name="solver_rel1" localSheetId="10" hidden="1">1</definedName>
    <definedName name="solver_rel1" localSheetId="25" hidden="1">1</definedName>
    <definedName name="solver_rel1" localSheetId="29" hidden="1">1</definedName>
    <definedName name="solver_rel1" localSheetId="45" hidden="1">3</definedName>
    <definedName name="solver_rel1" localSheetId="47" hidden="1">2</definedName>
    <definedName name="solver_rel1" localSheetId="32" hidden="1">1</definedName>
    <definedName name="solver_rel1" localSheetId="28" hidden="1">1</definedName>
    <definedName name="solver_rel1" localSheetId="49" hidden="1">1</definedName>
    <definedName name="solver_rel1" localSheetId="5" hidden="1">1</definedName>
    <definedName name="solver_rel1" localSheetId="50" hidden="1">1</definedName>
    <definedName name="solver_rel1" localSheetId="38" hidden="1">3</definedName>
    <definedName name="solver_rel1" localSheetId="19" hidden="1">1</definedName>
    <definedName name="solver_rel1" localSheetId="20" hidden="1">1</definedName>
    <definedName name="solver_rel1" localSheetId="18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55" hidden="1">1</definedName>
    <definedName name="solver_rel1" localSheetId="68" hidden="1">3</definedName>
    <definedName name="solver_rel1" localSheetId="69" hidden="1">3</definedName>
    <definedName name="solver_rel1" localSheetId="70" hidden="1">3</definedName>
    <definedName name="solver_rel1" localSheetId="73" hidden="1">3</definedName>
    <definedName name="solver_rel1" localSheetId="67" hidden="1">3</definedName>
    <definedName name="solver_rel1" localSheetId="66" hidden="1">1</definedName>
    <definedName name="solver_rel1" localSheetId="62" hidden="1">1</definedName>
    <definedName name="solver_rel1" localSheetId="65" hidden="1">1</definedName>
    <definedName name="solver_rel1" localSheetId="63" hidden="1">1</definedName>
    <definedName name="solver_rel1" localSheetId="64" hidden="1">1</definedName>
    <definedName name="solver_rel1" localSheetId="61" hidden="1">1</definedName>
    <definedName name="solver_rel1" localSheetId="51" hidden="1">1</definedName>
    <definedName name="solver_rel1" localSheetId="6" hidden="1">1</definedName>
    <definedName name="solver_rel1" localSheetId="39" hidden="1">3</definedName>
    <definedName name="solver_rel1" localSheetId="40" hidden="1">3</definedName>
    <definedName name="solver_rel1" localSheetId="31" hidden="1">1</definedName>
    <definedName name="solver_rel1" localSheetId="56" hidden="1">1</definedName>
    <definedName name="solver_rel1" localSheetId="37" hidden="1">3</definedName>
    <definedName name="solver_rel1" localSheetId="52" hidden="1">2</definedName>
    <definedName name="solver_rel1" localSheetId="53" hidden="1">2</definedName>
    <definedName name="solver_rel1" localSheetId="59" hidden="1">1</definedName>
    <definedName name="solver_rel1" localSheetId="60" hidden="1">1</definedName>
    <definedName name="solver_rel1" localSheetId="4" hidden="1">1</definedName>
    <definedName name="solver_rel1" localSheetId="3" hidden="1">1</definedName>
    <definedName name="solver_rel1" localSheetId="34" hidden="1">3</definedName>
    <definedName name="solver_rel1" localSheetId="57" hidden="1">1</definedName>
    <definedName name="solver_rel1" localSheetId="14" hidden="1">1</definedName>
    <definedName name="solver_rel1" localSheetId="9" hidden="1">1</definedName>
    <definedName name="solver_rel1" localSheetId="30" hidden="1">1</definedName>
    <definedName name="solver_rel1" localSheetId="46" hidden="1">3</definedName>
    <definedName name="solver_rel1" localSheetId="42" hidden="1">3</definedName>
    <definedName name="solver_rel1" localSheetId="58" hidden="1">1</definedName>
    <definedName name="solver_rel10" localSheetId="62" hidden="1">1</definedName>
    <definedName name="solver_rel100" localSheetId="62" hidden="1">1</definedName>
    <definedName name="solver_rel101" localSheetId="62" hidden="1">3</definedName>
    <definedName name="solver_rel102" localSheetId="62" hidden="1">2</definedName>
    <definedName name="solver_rel103" localSheetId="62" hidden="1">1</definedName>
    <definedName name="solver_rel104" localSheetId="62" hidden="1">3</definedName>
    <definedName name="solver_rel105" localSheetId="62" hidden="1">2</definedName>
    <definedName name="solver_rel106" localSheetId="62" hidden="1">1</definedName>
    <definedName name="solver_rel107" localSheetId="62" hidden="1">3</definedName>
    <definedName name="solver_rel108" localSheetId="62" hidden="1">2</definedName>
    <definedName name="solver_rel109" localSheetId="62" hidden="1">1</definedName>
    <definedName name="solver_rel11" localSheetId="62" hidden="1">3</definedName>
    <definedName name="solver_rel110" localSheetId="62" hidden="1">3</definedName>
    <definedName name="solver_rel111" localSheetId="62" hidden="1">2</definedName>
    <definedName name="solver_rel112" localSheetId="62" hidden="1">1</definedName>
    <definedName name="solver_rel113" localSheetId="62" hidden="1">3</definedName>
    <definedName name="solver_rel114" localSheetId="62" hidden="1">2</definedName>
    <definedName name="solver_rel115" localSheetId="62" hidden="1">1</definedName>
    <definedName name="solver_rel116" localSheetId="62" hidden="1">3</definedName>
    <definedName name="solver_rel117" localSheetId="62" hidden="1">2</definedName>
    <definedName name="solver_rel118" localSheetId="62" hidden="1">1</definedName>
    <definedName name="solver_rel119" localSheetId="62" hidden="1">3</definedName>
    <definedName name="solver_rel12" localSheetId="62" hidden="1">2</definedName>
    <definedName name="solver_rel120" localSheetId="62" hidden="1">2</definedName>
    <definedName name="solver_rel121" localSheetId="62" hidden="1">1</definedName>
    <definedName name="solver_rel122" localSheetId="62" hidden="1">3</definedName>
    <definedName name="solver_rel123" localSheetId="62" hidden="1">2</definedName>
    <definedName name="solver_rel124" localSheetId="62" hidden="1">1</definedName>
    <definedName name="solver_rel125" localSheetId="62" hidden="1">3</definedName>
    <definedName name="solver_rel126" localSheetId="62" hidden="1">2</definedName>
    <definedName name="solver_rel127" localSheetId="62" hidden="1">1</definedName>
    <definedName name="solver_rel128" localSheetId="62" hidden="1">3</definedName>
    <definedName name="solver_rel129" localSheetId="62" hidden="1">2</definedName>
    <definedName name="solver_rel13" localSheetId="62" hidden="1">1</definedName>
    <definedName name="solver_rel130" localSheetId="62" hidden="1">1</definedName>
    <definedName name="solver_rel131" localSheetId="62" hidden="1">3</definedName>
    <definedName name="solver_rel132" localSheetId="62" hidden="1">2</definedName>
    <definedName name="solver_rel133" localSheetId="62" hidden="1">1</definedName>
    <definedName name="solver_rel134" localSheetId="62" hidden="1">3</definedName>
    <definedName name="solver_rel135" localSheetId="62" hidden="1">2</definedName>
    <definedName name="solver_rel136" localSheetId="62" hidden="1">1</definedName>
    <definedName name="solver_rel137" localSheetId="62" hidden="1">3</definedName>
    <definedName name="solver_rel138" localSheetId="62" hidden="1">2</definedName>
    <definedName name="solver_rel139" localSheetId="62" hidden="1">1</definedName>
    <definedName name="solver_rel14" localSheetId="62" hidden="1">3</definedName>
    <definedName name="solver_rel140" localSheetId="62" hidden="1">3</definedName>
    <definedName name="solver_rel141" localSheetId="62" hidden="1">2</definedName>
    <definedName name="solver_rel142" localSheetId="62" hidden="1">1</definedName>
    <definedName name="solver_rel143" localSheetId="62" hidden="1">3</definedName>
    <definedName name="solver_rel144" localSheetId="62" hidden="1">2</definedName>
    <definedName name="solver_rel145" localSheetId="62" hidden="1">1</definedName>
    <definedName name="solver_rel146" localSheetId="62" hidden="1">3</definedName>
    <definedName name="solver_rel147" localSheetId="62" hidden="1">2</definedName>
    <definedName name="solver_rel148" localSheetId="62" hidden="1">1</definedName>
    <definedName name="solver_rel149" localSheetId="62" hidden="1">3</definedName>
    <definedName name="solver_rel15" localSheetId="62" hidden="1">2</definedName>
    <definedName name="solver_rel150" localSheetId="62" hidden="1">2</definedName>
    <definedName name="solver_rel151" localSheetId="62" hidden="1">1</definedName>
    <definedName name="solver_rel152" localSheetId="62" hidden="1">3</definedName>
    <definedName name="solver_rel153" localSheetId="62" hidden="1">2</definedName>
    <definedName name="solver_rel154" localSheetId="62" hidden="1">1</definedName>
    <definedName name="solver_rel155" localSheetId="62" hidden="1">3</definedName>
    <definedName name="solver_rel156" localSheetId="62" hidden="1">2</definedName>
    <definedName name="solver_rel157" localSheetId="62" hidden="1">1</definedName>
    <definedName name="solver_rel158" localSheetId="62" hidden="1">3</definedName>
    <definedName name="solver_rel159" localSheetId="62" hidden="1">2</definedName>
    <definedName name="solver_rel16" localSheetId="62" hidden="1">1</definedName>
    <definedName name="solver_rel160" localSheetId="62" hidden="1">1</definedName>
    <definedName name="solver_rel161" localSheetId="62" hidden="1">3</definedName>
    <definedName name="solver_rel162" localSheetId="62" hidden="1">2</definedName>
    <definedName name="solver_rel163" localSheetId="62" hidden="1">1</definedName>
    <definedName name="solver_rel164" localSheetId="62" hidden="1">3</definedName>
    <definedName name="solver_rel165" localSheetId="62" hidden="1">2</definedName>
    <definedName name="solver_rel166" localSheetId="62" hidden="1">1</definedName>
    <definedName name="solver_rel167" localSheetId="62" hidden="1">3</definedName>
    <definedName name="solver_rel168" localSheetId="62" hidden="1">2</definedName>
    <definedName name="solver_rel169" localSheetId="62" hidden="1">1</definedName>
    <definedName name="solver_rel17" localSheetId="62" hidden="1">3</definedName>
    <definedName name="solver_rel170" localSheetId="62" hidden="1">3</definedName>
    <definedName name="solver_rel171" localSheetId="62" hidden="1">2</definedName>
    <definedName name="solver_rel172" localSheetId="62" hidden="1">1</definedName>
    <definedName name="solver_rel173" localSheetId="62" hidden="1">3</definedName>
    <definedName name="solver_rel174" localSheetId="62" hidden="1">2</definedName>
    <definedName name="solver_rel175" localSheetId="62" hidden="1">1</definedName>
    <definedName name="solver_rel176" localSheetId="62" hidden="1">3</definedName>
    <definedName name="solver_rel177" localSheetId="62" hidden="1">2</definedName>
    <definedName name="solver_rel178" localSheetId="62" hidden="1">1</definedName>
    <definedName name="solver_rel179" localSheetId="62" hidden="1">3</definedName>
    <definedName name="solver_rel18" localSheetId="62" hidden="1">2</definedName>
    <definedName name="solver_rel180" localSheetId="62" hidden="1">2</definedName>
    <definedName name="solver_rel181" localSheetId="62" hidden="1">1</definedName>
    <definedName name="solver_rel182" localSheetId="62" hidden="1">3</definedName>
    <definedName name="solver_rel183" localSheetId="62" hidden="1">2</definedName>
    <definedName name="solver_rel184" localSheetId="62" hidden="1">1</definedName>
    <definedName name="solver_rel185" localSheetId="62" hidden="1">3</definedName>
    <definedName name="solver_rel186" localSheetId="62" hidden="1">2</definedName>
    <definedName name="solver_rel187" localSheetId="62" hidden="1">1</definedName>
    <definedName name="solver_rel188" localSheetId="62" hidden="1">3</definedName>
    <definedName name="solver_rel189" localSheetId="62" hidden="1">2</definedName>
    <definedName name="solver_rel19" localSheetId="62" hidden="1">1</definedName>
    <definedName name="solver_rel190" localSheetId="62" hidden="1">1</definedName>
    <definedName name="solver_rel191" localSheetId="62" hidden="1">3</definedName>
    <definedName name="solver_rel192" localSheetId="62" hidden="1">2</definedName>
    <definedName name="solver_rel193" localSheetId="62" hidden="1">1</definedName>
    <definedName name="solver_rel194" localSheetId="62" hidden="1">3</definedName>
    <definedName name="solver_rel195" localSheetId="62" hidden="1">2</definedName>
    <definedName name="solver_rel196" localSheetId="62" hidden="1">1</definedName>
    <definedName name="solver_rel197" localSheetId="62" hidden="1">3</definedName>
    <definedName name="solver_rel198" localSheetId="62" hidden="1">2</definedName>
    <definedName name="solver_rel199" localSheetId="62" hidden="1">1</definedName>
    <definedName name="solver_rel2" localSheetId="36" hidden="1">3</definedName>
    <definedName name="solver_rel2" localSheetId="21" hidden="1">3</definedName>
    <definedName name="solver_rel2" localSheetId="35" hidden="1">3</definedName>
    <definedName name="solver_rel2" localSheetId="8" hidden="1">3</definedName>
    <definedName name="solver_rel2" localSheetId="7" hidden="1">3</definedName>
    <definedName name="solver_rel2" localSheetId="48" hidden="1">3</definedName>
    <definedName name="solver_rel2" localSheetId="22" hidden="1">3</definedName>
    <definedName name="solver_rel2" localSheetId="23" hidden="1">1</definedName>
    <definedName name="solver_rel2" localSheetId="44" hidden="1">3</definedName>
    <definedName name="solver_rel2" localSheetId="41" hidden="1">3</definedName>
    <definedName name="solver_rel2" localSheetId="26" hidden="1">3</definedName>
    <definedName name="solver_rel2" localSheetId="27" hidden="1">3</definedName>
    <definedName name="solver_rel2" localSheetId="54" hidden="1">3</definedName>
    <definedName name="solver_rel2" localSheetId="33" hidden="1">3</definedName>
    <definedName name="solver_rel2" localSheetId="11" hidden="1">3</definedName>
    <definedName name="solver_rel2" localSheetId="13" hidden="1">3</definedName>
    <definedName name="solver_rel2" localSheetId="10" hidden="1">3</definedName>
    <definedName name="solver_rel2" localSheetId="25" hidden="1">3</definedName>
    <definedName name="solver_rel2" localSheetId="29" hidden="1">3</definedName>
    <definedName name="solver_rel2" localSheetId="45" hidden="1">3</definedName>
    <definedName name="solver_rel2" localSheetId="47" hidden="1">3</definedName>
    <definedName name="solver_rel2" localSheetId="32" hidden="1">3</definedName>
    <definedName name="solver_rel2" localSheetId="28" hidden="1">3</definedName>
    <definedName name="solver_rel2" localSheetId="49" hidden="1">3</definedName>
    <definedName name="solver_rel2" localSheetId="5" hidden="1">5</definedName>
    <definedName name="solver_rel2" localSheetId="50" hidden="1">3</definedName>
    <definedName name="solver_rel2" localSheetId="38" hidden="1">3</definedName>
    <definedName name="solver_rel2" localSheetId="19" hidden="1">3</definedName>
    <definedName name="solver_rel2" localSheetId="20" hidden="1">3</definedName>
    <definedName name="solver_rel2" localSheetId="18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55" hidden="1">3</definedName>
    <definedName name="solver_rel2" localSheetId="68" hidden="1">1</definedName>
    <definedName name="solver_rel2" localSheetId="70" hidden="1">1</definedName>
    <definedName name="solver_rel2" localSheetId="73" hidden="1">1</definedName>
    <definedName name="solver_rel2" localSheetId="67" hidden="1">5</definedName>
    <definedName name="solver_rel2" localSheetId="62" hidden="1">3</definedName>
    <definedName name="solver_rel2" localSheetId="65" hidden="1">4</definedName>
    <definedName name="solver_rel2" localSheetId="63" hidden="1">3</definedName>
    <definedName name="solver_rel2" localSheetId="64" hidden="1">3</definedName>
    <definedName name="solver_rel2" localSheetId="61" hidden="1">3</definedName>
    <definedName name="solver_rel2" localSheetId="51" hidden="1">3</definedName>
    <definedName name="solver_rel2" localSheetId="6" hidden="1">3</definedName>
    <definedName name="solver_rel2" localSheetId="39" hidden="1">3</definedName>
    <definedName name="solver_rel2" localSheetId="40" hidden="1">3</definedName>
    <definedName name="solver_rel2" localSheetId="31" hidden="1">3</definedName>
    <definedName name="solver_rel2" localSheetId="56" hidden="1">3</definedName>
    <definedName name="solver_rel2" localSheetId="37" hidden="1">3</definedName>
    <definedName name="solver_rel2" localSheetId="52" hidden="1">3</definedName>
    <definedName name="solver_rel2" localSheetId="53" hidden="1">3</definedName>
    <definedName name="solver_rel2" localSheetId="59" hidden="1">3</definedName>
    <definedName name="solver_rel2" localSheetId="60" hidden="1">2</definedName>
    <definedName name="solver_rel2" localSheetId="4" hidden="1">5</definedName>
    <definedName name="solver_rel2" localSheetId="3" hidden="1">3</definedName>
    <definedName name="solver_rel2" localSheetId="34" hidden="1">3</definedName>
    <definedName name="solver_rel2" localSheetId="57" hidden="1">3</definedName>
    <definedName name="solver_rel2" localSheetId="14" hidden="1">3</definedName>
    <definedName name="solver_rel2" localSheetId="9" hidden="1">3</definedName>
    <definedName name="solver_rel2" localSheetId="30" hidden="1">3</definedName>
    <definedName name="solver_rel2" localSheetId="46" hidden="1">1</definedName>
    <definedName name="solver_rel2" localSheetId="42" hidden="1">3</definedName>
    <definedName name="solver_rel2" localSheetId="58" hidden="1">5</definedName>
    <definedName name="solver_rel20" localSheetId="62" hidden="1">3</definedName>
    <definedName name="solver_rel200" localSheetId="62" hidden="1">3</definedName>
    <definedName name="solver_rel201" localSheetId="62" hidden="1">2</definedName>
    <definedName name="solver_rel202" localSheetId="62" hidden="1">1</definedName>
    <definedName name="solver_rel203" localSheetId="62" hidden="1">3</definedName>
    <definedName name="solver_rel204" localSheetId="62" hidden="1">2</definedName>
    <definedName name="solver_rel205" localSheetId="62" hidden="1">1</definedName>
    <definedName name="solver_rel206" localSheetId="62" hidden="1">3</definedName>
    <definedName name="solver_rel207" localSheetId="62" hidden="1">2</definedName>
    <definedName name="solver_rel208" localSheetId="62" hidden="1">1</definedName>
    <definedName name="solver_rel209" localSheetId="62" hidden="1">3</definedName>
    <definedName name="solver_rel21" localSheetId="62" hidden="1">2</definedName>
    <definedName name="solver_rel210" localSheetId="62" hidden="1">2</definedName>
    <definedName name="solver_rel211" localSheetId="62" hidden="1">1</definedName>
    <definedName name="solver_rel212" localSheetId="62" hidden="1">3</definedName>
    <definedName name="solver_rel213" localSheetId="62" hidden="1">2</definedName>
    <definedName name="solver_rel214" localSheetId="62" hidden="1">1</definedName>
    <definedName name="solver_rel215" localSheetId="62" hidden="1">3</definedName>
    <definedName name="solver_rel216" localSheetId="62" hidden="1">2</definedName>
    <definedName name="solver_rel217" localSheetId="62" hidden="1">1</definedName>
    <definedName name="solver_rel218" localSheetId="62" hidden="1">3</definedName>
    <definedName name="solver_rel219" localSheetId="62" hidden="1">2</definedName>
    <definedName name="solver_rel22" localSheetId="62" hidden="1">1</definedName>
    <definedName name="solver_rel220" localSheetId="62" hidden="1">1</definedName>
    <definedName name="solver_rel221" localSheetId="62" hidden="1">3</definedName>
    <definedName name="solver_rel222" localSheetId="62" hidden="1">2</definedName>
    <definedName name="solver_rel223" localSheetId="62" hidden="1">1</definedName>
    <definedName name="solver_rel224" localSheetId="62" hidden="1">3</definedName>
    <definedName name="solver_rel225" localSheetId="62" hidden="1">2</definedName>
    <definedName name="solver_rel226" localSheetId="62" hidden="1">1</definedName>
    <definedName name="solver_rel227" localSheetId="62" hidden="1">3</definedName>
    <definedName name="solver_rel228" localSheetId="62" hidden="1">2</definedName>
    <definedName name="solver_rel229" localSheetId="62" hidden="1">1</definedName>
    <definedName name="solver_rel23" localSheetId="62" hidden="1">3</definedName>
    <definedName name="solver_rel230" localSheetId="62" hidden="1">3</definedName>
    <definedName name="solver_rel231" localSheetId="62" hidden="1">2</definedName>
    <definedName name="solver_rel232" localSheetId="62" hidden="1">1</definedName>
    <definedName name="solver_rel233" localSheetId="62" hidden="1">3</definedName>
    <definedName name="solver_rel234" localSheetId="62" hidden="1">2</definedName>
    <definedName name="solver_rel235" localSheetId="62" hidden="1">1</definedName>
    <definedName name="solver_rel236" localSheetId="62" hidden="1">3</definedName>
    <definedName name="solver_rel237" localSheetId="62" hidden="1">2</definedName>
    <definedName name="solver_rel238" localSheetId="62" hidden="1">1</definedName>
    <definedName name="solver_rel239" localSheetId="62" hidden="1">3</definedName>
    <definedName name="solver_rel24" localSheetId="62" hidden="1">2</definedName>
    <definedName name="solver_rel240" localSheetId="62" hidden="1">2</definedName>
    <definedName name="solver_rel241" localSheetId="62" hidden="1">1</definedName>
    <definedName name="solver_rel242" localSheetId="62" hidden="1">3</definedName>
    <definedName name="solver_rel243" localSheetId="62" hidden="1">2</definedName>
    <definedName name="solver_rel244" localSheetId="62" hidden="1">1</definedName>
    <definedName name="solver_rel245" localSheetId="62" hidden="1">3</definedName>
    <definedName name="solver_rel246" localSheetId="62" hidden="1">2</definedName>
    <definedName name="solver_rel247" localSheetId="62" hidden="1">1</definedName>
    <definedName name="solver_rel248" localSheetId="62" hidden="1">3</definedName>
    <definedName name="solver_rel249" localSheetId="62" hidden="1">2</definedName>
    <definedName name="solver_rel25" localSheetId="62" hidden="1">1</definedName>
    <definedName name="solver_rel250" localSheetId="62" hidden="1">1</definedName>
    <definedName name="solver_rel251" localSheetId="62" hidden="1">3</definedName>
    <definedName name="solver_rel252" localSheetId="62" hidden="1">2</definedName>
    <definedName name="solver_rel253" localSheetId="62" hidden="1">1</definedName>
    <definedName name="solver_rel254" localSheetId="62" hidden="1">3</definedName>
    <definedName name="solver_rel255" localSheetId="62" hidden="1">2</definedName>
    <definedName name="solver_rel256" localSheetId="62" hidden="1">1</definedName>
    <definedName name="solver_rel257" localSheetId="62" hidden="1">3</definedName>
    <definedName name="solver_rel258" localSheetId="62" hidden="1">2</definedName>
    <definedName name="solver_rel259" localSheetId="62" hidden="1">1</definedName>
    <definedName name="solver_rel26" localSheetId="62" hidden="1">3</definedName>
    <definedName name="solver_rel260" localSheetId="62" hidden="1">3</definedName>
    <definedName name="solver_rel261" localSheetId="62" hidden="1">2</definedName>
    <definedName name="solver_rel262" localSheetId="62" hidden="1">1</definedName>
    <definedName name="solver_rel263" localSheetId="62" hidden="1">3</definedName>
    <definedName name="solver_rel264" localSheetId="62" hidden="1">2</definedName>
    <definedName name="solver_rel265" localSheetId="62" hidden="1">1</definedName>
    <definedName name="solver_rel266" localSheetId="62" hidden="1">3</definedName>
    <definedName name="solver_rel267" localSheetId="62" hidden="1">2</definedName>
    <definedName name="solver_rel268" localSheetId="62" hidden="1">1</definedName>
    <definedName name="solver_rel269" localSheetId="62" hidden="1">3</definedName>
    <definedName name="solver_rel27" localSheetId="62" hidden="1">2</definedName>
    <definedName name="solver_rel270" localSheetId="62" hidden="1">2</definedName>
    <definedName name="solver_rel271" localSheetId="62" hidden="1">1</definedName>
    <definedName name="solver_rel272" localSheetId="62" hidden="1">3</definedName>
    <definedName name="solver_rel273" localSheetId="62" hidden="1">2</definedName>
    <definedName name="solver_rel274" localSheetId="62" hidden="1">1</definedName>
    <definedName name="solver_rel275" localSheetId="62" hidden="1">3</definedName>
    <definedName name="solver_rel276" localSheetId="62" hidden="1">2</definedName>
    <definedName name="solver_rel277" localSheetId="62" hidden="1">1</definedName>
    <definedName name="solver_rel278" localSheetId="62" hidden="1">3</definedName>
    <definedName name="solver_rel279" localSheetId="62" hidden="1">2</definedName>
    <definedName name="solver_rel28" localSheetId="62" hidden="1">1</definedName>
    <definedName name="solver_rel280" localSheetId="62" hidden="1">1</definedName>
    <definedName name="solver_rel281" localSheetId="62" hidden="1">3</definedName>
    <definedName name="solver_rel282" localSheetId="62" hidden="1">2</definedName>
    <definedName name="solver_rel283" localSheetId="62" hidden="1">1</definedName>
    <definedName name="solver_rel284" localSheetId="62" hidden="1">3</definedName>
    <definedName name="solver_rel285" localSheetId="62" hidden="1">2</definedName>
    <definedName name="solver_rel286" localSheetId="62" hidden="1">1</definedName>
    <definedName name="solver_rel287" localSheetId="62" hidden="1">3</definedName>
    <definedName name="solver_rel288" localSheetId="62" hidden="1">2</definedName>
    <definedName name="solver_rel289" localSheetId="62" hidden="1">1</definedName>
    <definedName name="solver_rel29" localSheetId="62" hidden="1">3</definedName>
    <definedName name="solver_rel290" localSheetId="62" hidden="1">3</definedName>
    <definedName name="solver_rel291" localSheetId="62" hidden="1">2</definedName>
    <definedName name="solver_rel292" localSheetId="62" hidden="1">1</definedName>
    <definedName name="solver_rel293" localSheetId="62" hidden="1">3</definedName>
    <definedName name="solver_rel294" localSheetId="62" hidden="1">2</definedName>
    <definedName name="solver_rel295" localSheetId="62" hidden="1">1</definedName>
    <definedName name="solver_rel296" localSheetId="62" hidden="1">3</definedName>
    <definedName name="solver_rel297" localSheetId="62" hidden="1">2</definedName>
    <definedName name="solver_rel298" localSheetId="62" hidden="1">1</definedName>
    <definedName name="solver_rel299" localSheetId="62" hidden="1">3</definedName>
    <definedName name="solver_rel3" localSheetId="36" hidden="1">5</definedName>
    <definedName name="solver_rel3" localSheetId="21" hidden="1">1</definedName>
    <definedName name="solver_rel3" localSheetId="35" hidden="1">5</definedName>
    <definedName name="solver_rel3" localSheetId="8" hidden="1">2</definedName>
    <definedName name="solver_rel3" localSheetId="7" hidden="1">2</definedName>
    <definedName name="solver_rel3" localSheetId="48" hidden="1">1</definedName>
    <definedName name="solver_rel3" localSheetId="22" hidden="1">1</definedName>
    <definedName name="solver_rel3" localSheetId="23" hidden="1">1</definedName>
    <definedName name="solver_rel3" localSheetId="26" hidden="1">1</definedName>
    <definedName name="solver_rel3" localSheetId="27" hidden="1">1</definedName>
    <definedName name="solver_rel3" localSheetId="54" hidden="1">1</definedName>
    <definedName name="solver_rel3" localSheetId="11" hidden="1">2</definedName>
    <definedName name="solver_rel3" localSheetId="13" hidden="1">2</definedName>
    <definedName name="solver_rel3" localSheetId="10" hidden="1">2</definedName>
    <definedName name="solver_rel3" localSheetId="25" hidden="1">2</definedName>
    <definedName name="solver_rel3" localSheetId="29" hidden="1">3</definedName>
    <definedName name="solver_rel3" localSheetId="47" hidden="1">1</definedName>
    <definedName name="solver_rel3" localSheetId="32" hidden="1">2</definedName>
    <definedName name="solver_rel3" localSheetId="28" hidden="1">2</definedName>
    <definedName name="solver_rel3" localSheetId="49" hidden="1">1</definedName>
    <definedName name="solver_rel3" localSheetId="50" hidden="1">2</definedName>
    <definedName name="solver_rel3" localSheetId="19" hidden="1">2</definedName>
    <definedName name="solver_rel3" localSheetId="20" hidden="1">2</definedName>
    <definedName name="solver_rel3" localSheetId="18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55" hidden="1">1</definedName>
    <definedName name="solver_rel3" localSheetId="68" hidden="1">3</definedName>
    <definedName name="solver_rel3" localSheetId="73" hidden="1">3</definedName>
    <definedName name="solver_rel3" localSheetId="62" hidden="1">2</definedName>
    <definedName name="solver_rel3" localSheetId="63" hidden="1">2</definedName>
    <definedName name="solver_rel3" localSheetId="64" hidden="1">1</definedName>
    <definedName name="solver_rel3" localSheetId="61" hidden="1">2</definedName>
    <definedName name="solver_rel3" localSheetId="51" hidden="1">2</definedName>
    <definedName name="solver_rel3" localSheetId="6" hidden="1">2</definedName>
    <definedName name="solver_rel3" localSheetId="31" hidden="1">2</definedName>
    <definedName name="solver_rel3" localSheetId="37" hidden="1">5</definedName>
    <definedName name="solver_rel3" localSheetId="52" hidden="1">1</definedName>
    <definedName name="solver_rel3" localSheetId="53" hidden="1">1</definedName>
    <definedName name="solver_rel3" localSheetId="59" hidden="1">1</definedName>
    <definedName name="solver_rel3" localSheetId="60" hidden="1">2</definedName>
    <definedName name="solver_rel3" localSheetId="3" hidden="1">2</definedName>
    <definedName name="solver_rel3" localSheetId="57" hidden="1">2</definedName>
    <definedName name="solver_rel3" localSheetId="14" hidden="1">2</definedName>
    <definedName name="solver_rel3" localSheetId="9" hidden="1">2</definedName>
    <definedName name="solver_rel3" localSheetId="30" hidden="1">2</definedName>
    <definedName name="solver_rel30" localSheetId="62" hidden="1">2</definedName>
    <definedName name="solver_rel300" localSheetId="62" hidden="1">2</definedName>
    <definedName name="solver_rel301" localSheetId="62" hidden="1">1</definedName>
    <definedName name="solver_rel302" localSheetId="62" hidden="1">3</definedName>
    <definedName name="solver_rel303" localSheetId="62" hidden="1">2</definedName>
    <definedName name="solver_rel304" localSheetId="62" hidden="1">1</definedName>
    <definedName name="solver_rel305" localSheetId="62" hidden="1">3</definedName>
    <definedName name="solver_rel306" localSheetId="62" hidden="1">2</definedName>
    <definedName name="solver_rel307" localSheetId="62" hidden="1">1</definedName>
    <definedName name="solver_rel308" localSheetId="62" hidden="1">3</definedName>
    <definedName name="solver_rel309" localSheetId="62" hidden="1">2</definedName>
    <definedName name="solver_rel31" localSheetId="62" hidden="1">1</definedName>
    <definedName name="solver_rel310" localSheetId="62" hidden="1">1</definedName>
    <definedName name="solver_rel311" localSheetId="62" hidden="1">3</definedName>
    <definedName name="solver_rel312" localSheetId="62" hidden="1">2</definedName>
    <definedName name="solver_rel313" localSheetId="62" hidden="1">1</definedName>
    <definedName name="solver_rel314" localSheetId="62" hidden="1">3</definedName>
    <definedName name="solver_rel315" localSheetId="62" hidden="1">2</definedName>
    <definedName name="solver_rel316" localSheetId="62" hidden="1">1</definedName>
    <definedName name="solver_rel317" localSheetId="62" hidden="1">3</definedName>
    <definedName name="solver_rel318" localSheetId="62" hidden="1">2</definedName>
    <definedName name="solver_rel319" localSheetId="62" hidden="1">1</definedName>
    <definedName name="solver_rel32" localSheetId="62" hidden="1">3</definedName>
    <definedName name="solver_rel320" localSheetId="62" hidden="1">3</definedName>
    <definedName name="solver_rel321" localSheetId="62" hidden="1">2</definedName>
    <definedName name="solver_rel322" localSheetId="62" hidden="1">1</definedName>
    <definedName name="solver_rel323" localSheetId="62" hidden="1">3</definedName>
    <definedName name="solver_rel324" localSheetId="62" hidden="1">2</definedName>
    <definedName name="solver_rel325" localSheetId="62" hidden="1">1</definedName>
    <definedName name="solver_rel326" localSheetId="62" hidden="1">3</definedName>
    <definedName name="solver_rel327" localSheetId="62" hidden="1">2</definedName>
    <definedName name="solver_rel328" localSheetId="62" hidden="1">1</definedName>
    <definedName name="solver_rel329" localSheetId="62" hidden="1">3</definedName>
    <definedName name="solver_rel33" localSheetId="62" hidden="1">2</definedName>
    <definedName name="solver_rel330" localSheetId="62" hidden="1">2</definedName>
    <definedName name="solver_rel331" localSheetId="62" hidden="1">1</definedName>
    <definedName name="solver_rel332" localSheetId="62" hidden="1">3</definedName>
    <definedName name="solver_rel333" localSheetId="62" hidden="1">2</definedName>
    <definedName name="solver_rel334" localSheetId="62" hidden="1">1</definedName>
    <definedName name="solver_rel335" localSheetId="62" hidden="1">3</definedName>
    <definedName name="solver_rel336" localSheetId="62" hidden="1">2</definedName>
    <definedName name="solver_rel337" localSheetId="62" hidden="1">1</definedName>
    <definedName name="solver_rel338" localSheetId="62" hidden="1">3</definedName>
    <definedName name="solver_rel339" localSheetId="62" hidden="1">2</definedName>
    <definedName name="solver_rel34" localSheetId="62" hidden="1">1</definedName>
    <definedName name="solver_rel340" localSheetId="62" hidden="1">1</definedName>
    <definedName name="solver_rel341" localSheetId="62" hidden="1">3</definedName>
    <definedName name="solver_rel342" localSheetId="62" hidden="1">2</definedName>
    <definedName name="solver_rel343" localSheetId="62" hidden="1">1</definedName>
    <definedName name="solver_rel344" localSheetId="62" hidden="1">3</definedName>
    <definedName name="solver_rel345" localSheetId="62" hidden="1">2</definedName>
    <definedName name="solver_rel346" localSheetId="62" hidden="1">1</definedName>
    <definedName name="solver_rel347" localSheetId="62" hidden="1">3</definedName>
    <definedName name="solver_rel348" localSheetId="62" hidden="1">2</definedName>
    <definedName name="solver_rel349" localSheetId="62" hidden="1">1</definedName>
    <definedName name="solver_rel35" localSheetId="62" hidden="1">3</definedName>
    <definedName name="solver_rel350" localSheetId="62" hidden="1">3</definedName>
    <definedName name="solver_rel351" localSheetId="62" hidden="1">2</definedName>
    <definedName name="solver_rel352" localSheetId="62" hidden="1">1</definedName>
    <definedName name="solver_rel353" localSheetId="62" hidden="1">3</definedName>
    <definedName name="solver_rel354" localSheetId="62" hidden="1">2</definedName>
    <definedName name="solver_rel355" localSheetId="62" hidden="1">1</definedName>
    <definedName name="solver_rel356" localSheetId="62" hidden="1">3</definedName>
    <definedName name="solver_rel357" localSheetId="62" hidden="1">2</definedName>
    <definedName name="solver_rel358" localSheetId="62" hidden="1">1</definedName>
    <definedName name="solver_rel359" localSheetId="62" hidden="1">3</definedName>
    <definedName name="solver_rel36" localSheetId="62" hidden="1">2</definedName>
    <definedName name="solver_rel360" localSheetId="62" hidden="1">2</definedName>
    <definedName name="solver_rel361" localSheetId="62" hidden="1">1</definedName>
    <definedName name="solver_rel362" localSheetId="62" hidden="1">3</definedName>
    <definedName name="solver_rel363" localSheetId="62" hidden="1">2</definedName>
    <definedName name="solver_rel364" localSheetId="62" hidden="1">1</definedName>
    <definedName name="solver_rel365" localSheetId="62" hidden="1">3</definedName>
    <definedName name="solver_rel366" localSheetId="62" hidden="1">2</definedName>
    <definedName name="solver_rel367" localSheetId="62" hidden="1">1</definedName>
    <definedName name="solver_rel368" localSheetId="62" hidden="1">3</definedName>
    <definedName name="solver_rel369" localSheetId="62" hidden="1">2</definedName>
    <definedName name="solver_rel37" localSheetId="62" hidden="1">1</definedName>
    <definedName name="solver_rel370" localSheetId="62" hidden="1">1</definedName>
    <definedName name="solver_rel371" localSheetId="62" hidden="1">3</definedName>
    <definedName name="solver_rel372" localSheetId="62" hidden="1">2</definedName>
    <definedName name="solver_rel373" localSheetId="62" hidden="1">1</definedName>
    <definedName name="solver_rel374" localSheetId="62" hidden="1">3</definedName>
    <definedName name="solver_rel375" localSheetId="62" hidden="1">2</definedName>
    <definedName name="solver_rel376" localSheetId="62" hidden="1">1</definedName>
    <definedName name="solver_rel377" localSheetId="62" hidden="1">3</definedName>
    <definedName name="solver_rel378" localSheetId="62" hidden="1">2</definedName>
    <definedName name="solver_rel379" localSheetId="62" hidden="1">1</definedName>
    <definedName name="solver_rel38" localSheetId="62" hidden="1">3</definedName>
    <definedName name="solver_rel380" localSheetId="62" hidden="1">3</definedName>
    <definedName name="solver_rel381" localSheetId="62" hidden="1">2</definedName>
    <definedName name="solver_rel382" localSheetId="62" hidden="1">1</definedName>
    <definedName name="solver_rel383" localSheetId="62" hidden="1">3</definedName>
    <definedName name="solver_rel384" localSheetId="62" hidden="1">2</definedName>
    <definedName name="solver_rel385" localSheetId="62" hidden="1">1</definedName>
    <definedName name="solver_rel386" localSheetId="62" hidden="1">3</definedName>
    <definedName name="solver_rel387" localSheetId="62" hidden="1">2</definedName>
    <definedName name="solver_rel388" localSheetId="62" hidden="1">1</definedName>
    <definedName name="solver_rel389" localSheetId="62" hidden="1">3</definedName>
    <definedName name="solver_rel39" localSheetId="62" hidden="1">2</definedName>
    <definedName name="solver_rel390" localSheetId="62" hidden="1">2</definedName>
    <definedName name="solver_rel391" localSheetId="62" hidden="1">1</definedName>
    <definedName name="solver_rel392" localSheetId="62" hidden="1">3</definedName>
    <definedName name="solver_rel393" localSheetId="62" hidden="1">2</definedName>
    <definedName name="solver_rel394" localSheetId="62" hidden="1">1</definedName>
    <definedName name="solver_rel395" localSheetId="62" hidden="1">3</definedName>
    <definedName name="solver_rel396" localSheetId="62" hidden="1">2</definedName>
    <definedName name="solver_rel397" localSheetId="62" hidden="1">1</definedName>
    <definedName name="solver_rel398" localSheetId="62" hidden="1">3</definedName>
    <definedName name="solver_rel399" localSheetId="62" hidden="1">2</definedName>
    <definedName name="solver_rel4" localSheetId="36" hidden="1">4</definedName>
    <definedName name="solver_rel4" localSheetId="21" hidden="1">5</definedName>
    <definedName name="solver_rel4" localSheetId="48" hidden="1">5</definedName>
    <definedName name="solver_rel4" localSheetId="22" hidden="1">5</definedName>
    <definedName name="solver_rel4" localSheetId="23" hidden="1">5</definedName>
    <definedName name="solver_rel4" localSheetId="26" hidden="1">1</definedName>
    <definedName name="solver_rel4" localSheetId="32" hidden="1">3</definedName>
    <definedName name="solver_rel4" localSheetId="49" hidden="1">1</definedName>
    <definedName name="solver_rel4" localSheetId="55" hidden="1">2</definedName>
    <definedName name="solver_rel4" localSheetId="68" hidden="1">1</definedName>
    <definedName name="solver_rel4" localSheetId="73" hidden="1">1</definedName>
    <definedName name="solver_rel4" localSheetId="62" hidden="1">1</definedName>
    <definedName name="solver_rel4" localSheetId="37" hidden="1">4</definedName>
    <definedName name="solver_rel4" localSheetId="59" hidden="1">2</definedName>
    <definedName name="solver_rel4" localSheetId="60" hidden="1">3</definedName>
    <definedName name="solver_rel4" localSheetId="58" hidden="1">4</definedName>
    <definedName name="solver_rel40" localSheetId="62" hidden="1">1</definedName>
    <definedName name="solver_rel400" localSheetId="62" hidden="1">1</definedName>
    <definedName name="solver_rel401" localSheetId="62" hidden="1">3</definedName>
    <definedName name="solver_rel402" localSheetId="62" hidden="1">2</definedName>
    <definedName name="solver_rel403" localSheetId="62" hidden="1">1</definedName>
    <definedName name="solver_rel404" localSheetId="62" hidden="1">3</definedName>
    <definedName name="solver_rel405" localSheetId="62" hidden="1">2</definedName>
    <definedName name="solver_rel406" localSheetId="62" hidden="1">1</definedName>
    <definedName name="solver_rel407" localSheetId="62" hidden="1">3</definedName>
    <definedName name="solver_rel408" localSheetId="62" hidden="1">2</definedName>
    <definedName name="solver_rel409" localSheetId="62" hidden="1">1</definedName>
    <definedName name="solver_rel41" localSheetId="62" hidden="1">3</definedName>
    <definedName name="solver_rel410" localSheetId="62" hidden="1">3</definedName>
    <definedName name="solver_rel411" localSheetId="62" hidden="1">2</definedName>
    <definedName name="solver_rel412" localSheetId="62" hidden="1">1</definedName>
    <definedName name="solver_rel413" localSheetId="62" hidden="1">3</definedName>
    <definedName name="solver_rel414" localSheetId="62" hidden="1">2</definedName>
    <definedName name="solver_rel415" localSheetId="62" hidden="1">1</definedName>
    <definedName name="solver_rel416" localSheetId="62" hidden="1">3</definedName>
    <definedName name="solver_rel417" localSheetId="62" hidden="1">2</definedName>
    <definedName name="solver_rel418" localSheetId="62" hidden="1">1</definedName>
    <definedName name="solver_rel419" localSheetId="62" hidden="1">3</definedName>
    <definedName name="solver_rel42" localSheetId="62" hidden="1">2</definedName>
    <definedName name="solver_rel420" localSheetId="62" hidden="1">2</definedName>
    <definedName name="solver_rel421" localSheetId="62" hidden="1">1</definedName>
    <definedName name="solver_rel422" localSheetId="62" hidden="1">3</definedName>
    <definedName name="solver_rel423" localSheetId="62" hidden="1">2</definedName>
    <definedName name="solver_rel424" localSheetId="62" hidden="1">1</definedName>
    <definedName name="solver_rel425" localSheetId="62" hidden="1">3</definedName>
    <definedName name="solver_rel426" localSheetId="62" hidden="1">2</definedName>
    <definedName name="solver_rel427" localSheetId="62" hidden="1">1</definedName>
    <definedName name="solver_rel428" localSheetId="62" hidden="1">3</definedName>
    <definedName name="solver_rel429" localSheetId="62" hidden="1">2</definedName>
    <definedName name="solver_rel43" localSheetId="62" hidden="1">1</definedName>
    <definedName name="solver_rel430" localSheetId="62" hidden="1">1</definedName>
    <definedName name="solver_rel431" localSheetId="62" hidden="1">3</definedName>
    <definedName name="solver_rel432" localSheetId="62" hidden="1">2</definedName>
    <definedName name="solver_rel433" localSheetId="62" hidden="1">1</definedName>
    <definedName name="solver_rel434" localSheetId="62" hidden="1">3</definedName>
    <definedName name="solver_rel435" localSheetId="62" hidden="1">2</definedName>
    <definedName name="solver_rel436" localSheetId="62" hidden="1">1</definedName>
    <definedName name="solver_rel437" localSheetId="62" hidden="1">3</definedName>
    <definedName name="solver_rel438" localSheetId="62" hidden="1">2</definedName>
    <definedName name="solver_rel439" localSheetId="62" hidden="1">1</definedName>
    <definedName name="solver_rel44" localSheetId="62" hidden="1">3</definedName>
    <definedName name="solver_rel440" localSheetId="62" hidden="1">3</definedName>
    <definedName name="solver_rel441" localSheetId="62" hidden="1">2</definedName>
    <definedName name="solver_rel442" localSheetId="62" hidden="1">1</definedName>
    <definedName name="solver_rel443" localSheetId="62" hidden="1">3</definedName>
    <definedName name="solver_rel444" localSheetId="62" hidden="1">2</definedName>
    <definedName name="solver_rel445" localSheetId="62" hidden="1">1</definedName>
    <definedName name="solver_rel446" localSheetId="62" hidden="1">3</definedName>
    <definedName name="solver_rel447" localSheetId="62" hidden="1">2</definedName>
    <definedName name="solver_rel448" localSheetId="62" hidden="1">1</definedName>
    <definedName name="solver_rel449" localSheetId="62" hidden="1">3</definedName>
    <definedName name="solver_rel45" localSheetId="62" hidden="1">2</definedName>
    <definedName name="solver_rel450" localSheetId="62" hidden="1">2</definedName>
    <definedName name="solver_rel451" localSheetId="62" hidden="1">1</definedName>
    <definedName name="solver_rel452" localSheetId="62" hidden="1">3</definedName>
    <definedName name="solver_rel453" localSheetId="62" hidden="1">2</definedName>
    <definedName name="solver_rel454" localSheetId="62" hidden="1">1</definedName>
    <definedName name="solver_rel455" localSheetId="62" hidden="1">3</definedName>
    <definedName name="solver_rel456" localSheetId="62" hidden="1">2</definedName>
    <definedName name="solver_rel457" localSheetId="62" hidden="1">1</definedName>
    <definedName name="solver_rel458" localSheetId="62" hidden="1">3</definedName>
    <definedName name="solver_rel459" localSheetId="62" hidden="1">2</definedName>
    <definedName name="solver_rel46" localSheetId="62" hidden="1">1</definedName>
    <definedName name="solver_rel460" localSheetId="62" hidden="1">1</definedName>
    <definedName name="solver_rel461" localSheetId="62" hidden="1">3</definedName>
    <definedName name="solver_rel462" localSheetId="62" hidden="1">2</definedName>
    <definedName name="solver_rel463" localSheetId="62" hidden="1">1</definedName>
    <definedName name="solver_rel464" localSheetId="62" hidden="1">3</definedName>
    <definedName name="solver_rel465" localSheetId="62" hidden="1">2</definedName>
    <definedName name="solver_rel466" localSheetId="62" hidden="1">1</definedName>
    <definedName name="solver_rel467" localSheetId="62" hidden="1">3</definedName>
    <definedName name="solver_rel468" localSheetId="62" hidden="1">2</definedName>
    <definedName name="solver_rel469" localSheetId="62" hidden="1">1</definedName>
    <definedName name="solver_rel47" localSheetId="62" hidden="1">3</definedName>
    <definedName name="solver_rel470" localSheetId="62" hidden="1">3</definedName>
    <definedName name="solver_rel471" localSheetId="62" hidden="1">2</definedName>
    <definedName name="solver_rel472" localSheetId="62" hidden="1">1</definedName>
    <definedName name="solver_rel473" localSheetId="62" hidden="1">3</definedName>
    <definedName name="solver_rel474" localSheetId="62" hidden="1">2</definedName>
    <definedName name="solver_rel475" localSheetId="62" hidden="1">1</definedName>
    <definedName name="solver_rel476" localSheetId="62" hidden="1">3</definedName>
    <definedName name="solver_rel477" localSheetId="62" hidden="1">2</definedName>
    <definedName name="solver_rel478" localSheetId="62" hidden="1">1</definedName>
    <definedName name="solver_rel479" localSheetId="62" hidden="1">3</definedName>
    <definedName name="solver_rel48" localSheetId="62" hidden="1">2</definedName>
    <definedName name="solver_rel480" localSheetId="62" hidden="1">2</definedName>
    <definedName name="solver_rel481" localSheetId="62" hidden="1">1</definedName>
    <definedName name="solver_rel482" localSheetId="62" hidden="1">3</definedName>
    <definedName name="solver_rel483" localSheetId="62" hidden="1">2</definedName>
    <definedName name="solver_rel484" localSheetId="62" hidden="1">1</definedName>
    <definedName name="solver_rel485" localSheetId="62" hidden="1">3</definedName>
    <definedName name="solver_rel486" localSheetId="62" hidden="1">2</definedName>
    <definedName name="solver_rel487" localSheetId="62" hidden="1">1</definedName>
    <definedName name="solver_rel488" localSheetId="62" hidden="1">3</definedName>
    <definedName name="solver_rel489" localSheetId="62" hidden="1">2</definedName>
    <definedName name="solver_rel49" localSheetId="62" hidden="1">1</definedName>
    <definedName name="solver_rel490" localSheetId="62" hidden="1">1</definedName>
    <definedName name="solver_rel491" localSheetId="62" hidden="1">3</definedName>
    <definedName name="solver_rel492" localSheetId="62" hidden="1">2</definedName>
    <definedName name="solver_rel493" localSheetId="62" hidden="1">1</definedName>
    <definedName name="solver_rel494" localSheetId="62" hidden="1">3</definedName>
    <definedName name="solver_rel495" localSheetId="62" hidden="1">2</definedName>
    <definedName name="solver_rel496" localSheetId="62" hidden="1">1</definedName>
    <definedName name="solver_rel497" localSheetId="62" hidden="1">3</definedName>
    <definedName name="solver_rel498" localSheetId="62" hidden="1">2</definedName>
    <definedName name="solver_rel499" localSheetId="62" hidden="1">1</definedName>
    <definedName name="solver_rel5" localSheetId="21" hidden="1">4</definedName>
    <definedName name="solver_rel5" localSheetId="48" hidden="1">4</definedName>
    <definedName name="solver_rel5" localSheetId="22" hidden="1">4</definedName>
    <definedName name="solver_rel5" localSheetId="23" hidden="1">4</definedName>
    <definedName name="solver_rel5" localSheetId="32" hidden="1">1</definedName>
    <definedName name="solver_rel5" localSheetId="68" hidden="1">4</definedName>
    <definedName name="solver_rel5" localSheetId="62" hidden="1">3</definedName>
    <definedName name="solver_rel5" localSheetId="58" hidden="1">1</definedName>
    <definedName name="solver_rel50" localSheetId="62" hidden="1">3</definedName>
    <definedName name="solver_rel500" localSheetId="62" hidden="1">3</definedName>
    <definedName name="solver_rel501" localSheetId="62" hidden="1">2</definedName>
    <definedName name="solver_rel502" localSheetId="62" hidden="1">1</definedName>
    <definedName name="solver_rel503" localSheetId="62" hidden="1">3</definedName>
    <definedName name="solver_rel504" localSheetId="62" hidden="1">2</definedName>
    <definedName name="solver_rel505" localSheetId="62" hidden="1">1</definedName>
    <definedName name="solver_rel506" localSheetId="62" hidden="1">3</definedName>
    <definedName name="solver_rel507" localSheetId="62" hidden="1">2</definedName>
    <definedName name="solver_rel508" localSheetId="62" hidden="1">1</definedName>
    <definedName name="solver_rel509" localSheetId="62" hidden="1">3</definedName>
    <definedName name="solver_rel51" localSheetId="62" hidden="1">2</definedName>
    <definedName name="solver_rel510" localSheetId="62" hidden="1">2</definedName>
    <definedName name="solver_rel511" localSheetId="62" hidden="1">1</definedName>
    <definedName name="solver_rel512" localSheetId="62" hidden="1">3</definedName>
    <definedName name="solver_rel513" localSheetId="62" hidden="1">2</definedName>
    <definedName name="solver_rel514" localSheetId="62" hidden="1">1</definedName>
    <definedName name="solver_rel515" localSheetId="62" hidden="1">3</definedName>
    <definedName name="solver_rel516" localSheetId="62" hidden="1">2</definedName>
    <definedName name="solver_rel517" localSheetId="62" hidden="1">1</definedName>
    <definedName name="solver_rel518" localSheetId="62" hidden="1">3</definedName>
    <definedName name="solver_rel519" localSheetId="62" hidden="1">2</definedName>
    <definedName name="solver_rel52" localSheetId="62" hidden="1">1</definedName>
    <definedName name="solver_rel520" localSheetId="62" hidden="1">1</definedName>
    <definedName name="solver_rel521" localSheetId="62" hidden="1">3</definedName>
    <definedName name="solver_rel522" localSheetId="62" hidden="1">2</definedName>
    <definedName name="solver_rel523" localSheetId="62" hidden="1">1</definedName>
    <definedName name="solver_rel524" localSheetId="62" hidden="1">3</definedName>
    <definedName name="solver_rel525" localSheetId="62" hidden="1">2</definedName>
    <definedName name="solver_rel526" localSheetId="62" hidden="1">1</definedName>
    <definedName name="solver_rel527" localSheetId="62" hidden="1">3</definedName>
    <definedName name="solver_rel528" localSheetId="62" hidden="1">2</definedName>
    <definedName name="solver_rel529" localSheetId="62" hidden="1">1</definedName>
    <definedName name="solver_rel53" localSheetId="62" hidden="1">3</definedName>
    <definedName name="solver_rel530" localSheetId="62" hidden="1">3</definedName>
    <definedName name="solver_rel531" localSheetId="62" hidden="1">2</definedName>
    <definedName name="solver_rel532" localSheetId="62" hidden="1">1</definedName>
    <definedName name="solver_rel533" localSheetId="62" hidden="1">3</definedName>
    <definedName name="solver_rel534" localSheetId="62" hidden="1">2</definedName>
    <definedName name="solver_rel535" localSheetId="62" hidden="1">1</definedName>
    <definedName name="solver_rel536" localSheetId="62" hidden="1">3</definedName>
    <definedName name="solver_rel537" localSheetId="62" hidden="1">2</definedName>
    <definedName name="solver_rel538" localSheetId="62" hidden="1">1</definedName>
    <definedName name="solver_rel539" localSheetId="62" hidden="1">3</definedName>
    <definedName name="solver_rel54" localSheetId="62" hidden="1">2</definedName>
    <definedName name="solver_rel540" localSheetId="62" hidden="1">2</definedName>
    <definedName name="solver_rel541" localSheetId="62" hidden="1">1</definedName>
    <definedName name="solver_rel542" localSheetId="62" hidden="1">3</definedName>
    <definedName name="solver_rel543" localSheetId="62" hidden="1">2</definedName>
    <definedName name="solver_rel544" localSheetId="62" hidden="1">1</definedName>
    <definedName name="solver_rel545" localSheetId="62" hidden="1">3</definedName>
    <definedName name="solver_rel546" localSheetId="62" hidden="1">2</definedName>
    <definedName name="solver_rel547" localSheetId="62" hidden="1">1</definedName>
    <definedName name="solver_rel548" localSheetId="62" hidden="1">3</definedName>
    <definedName name="solver_rel549" localSheetId="62" hidden="1">2</definedName>
    <definedName name="solver_rel55" localSheetId="62" hidden="1">1</definedName>
    <definedName name="solver_rel550" localSheetId="62" hidden="1">1</definedName>
    <definedName name="solver_rel551" localSheetId="62" hidden="1">3</definedName>
    <definedName name="solver_rel552" localSheetId="62" hidden="1">2</definedName>
    <definedName name="solver_rel553" localSheetId="62" hidden="1">1</definedName>
    <definedName name="solver_rel554" localSheetId="62" hidden="1">3</definedName>
    <definedName name="solver_rel555" localSheetId="62" hidden="1">2</definedName>
    <definedName name="solver_rel556" localSheetId="62" hidden="1">1</definedName>
    <definedName name="solver_rel557" localSheetId="62" hidden="1">3</definedName>
    <definedName name="solver_rel558" localSheetId="62" hidden="1">2</definedName>
    <definedName name="solver_rel559" localSheetId="62" hidden="1">1</definedName>
    <definedName name="solver_rel56" localSheetId="62" hidden="1">3</definedName>
    <definedName name="solver_rel560" localSheetId="62" hidden="1">3</definedName>
    <definedName name="solver_rel561" localSheetId="62" hidden="1">2</definedName>
    <definedName name="solver_rel562" localSheetId="62" hidden="1">1</definedName>
    <definedName name="solver_rel563" localSheetId="62" hidden="1">3</definedName>
    <definedName name="solver_rel564" localSheetId="62" hidden="1">2</definedName>
    <definedName name="solver_rel565" localSheetId="62" hidden="1">1</definedName>
    <definedName name="solver_rel566" localSheetId="62" hidden="1">3</definedName>
    <definedName name="solver_rel567" localSheetId="62" hidden="1">2</definedName>
    <definedName name="solver_rel568" localSheetId="62" hidden="1">1</definedName>
    <definedName name="solver_rel569" localSheetId="62" hidden="1">3</definedName>
    <definedName name="solver_rel57" localSheetId="62" hidden="1">2</definedName>
    <definedName name="solver_rel570" localSheetId="62" hidden="1">2</definedName>
    <definedName name="solver_rel571" localSheetId="62" hidden="1">1</definedName>
    <definedName name="solver_rel572" localSheetId="62" hidden="1">3</definedName>
    <definedName name="solver_rel573" localSheetId="62" hidden="1">2</definedName>
    <definedName name="solver_rel574" localSheetId="62" hidden="1">1</definedName>
    <definedName name="solver_rel575" localSheetId="62" hidden="1">3</definedName>
    <definedName name="solver_rel576" localSheetId="62" hidden="1">2</definedName>
    <definedName name="solver_rel577" localSheetId="62" hidden="1">1</definedName>
    <definedName name="solver_rel578" localSheetId="62" hidden="1">3</definedName>
    <definedName name="solver_rel579" localSheetId="62" hidden="1">2</definedName>
    <definedName name="solver_rel58" localSheetId="62" hidden="1">1</definedName>
    <definedName name="solver_rel580" localSheetId="62" hidden="1">1</definedName>
    <definedName name="solver_rel581" localSheetId="62" hidden="1">3</definedName>
    <definedName name="solver_rel582" localSheetId="62" hidden="1">2</definedName>
    <definedName name="solver_rel583" localSheetId="62" hidden="1">1</definedName>
    <definedName name="solver_rel584" localSheetId="62" hidden="1">3</definedName>
    <definedName name="solver_rel585" localSheetId="62" hidden="1">2</definedName>
    <definedName name="solver_rel586" localSheetId="62" hidden="1">1</definedName>
    <definedName name="solver_rel587" localSheetId="62" hidden="1">3</definedName>
    <definedName name="solver_rel588" localSheetId="62" hidden="1">2</definedName>
    <definedName name="solver_rel589" localSheetId="62" hidden="1">1</definedName>
    <definedName name="solver_rel59" localSheetId="62" hidden="1">3</definedName>
    <definedName name="solver_rel590" localSheetId="62" hidden="1">3</definedName>
    <definedName name="solver_rel591" localSheetId="62" hidden="1">2</definedName>
    <definedName name="solver_rel592" localSheetId="62" hidden="1">1</definedName>
    <definedName name="solver_rel593" localSheetId="62" hidden="1">3</definedName>
    <definedName name="solver_rel594" localSheetId="62" hidden="1">2</definedName>
    <definedName name="solver_rel595" localSheetId="62" hidden="1">1</definedName>
    <definedName name="solver_rel596" localSheetId="62" hidden="1">3</definedName>
    <definedName name="solver_rel597" localSheetId="62" hidden="1">2</definedName>
    <definedName name="solver_rel598" localSheetId="62" hidden="1">1</definedName>
    <definedName name="solver_rel599" localSheetId="62" hidden="1">3</definedName>
    <definedName name="solver_rel6" localSheetId="48" hidden="1">1</definedName>
    <definedName name="solver_rel6" localSheetId="22" hidden="1">1</definedName>
    <definedName name="solver_rel6" localSheetId="23" hidden="1">1</definedName>
    <definedName name="solver_rel6" localSheetId="62" hidden="1">2</definedName>
    <definedName name="solver_rel60" localSheetId="62" hidden="1">2</definedName>
    <definedName name="solver_rel600" localSheetId="62" hidden="1">2</definedName>
    <definedName name="solver_rel61" localSheetId="62" hidden="1">1</definedName>
    <definedName name="solver_rel62" localSheetId="62" hidden="1">3</definedName>
    <definedName name="solver_rel63" localSheetId="62" hidden="1">2</definedName>
    <definedName name="solver_rel64" localSheetId="62" hidden="1">1</definedName>
    <definedName name="solver_rel65" localSheetId="62" hidden="1">3</definedName>
    <definedName name="solver_rel66" localSheetId="62" hidden="1">2</definedName>
    <definedName name="solver_rel67" localSheetId="62" hidden="1">1</definedName>
    <definedName name="solver_rel68" localSheetId="62" hidden="1">3</definedName>
    <definedName name="solver_rel69" localSheetId="62" hidden="1">2</definedName>
    <definedName name="solver_rel7" localSheetId="48" hidden="1">3</definedName>
    <definedName name="solver_rel7" localSheetId="22" hidden="1">3</definedName>
    <definedName name="solver_rel7" localSheetId="23" hidden="1">3</definedName>
    <definedName name="solver_rel7" localSheetId="62" hidden="1">1</definedName>
    <definedName name="solver_rel70" localSheetId="62" hidden="1">1</definedName>
    <definedName name="solver_rel71" localSheetId="62" hidden="1">3</definedName>
    <definedName name="solver_rel72" localSheetId="62" hidden="1">2</definedName>
    <definedName name="solver_rel73" localSheetId="62" hidden="1">1</definedName>
    <definedName name="solver_rel74" localSheetId="62" hidden="1">3</definedName>
    <definedName name="solver_rel75" localSheetId="62" hidden="1">2</definedName>
    <definedName name="solver_rel76" localSheetId="62" hidden="1">1</definedName>
    <definedName name="solver_rel77" localSheetId="62" hidden="1">3</definedName>
    <definedName name="solver_rel78" localSheetId="62" hidden="1">2</definedName>
    <definedName name="solver_rel79" localSheetId="62" hidden="1">1</definedName>
    <definedName name="solver_rel8" localSheetId="22" hidden="1">3</definedName>
    <definedName name="solver_rel8" localSheetId="23" hidden="1">3</definedName>
    <definedName name="solver_rel8" localSheetId="62" hidden="1">3</definedName>
    <definedName name="solver_rel80" localSheetId="62" hidden="1">3</definedName>
    <definedName name="solver_rel81" localSheetId="62" hidden="1">2</definedName>
    <definedName name="solver_rel82" localSheetId="62" hidden="1">1</definedName>
    <definedName name="solver_rel83" localSheetId="62" hidden="1">3</definedName>
    <definedName name="solver_rel84" localSheetId="62" hidden="1">2</definedName>
    <definedName name="solver_rel85" localSheetId="62" hidden="1">1</definedName>
    <definedName name="solver_rel86" localSheetId="62" hidden="1">3</definedName>
    <definedName name="solver_rel87" localSheetId="62" hidden="1">2</definedName>
    <definedName name="solver_rel88" localSheetId="62" hidden="1">1</definedName>
    <definedName name="solver_rel89" localSheetId="62" hidden="1">3</definedName>
    <definedName name="solver_rel9" localSheetId="23" hidden="1">1</definedName>
    <definedName name="solver_rel9" localSheetId="62" hidden="1">2</definedName>
    <definedName name="solver_rel90" localSheetId="62" hidden="1">2</definedName>
    <definedName name="solver_rel91" localSheetId="62" hidden="1">1</definedName>
    <definedName name="solver_rel92" localSheetId="62" hidden="1">3</definedName>
    <definedName name="solver_rel93" localSheetId="62" hidden="1">2</definedName>
    <definedName name="solver_rel94" localSheetId="62" hidden="1">1</definedName>
    <definedName name="solver_rel95" localSheetId="62" hidden="1">3</definedName>
    <definedName name="solver_rel96" localSheetId="62" hidden="1">2</definedName>
    <definedName name="solver_rel97" localSheetId="62" hidden="1">1</definedName>
    <definedName name="solver_rel98" localSheetId="62" hidden="1">3</definedName>
    <definedName name="solver_rel99" localSheetId="62" hidden="1">2</definedName>
    <definedName name="solver_rhs1" localSheetId="24" hidden="1">'BadName!'!$J$12</definedName>
    <definedName name="solver_rhs1" localSheetId="36" hidden="1">BinIntLB!$J$11:$J$13</definedName>
    <definedName name="solver_rhs1" localSheetId="21" hidden="1">BinIntOverlap!$K$8:$K$9</definedName>
    <definedName name="solver_rhs1" localSheetId="35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8" hidden="1">ComplexLayout!$K$8:$K$9</definedName>
    <definedName name="solver_rhs1" localSheetId="22" hidden="1">ConFormula!$K$9:$K$10</definedName>
    <definedName name="solver_rhs1" localSheetId="23" hidden="1">ConFormulaInf!$K$9:$K$10</definedName>
    <definedName name="solver_rhs1" localSheetId="44" hidden="1">ConstantLB!$J$11:$J$13</definedName>
    <definedName name="solver_rhs1" localSheetId="41" hidden="1">ConstFormulaRangeLB!$J$10:$J$12</definedName>
    <definedName name="solver_rhs1" localSheetId="43" hidden="1">ConstraintLB!$J$11:$J$13</definedName>
    <definedName name="solver_rhs1" localSheetId="26" hidden="1">DeletedConRef!$J$9:$J$10</definedName>
    <definedName name="solver_rhs1" localSheetId="27" hidden="1">DeletedObjRef!$J$9:$J$10</definedName>
    <definedName name="solver_rhs1" localSheetId="54" hidden="1">DiffSheetObj!$I$6</definedName>
    <definedName name="solver_rhs1" localSheetId="33" hidden="1">DirectLBs!$J$10:$J$12</definedName>
    <definedName name="solver_rhs1" localSheetId="11" hidden="1">ErrorLHS!$J$8:$J$9</definedName>
    <definedName name="solver_rhs1" localSheetId="13" hidden="1">ErrorObj!$J$8:$J$9</definedName>
    <definedName name="solver_rhs1" localSheetId="10" hidden="1">ErrorRHS!$J$8:$J$9</definedName>
    <definedName name="solver_rhs1" localSheetId="25" hidden="1">'EscapeSheetName(1)+2-1'!$J$8:$J$9</definedName>
    <definedName name="solver_rhs1" localSheetId="29" hidden="1">FeasConstConstraint!$L$8:$L$9</definedName>
    <definedName name="solver_rhs1" localSheetId="45" hidden="1">FormulaLB!$J$11:$J$13</definedName>
    <definedName name="solver_rhs1" localSheetId="47" hidden="1">FractionalCoeffs!$I$6</definedName>
    <definedName name="solver_rhs1" localSheetId="32" hidden="1">IndirectLBs!$J$10:$J$11</definedName>
    <definedName name="solver_rhs1" localSheetId="28" hidden="1">InfConstConstraint!$L$8:$L$9</definedName>
    <definedName name="solver_rhs1" localSheetId="49" hidden="1">InfModel!$J$9:$J$10</definedName>
    <definedName name="solver_rhs1" localSheetId="5" hidden="1">IP_SUMIF!$C$10</definedName>
    <definedName name="solver_rhs1" localSheetId="50" hidden="1">IterativeCalc!$J$9:$J$10</definedName>
    <definedName name="solver_rhs1" localSheetId="38" hidden="1">LargeRangeLB!$J$12:$J$14</definedName>
    <definedName name="solver_rhs1" localSheetId="19" hidden="1">MergedLHS_OK!$J$9:$J$10</definedName>
    <definedName name="solver_rhs1" localSheetId="20" hidden="1">MergedLHSMultiple_OK!$J$9:$J$10</definedName>
    <definedName name="solver_rhs1" localSheetId="18" hidden="1">MergedRHS_OK!$J$9:$J$10</definedName>
    <definedName name="solver_rhs1" localSheetId="17" hidden="1">MergedVarsBad!$J$9:$J$10</definedName>
    <definedName name="solver_rhs1" localSheetId="16" hidden="1">MergedVarsOK!$J$9:$J$10</definedName>
    <definedName name="solver_rhs1" localSheetId="15" hidden="1">MergedVarsSubset!$J$9:$J$10</definedName>
    <definedName name="solver_rhs1" localSheetId="55" hidden="1">NamedRanges!$K$8</definedName>
    <definedName name="solver_rhs1" localSheetId="68" hidden="1">NonLin!$L$40</definedName>
    <definedName name="solver_rhs1" localSheetId="69" hidden="1">NonLin2!$G$6:$G$7</definedName>
    <definedName name="solver_rhs1" localSheetId="70" hidden="1">NonLin3!$Q$10:$Q$11</definedName>
    <definedName name="solver_rhs1" localSheetId="73" hidden="1">0</definedName>
    <definedName name="solver_rhs1" localSheetId="67" hidden="1">NonLinBinary!$G$8:$G$9</definedName>
    <definedName name="solver_rhs1" localSheetId="66" hidden="1">NonLinConstraints!$K$7:$K$9</definedName>
    <definedName name="solver_rhs1" localSheetId="62" hidden="1">NonLinLarge!$J$7:$J$8</definedName>
    <definedName name="solver_rhs1" localSheetId="65" hidden="1">NonLinMinMax!$I$8</definedName>
    <definedName name="solver_rhs1" localSheetId="63" hidden="1">NonLinObj!$J$7:$J$8</definedName>
    <definedName name="solver_rhs1" localSheetId="64" hidden="1">NonLinPruning!$H$8:$H$9</definedName>
    <definedName name="solver_rhs1" localSheetId="61" hidden="1">NonLinSimple!$J$7:$J$8</definedName>
    <definedName name="solver_rhs1" localSheetId="51" hidden="1">NoObj!$J$9:$J$10</definedName>
    <definedName name="solver_rhs1" localSheetId="6" hidden="1">OverlappingVars!$J$8:$J$9</definedName>
    <definedName name="solver_rhs1" localSheetId="39" hidden="1">OverlapRangeLB!$J$12:$J$14</definedName>
    <definedName name="solver_rhs1" localSheetId="40" hidden="1">OverlapRangeLBwithFormula!$J$12:$J$14</definedName>
    <definedName name="solver_rhs1" localSheetId="31" hidden="1">ProtectedSheet!$J$8:$J$9</definedName>
    <definedName name="solver_rhs1" localSheetId="56" hidden="1">QuickSolve!$J$8</definedName>
    <definedName name="solver_rhs1" localSheetId="37" hidden="1">Relaxation!$J$11:$J$13</definedName>
    <definedName name="solver_rhs1" localSheetId="52" hidden="1">SeekObj!$I$6</definedName>
    <definedName name="solver_rhs1" localSheetId="53" hidden="1">SeekObjInf!$I$6</definedName>
    <definedName name="solver_rhs1" localSheetId="59" hidden="1">Sensitivity!$I$8</definedName>
    <definedName name="solver_rhs1" localSheetId="60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4" hidden="1">SingleRangeLB!$J$10:$J$12</definedName>
    <definedName name="solver_rhs1" localSheetId="57" hidden="1">SolverParameters!$J$17:$J$18</definedName>
    <definedName name="solver_rhs1" localSheetId="14" hidden="1">TextObj!$J$8:$J$9</definedName>
    <definedName name="solver_rhs1" localSheetId="9" hidden="1">TextRHS!$J$8:$J$9</definedName>
    <definedName name="solver_rhs1" localSheetId="30" hidden="1">Unbounded!$J$8:$J$9</definedName>
    <definedName name="solver_rhs1" localSheetId="46" hidden="1">VarConstraintLB!$J$11:$J$13</definedName>
    <definedName name="solver_rhs1" localSheetId="42" hidden="1">VariableFormulaRangeLB!$J$11:$J$13</definedName>
    <definedName name="solver_rhs1" localSheetId="58" hidden="1">Warmstart!$UH$4</definedName>
    <definedName name="solver_rhs10" localSheetId="62" hidden="1">NonLinLarge!$J$74</definedName>
    <definedName name="solver_rhs100" localSheetId="62" hidden="1">NonLinLarge!$J$74</definedName>
    <definedName name="solver_rhs101" localSheetId="62" hidden="1">NonLinLarge!$J$75:$J$138</definedName>
    <definedName name="solver_rhs102" localSheetId="62" hidden="1">NonLinLarge!$J$139</definedName>
    <definedName name="solver_rhs103" localSheetId="62" hidden="1">NonLinLarge!$J$7:$J$8</definedName>
    <definedName name="solver_rhs104" localSheetId="62" hidden="1">NonLinLarge!$J$9:$J$72</definedName>
    <definedName name="solver_rhs105" localSheetId="62" hidden="1">NonLinLarge!$J$73</definedName>
    <definedName name="solver_rhs106" localSheetId="62" hidden="1">NonLinLarge!$J$74</definedName>
    <definedName name="solver_rhs107" localSheetId="62" hidden="1">NonLinLarge!$J$75:$J$138</definedName>
    <definedName name="solver_rhs108" localSheetId="62" hidden="1">NonLinLarge!$J$139</definedName>
    <definedName name="solver_rhs109" localSheetId="62" hidden="1">NonLinLarge!$J$7:$J$8</definedName>
    <definedName name="solver_rhs11" localSheetId="62" hidden="1">NonLinLarge!$J$75:$J$138</definedName>
    <definedName name="solver_rhs110" localSheetId="62" hidden="1">NonLinLarge!$J$9:$J$72</definedName>
    <definedName name="solver_rhs111" localSheetId="62" hidden="1">NonLinLarge!$J$73</definedName>
    <definedName name="solver_rhs112" localSheetId="62" hidden="1">NonLinLarge!$J$74</definedName>
    <definedName name="solver_rhs113" localSheetId="62" hidden="1">NonLinLarge!$J$75:$J$138</definedName>
    <definedName name="solver_rhs114" localSheetId="62" hidden="1">NonLinLarge!$J$139</definedName>
    <definedName name="solver_rhs115" localSheetId="62" hidden="1">NonLinLarge!$J$7:$J$8</definedName>
    <definedName name="solver_rhs116" localSheetId="62" hidden="1">NonLinLarge!$J$9:$J$72</definedName>
    <definedName name="solver_rhs117" localSheetId="62" hidden="1">NonLinLarge!$J$73</definedName>
    <definedName name="solver_rhs118" localSheetId="62" hidden="1">NonLinLarge!$J$74</definedName>
    <definedName name="solver_rhs119" localSheetId="62" hidden="1">NonLinLarge!$J$75:$J$138</definedName>
    <definedName name="solver_rhs12" localSheetId="62" hidden="1">NonLinLarge!$J$139</definedName>
    <definedName name="solver_rhs120" localSheetId="62" hidden="1">NonLinLarge!$J$139</definedName>
    <definedName name="solver_rhs121" localSheetId="62" hidden="1">NonLinLarge!$J$7:$J$8</definedName>
    <definedName name="solver_rhs122" localSheetId="62" hidden="1">NonLinLarge!$J$9:$J$72</definedName>
    <definedName name="solver_rhs123" localSheetId="62" hidden="1">NonLinLarge!$J$73</definedName>
    <definedName name="solver_rhs124" localSheetId="62" hidden="1">NonLinLarge!$J$74</definedName>
    <definedName name="solver_rhs125" localSheetId="62" hidden="1">NonLinLarge!$J$75:$J$138</definedName>
    <definedName name="solver_rhs126" localSheetId="62" hidden="1">NonLinLarge!$J$139</definedName>
    <definedName name="solver_rhs127" localSheetId="62" hidden="1">NonLinLarge!$J$7:$J$8</definedName>
    <definedName name="solver_rhs128" localSheetId="62" hidden="1">NonLinLarge!$J$9:$J$72</definedName>
    <definedName name="solver_rhs129" localSheetId="62" hidden="1">NonLinLarge!$J$73</definedName>
    <definedName name="solver_rhs13" localSheetId="62" hidden="1">NonLinLarge!$J$7:$J$8</definedName>
    <definedName name="solver_rhs130" localSheetId="62" hidden="1">NonLinLarge!$J$74</definedName>
    <definedName name="solver_rhs131" localSheetId="62" hidden="1">NonLinLarge!$J$75:$J$138</definedName>
    <definedName name="solver_rhs132" localSheetId="62" hidden="1">NonLinLarge!$J$139</definedName>
    <definedName name="solver_rhs133" localSheetId="62" hidden="1">NonLinLarge!$J$7:$J$8</definedName>
    <definedName name="solver_rhs134" localSheetId="62" hidden="1">NonLinLarge!$J$9:$J$72</definedName>
    <definedName name="solver_rhs135" localSheetId="62" hidden="1">NonLinLarge!$J$73</definedName>
    <definedName name="solver_rhs136" localSheetId="62" hidden="1">NonLinLarge!$J$74</definedName>
    <definedName name="solver_rhs137" localSheetId="62" hidden="1">NonLinLarge!$J$75:$J$138</definedName>
    <definedName name="solver_rhs138" localSheetId="62" hidden="1">NonLinLarge!$J$139</definedName>
    <definedName name="solver_rhs139" localSheetId="62" hidden="1">NonLinLarge!$J$7:$J$8</definedName>
    <definedName name="solver_rhs14" localSheetId="62" hidden="1">NonLinLarge!$J$9:$J$72</definedName>
    <definedName name="solver_rhs140" localSheetId="62" hidden="1">NonLinLarge!$J$9:$J$72</definedName>
    <definedName name="solver_rhs141" localSheetId="62" hidden="1">NonLinLarge!$J$73</definedName>
    <definedName name="solver_rhs142" localSheetId="62" hidden="1">NonLinLarge!$J$74</definedName>
    <definedName name="solver_rhs143" localSheetId="62" hidden="1">NonLinLarge!$J$75:$J$138</definedName>
    <definedName name="solver_rhs144" localSheetId="62" hidden="1">NonLinLarge!$J$139</definedName>
    <definedName name="solver_rhs145" localSheetId="62" hidden="1">NonLinLarge!$J$7:$J$8</definedName>
    <definedName name="solver_rhs146" localSheetId="62" hidden="1">NonLinLarge!$J$9:$J$72</definedName>
    <definedName name="solver_rhs147" localSheetId="62" hidden="1">NonLinLarge!$J$73</definedName>
    <definedName name="solver_rhs148" localSheetId="62" hidden="1">NonLinLarge!$J$74</definedName>
    <definedName name="solver_rhs149" localSheetId="62" hidden="1">NonLinLarge!$J$75:$J$138</definedName>
    <definedName name="solver_rhs15" localSheetId="62" hidden="1">NonLinLarge!$J$73</definedName>
    <definedName name="solver_rhs150" localSheetId="62" hidden="1">NonLinLarge!$J$139</definedName>
    <definedName name="solver_rhs151" localSheetId="62" hidden="1">NonLinLarge!$J$7:$J$8</definedName>
    <definedName name="solver_rhs152" localSheetId="62" hidden="1">NonLinLarge!$J$9:$J$72</definedName>
    <definedName name="solver_rhs153" localSheetId="62" hidden="1">NonLinLarge!$J$73</definedName>
    <definedName name="solver_rhs154" localSheetId="62" hidden="1">NonLinLarge!$J$74</definedName>
    <definedName name="solver_rhs155" localSheetId="62" hidden="1">NonLinLarge!$J$75:$J$138</definedName>
    <definedName name="solver_rhs156" localSheetId="62" hidden="1">NonLinLarge!$J$139</definedName>
    <definedName name="solver_rhs157" localSheetId="62" hidden="1">NonLinLarge!$J$7:$J$8</definedName>
    <definedName name="solver_rhs158" localSheetId="62" hidden="1">NonLinLarge!$J$9:$J$72</definedName>
    <definedName name="solver_rhs159" localSheetId="62" hidden="1">NonLinLarge!$J$73</definedName>
    <definedName name="solver_rhs16" localSheetId="62" hidden="1">NonLinLarge!$J$74</definedName>
    <definedName name="solver_rhs160" localSheetId="62" hidden="1">NonLinLarge!$J$74</definedName>
    <definedName name="solver_rhs161" localSheetId="62" hidden="1">NonLinLarge!$J$75:$J$138</definedName>
    <definedName name="solver_rhs162" localSheetId="62" hidden="1">NonLinLarge!$J$139</definedName>
    <definedName name="solver_rhs163" localSheetId="62" hidden="1">NonLinLarge!$J$7:$J$8</definedName>
    <definedName name="solver_rhs164" localSheetId="62" hidden="1">NonLinLarge!$J$9:$J$72</definedName>
    <definedName name="solver_rhs165" localSheetId="62" hidden="1">NonLinLarge!$J$73</definedName>
    <definedName name="solver_rhs166" localSheetId="62" hidden="1">NonLinLarge!$J$74</definedName>
    <definedName name="solver_rhs167" localSheetId="62" hidden="1">NonLinLarge!$J$75:$J$138</definedName>
    <definedName name="solver_rhs168" localSheetId="62" hidden="1">NonLinLarge!$J$139</definedName>
    <definedName name="solver_rhs169" localSheetId="62" hidden="1">NonLinLarge!$J$7:$J$8</definedName>
    <definedName name="solver_rhs17" localSheetId="62" hidden="1">NonLinLarge!$J$75:$J$138</definedName>
    <definedName name="solver_rhs170" localSheetId="62" hidden="1">NonLinLarge!$J$9:$J$72</definedName>
    <definedName name="solver_rhs171" localSheetId="62" hidden="1">NonLinLarge!$J$73</definedName>
    <definedName name="solver_rhs172" localSheetId="62" hidden="1">NonLinLarge!$J$74</definedName>
    <definedName name="solver_rhs173" localSheetId="62" hidden="1">NonLinLarge!$J$75:$J$138</definedName>
    <definedName name="solver_rhs174" localSheetId="62" hidden="1">NonLinLarge!$J$139</definedName>
    <definedName name="solver_rhs175" localSheetId="62" hidden="1">NonLinLarge!$J$7:$J$8</definedName>
    <definedName name="solver_rhs176" localSheetId="62" hidden="1">NonLinLarge!$J$9:$J$72</definedName>
    <definedName name="solver_rhs177" localSheetId="62" hidden="1">NonLinLarge!$J$73</definedName>
    <definedName name="solver_rhs178" localSheetId="62" hidden="1">NonLinLarge!$J$74</definedName>
    <definedName name="solver_rhs179" localSheetId="62" hidden="1">NonLinLarge!$J$75:$J$138</definedName>
    <definedName name="solver_rhs18" localSheetId="62" hidden="1">NonLinLarge!$J$139</definedName>
    <definedName name="solver_rhs180" localSheetId="62" hidden="1">NonLinLarge!$J$139</definedName>
    <definedName name="solver_rhs181" localSheetId="62" hidden="1">NonLinLarge!$J$7:$J$8</definedName>
    <definedName name="solver_rhs182" localSheetId="62" hidden="1">NonLinLarge!$J$9:$J$72</definedName>
    <definedName name="solver_rhs183" localSheetId="62" hidden="1">NonLinLarge!$J$73</definedName>
    <definedName name="solver_rhs184" localSheetId="62" hidden="1">NonLinLarge!$J$74</definedName>
    <definedName name="solver_rhs185" localSheetId="62" hidden="1">NonLinLarge!$J$75:$J$138</definedName>
    <definedName name="solver_rhs186" localSheetId="62" hidden="1">NonLinLarge!$J$139</definedName>
    <definedName name="solver_rhs187" localSheetId="62" hidden="1">NonLinLarge!$J$7:$J$8</definedName>
    <definedName name="solver_rhs188" localSheetId="62" hidden="1">NonLinLarge!$J$9:$J$72</definedName>
    <definedName name="solver_rhs189" localSheetId="62" hidden="1">NonLinLarge!$J$73</definedName>
    <definedName name="solver_rhs19" localSheetId="62" hidden="1">NonLinLarge!$J$7:$J$8</definedName>
    <definedName name="solver_rhs190" localSheetId="62" hidden="1">NonLinLarge!$J$74</definedName>
    <definedName name="solver_rhs191" localSheetId="62" hidden="1">NonLinLarge!$J$75:$J$138</definedName>
    <definedName name="solver_rhs192" localSheetId="62" hidden="1">NonLinLarge!$J$139</definedName>
    <definedName name="solver_rhs193" localSheetId="62" hidden="1">NonLinLarge!$J$7:$J$8</definedName>
    <definedName name="solver_rhs194" localSheetId="62" hidden="1">NonLinLarge!$J$9:$J$72</definedName>
    <definedName name="solver_rhs195" localSheetId="62" hidden="1">NonLinLarge!$J$73</definedName>
    <definedName name="solver_rhs196" localSheetId="62" hidden="1">NonLinLarge!$J$74</definedName>
    <definedName name="solver_rhs197" localSheetId="62" hidden="1">NonLinLarge!$J$75:$J$138</definedName>
    <definedName name="solver_rhs198" localSheetId="62" hidden="1">NonLinLarge!$J$139</definedName>
    <definedName name="solver_rhs199" localSheetId="62" hidden="1">NonLinLarge!$J$7:$J$8</definedName>
    <definedName name="solver_rhs2" localSheetId="36" hidden="1">BinIntLB!$E$7</definedName>
    <definedName name="solver_rhs2" localSheetId="21" hidden="1">BinIntOverlap!$K$10</definedName>
    <definedName name="solver_rhs2" localSheetId="35" hidden="1">BinLB!$E$7</definedName>
    <definedName name="solver_rhs2" localSheetId="8" hidden="1">BlankLHS!$J$10</definedName>
    <definedName name="solver_rhs2" localSheetId="7" hidden="1">BlankRHS!$J$10</definedName>
    <definedName name="solver_rhs2" localSheetId="48" hidden="1">ComplexLayout!$K$10</definedName>
    <definedName name="solver_rhs2" localSheetId="22" hidden="1">ConFormula!$K$11</definedName>
    <definedName name="solver_rhs2" localSheetId="23" hidden="1">ConFormulaInf!$N$11</definedName>
    <definedName name="solver_rhs2" localSheetId="44" hidden="1">-10</definedName>
    <definedName name="solver_rhs2" localSheetId="41" hidden="1">ConstFormulaRangeLB!$D$6:$F$6</definedName>
    <definedName name="solver_rhs2" localSheetId="26" hidden="1">DeletedConRef!$J$11</definedName>
    <definedName name="solver_rhs2" localSheetId="27" hidden="1">DeletedObjRef!$J$11</definedName>
    <definedName name="solver_rhs2" localSheetId="54" hidden="1">DiffSheetObj!$I$7</definedName>
    <definedName name="solver_rhs2" localSheetId="33" hidden="1">DirectLBs!$D$6:$F$6</definedName>
    <definedName name="solver_rhs2" localSheetId="11" hidden="1">ErrorLHS!$J$10</definedName>
    <definedName name="solver_rhs2" localSheetId="13" hidden="1">ErrorObj!$J$10</definedName>
    <definedName name="solver_rhs2" localSheetId="10" hidden="1">ErrorRHS!$J$10</definedName>
    <definedName name="solver_rhs2" localSheetId="25" hidden="1">'EscapeSheetName(1)+2-1'!$J$10</definedName>
    <definedName name="solver_rhs2" localSheetId="29" hidden="1">FeasConstConstraint!$L$10</definedName>
    <definedName name="solver_rhs2" localSheetId="45" hidden="1">-10*2</definedName>
    <definedName name="solver_rhs2" localSheetId="47" hidden="1">FractionalCoeffs!$I$7</definedName>
    <definedName name="solver_rhs2" localSheetId="32" hidden="1">IndirectLBs!$J$12</definedName>
    <definedName name="solver_rhs2" localSheetId="28" hidden="1">InfConstConstraint!$L$10</definedName>
    <definedName name="solver_rhs2" localSheetId="49" hidden="1">InfModel!$J$11</definedName>
    <definedName name="solver_rhs2" localSheetId="5" hidden="1">binary</definedName>
    <definedName name="solver_rhs2" localSheetId="50" hidden="1">IterativeCalc!$J$11</definedName>
    <definedName name="solver_rhs2" localSheetId="38" hidden="1">LargeRangeLB!$D$8:$H$8</definedName>
    <definedName name="solver_rhs2" localSheetId="19" hidden="1">MergedLHS_OK!$J$11</definedName>
    <definedName name="solver_rhs2" localSheetId="20" hidden="1">MergedLHSMultiple_OK!$J$11</definedName>
    <definedName name="solver_rhs2" localSheetId="18" hidden="1">MergedRHS_OK!$J$11</definedName>
    <definedName name="solver_rhs2" localSheetId="17" hidden="1">MergedVarsBad!$J$11</definedName>
    <definedName name="solver_rhs2" localSheetId="16" hidden="1">MergedVarsOK!$J$11</definedName>
    <definedName name="solver_rhs2" localSheetId="15" hidden="1">MergedVarsSubset!$J$11</definedName>
    <definedName name="solver_rhs2" localSheetId="55" hidden="1">NamedRanges!$K$9</definedName>
    <definedName name="solver_rhs2" localSheetId="68" hidden="1">NonLin!$L$41:$L$42</definedName>
    <definedName name="solver_rhs2" localSheetId="70" hidden="1">NonLin3!$U$10:$U$11</definedName>
    <definedName name="solver_rhs2" localSheetId="73" hidden="1">90</definedName>
    <definedName name="solver_rhs2" localSheetId="67" hidden="1">binary</definedName>
    <definedName name="solver_rhs2" localSheetId="62" hidden="1">NonLinLarge!$J$9:$J$72</definedName>
    <definedName name="solver_rhs2" localSheetId="65" hidden="1">integer</definedName>
    <definedName name="solver_rhs2" localSheetId="63" hidden="1">NonLinObj!$J$9</definedName>
    <definedName name="solver_rhs2" localSheetId="64" hidden="1">NonLinPruning!$H$10:$H$11</definedName>
    <definedName name="solver_rhs2" localSheetId="61" hidden="1">NonLinSimple!$J$9</definedName>
    <definedName name="solver_rhs2" localSheetId="51" hidden="1">NoObj!$J$11</definedName>
    <definedName name="solver_rhs2" localSheetId="6" hidden="1">OverlappingVars!$J$10</definedName>
    <definedName name="solver_rhs2" localSheetId="39" hidden="1">OverlapRangeLB!$E$8:$H$8</definedName>
    <definedName name="solver_rhs2" localSheetId="40" hidden="1">OverlapRangeLBwithFormula!$D$8:$H$8</definedName>
    <definedName name="solver_rhs2" localSheetId="31" hidden="1">ProtectedSheet!$J$10</definedName>
    <definedName name="solver_rhs2" localSheetId="56" hidden="1">QuickSolve!$J$9:$J$10</definedName>
    <definedName name="solver_rhs2" localSheetId="37" hidden="1">Relaxation!$E$7</definedName>
    <definedName name="solver_rhs2" localSheetId="52" hidden="1">SeekObj!$I$7</definedName>
    <definedName name="solver_rhs2" localSheetId="53" hidden="1">SeekObjInf!$I$7</definedName>
    <definedName name="solver_rhs2" localSheetId="59" hidden="1">Sensitivity!$I$9</definedName>
    <definedName name="solver_rhs2" localSheetId="60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4" hidden="1">-2</definedName>
    <definedName name="solver_rhs2" localSheetId="57" hidden="1">SolverParameters!$J$19</definedName>
    <definedName name="solver_rhs2" localSheetId="14" hidden="1">TextObj!$J$10</definedName>
    <definedName name="solver_rhs2" localSheetId="9" hidden="1">TextRHS!$J$10</definedName>
    <definedName name="solver_rhs2" localSheetId="30" hidden="1">Unbounded!$J$10</definedName>
    <definedName name="solver_rhs2" localSheetId="46" hidden="1">VarConstraintLB!$D$5</definedName>
    <definedName name="solver_rhs2" localSheetId="42" hidden="1">VariableFormulaRangeLB!$D$7:$F$7</definedName>
    <definedName name="solver_rhs2" localSheetId="58" hidden="1">binary</definedName>
    <definedName name="solver_rhs20" localSheetId="62" hidden="1">NonLinLarge!$J$9:$J$72</definedName>
    <definedName name="solver_rhs200" localSheetId="62" hidden="1">NonLinLarge!$J$9:$J$72</definedName>
    <definedName name="solver_rhs201" localSheetId="62" hidden="1">NonLinLarge!$J$73</definedName>
    <definedName name="solver_rhs202" localSheetId="62" hidden="1">NonLinLarge!$J$74</definedName>
    <definedName name="solver_rhs203" localSheetId="62" hidden="1">NonLinLarge!$J$75:$J$138</definedName>
    <definedName name="solver_rhs204" localSheetId="62" hidden="1">NonLinLarge!$J$139</definedName>
    <definedName name="solver_rhs205" localSheetId="62" hidden="1">NonLinLarge!$J$7:$J$8</definedName>
    <definedName name="solver_rhs206" localSheetId="62" hidden="1">NonLinLarge!$J$9:$J$72</definedName>
    <definedName name="solver_rhs207" localSheetId="62" hidden="1">NonLinLarge!$J$73</definedName>
    <definedName name="solver_rhs208" localSheetId="62" hidden="1">NonLinLarge!$J$74</definedName>
    <definedName name="solver_rhs209" localSheetId="62" hidden="1">NonLinLarge!$J$75:$J$138</definedName>
    <definedName name="solver_rhs21" localSheetId="62" hidden="1">NonLinLarge!$J$73</definedName>
    <definedName name="solver_rhs210" localSheetId="62" hidden="1">NonLinLarge!$J$139</definedName>
    <definedName name="solver_rhs211" localSheetId="62" hidden="1">NonLinLarge!$J$7:$J$8</definedName>
    <definedName name="solver_rhs212" localSheetId="62" hidden="1">NonLinLarge!$J$9:$J$72</definedName>
    <definedName name="solver_rhs213" localSheetId="62" hidden="1">NonLinLarge!$J$73</definedName>
    <definedName name="solver_rhs214" localSheetId="62" hidden="1">NonLinLarge!$J$74</definedName>
    <definedName name="solver_rhs215" localSheetId="62" hidden="1">NonLinLarge!$J$75:$J$138</definedName>
    <definedName name="solver_rhs216" localSheetId="62" hidden="1">NonLinLarge!$J$139</definedName>
    <definedName name="solver_rhs217" localSheetId="62" hidden="1">NonLinLarge!$J$7:$J$8</definedName>
    <definedName name="solver_rhs218" localSheetId="62" hidden="1">NonLinLarge!$J$9:$J$72</definedName>
    <definedName name="solver_rhs219" localSheetId="62" hidden="1">NonLinLarge!$J$73</definedName>
    <definedName name="solver_rhs22" localSheetId="62" hidden="1">NonLinLarge!$J$74</definedName>
    <definedName name="solver_rhs220" localSheetId="62" hidden="1">NonLinLarge!$J$74</definedName>
    <definedName name="solver_rhs221" localSheetId="62" hidden="1">NonLinLarge!$J$75:$J$138</definedName>
    <definedName name="solver_rhs222" localSheetId="62" hidden="1">NonLinLarge!$J$139</definedName>
    <definedName name="solver_rhs223" localSheetId="62" hidden="1">NonLinLarge!$J$7:$J$8</definedName>
    <definedName name="solver_rhs224" localSheetId="62" hidden="1">NonLinLarge!$J$9:$J$72</definedName>
    <definedName name="solver_rhs225" localSheetId="62" hidden="1">NonLinLarge!$J$73</definedName>
    <definedName name="solver_rhs226" localSheetId="62" hidden="1">NonLinLarge!$J$74</definedName>
    <definedName name="solver_rhs227" localSheetId="62" hidden="1">NonLinLarge!$J$75:$J$138</definedName>
    <definedName name="solver_rhs228" localSheetId="62" hidden="1">NonLinLarge!$J$139</definedName>
    <definedName name="solver_rhs229" localSheetId="62" hidden="1">NonLinLarge!$J$7:$J$8</definedName>
    <definedName name="solver_rhs23" localSheetId="62" hidden="1">NonLinLarge!$J$75:$J$138</definedName>
    <definedName name="solver_rhs230" localSheetId="62" hidden="1">NonLinLarge!$J$9:$J$72</definedName>
    <definedName name="solver_rhs231" localSheetId="62" hidden="1">NonLinLarge!$J$73</definedName>
    <definedName name="solver_rhs232" localSheetId="62" hidden="1">NonLinLarge!$J$74</definedName>
    <definedName name="solver_rhs233" localSheetId="62" hidden="1">NonLinLarge!$J$75:$J$138</definedName>
    <definedName name="solver_rhs234" localSheetId="62" hidden="1">NonLinLarge!$J$139</definedName>
    <definedName name="solver_rhs235" localSheetId="62" hidden="1">NonLinLarge!$J$7:$J$8</definedName>
    <definedName name="solver_rhs236" localSheetId="62" hidden="1">NonLinLarge!$J$9:$J$72</definedName>
    <definedName name="solver_rhs237" localSheetId="62" hidden="1">NonLinLarge!$J$73</definedName>
    <definedName name="solver_rhs238" localSheetId="62" hidden="1">NonLinLarge!$J$74</definedName>
    <definedName name="solver_rhs239" localSheetId="62" hidden="1">NonLinLarge!$J$75:$J$138</definedName>
    <definedName name="solver_rhs24" localSheetId="62" hidden="1">NonLinLarge!$J$139</definedName>
    <definedName name="solver_rhs240" localSheetId="62" hidden="1">NonLinLarge!$J$139</definedName>
    <definedName name="solver_rhs241" localSheetId="62" hidden="1">NonLinLarge!$J$7:$J$8</definedName>
    <definedName name="solver_rhs242" localSheetId="62" hidden="1">NonLinLarge!$J$9:$J$72</definedName>
    <definedName name="solver_rhs243" localSheetId="62" hidden="1">NonLinLarge!$J$73</definedName>
    <definedName name="solver_rhs244" localSheetId="62" hidden="1">NonLinLarge!$J$74</definedName>
    <definedName name="solver_rhs245" localSheetId="62" hidden="1">NonLinLarge!$J$75:$J$138</definedName>
    <definedName name="solver_rhs246" localSheetId="62" hidden="1">NonLinLarge!$J$139</definedName>
    <definedName name="solver_rhs247" localSheetId="62" hidden="1">NonLinLarge!$J$7:$J$8</definedName>
    <definedName name="solver_rhs248" localSheetId="62" hidden="1">NonLinLarge!$J$9:$J$72</definedName>
    <definedName name="solver_rhs249" localSheetId="62" hidden="1">NonLinLarge!$J$73</definedName>
    <definedName name="solver_rhs25" localSheetId="62" hidden="1">NonLinLarge!$J$7:$J$8</definedName>
    <definedName name="solver_rhs250" localSheetId="62" hidden="1">NonLinLarge!$J$74</definedName>
    <definedName name="solver_rhs251" localSheetId="62" hidden="1">NonLinLarge!$J$75:$J$138</definedName>
    <definedName name="solver_rhs252" localSheetId="62" hidden="1">NonLinLarge!$J$139</definedName>
    <definedName name="solver_rhs253" localSheetId="62" hidden="1">NonLinLarge!$J$7:$J$8</definedName>
    <definedName name="solver_rhs254" localSheetId="62" hidden="1">NonLinLarge!$J$9:$J$72</definedName>
    <definedName name="solver_rhs255" localSheetId="62" hidden="1">NonLinLarge!$J$73</definedName>
    <definedName name="solver_rhs256" localSheetId="62" hidden="1">NonLinLarge!$J$74</definedName>
    <definedName name="solver_rhs257" localSheetId="62" hidden="1">NonLinLarge!$J$75:$J$138</definedName>
    <definedName name="solver_rhs258" localSheetId="62" hidden="1">NonLinLarge!$J$139</definedName>
    <definedName name="solver_rhs259" localSheetId="62" hidden="1">NonLinLarge!$J$7:$J$8</definedName>
    <definedName name="solver_rhs26" localSheetId="62" hidden="1">NonLinLarge!$J$9:$J$72</definedName>
    <definedName name="solver_rhs260" localSheetId="62" hidden="1">NonLinLarge!$J$9:$J$72</definedName>
    <definedName name="solver_rhs261" localSheetId="62" hidden="1">NonLinLarge!$J$73</definedName>
    <definedName name="solver_rhs262" localSheetId="62" hidden="1">NonLinLarge!$J$74</definedName>
    <definedName name="solver_rhs263" localSheetId="62" hidden="1">NonLinLarge!$J$75:$J$138</definedName>
    <definedName name="solver_rhs264" localSheetId="62" hidden="1">NonLinLarge!$J$139</definedName>
    <definedName name="solver_rhs265" localSheetId="62" hidden="1">NonLinLarge!$J$7:$J$8</definedName>
    <definedName name="solver_rhs266" localSheetId="62" hidden="1">NonLinLarge!$J$9:$J$72</definedName>
    <definedName name="solver_rhs267" localSheetId="62" hidden="1">NonLinLarge!$J$73</definedName>
    <definedName name="solver_rhs268" localSheetId="62" hidden="1">NonLinLarge!$J$74</definedName>
    <definedName name="solver_rhs269" localSheetId="62" hidden="1">NonLinLarge!$J$75:$J$138</definedName>
    <definedName name="solver_rhs27" localSheetId="62" hidden="1">NonLinLarge!$J$73</definedName>
    <definedName name="solver_rhs270" localSheetId="62" hidden="1">NonLinLarge!$J$139</definedName>
    <definedName name="solver_rhs271" localSheetId="62" hidden="1">NonLinLarge!$J$7:$J$8</definedName>
    <definedName name="solver_rhs272" localSheetId="62" hidden="1">NonLinLarge!$J$9:$J$72</definedName>
    <definedName name="solver_rhs273" localSheetId="62" hidden="1">NonLinLarge!$J$73</definedName>
    <definedName name="solver_rhs274" localSheetId="62" hidden="1">NonLinLarge!$J$74</definedName>
    <definedName name="solver_rhs275" localSheetId="62" hidden="1">NonLinLarge!$J$75:$J$138</definedName>
    <definedName name="solver_rhs276" localSheetId="62" hidden="1">NonLinLarge!$J$139</definedName>
    <definedName name="solver_rhs277" localSheetId="62" hidden="1">NonLinLarge!$J$7:$J$8</definedName>
    <definedName name="solver_rhs278" localSheetId="62" hidden="1">NonLinLarge!$J$9:$J$72</definedName>
    <definedName name="solver_rhs279" localSheetId="62" hidden="1">NonLinLarge!$J$73</definedName>
    <definedName name="solver_rhs28" localSheetId="62" hidden="1">NonLinLarge!$J$74</definedName>
    <definedName name="solver_rhs280" localSheetId="62" hidden="1">NonLinLarge!$J$74</definedName>
    <definedName name="solver_rhs281" localSheetId="62" hidden="1">NonLinLarge!$J$75:$J$138</definedName>
    <definedName name="solver_rhs282" localSheetId="62" hidden="1">NonLinLarge!$J$139</definedName>
    <definedName name="solver_rhs283" localSheetId="62" hidden="1">NonLinLarge!$J$7:$J$8</definedName>
    <definedName name="solver_rhs284" localSheetId="62" hidden="1">NonLinLarge!$J$9:$J$72</definedName>
    <definedName name="solver_rhs285" localSheetId="62" hidden="1">NonLinLarge!$J$73</definedName>
    <definedName name="solver_rhs286" localSheetId="62" hidden="1">NonLinLarge!$J$74</definedName>
    <definedName name="solver_rhs287" localSheetId="62" hidden="1">NonLinLarge!$J$75:$J$138</definedName>
    <definedName name="solver_rhs288" localSheetId="62" hidden="1">NonLinLarge!$J$139</definedName>
    <definedName name="solver_rhs289" localSheetId="62" hidden="1">NonLinLarge!$J$7:$J$8</definedName>
    <definedName name="solver_rhs29" localSheetId="62" hidden="1">NonLinLarge!$J$75:$J$138</definedName>
    <definedName name="solver_rhs290" localSheetId="62" hidden="1">NonLinLarge!$J$9:$J$72</definedName>
    <definedName name="solver_rhs291" localSheetId="62" hidden="1">NonLinLarge!$J$73</definedName>
    <definedName name="solver_rhs292" localSheetId="62" hidden="1">NonLinLarge!$J$74</definedName>
    <definedName name="solver_rhs293" localSheetId="62" hidden="1">NonLinLarge!$J$75:$J$138</definedName>
    <definedName name="solver_rhs294" localSheetId="62" hidden="1">NonLinLarge!$J$139</definedName>
    <definedName name="solver_rhs295" localSheetId="62" hidden="1">NonLinLarge!$J$7:$J$8</definedName>
    <definedName name="solver_rhs296" localSheetId="62" hidden="1">NonLinLarge!$J$9:$J$72</definedName>
    <definedName name="solver_rhs297" localSheetId="62" hidden="1">NonLinLarge!$J$73</definedName>
    <definedName name="solver_rhs298" localSheetId="62" hidden="1">NonLinLarge!$J$74</definedName>
    <definedName name="solver_rhs299" localSheetId="62" hidden="1">NonLinLarge!$J$75:$J$138</definedName>
    <definedName name="solver_rhs3" localSheetId="36" hidden="1">binary</definedName>
    <definedName name="solver_rhs3" localSheetId="21" hidden="1">BinIntOverlap!$K$11</definedName>
    <definedName name="solver_rhs3" localSheetId="35" hidden="1">binary</definedName>
    <definedName name="solver_rhs3" localSheetId="8" hidden="1">BlankLHS!$J$11</definedName>
    <definedName name="solver_rhs3" localSheetId="7" hidden="1">BlankRHS!$J$11</definedName>
    <definedName name="solver_rhs3" localSheetId="48" hidden="1">ComplexLayout!$K$11</definedName>
    <definedName name="solver_rhs3" localSheetId="22" hidden="1">ConFormula!$K$12</definedName>
    <definedName name="solver_rhs3" localSheetId="23" hidden="1">ConFormulaInf!$K$12</definedName>
    <definedName name="solver_rhs3" localSheetId="26" hidden="1">DeletedConRef!$J$12</definedName>
    <definedName name="solver_rhs3" localSheetId="27" hidden="1">DeletedObjRef!$J$12</definedName>
    <definedName name="solver_rhs3" localSheetId="54" hidden="1">DiffSheetObj!$I$8:$I$9</definedName>
    <definedName name="solver_rhs3" localSheetId="11" hidden="1">ErrorLHS!$J$11</definedName>
    <definedName name="solver_rhs3" localSheetId="13" hidden="1">ErrorObj!$J$11</definedName>
    <definedName name="solver_rhs3" localSheetId="10" hidden="1">ErrorRHS!$J$11</definedName>
    <definedName name="solver_rhs3" localSheetId="25" hidden="1">'EscapeSheetName(1)+2-1'!$J$11</definedName>
    <definedName name="solver_rhs3" localSheetId="29" hidden="1">FeasConstConstraint!$L$11</definedName>
    <definedName name="solver_rhs3" localSheetId="47" hidden="1">FractionalCoeffs!$I$8:$I$9</definedName>
    <definedName name="solver_rhs3" localSheetId="32" hidden="1">IndirectLBs!$J$13</definedName>
    <definedName name="solver_rhs3" localSheetId="28" hidden="1">InfConstConstraint!$L$11</definedName>
    <definedName name="solver_rhs3" localSheetId="49" hidden="1">InfModel!$J$12</definedName>
    <definedName name="solver_rhs3" localSheetId="50" hidden="1">IterativeCalc!$J$12</definedName>
    <definedName name="solver_rhs3" localSheetId="19" hidden="1">MergedLHS_OK!$J$12</definedName>
    <definedName name="solver_rhs3" localSheetId="20" hidden="1">MergedLHSMultiple_OK!$J$12</definedName>
    <definedName name="solver_rhs3" localSheetId="18" hidden="1">MergedRHS_OK!$J$12</definedName>
    <definedName name="solver_rhs3" localSheetId="17" hidden="1">MergedVarsBad!$J$12</definedName>
    <definedName name="solver_rhs3" localSheetId="16" hidden="1">MergedVarsOK!$J$12</definedName>
    <definedName name="solver_rhs3" localSheetId="15" hidden="1">MergedVarsSubset!$J$12</definedName>
    <definedName name="solver_rhs3" localSheetId="55" hidden="1">NamedRanges!$K$10:$K$11</definedName>
    <definedName name="solver_rhs3" localSheetId="68" hidden="1">NonLin!$L$43</definedName>
    <definedName name="solver_rhs3" localSheetId="73" hidden="1">-180</definedName>
    <definedName name="solver_rhs3" localSheetId="62" hidden="1">NonLinLarge!$J$73</definedName>
    <definedName name="solver_rhs3" localSheetId="63" hidden="1">NonLinObj!$J$10</definedName>
    <definedName name="solver_rhs3" localSheetId="64" hidden="1">NonLinPruning!$H$12:$H$18</definedName>
    <definedName name="solver_rhs3" localSheetId="61" hidden="1">NonLinSimple!$J$10</definedName>
    <definedName name="solver_rhs3" localSheetId="51" hidden="1">NoObj!$J$12</definedName>
    <definedName name="solver_rhs3" localSheetId="6" hidden="1">OverlappingVars!$J$11</definedName>
    <definedName name="solver_rhs3" localSheetId="31" hidden="1">ProtectedSheet!$J$11</definedName>
    <definedName name="solver_rhs3" localSheetId="37" hidden="1">binary</definedName>
    <definedName name="solver_rhs3" localSheetId="52" hidden="1">SeekObj!$I$8:$I$9</definedName>
    <definedName name="solver_rhs3" localSheetId="53" hidden="1">SeekObjInf!$I$8:$I$9</definedName>
    <definedName name="solver_rhs3" localSheetId="59" hidden="1">Sensitivity!$I$10:$I$11</definedName>
    <definedName name="solver_rhs3" localSheetId="60" hidden="1">SensitivityNames!$J$24</definedName>
    <definedName name="solver_rhs3" localSheetId="3" hidden="1">SimpleLP!$J$11</definedName>
    <definedName name="solver_rhs3" localSheetId="57" hidden="1">SolverParameters!$J$20</definedName>
    <definedName name="solver_rhs3" localSheetId="14" hidden="1">TextObj!$J$11</definedName>
    <definedName name="solver_rhs3" localSheetId="9" hidden="1">TextRHS!$J$11</definedName>
    <definedName name="solver_rhs3" localSheetId="30" hidden="1">Unbounded!$J$11</definedName>
    <definedName name="solver_rhs30" localSheetId="62" hidden="1">NonLinLarge!$J$139</definedName>
    <definedName name="solver_rhs300" localSheetId="62" hidden="1">NonLinLarge!$J$139</definedName>
    <definedName name="solver_rhs301" localSheetId="62" hidden="1">NonLinLarge!$J$7:$J$8</definedName>
    <definedName name="solver_rhs302" localSheetId="62" hidden="1">NonLinLarge!$J$9:$J$72</definedName>
    <definedName name="solver_rhs303" localSheetId="62" hidden="1">NonLinLarge!$J$73</definedName>
    <definedName name="solver_rhs304" localSheetId="62" hidden="1">NonLinLarge!$J$74</definedName>
    <definedName name="solver_rhs305" localSheetId="62" hidden="1">NonLinLarge!$J$75:$J$138</definedName>
    <definedName name="solver_rhs306" localSheetId="62" hidden="1">NonLinLarge!$J$139</definedName>
    <definedName name="solver_rhs307" localSheetId="62" hidden="1">NonLinLarge!$J$7:$J$8</definedName>
    <definedName name="solver_rhs308" localSheetId="62" hidden="1">NonLinLarge!$J$9:$J$72</definedName>
    <definedName name="solver_rhs309" localSheetId="62" hidden="1">NonLinLarge!$J$73</definedName>
    <definedName name="solver_rhs31" localSheetId="62" hidden="1">NonLinLarge!$J$7:$J$8</definedName>
    <definedName name="solver_rhs310" localSheetId="62" hidden="1">NonLinLarge!$J$74</definedName>
    <definedName name="solver_rhs311" localSheetId="62" hidden="1">NonLinLarge!$J$75:$J$138</definedName>
    <definedName name="solver_rhs312" localSheetId="62" hidden="1">NonLinLarge!$J$139</definedName>
    <definedName name="solver_rhs313" localSheetId="62" hidden="1">NonLinLarge!$J$7:$J$8</definedName>
    <definedName name="solver_rhs314" localSheetId="62" hidden="1">NonLinLarge!$J$9:$J$72</definedName>
    <definedName name="solver_rhs315" localSheetId="62" hidden="1">NonLinLarge!$J$73</definedName>
    <definedName name="solver_rhs316" localSheetId="62" hidden="1">NonLinLarge!$J$74</definedName>
    <definedName name="solver_rhs317" localSheetId="62" hidden="1">NonLinLarge!$J$75:$J$138</definedName>
    <definedName name="solver_rhs318" localSheetId="62" hidden="1">NonLinLarge!$J$139</definedName>
    <definedName name="solver_rhs319" localSheetId="62" hidden="1">NonLinLarge!$J$7:$J$8</definedName>
    <definedName name="solver_rhs32" localSheetId="62" hidden="1">NonLinLarge!$J$9:$J$72</definedName>
    <definedName name="solver_rhs320" localSheetId="62" hidden="1">NonLinLarge!$J$9:$J$72</definedName>
    <definedName name="solver_rhs321" localSheetId="62" hidden="1">NonLinLarge!$J$73</definedName>
    <definedName name="solver_rhs322" localSheetId="62" hidden="1">NonLinLarge!$J$74</definedName>
    <definedName name="solver_rhs323" localSheetId="62" hidden="1">NonLinLarge!$J$75:$J$138</definedName>
    <definedName name="solver_rhs324" localSheetId="62" hidden="1">NonLinLarge!$J$139</definedName>
    <definedName name="solver_rhs325" localSheetId="62" hidden="1">NonLinLarge!$J$7:$J$8</definedName>
    <definedName name="solver_rhs326" localSheetId="62" hidden="1">NonLinLarge!$J$9:$J$72</definedName>
    <definedName name="solver_rhs327" localSheetId="62" hidden="1">NonLinLarge!$J$73</definedName>
    <definedName name="solver_rhs328" localSheetId="62" hidden="1">NonLinLarge!$J$74</definedName>
    <definedName name="solver_rhs329" localSheetId="62" hidden="1">NonLinLarge!$J$75:$J$138</definedName>
    <definedName name="solver_rhs33" localSheetId="62" hidden="1">NonLinLarge!$J$73</definedName>
    <definedName name="solver_rhs330" localSheetId="62" hidden="1">NonLinLarge!$J$139</definedName>
    <definedName name="solver_rhs331" localSheetId="62" hidden="1">NonLinLarge!$J$7:$J$8</definedName>
    <definedName name="solver_rhs332" localSheetId="62" hidden="1">NonLinLarge!$J$9:$J$72</definedName>
    <definedName name="solver_rhs333" localSheetId="62" hidden="1">NonLinLarge!$J$73</definedName>
    <definedName name="solver_rhs334" localSheetId="62" hidden="1">NonLinLarge!$J$74</definedName>
    <definedName name="solver_rhs335" localSheetId="62" hidden="1">NonLinLarge!$J$75:$J$138</definedName>
    <definedName name="solver_rhs336" localSheetId="62" hidden="1">NonLinLarge!$J$139</definedName>
    <definedName name="solver_rhs337" localSheetId="62" hidden="1">NonLinLarge!$J$7:$J$8</definedName>
    <definedName name="solver_rhs338" localSheetId="62" hidden="1">NonLinLarge!$J$9:$J$72</definedName>
    <definedName name="solver_rhs339" localSheetId="62" hidden="1">NonLinLarge!$J$73</definedName>
    <definedName name="solver_rhs34" localSheetId="62" hidden="1">NonLinLarge!$J$74</definedName>
    <definedName name="solver_rhs340" localSheetId="62" hidden="1">NonLinLarge!$J$74</definedName>
    <definedName name="solver_rhs341" localSheetId="62" hidden="1">NonLinLarge!$J$75:$J$138</definedName>
    <definedName name="solver_rhs342" localSheetId="62" hidden="1">NonLinLarge!$J$139</definedName>
    <definedName name="solver_rhs343" localSheetId="62" hidden="1">NonLinLarge!$J$7:$J$8</definedName>
    <definedName name="solver_rhs344" localSheetId="62" hidden="1">NonLinLarge!$J$9:$J$72</definedName>
    <definedName name="solver_rhs345" localSheetId="62" hidden="1">NonLinLarge!$J$73</definedName>
    <definedName name="solver_rhs346" localSheetId="62" hidden="1">NonLinLarge!$J$74</definedName>
    <definedName name="solver_rhs347" localSheetId="62" hidden="1">NonLinLarge!$J$75:$J$138</definedName>
    <definedName name="solver_rhs348" localSheetId="62" hidden="1">NonLinLarge!$J$139</definedName>
    <definedName name="solver_rhs349" localSheetId="62" hidden="1">NonLinLarge!$J$7:$J$8</definedName>
    <definedName name="solver_rhs35" localSheetId="62" hidden="1">NonLinLarge!$J$75:$J$138</definedName>
    <definedName name="solver_rhs350" localSheetId="62" hidden="1">NonLinLarge!$J$9:$J$72</definedName>
    <definedName name="solver_rhs351" localSheetId="62" hidden="1">NonLinLarge!$J$73</definedName>
    <definedName name="solver_rhs352" localSheetId="62" hidden="1">NonLinLarge!$J$74</definedName>
    <definedName name="solver_rhs353" localSheetId="62" hidden="1">NonLinLarge!$J$75:$J$138</definedName>
    <definedName name="solver_rhs354" localSheetId="62" hidden="1">NonLinLarge!$J$139</definedName>
    <definedName name="solver_rhs355" localSheetId="62" hidden="1">NonLinLarge!$J$7:$J$8</definedName>
    <definedName name="solver_rhs356" localSheetId="62" hidden="1">NonLinLarge!$J$9:$J$72</definedName>
    <definedName name="solver_rhs357" localSheetId="62" hidden="1">NonLinLarge!$J$73</definedName>
    <definedName name="solver_rhs358" localSheetId="62" hidden="1">NonLinLarge!$J$74</definedName>
    <definedName name="solver_rhs359" localSheetId="62" hidden="1">NonLinLarge!$J$75:$J$138</definedName>
    <definedName name="solver_rhs36" localSheetId="62" hidden="1">NonLinLarge!$J$139</definedName>
    <definedName name="solver_rhs360" localSheetId="62" hidden="1">NonLinLarge!$J$139</definedName>
    <definedName name="solver_rhs361" localSheetId="62" hidden="1">NonLinLarge!$J$7:$J$8</definedName>
    <definedName name="solver_rhs362" localSheetId="62" hidden="1">NonLinLarge!$J$9:$J$72</definedName>
    <definedName name="solver_rhs363" localSheetId="62" hidden="1">NonLinLarge!$J$73</definedName>
    <definedName name="solver_rhs364" localSheetId="62" hidden="1">NonLinLarge!$J$74</definedName>
    <definedName name="solver_rhs365" localSheetId="62" hidden="1">NonLinLarge!$J$75:$J$138</definedName>
    <definedName name="solver_rhs366" localSheetId="62" hidden="1">NonLinLarge!$J$139</definedName>
    <definedName name="solver_rhs367" localSheetId="62" hidden="1">NonLinLarge!$J$7:$J$8</definedName>
    <definedName name="solver_rhs368" localSheetId="62" hidden="1">NonLinLarge!$J$9:$J$72</definedName>
    <definedName name="solver_rhs369" localSheetId="62" hidden="1">NonLinLarge!$J$73</definedName>
    <definedName name="solver_rhs37" localSheetId="62" hidden="1">NonLinLarge!$J$7:$J$8</definedName>
    <definedName name="solver_rhs370" localSheetId="62" hidden="1">NonLinLarge!$J$74</definedName>
    <definedName name="solver_rhs371" localSheetId="62" hidden="1">NonLinLarge!$J$75:$J$138</definedName>
    <definedName name="solver_rhs372" localSheetId="62" hidden="1">NonLinLarge!$J$139</definedName>
    <definedName name="solver_rhs373" localSheetId="62" hidden="1">NonLinLarge!$J$7:$J$8</definedName>
    <definedName name="solver_rhs374" localSheetId="62" hidden="1">NonLinLarge!$J$9:$J$72</definedName>
    <definedName name="solver_rhs375" localSheetId="62" hidden="1">NonLinLarge!$J$73</definedName>
    <definedName name="solver_rhs376" localSheetId="62" hidden="1">NonLinLarge!$J$74</definedName>
    <definedName name="solver_rhs377" localSheetId="62" hidden="1">NonLinLarge!$J$75:$J$138</definedName>
    <definedName name="solver_rhs378" localSheetId="62" hidden="1">NonLinLarge!$J$139</definedName>
    <definedName name="solver_rhs379" localSheetId="62" hidden="1">NonLinLarge!$J$7:$J$8</definedName>
    <definedName name="solver_rhs38" localSheetId="62" hidden="1">NonLinLarge!$J$9:$J$72</definedName>
    <definedName name="solver_rhs380" localSheetId="62" hidden="1">NonLinLarge!$J$9:$J$72</definedName>
    <definedName name="solver_rhs381" localSheetId="62" hidden="1">NonLinLarge!$J$73</definedName>
    <definedName name="solver_rhs382" localSheetId="62" hidden="1">NonLinLarge!$J$74</definedName>
    <definedName name="solver_rhs383" localSheetId="62" hidden="1">NonLinLarge!$J$75:$J$138</definedName>
    <definedName name="solver_rhs384" localSheetId="62" hidden="1">NonLinLarge!$J$139</definedName>
    <definedName name="solver_rhs385" localSheetId="62" hidden="1">NonLinLarge!$J$7:$J$8</definedName>
    <definedName name="solver_rhs386" localSheetId="62" hidden="1">NonLinLarge!$J$9:$J$72</definedName>
    <definedName name="solver_rhs387" localSheetId="62" hidden="1">NonLinLarge!$J$73</definedName>
    <definedName name="solver_rhs388" localSheetId="62" hidden="1">NonLinLarge!$J$74</definedName>
    <definedName name="solver_rhs389" localSheetId="62" hidden="1">NonLinLarge!$J$75:$J$138</definedName>
    <definedName name="solver_rhs39" localSheetId="62" hidden="1">NonLinLarge!$J$73</definedName>
    <definedName name="solver_rhs390" localSheetId="62" hidden="1">NonLinLarge!$J$139</definedName>
    <definedName name="solver_rhs391" localSheetId="62" hidden="1">NonLinLarge!$J$7:$J$8</definedName>
    <definedName name="solver_rhs392" localSheetId="62" hidden="1">NonLinLarge!$J$9:$J$72</definedName>
    <definedName name="solver_rhs393" localSheetId="62" hidden="1">NonLinLarge!$J$73</definedName>
    <definedName name="solver_rhs394" localSheetId="62" hidden="1">NonLinLarge!$J$74</definedName>
    <definedName name="solver_rhs395" localSheetId="62" hidden="1">NonLinLarge!$J$75:$J$138</definedName>
    <definedName name="solver_rhs396" localSheetId="62" hidden="1">NonLinLarge!$J$139</definedName>
    <definedName name="solver_rhs397" localSheetId="62" hidden="1">NonLinLarge!$J$7:$J$8</definedName>
    <definedName name="solver_rhs398" localSheetId="62" hidden="1">NonLinLarge!$J$9:$J$72</definedName>
    <definedName name="solver_rhs399" localSheetId="62" hidden="1">NonLinLarge!$J$73</definedName>
    <definedName name="solver_rhs4" localSheetId="36" hidden="1">integer</definedName>
    <definedName name="solver_rhs4" localSheetId="21" hidden="1">binary</definedName>
    <definedName name="solver_rhs4" localSheetId="48" hidden="1">binary</definedName>
    <definedName name="solver_rhs4" localSheetId="22" hidden="1">binary</definedName>
    <definedName name="solver_rhs4" localSheetId="23" hidden="1">binary</definedName>
    <definedName name="solver_rhs4" localSheetId="26" hidden="1">DeletedConRef!#REF!</definedName>
    <definedName name="solver_rhs4" localSheetId="32" hidden="1">IndirectLBs!$D$6:$E$6</definedName>
    <definedName name="solver_rhs4" localSheetId="49" hidden="1">2</definedName>
    <definedName name="solver_rhs4" localSheetId="55" hidden="1">NamedRanges!$K$12</definedName>
    <definedName name="solver_rhs4" localSheetId="68" hidden="1">NonLin!$L$44</definedName>
    <definedName name="solver_rhs4" localSheetId="73" hidden="1">0</definedName>
    <definedName name="solver_rhs4" localSheetId="62" hidden="1">NonLinLarge!$J$74</definedName>
    <definedName name="solver_rhs4" localSheetId="37" hidden="1">integer</definedName>
    <definedName name="solver_rhs4" localSheetId="59" hidden="1">Sensitivity!$G$20</definedName>
    <definedName name="solver_rhs4" localSheetId="60" hidden="1">0</definedName>
    <definedName name="solver_rhs4" localSheetId="58" hidden="1">integer</definedName>
    <definedName name="solver_rhs40" localSheetId="62" hidden="1">NonLinLarge!$J$74</definedName>
    <definedName name="solver_rhs400" localSheetId="62" hidden="1">NonLinLarge!$J$74</definedName>
    <definedName name="solver_rhs401" localSheetId="62" hidden="1">NonLinLarge!$J$75:$J$138</definedName>
    <definedName name="solver_rhs402" localSheetId="62" hidden="1">NonLinLarge!$J$139</definedName>
    <definedName name="solver_rhs403" localSheetId="62" hidden="1">NonLinLarge!$J$7:$J$8</definedName>
    <definedName name="solver_rhs404" localSheetId="62" hidden="1">NonLinLarge!$J$9:$J$72</definedName>
    <definedName name="solver_rhs405" localSheetId="62" hidden="1">NonLinLarge!$J$73</definedName>
    <definedName name="solver_rhs406" localSheetId="62" hidden="1">NonLinLarge!$J$74</definedName>
    <definedName name="solver_rhs407" localSheetId="62" hidden="1">NonLinLarge!$J$75:$J$138</definedName>
    <definedName name="solver_rhs408" localSheetId="62" hidden="1">NonLinLarge!$J$139</definedName>
    <definedName name="solver_rhs409" localSheetId="62" hidden="1">NonLinLarge!$J$7:$J$8</definedName>
    <definedName name="solver_rhs41" localSheetId="62" hidden="1">NonLinLarge!$J$75:$J$138</definedName>
    <definedName name="solver_rhs410" localSheetId="62" hidden="1">NonLinLarge!$J$9:$J$72</definedName>
    <definedName name="solver_rhs411" localSheetId="62" hidden="1">NonLinLarge!$J$73</definedName>
    <definedName name="solver_rhs412" localSheetId="62" hidden="1">NonLinLarge!$J$74</definedName>
    <definedName name="solver_rhs413" localSheetId="62" hidden="1">NonLinLarge!$J$75:$J$138</definedName>
    <definedName name="solver_rhs414" localSheetId="62" hidden="1">NonLinLarge!$J$139</definedName>
    <definedName name="solver_rhs415" localSheetId="62" hidden="1">NonLinLarge!$J$7:$J$8</definedName>
    <definedName name="solver_rhs416" localSheetId="62" hidden="1">NonLinLarge!$J$9:$J$72</definedName>
    <definedName name="solver_rhs417" localSheetId="62" hidden="1">NonLinLarge!$J$73</definedName>
    <definedName name="solver_rhs418" localSheetId="62" hidden="1">NonLinLarge!$J$74</definedName>
    <definedName name="solver_rhs419" localSheetId="62" hidden="1">NonLinLarge!$J$75:$J$138</definedName>
    <definedName name="solver_rhs42" localSheetId="62" hidden="1">NonLinLarge!$J$139</definedName>
    <definedName name="solver_rhs420" localSheetId="62" hidden="1">NonLinLarge!$J$139</definedName>
    <definedName name="solver_rhs421" localSheetId="62" hidden="1">NonLinLarge!$J$7:$J$8</definedName>
    <definedName name="solver_rhs422" localSheetId="62" hidden="1">NonLinLarge!$J$9:$J$72</definedName>
    <definedName name="solver_rhs423" localSheetId="62" hidden="1">NonLinLarge!$J$73</definedName>
    <definedName name="solver_rhs424" localSheetId="62" hidden="1">NonLinLarge!$J$74</definedName>
    <definedName name="solver_rhs425" localSheetId="62" hidden="1">NonLinLarge!$J$75:$J$138</definedName>
    <definedName name="solver_rhs426" localSheetId="62" hidden="1">NonLinLarge!$J$139</definedName>
    <definedName name="solver_rhs427" localSheetId="62" hidden="1">NonLinLarge!$J$7:$J$8</definedName>
    <definedName name="solver_rhs428" localSheetId="62" hidden="1">NonLinLarge!$J$9:$J$72</definedName>
    <definedName name="solver_rhs429" localSheetId="62" hidden="1">NonLinLarge!$J$73</definedName>
    <definedName name="solver_rhs43" localSheetId="62" hidden="1">NonLinLarge!$J$7:$J$8</definedName>
    <definedName name="solver_rhs430" localSheetId="62" hidden="1">NonLinLarge!$J$74</definedName>
    <definedName name="solver_rhs431" localSheetId="62" hidden="1">NonLinLarge!$J$75:$J$138</definedName>
    <definedName name="solver_rhs432" localSheetId="62" hidden="1">NonLinLarge!$J$139</definedName>
    <definedName name="solver_rhs433" localSheetId="62" hidden="1">NonLinLarge!$J$7:$J$8</definedName>
    <definedName name="solver_rhs434" localSheetId="62" hidden="1">NonLinLarge!$J$9:$J$72</definedName>
    <definedName name="solver_rhs435" localSheetId="62" hidden="1">NonLinLarge!$J$73</definedName>
    <definedName name="solver_rhs436" localSheetId="62" hidden="1">NonLinLarge!$J$74</definedName>
    <definedName name="solver_rhs437" localSheetId="62" hidden="1">NonLinLarge!$J$75:$J$138</definedName>
    <definedName name="solver_rhs438" localSheetId="62" hidden="1">NonLinLarge!$J$139</definedName>
    <definedName name="solver_rhs439" localSheetId="62" hidden="1">NonLinLarge!$J$7:$J$8</definedName>
    <definedName name="solver_rhs44" localSheetId="62" hidden="1">NonLinLarge!$J$9:$J$72</definedName>
    <definedName name="solver_rhs440" localSheetId="62" hidden="1">NonLinLarge!$J$9:$J$72</definedName>
    <definedName name="solver_rhs441" localSheetId="62" hidden="1">NonLinLarge!$J$73</definedName>
    <definedName name="solver_rhs442" localSheetId="62" hidden="1">NonLinLarge!$J$74</definedName>
    <definedName name="solver_rhs443" localSheetId="62" hidden="1">NonLinLarge!$J$75:$J$138</definedName>
    <definedName name="solver_rhs444" localSheetId="62" hidden="1">NonLinLarge!$J$139</definedName>
    <definedName name="solver_rhs445" localSheetId="62" hidden="1">NonLinLarge!$J$7:$J$8</definedName>
    <definedName name="solver_rhs446" localSheetId="62" hidden="1">NonLinLarge!$J$9:$J$72</definedName>
    <definedName name="solver_rhs447" localSheetId="62" hidden="1">NonLinLarge!$J$73</definedName>
    <definedName name="solver_rhs448" localSheetId="62" hidden="1">NonLinLarge!$J$74</definedName>
    <definedName name="solver_rhs449" localSheetId="62" hidden="1">NonLinLarge!$J$75:$J$138</definedName>
    <definedName name="solver_rhs45" localSheetId="62" hidden="1">NonLinLarge!$J$73</definedName>
    <definedName name="solver_rhs450" localSheetId="62" hidden="1">NonLinLarge!$J$139</definedName>
    <definedName name="solver_rhs451" localSheetId="62" hidden="1">NonLinLarge!$J$7:$J$8</definedName>
    <definedName name="solver_rhs452" localSheetId="62" hidden="1">NonLinLarge!$J$9:$J$72</definedName>
    <definedName name="solver_rhs453" localSheetId="62" hidden="1">NonLinLarge!$J$73</definedName>
    <definedName name="solver_rhs454" localSheetId="62" hidden="1">NonLinLarge!$J$74</definedName>
    <definedName name="solver_rhs455" localSheetId="62" hidden="1">NonLinLarge!$J$75:$J$138</definedName>
    <definedName name="solver_rhs456" localSheetId="62" hidden="1">NonLinLarge!$J$139</definedName>
    <definedName name="solver_rhs457" localSheetId="62" hidden="1">NonLinLarge!$J$7:$J$8</definedName>
    <definedName name="solver_rhs458" localSheetId="62" hidden="1">NonLinLarge!$J$9:$J$72</definedName>
    <definedName name="solver_rhs459" localSheetId="62" hidden="1">NonLinLarge!$J$73</definedName>
    <definedName name="solver_rhs46" localSheetId="62" hidden="1">NonLinLarge!$J$74</definedName>
    <definedName name="solver_rhs460" localSheetId="62" hidden="1">NonLinLarge!$J$74</definedName>
    <definedName name="solver_rhs461" localSheetId="62" hidden="1">NonLinLarge!$J$75:$J$138</definedName>
    <definedName name="solver_rhs462" localSheetId="62" hidden="1">NonLinLarge!$J$139</definedName>
    <definedName name="solver_rhs463" localSheetId="62" hidden="1">NonLinLarge!$J$7:$J$8</definedName>
    <definedName name="solver_rhs464" localSheetId="62" hidden="1">NonLinLarge!$J$9:$J$72</definedName>
    <definedName name="solver_rhs465" localSheetId="62" hidden="1">NonLinLarge!$J$73</definedName>
    <definedName name="solver_rhs466" localSheetId="62" hidden="1">NonLinLarge!$J$74</definedName>
    <definedName name="solver_rhs467" localSheetId="62" hidden="1">NonLinLarge!$J$75:$J$138</definedName>
    <definedName name="solver_rhs468" localSheetId="62" hidden="1">NonLinLarge!$J$139</definedName>
    <definedName name="solver_rhs469" localSheetId="62" hidden="1">NonLinLarge!$J$7:$J$8</definedName>
    <definedName name="solver_rhs47" localSheetId="62" hidden="1">NonLinLarge!$J$75:$J$138</definedName>
    <definedName name="solver_rhs470" localSheetId="62" hidden="1">NonLinLarge!$J$9:$J$72</definedName>
    <definedName name="solver_rhs471" localSheetId="62" hidden="1">NonLinLarge!$J$73</definedName>
    <definedName name="solver_rhs472" localSheetId="62" hidden="1">NonLinLarge!$J$74</definedName>
    <definedName name="solver_rhs473" localSheetId="62" hidden="1">NonLinLarge!$J$75:$J$138</definedName>
    <definedName name="solver_rhs474" localSheetId="62" hidden="1">NonLinLarge!$J$139</definedName>
    <definedName name="solver_rhs475" localSheetId="62" hidden="1">NonLinLarge!$J$7:$J$8</definedName>
    <definedName name="solver_rhs476" localSheetId="62" hidden="1">NonLinLarge!$J$9:$J$72</definedName>
    <definedName name="solver_rhs477" localSheetId="62" hidden="1">NonLinLarge!$J$73</definedName>
    <definedName name="solver_rhs478" localSheetId="62" hidden="1">NonLinLarge!$J$74</definedName>
    <definedName name="solver_rhs479" localSheetId="62" hidden="1">NonLinLarge!$J$75:$J$138</definedName>
    <definedName name="solver_rhs48" localSheetId="62" hidden="1">NonLinLarge!$J$139</definedName>
    <definedName name="solver_rhs480" localSheetId="62" hidden="1">NonLinLarge!$J$139</definedName>
    <definedName name="solver_rhs481" localSheetId="62" hidden="1">NonLinLarge!$J$7:$J$8</definedName>
    <definedName name="solver_rhs482" localSheetId="62" hidden="1">NonLinLarge!$J$9:$J$72</definedName>
    <definedName name="solver_rhs483" localSheetId="62" hidden="1">NonLinLarge!$J$73</definedName>
    <definedName name="solver_rhs484" localSheetId="62" hidden="1">NonLinLarge!$J$74</definedName>
    <definedName name="solver_rhs485" localSheetId="62" hidden="1">NonLinLarge!$J$75:$J$138</definedName>
    <definedName name="solver_rhs486" localSheetId="62" hidden="1">NonLinLarge!$J$139</definedName>
    <definedName name="solver_rhs487" localSheetId="62" hidden="1">NonLinLarge!$J$7:$J$8</definedName>
    <definedName name="solver_rhs488" localSheetId="62" hidden="1">NonLinLarge!$J$9:$J$72</definedName>
    <definedName name="solver_rhs489" localSheetId="62" hidden="1">NonLinLarge!$J$73</definedName>
    <definedName name="solver_rhs49" localSheetId="62" hidden="1">NonLinLarge!$J$7:$J$8</definedName>
    <definedName name="solver_rhs490" localSheetId="62" hidden="1">NonLinLarge!$J$74</definedName>
    <definedName name="solver_rhs491" localSheetId="62" hidden="1">NonLinLarge!$J$75:$J$138</definedName>
    <definedName name="solver_rhs492" localSheetId="62" hidden="1">NonLinLarge!$J$139</definedName>
    <definedName name="solver_rhs493" localSheetId="62" hidden="1">NonLinLarge!$J$7:$J$8</definedName>
    <definedName name="solver_rhs494" localSheetId="62" hidden="1">NonLinLarge!$J$9:$J$72</definedName>
    <definedName name="solver_rhs495" localSheetId="62" hidden="1">NonLinLarge!$J$73</definedName>
    <definedName name="solver_rhs496" localSheetId="62" hidden="1">NonLinLarge!$J$74</definedName>
    <definedName name="solver_rhs497" localSheetId="62" hidden="1">NonLinLarge!$J$75:$J$138</definedName>
    <definedName name="solver_rhs498" localSheetId="62" hidden="1">NonLinLarge!$J$139</definedName>
    <definedName name="solver_rhs499" localSheetId="62" hidden="1">NonLinLarge!$J$7:$J$8</definedName>
    <definedName name="solver_rhs5" localSheetId="21" hidden="1">integer</definedName>
    <definedName name="solver_rhs5" localSheetId="48" hidden="1">integer</definedName>
    <definedName name="solver_rhs5" localSheetId="22" hidden="1">integer</definedName>
    <definedName name="solver_rhs5" localSheetId="23" hidden="1">integer</definedName>
    <definedName name="solver_rhs5" localSheetId="32" hidden="1">2</definedName>
    <definedName name="solver_rhs5" localSheetId="68" hidden="1">integer</definedName>
    <definedName name="solver_rhs5" localSheetId="62" hidden="1">NonLinLarge!$J$75:$J$138</definedName>
    <definedName name="solver_rhs5" localSheetId="58" hidden="1">1.5</definedName>
    <definedName name="solver_rhs50" localSheetId="62" hidden="1">NonLinLarge!$J$9:$J$72</definedName>
    <definedName name="solver_rhs500" localSheetId="62" hidden="1">NonLinLarge!$J$9:$J$72</definedName>
    <definedName name="solver_rhs501" localSheetId="62" hidden="1">NonLinLarge!$J$73</definedName>
    <definedName name="solver_rhs502" localSheetId="62" hidden="1">NonLinLarge!$J$74</definedName>
    <definedName name="solver_rhs503" localSheetId="62" hidden="1">NonLinLarge!$J$75:$J$138</definedName>
    <definedName name="solver_rhs504" localSheetId="62" hidden="1">NonLinLarge!$J$139</definedName>
    <definedName name="solver_rhs505" localSheetId="62" hidden="1">NonLinLarge!$J$7:$J$8</definedName>
    <definedName name="solver_rhs506" localSheetId="62" hidden="1">NonLinLarge!$J$9:$J$72</definedName>
    <definedName name="solver_rhs507" localSheetId="62" hidden="1">NonLinLarge!$J$73</definedName>
    <definedName name="solver_rhs508" localSheetId="62" hidden="1">NonLinLarge!$J$74</definedName>
    <definedName name="solver_rhs509" localSheetId="62" hidden="1">NonLinLarge!$J$75:$J$138</definedName>
    <definedName name="solver_rhs51" localSheetId="62" hidden="1">NonLinLarge!$J$73</definedName>
    <definedName name="solver_rhs510" localSheetId="62" hidden="1">NonLinLarge!$J$139</definedName>
    <definedName name="solver_rhs511" localSheetId="62" hidden="1">NonLinLarge!$J$7:$J$8</definedName>
    <definedName name="solver_rhs512" localSheetId="62" hidden="1">NonLinLarge!$J$9:$J$72</definedName>
    <definedName name="solver_rhs513" localSheetId="62" hidden="1">NonLinLarge!$J$73</definedName>
    <definedName name="solver_rhs514" localSheetId="62" hidden="1">NonLinLarge!$J$74</definedName>
    <definedName name="solver_rhs515" localSheetId="62" hidden="1">NonLinLarge!$J$75:$J$138</definedName>
    <definedName name="solver_rhs516" localSheetId="62" hidden="1">NonLinLarge!$J$139</definedName>
    <definedName name="solver_rhs517" localSheetId="62" hidden="1">NonLinLarge!$J$7:$J$8</definedName>
    <definedName name="solver_rhs518" localSheetId="62" hidden="1">NonLinLarge!$J$9:$J$72</definedName>
    <definedName name="solver_rhs519" localSheetId="62" hidden="1">NonLinLarge!$J$73</definedName>
    <definedName name="solver_rhs52" localSheetId="62" hidden="1">NonLinLarge!$J$74</definedName>
    <definedName name="solver_rhs520" localSheetId="62" hidden="1">NonLinLarge!$J$74</definedName>
    <definedName name="solver_rhs521" localSheetId="62" hidden="1">NonLinLarge!$J$75:$J$138</definedName>
    <definedName name="solver_rhs522" localSheetId="62" hidden="1">NonLinLarge!$J$139</definedName>
    <definedName name="solver_rhs523" localSheetId="62" hidden="1">NonLinLarge!$J$7:$J$8</definedName>
    <definedName name="solver_rhs524" localSheetId="62" hidden="1">NonLinLarge!$J$9:$J$72</definedName>
    <definedName name="solver_rhs525" localSheetId="62" hidden="1">NonLinLarge!$J$73</definedName>
    <definedName name="solver_rhs526" localSheetId="62" hidden="1">NonLinLarge!$J$74</definedName>
    <definedName name="solver_rhs527" localSheetId="62" hidden="1">NonLinLarge!$J$75:$J$138</definedName>
    <definedName name="solver_rhs528" localSheetId="62" hidden="1">NonLinLarge!$J$139</definedName>
    <definedName name="solver_rhs529" localSheetId="62" hidden="1">NonLinLarge!$J$7:$J$8</definedName>
    <definedName name="solver_rhs53" localSheetId="62" hidden="1">NonLinLarge!$J$75:$J$138</definedName>
    <definedName name="solver_rhs530" localSheetId="62" hidden="1">NonLinLarge!$J$9:$J$72</definedName>
    <definedName name="solver_rhs531" localSheetId="62" hidden="1">NonLinLarge!$J$73</definedName>
    <definedName name="solver_rhs532" localSheetId="62" hidden="1">NonLinLarge!$J$74</definedName>
    <definedName name="solver_rhs533" localSheetId="62" hidden="1">NonLinLarge!$J$75:$J$138</definedName>
    <definedName name="solver_rhs534" localSheetId="62" hidden="1">NonLinLarge!$J$139</definedName>
    <definedName name="solver_rhs535" localSheetId="62" hidden="1">NonLinLarge!$J$7:$J$8</definedName>
    <definedName name="solver_rhs536" localSheetId="62" hidden="1">NonLinLarge!$J$9:$J$72</definedName>
    <definedName name="solver_rhs537" localSheetId="62" hidden="1">NonLinLarge!$J$73</definedName>
    <definedName name="solver_rhs538" localSheetId="62" hidden="1">NonLinLarge!$J$74</definedName>
    <definedName name="solver_rhs539" localSheetId="62" hidden="1">NonLinLarge!$J$75:$J$138</definedName>
    <definedName name="solver_rhs54" localSheetId="62" hidden="1">NonLinLarge!$J$139</definedName>
    <definedName name="solver_rhs540" localSheetId="62" hidden="1">NonLinLarge!$J$139</definedName>
    <definedName name="solver_rhs541" localSheetId="62" hidden="1">NonLinLarge!$J$7:$J$8</definedName>
    <definedName name="solver_rhs542" localSheetId="62" hidden="1">NonLinLarge!$J$9:$J$72</definedName>
    <definedName name="solver_rhs543" localSheetId="62" hidden="1">NonLinLarge!$J$73</definedName>
    <definedName name="solver_rhs544" localSheetId="62" hidden="1">NonLinLarge!$J$74</definedName>
    <definedName name="solver_rhs545" localSheetId="62" hidden="1">NonLinLarge!$J$75:$J$138</definedName>
    <definedName name="solver_rhs546" localSheetId="62" hidden="1">NonLinLarge!$J$139</definedName>
    <definedName name="solver_rhs547" localSheetId="62" hidden="1">NonLinLarge!$J$7:$J$8</definedName>
    <definedName name="solver_rhs548" localSheetId="62" hidden="1">NonLinLarge!$J$9:$J$72</definedName>
    <definedName name="solver_rhs549" localSheetId="62" hidden="1">NonLinLarge!$J$73</definedName>
    <definedName name="solver_rhs55" localSheetId="62" hidden="1">NonLinLarge!$J$7:$J$8</definedName>
    <definedName name="solver_rhs550" localSheetId="62" hidden="1">NonLinLarge!$J$74</definedName>
    <definedName name="solver_rhs551" localSheetId="62" hidden="1">NonLinLarge!$J$75:$J$138</definedName>
    <definedName name="solver_rhs552" localSheetId="62" hidden="1">NonLinLarge!$J$139</definedName>
    <definedName name="solver_rhs553" localSheetId="62" hidden="1">NonLinLarge!$J$7:$J$8</definedName>
    <definedName name="solver_rhs554" localSheetId="62" hidden="1">NonLinLarge!$J$9:$J$72</definedName>
    <definedName name="solver_rhs555" localSheetId="62" hidden="1">NonLinLarge!$J$73</definedName>
    <definedName name="solver_rhs556" localSheetId="62" hidden="1">NonLinLarge!$J$74</definedName>
    <definedName name="solver_rhs557" localSheetId="62" hidden="1">NonLinLarge!$J$75:$J$138</definedName>
    <definedName name="solver_rhs558" localSheetId="62" hidden="1">NonLinLarge!$J$139</definedName>
    <definedName name="solver_rhs559" localSheetId="62" hidden="1">NonLinLarge!$J$7:$J$8</definedName>
    <definedName name="solver_rhs56" localSheetId="62" hidden="1">NonLinLarge!$J$9:$J$72</definedName>
    <definedName name="solver_rhs560" localSheetId="62" hidden="1">NonLinLarge!$J$9:$J$72</definedName>
    <definedName name="solver_rhs561" localSheetId="62" hidden="1">NonLinLarge!$J$73</definedName>
    <definedName name="solver_rhs562" localSheetId="62" hidden="1">NonLinLarge!$J$74</definedName>
    <definedName name="solver_rhs563" localSheetId="62" hidden="1">NonLinLarge!$J$75:$J$138</definedName>
    <definedName name="solver_rhs564" localSheetId="62" hidden="1">NonLinLarge!$J$139</definedName>
    <definedName name="solver_rhs565" localSheetId="62" hidden="1">NonLinLarge!$J$7:$J$8</definedName>
    <definedName name="solver_rhs566" localSheetId="62" hidden="1">NonLinLarge!$J$9:$J$72</definedName>
    <definedName name="solver_rhs567" localSheetId="62" hidden="1">NonLinLarge!$J$73</definedName>
    <definedName name="solver_rhs568" localSheetId="62" hidden="1">NonLinLarge!$J$74</definedName>
    <definedName name="solver_rhs569" localSheetId="62" hidden="1">NonLinLarge!$J$75:$J$138</definedName>
    <definedName name="solver_rhs57" localSheetId="62" hidden="1">NonLinLarge!$J$73</definedName>
    <definedName name="solver_rhs570" localSheetId="62" hidden="1">NonLinLarge!$J$139</definedName>
    <definedName name="solver_rhs571" localSheetId="62" hidden="1">NonLinLarge!$J$7:$J$8</definedName>
    <definedName name="solver_rhs572" localSheetId="62" hidden="1">NonLinLarge!$J$9:$J$72</definedName>
    <definedName name="solver_rhs573" localSheetId="62" hidden="1">NonLinLarge!$J$73</definedName>
    <definedName name="solver_rhs574" localSheetId="62" hidden="1">NonLinLarge!$J$74</definedName>
    <definedName name="solver_rhs575" localSheetId="62" hidden="1">NonLinLarge!$J$75:$J$138</definedName>
    <definedName name="solver_rhs576" localSheetId="62" hidden="1">NonLinLarge!$J$139</definedName>
    <definedName name="solver_rhs577" localSheetId="62" hidden="1">NonLinLarge!$J$7:$J$8</definedName>
    <definedName name="solver_rhs578" localSheetId="62" hidden="1">NonLinLarge!$J$9:$J$72</definedName>
    <definedName name="solver_rhs579" localSheetId="62" hidden="1">NonLinLarge!$J$73</definedName>
    <definedName name="solver_rhs58" localSheetId="62" hidden="1">NonLinLarge!$J$74</definedName>
    <definedName name="solver_rhs580" localSheetId="62" hidden="1">NonLinLarge!$J$74</definedName>
    <definedName name="solver_rhs581" localSheetId="62" hidden="1">NonLinLarge!$J$75:$J$138</definedName>
    <definedName name="solver_rhs582" localSheetId="62" hidden="1">NonLinLarge!$J$139</definedName>
    <definedName name="solver_rhs583" localSheetId="62" hidden="1">NonLinLarge!$J$7:$J$8</definedName>
    <definedName name="solver_rhs584" localSheetId="62" hidden="1">NonLinLarge!$J$9:$J$72</definedName>
    <definedName name="solver_rhs585" localSheetId="62" hidden="1">NonLinLarge!$J$73</definedName>
    <definedName name="solver_rhs586" localSheetId="62" hidden="1">NonLinLarge!$J$74</definedName>
    <definedName name="solver_rhs587" localSheetId="62" hidden="1">NonLinLarge!$J$75:$J$138</definedName>
    <definedName name="solver_rhs588" localSheetId="62" hidden="1">NonLinLarge!$J$139</definedName>
    <definedName name="solver_rhs589" localSheetId="62" hidden="1">NonLinLarge!$J$7:$J$8</definedName>
    <definedName name="solver_rhs59" localSheetId="62" hidden="1">NonLinLarge!$J$75:$J$138</definedName>
    <definedName name="solver_rhs590" localSheetId="62" hidden="1">NonLinLarge!$J$9:$J$72</definedName>
    <definedName name="solver_rhs591" localSheetId="62" hidden="1">NonLinLarge!$J$73</definedName>
    <definedName name="solver_rhs592" localSheetId="62" hidden="1">NonLinLarge!$J$74</definedName>
    <definedName name="solver_rhs593" localSheetId="62" hidden="1">NonLinLarge!$J$75:$J$138</definedName>
    <definedName name="solver_rhs594" localSheetId="62" hidden="1">NonLinLarge!$J$139</definedName>
    <definedName name="solver_rhs595" localSheetId="62" hidden="1">NonLinLarge!$J$7:$J$8</definedName>
    <definedName name="solver_rhs596" localSheetId="62" hidden="1">NonLinLarge!$J$9:$J$72</definedName>
    <definedName name="solver_rhs597" localSheetId="62" hidden="1">NonLinLarge!$J$73</definedName>
    <definedName name="solver_rhs598" localSheetId="62" hidden="1">NonLinLarge!$J$74</definedName>
    <definedName name="solver_rhs599" localSheetId="62" hidden="1">NonLinLarge!$J$75:$J$138</definedName>
    <definedName name="solver_rhs6" localSheetId="48" hidden="1">ComplexLayout!$U$3:$U$4</definedName>
    <definedName name="solver_rhs6" localSheetId="22" hidden="1">ConFormula!$U$4:$U$5</definedName>
    <definedName name="solver_rhs6" localSheetId="23" hidden="1">ConFormulaInf!$U$4:$U$5</definedName>
    <definedName name="solver_rhs6" localSheetId="62" hidden="1">NonLinLarge!$J$139</definedName>
    <definedName name="solver_rhs60" localSheetId="62" hidden="1">NonLinLarge!$J$139</definedName>
    <definedName name="solver_rhs600" localSheetId="62" hidden="1">NonLinLarge!$J$139</definedName>
    <definedName name="solver_rhs61" localSheetId="62" hidden="1">NonLinLarge!$J$7:$J$8</definedName>
    <definedName name="solver_rhs62" localSheetId="62" hidden="1">NonLinLarge!$J$9:$J$72</definedName>
    <definedName name="solver_rhs63" localSheetId="62" hidden="1">NonLinLarge!$J$73</definedName>
    <definedName name="solver_rhs64" localSheetId="62" hidden="1">NonLinLarge!$J$74</definedName>
    <definedName name="solver_rhs65" localSheetId="62" hidden="1">NonLinLarge!$J$75:$J$138</definedName>
    <definedName name="solver_rhs66" localSheetId="62" hidden="1">NonLinLarge!$J$139</definedName>
    <definedName name="solver_rhs67" localSheetId="62" hidden="1">NonLinLarge!$J$7:$J$8</definedName>
    <definedName name="solver_rhs68" localSheetId="62" hidden="1">NonLinLarge!$J$9:$J$72</definedName>
    <definedName name="solver_rhs69" localSheetId="62" hidden="1">NonLinLarge!$J$73</definedName>
    <definedName name="solver_rhs7" localSheetId="48" hidden="1">ComplexLayout!$Q$7:$R$7</definedName>
    <definedName name="solver_rhs7" localSheetId="22" hidden="1">ConFormula!$Q$8:$R$8</definedName>
    <definedName name="solver_rhs7" localSheetId="23" hidden="1">ConFormulaInf!$Q$8:$R$8</definedName>
    <definedName name="solver_rhs7" localSheetId="62" hidden="1">NonLinLarge!$J$7:$J$8</definedName>
    <definedName name="solver_rhs70" localSheetId="62" hidden="1">NonLinLarge!$J$74</definedName>
    <definedName name="solver_rhs71" localSheetId="62" hidden="1">NonLinLarge!$J$75:$J$138</definedName>
    <definedName name="solver_rhs72" localSheetId="62" hidden="1">NonLinLarge!$J$139</definedName>
    <definedName name="solver_rhs73" localSheetId="62" hidden="1">NonLinLarge!$J$7:$J$8</definedName>
    <definedName name="solver_rhs74" localSheetId="62" hidden="1">NonLinLarge!$J$9:$J$72</definedName>
    <definedName name="solver_rhs75" localSheetId="62" hidden="1">NonLinLarge!$J$73</definedName>
    <definedName name="solver_rhs76" localSheetId="62" hidden="1">NonLinLarge!$J$74</definedName>
    <definedName name="solver_rhs77" localSheetId="62" hidden="1">NonLinLarge!$J$75:$J$138</definedName>
    <definedName name="solver_rhs78" localSheetId="62" hidden="1">NonLinLarge!$J$139</definedName>
    <definedName name="solver_rhs79" localSheetId="62" hidden="1">NonLinLarge!$J$7:$J$8</definedName>
    <definedName name="solver_rhs8" localSheetId="22" hidden="1">ConFormula!$I$11/4+ConFormula!$B$3</definedName>
    <definedName name="solver_rhs8" localSheetId="23" hidden="1">ConFormulaInf!$I$11/4+ConFormulaInf!$B$3</definedName>
    <definedName name="solver_rhs8" localSheetId="62" hidden="1">NonLinLarge!$J$9:$J$72</definedName>
    <definedName name="solver_rhs80" localSheetId="62" hidden="1">NonLinLarge!$J$9:$J$72</definedName>
    <definedName name="solver_rhs81" localSheetId="62" hidden="1">NonLinLarge!$J$73</definedName>
    <definedName name="solver_rhs82" localSheetId="62" hidden="1">NonLinLarge!$J$74</definedName>
    <definedName name="solver_rhs83" localSheetId="62" hidden="1">NonLinLarge!$J$75:$J$138</definedName>
    <definedName name="solver_rhs84" localSheetId="62" hidden="1">NonLinLarge!$J$139</definedName>
    <definedName name="solver_rhs85" localSheetId="62" hidden="1">NonLinLarge!$J$7:$J$8</definedName>
    <definedName name="solver_rhs86" localSheetId="62" hidden="1">NonLinLarge!$J$9:$J$72</definedName>
    <definedName name="solver_rhs87" localSheetId="62" hidden="1">NonLinLarge!$J$73</definedName>
    <definedName name="solver_rhs88" localSheetId="62" hidden="1">NonLinLarge!$J$74</definedName>
    <definedName name="solver_rhs89" localSheetId="62" hidden="1">NonLinLarge!$J$75:$J$138</definedName>
    <definedName name="solver_rhs9" localSheetId="23" hidden="1">5*ConFormulaInf!$I$15-1</definedName>
    <definedName name="solver_rhs9" localSheetId="62" hidden="1">NonLinLarge!$J$73</definedName>
    <definedName name="solver_rhs90" localSheetId="62" hidden="1">NonLinLarge!$J$139</definedName>
    <definedName name="solver_rhs91" localSheetId="62" hidden="1">NonLinLarge!$J$7:$J$8</definedName>
    <definedName name="solver_rhs92" localSheetId="62" hidden="1">NonLinLarge!$J$9:$J$72</definedName>
    <definedName name="solver_rhs93" localSheetId="62" hidden="1">NonLinLarge!$J$73</definedName>
    <definedName name="solver_rhs94" localSheetId="62" hidden="1">NonLinLarge!$J$74</definedName>
    <definedName name="solver_rhs95" localSheetId="62" hidden="1">NonLinLarge!$J$75:$J$138</definedName>
    <definedName name="solver_rhs96" localSheetId="62" hidden="1">NonLinLarge!$J$139</definedName>
    <definedName name="solver_rhs97" localSheetId="62" hidden="1">NonLinLarge!$J$7:$J$8</definedName>
    <definedName name="solver_rhs98" localSheetId="62" hidden="1">NonLinLarge!$J$9:$J$72</definedName>
    <definedName name="solver_rhs99" localSheetId="62" hidden="1">NonLinLarge!$J$73</definedName>
    <definedName name="solver_rlx" localSheetId="36" hidden="1">0</definedName>
    <definedName name="solver_rlx" localSheetId="21" hidden="1">0</definedName>
    <definedName name="solver_rlx" localSheetId="35" hidden="1">0</definedName>
    <definedName name="solver_rlx" localSheetId="8" hidden="1">0</definedName>
    <definedName name="solver_rlx" localSheetId="7" hidden="1">0</definedName>
    <definedName name="solver_rlx" localSheetId="48" hidden="1">0</definedName>
    <definedName name="solver_rlx" localSheetId="22" hidden="1">0</definedName>
    <definedName name="solver_rlx" localSheetId="23" hidden="1">0</definedName>
    <definedName name="solver_rlx" localSheetId="44" hidden="1">0</definedName>
    <definedName name="solver_rlx" localSheetId="41" hidden="1">0</definedName>
    <definedName name="solver_rlx" localSheetId="43" hidden="1">0</definedName>
    <definedName name="solver_rlx" localSheetId="26" hidden="1">0</definedName>
    <definedName name="solver_rlx" localSheetId="54" hidden="1">0</definedName>
    <definedName name="solver_rlx" localSheetId="33" hidden="1">0</definedName>
    <definedName name="solver_rlx" localSheetId="11" hidden="1">0</definedName>
    <definedName name="solver_rlx" localSheetId="10" hidden="1">0</definedName>
    <definedName name="solver_rlx" localSheetId="25" hidden="1">0</definedName>
    <definedName name="solver_rlx" localSheetId="29" hidden="1">0</definedName>
    <definedName name="solver_rlx" localSheetId="45" hidden="1">0</definedName>
    <definedName name="solver_rlx" localSheetId="47" hidden="1">0</definedName>
    <definedName name="solver_rlx" localSheetId="32" hidden="1">0</definedName>
    <definedName name="solver_rlx" localSheetId="28" hidden="1">0</definedName>
    <definedName name="solver_rlx" localSheetId="49" hidden="1">0</definedName>
    <definedName name="solver_rlx" localSheetId="5" hidden="1">0</definedName>
    <definedName name="solver_rlx" localSheetId="50" hidden="1">0</definedName>
    <definedName name="solver_rlx" localSheetId="38" hidden="1">0</definedName>
    <definedName name="solver_rlx" localSheetId="19" hidden="1">0</definedName>
    <definedName name="solver_rlx" localSheetId="20" hidden="1">0</definedName>
    <definedName name="solver_rlx" localSheetId="18" hidden="1">0</definedName>
    <definedName name="solver_rlx" localSheetId="16" hidden="1">0</definedName>
    <definedName name="solver_rlx" localSheetId="55" hidden="1">0</definedName>
    <definedName name="solver_rlx" localSheetId="68" hidden="1">0</definedName>
    <definedName name="solver_rlx" localSheetId="69" hidden="1">0</definedName>
    <definedName name="solver_rlx" localSheetId="70" hidden="1">0</definedName>
    <definedName name="solver_rlx" localSheetId="71" hidden="1">0</definedName>
    <definedName name="solver_rlx" localSheetId="72" hidden="1">0</definedName>
    <definedName name="solver_rlx" localSheetId="73" hidden="1">0</definedName>
    <definedName name="solver_rlx" localSheetId="67" hidden="1">0</definedName>
    <definedName name="solver_rlx" localSheetId="66" hidden="1">0</definedName>
    <definedName name="solver_rlx" localSheetId="62" hidden="1">0</definedName>
    <definedName name="solver_rlx" localSheetId="65" hidden="1">0</definedName>
    <definedName name="solver_rlx" localSheetId="63" hidden="1">0</definedName>
    <definedName name="solver_rlx" localSheetId="64" hidden="1">0</definedName>
    <definedName name="solver_rlx" localSheetId="61" hidden="1">0</definedName>
    <definedName name="solver_rlx" localSheetId="51" hidden="1">0</definedName>
    <definedName name="solver_rlx" localSheetId="6" hidden="1">0</definedName>
    <definedName name="solver_rlx" localSheetId="39" hidden="1">0</definedName>
    <definedName name="solver_rlx" localSheetId="40" hidden="1">0</definedName>
    <definedName name="solver_rlx" localSheetId="37" hidden="1">1</definedName>
    <definedName name="solver_rlx" localSheetId="52" hidden="1">0</definedName>
    <definedName name="solver_rlx" localSheetId="53" hidden="1">0</definedName>
    <definedName name="solver_rlx" localSheetId="59" hidden="1">0</definedName>
    <definedName name="solver_rlx" localSheetId="60" hidden="1">0</definedName>
    <definedName name="solver_rlx" localSheetId="4" hidden="1">0</definedName>
    <definedName name="solver_rlx" localSheetId="3" hidden="1">0</definedName>
    <definedName name="solver_rlx" localSheetId="34" hidden="1">0</definedName>
    <definedName name="solver_rlx" localSheetId="57" hidden="1">0</definedName>
    <definedName name="solver_rlx" localSheetId="9" hidden="1">0</definedName>
    <definedName name="solver_rlx" localSheetId="30" hidden="1">0</definedName>
    <definedName name="solver_rlx" localSheetId="46" hidden="1">0</definedName>
    <definedName name="solver_rlx" localSheetId="42" hidden="1">0</definedName>
    <definedName name="solver_rlx" localSheetId="58" hidden="1">0</definedName>
    <definedName name="solver_scl" localSheetId="62" hidden="1">2</definedName>
    <definedName name="solver_scl" localSheetId="53" hidden="1">2</definedName>
    <definedName name="solver_scl" localSheetId="60" hidden="1">2</definedName>
    <definedName name="solver_scl" localSheetId="3" hidden="1">2</definedName>
    <definedName name="solver_scl" localSheetId="58" hidden="1">2</definedName>
    <definedName name="solver_sho" localSheetId="36" hidden="1">0</definedName>
    <definedName name="solver_sho" localSheetId="21" hidden="1">0</definedName>
    <definedName name="solver_sho" localSheetId="35" hidden="1">0</definedName>
    <definedName name="solver_sho" localSheetId="8" hidden="1">0</definedName>
    <definedName name="solver_sho" localSheetId="7" hidden="1">0</definedName>
    <definedName name="solver_sho" localSheetId="48" hidden="1">0</definedName>
    <definedName name="solver_sho" localSheetId="22" hidden="1">0</definedName>
    <definedName name="solver_sho" localSheetId="23" hidden="1">0</definedName>
    <definedName name="solver_sho" localSheetId="44" hidden="1">0</definedName>
    <definedName name="solver_sho" localSheetId="41" hidden="1">0</definedName>
    <definedName name="solver_sho" localSheetId="43" hidden="1">0</definedName>
    <definedName name="solver_sho" localSheetId="26" hidden="1">0</definedName>
    <definedName name="solver_sho" localSheetId="54" hidden="1">0</definedName>
    <definedName name="solver_sho" localSheetId="33" hidden="1">0</definedName>
    <definedName name="solver_sho" localSheetId="11" hidden="1">0</definedName>
    <definedName name="solver_sho" localSheetId="10" hidden="1">0</definedName>
    <definedName name="solver_sho" localSheetId="25" hidden="1">0</definedName>
    <definedName name="solver_sho" localSheetId="29" hidden="1">0</definedName>
    <definedName name="solver_sho" localSheetId="45" hidden="1">0</definedName>
    <definedName name="solver_sho" localSheetId="47" hidden="1">0</definedName>
    <definedName name="solver_sho" localSheetId="32" hidden="1">0</definedName>
    <definedName name="solver_sho" localSheetId="28" hidden="1">0</definedName>
    <definedName name="solver_sho" localSheetId="49" hidden="1">0</definedName>
    <definedName name="solver_sho" localSheetId="5" hidden="1">0</definedName>
    <definedName name="solver_sho" localSheetId="50" hidden="1">0</definedName>
    <definedName name="solver_sho" localSheetId="38" hidden="1">0</definedName>
    <definedName name="solver_sho" localSheetId="19" hidden="1">0</definedName>
    <definedName name="solver_sho" localSheetId="20" hidden="1">0</definedName>
    <definedName name="solver_sho" localSheetId="18" hidden="1">0</definedName>
    <definedName name="solver_sho" localSheetId="16" hidden="1">0</definedName>
    <definedName name="solver_sho" localSheetId="55" hidden="1">0</definedName>
    <definedName name="solver_sho" localSheetId="68" hidden="1">0</definedName>
    <definedName name="solver_sho" localSheetId="69" hidden="1">0</definedName>
    <definedName name="solver_sho" localSheetId="70" hidden="1">0</definedName>
    <definedName name="solver_sho" localSheetId="71" hidden="1">0</definedName>
    <definedName name="solver_sho" localSheetId="72" hidden="1">0</definedName>
    <definedName name="solver_sho" localSheetId="73" hidden="1">0</definedName>
    <definedName name="solver_sho" localSheetId="67" hidden="1">0</definedName>
    <definedName name="solver_sho" localSheetId="66" hidden="1">0</definedName>
    <definedName name="solver_sho" localSheetId="62" hidden="1">0</definedName>
    <definedName name="solver_sho" localSheetId="65" hidden="1">0</definedName>
    <definedName name="solver_sho" localSheetId="63" hidden="1">0</definedName>
    <definedName name="solver_sho" localSheetId="64" hidden="1">0</definedName>
    <definedName name="solver_sho" localSheetId="61" hidden="1">0</definedName>
    <definedName name="solver_sho" localSheetId="51" hidden="1">0</definedName>
    <definedName name="solver_sho" localSheetId="6" hidden="1">0</definedName>
    <definedName name="solver_sho" localSheetId="39" hidden="1">0</definedName>
    <definedName name="solver_sho" localSheetId="40" hidden="1">0</definedName>
    <definedName name="solver_sho" localSheetId="37" hidden="1">0</definedName>
    <definedName name="solver_sho" localSheetId="52" hidden="1">0</definedName>
    <definedName name="solver_sho" localSheetId="53" hidden="1">0</definedName>
    <definedName name="solver_sho" localSheetId="59" hidden="1">0</definedName>
    <definedName name="solver_sho" localSheetId="60" hidden="1">0</definedName>
    <definedName name="solver_sho" localSheetId="4" hidden="1">0</definedName>
    <definedName name="solver_sho" localSheetId="3" hidden="1">0</definedName>
    <definedName name="solver_sho" localSheetId="34" hidden="1">0</definedName>
    <definedName name="solver_sho" localSheetId="57" hidden="1">0</definedName>
    <definedName name="solver_sho" localSheetId="9" hidden="1">0</definedName>
    <definedName name="solver_sho" localSheetId="30" hidden="1">0</definedName>
    <definedName name="solver_sho" localSheetId="46" hidden="1">0</definedName>
    <definedName name="solver_sho" localSheetId="42" hidden="1">0</definedName>
    <definedName name="solver_sho" localSheetId="58" hidden="1">0</definedName>
    <definedName name="solver_tim" localSheetId="36" hidden="1">999999999</definedName>
    <definedName name="solver_tim" localSheetId="21" hidden="1">999999999</definedName>
    <definedName name="solver_tim" localSheetId="35" hidden="1">999999999</definedName>
    <definedName name="solver_tim" localSheetId="8" hidden="1">999999999</definedName>
    <definedName name="solver_tim" localSheetId="7" hidden="1">999999999</definedName>
    <definedName name="solver_tim" localSheetId="48" hidden="1">999999999</definedName>
    <definedName name="solver_tim" localSheetId="22" hidden="1">999999999</definedName>
    <definedName name="solver_tim" localSheetId="23" hidden="1">999999999</definedName>
    <definedName name="solver_tim" localSheetId="44" hidden="1">999999999</definedName>
    <definedName name="solver_tim" localSheetId="41" hidden="1">999999999</definedName>
    <definedName name="solver_tim" localSheetId="43" hidden="1">999999999</definedName>
    <definedName name="solver_tim" localSheetId="26" hidden="1">999999999</definedName>
    <definedName name="solver_tim" localSheetId="54" hidden="1">999999999</definedName>
    <definedName name="solver_tim" localSheetId="33" hidden="1">999999999</definedName>
    <definedName name="solver_tim" localSheetId="11" hidden="1">999999999</definedName>
    <definedName name="solver_tim" localSheetId="10" hidden="1">999999999</definedName>
    <definedName name="solver_tim" localSheetId="25" hidden="1">999999999</definedName>
    <definedName name="solver_tim" localSheetId="29" hidden="1">999999999</definedName>
    <definedName name="solver_tim" localSheetId="45" hidden="1">999999999</definedName>
    <definedName name="solver_tim" localSheetId="47" hidden="1">999999999</definedName>
    <definedName name="solver_tim" localSheetId="32" hidden="1">999999999</definedName>
    <definedName name="solver_tim" localSheetId="28" hidden="1">999999999</definedName>
    <definedName name="solver_tim" localSheetId="49" hidden="1">999999999</definedName>
    <definedName name="solver_tim" localSheetId="5" hidden="1">999999999</definedName>
    <definedName name="solver_tim" localSheetId="50" hidden="1">999999999</definedName>
    <definedName name="solver_tim" localSheetId="38" hidden="1">999999999</definedName>
    <definedName name="solver_tim" localSheetId="19" hidden="1">999999999</definedName>
    <definedName name="solver_tim" localSheetId="20" hidden="1">999999999</definedName>
    <definedName name="solver_tim" localSheetId="18" hidden="1">999999999</definedName>
    <definedName name="solver_tim" localSheetId="16" hidden="1">999999999</definedName>
    <definedName name="solver_tim" localSheetId="55" hidden="1">999999999</definedName>
    <definedName name="solver_tim" localSheetId="68" hidden="1">999999999</definedName>
    <definedName name="solver_tim" localSheetId="69" hidden="1">999999999</definedName>
    <definedName name="solver_tim" localSheetId="70" hidden="1">999999999</definedName>
    <definedName name="solver_tim" localSheetId="71" hidden="1">999999999</definedName>
    <definedName name="solver_tim" localSheetId="72" hidden="1">999999999</definedName>
    <definedName name="solver_tim" localSheetId="73" hidden="1">999999999</definedName>
    <definedName name="solver_tim" localSheetId="67" hidden="1">999999999</definedName>
    <definedName name="solver_tim" localSheetId="66" hidden="1">999999999</definedName>
    <definedName name="solver_tim" localSheetId="62" hidden="1">999999999</definedName>
    <definedName name="solver_tim" localSheetId="65" hidden="1">999999999</definedName>
    <definedName name="solver_tim" localSheetId="63" hidden="1">999999999</definedName>
    <definedName name="solver_tim" localSheetId="64" hidden="1">999999999</definedName>
    <definedName name="solver_tim" localSheetId="61" hidden="1">999999999</definedName>
    <definedName name="solver_tim" localSheetId="51" hidden="1">999999999</definedName>
    <definedName name="solver_tim" localSheetId="6" hidden="1">999999999</definedName>
    <definedName name="solver_tim" localSheetId="39" hidden="1">999999999</definedName>
    <definedName name="solver_tim" localSheetId="40" hidden="1">999999999</definedName>
    <definedName name="solver_tim" localSheetId="37" hidden="1">999999999</definedName>
    <definedName name="solver_tim" localSheetId="52" hidden="1">999999999</definedName>
    <definedName name="solver_tim" localSheetId="53" hidden="1">999999999</definedName>
    <definedName name="solver_tim" localSheetId="59" hidden="1">999999999</definedName>
    <definedName name="solver_tim" localSheetId="60" hidden="1">999999999</definedName>
    <definedName name="solver_tim" localSheetId="4" hidden="1">999999999</definedName>
    <definedName name="solver_tim" localSheetId="3" hidden="1">999999999</definedName>
    <definedName name="solver_tim" localSheetId="34" hidden="1">999999999</definedName>
    <definedName name="solver_tim" localSheetId="57" hidden="1">999999999</definedName>
    <definedName name="solver_tim" localSheetId="9" hidden="1">999999999</definedName>
    <definedName name="solver_tim" localSheetId="30" hidden="1">999999999</definedName>
    <definedName name="solver_tim" localSheetId="46" hidden="1">999999999</definedName>
    <definedName name="solver_tim" localSheetId="42" hidden="1">999999999</definedName>
    <definedName name="solver_tim" localSheetId="58" hidden="1">999999999</definedName>
    <definedName name="solver_tol" localSheetId="36" hidden="1">0.05</definedName>
    <definedName name="solver_tol" localSheetId="21" hidden="1">0.05</definedName>
    <definedName name="solver_tol" localSheetId="35" hidden="1">0.05</definedName>
    <definedName name="solver_tol" localSheetId="8" hidden="1">0.05</definedName>
    <definedName name="solver_tol" localSheetId="7" hidden="1">0.05</definedName>
    <definedName name="solver_tol" localSheetId="48" hidden="1">0.05</definedName>
    <definedName name="solver_tol" localSheetId="22" hidden="1">0.05</definedName>
    <definedName name="solver_tol" localSheetId="23" hidden="1">0.05</definedName>
    <definedName name="solver_tol" localSheetId="44" hidden="1">0.05</definedName>
    <definedName name="solver_tol" localSheetId="41" hidden="1">0.05</definedName>
    <definedName name="solver_tol" localSheetId="43" hidden="1">0.05</definedName>
    <definedName name="solver_tol" localSheetId="26" hidden="1">0.05</definedName>
    <definedName name="solver_tol" localSheetId="54" hidden="1">0.05</definedName>
    <definedName name="solver_tol" localSheetId="33" hidden="1">0.05</definedName>
    <definedName name="solver_tol" localSheetId="11" hidden="1">0.05</definedName>
    <definedName name="solver_tol" localSheetId="10" hidden="1">0.05</definedName>
    <definedName name="solver_tol" localSheetId="25" hidden="1">0.05</definedName>
    <definedName name="solver_tol" localSheetId="29" hidden="1">0.05</definedName>
    <definedName name="solver_tol" localSheetId="45" hidden="1">0.05</definedName>
    <definedName name="solver_tol" localSheetId="47" hidden="1">0.05</definedName>
    <definedName name="solver_tol" localSheetId="32" hidden="1">0.05</definedName>
    <definedName name="solver_tol" localSheetId="28" hidden="1">0.05</definedName>
    <definedName name="solver_tol" localSheetId="49" hidden="1">0.05</definedName>
    <definedName name="solver_tol" localSheetId="5" hidden="1">0.05</definedName>
    <definedName name="solver_tol" localSheetId="50" hidden="1">0.05</definedName>
    <definedName name="solver_tol" localSheetId="38" hidden="1">0.05</definedName>
    <definedName name="solver_tol" localSheetId="19" hidden="1">0.05</definedName>
    <definedName name="solver_tol" localSheetId="20" hidden="1">0.05</definedName>
    <definedName name="solver_tol" localSheetId="18" hidden="1">0.05</definedName>
    <definedName name="solver_tol" localSheetId="16" hidden="1">0.05</definedName>
    <definedName name="solver_tol" localSheetId="55" hidden="1">0.05</definedName>
    <definedName name="solver_tol" localSheetId="68" hidden="1">0.01</definedName>
    <definedName name="solver_tol" localSheetId="69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73" hidden="1">0.05</definedName>
    <definedName name="solver_tol" localSheetId="67" hidden="1">0.05</definedName>
    <definedName name="solver_tol" localSheetId="66" hidden="1">0.05</definedName>
    <definedName name="solver_tol" localSheetId="62" hidden="1">0.05</definedName>
    <definedName name="solver_tol" localSheetId="65" hidden="1">0.05</definedName>
    <definedName name="solver_tol" localSheetId="63" hidden="1">0.05</definedName>
    <definedName name="solver_tol" localSheetId="64" hidden="1">0.05</definedName>
    <definedName name="solver_tol" localSheetId="61" hidden="1">0.05</definedName>
    <definedName name="solver_tol" localSheetId="51" hidden="1">0.05</definedName>
    <definedName name="solver_tol" localSheetId="6" hidden="1">0.05</definedName>
    <definedName name="solver_tol" localSheetId="39" hidden="1">0.05</definedName>
    <definedName name="solver_tol" localSheetId="40" hidden="1">0.05</definedName>
    <definedName name="solver_tol" localSheetId="37" hidden="1">0.05</definedName>
    <definedName name="solver_tol" localSheetId="52" hidden="1">0.05</definedName>
    <definedName name="solver_tol" localSheetId="53" hidden="1">0.05</definedName>
    <definedName name="solver_tol" localSheetId="59" hidden="1">0.05</definedName>
    <definedName name="solver_tol" localSheetId="60" hidden="1">0.05</definedName>
    <definedName name="solver_tol" localSheetId="4" hidden="1">0.05</definedName>
    <definedName name="solver_tol" localSheetId="3" hidden="1">0.05</definedName>
    <definedName name="solver_tol" localSheetId="34" hidden="1">0.05</definedName>
    <definedName name="solver_tol" localSheetId="57" hidden="1">0.05</definedName>
    <definedName name="solver_tol" localSheetId="9" hidden="1">0.05</definedName>
    <definedName name="solver_tol" localSheetId="30" hidden="1">0.05</definedName>
    <definedName name="solver_tol" localSheetId="46" hidden="1">0.05</definedName>
    <definedName name="solver_tol" localSheetId="42" hidden="1">0.05</definedName>
    <definedName name="solver_tol" localSheetId="58" hidden="1">0.05</definedName>
    <definedName name="solver_typ" localSheetId="36" hidden="1">2</definedName>
    <definedName name="solver_typ" localSheetId="21" hidden="1">2</definedName>
    <definedName name="solver_typ" localSheetId="35" hidden="1">2</definedName>
    <definedName name="solver_typ" localSheetId="8" hidden="1">2</definedName>
    <definedName name="solver_typ" localSheetId="7" hidden="1">2</definedName>
    <definedName name="solver_typ" localSheetId="48" hidden="1">2</definedName>
    <definedName name="solver_typ" localSheetId="22" hidden="1">2</definedName>
    <definedName name="solver_typ" localSheetId="23" hidden="1">2</definedName>
    <definedName name="solver_typ" localSheetId="44" hidden="1">2</definedName>
    <definedName name="solver_typ" localSheetId="41" hidden="1">2</definedName>
    <definedName name="solver_typ" localSheetId="43" hidden="1">2</definedName>
    <definedName name="solver_typ" localSheetId="26" hidden="1">2</definedName>
    <definedName name="solver_typ" localSheetId="27" hidden="1">2</definedName>
    <definedName name="solver_typ" localSheetId="54" hidden="1">2</definedName>
    <definedName name="solver_typ" localSheetId="33" hidden="1">2</definedName>
    <definedName name="solver_typ" localSheetId="11" hidden="1">2</definedName>
    <definedName name="solver_typ" localSheetId="13" hidden="1">2</definedName>
    <definedName name="solver_typ" localSheetId="10" hidden="1">2</definedName>
    <definedName name="solver_typ" localSheetId="25" hidden="1">2</definedName>
    <definedName name="solver_typ" localSheetId="29" hidden="1">2</definedName>
    <definedName name="solver_typ" localSheetId="45" hidden="1">2</definedName>
    <definedName name="solver_typ" localSheetId="47" hidden="1">2</definedName>
    <definedName name="solver_typ" localSheetId="32" hidden="1">2</definedName>
    <definedName name="solver_typ" localSheetId="28" hidden="1">2</definedName>
    <definedName name="solver_typ" localSheetId="49" hidden="1">2</definedName>
    <definedName name="solver_typ" localSheetId="5" hidden="1">1</definedName>
    <definedName name="solver_typ" localSheetId="50" hidden="1">2</definedName>
    <definedName name="solver_typ" localSheetId="38" hidden="1">2</definedName>
    <definedName name="solver_typ" localSheetId="19" hidden="1">2</definedName>
    <definedName name="solver_typ" localSheetId="20" hidden="1">2</definedName>
    <definedName name="solver_typ" localSheetId="18" hidden="1">2</definedName>
    <definedName name="solver_typ" localSheetId="16" hidden="1">2</definedName>
    <definedName name="solver_typ" localSheetId="55" hidden="1">2</definedName>
    <definedName name="solver_typ" localSheetId="68" hidden="1">2</definedName>
    <definedName name="solver_typ" localSheetId="69" hidden="1">2</definedName>
    <definedName name="solver_typ" localSheetId="70" hidden="1">2</definedName>
    <definedName name="solver_typ" localSheetId="71" hidden="1">2</definedName>
    <definedName name="solver_typ" localSheetId="72" hidden="1">2</definedName>
    <definedName name="solver_typ" localSheetId="73" hidden="1">2</definedName>
    <definedName name="solver_typ" localSheetId="67" hidden="1">2</definedName>
    <definedName name="solver_typ" localSheetId="66" hidden="1">2</definedName>
    <definedName name="solver_typ" localSheetId="62" hidden="1">2</definedName>
    <definedName name="solver_typ" localSheetId="65" hidden="1">1</definedName>
    <definedName name="solver_typ" localSheetId="63" hidden="1">2</definedName>
    <definedName name="solver_typ" localSheetId="64" hidden="1">1</definedName>
    <definedName name="solver_typ" localSheetId="61" hidden="1">2</definedName>
    <definedName name="solver_typ" localSheetId="51" hidden="1">2</definedName>
    <definedName name="solver_typ" localSheetId="6" hidden="1">2</definedName>
    <definedName name="solver_typ" localSheetId="39" hidden="1">2</definedName>
    <definedName name="solver_typ" localSheetId="40" hidden="1">2</definedName>
    <definedName name="solver_typ" localSheetId="37" hidden="1">2</definedName>
    <definedName name="solver_typ" localSheetId="52" hidden="1">3</definedName>
    <definedName name="solver_typ" localSheetId="53" hidden="1">3</definedName>
    <definedName name="solver_typ" localSheetId="59" hidden="1">1</definedName>
    <definedName name="solver_typ" localSheetId="60" hidden="1">2</definedName>
    <definedName name="solver_typ" localSheetId="4" hidden="1">1</definedName>
    <definedName name="solver_typ" localSheetId="3" hidden="1">2</definedName>
    <definedName name="solver_typ" localSheetId="34" hidden="1">2</definedName>
    <definedName name="solver_typ" localSheetId="57" hidden="1">2</definedName>
    <definedName name="solver_typ" localSheetId="14" hidden="1">2</definedName>
    <definedName name="solver_typ" localSheetId="9" hidden="1">2</definedName>
    <definedName name="solver_typ" localSheetId="30" hidden="1">2</definedName>
    <definedName name="solver_typ" localSheetId="46" hidden="1">2</definedName>
    <definedName name="solver_typ" localSheetId="42" hidden="1">2</definedName>
    <definedName name="solver_typ" localSheetId="58" hidden="1">1</definedName>
    <definedName name="solver_val" localSheetId="36" hidden="1">0</definedName>
    <definedName name="solver_val" localSheetId="21" hidden="1">0</definedName>
    <definedName name="solver_val" localSheetId="35" hidden="1">0</definedName>
    <definedName name="solver_val" localSheetId="8" hidden="1">0</definedName>
    <definedName name="solver_val" localSheetId="7" hidden="1">0</definedName>
    <definedName name="solver_val" localSheetId="48" hidden="1">0</definedName>
    <definedName name="solver_val" localSheetId="22" hidden="1">0</definedName>
    <definedName name="solver_val" localSheetId="23" hidden="1">0</definedName>
    <definedName name="solver_val" localSheetId="44" hidden="1">0</definedName>
    <definedName name="solver_val" localSheetId="41" hidden="1">0</definedName>
    <definedName name="solver_val" localSheetId="43" hidden="1">0</definedName>
    <definedName name="solver_val" localSheetId="26" hidden="1">0</definedName>
    <definedName name="solver_val" localSheetId="27" hidden="1">0</definedName>
    <definedName name="solver_val" localSheetId="54" hidden="1">0</definedName>
    <definedName name="solver_val" localSheetId="33" hidden="1">0</definedName>
    <definedName name="solver_val" localSheetId="11" hidden="1">0</definedName>
    <definedName name="solver_val" localSheetId="13" hidden="1">0</definedName>
    <definedName name="solver_val" localSheetId="10" hidden="1">0</definedName>
    <definedName name="solver_val" localSheetId="25" hidden="1">0</definedName>
    <definedName name="solver_val" localSheetId="29" hidden="1">0</definedName>
    <definedName name="solver_val" localSheetId="45" hidden="1">0</definedName>
    <definedName name="solver_val" localSheetId="47" hidden="1">0</definedName>
    <definedName name="solver_val" localSheetId="32" hidden="1">0</definedName>
    <definedName name="solver_val" localSheetId="28" hidden="1">0</definedName>
    <definedName name="solver_val" localSheetId="49" hidden="1">0</definedName>
    <definedName name="solver_val" localSheetId="5" hidden="1">0</definedName>
    <definedName name="solver_val" localSheetId="50" hidden="1">0</definedName>
    <definedName name="solver_val" localSheetId="38" hidden="1">0</definedName>
    <definedName name="solver_val" localSheetId="19" hidden="1">0</definedName>
    <definedName name="solver_val" localSheetId="20" hidden="1">0</definedName>
    <definedName name="solver_val" localSheetId="18" hidden="1">0</definedName>
    <definedName name="solver_val" localSheetId="16" hidden="1">0</definedName>
    <definedName name="solver_val" localSheetId="55" hidden="1">0</definedName>
    <definedName name="solver_val" localSheetId="68" hidden="1">0</definedName>
    <definedName name="solver_val" localSheetId="69" hidden="1">0</definedName>
    <definedName name="solver_val" localSheetId="70" hidden="1">0</definedName>
    <definedName name="solver_val" localSheetId="71" hidden="1">0</definedName>
    <definedName name="solver_val" localSheetId="72" hidden="1">0</definedName>
    <definedName name="solver_val" localSheetId="73" hidden="1">0</definedName>
    <definedName name="solver_val" localSheetId="67" hidden="1">0</definedName>
    <definedName name="solver_val" localSheetId="66" hidden="1">0</definedName>
    <definedName name="solver_val" localSheetId="62" hidden="1">0</definedName>
    <definedName name="solver_val" localSheetId="65" hidden="1">0</definedName>
    <definedName name="solver_val" localSheetId="63" hidden="1">0</definedName>
    <definedName name="solver_val" localSheetId="64" hidden="1">0</definedName>
    <definedName name="solver_val" localSheetId="61" hidden="1">0</definedName>
    <definedName name="solver_val" localSheetId="51" hidden="1">0</definedName>
    <definedName name="solver_val" localSheetId="6" hidden="1">0</definedName>
    <definedName name="solver_val" localSheetId="39" hidden="1">0</definedName>
    <definedName name="solver_val" localSheetId="40" hidden="1">0</definedName>
    <definedName name="solver_val" localSheetId="37" hidden="1">0</definedName>
    <definedName name="solver_val" localSheetId="52" hidden="1">50</definedName>
    <definedName name="solver_val" localSheetId="53" hidden="1">50</definedName>
    <definedName name="solver_val" localSheetId="59" hidden="1">0</definedName>
    <definedName name="solver_val" localSheetId="60" hidden="1">0</definedName>
    <definedName name="solver_val" localSheetId="4" hidden="1">0</definedName>
    <definedName name="solver_val" localSheetId="3" hidden="1">0</definedName>
    <definedName name="solver_val" localSheetId="34" hidden="1">0</definedName>
    <definedName name="solver_val" localSheetId="57" hidden="1">0</definedName>
    <definedName name="solver_val" localSheetId="14" hidden="1">0</definedName>
    <definedName name="solver_val" localSheetId="9" hidden="1">0</definedName>
    <definedName name="solver_val" localSheetId="30" hidden="1">0</definedName>
    <definedName name="solver_val" localSheetId="46" hidden="1">0</definedName>
    <definedName name="solver_val" localSheetId="42" hidden="1">0</definedName>
    <definedName name="solver_val" localSheetId="58" hidden="1">0</definedName>
    <definedName name="TestType">Data!$D$1:$D$2</definedName>
    <definedName name="uhj">NonLinMinMax!$B$1</definedName>
    <definedName name="wa" localSheetId="71">#REF!</definedName>
    <definedName name="wa" localSheetId="72">#REF!</definedName>
    <definedName name="wa" localSheetId="73">#REF!</definedName>
    <definedName name="wa">NonLin3!$P$3</definedName>
    <definedName name="wb" localSheetId="71">#REF!</definedName>
    <definedName name="wb" localSheetId="72">#REF!</definedName>
    <definedName name="wb" localSheetId="73">#REF!</definedName>
    <definedName name="wb">NonLin3!$P$4</definedName>
    <definedName name="wc" localSheetId="71">#REF!</definedName>
    <definedName name="wc" localSheetId="72">#REF!</definedName>
    <definedName name="wc" localSheetId="73">#REF!</definedName>
    <definedName name="wc">NonLin3!$P$5</definedName>
    <definedName name="wd" localSheetId="71">#REF!</definedName>
    <definedName name="wd" localSheetId="72">#REF!</definedName>
    <definedName name="wd" localSheetId="73">#REF!</definedName>
    <definedName name="wd">NonLin3!$P$6</definedName>
    <definedName name="x" localSheetId="54">#REF!</definedName>
    <definedName name="x" localSheetId="25">#REF!</definedName>
    <definedName name="x" localSheetId="5">#REF!</definedName>
    <definedName name="x" localSheetId="70">NonLin3!$C$34:$AQ$34</definedName>
    <definedName name="x" localSheetId="73">NonLin6!$E$6</definedName>
    <definedName name="x" localSheetId="37">#REF!</definedName>
    <definedName name="x" localSheetId="52">#REF!</definedName>
    <definedName name="x" localSheetId="53">#REF!</definedName>
    <definedName name="x" localSheetId="4">#REF!</definedName>
    <definedName name="x" localSheetId="30">#REF!</definedName>
    <definedName name="x">#REF!</definedName>
    <definedName name="xa" localSheetId="71">#REF!</definedName>
    <definedName name="xa" localSheetId="72">#REF!</definedName>
    <definedName name="xa" localSheetId="73">#REF!</definedName>
    <definedName name="xa">NonLin3!$N$3</definedName>
    <definedName name="xb" localSheetId="71">#REF!</definedName>
    <definedName name="xb" localSheetId="72">#REF!</definedName>
    <definedName name="xb" localSheetId="73">#REF!</definedName>
    <definedName name="xb">NonLin3!$N$4</definedName>
    <definedName name="xc" localSheetId="71">#REF!</definedName>
    <definedName name="xc" localSheetId="72">#REF!</definedName>
    <definedName name="xc" localSheetId="73">#REF!</definedName>
    <definedName name="xc">NonLin3!$N$5</definedName>
    <definedName name="xd" localSheetId="71">#REF!</definedName>
    <definedName name="xd" localSheetId="72">#REF!</definedName>
    <definedName name="xd" localSheetId="73">#REF!</definedName>
    <definedName name="xd">NonLin3!$N$6</definedName>
    <definedName name="xstep" localSheetId="54">#REF!</definedName>
    <definedName name="xstep" localSheetId="25">#REF!</definedName>
    <definedName name="xstep" localSheetId="5">#REF!</definedName>
    <definedName name="xstep" localSheetId="37">#REF!</definedName>
    <definedName name="xstep" localSheetId="52">#REF!</definedName>
    <definedName name="xstep" localSheetId="53">#REF!</definedName>
    <definedName name="xstep" localSheetId="4">#REF!</definedName>
    <definedName name="xstep" localSheetId="30">#REF!</definedName>
    <definedName name="xstep">#REF!</definedName>
    <definedName name="y" localSheetId="54">#REF!</definedName>
    <definedName name="y" localSheetId="25">#REF!</definedName>
    <definedName name="y" localSheetId="5">#REF!</definedName>
    <definedName name="y" localSheetId="70">NonLin3!$B$35:$B$75</definedName>
    <definedName name="y" localSheetId="73">NonLin6!$E$7</definedName>
    <definedName name="y" localSheetId="37">#REF!</definedName>
    <definedName name="y" localSheetId="52">#REF!</definedName>
    <definedName name="y" localSheetId="53">#REF!</definedName>
    <definedName name="y" localSheetId="4">#REF!</definedName>
    <definedName name="y" localSheetId="30">#REF!</definedName>
    <definedName name="y">#REF!</definedName>
    <definedName name="ya" localSheetId="71">#REF!</definedName>
    <definedName name="ya" localSheetId="72">#REF!</definedName>
    <definedName name="ya" localSheetId="73">#REF!</definedName>
    <definedName name="ya">NonLin3!$O$3</definedName>
    <definedName name="yb" localSheetId="71">#REF!</definedName>
    <definedName name="yb" localSheetId="72">#REF!</definedName>
    <definedName name="yb" localSheetId="73">#REF!</definedName>
    <definedName name="yb">NonLin3!$O$4</definedName>
    <definedName name="yc" localSheetId="71">#REF!</definedName>
    <definedName name="yc" localSheetId="72">#REF!</definedName>
    <definedName name="yc" localSheetId="73">#REF!</definedName>
    <definedName name="yc">NonLin3!$O$5</definedName>
    <definedName name="yd" localSheetId="71">#REF!</definedName>
    <definedName name="yd" localSheetId="72">#REF!</definedName>
    <definedName name="yd" localSheetId="73">#REF!</definedName>
    <definedName name="yd">NonLin3!$O$6</definedName>
    <definedName name="ystep" localSheetId="54">#REF!</definedName>
    <definedName name="ystep" localSheetId="25">#REF!</definedName>
    <definedName name="ystep" localSheetId="5">#REF!</definedName>
    <definedName name="ystep" localSheetId="37">#REF!</definedName>
    <definedName name="ystep" localSheetId="52">#REF!</definedName>
    <definedName name="ystep" localSheetId="53">#REF!</definedName>
    <definedName name="ystep" localSheetId="4">#REF!</definedName>
    <definedName name="ystep" localSheetId="30">#REF!</definedName>
    <definedName name="ystep">#REF!</definedName>
  </definedNames>
  <calcPr calcId="152511" calcOnSave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2" i="60" l="1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C25" i="155" l="1"/>
  <c r="A10" i="155" l="1"/>
  <c r="A9" i="155"/>
  <c r="UF4" i="155"/>
  <c r="UF2" i="155"/>
  <c r="C11" i="155" s="1"/>
  <c r="C13" i="155" s="1"/>
  <c r="A6" i="155" s="1"/>
  <c r="E7" i="68" l="1"/>
  <c r="F13" i="144"/>
  <c r="E13" i="144"/>
  <c r="D13" i="144"/>
  <c r="A10" i="144"/>
  <c r="G9" i="144"/>
  <c r="A9" i="144"/>
  <c r="G8" i="144"/>
  <c r="G7" i="144"/>
  <c r="G6" i="144"/>
  <c r="G4" i="144"/>
  <c r="G13" i="144" s="1"/>
  <c r="D10" i="135" l="1"/>
  <c r="E10" i="135"/>
  <c r="D21" i="135" s="1"/>
  <c r="F17" i="135"/>
  <c r="E17" i="135"/>
  <c r="D17" i="135"/>
  <c r="A10" i="135"/>
  <c r="A9" i="135"/>
  <c r="H6" i="28"/>
  <c r="A6" i="135" l="1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AC6" i="114"/>
  <c r="AC7" i="114"/>
  <c r="AC8" i="114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V5" i="114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O6" i="114"/>
  <c r="O7" i="114"/>
  <c r="O8" i="114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M6" i="114"/>
  <c r="M7" i="114"/>
  <c r="M8" i="114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 l="1"/>
  <c r="S4" i="9"/>
  <c r="I7" i="9" s="1"/>
  <c r="D20" i="77"/>
  <c r="C12" i="88"/>
  <c r="E12" i="88" s="1"/>
  <c r="F12" i="88" s="1"/>
  <c r="D12" i="88"/>
  <c r="C13" i="88"/>
  <c r="E13" i="88" s="1"/>
  <c r="F13" i="88" s="1"/>
  <c r="J2" i="87"/>
  <c r="J3" i="87"/>
  <c r="J6" i="87"/>
  <c r="J4" i="87"/>
  <c r="J5" i="87"/>
  <c r="P3" i="75"/>
  <c r="AP35" i="75" s="1"/>
  <c r="P4" i="75"/>
  <c r="F4" i="68"/>
  <c r="I39" i="3"/>
  <c r="C6" i="95"/>
  <c r="I6" i="71"/>
  <c r="G6" i="70"/>
  <c r="F6" i="69"/>
  <c r="H5" i="19"/>
  <c r="H5" i="38"/>
  <c r="H5" i="20"/>
  <c r="G6" i="65"/>
  <c r="H15" i="2"/>
  <c r="H6" i="4"/>
  <c r="BA11" i="114" s="1"/>
  <c r="I6" i="66"/>
  <c r="G17" i="92"/>
  <c r="G4" i="92"/>
  <c r="H7" i="57"/>
  <c r="H7" i="11"/>
  <c r="AU13" i="114" s="1"/>
  <c r="S3" i="7"/>
  <c r="I6" i="7" s="1"/>
  <c r="G4" i="90"/>
  <c r="H9" i="54"/>
  <c r="H9" i="53"/>
  <c r="H9" i="52"/>
  <c r="H9" i="51"/>
  <c r="H9" i="50"/>
  <c r="H8" i="49"/>
  <c r="H10" i="48"/>
  <c r="H10" i="47"/>
  <c r="H10" i="46"/>
  <c r="H9" i="98"/>
  <c r="H9" i="45"/>
  <c r="H9" i="44"/>
  <c r="H8" i="43"/>
  <c r="H8" i="42"/>
  <c r="H8" i="23"/>
  <c r="H6" i="111"/>
  <c r="AB12" i="114" s="1"/>
  <c r="J6" i="41"/>
  <c r="J6" i="14"/>
  <c r="Z11" i="114" s="1"/>
  <c r="H7" i="12"/>
  <c r="X12" i="114" s="1"/>
  <c r="H6" i="94"/>
  <c r="S4" i="8"/>
  <c r="I7" i="8" s="1"/>
  <c r="I6" i="6"/>
  <c r="H7" i="35"/>
  <c r="H7" i="34"/>
  <c r="H7" i="33"/>
  <c r="H7" i="31"/>
  <c r="H6" i="27"/>
  <c r="H6" i="26"/>
  <c r="H6" i="25"/>
  <c r="H11" i="114" s="1"/>
  <c r="H6" i="32"/>
  <c r="H6" i="24"/>
  <c r="H6" i="22"/>
  <c r="E10" i="113"/>
  <c r="D8" i="85"/>
  <c r="D13" i="85"/>
  <c r="D12" i="85"/>
  <c r="D14" i="85" s="1"/>
  <c r="D17" i="113"/>
  <c r="E17" i="113"/>
  <c r="F17" i="113"/>
  <c r="D17" i="22"/>
  <c r="E17" i="22"/>
  <c r="F17" i="22"/>
  <c r="D17" i="1"/>
  <c r="E17" i="1"/>
  <c r="F17" i="1"/>
  <c r="A10" i="113"/>
  <c r="D10" i="113"/>
  <c r="D7" i="114" s="1"/>
  <c r="A9" i="113"/>
  <c r="F13" i="112"/>
  <c r="E13" i="112"/>
  <c r="D13" i="112"/>
  <c r="A10" i="112"/>
  <c r="G9" i="112"/>
  <c r="AY9" i="114" s="1"/>
  <c r="A9" i="112"/>
  <c r="G8" i="112"/>
  <c r="G7" i="112"/>
  <c r="AY8" i="114" s="1"/>
  <c r="G6" i="112"/>
  <c r="AY7" i="114" s="1"/>
  <c r="H6" i="18"/>
  <c r="A6" i="111"/>
  <c r="H11" i="111"/>
  <c r="AB9" i="114" s="1"/>
  <c r="H10" i="111"/>
  <c r="AB8" i="114" s="1"/>
  <c r="A10" i="111"/>
  <c r="H9" i="111"/>
  <c r="A9" i="111"/>
  <c r="H8" i="111"/>
  <c r="D34" i="75"/>
  <c r="E34" i="75"/>
  <c r="F34" i="75" s="1"/>
  <c r="G34" i="75" s="1"/>
  <c r="H34" i="75" s="1"/>
  <c r="I34" i="75"/>
  <c r="J34" i="75" s="1"/>
  <c r="K34" i="75" s="1"/>
  <c r="L34" i="75" s="1"/>
  <c r="M34" i="75" s="1"/>
  <c r="N34" i="75" s="1"/>
  <c r="O34" i="75" s="1"/>
  <c r="P34" i="75" s="1"/>
  <c r="Q34" i="75" s="1"/>
  <c r="R34" i="75" s="1"/>
  <c r="S34" i="75" s="1"/>
  <c r="T34" i="75" s="1"/>
  <c r="U34" i="75" s="1"/>
  <c r="V34" i="75" s="1"/>
  <c r="W34" i="75" s="1"/>
  <c r="X34" i="75" s="1"/>
  <c r="Y34" i="75" s="1"/>
  <c r="Z34" i="75" s="1"/>
  <c r="AA34" i="75" s="1"/>
  <c r="AB34" i="75" s="1"/>
  <c r="AC34" i="75" s="1"/>
  <c r="AD34" i="75" s="1"/>
  <c r="AE34" i="75" s="1"/>
  <c r="AF34" i="75" s="1"/>
  <c r="AG34" i="75" s="1"/>
  <c r="AH34" i="75" s="1"/>
  <c r="AI34" i="75" s="1"/>
  <c r="AJ34" i="75" s="1"/>
  <c r="AK34" i="75" s="1"/>
  <c r="AL34" i="75" s="1"/>
  <c r="AM34" i="75" s="1"/>
  <c r="AN34" i="75" s="1"/>
  <c r="AO34" i="75" s="1"/>
  <c r="AP34" i="75" s="1"/>
  <c r="AQ34" i="75" s="1"/>
  <c r="B36" i="75"/>
  <c r="B37" i="75"/>
  <c r="B38" i="75" s="1"/>
  <c r="B39" i="75" s="1"/>
  <c r="B40" i="75" s="1"/>
  <c r="B41" i="75"/>
  <c r="B42" i="75" s="1"/>
  <c r="B43" i="75" s="1"/>
  <c r="B44" i="75" s="1"/>
  <c r="B45" i="75"/>
  <c r="B46" i="75" s="1"/>
  <c r="B47" i="75" s="1"/>
  <c r="B48" i="75" s="1"/>
  <c r="B49" i="75" s="1"/>
  <c r="B50" i="75" s="1"/>
  <c r="B51" i="75" s="1"/>
  <c r="B52" i="75" s="1"/>
  <c r="B53" i="75" s="1"/>
  <c r="B54" i="75" s="1"/>
  <c r="B55" i="75" s="1"/>
  <c r="B56" i="75" s="1"/>
  <c r="B57" i="75" s="1"/>
  <c r="B58" i="75" s="1"/>
  <c r="B59" i="75" s="1"/>
  <c r="B60" i="75" s="1"/>
  <c r="B61" i="75" s="1"/>
  <c r="B62" i="75" s="1"/>
  <c r="B63" i="75" s="1"/>
  <c r="B64" i="75" s="1"/>
  <c r="B65" i="75" s="1"/>
  <c r="B66" i="75" s="1"/>
  <c r="B67" i="75" s="1"/>
  <c r="B68" i="75" s="1"/>
  <c r="B69" i="75" s="1"/>
  <c r="B70" i="75" s="1"/>
  <c r="B71" i="75" s="1"/>
  <c r="B72" i="75" s="1"/>
  <c r="B73" i="75" s="1"/>
  <c r="B74" i="75" s="1"/>
  <c r="B75" i="75" s="1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 s="1"/>
  <c r="H10" i="94"/>
  <c r="W8" i="114" s="1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 s="1"/>
  <c r="G6" i="92"/>
  <c r="AX8" i="114" s="1"/>
  <c r="F13" i="90"/>
  <c r="E13" i="90"/>
  <c r="D13" i="90"/>
  <c r="A10" i="90"/>
  <c r="G9" i="90"/>
  <c r="AS9" i="114" s="1"/>
  <c r="A9" i="90"/>
  <c r="G8" i="90"/>
  <c r="G7" i="90"/>
  <c r="AS8" i="114" s="1"/>
  <c r="G6" i="90"/>
  <c r="AS7" i="114" s="1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6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BI6" i="114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10" i="68"/>
  <c r="A9" i="68"/>
  <c r="E6" i="68"/>
  <c r="BM6" i="114" s="1"/>
  <c r="H16" i="66"/>
  <c r="G16" i="66"/>
  <c r="F16" i="66"/>
  <c r="E16" i="66"/>
  <c r="D16" i="66"/>
  <c r="I12" i="66"/>
  <c r="AZ10" i="114" s="1"/>
  <c r="I11" i="66"/>
  <c r="I10" i="66"/>
  <c r="A10" i="66"/>
  <c r="I9" i="66"/>
  <c r="AZ8" i="114" s="1"/>
  <c r="A9" i="66"/>
  <c r="I8" i="66"/>
  <c r="AZ7" i="114" s="1"/>
  <c r="F15" i="65"/>
  <c r="E15" i="65"/>
  <c r="D15" i="65"/>
  <c r="G11" i="65"/>
  <c r="BC11" i="114" s="1"/>
  <c r="C11" i="65"/>
  <c r="G10" i="65"/>
  <c r="A10" i="65"/>
  <c r="G9" i="65"/>
  <c r="BC10" i="114" s="1"/>
  <c r="A9" i="65"/>
  <c r="G8" i="65"/>
  <c r="BC9" i="114" s="1"/>
  <c r="F24" i="2"/>
  <c r="E24" i="2"/>
  <c r="D24" i="2"/>
  <c r="H20" i="2"/>
  <c r="BB10" i="114" s="1"/>
  <c r="H19" i="2"/>
  <c r="BB9" i="114" s="1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 s="1"/>
  <c r="H12" i="59"/>
  <c r="AW9" i="114" s="1"/>
  <c r="H11" i="59"/>
  <c r="AW8" i="114" s="1"/>
  <c r="H10" i="59"/>
  <c r="A10" i="59"/>
  <c r="H9" i="59"/>
  <c r="A9" i="59"/>
  <c r="F18" i="57"/>
  <c r="E18" i="57"/>
  <c r="D18" i="57"/>
  <c r="H12" i="57"/>
  <c r="AV9" i="114" s="1"/>
  <c r="H11" i="57"/>
  <c r="AV8" i="114" s="1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 s="1"/>
  <c r="F6" i="49" s="1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 s="1"/>
  <c r="H12" i="23"/>
  <c r="AD8" i="114" s="1"/>
  <c r="H11" i="23"/>
  <c r="H10" i="23"/>
  <c r="A10" i="23"/>
  <c r="A9" i="23"/>
  <c r="H139" i="38"/>
  <c r="H138" i="38"/>
  <c r="H137" i="38"/>
  <c r="H136" i="38"/>
  <c r="H135" i="38"/>
  <c r="BF135" i="114" s="1"/>
  <c r="H134" i="38"/>
  <c r="H133" i="38"/>
  <c r="H132" i="38"/>
  <c r="H131" i="38"/>
  <c r="H130" i="38"/>
  <c r="H129" i="38"/>
  <c r="H128" i="38"/>
  <c r="BF128" i="114" s="1"/>
  <c r="H127" i="38"/>
  <c r="H126" i="38"/>
  <c r="H125" i="38"/>
  <c r="H124" i="38"/>
  <c r="H123" i="38"/>
  <c r="H122" i="38"/>
  <c r="BF122" i="114" s="1"/>
  <c r="H121" i="38"/>
  <c r="H120" i="38"/>
  <c r="H119" i="38"/>
  <c r="H118" i="38"/>
  <c r="H117" i="38"/>
  <c r="H116" i="38"/>
  <c r="H115" i="38"/>
  <c r="H114" i="38"/>
  <c r="BF114" i="114" s="1"/>
  <c r="H113" i="38"/>
  <c r="H112" i="38"/>
  <c r="H111" i="38"/>
  <c r="H110" i="38"/>
  <c r="H109" i="38"/>
  <c r="H108" i="38"/>
  <c r="BF108" i="114" s="1"/>
  <c r="H107" i="38"/>
  <c r="H106" i="38"/>
  <c r="H105" i="38"/>
  <c r="H104" i="38"/>
  <c r="H103" i="38"/>
  <c r="H102" i="38"/>
  <c r="H101" i="38"/>
  <c r="BF101" i="114" s="1"/>
  <c r="H100" i="38"/>
  <c r="H99" i="38"/>
  <c r="H98" i="38"/>
  <c r="H97" i="38"/>
  <c r="H96" i="38"/>
  <c r="H95" i="38"/>
  <c r="H94" i="38"/>
  <c r="BF94" i="114" s="1"/>
  <c r="H93" i="38"/>
  <c r="H92" i="38"/>
  <c r="H91" i="38"/>
  <c r="H90" i="38"/>
  <c r="H89" i="38"/>
  <c r="H88" i="38"/>
  <c r="BF88" i="114" s="1"/>
  <c r="H87" i="38"/>
  <c r="H86" i="38"/>
  <c r="H85" i="38"/>
  <c r="H84" i="38"/>
  <c r="BF84" i="114" s="1"/>
  <c r="H83" i="38"/>
  <c r="H82" i="38"/>
  <c r="H81" i="38"/>
  <c r="BF81" i="114" s="1"/>
  <c r="H80" i="38"/>
  <c r="H79" i="38"/>
  <c r="H78" i="38"/>
  <c r="H77" i="38"/>
  <c r="H76" i="38"/>
  <c r="H75" i="38"/>
  <c r="BF75" i="114" s="1"/>
  <c r="H74" i="38"/>
  <c r="H73" i="38"/>
  <c r="H72" i="38"/>
  <c r="H71" i="38"/>
  <c r="BF71" i="114" s="1"/>
  <c r="H70" i="38"/>
  <c r="H69" i="38"/>
  <c r="H68" i="38"/>
  <c r="H67" i="38"/>
  <c r="H66" i="38"/>
  <c r="H65" i="38"/>
  <c r="BF65" i="114" s="1"/>
  <c r="H64" i="38"/>
  <c r="H63" i="38"/>
  <c r="H62" i="38"/>
  <c r="H61" i="38"/>
  <c r="H60" i="38"/>
  <c r="H59" i="38"/>
  <c r="H58" i="38"/>
  <c r="BF58" i="114" s="1"/>
  <c r="H57" i="38"/>
  <c r="H56" i="38"/>
  <c r="H55" i="38"/>
  <c r="H54" i="38"/>
  <c r="H53" i="38"/>
  <c r="H52" i="38"/>
  <c r="BF52" i="114" s="1"/>
  <c r="H51" i="38"/>
  <c r="BF51" i="114" s="1"/>
  <c r="H50" i="38"/>
  <c r="H49" i="38"/>
  <c r="H48" i="38"/>
  <c r="H47" i="38"/>
  <c r="H46" i="38"/>
  <c r="H45" i="38"/>
  <c r="BF45" i="114" s="1"/>
  <c r="H44" i="38"/>
  <c r="H43" i="38"/>
  <c r="H42" i="38"/>
  <c r="H41" i="38"/>
  <c r="H40" i="38"/>
  <c r="H39" i="38"/>
  <c r="H38" i="38"/>
  <c r="BF38" i="114" s="1"/>
  <c r="H37" i="38"/>
  <c r="H36" i="38"/>
  <c r="H35" i="38"/>
  <c r="H34" i="38"/>
  <c r="H33" i="38"/>
  <c r="H32" i="38"/>
  <c r="BF32" i="114" s="1"/>
  <c r="H31" i="38"/>
  <c r="H30" i="38"/>
  <c r="H29" i="38"/>
  <c r="H28" i="38"/>
  <c r="H27" i="38"/>
  <c r="H26" i="38"/>
  <c r="H25" i="38"/>
  <c r="BF25" i="114" s="1"/>
  <c r="H24" i="38"/>
  <c r="H23" i="38"/>
  <c r="H22" i="38"/>
  <c r="H21" i="38"/>
  <c r="H20" i="38"/>
  <c r="H19" i="38"/>
  <c r="BF19" i="114" s="1"/>
  <c r="H18" i="38"/>
  <c r="H17" i="38"/>
  <c r="H16" i="38"/>
  <c r="H15" i="38"/>
  <c r="H14" i="38"/>
  <c r="H13" i="38"/>
  <c r="H12" i="38"/>
  <c r="BF12" i="114" s="1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 s="1"/>
  <c r="A10" i="20"/>
  <c r="H9" i="20"/>
  <c r="BE7" i="114" s="1"/>
  <c r="A9" i="20"/>
  <c r="H8" i="20"/>
  <c r="H7" i="20"/>
  <c r="F16" i="19"/>
  <c r="E16" i="19"/>
  <c r="D16" i="19"/>
  <c r="H10" i="19"/>
  <c r="BG8" i="114" s="1"/>
  <c r="A10" i="19"/>
  <c r="H9" i="19"/>
  <c r="BG7" i="114" s="1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O3" i="3"/>
  <c r="D21" i="18"/>
  <c r="F17" i="18"/>
  <c r="E17" i="18"/>
  <c r="D17" i="18"/>
  <c r="H11" i="18"/>
  <c r="H10" i="18"/>
  <c r="A10" i="18"/>
  <c r="H9" i="18"/>
  <c r="A9" i="18"/>
  <c r="H8" i="18"/>
  <c r="F17" i="41"/>
  <c r="E17" i="41"/>
  <c r="D17" i="41"/>
  <c r="J11" i="41"/>
  <c r="AA9" i="114" s="1"/>
  <c r="J10" i="41"/>
  <c r="AA8" i="114" s="1"/>
  <c r="A10" i="41"/>
  <c r="J9" i="41"/>
  <c r="A9" i="41"/>
  <c r="J8" i="41"/>
  <c r="J11" i="14"/>
  <c r="Z8" i="114" s="1"/>
  <c r="J10" i="14"/>
  <c r="Z7" i="114" s="1"/>
  <c r="A10" i="14"/>
  <c r="J9" i="14"/>
  <c r="A9" i="14"/>
  <c r="J8" i="14"/>
  <c r="H12" i="55"/>
  <c r="Y7" i="114" s="1"/>
  <c r="H11" i="55"/>
  <c r="Y6" i="114" s="1"/>
  <c r="H10" i="55"/>
  <c r="A10" i="55"/>
  <c r="H9" i="55"/>
  <c r="A9" i="55"/>
  <c r="H12" i="12"/>
  <c r="X8" i="114" s="1"/>
  <c r="H11" i="12"/>
  <c r="X7" i="114" s="1"/>
  <c r="H10" i="12"/>
  <c r="A10" i="12"/>
  <c r="H9" i="12"/>
  <c r="A9" i="12"/>
  <c r="H12" i="11"/>
  <c r="AU9" i="114" s="1"/>
  <c r="H11" i="11"/>
  <c r="AU8" i="114" s="1"/>
  <c r="H10" i="11"/>
  <c r="A10" i="11"/>
  <c r="H9" i="11"/>
  <c r="A9" i="11"/>
  <c r="F18" i="10"/>
  <c r="E18" i="10"/>
  <c r="D18" i="10"/>
  <c r="H12" i="10"/>
  <c r="H11" i="10"/>
  <c r="H10" i="10"/>
  <c r="A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U8" i="114" s="1"/>
  <c r="N11" i="9"/>
  <c r="U28" i="114" s="1"/>
  <c r="I10" i="9"/>
  <c r="U13" i="114" s="1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T9" i="114" s="1"/>
  <c r="I11" i="8"/>
  <c r="I10" i="8"/>
  <c r="T14" i="114" s="1"/>
  <c r="A10" i="8"/>
  <c r="I9" i="8"/>
  <c r="A9" i="8"/>
  <c r="R6" i="8"/>
  <c r="Q6" i="8"/>
  <c r="S5" i="8"/>
  <c r="K9" i="8" s="1"/>
  <c r="N37" i="7"/>
  <c r="N38" i="7"/>
  <c r="L38" i="7" s="1"/>
  <c r="K33" i="7"/>
  <c r="K34" i="7"/>
  <c r="K35" i="7"/>
  <c r="L30" i="7"/>
  <c r="L33" i="7" s="1"/>
  <c r="L34" i="7" s="1"/>
  <c r="L35" i="7" s="1"/>
  <c r="L36" i="7" s="1"/>
  <c r="W17" i="7"/>
  <c r="V17" i="7"/>
  <c r="O17" i="7"/>
  <c r="G17" i="7"/>
  <c r="F17" i="7"/>
  <c r="E17" i="7"/>
  <c r="D17" i="7"/>
  <c r="W16" i="7"/>
  <c r="V16" i="7"/>
  <c r="O16" i="7"/>
  <c r="I11" i="7"/>
  <c r="AT9" i="114" s="1"/>
  <c r="I10" i="7"/>
  <c r="AT8" i="114" s="1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S9" i="114" s="1"/>
  <c r="I10" i="6"/>
  <c r="S8" i="114" s="1"/>
  <c r="A10" i="6"/>
  <c r="I9" i="6"/>
  <c r="A9" i="6"/>
  <c r="I8" i="6"/>
  <c r="F18" i="35"/>
  <c r="E18" i="35"/>
  <c r="D18" i="35"/>
  <c r="H12" i="35"/>
  <c r="R8" i="114" s="1"/>
  <c r="A10" i="35"/>
  <c r="H9" i="35"/>
  <c r="A9" i="35"/>
  <c r="F18" i="34"/>
  <c r="E18" i="34"/>
  <c r="D18" i="34"/>
  <c r="H12" i="34"/>
  <c r="Q9" i="114" s="1"/>
  <c r="H11" i="34"/>
  <c r="Q8" i="114" s="1"/>
  <c r="G10" i="34"/>
  <c r="A10" i="34"/>
  <c r="H9" i="34"/>
  <c r="A9" i="34"/>
  <c r="F18" i="33"/>
  <c r="E18" i="33"/>
  <c r="D18" i="33"/>
  <c r="H12" i="33"/>
  <c r="P9" i="114" s="1"/>
  <c r="H11" i="33"/>
  <c r="P8" i="114" s="1"/>
  <c r="H10" i="33"/>
  <c r="A10" i="33"/>
  <c r="H9" i="33"/>
  <c r="A9" i="33"/>
  <c r="F18" i="36"/>
  <c r="E18" i="36"/>
  <c r="D18" i="36"/>
  <c r="H12" i="36"/>
  <c r="H11" i="36"/>
  <c r="H10" i="36"/>
  <c r="A10" i="36"/>
  <c r="H9" i="36"/>
  <c r="A9" i="36"/>
  <c r="H7" i="36"/>
  <c r="D22" i="36" s="1"/>
  <c r="F18" i="31"/>
  <c r="E18" i="31"/>
  <c r="D18" i="31"/>
  <c r="H12" i="31"/>
  <c r="N9" i="114" s="1"/>
  <c r="H11" i="31"/>
  <c r="N8" i="114" s="1"/>
  <c r="H10" i="31"/>
  <c r="A10" i="31"/>
  <c r="H9" i="31"/>
  <c r="A9" i="31"/>
  <c r="F18" i="30"/>
  <c r="E18" i="30"/>
  <c r="D18" i="30"/>
  <c r="H12" i="30"/>
  <c r="H11" i="30"/>
  <c r="H10" i="30"/>
  <c r="A10" i="30"/>
  <c r="H9" i="30"/>
  <c r="A9" i="30"/>
  <c r="H7" i="30"/>
  <c r="D22" i="30" s="1"/>
  <c r="D21" i="29"/>
  <c r="F17" i="29"/>
  <c r="E17" i="29"/>
  <c r="D17" i="29"/>
  <c r="H11" i="29"/>
  <c r="L7" i="114" s="1"/>
  <c r="H10" i="29"/>
  <c r="L6" i="114" s="1"/>
  <c r="A10" i="29"/>
  <c r="H9" i="29"/>
  <c r="A9" i="29"/>
  <c r="H8" i="29"/>
  <c r="F17" i="28"/>
  <c r="E17" i="28"/>
  <c r="D17" i="28"/>
  <c r="H11" i="28"/>
  <c r="K7" i="114" s="1"/>
  <c r="H10" i="28"/>
  <c r="K6" i="114" s="1"/>
  <c r="A10" i="28"/>
  <c r="H9" i="28"/>
  <c r="A9" i="28"/>
  <c r="H8" i="28"/>
  <c r="D21" i="28"/>
  <c r="F17" i="27"/>
  <c r="E17" i="27"/>
  <c r="D17" i="27"/>
  <c r="H11" i="27"/>
  <c r="J8" i="114" s="1"/>
  <c r="H10" i="27"/>
  <c r="A10" i="27"/>
  <c r="H9" i="27"/>
  <c r="A9" i="27"/>
  <c r="H8" i="27"/>
  <c r="F17" i="26"/>
  <c r="E17" i="26"/>
  <c r="D17" i="26"/>
  <c r="H11" i="26"/>
  <c r="I8" i="114" s="1"/>
  <c r="J10" i="26"/>
  <c r="H10" i="26"/>
  <c r="I7" i="114" s="1"/>
  <c r="A10" i="26"/>
  <c r="H9" i="26"/>
  <c r="A9" i="26"/>
  <c r="H8" i="26"/>
  <c r="F17" i="25"/>
  <c r="E17" i="25"/>
  <c r="D17" i="25"/>
  <c r="H11" i="25"/>
  <c r="H8" i="114" s="1"/>
  <c r="H10" i="25"/>
  <c r="H7" i="114" s="1"/>
  <c r="A10" i="25"/>
  <c r="H9" i="25"/>
  <c r="A9" i="25"/>
  <c r="H8" i="25"/>
  <c r="F17" i="32"/>
  <c r="E17" i="32"/>
  <c r="D17" i="32"/>
  <c r="H11" i="32"/>
  <c r="G9" i="114" s="1"/>
  <c r="A10" i="32"/>
  <c r="H9" i="32"/>
  <c r="A9" i="32"/>
  <c r="H8" i="32"/>
  <c r="A6" i="32"/>
  <c r="F17" i="24"/>
  <c r="E17" i="24"/>
  <c r="D17" i="24"/>
  <c r="H11" i="24"/>
  <c r="F9" i="114" s="1"/>
  <c r="H10" i="24"/>
  <c r="F8" i="114" s="1"/>
  <c r="A10" i="24"/>
  <c r="H9" i="24"/>
  <c r="A9" i="24"/>
  <c r="H8" i="24"/>
  <c r="A6" i="24"/>
  <c r="H11" i="22"/>
  <c r="E9" i="114" s="1"/>
  <c r="H10" i="22"/>
  <c r="E8" i="114" s="1"/>
  <c r="A10" i="22"/>
  <c r="H9" i="22"/>
  <c r="A9" i="22"/>
  <c r="H8" i="22"/>
  <c r="H11" i="1"/>
  <c r="C9" i="114" s="1"/>
  <c r="H10" i="1"/>
  <c r="C8" i="114" s="1"/>
  <c r="A10" i="1"/>
  <c r="H9" i="1"/>
  <c r="A9" i="1"/>
  <c r="H8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 l="1"/>
  <c r="F11" i="68"/>
  <c r="A6" i="68" s="1"/>
  <c r="BM9" i="114"/>
  <c r="K37" i="3"/>
  <c r="A6" i="3" s="1"/>
  <c r="BL13" i="114"/>
  <c r="D21" i="95"/>
  <c r="BK10" i="114"/>
  <c r="I16" i="71"/>
  <c r="A6" i="71" s="1"/>
  <c r="BJ9" i="114"/>
  <c r="G12" i="70"/>
  <c r="BI10" i="114"/>
  <c r="F22" i="69"/>
  <c r="A6" i="69" s="1"/>
  <c r="BH11" i="114"/>
  <c r="D20" i="19"/>
  <c r="A6" i="19" s="1"/>
  <c r="BG11" i="114"/>
  <c r="BF21" i="114"/>
  <c r="BF41" i="114"/>
  <c r="BF73" i="114"/>
  <c r="BF93" i="114"/>
  <c r="BF113" i="114"/>
  <c r="BF121" i="114"/>
  <c r="BF141" i="114"/>
  <c r="BF193" i="114"/>
  <c r="BF213" i="114"/>
  <c r="BF241" i="114"/>
  <c r="BF273" i="114"/>
  <c r="BF293" i="114"/>
  <c r="BF313" i="114"/>
  <c r="BF333" i="114"/>
  <c r="BF341" i="114"/>
  <c r="BF393" i="114"/>
  <c r="BF413" i="114"/>
  <c r="BF433" i="114"/>
  <c r="BF473" i="114"/>
  <c r="BF493" i="114"/>
  <c r="BF513" i="114"/>
  <c r="BF533" i="114"/>
  <c r="BF553" i="114"/>
  <c r="BF593" i="114"/>
  <c r="BF7" i="114"/>
  <c r="BF27" i="114"/>
  <c r="BF47" i="114"/>
  <c r="BF67" i="114"/>
  <c r="BF14" i="114"/>
  <c r="BF34" i="114"/>
  <c r="BF54" i="114"/>
  <c r="BF74" i="114"/>
  <c r="BF134" i="114"/>
  <c r="BF154" i="114"/>
  <c r="BF174" i="114"/>
  <c r="BF206" i="114"/>
  <c r="BF226" i="114"/>
  <c r="BF234" i="114"/>
  <c r="BF254" i="114"/>
  <c r="BF274" i="114"/>
  <c r="BF326" i="114"/>
  <c r="BF354" i="114"/>
  <c r="BF374" i="114"/>
  <c r="BF406" i="114"/>
  <c r="BF426" i="114"/>
  <c r="BF446" i="114"/>
  <c r="BF454" i="114"/>
  <c r="BF474" i="114"/>
  <c r="BF526" i="114"/>
  <c r="BF546" i="114"/>
  <c r="BF574" i="114"/>
  <c r="BF60" i="114"/>
  <c r="BF140" i="114"/>
  <c r="BF167" i="114"/>
  <c r="BF187" i="114"/>
  <c r="BF247" i="114"/>
  <c r="BF347" i="114"/>
  <c r="BF8" i="114"/>
  <c r="BF220" i="114"/>
  <c r="BF287" i="114"/>
  <c r="BF307" i="114"/>
  <c r="BF339" i="114"/>
  <c r="BF400" i="114"/>
  <c r="BF407" i="114"/>
  <c r="BF487" i="114"/>
  <c r="BF567" i="114"/>
  <c r="BF587" i="114"/>
  <c r="BF87" i="114"/>
  <c r="BF127" i="114"/>
  <c r="BF160" i="114"/>
  <c r="BF180" i="114"/>
  <c r="BF200" i="114"/>
  <c r="BF207" i="114"/>
  <c r="BF367" i="114"/>
  <c r="BF387" i="114"/>
  <c r="BF440" i="114"/>
  <c r="BF100" i="114"/>
  <c r="BF107" i="114"/>
  <c r="BF147" i="114"/>
  <c r="BF280" i="114"/>
  <c r="BF300" i="114"/>
  <c r="BF320" i="114"/>
  <c r="BF420" i="114"/>
  <c r="BF480" i="114"/>
  <c r="BF500" i="114"/>
  <c r="BF520" i="114"/>
  <c r="BF559" i="114"/>
  <c r="BF580" i="114"/>
  <c r="BF600" i="114"/>
  <c r="BF260" i="114"/>
  <c r="BF360" i="114"/>
  <c r="BF380" i="114"/>
  <c r="BF460" i="114"/>
  <c r="BF507" i="114"/>
  <c r="BF539" i="114"/>
  <c r="BF80" i="114"/>
  <c r="BF267" i="114"/>
  <c r="BF340" i="114"/>
  <c r="BF467" i="114"/>
  <c r="BF540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3" i="114"/>
  <c r="BF33" i="114"/>
  <c r="BF53" i="114"/>
  <c r="BF105" i="114"/>
  <c r="BF129" i="114"/>
  <c r="BF133" i="114"/>
  <c r="BF153" i="114"/>
  <c r="BF205" i="114"/>
  <c r="BF225" i="114"/>
  <c r="BF233" i="114"/>
  <c r="BF253" i="114"/>
  <c r="BF305" i="114"/>
  <c r="BF325" i="114"/>
  <c r="BF353" i="114"/>
  <c r="BF405" i="114"/>
  <c r="BF425" i="114"/>
  <c r="BF445" i="114"/>
  <c r="BF453" i="114"/>
  <c r="BF505" i="114"/>
  <c r="BF525" i="114"/>
  <c r="BF545" i="114"/>
  <c r="BF605" i="114"/>
  <c r="BF39" i="114"/>
  <c r="BF26" i="114"/>
  <c r="BF46" i="114"/>
  <c r="BF62" i="114"/>
  <c r="BF66" i="114"/>
  <c r="BF86" i="114"/>
  <c r="BF126" i="114"/>
  <c r="BF146" i="114"/>
  <c r="BF166" i="114"/>
  <c r="BF186" i="114"/>
  <c r="BF246" i="114"/>
  <c r="BF262" i="114"/>
  <c r="BF266" i="114"/>
  <c r="BF286" i="114"/>
  <c r="BF338" i="114"/>
  <c r="BF346" i="114"/>
  <c r="BF366" i="114"/>
  <c r="BF386" i="114"/>
  <c r="BF438" i="114"/>
  <c r="BF462" i="114"/>
  <c r="BF466" i="114"/>
  <c r="BF486" i="114"/>
  <c r="BF538" i="114"/>
  <c r="BF558" i="114"/>
  <c r="BF566" i="114"/>
  <c r="BF586" i="114"/>
  <c r="BF59" i="114"/>
  <c r="BF99" i="114"/>
  <c r="BF172" i="114"/>
  <c r="BF192" i="114"/>
  <c r="BF279" i="114"/>
  <c r="BF299" i="114"/>
  <c r="BF319" i="114"/>
  <c r="BF419" i="114"/>
  <c r="BF479" i="114"/>
  <c r="BF499" i="114"/>
  <c r="BF519" i="114"/>
  <c r="BF552" i="114"/>
  <c r="BF579" i="114"/>
  <c r="BF595" i="114"/>
  <c r="BF599" i="114"/>
  <c r="BF79" i="114"/>
  <c r="BF179" i="114"/>
  <c r="BF199" i="114"/>
  <c r="BF512" i="114"/>
  <c r="BF528" i="114"/>
  <c r="BF92" i="114"/>
  <c r="BF139" i="114"/>
  <c r="BF272" i="114"/>
  <c r="BF472" i="114"/>
  <c r="BF72" i="114"/>
  <c r="BF112" i="114"/>
  <c r="BF219" i="114"/>
  <c r="BF259" i="114"/>
  <c r="BF332" i="114"/>
  <c r="BF359" i="114"/>
  <c r="BF379" i="114"/>
  <c r="BF395" i="114"/>
  <c r="BF399" i="114"/>
  <c r="BF432" i="114"/>
  <c r="BF459" i="114"/>
  <c r="BF532" i="114"/>
  <c r="BF20" i="114"/>
  <c r="BF159" i="114"/>
  <c r="BF195" i="114"/>
  <c r="BF239" i="114"/>
  <c r="BF292" i="114"/>
  <c r="BF312" i="114"/>
  <c r="BF328" i="114"/>
  <c r="BF412" i="114"/>
  <c r="BF492" i="114"/>
  <c r="BF572" i="114"/>
  <c r="BF592" i="114"/>
  <c r="BF120" i="114"/>
  <c r="BF212" i="114"/>
  <c r="BF228" i="114"/>
  <c r="BF372" i="114"/>
  <c r="BF392" i="114"/>
  <c r="L3" i="38"/>
  <c r="A6" i="38" s="1"/>
  <c r="BF608" i="114"/>
  <c r="D20" i="20"/>
  <c r="A6" i="20" s="1"/>
  <c r="BE11" i="114"/>
  <c r="D24" i="77"/>
  <c r="A6" i="77" s="1"/>
  <c r="BD14" i="114"/>
  <c r="G15" i="65"/>
  <c r="A6" i="65" s="1"/>
  <c r="BC15" i="114"/>
  <c r="H24" i="2"/>
  <c r="A6" i="2" s="1"/>
  <c r="BB13" i="114"/>
  <c r="I16" i="66"/>
  <c r="A6" i="66" s="1"/>
  <c r="AZ13" i="114"/>
  <c r="G13" i="112"/>
  <c r="A6" i="112" s="1"/>
  <c r="AY12" i="114"/>
  <c r="G13" i="92"/>
  <c r="A6" i="92" s="1"/>
  <c r="AX13" i="114"/>
  <c r="D22" i="57"/>
  <c r="AV12" i="114"/>
  <c r="D21" i="7"/>
  <c r="A6" i="7" s="1"/>
  <c r="AT16" i="114"/>
  <c r="G13" i="90"/>
  <c r="A6" i="90" s="1"/>
  <c r="AS12" i="114"/>
  <c r="D23" i="54"/>
  <c r="A6" i="54" s="1"/>
  <c r="AR11" i="114"/>
  <c r="D23" i="53"/>
  <c r="A6" i="53" s="1"/>
  <c r="AQ11" i="114"/>
  <c r="D23" i="52"/>
  <c r="A6" i="52" s="1"/>
  <c r="AP11" i="114"/>
  <c r="D23" i="51"/>
  <c r="A6" i="51" s="1"/>
  <c r="AO10" i="114"/>
  <c r="D23" i="50"/>
  <c r="A6" i="50" s="1"/>
  <c r="AN11" i="114"/>
  <c r="D22" i="49"/>
  <c r="A6" i="49" s="1"/>
  <c r="AM11" i="114"/>
  <c r="D24" i="48"/>
  <c r="A6" i="48" s="1"/>
  <c r="AL11" i="114"/>
  <c r="D24" i="47"/>
  <c r="A6" i="47" s="1"/>
  <c r="AK11" i="114"/>
  <c r="D24" i="46"/>
  <c r="A6" i="46" s="1"/>
  <c r="AJ11" i="114"/>
  <c r="D23" i="98"/>
  <c r="A6" i="98" s="1"/>
  <c r="AI13" i="114"/>
  <c r="D23" i="45"/>
  <c r="A6" i="45" s="1"/>
  <c r="AH13" i="114"/>
  <c r="D23" i="44"/>
  <c r="A6" i="44" s="1"/>
  <c r="AG12" i="114"/>
  <c r="D22" i="43"/>
  <c r="A6" i="43" s="1"/>
  <c r="AF11" i="114"/>
  <c r="D22" i="42"/>
  <c r="A6" i="42" s="1"/>
  <c r="AE11" i="114"/>
  <c r="D23" i="23"/>
  <c r="A6" i="23" s="1"/>
  <c r="AD14" i="114"/>
  <c r="D21" i="41"/>
  <c r="A6" i="41" s="1"/>
  <c r="AA12" i="114"/>
  <c r="D21" i="94"/>
  <c r="W12" i="114"/>
  <c r="D22" i="9"/>
  <c r="U17" i="114"/>
  <c r="I14" i="8"/>
  <c r="T8" i="114"/>
  <c r="T33" i="114"/>
  <c r="D22" i="8"/>
  <c r="A6" i="8" s="1"/>
  <c r="T17" i="114"/>
  <c r="D21" i="6"/>
  <c r="A6" i="6" s="1"/>
  <c r="S14" i="114"/>
  <c r="D22" i="35"/>
  <c r="R11" i="114"/>
  <c r="D22" i="34"/>
  <c r="A6" i="34" s="1"/>
  <c r="Q12" i="114"/>
  <c r="D22" i="33"/>
  <c r="A6" i="33" s="1"/>
  <c r="P12" i="114"/>
  <c r="D22" i="31"/>
  <c r="A6" i="31" s="1"/>
  <c r="N12" i="114"/>
  <c r="D21" i="27"/>
  <c r="J11" i="114"/>
  <c r="D21" i="32"/>
  <c r="G12" i="114"/>
  <c r="D21" i="24"/>
  <c r="F12" i="114"/>
  <c r="D21" i="22"/>
  <c r="A6" i="22" s="1"/>
  <c r="E12" i="114"/>
  <c r="D21" i="113"/>
  <c r="A6" i="113" s="1"/>
  <c r="D11" i="114"/>
  <c r="D21" i="1"/>
  <c r="A6" i="1" s="1"/>
  <c r="C12" i="114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 s="1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E39" i="3"/>
  <c r="J41" i="3" s="1"/>
  <c r="O41" i="3" s="1"/>
  <c r="D16" i="85"/>
  <c r="H16" i="4"/>
  <c r="H20" i="4"/>
  <c r="A6" i="57"/>
  <c r="F15" i="88"/>
  <c r="J7" i="87"/>
  <c r="A6" i="70"/>
  <c r="F15" i="7"/>
  <c r="F16" i="9"/>
  <c r="F16" i="8"/>
  <c r="F16" i="88" l="1"/>
  <c r="A6" i="88" s="1"/>
  <c r="BQ12" i="114"/>
  <c r="D17" i="85"/>
  <c r="A6" i="85" s="1"/>
  <c r="BO4" i="114"/>
  <c r="J24" i="87"/>
  <c r="BP8" i="114"/>
  <c r="C77" i="75"/>
  <c r="J40" i="3"/>
  <c r="J42" i="3"/>
  <c r="O42" i="3" s="1"/>
  <c r="J43" i="3"/>
  <c r="J44" i="3"/>
  <c r="O40" i="3" l="1"/>
  <c r="BL6" i="114"/>
  <c r="O43" i="3"/>
  <c r="BL8" i="114"/>
  <c r="O44" i="3"/>
  <c r="BL9" i="114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 l="1"/>
  <c r="L3" i="75" s="1"/>
  <c r="M3" i="75" s="1"/>
  <c r="C81" i="75"/>
  <c r="L2" i="75" s="1"/>
  <c r="M2" i="75" s="1"/>
  <c r="A6" i="75" l="1"/>
</calcChain>
</file>

<file path=xl/sharedStrings.xml><?xml version="1.0" encoding="utf-8"?>
<sst xmlns="http://schemas.openxmlformats.org/spreadsheetml/2006/main" count="1966" uniqueCount="419">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</sst>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621156336"/>
        <c:axId val="621155552"/>
        <c:axId val="664270320"/>
      </c:surface3DChart>
      <c:catAx>
        <c:axId val="62115633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15555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62115555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156336"/>
        <c:crosses val="min"/>
        <c:crossBetween val="between"/>
        <c:majorUnit val="0.1"/>
      </c:valAx>
      <c:serAx>
        <c:axId val="66427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15555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0.28867513463156941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0.50000000004165057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1.7113248653678492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0.50000000001256872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0.28867513463156941</c:v>
                </c:pt>
                <c:pt idx="3">
                  <c:v>0</c:v>
                </c:pt>
                <c:pt idx="4">
                  <c:v>0.28867513463156941</c:v>
                </c:pt>
                <c:pt idx="6">
                  <c:v>2</c:v>
                </c:pt>
                <c:pt idx="7">
                  <c:v>1.7113248653678492</c:v>
                </c:pt>
                <c:pt idx="9">
                  <c:v>2</c:v>
                </c:pt>
                <c:pt idx="10">
                  <c:v>1.7113248653678492</c:v>
                </c:pt>
                <c:pt idx="12">
                  <c:v>0.28867513463156941</c:v>
                </c:pt>
                <c:pt idx="13">
                  <c:v>1.7113248653678492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0.50000000004165057</c:v>
                </c:pt>
                <c:pt idx="3">
                  <c:v>1</c:v>
                </c:pt>
                <c:pt idx="4">
                  <c:v>0.50000000004165057</c:v>
                </c:pt>
                <c:pt idx="6">
                  <c:v>1</c:v>
                </c:pt>
                <c:pt idx="7">
                  <c:v>0.50000000001256872</c:v>
                </c:pt>
                <c:pt idx="9">
                  <c:v>0</c:v>
                </c:pt>
                <c:pt idx="10">
                  <c:v>0.50000000001256872</c:v>
                </c:pt>
                <c:pt idx="12">
                  <c:v>0.50000000004165057</c:v>
                </c:pt>
                <c:pt idx="13">
                  <c:v>0.50000000001256872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1156728"/>
        <c:axId val="621157904"/>
      </c:scatterChart>
      <c:valAx>
        <c:axId val="621156728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157904"/>
        <c:crosses val="autoZero"/>
        <c:crossBetween val="midCat"/>
        <c:majorUnit val="0.5"/>
      </c:valAx>
      <c:valAx>
        <c:axId val="621157904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21156728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2.357142857062807</c:v>
                </c:pt>
                <c:pt idx="2">
                  <c:v>6.9999999999689768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1.8557687224969033</c:v>
                </c:pt>
                <c:pt idx="2">
                  <c:v>2.2433632729246256E-10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356224"/>
        <c:axId val="658356616"/>
      </c:scatterChart>
      <c:valAx>
        <c:axId val="658356224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356616"/>
        <c:crosses val="autoZero"/>
        <c:crossBetween val="midCat"/>
        <c:majorUnit val="1"/>
      </c:valAx>
      <c:valAx>
        <c:axId val="65835661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356224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/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/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/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/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/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/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/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/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/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/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/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/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/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/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/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/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/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/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/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/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/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/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/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/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/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/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/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/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/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/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/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/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/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/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/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/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/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/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/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/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/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/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/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/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/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/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/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0200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63246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1620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162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" name="OpenSolver7"/>
        <xdr:cNvSpPr/>
      </xdr:nvSpPr>
      <xdr:spPr>
        <a:xfrm>
          <a:off x="4429125" y="1552575"/>
          <a:ext cx="10953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9" name="OpenSolver8"/>
        <xdr:cNvCxnSpPr>
          <a:stCxn id="7" idx="3"/>
          <a:endCxn id="8" idx="1"/>
        </xdr:cNvCxnSpPr>
      </xdr:nvCxnSpPr>
      <xdr:spPr>
        <a:xfrm>
          <a:off x="422910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10" name="OpenSolver9"/>
        <xdr:cNvSpPr/>
      </xdr:nvSpPr>
      <xdr:spPr>
        <a:xfrm>
          <a:off x="413861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1" name="OpenSolver10"/>
        <xdr:cNvSpPr/>
      </xdr:nvSpPr>
      <xdr:spPr>
        <a:xfrm>
          <a:off x="4429125" y="1952625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12" name="OpenSolver11"/>
        <xdr:cNvSpPr/>
      </xdr:nvSpPr>
      <xdr:spPr>
        <a:xfrm>
          <a:off x="6324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13" name="OpenSolver12"/>
        <xdr:cNvCxnSpPr>
          <a:stCxn id="11" idx="3"/>
          <a:endCxn id="12" idx="1"/>
        </xdr:cNvCxnSpPr>
      </xdr:nvCxnSpPr>
      <xdr:spPr>
        <a:xfrm>
          <a:off x="5524500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14" name="OpenSolver13"/>
        <xdr:cNvSpPr/>
      </xdr:nvSpPr>
      <xdr:spPr>
        <a:xfrm>
          <a:off x="57340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5" name="OpenSolver14"/>
        <xdr:cNvSpPr/>
      </xdr:nvSpPr>
      <xdr:spPr>
        <a:xfrm>
          <a:off x="3067050" y="2143125"/>
          <a:ext cx="1162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16" name="OpenSolver15"/>
        <xdr:cNvSpPr/>
      </xdr:nvSpPr>
      <xdr:spPr>
        <a:xfrm>
          <a:off x="4429125" y="2143125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17" name="OpenSolver16"/>
        <xdr:cNvCxnSpPr>
          <a:stCxn id="15" idx="3"/>
          <a:endCxn id="16" idx="1"/>
        </xdr:cNvCxnSpPr>
      </xdr:nvCxnSpPr>
      <xdr:spPr>
        <a:xfrm>
          <a:off x="422910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1071563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18" name="OpenSolver17"/>
        <xdr:cNvSpPr/>
      </xdr:nvSpPr>
      <xdr:spPr>
        <a:xfrm>
          <a:off x="41386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19" name="OpenSolver18"/>
        <xdr:cNvSpPr/>
      </xdr:nvSpPr>
      <xdr:spPr>
        <a:xfrm>
          <a:off x="86963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0" name="OpenSolver19"/>
        <xdr:cNvSpPr/>
      </xdr:nvSpPr>
      <xdr:spPr>
        <a:xfrm>
          <a:off x="91630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1" name="OpenSolver20"/>
        <xdr:cNvCxnSpPr>
          <a:stCxn id="19" idx="3"/>
          <a:endCxn id="20" idx="1"/>
        </xdr:cNvCxnSpPr>
      </xdr:nvCxnSpPr>
      <xdr:spPr>
        <a:xfrm>
          <a:off x="89630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2" name="OpenSolver21"/>
        <xdr:cNvSpPr/>
      </xdr:nvSpPr>
      <xdr:spPr>
        <a:xfrm>
          <a:off x="88725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3" name="OpenSolver22"/>
        <xdr:cNvSpPr/>
      </xdr:nvSpPr>
      <xdr:spPr>
        <a:xfrm>
          <a:off x="80200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4" name="OpenSolver23"/>
        <xdr:cNvSpPr/>
      </xdr:nvSpPr>
      <xdr:spPr>
        <a:xfrm>
          <a:off x="80200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5" name="OpenSolver24"/>
        <xdr:cNvCxnSpPr>
          <a:stCxn id="23" idx="2"/>
          <a:endCxn id="24" idx="0"/>
        </xdr:cNvCxnSpPr>
      </xdr:nvCxnSpPr>
      <xdr:spPr>
        <a:xfrm>
          <a:off x="83581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26" name="OpenSolver25"/>
        <xdr:cNvSpPr/>
      </xdr:nvSpPr>
      <xdr:spPr>
        <a:xfrm>
          <a:off x="81676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27" name="OpenSolverI10"/>
        <xdr:cNvSpPr/>
      </xdr:nvSpPr>
      <xdr:spPr>
        <a:xfrm>
          <a:off x="3067050" y="1752600"/>
          <a:ext cx="11620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28" name="OpenSolverI14"/>
        <xdr:cNvSpPr/>
      </xdr:nvSpPr>
      <xdr:spPr>
        <a:xfrm>
          <a:off x="3067050" y="2524125"/>
          <a:ext cx="1162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29" name="OpenSolver28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0" name="OpenSolver29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1" name="OpenSolver30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/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/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/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/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/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/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/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/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/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/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/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/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/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/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/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/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/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/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/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/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/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/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/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/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/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/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/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/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/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/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/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/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/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/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/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/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/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/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/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/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/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/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/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/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/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/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/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/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/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/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/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/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/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/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/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/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/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/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/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/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/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/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/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/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/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/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/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/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/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/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/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/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/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/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/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/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/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/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/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/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/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/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/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/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/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/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/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/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/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/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/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/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/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/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/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/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/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/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/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/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/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/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/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/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/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/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/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/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/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/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/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/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/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/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/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/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/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/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/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/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/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/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/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/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120650</xdr:rowOff>
    </xdr:from>
    <xdr:to>
      <xdr:col>7</xdr:col>
      <xdr:colOff>215214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" name="OpenSolver8"/>
        <xdr:cNvSpPr/>
      </xdr:nvSpPr>
      <xdr:spPr>
        <a:xfrm>
          <a:off x="41814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10" name="OpenSolver9"/>
        <xdr:cNvSpPr/>
      </xdr:nvSpPr>
      <xdr:spPr>
        <a:xfrm>
          <a:off x="5362575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12" name="OpenSolver11"/>
        <xdr:cNvSpPr/>
      </xdr:nvSpPr>
      <xdr:spPr>
        <a:xfrm>
          <a:off x="4876800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13" name="OpenSolver12"/>
        <xdr:cNvSpPr/>
      </xdr:nvSpPr>
      <xdr:spPr>
        <a:xfrm>
          <a:off x="41814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14" name="OpenSolver13"/>
        <xdr:cNvSpPr/>
      </xdr:nvSpPr>
      <xdr:spPr>
        <a:xfrm>
          <a:off x="5362575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16" name="OpenSolver15"/>
        <xdr:cNvSpPr/>
      </xdr:nvSpPr>
      <xdr:spPr>
        <a:xfrm>
          <a:off x="4876800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17" name="OpenSolver16"/>
        <xdr:cNvSpPr/>
      </xdr:nvSpPr>
      <xdr:spPr>
        <a:xfrm>
          <a:off x="41814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18" name="OpenSolver17"/>
        <xdr:cNvSpPr/>
      </xdr:nvSpPr>
      <xdr:spPr>
        <a:xfrm>
          <a:off x="5362575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19" name="OpenSolver18"/>
        <xdr:cNvCxnSpPr>
          <a:stCxn id="17" idx="3"/>
          <a:endCxn id="18" idx="1"/>
        </xdr:cNvCxnSpPr>
      </xdr:nvCxnSpPr>
      <xdr:spPr>
        <a:xfrm>
          <a:off x="4772025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20" name="OpenSolver19"/>
        <xdr:cNvSpPr/>
      </xdr:nvSpPr>
      <xdr:spPr>
        <a:xfrm>
          <a:off x="4876800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21" name="OpenSolver20"/>
        <xdr:cNvSpPr/>
      </xdr:nvSpPr>
      <xdr:spPr>
        <a:xfrm>
          <a:off x="41814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22" name="OpenSolver21"/>
        <xdr:cNvSpPr/>
      </xdr:nvSpPr>
      <xdr:spPr>
        <a:xfrm>
          <a:off x="5362575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23" name="OpenSolver22"/>
        <xdr:cNvCxnSpPr>
          <a:stCxn id="21" idx="3"/>
          <a:endCxn id="22" idx="1"/>
        </xdr:cNvCxnSpPr>
      </xdr:nvCxnSpPr>
      <xdr:spPr>
        <a:xfrm>
          <a:off x="4772025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24" name="OpenSolver23"/>
        <xdr:cNvSpPr/>
      </xdr:nvSpPr>
      <xdr:spPr>
        <a:xfrm>
          <a:off x="4876800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25" name="OpenSolver24"/>
        <xdr:cNvSpPr/>
      </xdr:nvSpPr>
      <xdr:spPr>
        <a:xfrm>
          <a:off x="41814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26" name="OpenSolver25"/>
        <xdr:cNvSpPr/>
      </xdr:nvSpPr>
      <xdr:spPr>
        <a:xfrm>
          <a:off x="5362575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27" name="OpenSolver26"/>
        <xdr:cNvCxnSpPr>
          <a:stCxn id="25" idx="3"/>
          <a:endCxn id="26" idx="1"/>
        </xdr:cNvCxnSpPr>
      </xdr:nvCxnSpPr>
      <xdr:spPr>
        <a:xfrm>
          <a:off x="4772025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28" name="OpenSolver27"/>
        <xdr:cNvSpPr/>
      </xdr:nvSpPr>
      <xdr:spPr>
        <a:xfrm>
          <a:off x="4876800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6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29" name="OpenSolver28"/>
        <xdr:cNvSpPr/>
      </xdr:nvSpPr>
      <xdr:spPr>
        <a:xfrm>
          <a:off x="41941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</xdr:colOff>
      <xdr:row>6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30" name="OpenSolver29"/>
        <xdr:cNvSpPr/>
      </xdr:nvSpPr>
      <xdr:spPr>
        <a:xfrm>
          <a:off x="5375275" y="1193800"/>
          <a:ext cx="577850" cy="368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</xdr:rowOff>
    </xdr:from>
    <xdr:to>
      <xdr:col>9</xdr:col>
      <xdr:colOff>12700</xdr:colOff>
      <xdr:row>7</xdr:row>
      <xdr:rowOff>6350</xdr:rowOff>
    </xdr:to>
    <xdr:cxnSp macro="">
      <xdr:nvCxnSpPr>
        <xdr:cNvPr id="31" name="OpenSolver30"/>
        <xdr:cNvCxnSpPr>
          <a:stCxn id="29" idx="3"/>
          <a:endCxn id="30" idx="1"/>
        </xdr:cNvCxnSpPr>
      </xdr:nvCxnSpPr>
      <xdr:spPr>
        <a:xfrm>
          <a:off x="4772025" y="1377950"/>
          <a:ext cx="603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6</xdr:row>
      <xdr:rowOff>69850</xdr:rowOff>
    </xdr:from>
    <xdr:to>
      <xdr:col>8</xdr:col>
      <xdr:colOff>492125</xdr:colOff>
      <xdr:row>7</xdr:row>
      <xdr:rowOff>133350</xdr:rowOff>
    </xdr:to>
    <xdr:sp macro="" textlink="">
      <xdr:nvSpPr>
        <xdr:cNvPr id="9120" name="OpenSolver31"/>
        <xdr:cNvSpPr/>
      </xdr:nvSpPr>
      <xdr:spPr>
        <a:xfrm>
          <a:off x="4883150" y="12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8</xdr:row>
      <xdr:rowOff>12700</xdr:rowOff>
    </xdr:from>
    <xdr:to>
      <xdr:col>8</xdr:col>
      <xdr:colOff>0</xdr:colOff>
      <xdr:row>72</xdr:row>
      <xdr:rowOff>0</xdr:rowOff>
    </xdr:to>
    <xdr:sp macro="" textlink="">
      <xdr:nvSpPr>
        <xdr:cNvPr id="9121" name="OpenSolver32"/>
        <xdr:cNvSpPr/>
      </xdr:nvSpPr>
      <xdr:spPr>
        <a:xfrm>
          <a:off x="41941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</xdr:colOff>
      <xdr:row>8</xdr:row>
      <xdr:rowOff>12700</xdr:rowOff>
    </xdr:from>
    <xdr:to>
      <xdr:col>10</xdr:col>
      <xdr:colOff>0</xdr:colOff>
      <xdr:row>72</xdr:row>
      <xdr:rowOff>0</xdr:rowOff>
    </xdr:to>
    <xdr:sp macro="" textlink="">
      <xdr:nvSpPr>
        <xdr:cNvPr id="9122" name="OpenSolver33"/>
        <xdr:cNvSpPr/>
      </xdr:nvSpPr>
      <xdr:spPr>
        <a:xfrm>
          <a:off x="5375275" y="1574800"/>
          <a:ext cx="577850" cy="121983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187325</xdr:rowOff>
    </xdr:from>
    <xdr:to>
      <xdr:col>9</xdr:col>
      <xdr:colOff>12700</xdr:colOff>
      <xdr:row>39</xdr:row>
      <xdr:rowOff>187325</xdr:rowOff>
    </xdr:to>
    <xdr:cxnSp macro="">
      <xdr:nvCxnSpPr>
        <xdr:cNvPr id="9123" name="OpenSolver34"/>
        <xdr:cNvCxnSpPr>
          <a:stCxn id="9121" idx="3"/>
          <a:endCxn id="9122" idx="1"/>
        </xdr:cNvCxnSpPr>
      </xdr:nvCxnSpPr>
      <xdr:spPr>
        <a:xfrm>
          <a:off x="4772025" y="7673975"/>
          <a:ext cx="603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39</xdr:row>
      <xdr:rowOff>60325</xdr:rowOff>
    </xdr:from>
    <xdr:to>
      <xdr:col>8</xdr:col>
      <xdr:colOff>492125</xdr:colOff>
      <xdr:row>40</xdr:row>
      <xdr:rowOff>123825</xdr:rowOff>
    </xdr:to>
    <xdr:sp macro="" textlink="">
      <xdr:nvSpPr>
        <xdr:cNvPr id="9124" name="OpenSolver35"/>
        <xdr:cNvSpPr/>
      </xdr:nvSpPr>
      <xdr:spPr>
        <a:xfrm>
          <a:off x="4883150" y="7546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72</xdr:row>
      <xdr:rowOff>12700</xdr:rowOff>
    </xdr:from>
    <xdr:to>
      <xdr:col>8</xdr:col>
      <xdr:colOff>0</xdr:colOff>
      <xdr:row>73</xdr:row>
      <xdr:rowOff>0</xdr:rowOff>
    </xdr:to>
    <xdr:sp macro="" textlink="">
      <xdr:nvSpPr>
        <xdr:cNvPr id="9125" name="OpenSolver36"/>
        <xdr:cNvSpPr/>
      </xdr:nvSpPr>
      <xdr:spPr>
        <a:xfrm>
          <a:off x="41941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</xdr:colOff>
      <xdr:row>72</xdr:row>
      <xdr:rowOff>12700</xdr:rowOff>
    </xdr:from>
    <xdr:to>
      <xdr:col>10</xdr:col>
      <xdr:colOff>0</xdr:colOff>
      <xdr:row>73</xdr:row>
      <xdr:rowOff>0</xdr:rowOff>
    </xdr:to>
    <xdr:sp macro="" textlink="">
      <xdr:nvSpPr>
        <xdr:cNvPr id="9126" name="OpenSolver37"/>
        <xdr:cNvSpPr/>
      </xdr:nvSpPr>
      <xdr:spPr>
        <a:xfrm>
          <a:off x="5375275" y="13785850"/>
          <a:ext cx="577850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101600</xdr:rowOff>
    </xdr:from>
    <xdr:to>
      <xdr:col>9</xdr:col>
      <xdr:colOff>12700</xdr:colOff>
      <xdr:row>72</xdr:row>
      <xdr:rowOff>101600</xdr:rowOff>
    </xdr:to>
    <xdr:cxnSp macro="">
      <xdr:nvCxnSpPr>
        <xdr:cNvPr id="9127" name="OpenSolver38"/>
        <xdr:cNvCxnSpPr>
          <a:stCxn id="9125" idx="3"/>
          <a:endCxn id="9126" idx="1"/>
        </xdr:cNvCxnSpPr>
      </xdr:nvCxnSpPr>
      <xdr:spPr>
        <a:xfrm>
          <a:off x="4772025" y="13874750"/>
          <a:ext cx="603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71</xdr:row>
      <xdr:rowOff>165100</xdr:rowOff>
    </xdr:from>
    <xdr:to>
      <xdr:col>8</xdr:col>
      <xdr:colOff>492125</xdr:colOff>
      <xdr:row>73</xdr:row>
      <xdr:rowOff>38100</xdr:rowOff>
    </xdr:to>
    <xdr:sp macro="" textlink="">
      <xdr:nvSpPr>
        <xdr:cNvPr id="9128" name="OpenSolver39"/>
        <xdr:cNvSpPr/>
      </xdr:nvSpPr>
      <xdr:spPr>
        <a:xfrm>
          <a:off x="4883150" y="1374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73</xdr:row>
      <xdr:rowOff>12700</xdr:rowOff>
    </xdr:from>
    <xdr:to>
      <xdr:col>8</xdr:col>
      <xdr:colOff>0</xdr:colOff>
      <xdr:row>74</xdr:row>
      <xdr:rowOff>0</xdr:rowOff>
    </xdr:to>
    <xdr:sp macro="" textlink="">
      <xdr:nvSpPr>
        <xdr:cNvPr id="9129" name="OpenSolver40"/>
        <xdr:cNvSpPr/>
      </xdr:nvSpPr>
      <xdr:spPr>
        <a:xfrm>
          <a:off x="41941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</xdr:colOff>
      <xdr:row>73</xdr:row>
      <xdr:rowOff>12700</xdr:rowOff>
    </xdr:from>
    <xdr:to>
      <xdr:col>10</xdr:col>
      <xdr:colOff>0</xdr:colOff>
      <xdr:row>74</xdr:row>
      <xdr:rowOff>0</xdr:rowOff>
    </xdr:to>
    <xdr:sp macro="" textlink="">
      <xdr:nvSpPr>
        <xdr:cNvPr id="9130" name="OpenSolver41"/>
        <xdr:cNvSpPr/>
      </xdr:nvSpPr>
      <xdr:spPr>
        <a:xfrm>
          <a:off x="5375275" y="13976350"/>
          <a:ext cx="57785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101600</xdr:rowOff>
    </xdr:from>
    <xdr:to>
      <xdr:col>9</xdr:col>
      <xdr:colOff>12700</xdr:colOff>
      <xdr:row>73</xdr:row>
      <xdr:rowOff>101600</xdr:rowOff>
    </xdr:to>
    <xdr:cxnSp macro="">
      <xdr:nvCxnSpPr>
        <xdr:cNvPr id="9131" name="OpenSolver42"/>
        <xdr:cNvCxnSpPr>
          <a:stCxn id="9129" idx="3"/>
          <a:endCxn id="9130" idx="1"/>
        </xdr:cNvCxnSpPr>
      </xdr:nvCxnSpPr>
      <xdr:spPr>
        <a:xfrm>
          <a:off x="4772025" y="14065250"/>
          <a:ext cx="603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72</xdr:row>
      <xdr:rowOff>165100</xdr:rowOff>
    </xdr:from>
    <xdr:to>
      <xdr:col>8</xdr:col>
      <xdr:colOff>492125</xdr:colOff>
      <xdr:row>74</xdr:row>
      <xdr:rowOff>38100</xdr:rowOff>
    </xdr:to>
    <xdr:sp macro="" textlink="">
      <xdr:nvSpPr>
        <xdr:cNvPr id="9159" name="OpenSolver43"/>
        <xdr:cNvSpPr/>
      </xdr:nvSpPr>
      <xdr:spPr>
        <a:xfrm>
          <a:off x="4883150" y="1393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74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160" name="OpenSolver44"/>
        <xdr:cNvSpPr/>
      </xdr:nvSpPr>
      <xdr:spPr>
        <a:xfrm>
          <a:off x="41941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12700</xdr:colOff>
      <xdr:row>74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161" name="OpenSolver45"/>
        <xdr:cNvSpPr/>
      </xdr:nvSpPr>
      <xdr:spPr>
        <a:xfrm>
          <a:off x="5375275" y="14166850"/>
          <a:ext cx="577850" cy="12179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</xdr:rowOff>
    </xdr:from>
    <xdr:to>
      <xdr:col>9</xdr:col>
      <xdr:colOff>12700</xdr:colOff>
      <xdr:row>106</xdr:row>
      <xdr:rowOff>6350</xdr:rowOff>
    </xdr:to>
    <xdr:cxnSp macro="">
      <xdr:nvCxnSpPr>
        <xdr:cNvPr id="9162" name="OpenSolver46"/>
        <xdr:cNvCxnSpPr>
          <a:stCxn id="9160" idx="3"/>
          <a:endCxn id="9161" idx="1"/>
        </xdr:cNvCxnSpPr>
      </xdr:nvCxnSpPr>
      <xdr:spPr>
        <a:xfrm>
          <a:off x="4772025" y="20256500"/>
          <a:ext cx="603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105</xdr:row>
      <xdr:rowOff>69850</xdr:rowOff>
    </xdr:from>
    <xdr:to>
      <xdr:col>8</xdr:col>
      <xdr:colOff>492125</xdr:colOff>
      <xdr:row>106</xdr:row>
      <xdr:rowOff>133350</xdr:rowOff>
    </xdr:to>
    <xdr:sp macro="" textlink="">
      <xdr:nvSpPr>
        <xdr:cNvPr id="9163" name="OpenSolver47"/>
        <xdr:cNvSpPr/>
      </xdr:nvSpPr>
      <xdr:spPr>
        <a:xfrm>
          <a:off x="4883150" y="2012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</xdr:colOff>
      <xdr:row>138</xdr:row>
      <xdr:rowOff>12700</xdr:rowOff>
    </xdr:from>
    <xdr:to>
      <xdr:col>8</xdr:col>
      <xdr:colOff>0</xdr:colOff>
      <xdr:row>139</xdr:row>
      <xdr:rowOff>0</xdr:rowOff>
    </xdr:to>
    <xdr:sp macro="" textlink="">
      <xdr:nvSpPr>
        <xdr:cNvPr id="9164" name="OpenSolver48"/>
        <xdr:cNvSpPr/>
      </xdr:nvSpPr>
      <xdr:spPr>
        <a:xfrm>
          <a:off x="41941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</xdr:colOff>
      <xdr:row>138</xdr:row>
      <xdr:rowOff>12700</xdr:rowOff>
    </xdr:from>
    <xdr:to>
      <xdr:col>10</xdr:col>
      <xdr:colOff>0</xdr:colOff>
      <xdr:row>139</xdr:row>
      <xdr:rowOff>0</xdr:rowOff>
    </xdr:to>
    <xdr:sp macro="" textlink="">
      <xdr:nvSpPr>
        <xdr:cNvPr id="9165" name="OpenSolver49"/>
        <xdr:cNvSpPr/>
      </xdr:nvSpPr>
      <xdr:spPr>
        <a:xfrm>
          <a:off x="5375275" y="26358850"/>
          <a:ext cx="577850" cy="1778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101600</xdr:rowOff>
    </xdr:from>
    <xdr:to>
      <xdr:col>9</xdr:col>
      <xdr:colOff>12700</xdr:colOff>
      <xdr:row>138</xdr:row>
      <xdr:rowOff>101600</xdr:rowOff>
    </xdr:to>
    <xdr:cxnSp macro="">
      <xdr:nvCxnSpPr>
        <xdr:cNvPr id="9166" name="OpenSolver50"/>
        <xdr:cNvCxnSpPr>
          <a:stCxn id="9164" idx="3"/>
          <a:endCxn id="9165" idx="1"/>
        </xdr:cNvCxnSpPr>
      </xdr:nvCxnSpPr>
      <xdr:spPr>
        <a:xfrm>
          <a:off x="4772025" y="26447750"/>
          <a:ext cx="603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111125</xdr:colOff>
      <xdr:row>137</xdr:row>
      <xdr:rowOff>165100</xdr:rowOff>
    </xdr:from>
    <xdr:to>
      <xdr:col>8</xdr:col>
      <xdr:colOff>492125</xdr:colOff>
      <xdr:row>139</xdr:row>
      <xdr:rowOff>38100</xdr:rowOff>
    </xdr:to>
    <xdr:sp macro="" textlink="">
      <xdr:nvSpPr>
        <xdr:cNvPr id="9167" name="OpenSolver51"/>
        <xdr:cNvSpPr/>
      </xdr:nvSpPr>
      <xdr:spPr>
        <a:xfrm>
          <a:off x="4883150" y="26320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6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168" name="OpenSolver52"/>
        <xdr:cNvSpPr/>
      </xdr:nvSpPr>
      <xdr:spPr>
        <a:xfrm>
          <a:off x="42068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</xdr:colOff>
      <xdr:row>6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169" name="OpenSolver53"/>
        <xdr:cNvSpPr/>
      </xdr:nvSpPr>
      <xdr:spPr>
        <a:xfrm>
          <a:off x="5387975" y="1206500"/>
          <a:ext cx="565150" cy="355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</xdr:rowOff>
    </xdr:from>
    <xdr:to>
      <xdr:col>9</xdr:col>
      <xdr:colOff>25400</xdr:colOff>
      <xdr:row>7</xdr:row>
      <xdr:rowOff>12700</xdr:rowOff>
    </xdr:to>
    <xdr:cxnSp macro="">
      <xdr:nvCxnSpPr>
        <xdr:cNvPr id="9170" name="OpenSolver54"/>
        <xdr:cNvCxnSpPr>
          <a:stCxn id="9168" idx="3"/>
          <a:endCxn id="9169" idx="1"/>
        </xdr:cNvCxnSpPr>
      </xdr:nvCxnSpPr>
      <xdr:spPr>
        <a:xfrm>
          <a:off x="4772025" y="1384300"/>
          <a:ext cx="615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6</xdr:row>
      <xdr:rowOff>76200</xdr:rowOff>
    </xdr:from>
    <xdr:to>
      <xdr:col>8</xdr:col>
      <xdr:colOff>498475</xdr:colOff>
      <xdr:row>7</xdr:row>
      <xdr:rowOff>139700</xdr:rowOff>
    </xdr:to>
    <xdr:sp macro="" textlink="">
      <xdr:nvSpPr>
        <xdr:cNvPr id="9171" name="OpenSolver55"/>
        <xdr:cNvSpPr/>
      </xdr:nvSpPr>
      <xdr:spPr>
        <a:xfrm>
          <a:off x="4889500" y="12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8</xdr:row>
      <xdr:rowOff>25400</xdr:rowOff>
    </xdr:from>
    <xdr:to>
      <xdr:col>8</xdr:col>
      <xdr:colOff>0</xdr:colOff>
      <xdr:row>72</xdr:row>
      <xdr:rowOff>0</xdr:rowOff>
    </xdr:to>
    <xdr:sp macro="" textlink="">
      <xdr:nvSpPr>
        <xdr:cNvPr id="9172" name="OpenSolver56"/>
        <xdr:cNvSpPr/>
      </xdr:nvSpPr>
      <xdr:spPr>
        <a:xfrm>
          <a:off x="42068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25400</xdr:colOff>
      <xdr:row>8</xdr:row>
      <xdr:rowOff>25400</xdr:rowOff>
    </xdr:from>
    <xdr:to>
      <xdr:col>10</xdr:col>
      <xdr:colOff>0</xdr:colOff>
      <xdr:row>72</xdr:row>
      <xdr:rowOff>0</xdr:rowOff>
    </xdr:to>
    <xdr:sp macro="" textlink="">
      <xdr:nvSpPr>
        <xdr:cNvPr id="9173" name="OpenSolver57"/>
        <xdr:cNvSpPr/>
      </xdr:nvSpPr>
      <xdr:spPr>
        <a:xfrm>
          <a:off x="5387975" y="1587500"/>
          <a:ext cx="565150" cy="121856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3175</xdr:rowOff>
    </xdr:from>
    <xdr:to>
      <xdr:col>9</xdr:col>
      <xdr:colOff>25400</xdr:colOff>
      <xdr:row>40</xdr:row>
      <xdr:rowOff>3175</xdr:rowOff>
    </xdr:to>
    <xdr:cxnSp macro="">
      <xdr:nvCxnSpPr>
        <xdr:cNvPr id="9174" name="OpenSolver58"/>
        <xdr:cNvCxnSpPr>
          <a:stCxn id="9172" idx="3"/>
          <a:endCxn id="9173" idx="1"/>
        </xdr:cNvCxnSpPr>
      </xdr:nvCxnSpPr>
      <xdr:spPr>
        <a:xfrm>
          <a:off x="4772025" y="7680325"/>
          <a:ext cx="615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39</xdr:row>
      <xdr:rowOff>66675</xdr:rowOff>
    </xdr:from>
    <xdr:to>
      <xdr:col>8</xdr:col>
      <xdr:colOff>498475</xdr:colOff>
      <xdr:row>40</xdr:row>
      <xdr:rowOff>130175</xdr:rowOff>
    </xdr:to>
    <xdr:sp macro="" textlink="">
      <xdr:nvSpPr>
        <xdr:cNvPr id="9175" name="OpenSolver59"/>
        <xdr:cNvSpPr/>
      </xdr:nvSpPr>
      <xdr:spPr>
        <a:xfrm>
          <a:off x="4889500" y="7553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72</xdr:row>
      <xdr:rowOff>25400</xdr:rowOff>
    </xdr:from>
    <xdr:to>
      <xdr:col>8</xdr:col>
      <xdr:colOff>0</xdr:colOff>
      <xdr:row>73</xdr:row>
      <xdr:rowOff>0</xdr:rowOff>
    </xdr:to>
    <xdr:sp macro="" textlink="">
      <xdr:nvSpPr>
        <xdr:cNvPr id="9176" name="OpenSolver60"/>
        <xdr:cNvSpPr/>
      </xdr:nvSpPr>
      <xdr:spPr>
        <a:xfrm>
          <a:off x="42068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25400</xdr:colOff>
      <xdr:row>72</xdr:row>
      <xdr:rowOff>25400</xdr:rowOff>
    </xdr:from>
    <xdr:to>
      <xdr:col>10</xdr:col>
      <xdr:colOff>0</xdr:colOff>
      <xdr:row>73</xdr:row>
      <xdr:rowOff>0</xdr:rowOff>
    </xdr:to>
    <xdr:sp macro="" textlink="">
      <xdr:nvSpPr>
        <xdr:cNvPr id="9177" name="OpenSolver61"/>
        <xdr:cNvSpPr/>
      </xdr:nvSpPr>
      <xdr:spPr>
        <a:xfrm>
          <a:off x="5387975" y="13798550"/>
          <a:ext cx="565150" cy="165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107950</xdr:rowOff>
    </xdr:from>
    <xdr:to>
      <xdr:col>9</xdr:col>
      <xdr:colOff>25400</xdr:colOff>
      <xdr:row>72</xdr:row>
      <xdr:rowOff>107950</xdr:rowOff>
    </xdr:to>
    <xdr:cxnSp macro="">
      <xdr:nvCxnSpPr>
        <xdr:cNvPr id="9178" name="OpenSolver62"/>
        <xdr:cNvCxnSpPr>
          <a:stCxn id="9176" idx="3"/>
          <a:endCxn id="9177" idx="1"/>
        </xdr:cNvCxnSpPr>
      </xdr:nvCxnSpPr>
      <xdr:spPr>
        <a:xfrm>
          <a:off x="4772025" y="13881100"/>
          <a:ext cx="615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71</xdr:row>
      <xdr:rowOff>171450</xdr:rowOff>
    </xdr:from>
    <xdr:to>
      <xdr:col>8</xdr:col>
      <xdr:colOff>498475</xdr:colOff>
      <xdr:row>73</xdr:row>
      <xdr:rowOff>44450</xdr:rowOff>
    </xdr:to>
    <xdr:sp macro="" textlink="">
      <xdr:nvSpPr>
        <xdr:cNvPr id="9179" name="OpenSolver63"/>
        <xdr:cNvSpPr/>
      </xdr:nvSpPr>
      <xdr:spPr>
        <a:xfrm>
          <a:off x="4889500" y="13754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73</xdr:row>
      <xdr:rowOff>25400</xdr:rowOff>
    </xdr:from>
    <xdr:to>
      <xdr:col>8</xdr:col>
      <xdr:colOff>0</xdr:colOff>
      <xdr:row>74</xdr:row>
      <xdr:rowOff>0</xdr:rowOff>
    </xdr:to>
    <xdr:sp macro="" textlink="">
      <xdr:nvSpPr>
        <xdr:cNvPr id="9180" name="OpenSolver64"/>
        <xdr:cNvSpPr/>
      </xdr:nvSpPr>
      <xdr:spPr>
        <a:xfrm>
          <a:off x="42068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</xdr:colOff>
      <xdr:row>73</xdr:row>
      <xdr:rowOff>25400</xdr:rowOff>
    </xdr:from>
    <xdr:to>
      <xdr:col>10</xdr:col>
      <xdr:colOff>0</xdr:colOff>
      <xdr:row>74</xdr:row>
      <xdr:rowOff>0</xdr:rowOff>
    </xdr:to>
    <xdr:sp macro="" textlink="">
      <xdr:nvSpPr>
        <xdr:cNvPr id="9181" name="OpenSolver65"/>
        <xdr:cNvSpPr/>
      </xdr:nvSpPr>
      <xdr:spPr>
        <a:xfrm>
          <a:off x="5387975" y="13989050"/>
          <a:ext cx="565150" cy="165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107950</xdr:rowOff>
    </xdr:from>
    <xdr:to>
      <xdr:col>9</xdr:col>
      <xdr:colOff>25400</xdr:colOff>
      <xdr:row>73</xdr:row>
      <xdr:rowOff>107950</xdr:rowOff>
    </xdr:to>
    <xdr:cxnSp macro="">
      <xdr:nvCxnSpPr>
        <xdr:cNvPr id="9182" name="OpenSolver66"/>
        <xdr:cNvCxnSpPr>
          <a:stCxn id="9180" idx="3"/>
          <a:endCxn id="9181" idx="1"/>
        </xdr:cNvCxnSpPr>
      </xdr:nvCxnSpPr>
      <xdr:spPr>
        <a:xfrm>
          <a:off x="4772025" y="14071600"/>
          <a:ext cx="615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72</xdr:row>
      <xdr:rowOff>171450</xdr:rowOff>
    </xdr:from>
    <xdr:to>
      <xdr:col>8</xdr:col>
      <xdr:colOff>498475</xdr:colOff>
      <xdr:row>74</xdr:row>
      <xdr:rowOff>44450</xdr:rowOff>
    </xdr:to>
    <xdr:sp macro="" textlink="">
      <xdr:nvSpPr>
        <xdr:cNvPr id="9183" name="OpenSolver67"/>
        <xdr:cNvSpPr/>
      </xdr:nvSpPr>
      <xdr:spPr>
        <a:xfrm>
          <a:off x="4889500" y="139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74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184" name="OpenSolver68"/>
        <xdr:cNvSpPr/>
      </xdr:nvSpPr>
      <xdr:spPr>
        <a:xfrm>
          <a:off x="42068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</xdr:colOff>
      <xdr:row>74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185" name="OpenSolver69"/>
        <xdr:cNvSpPr/>
      </xdr:nvSpPr>
      <xdr:spPr>
        <a:xfrm>
          <a:off x="5387975" y="14179550"/>
          <a:ext cx="565150" cy="12166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</xdr:rowOff>
    </xdr:from>
    <xdr:to>
      <xdr:col>9</xdr:col>
      <xdr:colOff>25400</xdr:colOff>
      <xdr:row>106</xdr:row>
      <xdr:rowOff>12700</xdr:rowOff>
    </xdr:to>
    <xdr:cxnSp macro="">
      <xdr:nvCxnSpPr>
        <xdr:cNvPr id="9186" name="OpenSolver70"/>
        <xdr:cNvCxnSpPr>
          <a:stCxn id="9184" idx="3"/>
          <a:endCxn id="9185" idx="1"/>
        </xdr:cNvCxnSpPr>
      </xdr:nvCxnSpPr>
      <xdr:spPr>
        <a:xfrm>
          <a:off x="4772025" y="20262850"/>
          <a:ext cx="615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105</xdr:row>
      <xdr:rowOff>76200</xdr:rowOff>
    </xdr:from>
    <xdr:to>
      <xdr:col>8</xdr:col>
      <xdr:colOff>498475</xdr:colOff>
      <xdr:row>106</xdr:row>
      <xdr:rowOff>139700</xdr:rowOff>
    </xdr:to>
    <xdr:sp macro="" textlink="">
      <xdr:nvSpPr>
        <xdr:cNvPr id="9187" name="OpenSolver71"/>
        <xdr:cNvSpPr/>
      </xdr:nvSpPr>
      <xdr:spPr>
        <a:xfrm>
          <a:off x="4889500" y="2013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</xdr:colOff>
      <xdr:row>138</xdr:row>
      <xdr:rowOff>25400</xdr:rowOff>
    </xdr:from>
    <xdr:to>
      <xdr:col>8</xdr:col>
      <xdr:colOff>0</xdr:colOff>
      <xdr:row>139</xdr:row>
      <xdr:rowOff>0</xdr:rowOff>
    </xdr:to>
    <xdr:sp macro="" textlink="">
      <xdr:nvSpPr>
        <xdr:cNvPr id="9188" name="OpenSolver72"/>
        <xdr:cNvSpPr/>
      </xdr:nvSpPr>
      <xdr:spPr>
        <a:xfrm>
          <a:off x="42068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25400</xdr:colOff>
      <xdr:row>138</xdr:row>
      <xdr:rowOff>25400</xdr:rowOff>
    </xdr:from>
    <xdr:to>
      <xdr:col>10</xdr:col>
      <xdr:colOff>0</xdr:colOff>
      <xdr:row>139</xdr:row>
      <xdr:rowOff>0</xdr:rowOff>
    </xdr:to>
    <xdr:sp macro="" textlink="">
      <xdr:nvSpPr>
        <xdr:cNvPr id="9189" name="OpenSolver73"/>
        <xdr:cNvSpPr/>
      </xdr:nvSpPr>
      <xdr:spPr>
        <a:xfrm>
          <a:off x="5387975" y="26371550"/>
          <a:ext cx="565150" cy="1651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107950</xdr:rowOff>
    </xdr:from>
    <xdr:to>
      <xdr:col>9</xdr:col>
      <xdr:colOff>25400</xdr:colOff>
      <xdr:row>138</xdr:row>
      <xdr:rowOff>107950</xdr:rowOff>
    </xdr:to>
    <xdr:cxnSp macro="">
      <xdr:nvCxnSpPr>
        <xdr:cNvPr id="9190" name="OpenSolver74"/>
        <xdr:cNvCxnSpPr>
          <a:stCxn id="9188" idx="3"/>
          <a:endCxn id="9189" idx="1"/>
        </xdr:cNvCxnSpPr>
      </xdr:nvCxnSpPr>
      <xdr:spPr>
        <a:xfrm>
          <a:off x="4772025" y="26454100"/>
          <a:ext cx="615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117475</xdr:colOff>
      <xdr:row>137</xdr:row>
      <xdr:rowOff>171450</xdr:rowOff>
    </xdr:from>
    <xdr:to>
      <xdr:col>8</xdr:col>
      <xdr:colOff>498475</xdr:colOff>
      <xdr:row>139</xdr:row>
      <xdr:rowOff>44450</xdr:rowOff>
    </xdr:to>
    <xdr:sp macro="" textlink="">
      <xdr:nvSpPr>
        <xdr:cNvPr id="9191" name="OpenSolver75"/>
        <xdr:cNvSpPr/>
      </xdr:nvSpPr>
      <xdr:spPr>
        <a:xfrm>
          <a:off x="4889500" y="26327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6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192" name="OpenSolver76"/>
        <xdr:cNvSpPr/>
      </xdr:nvSpPr>
      <xdr:spPr>
        <a:xfrm>
          <a:off x="42195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38100</xdr:colOff>
      <xdr:row>6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193" name="OpenSolver77"/>
        <xdr:cNvSpPr/>
      </xdr:nvSpPr>
      <xdr:spPr>
        <a:xfrm>
          <a:off x="5400675" y="1219200"/>
          <a:ext cx="552450" cy="342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19050</xdr:rowOff>
    </xdr:from>
    <xdr:to>
      <xdr:col>9</xdr:col>
      <xdr:colOff>38100</xdr:colOff>
      <xdr:row>7</xdr:row>
      <xdr:rowOff>19050</xdr:rowOff>
    </xdr:to>
    <xdr:cxnSp macro="">
      <xdr:nvCxnSpPr>
        <xdr:cNvPr id="9194" name="OpenSolver78"/>
        <xdr:cNvCxnSpPr>
          <a:stCxn id="9192" idx="3"/>
          <a:endCxn id="9193" idx="1"/>
        </xdr:cNvCxnSpPr>
      </xdr:nvCxnSpPr>
      <xdr:spPr>
        <a:xfrm>
          <a:off x="4772025" y="1390650"/>
          <a:ext cx="628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6</xdr:row>
      <xdr:rowOff>82550</xdr:rowOff>
    </xdr:from>
    <xdr:to>
      <xdr:col>8</xdr:col>
      <xdr:colOff>504825</xdr:colOff>
      <xdr:row>7</xdr:row>
      <xdr:rowOff>146050</xdr:rowOff>
    </xdr:to>
    <xdr:sp macro="" textlink="">
      <xdr:nvSpPr>
        <xdr:cNvPr id="9195" name="OpenSolver79"/>
        <xdr:cNvSpPr/>
      </xdr:nvSpPr>
      <xdr:spPr>
        <a:xfrm>
          <a:off x="4895850" y="12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8</xdr:row>
      <xdr:rowOff>38100</xdr:rowOff>
    </xdr:from>
    <xdr:to>
      <xdr:col>8</xdr:col>
      <xdr:colOff>0</xdr:colOff>
      <xdr:row>72</xdr:row>
      <xdr:rowOff>0</xdr:rowOff>
    </xdr:to>
    <xdr:sp macro="" textlink="">
      <xdr:nvSpPr>
        <xdr:cNvPr id="9196" name="OpenSolver80"/>
        <xdr:cNvSpPr/>
      </xdr:nvSpPr>
      <xdr:spPr>
        <a:xfrm>
          <a:off x="42195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38100</xdr:colOff>
      <xdr:row>8</xdr:row>
      <xdr:rowOff>38100</xdr:rowOff>
    </xdr:from>
    <xdr:to>
      <xdr:col>10</xdr:col>
      <xdr:colOff>0</xdr:colOff>
      <xdr:row>72</xdr:row>
      <xdr:rowOff>0</xdr:rowOff>
    </xdr:to>
    <xdr:sp macro="" textlink="">
      <xdr:nvSpPr>
        <xdr:cNvPr id="9197" name="OpenSolver81"/>
        <xdr:cNvSpPr/>
      </xdr:nvSpPr>
      <xdr:spPr>
        <a:xfrm>
          <a:off x="5400675" y="1600200"/>
          <a:ext cx="552450" cy="121729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</xdr:rowOff>
    </xdr:from>
    <xdr:to>
      <xdr:col>9</xdr:col>
      <xdr:colOff>38100</xdr:colOff>
      <xdr:row>40</xdr:row>
      <xdr:rowOff>9525</xdr:rowOff>
    </xdr:to>
    <xdr:cxnSp macro="">
      <xdr:nvCxnSpPr>
        <xdr:cNvPr id="9198" name="OpenSolver82"/>
        <xdr:cNvCxnSpPr>
          <a:stCxn id="9196" idx="3"/>
          <a:endCxn id="9197" idx="1"/>
        </xdr:cNvCxnSpPr>
      </xdr:nvCxnSpPr>
      <xdr:spPr>
        <a:xfrm>
          <a:off x="4772025" y="7686675"/>
          <a:ext cx="628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39</xdr:row>
      <xdr:rowOff>73025</xdr:rowOff>
    </xdr:from>
    <xdr:to>
      <xdr:col>8</xdr:col>
      <xdr:colOff>504825</xdr:colOff>
      <xdr:row>40</xdr:row>
      <xdr:rowOff>136525</xdr:rowOff>
    </xdr:to>
    <xdr:sp macro="" textlink="">
      <xdr:nvSpPr>
        <xdr:cNvPr id="9199" name="OpenSolver83"/>
        <xdr:cNvSpPr/>
      </xdr:nvSpPr>
      <xdr:spPr>
        <a:xfrm>
          <a:off x="4895850" y="7559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72</xdr:row>
      <xdr:rowOff>38100</xdr:rowOff>
    </xdr:from>
    <xdr:to>
      <xdr:col>8</xdr:col>
      <xdr:colOff>0</xdr:colOff>
      <xdr:row>73</xdr:row>
      <xdr:rowOff>0</xdr:rowOff>
    </xdr:to>
    <xdr:sp macro="" textlink="">
      <xdr:nvSpPr>
        <xdr:cNvPr id="9200" name="OpenSolver84"/>
        <xdr:cNvSpPr/>
      </xdr:nvSpPr>
      <xdr:spPr>
        <a:xfrm>
          <a:off x="42195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</xdr:colOff>
      <xdr:row>72</xdr:row>
      <xdr:rowOff>38100</xdr:rowOff>
    </xdr:from>
    <xdr:to>
      <xdr:col>10</xdr:col>
      <xdr:colOff>0</xdr:colOff>
      <xdr:row>73</xdr:row>
      <xdr:rowOff>0</xdr:rowOff>
    </xdr:to>
    <xdr:sp macro="" textlink="">
      <xdr:nvSpPr>
        <xdr:cNvPr id="9201" name="OpenSolver85"/>
        <xdr:cNvSpPr/>
      </xdr:nvSpPr>
      <xdr:spPr>
        <a:xfrm>
          <a:off x="5400675" y="13811250"/>
          <a:ext cx="552450" cy="152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114300</xdr:rowOff>
    </xdr:from>
    <xdr:to>
      <xdr:col>9</xdr:col>
      <xdr:colOff>38100</xdr:colOff>
      <xdr:row>72</xdr:row>
      <xdr:rowOff>114300</xdr:rowOff>
    </xdr:to>
    <xdr:cxnSp macro="">
      <xdr:nvCxnSpPr>
        <xdr:cNvPr id="9202" name="OpenSolver86"/>
        <xdr:cNvCxnSpPr>
          <a:stCxn id="9200" idx="3"/>
          <a:endCxn id="9201" idx="1"/>
        </xdr:cNvCxnSpPr>
      </xdr:nvCxnSpPr>
      <xdr:spPr>
        <a:xfrm>
          <a:off x="4772025" y="13887450"/>
          <a:ext cx="628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71</xdr:row>
      <xdr:rowOff>177800</xdr:rowOff>
    </xdr:from>
    <xdr:to>
      <xdr:col>8</xdr:col>
      <xdr:colOff>504825</xdr:colOff>
      <xdr:row>73</xdr:row>
      <xdr:rowOff>50800</xdr:rowOff>
    </xdr:to>
    <xdr:sp macro="" textlink="">
      <xdr:nvSpPr>
        <xdr:cNvPr id="9203" name="OpenSolver87"/>
        <xdr:cNvSpPr/>
      </xdr:nvSpPr>
      <xdr:spPr>
        <a:xfrm>
          <a:off x="4895850" y="13760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73</xdr:row>
      <xdr:rowOff>38100</xdr:rowOff>
    </xdr:from>
    <xdr:to>
      <xdr:col>8</xdr:col>
      <xdr:colOff>0</xdr:colOff>
      <xdr:row>74</xdr:row>
      <xdr:rowOff>0</xdr:rowOff>
    </xdr:to>
    <xdr:sp macro="" textlink="">
      <xdr:nvSpPr>
        <xdr:cNvPr id="9204" name="OpenSolver88"/>
        <xdr:cNvSpPr/>
      </xdr:nvSpPr>
      <xdr:spPr>
        <a:xfrm>
          <a:off x="42195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38100</xdr:colOff>
      <xdr:row>73</xdr:row>
      <xdr:rowOff>38100</xdr:rowOff>
    </xdr:from>
    <xdr:to>
      <xdr:col>10</xdr:col>
      <xdr:colOff>0</xdr:colOff>
      <xdr:row>74</xdr:row>
      <xdr:rowOff>0</xdr:rowOff>
    </xdr:to>
    <xdr:sp macro="" textlink="">
      <xdr:nvSpPr>
        <xdr:cNvPr id="9205" name="OpenSolver89"/>
        <xdr:cNvSpPr/>
      </xdr:nvSpPr>
      <xdr:spPr>
        <a:xfrm>
          <a:off x="5400675" y="14001750"/>
          <a:ext cx="552450" cy="152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114300</xdr:rowOff>
    </xdr:from>
    <xdr:to>
      <xdr:col>9</xdr:col>
      <xdr:colOff>38100</xdr:colOff>
      <xdr:row>73</xdr:row>
      <xdr:rowOff>114300</xdr:rowOff>
    </xdr:to>
    <xdr:cxnSp macro="">
      <xdr:nvCxnSpPr>
        <xdr:cNvPr id="9206" name="OpenSolver90"/>
        <xdr:cNvCxnSpPr>
          <a:stCxn id="9204" idx="3"/>
          <a:endCxn id="9205" idx="1"/>
        </xdr:cNvCxnSpPr>
      </xdr:nvCxnSpPr>
      <xdr:spPr>
        <a:xfrm>
          <a:off x="4772025" y="14077950"/>
          <a:ext cx="628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72</xdr:row>
      <xdr:rowOff>177800</xdr:rowOff>
    </xdr:from>
    <xdr:to>
      <xdr:col>8</xdr:col>
      <xdr:colOff>504825</xdr:colOff>
      <xdr:row>74</xdr:row>
      <xdr:rowOff>50800</xdr:rowOff>
    </xdr:to>
    <xdr:sp macro="" textlink="">
      <xdr:nvSpPr>
        <xdr:cNvPr id="9207" name="OpenSolver91"/>
        <xdr:cNvSpPr/>
      </xdr:nvSpPr>
      <xdr:spPr>
        <a:xfrm>
          <a:off x="4895850" y="1395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74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208" name="OpenSolver92"/>
        <xdr:cNvSpPr/>
      </xdr:nvSpPr>
      <xdr:spPr>
        <a:xfrm>
          <a:off x="42195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38100</xdr:colOff>
      <xdr:row>74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209" name="OpenSolver93"/>
        <xdr:cNvSpPr/>
      </xdr:nvSpPr>
      <xdr:spPr>
        <a:xfrm>
          <a:off x="5400675" y="14192250"/>
          <a:ext cx="552450" cy="12153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19050</xdr:rowOff>
    </xdr:from>
    <xdr:to>
      <xdr:col>9</xdr:col>
      <xdr:colOff>38100</xdr:colOff>
      <xdr:row>106</xdr:row>
      <xdr:rowOff>19050</xdr:rowOff>
    </xdr:to>
    <xdr:cxnSp macro="">
      <xdr:nvCxnSpPr>
        <xdr:cNvPr id="9210" name="OpenSolver94"/>
        <xdr:cNvCxnSpPr>
          <a:stCxn id="9208" idx="3"/>
          <a:endCxn id="9209" idx="1"/>
        </xdr:cNvCxnSpPr>
      </xdr:nvCxnSpPr>
      <xdr:spPr>
        <a:xfrm>
          <a:off x="4772025" y="20269200"/>
          <a:ext cx="628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105</xdr:row>
      <xdr:rowOff>82550</xdr:rowOff>
    </xdr:from>
    <xdr:to>
      <xdr:col>8</xdr:col>
      <xdr:colOff>504825</xdr:colOff>
      <xdr:row>106</xdr:row>
      <xdr:rowOff>146050</xdr:rowOff>
    </xdr:to>
    <xdr:sp macro="" textlink="">
      <xdr:nvSpPr>
        <xdr:cNvPr id="9211" name="OpenSolver95"/>
        <xdr:cNvSpPr/>
      </xdr:nvSpPr>
      <xdr:spPr>
        <a:xfrm>
          <a:off x="4895850" y="2014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</xdr:colOff>
      <xdr:row>138</xdr:row>
      <xdr:rowOff>38100</xdr:rowOff>
    </xdr:from>
    <xdr:to>
      <xdr:col>8</xdr:col>
      <xdr:colOff>0</xdr:colOff>
      <xdr:row>139</xdr:row>
      <xdr:rowOff>0</xdr:rowOff>
    </xdr:to>
    <xdr:sp macro="" textlink="">
      <xdr:nvSpPr>
        <xdr:cNvPr id="9212" name="OpenSolver96"/>
        <xdr:cNvSpPr/>
      </xdr:nvSpPr>
      <xdr:spPr>
        <a:xfrm>
          <a:off x="42195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</xdr:colOff>
      <xdr:row>138</xdr:row>
      <xdr:rowOff>38100</xdr:rowOff>
    </xdr:from>
    <xdr:to>
      <xdr:col>10</xdr:col>
      <xdr:colOff>0</xdr:colOff>
      <xdr:row>139</xdr:row>
      <xdr:rowOff>0</xdr:rowOff>
    </xdr:to>
    <xdr:sp macro="" textlink="">
      <xdr:nvSpPr>
        <xdr:cNvPr id="9213" name="OpenSolver97"/>
        <xdr:cNvSpPr/>
      </xdr:nvSpPr>
      <xdr:spPr>
        <a:xfrm>
          <a:off x="5400675" y="26384250"/>
          <a:ext cx="552450" cy="1524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114300</xdr:rowOff>
    </xdr:from>
    <xdr:to>
      <xdr:col>9</xdr:col>
      <xdr:colOff>38100</xdr:colOff>
      <xdr:row>138</xdr:row>
      <xdr:rowOff>114300</xdr:rowOff>
    </xdr:to>
    <xdr:cxnSp macro="">
      <xdr:nvCxnSpPr>
        <xdr:cNvPr id="9214" name="OpenSolver98"/>
        <xdr:cNvCxnSpPr>
          <a:stCxn id="9212" idx="3"/>
          <a:endCxn id="9213" idx="1"/>
        </xdr:cNvCxnSpPr>
      </xdr:nvCxnSpPr>
      <xdr:spPr>
        <a:xfrm>
          <a:off x="4772025" y="26460450"/>
          <a:ext cx="628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123825</xdr:colOff>
      <xdr:row>137</xdr:row>
      <xdr:rowOff>177800</xdr:rowOff>
    </xdr:from>
    <xdr:to>
      <xdr:col>8</xdr:col>
      <xdr:colOff>504825</xdr:colOff>
      <xdr:row>139</xdr:row>
      <xdr:rowOff>50800</xdr:rowOff>
    </xdr:to>
    <xdr:sp macro="" textlink="">
      <xdr:nvSpPr>
        <xdr:cNvPr id="9215" name="OpenSolver99"/>
        <xdr:cNvSpPr/>
      </xdr:nvSpPr>
      <xdr:spPr>
        <a:xfrm>
          <a:off x="4895850" y="26333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6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216" name="OpenSolver100"/>
        <xdr:cNvSpPr/>
      </xdr:nvSpPr>
      <xdr:spPr>
        <a:xfrm>
          <a:off x="42322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</xdr:colOff>
      <xdr:row>6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217" name="OpenSolver101"/>
        <xdr:cNvSpPr/>
      </xdr:nvSpPr>
      <xdr:spPr>
        <a:xfrm>
          <a:off x="5413375" y="1231900"/>
          <a:ext cx="539750" cy="330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25400</xdr:rowOff>
    </xdr:from>
    <xdr:to>
      <xdr:col>9</xdr:col>
      <xdr:colOff>50800</xdr:colOff>
      <xdr:row>7</xdr:row>
      <xdr:rowOff>25400</xdr:rowOff>
    </xdr:to>
    <xdr:cxnSp macro="">
      <xdr:nvCxnSpPr>
        <xdr:cNvPr id="9218" name="OpenSolver102"/>
        <xdr:cNvCxnSpPr>
          <a:stCxn id="9216" idx="3"/>
          <a:endCxn id="9217" idx="1"/>
        </xdr:cNvCxnSpPr>
      </xdr:nvCxnSpPr>
      <xdr:spPr>
        <a:xfrm>
          <a:off x="4772025" y="1397000"/>
          <a:ext cx="641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6</xdr:row>
      <xdr:rowOff>88900</xdr:rowOff>
    </xdr:from>
    <xdr:to>
      <xdr:col>8</xdr:col>
      <xdr:colOff>511175</xdr:colOff>
      <xdr:row>7</xdr:row>
      <xdr:rowOff>152400</xdr:rowOff>
    </xdr:to>
    <xdr:sp macro="" textlink="">
      <xdr:nvSpPr>
        <xdr:cNvPr id="9219" name="OpenSolver103"/>
        <xdr:cNvSpPr/>
      </xdr:nvSpPr>
      <xdr:spPr>
        <a:xfrm>
          <a:off x="4902200" y="12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8</xdr:row>
      <xdr:rowOff>50800</xdr:rowOff>
    </xdr:from>
    <xdr:to>
      <xdr:col>8</xdr:col>
      <xdr:colOff>0</xdr:colOff>
      <xdr:row>72</xdr:row>
      <xdr:rowOff>0</xdr:rowOff>
    </xdr:to>
    <xdr:sp macro="" textlink="">
      <xdr:nvSpPr>
        <xdr:cNvPr id="9220" name="OpenSolver104"/>
        <xdr:cNvSpPr/>
      </xdr:nvSpPr>
      <xdr:spPr>
        <a:xfrm>
          <a:off x="42322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50800</xdr:colOff>
      <xdr:row>8</xdr:row>
      <xdr:rowOff>50800</xdr:rowOff>
    </xdr:from>
    <xdr:to>
      <xdr:col>10</xdr:col>
      <xdr:colOff>0</xdr:colOff>
      <xdr:row>72</xdr:row>
      <xdr:rowOff>0</xdr:rowOff>
    </xdr:to>
    <xdr:sp macro="" textlink="">
      <xdr:nvSpPr>
        <xdr:cNvPr id="9221" name="OpenSolver105"/>
        <xdr:cNvSpPr/>
      </xdr:nvSpPr>
      <xdr:spPr>
        <a:xfrm>
          <a:off x="5413375" y="1612900"/>
          <a:ext cx="539750" cy="121602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15875</xdr:rowOff>
    </xdr:from>
    <xdr:to>
      <xdr:col>9</xdr:col>
      <xdr:colOff>50800</xdr:colOff>
      <xdr:row>40</xdr:row>
      <xdr:rowOff>15875</xdr:rowOff>
    </xdr:to>
    <xdr:cxnSp macro="">
      <xdr:nvCxnSpPr>
        <xdr:cNvPr id="9222" name="OpenSolver106"/>
        <xdr:cNvCxnSpPr>
          <a:stCxn id="9220" idx="3"/>
          <a:endCxn id="9221" idx="1"/>
        </xdr:cNvCxnSpPr>
      </xdr:nvCxnSpPr>
      <xdr:spPr>
        <a:xfrm>
          <a:off x="4772025" y="7693025"/>
          <a:ext cx="641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39</xdr:row>
      <xdr:rowOff>79375</xdr:rowOff>
    </xdr:from>
    <xdr:to>
      <xdr:col>8</xdr:col>
      <xdr:colOff>511175</xdr:colOff>
      <xdr:row>40</xdr:row>
      <xdr:rowOff>142875</xdr:rowOff>
    </xdr:to>
    <xdr:sp macro="" textlink="">
      <xdr:nvSpPr>
        <xdr:cNvPr id="9223" name="OpenSolver107"/>
        <xdr:cNvSpPr/>
      </xdr:nvSpPr>
      <xdr:spPr>
        <a:xfrm>
          <a:off x="4902200" y="7566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72</xdr:row>
      <xdr:rowOff>50800</xdr:rowOff>
    </xdr:from>
    <xdr:to>
      <xdr:col>8</xdr:col>
      <xdr:colOff>0</xdr:colOff>
      <xdr:row>73</xdr:row>
      <xdr:rowOff>0</xdr:rowOff>
    </xdr:to>
    <xdr:sp macro="" textlink="">
      <xdr:nvSpPr>
        <xdr:cNvPr id="9224" name="OpenSolver108"/>
        <xdr:cNvSpPr/>
      </xdr:nvSpPr>
      <xdr:spPr>
        <a:xfrm>
          <a:off x="42322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50800</xdr:colOff>
      <xdr:row>72</xdr:row>
      <xdr:rowOff>50800</xdr:rowOff>
    </xdr:from>
    <xdr:to>
      <xdr:col>10</xdr:col>
      <xdr:colOff>0</xdr:colOff>
      <xdr:row>73</xdr:row>
      <xdr:rowOff>0</xdr:rowOff>
    </xdr:to>
    <xdr:sp macro="" textlink="">
      <xdr:nvSpPr>
        <xdr:cNvPr id="9225" name="OpenSolver109"/>
        <xdr:cNvSpPr/>
      </xdr:nvSpPr>
      <xdr:spPr>
        <a:xfrm>
          <a:off x="5413375" y="13823950"/>
          <a:ext cx="539750" cy="139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120650</xdr:rowOff>
    </xdr:from>
    <xdr:to>
      <xdr:col>9</xdr:col>
      <xdr:colOff>50800</xdr:colOff>
      <xdr:row>72</xdr:row>
      <xdr:rowOff>120650</xdr:rowOff>
    </xdr:to>
    <xdr:cxnSp macro="">
      <xdr:nvCxnSpPr>
        <xdr:cNvPr id="9226" name="OpenSolver110"/>
        <xdr:cNvCxnSpPr>
          <a:stCxn id="9224" idx="3"/>
          <a:endCxn id="9225" idx="1"/>
        </xdr:cNvCxnSpPr>
      </xdr:nvCxnSpPr>
      <xdr:spPr>
        <a:xfrm>
          <a:off x="4772025" y="13893800"/>
          <a:ext cx="641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71</xdr:row>
      <xdr:rowOff>184150</xdr:rowOff>
    </xdr:from>
    <xdr:to>
      <xdr:col>8</xdr:col>
      <xdr:colOff>511175</xdr:colOff>
      <xdr:row>73</xdr:row>
      <xdr:rowOff>57150</xdr:rowOff>
    </xdr:to>
    <xdr:sp macro="" textlink="">
      <xdr:nvSpPr>
        <xdr:cNvPr id="9227" name="OpenSolver111"/>
        <xdr:cNvSpPr/>
      </xdr:nvSpPr>
      <xdr:spPr>
        <a:xfrm>
          <a:off x="4902200" y="1376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73</xdr:row>
      <xdr:rowOff>50800</xdr:rowOff>
    </xdr:from>
    <xdr:to>
      <xdr:col>8</xdr:col>
      <xdr:colOff>0</xdr:colOff>
      <xdr:row>74</xdr:row>
      <xdr:rowOff>0</xdr:rowOff>
    </xdr:to>
    <xdr:sp macro="" textlink="">
      <xdr:nvSpPr>
        <xdr:cNvPr id="9228" name="OpenSolver112"/>
        <xdr:cNvSpPr/>
      </xdr:nvSpPr>
      <xdr:spPr>
        <a:xfrm>
          <a:off x="42322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</xdr:colOff>
      <xdr:row>73</xdr:row>
      <xdr:rowOff>50800</xdr:rowOff>
    </xdr:from>
    <xdr:to>
      <xdr:col>10</xdr:col>
      <xdr:colOff>0</xdr:colOff>
      <xdr:row>74</xdr:row>
      <xdr:rowOff>0</xdr:rowOff>
    </xdr:to>
    <xdr:sp macro="" textlink="">
      <xdr:nvSpPr>
        <xdr:cNvPr id="9229" name="OpenSolver113"/>
        <xdr:cNvSpPr/>
      </xdr:nvSpPr>
      <xdr:spPr>
        <a:xfrm>
          <a:off x="5413375" y="14014450"/>
          <a:ext cx="539750" cy="139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120650</xdr:rowOff>
    </xdr:from>
    <xdr:to>
      <xdr:col>9</xdr:col>
      <xdr:colOff>50800</xdr:colOff>
      <xdr:row>73</xdr:row>
      <xdr:rowOff>120650</xdr:rowOff>
    </xdr:to>
    <xdr:cxnSp macro="">
      <xdr:nvCxnSpPr>
        <xdr:cNvPr id="9230" name="OpenSolver114"/>
        <xdr:cNvCxnSpPr>
          <a:stCxn id="9228" idx="3"/>
          <a:endCxn id="9229" idx="1"/>
        </xdr:cNvCxnSpPr>
      </xdr:nvCxnSpPr>
      <xdr:spPr>
        <a:xfrm>
          <a:off x="4772025" y="14084300"/>
          <a:ext cx="641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72</xdr:row>
      <xdr:rowOff>184150</xdr:rowOff>
    </xdr:from>
    <xdr:to>
      <xdr:col>8</xdr:col>
      <xdr:colOff>511175</xdr:colOff>
      <xdr:row>74</xdr:row>
      <xdr:rowOff>57150</xdr:rowOff>
    </xdr:to>
    <xdr:sp macro="" textlink="">
      <xdr:nvSpPr>
        <xdr:cNvPr id="9231" name="OpenSolver115"/>
        <xdr:cNvSpPr/>
      </xdr:nvSpPr>
      <xdr:spPr>
        <a:xfrm>
          <a:off x="4902200" y="1395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74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232" name="OpenSolver116"/>
        <xdr:cNvSpPr/>
      </xdr:nvSpPr>
      <xdr:spPr>
        <a:xfrm>
          <a:off x="42322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50800</xdr:colOff>
      <xdr:row>74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233" name="OpenSolver117"/>
        <xdr:cNvSpPr/>
      </xdr:nvSpPr>
      <xdr:spPr>
        <a:xfrm>
          <a:off x="5413375" y="14204950"/>
          <a:ext cx="539750" cy="12141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25400</xdr:rowOff>
    </xdr:from>
    <xdr:to>
      <xdr:col>9</xdr:col>
      <xdr:colOff>50800</xdr:colOff>
      <xdr:row>106</xdr:row>
      <xdr:rowOff>25400</xdr:rowOff>
    </xdr:to>
    <xdr:cxnSp macro="">
      <xdr:nvCxnSpPr>
        <xdr:cNvPr id="9234" name="OpenSolver118"/>
        <xdr:cNvCxnSpPr>
          <a:stCxn id="9232" idx="3"/>
          <a:endCxn id="9233" idx="1"/>
        </xdr:cNvCxnSpPr>
      </xdr:nvCxnSpPr>
      <xdr:spPr>
        <a:xfrm>
          <a:off x="4772025" y="20275550"/>
          <a:ext cx="641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105</xdr:row>
      <xdr:rowOff>88900</xdr:rowOff>
    </xdr:from>
    <xdr:to>
      <xdr:col>8</xdr:col>
      <xdr:colOff>511175</xdr:colOff>
      <xdr:row>106</xdr:row>
      <xdr:rowOff>152400</xdr:rowOff>
    </xdr:to>
    <xdr:sp macro="" textlink="">
      <xdr:nvSpPr>
        <xdr:cNvPr id="9235" name="OpenSolver119"/>
        <xdr:cNvSpPr/>
      </xdr:nvSpPr>
      <xdr:spPr>
        <a:xfrm>
          <a:off x="4902200" y="2014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</xdr:colOff>
      <xdr:row>138</xdr:row>
      <xdr:rowOff>50800</xdr:rowOff>
    </xdr:from>
    <xdr:to>
      <xdr:col>8</xdr:col>
      <xdr:colOff>0</xdr:colOff>
      <xdr:row>139</xdr:row>
      <xdr:rowOff>0</xdr:rowOff>
    </xdr:to>
    <xdr:sp macro="" textlink="">
      <xdr:nvSpPr>
        <xdr:cNvPr id="9236" name="OpenSolver120"/>
        <xdr:cNvSpPr/>
      </xdr:nvSpPr>
      <xdr:spPr>
        <a:xfrm>
          <a:off x="42322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50800</xdr:colOff>
      <xdr:row>138</xdr:row>
      <xdr:rowOff>50800</xdr:rowOff>
    </xdr:from>
    <xdr:to>
      <xdr:col>10</xdr:col>
      <xdr:colOff>0</xdr:colOff>
      <xdr:row>139</xdr:row>
      <xdr:rowOff>0</xdr:rowOff>
    </xdr:to>
    <xdr:sp macro="" textlink="">
      <xdr:nvSpPr>
        <xdr:cNvPr id="9237" name="OpenSolver121"/>
        <xdr:cNvSpPr/>
      </xdr:nvSpPr>
      <xdr:spPr>
        <a:xfrm>
          <a:off x="5413375" y="26396950"/>
          <a:ext cx="539750" cy="1397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120650</xdr:rowOff>
    </xdr:from>
    <xdr:to>
      <xdr:col>9</xdr:col>
      <xdr:colOff>50800</xdr:colOff>
      <xdr:row>138</xdr:row>
      <xdr:rowOff>120650</xdr:rowOff>
    </xdr:to>
    <xdr:cxnSp macro="">
      <xdr:nvCxnSpPr>
        <xdr:cNvPr id="9238" name="OpenSolver122"/>
        <xdr:cNvCxnSpPr>
          <a:stCxn id="9236" idx="3"/>
          <a:endCxn id="9237" idx="1"/>
        </xdr:cNvCxnSpPr>
      </xdr:nvCxnSpPr>
      <xdr:spPr>
        <a:xfrm>
          <a:off x="4772025" y="26466800"/>
          <a:ext cx="641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130175</xdr:colOff>
      <xdr:row>137</xdr:row>
      <xdr:rowOff>184150</xdr:rowOff>
    </xdr:from>
    <xdr:to>
      <xdr:col>8</xdr:col>
      <xdr:colOff>511175</xdr:colOff>
      <xdr:row>139</xdr:row>
      <xdr:rowOff>57150</xdr:rowOff>
    </xdr:to>
    <xdr:sp macro="" textlink="">
      <xdr:nvSpPr>
        <xdr:cNvPr id="9239" name="OpenSolver123"/>
        <xdr:cNvSpPr/>
      </xdr:nvSpPr>
      <xdr:spPr>
        <a:xfrm>
          <a:off x="4902200" y="26339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6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240" name="OpenSolver124"/>
        <xdr:cNvSpPr/>
      </xdr:nvSpPr>
      <xdr:spPr>
        <a:xfrm>
          <a:off x="42449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63500</xdr:colOff>
      <xdr:row>6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241" name="OpenSolver125"/>
        <xdr:cNvSpPr/>
      </xdr:nvSpPr>
      <xdr:spPr>
        <a:xfrm>
          <a:off x="5426075" y="1244600"/>
          <a:ext cx="527050" cy="3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31750</xdr:rowOff>
    </xdr:from>
    <xdr:to>
      <xdr:col>9</xdr:col>
      <xdr:colOff>63500</xdr:colOff>
      <xdr:row>7</xdr:row>
      <xdr:rowOff>31750</xdr:rowOff>
    </xdr:to>
    <xdr:cxnSp macro="">
      <xdr:nvCxnSpPr>
        <xdr:cNvPr id="9242" name="OpenSolver126"/>
        <xdr:cNvCxnSpPr>
          <a:stCxn id="9240" idx="3"/>
          <a:endCxn id="9241" idx="1"/>
        </xdr:cNvCxnSpPr>
      </xdr:nvCxnSpPr>
      <xdr:spPr>
        <a:xfrm>
          <a:off x="4772025" y="1403350"/>
          <a:ext cx="6540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6</xdr:row>
      <xdr:rowOff>95250</xdr:rowOff>
    </xdr:from>
    <xdr:to>
      <xdr:col>8</xdr:col>
      <xdr:colOff>517525</xdr:colOff>
      <xdr:row>7</xdr:row>
      <xdr:rowOff>158750</xdr:rowOff>
    </xdr:to>
    <xdr:sp macro="" textlink="">
      <xdr:nvSpPr>
        <xdr:cNvPr id="9243" name="OpenSolver127"/>
        <xdr:cNvSpPr/>
      </xdr:nvSpPr>
      <xdr:spPr>
        <a:xfrm>
          <a:off x="4908550" y="12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8</xdr:row>
      <xdr:rowOff>63500</xdr:rowOff>
    </xdr:from>
    <xdr:to>
      <xdr:col>8</xdr:col>
      <xdr:colOff>0</xdr:colOff>
      <xdr:row>72</xdr:row>
      <xdr:rowOff>0</xdr:rowOff>
    </xdr:to>
    <xdr:sp macro="" textlink="">
      <xdr:nvSpPr>
        <xdr:cNvPr id="9244" name="OpenSolver128"/>
        <xdr:cNvSpPr/>
      </xdr:nvSpPr>
      <xdr:spPr>
        <a:xfrm>
          <a:off x="42449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63500</xdr:colOff>
      <xdr:row>8</xdr:row>
      <xdr:rowOff>63500</xdr:rowOff>
    </xdr:from>
    <xdr:to>
      <xdr:col>10</xdr:col>
      <xdr:colOff>0</xdr:colOff>
      <xdr:row>72</xdr:row>
      <xdr:rowOff>0</xdr:rowOff>
    </xdr:to>
    <xdr:sp macro="" textlink="">
      <xdr:nvSpPr>
        <xdr:cNvPr id="9245" name="OpenSolver129"/>
        <xdr:cNvSpPr/>
      </xdr:nvSpPr>
      <xdr:spPr>
        <a:xfrm>
          <a:off x="5426075" y="1625600"/>
          <a:ext cx="527050" cy="121475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22225</xdr:rowOff>
    </xdr:from>
    <xdr:to>
      <xdr:col>9</xdr:col>
      <xdr:colOff>63500</xdr:colOff>
      <xdr:row>40</xdr:row>
      <xdr:rowOff>22225</xdr:rowOff>
    </xdr:to>
    <xdr:cxnSp macro="">
      <xdr:nvCxnSpPr>
        <xdr:cNvPr id="9246" name="OpenSolver130"/>
        <xdr:cNvCxnSpPr>
          <a:stCxn id="9244" idx="3"/>
          <a:endCxn id="9245" idx="1"/>
        </xdr:cNvCxnSpPr>
      </xdr:nvCxnSpPr>
      <xdr:spPr>
        <a:xfrm>
          <a:off x="4772025" y="7699375"/>
          <a:ext cx="654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39</xdr:row>
      <xdr:rowOff>85725</xdr:rowOff>
    </xdr:from>
    <xdr:to>
      <xdr:col>8</xdr:col>
      <xdr:colOff>517525</xdr:colOff>
      <xdr:row>40</xdr:row>
      <xdr:rowOff>149225</xdr:rowOff>
    </xdr:to>
    <xdr:sp macro="" textlink="">
      <xdr:nvSpPr>
        <xdr:cNvPr id="9247" name="OpenSolver131"/>
        <xdr:cNvSpPr/>
      </xdr:nvSpPr>
      <xdr:spPr>
        <a:xfrm>
          <a:off x="4908550" y="757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72</xdr:row>
      <xdr:rowOff>63500</xdr:rowOff>
    </xdr:from>
    <xdr:to>
      <xdr:col>8</xdr:col>
      <xdr:colOff>0</xdr:colOff>
      <xdr:row>73</xdr:row>
      <xdr:rowOff>0</xdr:rowOff>
    </xdr:to>
    <xdr:sp macro="" textlink="">
      <xdr:nvSpPr>
        <xdr:cNvPr id="9248" name="OpenSolver132"/>
        <xdr:cNvSpPr/>
      </xdr:nvSpPr>
      <xdr:spPr>
        <a:xfrm>
          <a:off x="42449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63500</xdr:colOff>
      <xdr:row>72</xdr:row>
      <xdr:rowOff>63500</xdr:rowOff>
    </xdr:from>
    <xdr:to>
      <xdr:col>10</xdr:col>
      <xdr:colOff>0</xdr:colOff>
      <xdr:row>73</xdr:row>
      <xdr:rowOff>0</xdr:rowOff>
    </xdr:to>
    <xdr:sp macro="" textlink="">
      <xdr:nvSpPr>
        <xdr:cNvPr id="9249" name="OpenSolver133"/>
        <xdr:cNvSpPr/>
      </xdr:nvSpPr>
      <xdr:spPr>
        <a:xfrm>
          <a:off x="5426075" y="13836650"/>
          <a:ext cx="527050" cy="127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127000</xdr:rowOff>
    </xdr:from>
    <xdr:to>
      <xdr:col>9</xdr:col>
      <xdr:colOff>63500</xdr:colOff>
      <xdr:row>72</xdr:row>
      <xdr:rowOff>127000</xdr:rowOff>
    </xdr:to>
    <xdr:cxnSp macro="">
      <xdr:nvCxnSpPr>
        <xdr:cNvPr id="9250" name="OpenSolver134"/>
        <xdr:cNvCxnSpPr>
          <a:stCxn id="9248" idx="3"/>
          <a:endCxn id="9249" idx="1"/>
        </xdr:cNvCxnSpPr>
      </xdr:nvCxnSpPr>
      <xdr:spPr>
        <a:xfrm>
          <a:off x="4772025" y="13900150"/>
          <a:ext cx="654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72</xdr:row>
      <xdr:rowOff>0</xdr:rowOff>
    </xdr:from>
    <xdr:to>
      <xdr:col>8</xdr:col>
      <xdr:colOff>517525</xdr:colOff>
      <xdr:row>73</xdr:row>
      <xdr:rowOff>63500</xdr:rowOff>
    </xdr:to>
    <xdr:sp macro="" textlink="">
      <xdr:nvSpPr>
        <xdr:cNvPr id="9251" name="OpenSolver135"/>
        <xdr:cNvSpPr/>
      </xdr:nvSpPr>
      <xdr:spPr>
        <a:xfrm>
          <a:off x="4908550" y="1377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73</xdr:row>
      <xdr:rowOff>63500</xdr:rowOff>
    </xdr:from>
    <xdr:to>
      <xdr:col>8</xdr:col>
      <xdr:colOff>0</xdr:colOff>
      <xdr:row>74</xdr:row>
      <xdr:rowOff>0</xdr:rowOff>
    </xdr:to>
    <xdr:sp macro="" textlink="">
      <xdr:nvSpPr>
        <xdr:cNvPr id="9252" name="OpenSolver136"/>
        <xdr:cNvSpPr/>
      </xdr:nvSpPr>
      <xdr:spPr>
        <a:xfrm>
          <a:off x="42449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63500</xdr:colOff>
      <xdr:row>73</xdr:row>
      <xdr:rowOff>63500</xdr:rowOff>
    </xdr:from>
    <xdr:to>
      <xdr:col>10</xdr:col>
      <xdr:colOff>0</xdr:colOff>
      <xdr:row>74</xdr:row>
      <xdr:rowOff>0</xdr:rowOff>
    </xdr:to>
    <xdr:sp macro="" textlink="">
      <xdr:nvSpPr>
        <xdr:cNvPr id="9253" name="OpenSolver137"/>
        <xdr:cNvSpPr/>
      </xdr:nvSpPr>
      <xdr:spPr>
        <a:xfrm>
          <a:off x="5426075" y="14027150"/>
          <a:ext cx="527050" cy="127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127000</xdr:rowOff>
    </xdr:from>
    <xdr:to>
      <xdr:col>9</xdr:col>
      <xdr:colOff>63500</xdr:colOff>
      <xdr:row>73</xdr:row>
      <xdr:rowOff>127000</xdr:rowOff>
    </xdr:to>
    <xdr:cxnSp macro="">
      <xdr:nvCxnSpPr>
        <xdr:cNvPr id="9254" name="OpenSolver138"/>
        <xdr:cNvCxnSpPr>
          <a:stCxn id="9252" idx="3"/>
          <a:endCxn id="9253" idx="1"/>
        </xdr:cNvCxnSpPr>
      </xdr:nvCxnSpPr>
      <xdr:spPr>
        <a:xfrm>
          <a:off x="4772025" y="14090650"/>
          <a:ext cx="654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73</xdr:row>
      <xdr:rowOff>0</xdr:rowOff>
    </xdr:from>
    <xdr:to>
      <xdr:col>8</xdr:col>
      <xdr:colOff>517525</xdr:colOff>
      <xdr:row>74</xdr:row>
      <xdr:rowOff>63500</xdr:rowOff>
    </xdr:to>
    <xdr:sp macro="" textlink="">
      <xdr:nvSpPr>
        <xdr:cNvPr id="9255" name="OpenSolver139"/>
        <xdr:cNvSpPr/>
      </xdr:nvSpPr>
      <xdr:spPr>
        <a:xfrm>
          <a:off x="4908550" y="1396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74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256" name="OpenSolver140"/>
        <xdr:cNvSpPr/>
      </xdr:nvSpPr>
      <xdr:spPr>
        <a:xfrm>
          <a:off x="42449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63500</xdr:colOff>
      <xdr:row>74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257" name="OpenSolver141"/>
        <xdr:cNvSpPr/>
      </xdr:nvSpPr>
      <xdr:spPr>
        <a:xfrm>
          <a:off x="5426075" y="14217650"/>
          <a:ext cx="527050" cy="12128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31750</xdr:rowOff>
    </xdr:from>
    <xdr:to>
      <xdr:col>9</xdr:col>
      <xdr:colOff>63500</xdr:colOff>
      <xdr:row>106</xdr:row>
      <xdr:rowOff>31750</xdr:rowOff>
    </xdr:to>
    <xdr:cxnSp macro="">
      <xdr:nvCxnSpPr>
        <xdr:cNvPr id="9258" name="OpenSolver142"/>
        <xdr:cNvCxnSpPr>
          <a:stCxn id="9256" idx="3"/>
          <a:endCxn id="9257" idx="1"/>
        </xdr:cNvCxnSpPr>
      </xdr:nvCxnSpPr>
      <xdr:spPr>
        <a:xfrm>
          <a:off x="4772025" y="20281900"/>
          <a:ext cx="654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105</xdr:row>
      <xdr:rowOff>95250</xdr:rowOff>
    </xdr:from>
    <xdr:to>
      <xdr:col>8</xdr:col>
      <xdr:colOff>517525</xdr:colOff>
      <xdr:row>106</xdr:row>
      <xdr:rowOff>158750</xdr:rowOff>
    </xdr:to>
    <xdr:sp macro="" textlink="">
      <xdr:nvSpPr>
        <xdr:cNvPr id="9259" name="OpenSolver143"/>
        <xdr:cNvSpPr/>
      </xdr:nvSpPr>
      <xdr:spPr>
        <a:xfrm>
          <a:off x="4908550" y="2015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63500</xdr:colOff>
      <xdr:row>138</xdr:row>
      <xdr:rowOff>63500</xdr:rowOff>
    </xdr:from>
    <xdr:to>
      <xdr:col>8</xdr:col>
      <xdr:colOff>0</xdr:colOff>
      <xdr:row>139</xdr:row>
      <xdr:rowOff>0</xdr:rowOff>
    </xdr:to>
    <xdr:sp macro="" textlink="">
      <xdr:nvSpPr>
        <xdr:cNvPr id="9260" name="OpenSolver144"/>
        <xdr:cNvSpPr/>
      </xdr:nvSpPr>
      <xdr:spPr>
        <a:xfrm>
          <a:off x="42449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63500</xdr:colOff>
      <xdr:row>138</xdr:row>
      <xdr:rowOff>63500</xdr:rowOff>
    </xdr:from>
    <xdr:to>
      <xdr:col>10</xdr:col>
      <xdr:colOff>0</xdr:colOff>
      <xdr:row>139</xdr:row>
      <xdr:rowOff>0</xdr:rowOff>
    </xdr:to>
    <xdr:sp macro="" textlink="">
      <xdr:nvSpPr>
        <xdr:cNvPr id="9261" name="OpenSolver145"/>
        <xdr:cNvSpPr/>
      </xdr:nvSpPr>
      <xdr:spPr>
        <a:xfrm>
          <a:off x="5426075" y="26409650"/>
          <a:ext cx="527050" cy="127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127000</xdr:rowOff>
    </xdr:from>
    <xdr:to>
      <xdr:col>9</xdr:col>
      <xdr:colOff>63500</xdr:colOff>
      <xdr:row>138</xdr:row>
      <xdr:rowOff>127000</xdr:rowOff>
    </xdr:to>
    <xdr:cxnSp macro="">
      <xdr:nvCxnSpPr>
        <xdr:cNvPr id="9262" name="OpenSolver146"/>
        <xdr:cNvCxnSpPr>
          <a:stCxn id="9260" idx="3"/>
          <a:endCxn id="9261" idx="1"/>
        </xdr:cNvCxnSpPr>
      </xdr:nvCxnSpPr>
      <xdr:spPr>
        <a:xfrm>
          <a:off x="4772025" y="26473150"/>
          <a:ext cx="654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136525</xdr:colOff>
      <xdr:row>138</xdr:row>
      <xdr:rowOff>0</xdr:rowOff>
    </xdr:from>
    <xdr:to>
      <xdr:col>8</xdr:col>
      <xdr:colOff>517525</xdr:colOff>
      <xdr:row>139</xdr:row>
      <xdr:rowOff>63500</xdr:rowOff>
    </xdr:to>
    <xdr:sp macro="" textlink="">
      <xdr:nvSpPr>
        <xdr:cNvPr id="9263" name="OpenSolver147"/>
        <xdr:cNvSpPr/>
      </xdr:nvSpPr>
      <xdr:spPr>
        <a:xfrm>
          <a:off x="4908550" y="26346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6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264" name="OpenSolver148"/>
        <xdr:cNvSpPr/>
      </xdr:nvSpPr>
      <xdr:spPr>
        <a:xfrm>
          <a:off x="42576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76200</xdr:colOff>
      <xdr:row>6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265" name="OpenSolver149"/>
        <xdr:cNvSpPr/>
      </xdr:nvSpPr>
      <xdr:spPr>
        <a:xfrm>
          <a:off x="5438775" y="1257300"/>
          <a:ext cx="514350" cy="304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38100</xdr:rowOff>
    </xdr:from>
    <xdr:to>
      <xdr:col>9</xdr:col>
      <xdr:colOff>76200</xdr:colOff>
      <xdr:row>7</xdr:row>
      <xdr:rowOff>38100</xdr:rowOff>
    </xdr:to>
    <xdr:cxnSp macro="">
      <xdr:nvCxnSpPr>
        <xdr:cNvPr id="9266" name="OpenSolver150"/>
        <xdr:cNvCxnSpPr>
          <a:stCxn id="9264" idx="3"/>
          <a:endCxn id="9265" idx="1"/>
        </xdr:cNvCxnSpPr>
      </xdr:nvCxnSpPr>
      <xdr:spPr>
        <a:xfrm>
          <a:off x="4772025" y="1409700"/>
          <a:ext cx="6667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6</xdr:row>
      <xdr:rowOff>101600</xdr:rowOff>
    </xdr:from>
    <xdr:to>
      <xdr:col>8</xdr:col>
      <xdr:colOff>523875</xdr:colOff>
      <xdr:row>7</xdr:row>
      <xdr:rowOff>165100</xdr:rowOff>
    </xdr:to>
    <xdr:sp macro="" textlink="">
      <xdr:nvSpPr>
        <xdr:cNvPr id="9267" name="OpenSolver151"/>
        <xdr:cNvSpPr/>
      </xdr:nvSpPr>
      <xdr:spPr>
        <a:xfrm>
          <a:off x="4914900" y="12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8</xdr:row>
      <xdr:rowOff>76200</xdr:rowOff>
    </xdr:from>
    <xdr:to>
      <xdr:col>8</xdr:col>
      <xdr:colOff>0</xdr:colOff>
      <xdr:row>72</xdr:row>
      <xdr:rowOff>0</xdr:rowOff>
    </xdr:to>
    <xdr:sp macro="" textlink="">
      <xdr:nvSpPr>
        <xdr:cNvPr id="9268" name="OpenSolver152"/>
        <xdr:cNvSpPr/>
      </xdr:nvSpPr>
      <xdr:spPr>
        <a:xfrm>
          <a:off x="42576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76200</xdr:colOff>
      <xdr:row>8</xdr:row>
      <xdr:rowOff>76200</xdr:rowOff>
    </xdr:from>
    <xdr:to>
      <xdr:col>10</xdr:col>
      <xdr:colOff>0</xdr:colOff>
      <xdr:row>72</xdr:row>
      <xdr:rowOff>0</xdr:rowOff>
    </xdr:to>
    <xdr:sp macro="" textlink="">
      <xdr:nvSpPr>
        <xdr:cNvPr id="9269" name="OpenSolver153"/>
        <xdr:cNvSpPr/>
      </xdr:nvSpPr>
      <xdr:spPr>
        <a:xfrm>
          <a:off x="5438775" y="1638300"/>
          <a:ext cx="514350" cy="121348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28575</xdr:rowOff>
    </xdr:from>
    <xdr:to>
      <xdr:col>9</xdr:col>
      <xdr:colOff>76200</xdr:colOff>
      <xdr:row>40</xdr:row>
      <xdr:rowOff>28575</xdr:rowOff>
    </xdr:to>
    <xdr:cxnSp macro="">
      <xdr:nvCxnSpPr>
        <xdr:cNvPr id="9270" name="OpenSolver154"/>
        <xdr:cNvCxnSpPr>
          <a:stCxn id="9268" idx="3"/>
          <a:endCxn id="9269" idx="1"/>
        </xdr:cNvCxnSpPr>
      </xdr:nvCxnSpPr>
      <xdr:spPr>
        <a:xfrm>
          <a:off x="4772025" y="7705725"/>
          <a:ext cx="666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39</xdr:row>
      <xdr:rowOff>92075</xdr:rowOff>
    </xdr:from>
    <xdr:to>
      <xdr:col>8</xdr:col>
      <xdr:colOff>523875</xdr:colOff>
      <xdr:row>40</xdr:row>
      <xdr:rowOff>155575</xdr:rowOff>
    </xdr:to>
    <xdr:sp macro="" textlink="">
      <xdr:nvSpPr>
        <xdr:cNvPr id="9271" name="OpenSolver155"/>
        <xdr:cNvSpPr/>
      </xdr:nvSpPr>
      <xdr:spPr>
        <a:xfrm>
          <a:off x="4914900" y="7578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72</xdr:row>
      <xdr:rowOff>76200</xdr:rowOff>
    </xdr:from>
    <xdr:to>
      <xdr:col>8</xdr:col>
      <xdr:colOff>0</xdr:colOff>
      <xdr:row>73</xdr:row>
      <xdr:rowOff>0</xdr:rowOff>
    </xdr:to>
    <xdr:sp macro="" textlink="">
      <xdr:nvSpPr>
        <xdr:cNvPr id="9272" name="OpenSolver156"/>
        <xdr:cNvSpPr/>
      </xdr:nvSpPr>
      <xdr:spPr>
        <a:xfrm>
          <a:off x="42576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76200</xdr:colOff>
      <xdr:row>72</xdr:row>
      <xdr:rowOff>76200</xdr:rowOff>
    </xdr:from>
    <xdr:to>
      <xdr:col>10</xdr:col>
      <xdr:colOff>0</xdr:colOff>
      <xdr:row>73</xdr:row>
      <xdr:rowOff>0</xdr:rowOff>
    </xdr:to>
    <xdr:sp macro="" textlink="">
      <xdr:nvSpPr>
        <xdr:cNvPr id="9273" name="OpenSolver157"/>
        <xdr:cNvSpPr/>
      </xdr:nvSpPr>
      <xdr:spPr>
        <a:xfrm>
          <a:off x="5438775" y="13849350"/>
          <a:ext cx="514350" cy="114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133350</xdr:rowOff>
    </xdr:from>
    <xdr:to>
      <xdr:col>9</xdr:col>
      <xdr:colOff>76200</xdr:colOff>
      <xdr:row>72</xdr:row>
      <xdr:rowOff>133350</xdr:rowOff>
    </xdr:to>
    <xdr:cxnSp macro="">
      <xdr:nvCxnSpPr>
        <xdr:cNvPr id="9274" name="OpenSolver158"/>
        <xdr:cNvCxnSpPr>
          <a:stCxn id="9272" idx="3"/>
          <a:endCxn id="9273" idx="1"/>
        </xdr:cNvCxnSpPr>
      </xdr:nvCxnSpPr>
      <xdr:spPr>
        <a:xfrm>
          <a:off x="4772025" y="13906500"/>
          <a:ext cx="666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72</xdr:row>
      <xdr:rowOff>6350</xdr:rowOff>
    </xdr:from>
    <xdr:to>
      <xdr:col>8</xdr:col>
      <xdr:colOff>523875</xdr:colOff>
      <xdr:row>73</xdr:row>
      <xdr:rowOff>69850</xdr:rowOff>
    </xdr:to>
    <xdr:sp macro="" textlink="">
      <xdr:nvSpPr>
        <xdr:cNvPr id="9275" name="OpenSolver159"/>
        <xdr:cNvSpPr/>
      </xdr:nvSpPr>
      <xdr:spPr>
        <a:xfrm>
          <a:off x="4914900" y="13779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73</xdr:row>
      <xdr:rowOff>76200</xdr:rowOff>
    </xdr:from>
    <xdr:to>
      <xdr:col>8</xdr:col>
      <xdr:colOff>0</xdr:colOff>
      <xdr:row>74</xdr:row>
      <xdr:rowOff>0</xdr:rowOff>
    </xdr:to>
    <xdr:sp macro="" textlink="">
      <xdr:nvSpPr>
        <xdr:cNvPr id="9276" name="OpenSolver160"/>
        <xdr:cNvSpPr/>
      </xdr:nvSpPr>
      <xdr:spPr>
        <a:xfrm>
          <a:off x="42576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76200</xdr:colOff>
      <xdr:row>73</xdr:row>
      <xdr:rowOff>76200</xdr:rowOff>
    </xdr:from>
    <xdr:to>
      <xdr:col>10</xdr:col>
      <xdr:colOff>0</xdr:colOff>
      <xdr:row>74</xdr:row>
      <xdr:rowOff>0</xdr:rowOff>
    </xdr:to>
    <xdr:sp macro="" textlink="">
      <xdr:nvSpPr>
        <xdr:cNvPr id="9277" name="OpenSolver161"/>
        <xdr:cNvSpPr/>
      </xdr:nvSpPr>
      <xdr:spPr>
        <a:xfrm>
          <a:off x="5438775" y="14039850"/>
          <a:ext cx="514350" cy="114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133350</xdr:rowOff>
    </xdr:from>
    <xdr:to>
      <xdr:col>9</xdr:col>
      <xdr:colOff>76200</xdr:colOff>
      <xdr:row>73</xdr:row>
      <xdr:rowOff>133350</xdr:rowOff>
    </xdr:to>
    <xdr:cxnSp macro="">
      <xdr:nvCxnSpPr>
        <xdr:cNvPr id="9278" name="OpenSolver162"/>
        <xdr:cNvCxnSpPr>
          <a:stCxn id="9276" idx="3"/>
          <a:endCxn id="9277" idx="1"/>
        </xdr:cNvCxnSpPr>
      </xdr:nvCxnSpPr>
      <xdr:spPr>
        <a:xfrm>
          <a:off x="4772025" y="14097000"/>
          <a:ext cx="666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73</xdr:row>
      <xdr:rowOff>6350</xdr:rowOff>
    </xdr:from>
    <xdr:to>
      <xdr:col>8</xdr:col>
      <xdr:colOff>523875</xdr:colOff>
      <xdr:row>74</xdr:row>
      <xdr:rowOff>69850</xdr:rowOff>
    </xdr:to>
    <xdr:sp macro="" textlink="">
      <xdr:nvSpPr>
        <xdr:cNvPr id="9279" name="OpenSolver163"/>
        <xdr:cNvSpPr/>
      </xdr:nvSpPr>
      <xdr:spPr>
        <a:xfrm>
          <a:off x="4914900" y="1397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74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280" name="OpenSolver164"/>
        <xdr:cNvSpPr/>
      </xdr:nvSpPr>
      <xdr:spPr>
        <a:xfrm>
          <a:off x="42576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76200</xdr:colOff>
      <xdr:row>74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281" name="OpenSolver165"/>
        <xdr:cNvSpPr/>
      </xdr:nvSpPr>
      <xdr:spPr>
        <a:xfrm>
          <a:off x="5438775" y="14230350"/>
          <a:ext cx="514350" cy="12115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38100</xdr:rowOff>
    </xdr:from>
    <xdr:to>
      <xdr:col>9</xdr:col>
      <xdr:colOff>76200</xdr:colOff>
      <xdr:row>106</xdr:row>
      <xdr:rowOff>38100</xdr:rowOff>
    </xdr:to>
    <xdr:cxnSp macro="">
      <xdr:nvCxnSpPr>
        <xdr:cNvPr id="9282" name="OpenSolver166"/>
        <xdr:cNvCxnSpPr>
          <a:stCxn id="9280" idx="3"/>
          <a:endCxn id="9281" idx="1"/>
        </xdr:cNvCxnSpPr>
      </xdr:nvCxnSpPr>
      <xdr:spPr>
        <a:xfrm>
          <a:off x="4772025" y="20288250"/>
          <a:ext cx="666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105</xdr:row>
      <xdr:rowOff>101600</xdr:rowOff>
    </xdr:from>
    <xdr:to>
      <xdr:col>8</xdr:col>
      <xdr:colOff>523875</xdr:colOff>
      <xdr:row>106</xdr:row>
      <xdr:rowOff>165100</xdr:rowOff>
    </xdr:to>
    <xdr:sp macro="" textlink="">
      <xdr:nvSpPr>
        <xdr:cNvPr id="9283" name="OpenSolver167"/>
        <xdr:cNvSpPr/>
      </xdr:nvSpPr>
      <xdr:spPr>
        <a:xfrm>
          <a:off x="4914900" y="2016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76200</xdr:colOff>
      <xdr:row>138</xdr:row>
      <xdr:rowOff>76200</xdr:rowOff>
    </xdr:from>
    <xdr:to>
      <xdr:col>8</xdr:col>
      <xdr:colOff>0</xdr:colOff>
      <xdr:row>139</xdr:row>
      <xdr:rowOff>0</xdr:rowOff>
    </xdr:to>
    <xdr:sp macro="" textlink="">
      <xdr:nvSpPr>
        <xdr:cNvPr id="9284" name="OpenSolver168"/>
        <xdr:cNvSpPr/>
      </xdr:nvSpPr>
      <xdr:spPr>
        <a:xfrm>
          <a:off x="42576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76200</xdr:colOff>
      <xdr:row>138</xdr:row>
      <xdr:rowOff>76200</xdr:rowOff>
    </xdr:from>
    <xdr:to>
      <xdr:col>10</xdr:col>
      <xdr:colOff>0</xdr:colOff>
      <xdr:row>139</xdr:row>
      <xdr:rowOff>0</xdr:rowOff>
    </xdr:to>
    <xdr:sp macro="" textlink="">
      <xdr:nvSpPr>
        <xdr:cNvPr id="9285" name="OpenSolver169"/>
        <xdr:cNvSpPr/>
      </xdr:nvSpPr>
      <xdr:spPr>
        <a:xfrm>
          <a:off x="5438775" y="26422350"/>
          <a:ext cx="514350" cy="1143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133350</xdr:rowOff>
    </xdr:from>
    <xdr:to>
      <xdr:col>9</xdr:col>
      <xdr:colOff>76200</xdr:colOff>
      <xdr:row>138</xdr:row>
      <xdr:rowOff>133350</xdr:rowOff>
    </xdr:to>
    <xdr:cxnSp macro="">
      <xdr:nvCxnSpPr>
        <xdr:cNvPr id="9286" name="OpenSolver170"/>
        <xdr:cNvCxnSpPr>
          <a:stCxn id="9284" idx="3"/>
          <a:endCxn id="9285" idx="1"/>
        </xdr:cNvCxnSpPr>
      </xdr:nvCxnSpPr>
      <xdr:spPr>
        <a:xfrm>
          <a:off x="4772025" y="26479500"/>
          <a:ext cx="666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142875</xdr:colOff>
      <xdr:row>138</xdr:row>
      <xdr:rowOff>6350</xdr:rowOff>
    </xdr:from>
    <xdr:to>
      <xdr:col>8</xdr:col>
      <xdr:colOff>523875</xdr:colOff>
      <xdr:row>139</xdr:row>
      <xdr:rowOff>69850</xdr:rowOff>
    </xdr:to>
    <xdr:sp macro="" textlink="">
      <xdr:nvSpPr>
        <xdr:cNvPr id="9287" name="OpenSolver171"/>
        <xdr:cNvSpPr/>
      </xdr:nvSpPr>
      <xdr:spPr>
        <a:xfrm>
          <a:off x="4914900" y="26352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6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288" name="OpenSolver172"/>
        <xdr:cNvSpPr/>
      </xdr:nvSpPr>
      <xdr:spPr>
        <a:xfrm>
          <a:off x="42703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88900</xdr:colOff>
      <xdr:row>6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289" name="OpenSolver173"/>
        <xdr:cNvSpPr/>
      </xdr:nvSpPr>
      <xdr:spPr>
        <a:xfrm>
          <a:off x="5451475" y="1270000"/>
          <a:ext cx="501650" cy="292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44450</xdr:rowOff>
    </xdr:from>
    <xdr:to>
      <xdr:col>9</xdr:col>
      <xdr:colOff>88900</xdr:colOff>
      <xdr:row>7</xdr:row>
      <xdr:rowOff>44450</xdr:rowOff>
    </xdr:to>
    <xdr:cxnSp macro="">
      <xdr:nvCxnSpPr>
        <xdr:cNvPr id="9290" name="OpenSolver174"/>
        <xdr:cNvCxnSpPr>
          <a:stCxn id="9288" idx="3"/>
          <a:endCxn id="9289" idx="1"/>
        </xdr:cNvCxnSpPr>
      </xdr:nvCxnSpPr>
      <xdr:spPr>
        <a:xfrm>
          <a:off x="4772025" y="1416050"/>
          <a:ext cx="6794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6</xdr:row>
      <xdr:rowOff>107950</xdr:rowOff>
    </xdr:from>
    <xdr:to>
      <xdr:col>8</xdr:col>
      <xdr:colOff>530225</xdr:colOff>
      <xdr:row>7</xdr:row>
      <xdr:rowOff>171450</xdr:rowOff>
    </xdr:to>
    <xdr:sp macro="" textlink="">
      <xdr:nvSpPr>
        <xdr:cNvPr id="9291" name="OpenSolver175"/>
        <xdr:cNvSpPr/>
      </xdr:nvSpPr>
      <xdr:spPr>
        <a:xfrm>
          <a:off x="4921250" y="12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8</xdr:row>
      <xdr:rowOff>88900</xdr:rowOff>
    </xdr:from>
    <xdr:to>
      <xdr:col>8</xdr:col>
      <xdr:colOff>0</xdr:colOff>
      <xdr:row>72</xdr:row>
      <xdr:rowOff>0</xdr:rowOff>
    </xdr:to>
    <xdr:sp macro="" textlink="">
      <xdr:nvSpPr>
        <xdr:cNvPr id="9292" name="OpenSolver176"/>
        <xdr:cNvSpPr/>
      </xdr:nvSpPr>
      <xdr:spPr>
        <a:xfrm>
          <a:off x="42703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88900</xdr:colOff>
      <xdr:row>8</xdr:row>
      <xdr:rowOff>88900</xdr:rowOff>
    </xdr:from>
    <xdr:to>
      <xdr:col>10</xdr:col>
      <xdr:colOff>0</xdr:colOff>
      <xdr:row>72</xdr:row>
      <xdr:rowOff>0</xdr:rowOff>
    </xdr:to>
    <xdr:sp macro="" textlink="">
      <xdr:nvSpPr>
        <xdr:cNvPr id="9293" name="OpenSolver177"/>
        <xdr:cNvSpPr/>
      </xdr:nvSpPr>
      <xdr:spPr>
        <a:xfrm>
          <a:off x="5451475" y="1651000"/>
          <a:ext cx="501650" cy="121221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34925</xdr:rowOff>
    </xdr:from>
    <xdr:to>
      <xdr:col>9</xdr:col>
      <xdr:colOff>88900</xdr:colOff>
      <xdr:row>40</xdr:row>
      <xdr:rowOff>34925</xdr:rowOff>
    </xdr:to>
    <xdr:cxnSp macro="">
      <xdr:nvCxnSpPr>
        <xdr:cNvPr id="9294" name="OpenSolver178"/>
        <xdr:cNvCxnSpPr>
          <a:stCxn id="9292" idx="3"/>
          <a:endCxn id="9293" idx="1"/>
        </xdr:cNvCxnSpPr>
      </xdr:nvCxnSpPr>
      <xdr:spPr>
        <a:xfrm>
          <a:off x="4772025" y="7712075"/>
          <a:ext cx="679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39</xdr:row>
      <xdr:rowOff>98425</xdr:rowOff>
    </xdr:from>
    <xdr:to>
      <xdr:col>8</xdr:col>
      <xdr:colOff>530225</xdr:colOff>
      <xdr:row>40</xdr:row>
      <xdr:rowOff>161925</xdr:rowOff>
    </xdr:to>
    <xdr:sp macro="" textlink="">
      <xdr:nvSpPr>
        <xdr:cNvPr id="9295" name="OpenSolver179"/>
        <xdr:cNvSpPr/>
      </xdr:nvSpPr>
      <xdr:spPr>
        <a:xfrm>
          <a:off x="4921250" y="758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72</xdr:row>
      <xdr:rowOff>88900</xdr:rowOff>
    </xdr:from>
    <xdr:to>
      <xdr:col>8</xdr:col>
      <xdr:colOff>0</xdr:colOff>
      <xdr:row>73</xdr:row>
      <xdr:rowOff>0</xdr:rowOff>
    </xdr:to>
    <xdr:sp macro="" textlink="">
      <xdr:nvSpPr>
        <xdr:cNvPr id="9296" name="OpenSolver180"/>
        <xdr:cNvSpPr/>
      </xdr:nvSpPr>
      <xdr:spPr>
        <a:xfrm>
          <a:off x="42703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88900</xdr:colOff>
      <xdr:row>72</xdr:row>
      <xdr:rowOff>88900</xdr:rowOff>
    </xdr:from>
    <xdr:to>
      <xdr:col>10</xdr:col>
      <xdr:colOff>0</xdr:colOff>
      <xdr:row>73</xdr:row>
      <xdr:rowOff>0</xdr:rowOff>
    </xdr:to>
    <xdr:sp macro="" textlink="">
      <xdr:nvSpPr>
        <xdr:cNvPr id="9297" name="OpenSolver181"/>
        <xdr:cNvSpPr/>
      </xdr:nvSpPr>
      <xdr:spPr>
        <a:xfrm>
          <a:off x="5451475" y="13862050"/>
          <a:ext cx="501650" cy="101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139700</xdr:rowOff>
    </xdr:from>
    <xdr:to>
      <xdr:col>9</xdr:col>
      <xdr:colOff>88900</xdr:colOff>
      <xdr:row>72</xdr:row>
      <xdr:rowOff>139700</xdr:rowOff>
    </xdr:to>
    <xdr:cxnSp macro="">
      <xdr:nvCxnSpPr>
        <xdr:cNvPr id="9298" name="OpenSolver182"/>
        <xdr:cNvCxnSpPr>
          <a:stCxn id="9296" idx="3"/>
          <a:endCxn id="9297" idx="1"/>
        </xdr:cNvCxnSpPr>
      </xdr:nvCxnSpPr>
      <xdr:spPr>
        <a:xfrm>
          <a:off x="4772025" y="13912850"/>
          <a:ext cx="679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72</xdr:row>
      <xdr:rowOff>12700</xdr:rowOff>
    </xdr:from>
    <xdr:to>
      <xdr:col>8</xdr:col>
      <xdr:colOff>530225</xdr:colOff>
      <xdr:row>73</xdr:row>
      <xdr:rowOff>76200</xdr:rowOff>
    </xdr:to>
    <xdr:sp macro="" textlink="">
      <xdr:nvSpPr>
        <xdr:cNvPr id="9299" name="OpenSolver183"/>
        <xdr:cNvSpPr/>
      </xdr:nvSpPr>
      <xdr:spPr>
        <a:xfrm>
          <a:off x="4921250" y="1378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73</xdr:row>
      <xdr:rowOff>88900</xdr:rowOff>
    </xdr:from>
    <xdr:to>
      <xdr:col>8</xdr:col>
      <xdr:colOff>0</xdr:colOff>
      <xdr:row>74</xdr:row>
      <xdr:rowOff>0</xdr:rowOff>
    </xdr:to>
    <xdr:sp macro="" textlink="">
      <xdr:nvSpPr>
        <xdr:cNvPr id="9300" name="OpenSolver184"/>
        <xdr:cNvSpPr/>
      </xdr:nvSpPr>
      <xdr:spPr>
        <a:xfrm>
          <a:off x="42703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88900</xdr:colOff>
      <xdr:row>73</xdr:row>
      <xdr:rowOff>88900</xdr:rowOff>
    </xdr:from>
    <xdr:to>
      <xdr:col>10</xdr:col>
      <xdr:colOff>0</xdr:colOff>
      <xdr:row>74</xdr:row>
      <xdr:rowOff>0</xdr:rowOff>
    </xdr:to>
    <xdr:sp macro="" textlink="">
      <xdr:nvSpPr>
        <xdr:cNvPr id="9301" name="OpenSolver185"/>
        <xdr:cNvSpPr/>
      </xdr:nvSpPr>
      <xdr:spPr>
        <a:xfrm>
          <a:off x="5451475" y="14052550"/>
          <a:ext cx="501650" cy="101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139700</xdr:rowOff>
    </xdr:from>
    <xdr:to>
      <xdr:col>9</xdr:col>
      <xdr:colOff>88900</xdr:colOff>
      <xdr:row>73</xdr:row>
      <xdr:rowOff>139700</xdr:rowOff>
    </xdr:to>
    <xdr:cxnSp macro="">
      <xdr:nvCxnSpPr>
        <xdr:cNvPr id="9302" name="OpenSolver186"/>
        <xdr:cNvCxnSpPr>
          <a:stCxn id="9300" idx="3"/>
          <a:endCxn id="9301" idx="1"/>
        </xdr:cNvCxnSpPr>
      </xdr:nvCxnSpPr>
      <xdr:spPr>
        <a:xfrm>
          <a:off x="4772025" y="14103350"/>
          <a:ext cx="6794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73</xdr:row>
      <xdr:rowOff>12700</xdr:rowOff>
    </xdr:from>
    <xdr:to>
      <xdr:col>8</xdr:col>
      <xdr:colOff>530225</xdr:colOff>
      <xdr:row>74</xdr:row>
      <xdr:rowOff>76200</xdr:rowOff>
    </xdr:to>
    <xdr:sp macro="" textlink="">
      <xdr:nvSpPr>
        <xdr:cNvPr id="9303" name="OpenSolver187"/>
        <xdr:cNvSpPr/>
      </xdr:nvSpPr>
      <xdr:spPr>
        <a:xfrm>
          <a:off x="4921250" y="1397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74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304" name="OpenSolver188"/>
        <xdr:cNvSpPr/>
      </xdr:nvSpPr>
      <xdr:spPr>
        <a:xfrm>
          <a:off x="42703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88900</xdr:colOff>
      <xdr:row>74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305" name="OpenSolver189"/>
        <xdr:cNvSpPr/>
      </xdr:nvSpPr>
      <xdr:spPr>
        <a:xfrm>
          <a:off x="5451475" y="14243050"/>
          <a:ext cx="501650" cy="12103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44450</xdr:rowOff>
    </xdr:from>
    <xdr:to>
      <xdr:col>9</xdr:col>
      <xdr:colOff>88900</xdr:colOff>
      <xdr:row>106</xdr:row>
      <xdr:rowOff>44450</xdr:rowOff>
    </xdr:to>
    <xdr:cxnSp macro="">
      <xdr:nvCxnSpPr>
        <xdr:cNvPr id="9306" name="OpenSolver190"/>
        <xdr:cNvCxnSpPr>
          <a:stCxn id="9304" idx="3"/>
          <a:endCxn id="9305" idx="1"/>
        </xdr:cNvCxnSpPr>
      </xdr:nvCxnSpPr>
      <xdr:spPr>
        <a:xfrm>
          <a:off x="4772025" y="20294600"/>
          <a:ext cx="679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105</xdr:row>
      <xdr:rowOff>107950</xdr:rowOff>
    </xdr:from>
    <xdr:to>
      <xdr:col>8</xdr:col>
      <xdr:colOff>530225</xdr:colOff>
      <xdr:row>106</xdr:row>
      <xdr:rowOff>171450</xdr:rowOff>
    </xdr:to>
    <xdr:sp macro="" textlink="">
      <xdr:nvSpPr>
        <xdr:cNvPr id="9307" name="OpenSolver191"/>
        <xdr:cNvSpPr/>
      </xdr:nvSpPr>
      <xdr:spPr>
        <a:xfrm>
          <a:off x="4921250" y="2016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88900</xdr:colOff>
      <xdr:row>138</xdr:row>
      <xdr:rowOff>88900</xdr:rowOff>
    </xdr:from>
    <xdr:to>
      <xdr:col>8</xdr:col>
      <xdr:colOff>0</xdr:colOff>
      <xdr:row>139</xdr:row>
      <xdr:rowOff>0</xdr:rowOff>
    </xdr:to>
    <xdr:sp macro="" textlink="">
      <xdr:nvSpPr>
        <xdr:cNvPr id="9308" name="OpenSolver192"/>
        <xdr:cNvSpPr/>
      </xdr:nvSpPr>
      <xdr:spPr>
        <a:xfrm>
          <a:off x="42703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88900</xdr:colOff>
      <xdr:row>138</xdr:row>
      <xdr:rowOff>88900</xdr:rowOff>
    </xdr:from>
    <xdr:to>
      <xdr:col>10</xdr:col>
      <xdr:colOff>0</xdr:colOff>
      <xdr:row>139</xdr:row>
      <xdr:rowOff>0</xdr:rowOff>
    </xdr:to>
    <xdr:sp macro="" textlink="">
      <xdr:nvSpPr>
        <xdr:cNvPr id="9309" name="OpenSolver193"/>
        <xdr:cNvSpPr/>
      </xdr:nvSpPr>
      <xdr:spPr>
        <a:xfrm>
          <a:off x="5451475" y="26435050"/>
          <a:ext cx="501650" cy="1016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139700</xdr:rowOff>
    </xdr:from>
    <xdr:to>
      <xdr:col>9</xdr:col>
      <xdr:colOff>88900</xdr:colOff>
      <xdr:row>138</xdr:row>
      <xdr:rowOff>139700</xdr:rowOff>
    </xdr:to>
    <xdr:cxnSp macro="">
      <xdr:nvCxnSpPr>
        <xdr:cNvPr id="9310" name="OpenSolver194"/>
        <xdr:cNvCxnSpPr>
          <a:stCxn id="9308" idx="3"/>
          <a:endCxn id="9309" idx="1"/>
        </xdr:cNvCxnSpPr>
      </xdr:nvCxnSpPr>
      <xdr:spPr>
        <a:xfrm>
          <a:off x="4772025" y="26485850"/>
          <a:ext cx="679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149225</xdr:colOff>
      <xdr:row>138</xdr:row>
      <xdr:rowOff>12700</xdr:rowOff>
    </xdr:from>
    <xdr:to>
      <xdr:col>8</xdr:col>
      <xdr:colOff>530225</xdr:colOff>
      <xdr:row>139</xdr:row>
      <xdr:rowOff>76200</xdr:rowOff>
    </xdr:to>
    <xdr:sp macro="" textlink="">
      <xdr:nvSpPr>
        <xdr:cNvPr id="9311" name="OpenSolver195"/>
        <xdr:cNvSpPr/>
      </xdr:nvSpPr>
      <xdr:spPr>
        <a:xfrm>
          <a:off x="4921250" y="26358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6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312" name="OpenSolver196"/>
        <xdr:cNvSpPr/>
      </xdr:nvSpPr>
      <xdr:spPr>
        <a:xfrm>
          <a:off x="42830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101600</xdr:colOff>
      <xdr:row>6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313" name="OpenSolver197"/>
        <xdr:cNvSpPr/>
      </xdr:nvSpPr>
      <xdr:spPr>
        <a:xfrm>
          <a:off x="5464175" y="1282700"/>
          <a:ext cx="488950" cy="279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50800</xdr:rowOff>
    </xdr:from>
    <xdr:to>
      <xdr:col>9</xdr:col>
      <xdr:colOff>101600</xdr:colOff>
      <xdr:row>7</xdr:row>
      <xdr:rowOff>50800</xdr:rowOff>
    </xdr:to>
    <xdr:cxnSp macro="">
      <xdr:nvCxnSpPr>
        <xdr:cNvPr id="9314" name="OpenSolver198"/>
        <xdr:cNvCxnSpPr>
          <a:stCxn id="9312" idx="3"/>
          <a:endCxn id="9313" idx="1"/>
        </xdr:cNvCxnSpPr>
      </xdr:nvCxnSpPr>
      <xdr:spPr>
        <a:xfrm>
          <a:off x="4772025" y="1422400"/>
          <a:ext cx="6921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6</xdr:row>
      <xdr:rowOff>114300</xdr:rowOff>
    </xdr:from>
    <xdr:to>
      <xdr:col>8</xdr:col>
      <xdr:colOff>536575</xdr:colOff>
      <xdr:row>7</xdr:row>
      <xdr:rowOff>177800</xdr:rowOff>
    </xdr:to>
    <xdr:sp macro="" textlink="">
      <xdr:nvSpPr>
        <xdr:cNvPr id="9315" name="OpenSolver199"/>
        <xdr:cNvSpPr/>
      </xdr:nvSpPr>
      <xdr:spPr>
        <a:xfrm>
          <a:off x="4927600" y="12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8</xdr:row>
      <xdr:rowOff>101600</xdr:rowOff>
    </xdr:from>
    <xdr:to>
      <xdr:col>8</xdr:col>
      <xdr:colOff>0</xdr:colOff>
      <xdr:row>72</xdr:row>
      <xdr:rowOff>0</xdr:rowOff>
    </xdr:to>
    <xdr:sp macro="" textlink="">
      <xdr:nvSpPr>
        <xdr:cNvPr id="9316" name="OpenSolver200"/>
        <xdr:cNvSpPr/>
      </xdr:nvSpPr>
      <xdr:spPr>
        <a:xfrm>
          <a:off x="42830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101600</xdr:colOff>
      <xdr:row>8</xdr:row>
      <xdr:rowOff>101600</xdr:rowOff>
    </xdr:from>
    <xdr:to>
      <xdr:col>10</xdr:col>
      <xdr:colOff>0</xdr:colOff>
      <xdr:row>72</xdr:row>
      <xdr:rowOff>0</xdr:rowOff>
    </xdr:to>
    <xdr:sp macro="" textlink="">
      <xdr:nvSpPr>
        <xdr:cNvPr id="9317" name="OpenSolver201"/>
        <xdr:cNvSpPr/>
      </xdr:nvSpPr>
      <xdr:spPr>
        <a:xfrm>
          <a:off x="5464175" y="1663700"/>
          <a:ext cx="488950" cy="121094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41275</xdr:rowOff>
    </xdr:from>
    <xdr:to>
      <xdr:col>9</xdr:col>
      <xdr:colOff>101600</xdr:colOff>
      <xdr:row>40</xdr:row>
      <xdr:rowOff>41275</xdr:rowOff>
    </xdr:to>
    <xdr:cxnSp macro="">
      <xdr:nvCxnSpPr>
        <xdr:cNvPr id="9318" name="OpenSolver202"/>
        <xdr:cNvCxnSpPr>
          <a:stCxn id="9316" idx="3"/>
          <a:endCxn id="9317" idx="1"/>
        </xdr:cNvCxnSpPr>
      </xdr:nvCxnSpPr>
      <xdr:spPr>
        <a:xfrm>
          <a:off x="4772025" y="7718425"/>
          <a:ext cx="692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39</xdr:row>
      <xdr:rowOff>104775</xdr:rowOff>
    </xdr:from>
    <xdr:to>
      <xdr:col>8</xdr:col>
      <xdr:colOff>536575</xdr:colOff>
      <xdr:row>40</xdr:row>
      <xdr:rowOff>168275</xdr:rowOff>
    </xdr:to>
    <xdr:sp macro="" textlink="">
      <xdr:nvSpPr>
        <xdr:cNvPr id="9319" name="OpenSolver203"/>
        <xdr:cNvSpPr/>
      </xdr:nvSpPr>
      <xdr:spPr>
        <a:xfrm>
          <a:off x="4927600" y="7591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72</xdr:row>
      <xdr:rowOff>101600</xdr:rowOff>
    </xdr:from>
    <xdr:to>
      <xdr:col>8</xdr:col>
      <xdr:colOff>0</xdr:colOff>
      <xdr:row>73</xdr:row>
      <xdr:rowOff>0</xdr:rowOff>
    </xdr:to>
    <xdr:sp macro="" textlink="">
      <xdr:nvSpPr>
        <xdr:cNvPr id="9320" name="OpenSolver204"/>
        <xdr:cNvSpPr/>
      </xdr:nvSpPr>
      <xdr:spPr>
        <a:xfrm>
          <a:off x="42830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101600</xdr:colOff>
      <xdr:row>72</xdr:row>
      <xdr:rowOff>101600</xdr:rowOff>
    </xdr:from>
    <xdr:to>
      <xdr:col>10</xdr:col>
      <xdr:colOff>0</xdr:colOff>
      <xdr:row>73</xdr:row>
      <xdr:rowOff>0</xdr:rowOff>
    </xdr:to>
    <xdr:sp macro="" textlink="">
      <xdr:nvSpPr>
        <xdr:cNvPr id="9321" name="OpenSolver205"/>
        <xdr:cNvSpPr/>
      </xdr:nvSpPr>
      <xdr:spPr>
        <a:xfrm>
          <a:off x="5464175" y="13874750"/>
          <a:ext cx="488950" cy="88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146050</xdr:rowOff>
    </xdr:from>
    <xdr:to>
      <xdr:col>9</xdr:col>
      <xdr:colOff>101600</xdr:colOff>
      <xdr:row>72</xdr:row>
      <xdr:rowOff>146050</xdr:rowOff>
    </xdr:to>
    <xdr:cxnSp macro="">
      <xdr:nvCxnSpPr>
        <xdr:cNvPr id="9322" name="OpenSolver206"/>
        <xdr:cNvCxnSpPr>
          <a:stCxn id="9320" idx="3"/>
          <a:endCxn id="9321" idx="1"/>
        </xdr:cNvCxnSpPr>
      </xdr:nvCxnSpPr>
      <xdr:spPr>
        <a:xfrm>
          <a:off x="4772025" y="13919200"/>
          <a:ext cx="692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72</xdr:row>
      <xdr:rowOff>19050</xdr:rowOff>
    </xdr:from>
    <xdr:to>
      <xdr:col>8</xdr:col>
      <xdr:colOff>536575</xdr:colOff>
      <xdr:row>73</xdr:row>
      <xdr:rowOff>82550</xdr:rowOff>
    </xdr:to>
    <xdr:sp macro="" textlink="">
      <xdr:nvSpPr>
        <xdr:cNvPr id="9323" name="OpenSolver207"/>
        <xdr:cNvSpPr/>
      </xdr:nvSpPr>
      <xdr:spPr>
        <a:xfrm>
          <a:off x="4927600" y="13792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73</xdr:row>
      <xdr:rowOff>101600</xdr:rowOff>
    </xdr:from>
    <xdr:to>
      <xdr:col>8</xdr:col>
      <xdr:colOff>0</xdr:colOff>
      <xdr:row>74</xdr:row>
      <xdr:rowOff>0</xdr:rowOff>
    </xdr:to>
    <xdr:sp macro="" textlink="">
      <xdr:nvSpPr>
        <xdr:cNvPr id="9324" name="OpenSolver208"/>
        <xdr:cNvSpPr/>
      </xdr:nvSpPr>
      <xdr:spPr>
        <a:xfrm>
          <a:off x="42830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101600</xdr:colOff>
      <xdr:row>73</xdr:row>
      <xdr:rowOff>101600</xdr:rowOff>
    </xdr:from>
    <xdr:to>
      <xdr:col>10</xdr:col>
      <xdr:colOff>0</xdr:colOff>
      <xdr:row>74</xdr:row>
      <xdr:rowOff>0</xdr:rowOff>
    </xdr:to>
    <xdr:sp macro="" textlink="">
      <xdr:nvSpPr>
        <xdr:cNvPr id="9325" name="OpenSolver209"/>
        <xdr:cNvSpPr/>
      </xdr:nvSpPr>
      <xdr:spPr>
        <a:xfrm>
          <a:off x="5464175" y="14065250"/>
          <a:ext cx="488950" cy="88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146050</xdr:rowOff>
    </xdr:from>
    <xdr:to>
      <xdr:col>9</xdr:col>
      <xdr:colOff>101600</xdr:colOff>
      <xdr:row>73</xdr:row>
      <xdr:rowOff>146050</xdr:rowOff>
    </xdr:to>
    <xdr:cxnSp macro="">
      <xdr:nvCxnSpPr>
        <xdr:cNvPr id="9326" name="OpenSolver210"/>
        <xdr:cNvCxnSpPr>
          <a:stCxn id="9324" idx="3"/>
          <a:endCxn id="9325" idx="1"/>
        </xdr:cNvCxnSpPr>
      </xdr:nvCxnSpPr>
      <xdr:spPr>
        <a:xfrm>
          <a:off x="4772025" y="14109700"/>
          <a:ext cx="692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73</xdr:row>
      <xdr:rowOff>19050</xdr:rowOff>
    </xdr:from>
    <xdr:to>
      <xdr:col>8</xdr:col>
      <xdr:colOff>536575</xdr:colOff>
      <xdr:row>74</xdr:row>
      <xdr:rowOff>82550</xdr:rowOff>
    </xdr:to>
    <xdr:sp macro="" textlink="">
      <xdr:nvSpPr>
        <xdr:cNvPr id="9327" name="OpenSolver211"/>
        <xdr:cNvSpPr/>
      </xdr:nvSpPr>
      <xdr:spPr>
        <a:xfrm>
          <a:off x="4927600" y="1398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74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328" name="OpenSolver212"/>
        <xdr:cNvSpPr/>
      </xdr:nvSpPr>
      <xdr:spPr>
        <a:xfrm>
          <a:off x="42830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101600</xdr:colOff>
      <xdr:row>74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329" name="OpenSolver213"/>
        <xdr:cNvSpPr/>
      </xdr:nvSpPr>
      <xdr:spPr>
        <a:xfrm>
          <a:off x="5464175" y="14255750"/>
          <a:ext cx="488950" cy="12090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50800</xdr:rowOff>
    </xdr:from>
    <xdr:to>
      <xdr:col>9</xdr:col>
      <xdr:colOff>101600</xdr:colOff>
      <xdr:row>106</xdr:row>
      <xdr:rowOff>50800</xdr:rowOff>
    </xdr:to>
    <xdr:cxnSp macro="">
      <xdr:nvCxnSpPr>
        <xdr:cNvPr id="9330" name="OpenSolver214"/>
        <xdr:cNvCxnSpPr>
          <a:stCxn id="9328" idx="3"/>
          <a:endCxn id="9329" idx="1"/>
        </xdr:cNvCxnSpPr>
      </xdr:nvCxnSpPr>
      <xdr:spPr>
        <a:xfrm>
          <a:off x="4772025" y="20300950"/>
          <a:ext cx="692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105</xdr:row>
      <xdr:rowOff>114300</xdr:rowOff>
    </xdr:from>
    <xdr:to>
      <xdr:col>8</xdr:col>
      <xdr:colOff>536575</xdr:colOff>
      <xdr:row>106</xdr:row>
      <xdr:rowOff>177800</xdr:rowOff>
    </xdr:to>
    <xdr:sp macro="" textlink="">
      <xdr:nvSpPr>
        <xdr:cNvPr id="9331" name="OpenSolver215"/>
        <xdr:cNvSpPr/>
      </xdr:nvSpPr>
      <xdr:spPr>
        <a:xfrm>
          <a:off x="4927600" y="2017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101600</xdr:colOff>
      <xdr:row>138</xdr:row>
      <xdr:rowOff>101600</xdr:rowOff>
    </xdr:from>
    <xdr:to>
      <xdr:col>8</xdr:col>
      <xdr:colOff>0</xdr:colOff>
      <xdr:row>139</xdr:row>
      <xdr:rowOff>0</xdr:rowOff>
    </xdr:to>
    <xdr:sp macro="" textlink="">
      <xdr:nvSpPr>
        <xdr:cNvPr id="9332" name="OpenSolver216"/>
        <xdr:cNvSpPr/>
      </xdr:nvSpPr>
      <xdr:spPr>
        <a:xfrm>
          <a:off x="42830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101600</xdr:colOff>
      <xdr:row>138</xdr:row>
      <xdr:rowOff>101600</xdr:rowOff>
    </xdr:from>
    <xdr:to>
      <xdr:col>10</xdr:col>
      <xdr:colOff>0</xdr:colOff>
      <xdr:row>139</xdr:row>
      <xdr:rowOff>0</xdr:rowOff>
    </xdr:to>
    <xdr:sp macro="" textlink="">
      <xdr:nvSpPr>
        <xdr:cNvPr id="9333" name="OpenSolver217"/>
        <xdr:cNvSpPr/>
      </xdr:nvSpPr>
      <xdr:spPr>
        <a:xfrm>
          <a:off x="5464175" y="26447750"/>
          <a:ext cx="488950" cy="88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146050</xdr:rowOff>
    </xdr:from>
    <xdr:to>
      <xdr:col>9</xdr:col>
      <xdr:colOff>101600</xdr:colOff>
      <xdr:row>138</xdr:row>
      <xdr:rowOff>146050</xdr:rowOff>
    </xdr:to>
    <xdr:cxnSp macro="">
      <xdr:nvCxnSpPr>
        <xdr:cNvPr id="9334" name="OpenSolver218"/>
        <xdr:cNvCxnSpPr>
          <a:stCxn id="9332" idx="3"/>
          <a:endCxn id="9333" idx="1"/>
        </xdr:cNvCxnSpPr>
      </xdr:nvCxnSpPr>
      <xdr:spPr>
        <a:xfrm>
          <a:off x="4772025" y="26492200"/>
          <a:ext cx="692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155575</xdr:colOff>
      <xdr:row>138</xdr:row>
      <xdr:rowOff>19050</xdr:rowOff>
    </xdr:from>
    <xdr:to>
      <xdr:col>8</xdr:col>
      <xdr:colOff>536575</xdr:colOff>
      <xdr:row>139</xdr:row>
      <xdr:rowOff>82550</xdr:rowOff>
    </xdr:to>
    <xdr:sp macro="" textlink="">
      <xdr:nvSpPr>
        <xdr:cNvPr id="9335" name="OpenSolver219"/>
        <xdr:cNvSpPr/>
      </xdr:nvSpPr>
      <xdr:spPr>
        <a:xfrm>
          <a:off x="4927600" y="26365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6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336" name="OpenSolver220"/>
        <xdr:cNvSpPr/>
      </xdr:nvSpPr>
      <xdr:spPr>
        <a:xfrm>
          <a:off x="42957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114300</xdr:colOff>
      <xdr:row>6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337" name="OpenSolver221"/>
        <xdr:cNvSpPr/>
      </xdr:nvSpPr>
      <xdr:spPr>
        <a:xfrm>
          <a:off x="5476875" y="1295400"/>
          <a:ext cx="476250" cy="266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57150</xdr:rowOff>
    </xdr:from>
    <xdr:to>
      <xdr:col>9</xdr:col>
      <xdr:colOff>114300</xdr:colOff>
      <xdr:row>7</xdr:row>
      <xdr:rowOff>57150</xdr:rowOff>
    </xdr:to>
    <xdr:cxnSp macro="">
      <xdr:nvCxnSpPr>
        <xdr:cNvPr id="9338" name="OpenSolver222"/>
        <xdr:cNvCxnSpPr>
          <a:stCxn id="9336" idx="3"/>
          <a:endCxn id="9337" idx="1"/>
        </xdr:cNvCxnSpPr>
      </xdr:nvCxnSpPr>
      <xdr:spPr>
        <a:xfrm>
          <a:off x="4772025" y="1428750"/>
          <a:ext cx="7048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6</xdr:row>
      <xdr:rowOff>120650</xdr:rowOff>
    </xdr:from>
    <xdr:to>
      <xdr:col>8</xdr:col>
      <xdr:colOff>542925</xdr:colOff>
      <xdr:row>7</xdr:row>
      <xdr:rowOff>184150</xdr:rowOff>
    </xdr:to>
    <xdr:sp macro="" textlink="">
      <xdr:nvSpPr>
        <xdr:cNvPr id="9339" name="OpenSolver223"/>
        <xdr:cNvSpPr/>
      </xdr:nvSpPr>
      <xdr:spPr>
        <a:xfrm>
          <a:off x="4933950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8</xdr:row>
      <xdr:rowOff>114300</xdr:rowOff>
    </xdr:from>
    <xdr:to>
      <xdr:col>8</xdr:col>
      <xdr:colOff>0</xdr:colOff>
      <xdr:row>72</xdr:row>
      <xdr:rowOff>0</xdr:rowOff>
    </xdr:to>
    <xdr:sp macro="" textlink="">
      <xdr:nvSpPr>
        <xdr:cNvPr id="9340" name="OpenSolver224"/>
        <xdr:cNvSpPr/>
      </xdr:nvSpPr>
      <xdr:spPr>
        <a:xfrm>
          <a:off x="42957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114300</xdr:colOff>
      <xdr:row>8</xdr:row>
      <xdr:rowOff>114300</xdr:rowOff>
    </xdr:from>
    <xdr:to>
      <xdr:col>10</xdr:col>
      <xdr:colOff>0</xdr:colOff>
      <xdr:row>72</xdr:row>
      <xdr:rowOff>0</xdr:rowOff>
    </xdr:to>
    <xdr:sp macro="" textlink="">
      <xdr:nvSpPr>
        <xdr:cNvPr id="9341" name="OpenSolver225"/>
        <xdr:cNvSpPr/>
      </xdr:nvSpPr>
      <xdr:spPr>
        <a:xfrm>
          <a:off x="5476875" y="1676400"/>
          <a:ext cx="476250" cy="120967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47625</xdr:rowOff>
    </xdr:from>
    <xdr:to>
      <xdr:col>9</xdr:col>
      <xdr:colOff>114300</xdr:colOff>
      <xdr:row>40</xdr:row>
      <xdr:rowOff>47625</xdr:rowOff>
    </xdr:to>
    <xdr:cxnSp macro="">
      <xdr:nvCxnSpPr>
        <xdr:cNvPr id="9342" name="OpenSolver226"/>
        <xdr:cNvCxnSpPr>
          <a:stCxn id="9340" idx="3"/>
          <a:endCxn id="9341" idx="1"/>
        </xdr:cNvCxnSpPr>
      </xdr:nvCxnSpPr>
      <xdr:spPr>
        <a:xfrm>
          <a:off x="4772025" y="7724775"/>
          <a:ext cx="704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39</xdr:row>
      <xdr:rowOff>111125</xdr:rowOff>
    </xdr:from>
    <xdr:to>
      <xdr:col>8</xdr:col>
      <xdr:colOff>542925</xdr:colOff>
      <xdr:row>40</xdr:row>
      <xdr:rowOff>174625</xdr:rowOff>
    </xdr:to>
    <xdr:sp macro="" textlink="">
      <xdr:nvSpPr>
        <xdr:cNvPr id="9343" name="OpenSolver227"/>
        <xdr:cNvSpPr/>
      </xdr:nvSpPr>
      <xdr:spPr>
        <a:xfrm>
          <a:off x="4933950" y="7597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72</xdr:row>
      <xdr:rowOff>114300</xdr:rowOff>
    </xdr:from>
    <xdr:to>
      <xdr:col>8</xdr:col>
      <xdr:colOff>0</xdr:colOff>
      <xdr:row>73</xdr:row>
      <xdr:rowOff>0</xdr:rowOff>
    </xdr:to>
    <xdr:sp macro="" textlink="">
      <xdr:nvSpPr>
        <xdr:cNvPr id="9344" name="OpenSolver228"/>
        <xdr:cNvSpPr/>
      </xdr:nvSpPr>
      <xdr:spPr>
        <a:xfrm>
          <a:off x="42957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114300</xdr:colOff>
      <xdr:row>72</xdr:row>
      <xdr:rowOff>114300</xdr:rowOff>
    </xdr:from>
    <xdr:to>
      <xdr:col>10</xdr:col>
      <xdr:colOff>0</xdr:colOff>
      <xdr:row>73</xdr:row>
      <xdr:rowOff>0</xdr:rowOff>
    </xdr:to>
    <xdr:sp macro="" textlink="">
      <xdr:nvSpPr>
        <xdr:cNvPr id="9345" name="OpenSolver229"/>
        <xdr:cNvSpPr/>
      </xdr:nvSpPr>
      <xdr:spPr>
        <a:xfrm>
          <a:off x="5476875" y="13887450"/>
          <a:ext cx="476250" cy="76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152400</xdr:rowOff>
    </xdr:from>
    <xdr:to>
      <xdr:col>9</xdr:col>
      <xdr:colOff>114300</xdr:colOff>
      <xdr:row>72</xdr:row>
      <xdr:rowOff>152400</xdr:rowOff>
    </xdr:to>
    <xdr:cxnSp macro="">
      <xdr:nvCxnSpPr>
        <xdr:cNvPr id="9346" name="OpenSolver230"/>
        <xdr:cNvCxnSpPr>
          <a:stCxn id="9344" idx="3"/>
          <a:endCxn id="9345" idx="1"/>
        </xdr:cNvCxnSpPr>
      </xdr:nvCxnSpPr>
      <xdr:spPr>
        <a:xfrm>
          <a:off x="4772025" y="13925550"/>
          <a:ext cx="704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72</xdr:row>
      <xdr:rowOff>25400</xdr:rowOff>
    </xdr:from>
    <xdr:to>
      <xdr:col>8</xdr:col>
      <xdr:colOff>542925</xdr:colOff>
      <xdr:row>73</xdr:row>
      <xdr:rowOff>88900</xdr:rowOff>
    </xdr:to>
    <xdr:sp macro="" textlink="">
      <xdr:nvSpPr>
        <xdr:cNvPr id="9347" name="OpenSolver231"/>
        <xdr:cNvSpPr/>
      </xdr:nvSpPr>
      <xdr:spPr>
        <a:xfrm>
          <a:off x="4933950" y="13798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73</xdr:row>
      <xdr:rowOff>114300</xdr:rowOff>
    </xdr:from>
    <xdr:to>
      <xdr:col>8</xdr:col>
      <xdr:colOff>0</xdr:colOff>
      <xdr:row>74</xdr:row>
      <xdr:rowOff>0</xdr:rowOff>
    </xdr:to>
    <xdr:sp macro="" textlink="">
      <xdr:nvSpPr>
        <xdr:cNvPr id="9348" name="OpenSolver232"/>
        <xdr:cNvSpPr/>
      </xdr:nvSpPr>
      <xdr:spPr>
        <a:xfrm>
          <a:off x="42957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114300</xdr:colOff>
      <xdr:row>73</xdr:row>
      <xdr:rowOff>114300</xdr:rowOff>
    </xdr:from>
    <xdr:to>
      <xdr:col>10</xdr:col>
      <xdr:colOff>0</xdr:colOff>
      <xdr:row>74</xdr:row>
      <xdr:rowOff>0</xdr:rowOff>
    </xdr:to>
    <xdr:sp macro="" textlink="">
      <xdr:nvSpPr>
        <xdr:cNvPr id="9349" name="OpenSolver233"/>
        <xdr:cNvSpPr/>
      </xdr:nvSpPr>
      <xdr:spPr>
        <a:xfrm>
          <a:off x="5476875" y="14077950"/>
          <a:ext cx="476250" cy="76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152400</xdr:rowOff>
    </xdr:from>
    <xdr:to>
      <xdr:col>9</xdr:col>
      <xdr:colOff>114300</xdr:colOff>
      <xdr:row>73</xdr:row>
      <xdr:rowOff>152400</xdr:rowOff>
    </xdr:to>
    <xdr:cxnSp macro="">
      <xdr:nvCxnSpPr>
        <xdr:cNvPr id="9350" name="OpenSolver234"/>
        <xdr:cNvCxnSpPr>
          <a:stCxn id="9348" idx="3"/>
          <a:endCxn id="9349" idx="1"/>
        </xdr:cNvCxnSpPr>
      </xdr:nvCxnSpPr>
      <xdr:spPr>
        <a:xfrm>
          <a:off x="4772025" y="14116050"/>
          <a:ext cx="7048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73</xdr:row>
      <xdr:rowOff>25400</xdr:rowOff>
    </xdr:from>
    <xdr:to>
      <xdr:col>8</xdr:col>
      <xdr:colOff>542925</xdr:colOff>
      <xdr:row>74</xdr:row>
      <xdr:rowOff>88900</xdr:rowOff>
    </xdr:to>
    <xdr:sp macro="" textlink="">
      <xdr:nvSpPr>
        <xdr:cNvPr id="9351" name="OpenSolver235"/>
        <xdr:cNvSpPr/>
      </xdr:nvSpPr>
      <xdr:spPr>
        <a:xfrm>
          <a:off x="4933950" y="1398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74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352" name="OpenSolver236"/>
        <xdr:cNvSpPr/>
      </xdr:nvSpPr>
      <xdr:spPr>
        <a:xfrm>
          <a:off x="42957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114300</xdr:colOff>
      <xdr:row>74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353" name="OpenSolver237"/>
        <xdr:cNvSpPr/>
      </xdr:nvSpPr>
      <xdr:spPr>
        <a:xfrm>
          <a:off x="5476875" y="14268450"/>
          <a:ext cx="476250" cy="12077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57150</xdr:rowOff>
    </xdr:from>
    <xdr:to>
      <xdr:col>9</xdr:col>
      <xdr:colOff>114300</xdr:colOff>
      <xdr:row>106</xdr:row>
      <xdr:rowOff>57150</xdr:rowOff>
    </xdr:to>
    <xdr:cxnSp macro="">
      <xdr:nvCxnSpPr>
        <xdr:cNvPr id="9354" name="OpenSolver238"/>
        <xdr:cNvCxnSpPr>
          <a:stCxn id="9352" idx="3"/>
          <a:endCxn id="9353" idx="1"/>
        </xdr:cNvCxnSpPr>
      </xdr:nvCxnSpPr>
      <xdr:spPr>
        <a:xfrm>
          <a:off x="4772025" y="20307300"/>
          <a:ext cx="704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105</xdr:row>
      <xdr:rowOff>120650</xdr:rowOff>
    </xdr:from>
    <xdr:to>
      <xdr:col>8</xdr:col>
      <xdr:colOff>542925</xdr:colOff>
      <xdr:row>106</xdr:row>
      <xdr:rowOff>184150</xdr:rowOff>
    </xdr:to>
    <xdr:sp macro="" textlink="">
      <xdr:nvSpPr>
        <xdr:cNvPr id="9355" name="OpenSolver239"/>
        <xdr:cNvSpPr/>
      </xdr:nvSpPr>
      <xdr:spPr>
        <a:xfrm>
          <a:off x="4933950" y="2018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114300</xdr:colOff>
      <xdr:row>138</xdr:row>
      <xdr:rowOff>114300</xdr:rowOff>
    </xdr:from>
    <xdr:to>
      <xdr:col>8</xdr:col>
      <xdr:colOff>0</xdr:colOff>
      <xdr:row>139</xdr:row>
      <xdr:rowOff>0</xdr:rowOff>
    </xdr:to>
    <xdr:sp macro="" textlink="">
      <xdr:nvSpPr>
        <xdr:cNvPr id="9356" name="OpenSolver240"/>
        <xdr:cNvSpPr/>
      </xdr:nvSpPr>
      <xdr:spPr>
        <a:xfrm>
          <a:off x="42957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114300</xdr:colOff>
      <xdr:row>138</xdr:row>
      <xdr:rowOff>114300</xdr:rowOff>
    </xdr:from>
    <xdr:to>
      <xdr:col>10</xdr:col>
      <xdr:colOff>0</xdr:colOff>
      <xdr:row>139</xdr:row>
      <xdr:rowOff>0</xdr:rowOff>
    </xdr:to>
    <xdr:sp macro="" textlink="">
      <xdr:nvSpPr>
        <xdr:cNvPr id="9357" name="OpenSolver241"/>
        <xdr:cNvSpPr/>
      </xdr:nvSpPr>
      <xdr:spPr>
        <a:xfrm>
          <a:off x="5476875" y="26460450"/>
          <a:ext cx="476250" cy="762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152400</xdr:rowOff>
    </xdr:from>
    <xdr:to>
      <xdr:col>9</xdr:col>
      <xdr:colOff>114300</xdr:colOff>
      <xdr:row>138</xdr:row>
      <xdr:rowOff>152400</xdr:rowOff>
    </xdr:to>
    <xdr:cxnSp macro="">
      <xdr:nvCxnSpPr>
        <xdr:cNvPr id="9358" name="OpenSolver242"/>
        <xdr:cNvCxnSpPr>
          <a:stCxn id="9356" idx="3"/>
          <a:endCxn id="9357" idx="1"/>
        </xdr:cNvCxnSpPr>
      </xdr:nvCxnSpPr>
      <xdr:spPr>
        <a:xfrm>
          <a:off x="4772025" y="26498550"/>
          <a:ext cx="704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161925</xdr:colOff>
      <xdr:row>138</xdr:row>
      <xdr:rowOff>25400</xdr:rowOff>
    </xdr:from>
    <xdr:to>
      <xdr:col>8</xdr:col>
      <xdr:colOff>542925</xdr:colOff>
      <xdr:row>139</xdr:row>
      <xdr:rowOff>88900</xdr:rowOff>
    </xdr:to>
    <xdr:sp macro="" textlink="">
      <xdr:nvSpPr>
        <xdr:cNvPr id="9359" name="OpenSolver243"/>
        <xdr:cNvSpPr/>
      </xdr:nvSpPr>
      <xdr:spPr>
        <a:xfrm>
          <a:off x="4933950" y="26371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6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360" name="OpenSolver244"/>
        <xdr:cNvSpPr/>
      </xdr:nvSpPr>
      <xdr:spPr>
        <a:xfrm>
          <a:off x="43084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127000</xdr:colOff>
      <xdr:row>6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361" name="OpenSolver245"/>
        <xdr:cNvSpPr/>
      </xdr:nvSpPr>
      <xdr:spPr>
        <a:xfrm>
          <a:off x="5489575" y="1308100"/>
          <a:ext cx="463550" cy="25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63500</xdr:rowOff>
    </xdr:from>
    <xdr:to>
      <xdr:col>9</xdr:col>
      <xdr:colOff>127000</xdr:colOff>
      <xdr:row>7</xdr:row>
      <xdr:rowOff>63500</xdr:rowOff>
    </xdr:to>
    <xdr:cxnSp macro="">
      <xdr:nvCxnSpPr>
        <xdr:cNvPr id="9362" name="OpenSolver246"/>
        <xdr:cNvCxnSpPr>
          <a:stCxn id="9360" idx="3"/>
          <a:endCxn id="9361" idx="1"/>
        </xdr:cNvCxnSpPr>
      </xdr:nvCxnSpPr>
      <xdr:spPr>
        <a:xfrm>
          <a:off x="4772025" y="1435100"/>
          <a:ext cx="717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6</xdr:row>
      <xdr:rowOff>127000</xdr:rowOff>
    </xdr:from>
    <xdr:to>
      <xdr:col>8</xdr:col>
      <xdr:colOff>549275</xdr:colOff>
      <xdr:row>8</xdr:row>
      <xdr:rowOff>0</xdr:rowOff>
    </xdr:to>
    <xdr:sp macro="" textlink="">
      <xdr:nvSpPr>
        <xdr:cNvPr id="9363" name="OpenSolver247"/>
        <xdr:cNvSpPr/>
      </xdr:nvSpPr>
      <xdr:spPr>
        <a:xfrm>
          <a:off x="4940300" y="13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8</xdr:row>
      <xdr:rowOff>127000</xdr:rowOff>
    </xdr:from>
    <xdr:to>
      <xdr:col>8</xdr:col>
      <xdr:colOff>0</xdr:colOff>
      <xdr:row>72</xdr:row>
      <xdr:rowOff>0</xdr:rowOff>
    </xdr:to>
    <xdr:sp macro="" textlink="">
      <xdr:nvSpPr>
        <xdr:cNvPr id="9364" name="OpenSolver248"/>
        <xdr:cNvSpPr/>
      </xdr:nvSpPr>
      <xdr:spPr>
        <a:xfrm>
          <a:off x="43084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127000</xdr:colOff>
      <xdr:row>8</xdr:row>
      <xdr:rowOff>127000</xdr:rowOff>
    </xdr:from>
    <xdr:to>
      <xdr:col>10</xdr:col>
      <xdr:colOff>0</xdr:colOff>
      <xdr:row>72</xdr:row>
      <xdr:rowOff>0</xdr:rowOff>
    </xdr:to>
    <xdr:sp macro="" textlink="">
      <xdr:nvSpPr>
        <xdr:cNvPr id="9365" name="OpenSolver249"/>
        <xdr:cNvSpPr/>
      </xdr:nvSpPr>
      <xdr:spPr>
        <a:xfrm>
          <a:off x="5489575" y="1689100"/>
          <a:ext cx="463550" cy="120840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53975</xdr:rowOff>
    </xdr:from>
    <xdr:to>
      <xdr:col>9</xdr:col>
      <xdr:colOff>127000</xdr:colOff>
      <xdr:row>40</xdr:row>
      <xdr:rowOff>53975</xdr:rowOff>
    </xdr:to>
    <xdr:cxnSp macro="">
      <xdr:nvCxnSpPr>
        <xdr:cNvPr id="9366" name="OpenSolver250"/>
        <xdr:cNvCxnSpPr>
          <a:stCxn id="9364" idx="3"/>
          <a:endCxn id="9365" idx="1"/>
        </xdr:cNvCxnSpPr>
      </xdr:nvCxnSpPr>
      <xdr:spPr>
        <a:xfrm>
          <a:off x="4772025" y="7731125"/>
          <a:ext cx="717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39</xdr:row>
      <xdr:rowOff>117475</xdr:rowOff>
    </xdr:from>
    <xdr:to>
      <xdr:col>8</xdr:col>
      <xdr:colOff>549275</xdr:colOff>
      <xdr:row>40</xdr:row>
      <xdr:rowOff>180975</xdr:rowOff>
    </xdr:to>
    <xdr:sp macro="" textlink="">
      <xdr:nvSpPr>
        <xdr:cNvPr id="9367" name="OpenSolver251"/>
        <xdr:cNvSpPr/>
      </xdr:nvSpPr>
      <xdr:spPr>
        <a:xfrm>
          <a:off x="4940300" y="7604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72</xdr:row>
      <xdr:rowOff>127000</xdr:rowOff>
    </xdr:from>
    <xdr:to>
      <xdr:col>8</xdr:col>
      <xdr:colOff>0</xdr:colOff>
      <xdr:row>73</xdr:row>
      <xdr:rowOff>0</xdr:rowOff>
    </xdr:to>
    <xdr:sp macro="" textlink="">
      <xdr:nvSpPr>
        <xdr:cNvPr id="9368" name="OpenSolver252"/>
        <xdr:cNvSpPr/>
      </xdr:nvSpPr>
      <xdr:spPr>
        <a:xfrm>
          <a:off x="43084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127000</xdr:colOff>
      <xdr:row>72</xdr:row>
      <xdr:rowOff>127000</xdr:rowOff>
    </xdr:from>
    <xdr:to>
      <xdr:col>10</xdr:col>
      <xdr:colOff>0</xdr:colOff>
      <xdr:row>73</xdr:row>
      <xdr:rowOff>0</xdr:rowOff>
    </xdr:to>
    <xdr:sp macro="" textlink="">
      <xdr:nvSpPr>
        <xdr:cNvPr id="9369" name="OpenSolver253"/>
        <xdr:cNvSpPr/>
      </xdr:nvSpPr>
      <xdr:spPr>
        <a:xfrm>
          <a:off x="5489575" y="13900150"/>
          <a:ext cx="463550" cy="6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158750</xdr:rowOff>
    </xdr:from>
    <xdr:to>
      <xdr:col>9</xdr:col>
      <xdr:colOff>127000</xdr:colOff>
      <xdr:row>72</xdr:row>
      <xdr:rowOff>158750</xdr:rowOff>
    </xdr:to>
    <xdr:cxnSp macro="">
      <xdr:nvCxnSpPr>
        <xdr:cNvPr id="9370" name="OpenSolver254"/>
        <xdr:cNvCxnSpPr>
          <a:stCxn id="9368" idx="3"/>
          <a:endCxn id="9369" idx="1"/>
        </xdr:cNvCxnSpPr>
      </xdr:nvCxnSpPr>
      <xdr:spPr>
        <a:xfrm>
          <a:off x="4772025" y="13931900"/>
          <a:ext cx="717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72</xdr:row>
      <xdr:rowOff>31750</xdr:rowOff>
    </xdr:from>
    <xdr:to>
      <xdr:col>8</xdr:col>
      <xdr:colOff>549275</xdr:colOff>
      <xdr:row>73</xdr:row>
      <xdr:rowOff>95250</xdr:rowOff>
    </xdr:to>
    <xdr:sp macro="" textlink="">
      <xdr:nvSpPr>
        <xdr:cNvPr id="9371" name="OpenSolver255"/>
        <xdr:cNvSpPr/>
      </xdr:nvSpPr>
      <xdr:spPr>
        <a:xfrm>
          <a:off x="4940300" y="13804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73</xdr:row>
      <xdr:rowOff>127000</xdr:rowOff>
    </xdr:from>
    <xdr:to>
      <xdr:col>8</xdr:col>
      <xdr:colOff>0</xdr:colOff>
      <xdr:row>74</xdr:row>
      <xdr:rowOff>0</xdr:rowOff>
    </xdr:to>
    <xdr:sp macro="" textlink="">
      <xdr:nvSpPr>
        <xdr:cNvPr id="9372" name="OpenSolver256"/>
        <xdr:cNvSpPr/>
      </xdr:nvSpPr>
      <xdr:spPr>
        <a:xfrm>
          <a:off x="43084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127000</xdr:colOff>
      <xdr:row>73</xdr:row>
      <xdr:rowOff>127000</xdr:rowOff>
    </xdr:from>
    <xdr:to>
      <xdr:col>10</xdr:col>
      <xdr:colOff>0</xdr:colOff>
      <xdr:row>74</xdr:row>
      <xdr:rowOff>0</xdr:rowOff>
    </xdr:to>
    <xdr:sp macro="" textlink="">
      <xdr:nvSpPr>
        <xdr:cNvPr id="9373" name="OpenSolver257"/>
        <xdr:cNvSpPr/>
      </xdr:nvSpPr>
      <xdr:spPr>
        <a:xfrm>
          <a:off x="5489575" y="14090650"/>
          <a:ext cx="463550" cy="6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158750</xdr:rowOff>
    </xdr:from>
    <xdr:to>
      <xdr:col>9</xdr:col>
      <xdr:colOff>127000</xdr:colOff>
      <xdr:row>73</xdr:row>
      <xdr:rowOff>158750</xdr:rowOff>
    </xdr:to>
    <xdr:cxnSp macro="">
      <xdr:nvCxnSpPr>
        <xdr:cNvPr id="9374" name="OpenSolver258"/>
        <xdr:cNvCxnSpPr>
          <a:stCxn id="9372" idx="3"/>
          <a:endCxn id="9373" idx="1"/>
        </xdr:cNvCxnSpPr>
      </xdr:nvCxnSpPr>
      <xdr:spPr>
        <a:xfrm>
          <a:off x="4772025" y="14122400"/>
          <a:ext cx="717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73</xdr:row>
      <xdr:rowOff>31750</xdr:rowOff>
    </xdr:from>
    <xdr:to>
      <xdr:col>8</xdr:col>
      <xdr:colOff>549275</xdr:colOff>
      <xdr:row>74</xdr:row>
      <xdr:rowOff>95250</xdr:rowOff>
    </xdr:to>
    <xdr:sp macro="" textlink="">
      <xdr:nvSpPr>
        <xdr:cNvPr id="9375" name="OpenSolver259"/>
        <xdr:cNvSpPr/>
      </xdr:nvSpPr>
      <xdr:spPr>
        <a:xfrm>
          <a:off x="4940300" y="1399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74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376" name="OpenSolver260"/>
        <xdr:cNvSpPr/>
      </xdr:nvSpPr>
      <xdr:spPr>
        <a:xfrm>
          <a:off x="43084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127000</xdr:colOff>
      <xdr:row>74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377" name="OpenSolver261"/>
        <xdr:cNvSpPr/>
      </xdr:nvSpPr>
      <xdr:spPr>
        <a:xfrm>
          <a:off x="5489575" y="14281150"/>
          <a:ext cx="463550" cy="12065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63500</xdr:rowOff>
    </xdr:from>
    <xdr:to>
      <xdr:col>9</xdr:col>
      <xdr:colOff>127000</xdr:colOff>
      <xdr:row>106</xdr:row>
      <xdr:rowOff>63500</xdr:rowOff>
    </xdr:to>
    <xdr:cxnSp macro="">
      <xdr:nvCxnSpPr>
        <xdr:cNvPr id="9378" name="OpenSolver262"/>
        <xdr:cNvCxnSpPr>
          <a:stCxn id="9376" idx="3"/>
          <a:endCxn id="9377" idx="1"/>
        </xdr:cNvCxnSpPr>
      </xdr:nvCxnSpPr>
      <xdr:spPr>
        <a:xfrm>
          <a:off x="4772025" y="20313650"/>
          <a:ext cx="717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105</xdr:row>
      <xdr:rowOff>127000</xdr:rowOff>
    </xdr:from>
    <xdr:to>
      <xdr:col>8</xdr:col>
      <xdr:colOff>549275</xdr:colOff>
      <xdr:row>107</xdr:row>
      <xdr:rowOff>0</xdr:rowOff>
    </xdr:to>
    <xdr:sp macro="" textlink="">
      <xdr:nvSpPr>
        <xdr:cNvPr id="9379" name="OpenSolver263"/>
        <xdr:cNvSpPr/>
      </xdr:nvSpPr>
      <xdr:spPr>
        <a:xfrm>
          <a:off x="4940300" y="20186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127000</xdr:colOff>
      <xdr:row>138</xdr:row>
      <xdr:rowOff>127000</xdr:rowOff>
    </xdr:from>
    <xdr:to>
      <xdr:col>8</xdr:col>
      <xdr:colOff>0</xdr:colOff>
      <xdr:row>139</xdr:row>
      <xdr:rowOff>0</xdr:rowOff>
    </xdr:to>
    <xdr:sp macro="" textlink="">
      <xdr:nvSpPr>
        <xdr:cNvPr id="9380" name="OpenSolver264"/>
        <xdr:cNvSpPr/>
      </xdr:nvSpPr>
      <xdr:spPr>
        <a:xfrm>
          <a:off x="43084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127000</xdr:colOff>
      <xdr:row>138</xdr:row>
      <xdr:rowOff>127000</xdr:rowOff>
    </xdr:from>
    <xdr:to>
      <xdr:col>10</xdr:col>
      <xdr:colOff>0</xdr:colOff>
      <xdr:row>139</xdr:row>
      <xdr:rowOff>0</xdr:rowOff>
    </xdr:to>
    <xdr:sp macro="" textlink="">
      <xdr:nvSpPr>
        <xdr:cNvPr id="9381" name="OpenSolver265"/>
        <xdr:cNvSpPr/>
      </xdr:nvSpPr>
      <xdr:spPr>
        <a:xfrm>
          <a:off x="5489575" y="26473150"/>
          <a:ext cx="463550" cy="6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158750</xdr:rowOff>
    </xdr:from>
    <xdr:to>
      <xdr:col>9</xdr:col>
      <xdr:colOff>127000</xdr:colOff>
      <xdr:row>138</xdr:row>
      <xdr:rowOff>158750</xdr:rowOff>
    </xdr:to>
    <xdr:cxnSp macro="">
      <xdr:nvCxnSpPr>
        <xdr:cNvPr id="9382" name="OpenSolver266"/>
        <xdr:cNvCxnSpPr>
          <a:stCxn id="9380" idx="3"/>
          <a:endCxn id="9381" idx="1"/>
        </xdr:cNvCxnSpPr>
      </xdr:nvCxnSpPr>
      <xdr:spPr>
        <a:xfrm>
          <a:off x="4772025" y="26504900"/>
          <a:ext cx="717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168275</xdr:colOff>
      <xdr:row>138</xdr:row>
      <xdr:rowOff>31750</xdr:rowOff>
    </xdr:from>
    <xdr:to>
      <xdr:col>8</xdr:col>
      <xdr:colOff>549275</xdr:colOff>
      <xdr:row>139</xdr:row>
      <xdr:rowOff>95250</xdr:rowOff>
    </xdr:to>
    <xdr:sp macro="" textlink="">
      <xdr:nvSpPr>
        <xdr:cNvPr id="9383" name="OpenSolver267"/>
        <xdr:cNvSpPr/>
      </xdr:nvSpPr>
      <xdr:spPr>
        <a:xfrm>
          <a:off x="4940300" y="26377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6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384" name="OpenSolver268"/>
        <xdr:cNvSpPr/>
      </xdr:nvSpPr>
      <xdr:spPr>
        <a:xfrm>
          <a:off x="43211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139700</xdr:colOff>
      <xdr:row>6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385" name="OpenSolver269"/>
        <xdr:cNvSpPr/>
      </xdr:nvSpPr>
      <xdr:spPr>
        <a:xfrm>
          <a:off x="5502275" y="1320800"/>
          <a:ext cx="450850" cy="2413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69850</xdr:rowOff>
    </xdr:from>
    <xdr:to>
      <xdr:col>9</xdr:col>
      <xdr:colOff>139700</xdr:colOff>
      <xdr:row>7</xdr:row>
      <xdr:rowOff>69850</xdr:rowOff>
    </xdr:to>
    <xdr:cxnSp macro="">
      <xdr:nvCxnSpPr>
        <xdr:cNvPr id="9386" name="OpenSolver270"/>
        <xdr:cNvCxnSpPr>
          <a:stCxn id="9384" idx="3"/>
          <a:endCxn id="9385" idx="1"/>
        </xdr:cNvCxnSpPr>
      </xdr:nvCxnSpPr>
      <xdr:spPr>
        <a:xfrm>
          <a:off x="4772025" y="1441450"/>
          <a:ext cx="7302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6</xdr:row>
      <xdr:rowOff>133350</xdr:rowOff>
    </xdr:from>
    <xdr:to>
      <xdr:col>8</xdr:col>
      <xdr:colOff>555625</xdr:colOff>
      <xdr:row>8</xdr:row>
      <xdr:rowOff>6350</xdr:rowOff>
    </xdr:to>
    <xdr:sp macro="" textlink="">
      <xdr:nvSpPr>
        <xdr:cNvPr id="9387" name="OpenSolver271"/>
        <xdr:cNvSpPr/>
      </xdr:nvSpPr>
      <xdr:spPr>
        <a:xfrm>
          <a:off x="4946650" y="13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8</xdr:row>
      <xdr:rowOff>139700</xdr:rowOff>
    </xdr:from>
    <xdr:to>
      <xdr:col>8</xdr:col>
      <xdr:colOff>0</xdr:colOff>
      <xdr:row>72</xdr:row>
      <xdr:rowOff>0</xdr:rowOff>
    </xdr:to>
    <xdr:sp macro="" textlink="">
      <xdr:nvSpPr>
        <xdr:cNvPr id="9388" name="OpenSolver272"/>
        <xdr:cNvSpPr/>
      </xdr:nvSpPr>
      <xdr:spPr>
        <a:xfrm>
          <a:off x="43211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139700</xdr:colOff>
      <xdr:row>8</xdr:row>
      <xdr:rowOff>139700</xdr:rowOff>
    </xdr:from>
    <xdr:to>
      <xdr:col>10</xdr:col>
      <xdr:colOff>0</xdr:colOff>
      <xdr:row>72</xdr:row>
      <xdr:rowOff>0</xdr:rowOff>
    </xdr:to>
    <xdr:sp macro="" textlink="">
      <xdr:nvSpPr>
        <xdr:cNvPr id="9389" name="OpenSolver273"/>
        <xdr:cNvSpPr/>
      </xdr:nvSpPr>
      <xdr:spPr>
        <a:xfrm>
          <a:off x="5502275" y="1701800"/>
          <a:ext cx="450850" cy="120713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60325</xdr:rowOff>
    </xdr:from>
    <xdr:to>
      <xdr:col>9</xdr:col>
      <xdr:colOff>139700</xdr:colOff>
      <xdr:row>40</xdr:row>
      <xdr:rowOff>60325</xdr:rowOff>
    </xdr:to>
    <xdr:cxnSp macro="">
      <xdr:nvCxnSpPr>
        <xdr:cNvPr id="9390" name="OpenSolver274"/>
        <xdr:cNvCxnSpPr>
          <a:stCxn id="9388" idx="3"/>
          <a:endCxn id="9389" idx="1"/>
        </xdr:cNvCxnSpPr>
      </xdr:nvCxnSpPr>
      <xdr:spPr>
        <a:xfrm>
          <a:off x="4772025" y="7737475"/>
          <a:ext cx="730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39</xdr:row>
      <xdr:rowOff>123825</xdr:rowOff>
    </xdr:from>
    <xdr:to>
      <xdr:col>8</xdr:col>
      <xdr:colOff>555625</xdr:colOff>
      <xdr:row>40</xdr:row>
      <xdr:rowOff>187325</xdr:rowOff>
    </xdr:to>
    <xdr:sp macro="" textlink="">
      <xdr:nvSpPr>
        <xdr:cNvPr id="9391" name="OpenSolver275"/>
        <xdr:cNvSpPr/>
      </xdr:nvSpPr>
      <xdr:spPr>
        <a:xfrm>
          <a:off x="4946650" y="7610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72</xdr:row>
      <xdr:rowOff>139700</xdr:rowOff>
    </xdr:from>
    <xdr:to>
      <xdr:col>8</xdr:col>
      <xdr:colOff>0</xdr:colOff>
      <xdr:row>73</xdr:row>
      <xdr:rowOff>0</xdr:rowOff>
    </xdr:to>
    <xdr:sp macro="" textlink="">
      <xdr:nvSpPr>
        <xdr:cNvPr id="9392" name="OpenSolver276"/>
        <xdr:cNvSpPr/>
      </xdr:nvSpPr>
      <xdr:spPr>
        <a:xfrm>
          <a:off x="43211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139700</xdr:colOff>
      <xdr:row>72</xdr:row>
      <xdr:rowOff>139700</xdr:rowOff>
    </xdr:from>
    <xdr:to>
      <xdr:col>10</xdr:col>
      <xdr:colOff>0</xdr:colOff>
      <xdr:row>73</xdr:row>
      <xdr:rowOff>0</xdr:rowOff>
    </xdr:to>
    <xdr:sp macro="" textlink="">
      <xdr:nvSpPr>
        <xdr:cNvPr id="9393" name="OpenSolver277"/>
        <xdr:cNvSpPr/>
      </xdr:nvSpPr>
      <xdr:spPr>
        <a:xfrm>
          <a:off x="5502275" y="13912850"/>
          <a:ext cx="450850" cy="50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165100</xdr:rowOff>
    </xdr:from>
    <xdr:to>
      <xdr:col>9</xdr:col>
      <xdr:colOff>139700</xdr:colOff>
      <xdr:row>72</xdr:row>
      <xdr:rowOff>165100</xdr:rowOff>
    </xdr:to>
    <xdr:cxnSp macro="">
      <xdr:nvCxnSpPr>
        <xdr:cNvPr id="9394" name="OpenSolver278"/>
        <xdr:cNvCxnSpPr>
          <a:stCxn id="9392" idx="3"/>
          <a:endCxn id="9393" idx="1"/>
        </xdr:cNvCxnSpPr>
      </xdr:nvCxnSpPr>
      <xdr:spPr>
        <a:xfrm>
          <a:off x="4772025" y="13938250"/>
          <a:ext cx="730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72</xdr:row>
      <xdr:rowOff>38100</xdr:rowOff>
    </xdr:from>
    <xdr:to>
      <xdr:col>8</xdr:col>
      <xdr:colOff>555625</xdr:colOff>
      <xdr:row>73</xdr:row>
      <xdr:rowOff>101600</xdr:rowOff>
    </xdr:to>
    <xdr:sp macro="" textlink="">
      <xdr:nvSpPr>
        <xdr:cNvPr id="9395" name="OpenSolver279"/>
        <xdr:cNvSpPr/>
      </xdr:nvSpPr>
      <xdr:spPr>
        <a:xfrm>
          <a:off x="4946650" y="13811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73</xdr:row>
      <xdr:rowOff>139700</xdr:rowOff>
    </xdr:from>
    <xdr:to>
      <xdr:col>8</xdr:col>
      <xdr:colOff>0</xdr:colOff>
      <xdr:row>74</xdr:row>
      <xdr:rowOff>0</xdr:rowOff>
    </xdr:to>
    <xdr:sp macro="" textlink="">
      <xdr:nvSpPr>
        <xdr:cNvPr id="9396" name="OpenSolver280"/>
        <xdr:cNvSpPr/>
      </xdr:nvSpPr>
      <xdr:spPr>
        <a:xfrm>
          <a:off x="43211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139700</xdr:colOff>
      <xdr:row>73</xdr:row>
      <xdr:rowOff>139700</xdr:rowOff>
    </xdr:from>
    <xdr:to>
      <xdr:col>10</xdr:col>
      <xdr:colOff>0</xdr:colOff>
      <xdr:row>74</xdr:row>
      <xdr:rowOff>0</xdr:rowOff>
    </xdr:to>
    <xdr:sp macro="" textlink="">
      <xdr:nvSpPr>
        <xdr:cNvPr id="9397" name="OpenSolver281"/>
        <xdr:cNvSpPr/>
      </xdr:nvSpPr>
      <xdr:spPr>
        <a:xfrm>
          <a:off x="5502275" y="14103350"/>
          <a:ext cx="450850" cy="50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165100</xdr:rowOff>
    </xdr:from>
    <xdr:to>
      <xdr:col>9</xdr:col>
      <xdr:colOff>139700</xdr:colOff>
      <xdr:row>73</xdr:row>
      <xdr:rowOff>165100</xdr:rowOff>
    </xdr:to>
    <xdr:cxnSp macro="">
      <xdr:nvCxnSpPr>
        <xdr:cNvPr id="9398" name="OpenSolver282"/>
        <xdr:cNvCxnSpPr>
          <a:stCxn id="9396" idx="3"/>
          <a:endCxn id="9397" idx="1"/>
        </xdr:cNvCxnSpPr>
      </xdr:nvCxnSpPr>
      <xdr:spPr>
        <a:xfrm>
          <a:off x="4772025" y="14128750"/>
          <a:ext cx="7302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73</xdr:row>
      <xdr:rowOff>38100</xdr:rowOff>
    </xdr:from>
    <xdr:to>
      <xdr:col>8</xdr:col>
      <xdr:colOff>555625</xdr:colOff>
      <xdr:row>74</xdr:row>
      <xdr:rowOff>101600</xdr:rowOff>
    </xdr:to>
    <xdr:sp macro="" textlink="">
      <xdr:nvSpPr>
        <xdr:cNvPr id="9399" name="OpenSolver283"/>
        <xdr:cNvSpPr/>
      </xdr:nvSpPr>
      <xdr:spPr>
        <a:xfrm>
          <a:off x="4946650" y="140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74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400" name="OpenSolver284"/>
        <xdr:cNvSpPr/>
      </xdr:nvSpPr>
      <xdr:spPr>
        <a:xfrm>
          <a:off x="43211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139700</xdr:colOff>
      <xdr:row>74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401" name="OpenSolver285"/>
        <xdr:cNvSpPr/>
      </xdr:nvSpPr>
      <xdr:spPr>
        <a:xfrm>
          <a:off x="5502275" y="14293850"/>
          <a:ext cx="450850" cy="12052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69850</xdr:rowOff>
    </xdr:from>
    <xdr:to>
      <xdr:col>9</xdr:col>
      <xdr:colOff>139700</xdr:colOff>
      <xdr:row>106</xdr:row>
      <xdr:rowOff>69850</xdr:rowOff>
    </xdr:to>
    <xdr:cxnSp macro="">
      <xdr:nvCxnSpPr>
        <xdr:cNvPr id="9402" name="OpenSolver286"/>
        <xdr:cNvCxnSpPr>
          <a:stCxn id="9400" idx="3"/>
          <a:endCxn id="9401" idx="1"/>
        </xdr:cNvCxnSpPr>
      </xdr:nvCxnSpPr>
      <xdr:spPr>
        <a:xfrm>
          <a:off x="4772025" y="20320000"/>
          <a:ext cx="730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105</xdr:row>
      <xdr:rowOff>133350</xdr:rowOff>
    </xdr:from>
    <xdr:to>
      <xdr:col>8</xdr:col>
      <xdr:colOff>555625</xdr:colOff>
      <xdr:row>107</xdr:row>
      <xdr:rowOff>6350</xdr:rowOff>
    </xdr:to>
    <xdr:sp macro="" textlink="">
      <xdr:nvSpPr>
        <xdr:cNvPr id="9403" name="OpenSolver287"/>
        <xdr:cNvSpPr/>
      </xdr:nvSpPr>
      <xdr:spPr>
        <a:xfrm>
          <a:off x="4946650" y="20193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139700</xdr:colOff>
      <xdr:row>138</xdr:row>
      <xdr:rowOff>139700</xdr:rowOff>
    </xdr:from>
    <xdr:to>
      <xdr:col>8</xdr:col>
      <xdr:colOff>0</xdr:colOff>
      <xdr:row>139</xdr:row>
      <xdr:rowOff>0</xdr:rowOff>
    </xdr:to>
    <xdr:sp macro="" textlink="">
      <xdr:nvSpPr>
        <xdr:cNvPr id="9404" name="OpenSolver288"/>
        <xdr:cNvSpPr/>
      </xdr:nvSpPr>
      <xdr:spPr>
        <a:xfrm>
          <a:off x="43211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139700</xdr:colOff>
      <xdr:row>138</xdr:row>
      <xdr:rowOff>139700</xdr:rowOff>
    </xdr:from>
    <xdr:to>
      <xdr:col>10</xdr:col>
      <xdr:colOff>0</xdr:colOff>
      <xdr:row>139</xdr:row>
      <xdr:rowOff>0</xdr:rowOff>
    </xdr:to>
    <xdr:sp macro="" textlink="">
      <xdr:nvSpPr>
        <xdr:cNvPr id="9405" name="OpenSolver289"/>
        <xdr:cNvSpPr/>
      </xdr:nvSpPr>
      <xdr:spPr>
        <a:xfrm>
          <a:off x="5502275" y="26485850"/>
          <a:ext cx="450850" cy="50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165100</xdr:rowOff>
    </xdr:from>
    <xdr:to>
      <xdr:col>9</xdr:col>
      <xdr:colOff>139700</xdr:colOff>
      <xdr:row>138</xdr:row>
      <xdr:rowOff>165100</xdr:rowOff>
    </xdr:to>
    <xdr:cxnSp macro="">
      <xdr:nvCxnSpPr>
        <xdr:cNvPr id="9406" name="OpenSolver290"/>
        <xdr:cNvCxnSpPr>
          <a:stCxn id="9404" idx="3"/>
          <a:endCxn id="9405" idx="1"/>
        </xdr:cNvCxnSpPr>
      </xdr:nvCxnSpPr>
      <xdr:spPr>
        <a:xfrm>
          <a:off x="4772025" y="26511250"/>
          <a:ext cx="730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174625</xdr:colOff>
      <xdr:row>138</xdr:row>
      <xdr:rowOff>38100</xdr:rowOff>
    </xdr:from>
    <xdr:to>
      <xdr:col>8</xdr:col>
      <xdr:colOff>555625</xdr:colOff>
      <xdr:row>139</xdr:row>
      <xdr:rowOff>101600</xdr:rowOff>
    </xdr:to>
    <xdr:sp macro="" textlink="">
      <xdr:nvSpPr>
        <xdr:cNvPr id="9407" name="OpenSolver291"/>
        <xdr:cNvSpPr/>
      </xdr:nvSpPr>
      <xdr:spPr>
        <a:xfrm>
          <a:off x="4946650" y="2638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6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408" name="OpenSolver292"/>
        <xdr:cNvSpPr/>
      </xdr:nvSpPr>
      <xdr:spPr>
        <a:xfrm>
          <a:off x="43338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152400</xdr:colOff>
      <xdr:row>6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409" name="OpenSolver293"/>
        <xdr:cNvSpPr/>
      </xdr:nvSpPr>
      <xdr:spPr>
        <a:xfrm>
          <a:off x="5514975" y="1333500"/>
          <a:ext cx="438150" cy="2286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76200</xdr:rowOff>
    </xdr:from>
    <xdr:to>
      <xdr:col>9</xdr:col>
      <xdr:colOff>152400</xdr:colOff>
      <xdr:row>7</xdr:row>
      <xdr:rowOff>76200</xdr:rowOff>
    </xdr:to>
    <xdr:cxnSp macro="">
      <xdr:nvCxnSpPr>
        <xdr:cNvPr id="9410" name="OpenSolver294"/>
        <xdr:cNvCxnSpPr>
          <a:stCxn id="9408" idx="3"/>
          <a:endCxn id="9409" idx="1"/>
        </xdr:cNvCxnSpPr>
      </xdr:nvCxnSpPr>
      <xdr:spPr>
        <a:xfrm>
          <a:off x="4772025" y="1447800"/>
          <a:ext cx="7429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6</xdr:row>
      <xdr:rowOff>139700</xdr:rowOff>
    </xdr:from>
    <xdr:to>
      <xdr:col>8</xdr:col>
      <xdr:colOff>561975</xdr:colOff>
      <xdr:row>8</xdr:row>
      <xdr:rowOff>12700</xdr:rowOff>
    </xdr:to>
    <xdr:sp macro="" textlink="">
      <xdr:nvSpPr>
        <xdr:cNvPr id="9411" name="OpenSolver295"/>
        <xdr:cNvSpPr/>
      </xdr:nvSpPr>
      <xdr:spPr>
        <a:xfrm>
          <a:off x="4953000" y="13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8</xdr:row>
      <xdr:rowOff>152400</xdr:rowOff>
    </xdr:from>
    <xdr:to>
      <xdr:col>8</xdr:col>
      <xdr:colOff>0</xdr:colOff>
      <xdr:row>72</xdr:row>
      <xdr:rowOff>0</xdr:rowOff>
    </xdr:to>
    <xdr:sp macro="" textlink="">
      <xdr:nvSpPr>
        <xdr:cNvPr id="9412" name="OpenSolver296"/>
        <xdr:cNvSpPr/>
      </xdr:nvSpPr>
      <xdr:spPr>
        <a:xfrm>
          <a:off x="43338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152400</xdr:colOff>
      <xdr:row>8</xdr:row>
      <xdr:rowOff>152400</xdr:rowOff>
    </xdr:from>
    <xdr:to>
      <xdr:col>10</xdr:col>
      <xdr:colOff>0</xdr:colOff>
      <xdr:row>72</xdr:row>
      <xdr:rowOff>0</xdr:rowOff>
    </xdr:to>
    <xdr:sp macro="" textlink="">
      <xdr:nvSpPr>
        <xdr:cNvPr id="9413" name="OpenSolver297"/>
        <xdr:cNvSpPr/>
      </xdr:nvSpPr>
      <xdr:spPr>
        <a:xfrm>
          <a:off x="5514975" y="1714500"/>
          <a:ext cx="438150" cy="120586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66675</xdr:rowOff>
    </xdr:from>
    <xdr:to>
      <xdr:col>9</xdr:col>
      <xdr:colOff>152400</xdr:colOff>
      <xdr:row>40</xdr:row>
      <xdr:rowOff>66675</xdr:rowOff>
    </xdr:to>
    <xdr:cxnSp macro="">
      <xdr:nvCxnSpPr>
        <xdr:cNvPr id="9414" name="OpenSolver298"/>
        <xdr:cNvCxnSpPr>
          <a:stCxn id="9412" idx="3"/>
          <a:endCxn id="9413" idx="1"/>
        </xdr:cNvCxnSpPr>
      </xdr:nvCxnSpPr>
      <xdr:spPr>
        <a:xfrm>
          <a:off x="4772025" y="7743825"/>
          <a:ext cx="742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39</xdr:row>
      <xdr:rowOff>130175</xdr:rowOff>
    </xdr:from>
    <xdr:to>
      <xdr:col>8</xdr:col>
      <xdr:colOff>561975</xdr:colOff>
      <xdr:row>41</xdr:row>
      <xdr:rowOff>3175</xdr:rowOff>
    </xdr:to>
    <xdr:sp macro="" textlink="">
      <xdr:nvSpPr>
        <xdr:cNvPr id="9415" name="OpenSolver299"/>
        <xdr:cNvSpPr/>
      </xdr:nvSpPr>
      <xdr:spPr>
        <a:xfrm>
          <a:off x="4953000" y="7616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72</xdr:row>
      <xdr:rowOff>152400</xdr:rowOff>
    </xdr:from>
    <xdr:to>
      <xdr:col>8</xdr:col>
      <xdr:colOff>0</xdr:colOff>
      <xdr:row>73</xdr:row>
      <xdr:rowOff>0</xdr:rowOff>
    </xdr:to>
    <xdr:sp macro="" textlink="">
      <xdr:nvSpPr>
        <xdr:cNvPr id="9416" name="OpenSolver300"/>
        <xdr:cNvSpPr/>
      </xdr:nvSpPr>
      <xdr:spPr>
        <a:xfrm>
          <a:off x="43338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152400</xdr:colOff>
      <xdr:row>72</xdr:row>
      <xdr:rowOff>152400</xdr:rowOff>
    </xdr:from>
    <xdr:to>
      <xdr:col>10</xdr:col>
      <xdr:colOff>0</xdr:colOff>
      <xdr:row>73</xdr:row>
      <xdr:rowOff>0</xdr:rowOff>
    </xdr:to>
    <xdr:sp macro="" textlink="">
      <xdr:nvSpPr>
        <xdr:cNvPr id="9417" name="OpenSolver301"/>
        <xdr:cNvSpPr/>
      </xdr:nvSpPr>
      <xdr:spPr>
        <a:xfrm>
          <a:off x="5514975" y="13925550"/>
          <a:ext cx="438150" cy="38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171450</xdr:rowOff>
    </xdr:from>
    <xdr:to>
      <xdr:col>9</xdr:col>
      <xdr:colOff>152400</xdr:colOff>
      <xdr:row>72</xdr:row>
      <xdr:rowOff>171450</xdr:rowOff>
    </xdr:to>
    <xdr:cxnSp macro="">
      <xdr:nvCxnSpPr>
        <xdr:cNvPr id="9418" name="OpenSolver302"/>
        <xdr:cNvCxnSpPr>
          <a:stCxn id="9416" idx="3"/>
          <a:endCxn id="9417" idx="1"/>
        </xdr:cNvCxnSpPr>
      </xdr:nvCxnSpPr>
      <xdr:spPr>
        <a:xfrm>
          <a:off x="4772025" y="13944600"/>
          <a:ext cx="742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72</xdr:row>
      <xdr:rowOff>44450</xdr:rowOff>
    </xdr:from>
    <xdr:to>
      <xdr:col>8</xdr:col>
      <xdr:colOff>561975</xdr:colOff>
      <xdr:row>73</xdr:row>
      <xdr:rowOff>107950</xdr:rowOff>
    </xdr:to>
    <xdr:sp macro="" textlink="">
      <xdr:nvSpPr>
        <xdr:cNvPr id="9419" name="OpenSolver303"/>
        <xdr:cNvSpPr/>
      </xdr:nvSpPr>
      <xdr:spPr>
        <a:xfrm>
          <a:off x="4953000" y="13817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73</xdr:row>
      <xdr:rowOff>152400</xdr:rowOff>
    </xdr:from>
    <xdr:to>
      <xdr:col>8</xdr:col>
      <xdr:colOff>0</xdr:colOff>
      <xdr:row>74</xdr:row>
      <xdr:rowOff>0</xdr:rowOff>
    </xdr:to>
    <xdr:sp macro="" textlink="">
      <xdr:nvSpPr>
        <xdr:cNvPr id="9420" name="OpenSolver304"/>
        <xdr:cNvSpPr/>
      </xdr:nvSpPr>
      <xdr:spPr>
        <a:xfrm>
          <a:off x="43338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152400</xdr:colOff>
      <xdr:row>73</xdr:row>
      <xdr:rowOff>152400</xdr:rowOff>
    </xdr:from>
    <xdr:to>
      <xdr:col>10</xdr:col>
      <xdr:colOff>0</xdr:colOff>
      <xdr:row>74</xdr:row>
      <xdr:rowOff>0</xdr:rowOff>
    </xdr:to>
    <xdr:sp macro="" textlink="">
      <xdr:nvSpPr>
        <xdr:cNvPr id="9421" name="OpenSolver305"/>
        <xdr:cNvSpPr/>
      </xdr:nvSpPr>
      <xdr:spPr>
        <a:xfrm>
          <a:off x="5514975" y="14116050"/>
          <a:ext cx="438150" cy="38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171450</xdr:rowOff>
    </xdr:from>
    <xdr:to>
      <xdr:col>9</xdr:col>
      <xdr:colOff>152400</xdr:colOff>
      <xdr:row>73</xdr:row>
      <xdr:rowOff>171450</xdr:rowOff>
    </xdr:to>
    <xdr:cxnSp macro="">
      <xdr:nvCxnSpPr>
        <xdr:cNvPr id="9422" name="OpenSolver306"/>
        <xdr:cNvCxnSpPr>
          <a:stCxn id="9420" idx="3"/>
          <a:endCxn id="9421" idx="1"/>
        </xdr:cNvCxnSpPr>
      </xdr:nvCxnSpPr>
      <xdr:spPr>
        <a:xfrm>
          <a:off x="4772025" y="14135100"/>
          <a:ext cx="7429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73</xdr:row>
      <xdr:rowOff>44450</xdr:rowOff>
    </xdr:from>
    <xdr:to>
      <xdr:col>8</xdr:col>
      <xdr:colOff>561975</xdr:colOff>
      <xdr:row>74</xdr:row>
      <xdr:rowOff>107950</xdr:rowOff>
    </xdr:to>
    <xdr:sp macro="" textlink="">
      <xdr:nvSpPr>
        <xdr:cNvPr id="9423" name="OpenSolver307"/>
        <xdr:cNvSpPr/>
      </xdr:nvSpPr>
      <xdr:spPr>
        <a:xfrm>
          <a:off x="4953000" y="1400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74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424" name="OpenSolver308"/>
        <xdr:cNvSpPr/>
      </xdr:nvSpPr>
      <xdr:spPr>
        <a:xfrm>
          <a:off x="43338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152400</xdr:colOff>
      <xdr:row>74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425" name="OpenSolver309"/>
        <xdr:cNvSpPr/>
      </xdr:nvSpPr>
      <xdr:spPr>
        <a:xfrm>
          <a:off x="5514975" y="14306550"/>
          <a:ext cx="438150" cy="12039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76200</xdr:rowOff>
    </xdr:from>
    <xdr:to>
      <xdr:col>9</xdr:col>
      <xdr:colOff>152400</xdr:colOff>
      <xdr:row>106</xdr:row>
      <xdr:rowOff>76200</xdr:rowOff>
    </xdr:to>
    <xdr:cxnSp macro="">
      <xdr:nvCxnSpPr>
        <xdr:cNvPr id="9426" name="OpenSolver310"/>
        <xdr:cNvCxnSpPr>
          <a:stCxn id="9424" idx="3"/>
          <a:endCxn id="9425" idx="1"/>
        </xdr:cNvCxnSpPr>
      </xdr:nvCxnSpPr>
      <xdr:spPr>
        <a:xfrm>
          <a:off x="4772025" y="20326350"/>
          <a:ext cx="742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105</xdr:row>
      <xdr:rowOff>139700</xdr:rowOff>
    </xdr:from>
    <xdr:to>
      <xdr:col>8</xdr:col>
      <xdr:colOff>561975</xdr:colOff>
      <xdr:row>107</xdr:row>
      <xdr:rowOff>12700</xdr:rowOff>
    </xdr:to>
    <xdr:sp macro="" textlink="">
      <xdr:nvSpPr>
        <xdr:cNvPr id="9427" name="OpenSolver311"/>
        <xdr:cNvSpPr/>
      </xdr:nvSpPr>
      <xdr:spPr>
        <a:xfrm>
          <a:off x="4953000" y="2019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152400</xdr:colOff>
      <xdr:row>138</xdr:row>
      <xdr:rowOff>152400</xdr:rowOff>
    </xdr:from>
    <xdr:to>
      <xdr:col>8</xdr:col>
      <xdr:colOff>0</xdr:colOff>
      <xdr:row>139</xdr:row>
      <xdr:rowOff>0</xdr:rowOff>
    </xdr:to>
    <xdr:sp macro="" textlink="">
      <xdr:nvSpPr>
        <xdr:cNvPr id="9428" name="OpenSolver312"/>
        <xdr:cNvSpPr/>
      </xdr:nvSpPr>
      <xdr:spPr>
        <a:xfrm>
          <a:off x="43338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152400</xdr:colOff>
      <xdr:row>138</xdr:row>
      <xdr:rowOff>152400</xdr:rowOff>
    </xdr:from>
    <xdr:to>
      <xdr:col>10</xdr:col>
      <xdr:colOff>0</xdr:colOff>
      <xdr:row>139</xdr:row>
      <xdr:rowOff>0</xdr:rowOff>
    </xdr:to>
    <xdr:sp macro="" textlink="">
      <xdr:nvSpPr>
        <xdr:cNvPr id="9429" name="OpenSolver313"/>
        <xdr:cNvSpPr/>
      </xdr:nvSpPr>
      <xdr:spPr>
        <a:xfrm>
          <a:off x="5514975" y="26498550"/>
          <a:ext cx="438150" cy="381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171450</xdr:rowOff>
    </xdr:from>
    <xdr:to>
      <xdr:col>9</xdr:col>
      <xdr:colOff>152400</xdr:colOff>
      <xdr:row>138</xdr:row>
      <xdr:rowOff>171450</xdr:rowOff>
    </xdr:to>
    <xdr:cxnSp macro="">
      <xdr:nvCxnSpPr>
        <xdr:cNvPr id="9430" name="OpenSolver314"/>
        <xdr:cNvCxnSpPr>
          <a:stCxn id="9428" idx="3"/>
          <a:endCxn id="9429" idx="1"/>
        </xdr:cNvCxnSpPr>
      </xdr:nvCxnSpPr>
      <xdr:spPr>
        <a:xfrm>
          <a:off x="4772025" y="26517600"/>
          <a:ext cx="742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180975</xdr:colOff>
      <xdr:row>138</xdr:row>
      <xdr:rowOff>44450</xdr:rowOff>
    </xdr:from>
    <xdr:to>
      <xdr:col>8</xdr:col>
      <xdr:colOff>561975</xdr:colOff>
      <xdr:row>139</xdr:row>
      <xdr:rowOff>107950</xdr:rowOff>
    </xdr:to>
    <xdr:sp macro="" textlink="">
      <xdr:nvSpPr>
        <xdr:cNvPr id="9431" name="OpenSolver315"/>
        <xdr:cNvSpPr/>
      </xdr:nvSpPr>
      <xdr:spPr>
        <a:xfrm>
          <a:off x="4953000" y="26390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6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432" name="OpenSolver316"/>
        <xdr:cNvSpPr/>
      </xdr:nvSpPr>
      <xdr:spPr>
        <a:xfrm>
          <a:off x="43465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165100</xdr:colOff>
      <xdr:row>6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433" name="OpenSolver317"/>
        <xdr:cNvSpPr/>
      </xdr:nvSpPr>
      <xdr:spPr>
        <a:xfrm>
          <a:off x="5527675" y="1346200"/>
          <a:ext cx="425450" cy="2159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82550</xdr:rowOff>
    </xdr:from>
    <xdr:to>
      <xdr:col>9</xdr:col>
      <xdr:colOff>165100</xdr:colOff>
      <xdr:row>7</xdr:row>
      <xdr:rowOff>82550</xdr:rowOff>
    </xdr:to>
    <xdr:cxnSp macro="">
      <xdr:nvCxnSpPr>
        <xdr:cNvPr id="9434" name="OpenSolver318"/>
        <xdr:cNvCxnSpPr>
          <a:stCxn id="9432" idx="3"/>
          <a:endCxn id="9433" idx="1"/>
        </xdr:cNvCxnSpPr>
      </xdr:nvCxnSpPr>
      <xdr:spPr>
        <a:xfrm>
          <a:off x="4772025" y="1454150"/>
          <a:ext cx="7556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6</xdr:row>
      <xdr:rowOff>146050</xdr:rowOff>
    </xdr:from>
    <xdr:to>
      <xdr:col>8</xdr:col>
      <xdr:colOff>568325</xdr:colOff>
      <xdr:row>8</xdr:row>
      <xdr:rowOff>19050</xdr:rowOff>
    </xdr:to>
    <xdr:sp macro="" textlink="">
      <xdr:nvSpPr>
        <xdr:cNvPr id="9435" name="OpenSolver319"/>
        <xdr:cNvSpPr/>
      </xdr:nvSpPr>
      <xdr:spPr>
        <a:xfrm>
          <a:off x="4959350" y="132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8</xdr:row>
      <xdr:rowOff>165100</xdr:rowOff>
    </xdr:from>
    <xdr:to>
      <xdr:col>8</xdr:col>
      <xdr:colOff>0</xdr:colOff>
      <xdr:row>72</xdr:row>
      <xdr:rowOff>0</xdr:rowOff>
    </xdr:to>
    <xdr:sp macro="" textlink="">
      <xdr:nvSpPr>
        <xdr:cNvPr id="9436" name="OpenSolver320"/>
        <xdr:cNvSpPr/>
      </xdr:nvSpPr>
      <xdr:spPr>
        <a:xfrm>
          <a:off x="43465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165100</xdr:colOff>
      <xdr:row>8</xdr:row>
      <xdr:rowOff>165100</xdr:rowOff>
    </xdr:from>
    <xdr:to>
      <xdr:col>10</xdr:col>
      <xdr:colOff>0</xdr:colOff>
      <xdr:row>72</xdr:row>
      <xdr:rowOff>0</xdr:rowOff>
    </xdr:to>
    <xdr:sp macro="" textlink="">
      <xdr:nvSpPr>
        <xdr:cNvPr id="9437" name="OpenSolver321"/>
        <xdr:cNvSpPr/>
      </xdr:nvSpPr>
      <xdr:spPr>
        <a:xfrm>
          <a:off x="5527675" y="1727200"/>
          <a:ext cx="425450" cy="120459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73025</xdr:rowOff>
    </xdr:from>
    <xdr:to>
      <xdr:col>9</xdr:col>
      <xdr:colOff>165100</xdr:colOff>
      <xdr:row>40</xdr:row>
      <xdr:rowOff>73025</xdr:rowOff>
    </xdr:to>
    <xdr:cxnSp macro="">
      <xdr:nvCxnSpPr>
        <xdr:cNvPr id="9438" name="OpenSolver322"/>
        <xdr:cNvCxnSpPr>
          <a:stCxn id="9436" idx="3"/>
          <a:endCxn id="9437" idx="1"/>
        </xdr:cNvCxnSpPr>
      </xdr:nvCxnSpPr>
      <xdr:spPr>
        <a:xfrm>
          <a:off x="4772025" y="7750175"/>
          <a:ext cx="755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39</xdr:row>
      <xdr:rowOff>136525</xdr:rowOff>
    </xdr:from>
    <xdr:to>
      <xdr:col>8</xdr:col>
      <xdr:colOff>568325</xdr:colOff>
      <xdr:row>41</xdr:row>
      <xdr:rowOff>9525</xdr:rowOff>
    </xdr:to>
    <xdr:sp macro="" textlink="">
      <xdr:nvSpPr>
        <xdr:cNvPr id="9439" name="OpenSolver323"/>
        <xdr:cNvSpPr/>
      </xdr:nvSpPr>
      <xdr:spPr>
        <a:xfrm>
          <a:off x="4959350" y="7623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72</xdr:row>
      <xdr:rowOff>165100</xdr:rowOff>
    </xdr:from>
    <xdr:to>
      <xdr:col>8</xdr:col>
      <xdr:colOff>0</xdr:colOff>
      <xdr:row>73</xdr:row>
      <xdr:rowOff>0</xdr:rowOff>
    </xdr:to>
    <xdr:sp macro="" textlink="">
      <xdr:nvSpPr>
        <xdr:cNvPr id="9440" name="OpenSolver324"/>
        <xdr:cNvSpPr/>
      </xdr:nvSpPr>
      <xdr:spPr>
        <a:xfrm>
          <a:off x="43465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165100</xdr:colOff>
      <xdr:row>72</xdr:row>
      <xdr:rowOff>165100</xdr:rowOff>
    </xdr:from>
    <xdr:to>
      <xdr:col>10</xdr:col>
      <xdr:colOff>0</xdr:colOff>
      <xdr:row>73</xdr:row>
      <xdr:rowOff>0</xdr:rowOff>
    </xdr:to>
    <xdr:sp macro="" textlink="">
      <xdr:nvSpPr>
        <xdr:cNvPr id="9441" name="OpenSolver325"/>
        <xdr:cNvSpPr/>
      </xdr:nvSpPr>
      <xdr:spPr>
        <a:xfrm>
          <a:off x="5527675" y="13938250"/>
          <a:ext cx="425450" cy="25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177800</xdr:rowOff>
    </xdr:from>
    <xdr:to>
      <xdr:col>9</xdr:col>
      <xdr:colOff>165100</xdr:colOff>
      <xdr:row>72</xdr:row>
      <xdr:rowOff>177800</xdr:rowOff>
    </xdr:to>
    <xdr:cxnSp macro="">
      <xdr:nvCxnSpPr>
        <xdr:cNvPr id="9442" name="OpenSolver326"/>
        <xdr:cNvCxnSpPr>
          <a:stCxn id="9440" idx="3"/>
          <a:endCxn id="9441" idx="1"/>
        </xdr:cNvCxnSpPr>
      </xdr:nvCxnSpPr>
      <xdr:spPr>
        <a:xfrm>
          <a:off x="4772025" y="13950950"/>
          <a:ext cx="755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72</xdr:row>
      <xdr:rowOff>50800</xdr:rowOff>
    </xdr:from>
    <xdr:to>
      <xdr:col>8</xdr:col>
      <xdr:colOff>568325</xdr:colOff>
      <xdr:row>73</xdr:row>
      <xdr:rowOff>114300</xdr:rowOff>
    </xdr:to>
    <xdr:sp macro="" textlink="">
      <xdr:nvSpPr>
        <xdr:cNvPr id="9443" name="OpenSolver327"/>
        <xdr:cNvSpPr/>
      </xdr:nvSpPr>
      <xdr:spPr>
        <a:xfrm>
          <a:off x="4959350" y="13823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73</xdr:row>
      <xdr:rowOff>165100</xdr:rowOff>
    </xdr:from>
    <xdr:to>
      <xdr:col>8</xdr:col>
      <xdr:colOff>0</xdr:colOff>
      <xdr:row>74</xdr:row>
      <xdr:rowOff>0</xdr:rowOff>
    </xdr:to>
    <xdr:sp macro="" textlink="">
      <xdr:nvSpPr>
        <xdr:cNvPr id="9444" name="OpenSolver328"/>
        <xdr:cNvSpPr/>
      </xdr:nvSpPr>
      <xdr:spPr>
        <a:xfrm>
          <a:off x="43465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165100</xdr:colOff>
      <xdr:row>73</xdr:row>
      <xdr:rowOff>165100</xdr:rowOff>
    </xdr:from>
    <xdr:to>
      <xdr:col>10</xdr:col>
      <xdr:colOff>0</xdr:colOff>
      <xdr:row>74</xdr:row>
      <xdr:rowOff>0</xdr:rowOff>
    </xdr:to>
    <xdr:sp macro="" textlink="">
      <xdr:nvSpPr>
        <xdr:cNvPr id="9445" name="OpenSolver329"/>
        <xdr:cNvSpPr/>
      </xdr:nvSpPr>
      <xdr:spPr>
        <a:xfrm>
          <a:off x="5527675" y="14128750"/>
          <a:ext cx="425450" cy="25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177800</xdr:rowOff>
    </xdr:from>
    <xdr:to>
      <xdr:col>9</xdr:col>
      <xdr:colOff>165100</xdr:colOff>
      <xdr:row>73</xdr:row>
      <xdr:rowOff>177800</xdr:rowOff>
    </xdr:to>
    <xdr:cxnSp macro="">
      <xdr:nvCxnSpPr>
        <xdr:cNvPr id="9446" name="OpenSolver330"/>
        <xdr:cNvCxnSpPr>
          <a:stCxn id="9444" idx="3"/>
          <a:endCxn id="9445" idx="1"/>
        </xdr:cNvCxnSpPr>
      </xdr:nvCxnSpPr>
      <xdr:spPr>
        <a:xfrm>
          <a:off x="4772025" y="14141450"/>
          <a:ext cx="7556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73</xdr:row>
      <xdr:rowOff>50800</xdr:rowOff>
    </xdr:from>
    <xdr:to>
      <xdr:col>8</xdr:col>
      <xdr:colOff>568325</xdr:colOff>
      <xdr:row>74</xdr:row>
      <xdr:rowOff>114300</xdr:rowOff>
    </xdr:to>
    <xdr:sp macro="" textlink="">
      <xdr:nvSpPr>
        <xdr:cNvPr id="9447" name="OpenSolver331"/>
        <xdr:cNvSpPr/>
      </xdr:nvSpPr>
      <xdr:spPr>
        <a:xfrm>
          <a:off x="4959350" y="1401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74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448" name="OpenSolver332"/>
        <xdr:cNvSpPr/>
      </xdr:nvSpPr>
      <xdr:spPr>
        <a:xfrm>
          <a:off x="43465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165100</xdr:colOff>
      <xdr:row>74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449" name="OpenSolver333"/>
        <xdr:cNvSpPr/>
      </xdr:nvSpPr>
      <xdr:spPr>
        <a:xfrm>
          <a:off x="5527675" y="14319250"/>
          <a:ext cx="425450" cy="12026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82550</xdr:rowOff>
    </xdr:from>
    <xdr:to>
      <xdr:col>9</xdr:col>
      <xdr:colOff>165100</xdr:colOff>
      <xdr:row>106</xdr:row>
      <xdr:rowOff>82550</xdr:rowOff>
    </xdr:to>
    <xdr:cxnSp macro="">
      <xdr:nvCxnSpPr>
        <xdr:cNvPr id="9450" name="OpenSolver334"/>
        <xdr:cNvCxnSpPr>
          <a:stCxn id="9448" idx="3"/>
          <a:endCxn id="9449" idx="1"/>
        </xdr:cNvCxnSpPr>
      </xdr:nvCxnSpPr>
      <xdr:spPr>
        <a:xfrm>
          <a:off x="4772025" y="20332700"/>
          <a:ext cx="755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105</xdr:row>
      <xdr:rowOff>146050</xdr:rowOff>
    </xdr:from>
    <xdr:to>
      <xdr:col>8</xdr:col>
      <xdr:colOff>568325</xdr:colOff>
      <xdr:row>107</xdr:row>
      <xdr:rowOff>19050</xdr:rowOff>
    </xdr:to>
    <xdr:sp macro="" textlink="">
      <xdr:nvSpPr>
        <xdr:cNvPr id="9451" name="OpenSolver335"/>
        <xdr:cNvSpPr/>
      </xdr:nvSpPr>
      <xdr:spPr>
        <a:xfrm>
          <a:off x="4959350" y="20205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165100</xdr:colOff>
      <xdr:row>138</xdr:row>
      <xdr:rowOff>165100</xdr:rowOff>
    </xdr:from>
    <xdr:to>
      <xdr:col>8</xdr:col>
      <xdr:colOff>0</xdr:colOff>
      <xdr:row>139</xdr:row>
      <xdr:rowOff>0</xdr:rowOff>
    </xdr:to>
    <xdr:sp macro="" textlink="">
      <xdr:nvSpPr>
        <xdr:cNvPr id="9452" name="OpenSolver336"/>
        <xdr:cNvSpPr/>
      </xdr:nvSpPr>
      <xdr:spPr>
        <a:xfrm>
          <a:off x="43465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165100</xdr:colOff>
      <xdr:row>138</xdr:row>
      <xdr:rowOff>165100</xdr:rowOff>
    </xdr:from>
    <xdr:to>
      <xdr:col>10</xdr:col>
      <xdr:colOff>0</xdr:colOff>
      <xdr:row>139</xdr:row>
      <xdr:rowOff>0</xdr:rowOff>
    </xdr:to>
    <xdr:sp macro="" textlink="">
      <xdr:nvSpPr>
        <xdr:cNvPr id="9453" name="OpenSolver337"/>
        <xdr:cNvSpPr/>
      </xdr:nvSpPr>
      <xdr:spPr>
        <a:xfrm>
          <a:off x="5527675" y="26511250"/>
          <a:ext cx="425450" cy="254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177800</xdr:rowOff>
    </xdr:from>
    <xdr:to>
      <xdr:col>9</xdr:col>
      <xdr:colOff>165100</xdr:colOff>
      <xdr:row>138</xdr:row>
      <xdr:rowOff>177800</xdr:rowOff>
    </xdr:to>
    <xdr:cxnSp macro="">
      <xdr:nvCxnSpPr>
        <xdr:cNvPr id="9454" name="OpenSolver338"/>
        <xdr:cNvCxnSpPr>
          <a:stCxn id="9452" idx="3"/>
          <a:endCxn id="9453" idx="1"/>
        </xdr:cNvCxnSpPr>
      </xdr:nvCxnSpPr>
      <xdr:spPr>
        <a:xfrm>
          <a:off x="4772025" y="26523950"/>
          <a:ext cx="755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187325</xdr:colOff>
      <xdr:row>138</xdr:row>
      <xdr:rowOff>50800</xdr:rowOff>
    </xdr:from>
    <xdr:to>
      <xdr:col>8</xdr:col>
      <xdr:colOff>568325</xdr:colOff>
      <xdr:row>139</xdr:row>
      <xdr:rowOff>114300</xdr:rowOff>
    </xdr:to>
    <xdr:sp macro="" textlink="">
      <xdr:nvSpPr>
        <xdr:cNvPr id="9455" name="OpenSolver339"/>
        <xdr:cNvSpPr/>
      </xdr:nvSpPr>
      <xdr:spPr>
        <a:xfrm>
          <a:off x="4959350" y="26396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6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456" name="OpenSolver340"/>
        <xdr:cNvSpPr/>
      </xdr:nvSpPr>
      <xdr:spPr>
        <a:xfrm>
          <a:off x="43592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177800</xdr:colOff>
      <xdr:row>6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457" name="OpenSolver341"/>
        <xdr:cNvSpPr/>
      </xdr:nvSpPr>
      <xdr:spPr>
        <a:xfrm>
          <a:off x="5540375" y="1358900"/>
          <a:ext cx="412750" cy="2032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88900</xdr:rowOff>
    </xdr:from>
    <xdr:to>
      <xdr:col>9</xdr:col>
      <xdr:colOff>177800</xdr:colOff>
      <xdr:row>7</xdr:row>
      <xdr:rowOff>88900</xdr:rowOff>
    </xdr:to>
    <xdr:cxnSp macro="">
      <xdr:nvCxnSpPr>
        <xdr:cNvPr id="9458" name="OpenSolver342"/>
        <xdr:cNvCxnSpPr>
          <a:stCxn id="9456" idx="3"/>
          <a:endCxn id="9457" idx="1"/>
        </xdr:cNvCxnSpPr>
      </xdr:nvCxnSpPr>
      <xdr:spPr>
        <a:xfrm>
          <a:off x="4772025" y="1460500"/>
          <a:ext cx="768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6</xdr:row>
      <xdr:rowOff>152400</xdr:rowOff>
    </xdr:from>
    <xdr:to>
      <xdr:col>8</xdr:col>
      <xdr:colOff>574675</xdr:colOff>
      <xdr:row>8</xdr:row>
      <xdr:rowOff>25400</xdr:rowOff>
    </xdr:to>
    <xdr:sp macro="" textlink="">
      <xdr:nvSpPr>
        <xdr:cNvPr id="9459" name="OpenSolver343"/>
        <xdr:cNvSpPr/>
      </xdr:nvSpPr>
      <xdr:spPr>
        <a:xfrm>
          <a:off x="4965700" y="133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8</xdr:row>
      <xdr:rowOff>177800</xdr:rowOff>
    </xdr:from>
    <xdr:to>
      <xdr:col>8</xdr:col>
      <xdr:colOff>0</xdr:colOff>
      <xdr:row>72</xdr:row>
      <xdr:rowOff>0</xdr:rowOff>
    </xdr:to>
    <xdr:sp macro="" textlink="">
      <xdr:nvSpPr>
        <xdr:cNvPr id="9460" name="OpenSolver344"/>
        <xdr:cNvSpPr/>
      </xdr:nvSpPr>
      <xdr:spPr>
        <a:xfrm>
          <a:off x="43592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177800</xdr:colOff>
      <xdr:row>8</xdr:row>
      <xdr:rowOff>177800</xdr:rowOff>
    </xdr:from>
    <xdr:to>
      <xdr:col>10</xdr:col>
      <xdr:colOff>0</xdr:colOff>
      <xdr:row>72</xdr:row>
      <xdr:rowOff>0</xdr:rowOff>
    </xdr:to>
    <xdr:sp macro="" textlink="">
      <xdr:nvSpPr>
        <xdr:cNvPr id="9461" name="OpenSolver345"/>
        <xdr:cNvSpPr/>
      </xdr:nvSpPr>
      <xdr:spPr>
        <a:xfrm>
          <a:off x="5540375" y="1739900"/>
          <a:ext cx="412750" cy="120332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79375</xdr:rowOff>
    </xdr:from>
    <xdr:to>
      <xdr:col>9</xdr:col>
      <xdr:colOff>177800</xdr:colOff>
      <xdr:row>40</xdr:row>
      <xdr:rowOff>79375</xdr:rowOff>
    </xdr:to>
    <xdr:cxnSp macro="">
      <xdr:nvCxnSpPr>
        <xdr:cNvPr id="9462" name="OpenSolver346"/>
        <xdr:cNvCxnSpPr>
          <a:stCxn id="9460" idx="3"/>
          <a:endCxn id="9461" idx="1"/>
        </xdr:cNvCxnSpPr>
      </xdr:nvCxnSpPr>
      <xdr:spPr>
        <a:xfrm>
          <a:off x="4772025" y="7756525"/>
          <a:ext cx="768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39</xdr:row>
      <xdr:rowOff>142875</xdr:rowOff>
    </xdr:from>
    <xdr:to>
      <xdr:col>8</xdr:col>
      <xdr:colOff>574675</xdr:colOff>
      <xdr:row>41</xdr:row>
      <xdr:rowOff>15875</xdr:rowOff>
    </xdr:to>
    <xdr:sp macro="" textlink="">
      <xdr:nvSpPr>
        <xdr:cNvPr id="9463" name="OpenSolver347"/>
        <xdr:cNvSpPr/>
      </xdr:nvSpPr>
      <xdr:spPr>
        <a:xfrm>
          <a:off x="4965700" y="7629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72</xdr:row>
      <xdr:rowOff>177800</xdr:rowOff>
    </xdr:from>
    <xdr:to>
      <xdr:col>8</xdr:col>
      <xdr:colOff>0</xdr:colOff>
      <xdr:row>73</xdr:row>
      <xdr:rowOff>0</xdr:rowOff>
    </xdr:to>
    <xdr:sp macro="" textlink="">
      <xdr:nvSpPr>
        <xdr:cNvPr id="9464" name="OpenSolver348"/>
        <xdr:cNvSpPr/>
      </xdr:nvSpPr>
      <xdr:spPr>
        <a:xfrm>
          <a:off x="43592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177800</xdr:colOff>
      <xdr:row>72</xdr:row>
      <xdr:rowOff>177800</xdr:rowOff>
    </xdr:from>
    <xdr:to>
      <xdr:col>10</xdr:col>
      <xdr:colOff>0</xdr:colOff>
      <xdr:row>73</xdr:row>
      <xdr:rowOff>0</xdr:rowOff>
    </xdr:to>
    <xdr:sp macro="" textlink="">
      <xdr:nvSpPr>
        <xdr:cNvPr id="9465" name="OpenSolver349"/>
        <xdr:cNvSpPr/>
      </xdr:nvSpPr>
      <xdr:spPr>
        <a:xfrm>
          <a:off x="5540375" y="13950950"/>
          <a:ext cx="412750" cy="12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184150</xdr:rowOff>
    </xdr:from>
    <xdr:to>
      <xdr:col>9</xdr:col>
      <xdr:colOff>177800</xdr:colOff>
      <xdr:row>72</xdr:row>
      <xdr:rowOff>184150</xdr:rowOff>
    </xdr:to>
    <xdr:cxnSp macro="">
      <xdr:nvCxnSpPr>
        <xdr:cNvPr id="9466" name="OpenSolver350"/>
        <xdr:cNvCxnSpPr>
          <a:stCxn id="9464" idx="3"/>
          <a:endCxn id="9465" idx="1"/>
        </xdr:cNvCxnSpPr>
      </xdr:nvCxnSpPr>
      <xdr:spPr>
        <a:xfrm>
          <a:off x="4772025" y="13957300"/>
          <a:ext cx="768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72</xdr:row>
      <xdr:rowOff>57150</xdr:rowOff>
    </xdr:from>
    <xdr:to>
      <xdr:col>8</xdr:col>
      <xdr:colOff>574675</xdr:colOff>
      <xdr:row>73</xdr:row>
      <xdr:rowOff>120650</xdr:rowOff>
    </xdr:to>
    <xdr:sp macro="" textlink="">
      <xdr:nvSpPr>
        <xdr:cNvPr id="9467" name="OpenSolver351"/>
        <xdr:cNvSpPr/>
      </xdr:nvSpPr>
      <xdr:spPr>
        <a:xfrm>
          <a:off x="4965700" y="13830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73</xdr:row>
      <xdr:rowOff>177800</xdr:rowOff>
    </xdr:from>
    <xdr:to>
      <xdr:col>8</xdr:col>
      <xdr:colOff>0</xdr:colOff>
      <xdr:row>74</xdr:row>
      <xdr:rowOff>0</xdr:rowOff>
    </xdr:to>
    <xdr:sp macro="" textlink="">
      <xdr:nvSpPr>
        <xdr:cNvPr id="9468" name="OpenSolver352"/>
        <xdr:cNvSpPr/>
      </xdr:nvSpPr>
      <xdr:spPr>
        <a:xfrm>
          <a:off x="43592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177800</xdr:colOff>
      <xdr:row>73</xdr:row>
      <xdr:rowOff>177800</xdr:rowOff>
    </xdr:from>
    <xdr:to>
      <xdr:col>10</xdr:col>
      <xdr:colOff>0</xdr:colOff>
      <xdr:row>74</xdr:row>
      <xdr:rowOff>0</xdr:rowOff>
    </xdr:to>
    <xdr:sp macro="" textlink="">
      <xdr:nvSpPr>
        <xdr:cNvPr id="9469" name="OpenSolver353"/>
        <xdr:cNvSpPr/>
      </xdr:nvSpPr>
      <xdr:spPr>
        <a:xfrm>
          <a:off x="5540375" y="14141450"/>
          <a:ext cx="412750" cy="12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184150</xdr:rowOff>
    </xdr:from>
    <xdr:to>
      <xdr:col>9</xdr:col>
      <xdr:colOff>177800</xdr:colOff>
      <xdr:row>73</xdr:row>
      <xdr:rowOff>184150</xdr:rowOff>
    </xdr:to>
    <xdr:cxnSp macro="">
      <xdr:nvCxnSpPr>
        <xdr:cNvPr id="9470" name="OpenSolver354"/>
        <xdr:cNvCxnSpPr>
          <a:stCxn id="9468" idx="3"/>
          <a:endCxn id="9469" idx="1"/>
        </xdr:cNvCxnSpPr>
      </xdr:nvCxnSpPr>
      <xdr:spPr>
        <a:xfrm>
          <a:off x="4772025" y="14147800"/>
          <a:ext cx="768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73</xdr:row>
      <xdr:rowOff>57150</xdr:rowOff>
    </xdr:from>
    <xdr:to>
      <xdr:col>8</xdr:col>
      <xdr:colOff>574675</xdr:colOff>
      <xdr:row>74</xdr:row>
      <xdr:rowOff>120650</xdr:rowOff>
    </xdr:to>
    <xdr:sp macro="" textlink="">
      <xdr:nvSpPr>
        <xdr:cNvPr id="9471" name="OpenSolver355"/>
        <xdr:cNvSpPr/>
      </xdr:nvSpPr>
      <xdr:spPr>
        <a:xfrm>
          <a:off x="4965700" y="1402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74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472" name="OpenSolver356"/>
        <xdr:cNvSpPr/>
      </xdr:nvSpPr>
      <xdr:spPr>
        <a:xfrm>
          <a:off x="43592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177800</xdr:colOff>
      <xdr:row>74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473" name="OpenSolver357"/>
        <xdr:cNvSpPr/>
      </xdr:nvSpPr>
      <xdr:spPr>
        <a:xfrm>
          <a:off x="5540375" y="14331950"/>
          <a:ext cx="412750" cy="12014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88900</xdr:rowOff>
    </xdr:from>
    <xdr:to>
      <xdr:col>9</xdr:col>
      <xdr:colOff>177800</xdr:colOff>
      <xdr:row>106</xdr:row>
      <xdr:rowOff>88900</xdr:rowOff>
    </xdr:to>
    <xdr:cxnSp macro="">
      <xdr:nvCxnSpPr>
        <xdr:cNvPr id="9474" name="OpenSolver358"/>
        <xdr:cNvCxnSpPr>
          <a:stCxn id="9472" idx="3"/>
          <a:endCxn id="9473" idx="1"/>
        </xdr:cNvCxnSpPr>
      </xdr:nvCxnSpPr>
      <xdr:spPr>
        <a:xfrm>
          <a:off x="4772025" y="20339050"/>
          <a:ext cx="768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105</xdr:row>
      <xdr:rowOff>152400</xdr:rowOff>
    </xdr:from>
    <xdr:to>
      <xdr:col>8</xdr:col>
      <xdr:colOff>574675</xdr:colOff>
      <xdr:row>107</xdr:row>
      <xdr:rowOff>25400</xdr:rowOff>
    </xdr:to>
    <xdr:sp macro="" textlink="">
      <xdr:nvSpPr>
        <xdr:cNvPr id="9475" name="OpenSolver359"/>
        <xdr:cNvSpPr/>
      </xdr:nvSpPr>
      <xdr:spPr>
        <a:xfrm>
          <a:off x="4965700" y="20212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177800</xdr:colOff>
      <xdr:row>138</xdr:row>
      <xdr:rowOff>177800</xdr:rowOff>
    </xdr:from>
    <xdr:to>
      <xdr:col>8</xdr:col>
      <xdr:colOff>0</xdr:colOff>
      <xdr:row>139</xdr:row>
      <xdr:rowOff>0</xdr:rowOff>
    </xdr:to>
    <xdr:sp macro="" textlink="">
      <xdr:nvSpPr>
        <xdr:cNvPr id="9476" name="OpenSolver360"/>
        <xdr:cNvSpPr/>
      </xdr:nvSpPr>
      <xdr:spPr>
        <a:xfrm>
          <a:off x="43592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177800</xdr:colOff>
      <xdr:row>138</xdr:row>
      <xdr:rowOff>177800</xdr:rowOff>
    </xdr:from>
    <xdr:to>
      <xdr:col>10</xdr:col>
      <xdr:colOff>0</xdr:colOff>
      <xdr:row>139</xdr:row>
      <xdr:rowOff>0</xdr:rowOff>
    </xdr:to>
    <xdr:sp macro="" textlink="">
      <xdr:nvSpPr>
        <xdr:cNvPr id="9477" name="OpenSolver361"/>
        <xdr:cNvSpPr/>
      </xdr:nvSpPr>
      <xdr:spPr>
        <a:xfrm>
          <a:off x="5540375" y="26523950"/>
          <a:ext cx="412750" cy="127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184150</xdr:rowOff>
    </xdr:from>
    <xdr:to>
      <xdr:col>9</xdr:col>
      <xdr:colOff>177800</xdr:colOff>
      <xdr:row>138</xdr:row>
      <xdr:rowOff>184150</xdr:rowOff>
    </xdr:to>
    <xdr:cxnSp macro="">
      <xdr:nvCxnSpPr>
        <xdr:cNvPr id="9478" name="OpenSolver362"/>
        <xdr:cNvCxnSpPr>
          <a:stCxn id="9476" idx="3"/>
          <a:endCxn id="9477" idx="1"/>
        </xdr:cNvCxnSpPr>
      </xdr:nvCxnSpPr>
      <xdr:spPr>
        <a:xfrm>
          <a:off x="4772025" y="26530300"/>
          <a:ext cx="768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193675</xdr:colOff>
      <xdr:row>138</xdr:row>
      <xdr:rowOff>57150</xdr:rowOff>
    </xdr:from>
    <xdr:to>
      <xdr:col>8</xdr:col>
      <xdr:colOff>574675</xdr:colOff>
      <xdr:row>139</xdr:row>
      <xdr:rowOff>120650</xdr:rowOff>
    </xdr:to>
    <xdr:sp macro="" textlink="">
      <xdr:nvSpPr>
        <xdr:cNvPr id="9479" name="OpenSolver363"/>
        <xdr:cNvSpPr/>
      </xdr:nvSpPr>
      <xdr:spPr>
        <a:xfrm>
          <a:off x="4965700" y="26403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480" name="OpenSolver364"/>
        <xdr:cNvSpPr/>
      </xdr:nvSpPr>
      <xdr:spPr>
        <a:xfrm>
          <a:off x="43719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190500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481" name="OpenSolver365"/>
        <xdr:cNvSpPr/>
      </xdr:nvSpPr>
      <xdr:spPr>
        <a:xfrm>
          <a:off x="5553075" y="1371600"/>
          <a:ext cx="40005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190500</xdr:colOff>
      <xdr:row>7</xdr:row>
      <xdr:rowOff>95250</xdr:rowOff>
    </xdr:to>
    <xdr:cxnSp macro="">
      <xdr:nvCxnSpPr>
        <xdr:cNvPr id="9482" name="OpenSolver366"/>
        <xdr:cNvCxnSpPr>
          <a:stCxn id="9480" idx="3"/>
          <a:endCxn id="9481" idx="1"/>
        </xdr:cNvCxnSpPr>
      </xdr:nvCxnSpPr>
      <xdr:spPr>
        <a:xfrm>
          <a:off x="4772025" y="1466850"/>
          <a:ext cx="7810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6</xdr:row>
      <xdr:rowOff>158750</xdr:rowOff>
    </xdr:from>
    <xdr:to>
      <xdr:col>8</xdr:col>
      <xdr:colOff>581025</xdr:colOff>
      <xdr:row>8</xdr:row>
      <xdr:rowOff>31750</xdr:rowOff>
    </xdr:to>
    <xdr:sp macro="" textlink="">
      <xdr:nvSpPr>
        <xdr:cNvPr id="9483" name="OpenSolver367"/>
        <xdr:cNvSpPr/>
      </xdr:nvSpPr>
      <xdr:spPr>
        <a:xfrm>
          <a:off x="49720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8</xdr:row>
      <xdr:rowOff>190500</xdr:rowOff>
    </xdr:from>
    <xdr:to>
      <xdr:col>8</xdr:col>
      <xdr:colOff>0</xdr:colOff>
      <xdr:row>72</xdr:row>
      <xdr:rowOff>0</xdr:rowOff>
    </xdr:to>
    <xdr:sp macro="" textlink="">
      <xdr:nvSpPr>
        <xdr:cNvPr id="9484" name="OpenSolver368"/>
        <xdr:cNvSpPr/>
      </xdr:nvSpPr>
      <xdr:spPr>
        <a:xfrm>
          <a:off x="43719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190500</xdr:colOff>
      <xdr:row>8</xdr:row>
      <xdr:rowOff>190500</xdr:rowOff>
    </xdr:from>
    <xdr:to>
      <xdr:col>10</xdr:col>
      <xdr:colOff>0</xdr:colOff>
      <xdr:row>72</xdr:row>
      <xdr:rowOff>0</xdr:rowOff>
    </xdr:to>
    <xdr:sp macro="" textlink="">
      <xdr:nvSpPr>
        <xdr:cNvPr id="9485" name="OpenSolver369"/>
        <xdr:cNvSpPr/>
      </xdr:nvSpPr>
      <xdr:spPr>
        <a:xfrm>
          <a:off x="5553075" y="1752600"/>
          <a:ext cx="400050" cy="1202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85725</xdr:rowOff>
    </xdr:from>
    <xdr:to>
      <xdr:col>9</xdr:col>
      <xdr:colOff>190500</xdr:colOff>
      <xdr:row>40</xdr:row>
      <xdr:rowOff>85725</xdr:rowOff>
    </xdr:to>
    <xdr:cxnSp macro="">
      <xdr:nvCxnSpPr>
        <xdr:cNvPr id="9486" name="OpenSolver370"/>
        <xdr:cNvCxnSpPr>
          <a:stCxn id="9484" idx="3"/>
          <a:endCxn id="9485" idx="1"/>
        </xdr:cNvCxnSpPr>
      </xdr:nvCxnSpPr>
      <xdr:spPr>
        <a:xfrm>
          <a:off x="4772025" y="7762875"/>
          <a:ext cx="781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39</xdr:row>
      <xdr:rowOff>149225</xdr:rowOff>
    </xdr:from>
    <xdr:to>
      <xdr:col>8</xdr:col>
      <xdr:colOff>581025</xdr:colOff>
      <xdr:row>41</xdr:row>
      <xdr:rowOff>22225</xdr:rowOff>
    </xdr:to>
    <xdr:sp macro="" textlink="">
      <xdr:nvSpPr>
        <xdr:cNvPr id="9487" name="OpenSolver371"/>
        <xdr:cNvSpPr/>
      </xdr:nvSpPr>
      <xdr:spPr>
        <a:xfrm>
          <a:off x="49720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190500</xdr:colOff>
      <xdr:row>75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488" name="OpenSolver372"/>
        <xdr:cNvSpPr/>
      </xdr:nvSpPr>
      <xdr:spPr>
        <a:xfrm>
          <a:off x="43719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190500</xdr:colOff>
      <xdr:row>75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489" name="OpenSolver373"/>
        <xdr:cNvSpPr/>
      </xdr:nvSpPr>
      <xdr:spPr>
        <a:xfrm>
          <a:off x="5553075" y="14344650"/>
          <a:ext cx="400050" cy="12001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190500</xdr:colOff>
      <xdr:row>106</xdr:row>
      <xdr:rowOff>95250</xdr:rowOff>
    </xdr:to>
    <xdr:cxnSp macro="">
      <xdr:nvCxnSpPr>
        <xdr:cNvPr id="9490" name="OpenSolver374"/>
        <xdr:cNvCxnSpPr>
          <a:stCxn id="9488" idx="3"/>
          <a:endCxn id="9489" idx="1"/>
        </xdr:cNvCxnSpPr>
      </xdr:nvCxnSpPr>
      <xdr:spPr>
        <a:xfrm>
          <a:off x="4772025" y="20345400"/>
          <a:ext cx="781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200025</xdr:colOff>
      <xdr:row>105</xdr:row>
      <xdr:rowOff>158750</xdr:rowOff>
    </xdr:from>
    <xdr:to>
      <xdr:col>8</xdr:col>
      <xdr:colOff>581025</xdr:colOff>
      <xdr:row>107</xdr:row>
      <xdr:rowOff>31750</xdr:rowOff>
    </xdr:to>
    <xdr:sp macro="" textlink="">
      <xdr:nvSpPr>
        <xdr:cNvPr id="9491" name="OpenSolver375"/>
        <xdr:cNvSpPr/>
      </xdr:nvSpPr>
      <xdr:spPr>
        <a:xfrm>
          <a:off x="4972050" y="20218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</xdr:row>
      <xdr:rowOff>12700</xdr:rowOff>
    </xdr:from>
    <xdr:to>
      <xdr:col>8</xdr:col>
      <xdr:colOff>0</xdr:colOff>
      <xdr:row>8</xdr:row>
      <xdr:rowOff>0</xdr:rowOff>
    </xdr:to>
    <xdr:sp macro="" textlink="">
      <xdr:nvSpPr>
        <xdr:cNvPr id="9492" name="OpenSolver376"/>
        <xdr:cNvSpPr/>
      </xdr:nvSpPr>
      <xdr:spPr>
        <a:xfrm>
          <a:off x="43846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203200</xdr:colOff>
      <xdr:row>7</xdr:row>
      <xdr:rowOff>12700</xdr:rowOff>
    </xdr:from>
    <xdr:to>
      <xdr:col>10</xdr:col>
      <xdr:colOff>0</xdr:colOff>
      <xdr:row>8</xdr:row>
      <xdr:rowOff>0</xdr:rowOff>
    </xdr:to>
    <xdr:sp macro="" textlink="">
      <xdr:nvSpPr>
        <xdr:cNvPr id="9493" name="OpenSolver377"/>
        <xdr:cNvSpPr/>
      </xdr:nvSpPr>
      <xdr:spPr>
        <a:xfrm>
          <a:off x="5565775" y="1384300"/>
          <a:ext cx="387350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101600</xdr:rowOff>
    </xdr:from>
    <xdr:to>
      <xdr:col>9</xdr:col>
      <xdr:colOff>203200</xdr:colOff>
      <xdr:row>7</xdr:row>
      <xdr:rowOff>101600</xdr:rowOff>
    </xdr:to>
    <xdr:cxnSp macro="">
      <xdr:nvCxnSpPr>
        <xdr:cNvPr id="9494" name="OpenSolver378"/>
        <xdr:cNvCxnSpPr>
          <a:stCxn id="9492" idx="3"/>
          <a:endCxn id="9493" idx="1"/>
        </xdr:cNvCxnSpPr>
      </xdr:nvCxnSpPr>
      <xdr:spPr>
        <a:xfrm>
          <a:off x="4772025" y="1473200"/>
          <a:ext cx="7937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6</xdr:row>
      <xdr:rowOff>165100</xdr:rowOff>
    </xdr:from>
    <xdr:to>
      <xdr:col>8</xdr:col>
      <xdr:colOff>587375</xdr:colOff>
      <xdr:row>8</xdr:row>
      <xdr:rowOff>38100</xdr:rowOff>
    </xdr:to>
    <xdr:sp macro="" textlink="">
      <xdr:nvSpPr>
        <xdr:cNvPr id="9495" name="OpenSolver379"/>
        <xdr:cNvSpPr/>
      </xdr:nvSpPr>
      <xdr:spPr>
        <a:xfrm>
          <a:off x="4978400" y="134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9</xdr:row>
      <xdr:rowOff>3175</xdr:rowOff>
    </xdr:from>
    <xdr:to>
      <xdr:col>8</xdr:col>
      <xdr:colOff>0</xdr:colOff>
      <xdr:row>72</xdr:row>
      <xdr:rowOff>0</xdr:rowOff>
    </xdr:to>
    <xdr:sp macro="" textlink="">
      <xdr:nvSpPr>
        <xdr:cNvPr id="9496" name="OpenSolver380"/>
        <xdr:cNvSpPr/>
      </xdr:nvSpPr>
      <xdr:spPr>
        <a:xfrm>
          <a:off x="43846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203200</xdr:colOff>
      <xdr:row>9</xdr:row>
      <xdr:rowOff>3175</xdr:rowOff>
    </xdr:from>
    <xdr:to>
      <xdr:col>10</xdr:col>
      <xdr:colOff>0</xdr:colOff>
      <xdr:row>72</xdr:row>
      <xdr:rowOff>0</xdr:rowOff>
    </xdr:to>
    <xdr:sp macro="" textlink="">
      <xdr:nvSpPr>
        <xdr:cNvPr id="9497" name="OpenSolver381"/>
        <xdr:cNvSpPr/>
      </xdr:nvSpPr>
      <xdr:spPr>
        <a:xfrm>
          <a:off x="5565775" y="1765300"/>
          <a:ext cx="387350" cy="120078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92075</xdr:rowOff>
    </xdr:from>
    <xdr:to>
      <xdr:col>9</xdr:col>
      <xdr:colOff>203200</xdr:colOff>
      <xdr:row>40</xdr:row>
      <xdr:rowOff>92075</xdr:rowOff>
    </xdr:to>
    <xdr:cxnSp macro="">
      <xdr:nvCxnSpPr>
        <xdr:cNvPr id="9498" name="OpenSolver382"/>
        <xdr:cNvCxnSpPr>
          <a:stCxn id="9496" idx="3"/>
          <a:endCxn id="9497" idx="1"/>
        </xdr:cNvCxnSpPr>
      </xdr:nvCxnSpPr>
      <xdr:spPr>
        <a:xfrm>
          <a:off x="4772025" y="7769225"/>
          <a:ext cx="793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39</xdr:row>
      <xdr:rowOff>155575</xdr:rowOff>
    </xdr:from>
    <xdr:to>
      <xdr:col>8</xdr:col>
      <xdr:colOff>587375</xdr:colOff>
      <xdr:row>41</xdr:row>
      <xdr:rowOff>28575</xdr:rowOff>
    </xdr:to>
    <xdr:sp macro="" textlink="">
      <xdr:nvSpPr>
        <xdr:cNvPr id="9499" name="OpenSolver383"/>
        <xdr:cNvSpPr/>
      </xdr:nvSpPr>
      <xdr:spPr>
        <a:xfrm>
          <a:off x="4978400" y="7642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203200</xdr:colOff>
      <xdr:row>75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500" name="OpenSolver384"/>
        <xdr:cNvSpPr/>
      </xdr:nvSpPr>
      <xdr:spPr>
        <a:xfrm>
          <a:off x="43846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203200</xdr:colOff>
      <xdr:row>75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501" name="OpenSolver385"/>
        <xdr:cNvSpPr/>
      </xdr:nvSpPr>
      <xdr:spPr>
        <a:xfrm>
          <a:off x="5565775" y="14357350"/>
          <a:ext cx="387350" cy="11988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101600</xdr:rowOff>
    </xdr:from>
    <xdr:to>
      <xdr:col>9</xdr:col>
      <xdr:colOff>203200</xdr:colOff>
      <xdr:row>106</xdr:row>
      <xdr:rowOff>101600</xdr:rowOff>
    </xdr:to>
    <xdr:cxnSp macro="">
      <xdr:nvCxnSpPr>
        <xdr:cNvPr id="9502" name="OpenSolver386"/>
        <xdr:cNvCxnSpPr>
          <a:stCxn id="9500" idx="3"/>
          <a:endCxn id="9501" idx="1"/>
        </xdr:cNvCxnSpPr>
      </xdr:nvCxnSpPr>
      <xdr:spPr>
        <a:xfrm>
          <a:off x="4772025" y="20351750"/>
          <a:ext cx="793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206375</xdr:colOff>
      <xdr:row>105</xdr:row>
      <xdr:rowOff>165100</xdr:rowOff>
    </xdr:from>
    <xdr:to>
      <xdr:col>8</xdr:col>
      <xdr:colOff>587375</xdr:colOff>
      <xdr:row>107</xdr:row>
      <xdr:rowOff>38100</xdr:rowOff>
    </xdr:to>
    <xdr:sp macro="" textlink="">
      <xdr:nvSpPr>
        <xdr:cNvPr id="9503" name="OpenSolver387"/>
        <xdr:cNvSpPr/>
      </xdr:nvSpPr>
      <xdr:spPr>
        <a:xfrm>
          <a:off x="4978400" y="2022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</xdr:row>
      <xdr:rowOff>25400</xdr:rowOff>
    </xdr:from>
    <xdr:to>
      <xdr:col>8</xdr:col>
      <xdr:colOff>0</xdr:colOff>
      <xdr:row>8</xdr:row>
      <xdr:rowOff>0</xdr:rowOff>
    </xdr:to>
    <xdr:sp macro="" textlink="">
      <xdr:nvSpPr>
        <xdr:cNvPr id="9504" name="OpenSolver388"/>
        <xdr:cNvSpPr/>
      </xdr:nvSpPr>
      <xdr:spPr>
        <a:xfrm>
          <a:off x="43973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215900</xdr:colOff>
      <xdr:row>7</xdr:row>
      <xdr:rowOff>25400</xdr:rowOff>
    </xdr:from>
    <xdr:to>
      <xdr:col>10</xdr:col>
      <xdr:colOff>0</xdr:colOff>
      <xdr:row>8</xdr:row>
      <xdr:rowOff>0</xdr:rowOff>
    </xdr:to>
    <xdr:sp macro="" textlink="">
      <xdr:nvSpPr>
        <xdr:cNvPr id="9505" name="OpenSolver389"/>
        <xdr:cNvSpPr/>
      </xdr:nvSpPr>
      <xdr:spPr>
        <a:xfrm>
          <a:off x="5578475" y="1397000"/>
          <a:ext cx="374650" cy="1651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107950</xdr:rowOff>
    </xdr:from>
    <xdr:to>
      <xdr:col>9</xdr:col>
      <xdr:colOff>215900</xdr:colOff>
      <xdr:row>7</xdr:row>
      <xdr:rowOff>107950</xdr:rowOff>
    </xdr:to>
    <xdr:cxnSp macro="">
      <xdr:nvCxnSpPr>
        <xdr:cNvPr id="9506" name="OpenSolver390"/>
        <xdr:cNvCxnSpPr>
          <a:stCxn id="9504" idx="3"/>
          <a:endCxn id="9505" idx="1"/>
        </xdr:cNvCxnSpPr>
      </xdr:nvCxnSpPr>
      <xdr:spPr>
        <a:xfrm>
          <a:off x="4772025" y="1479550"/>
          <a:ext cx="8064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6</xdr:row>
      <xdr:rowOff>171450</xdr:rowOff>
    </xdr:from>
    <xdr:to>
      <xdr:col>9</xdr:col>
      <xdr:colOff>3175</xdr:colOff>
      <xdr:row>8</xdr:row>
      <xdr:rowOff>44450</xdr:rowOff>
    </xdr:to>
    <xdr:sp macro="" textlink="">
      <xdr:nvSpPr>
        <xdr:cNvPr id="9507" name="OpenSolver391"/>
        <xdr:cNvSpPr/>
      </xdr:nvSpPr>
      <xdr:spPr>
        <a:xfrm>
          <a:off x="4984750" y="135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9</xdr:row>
      <xdr:rowOff>15875</xdr:rowOff>
    </xdr:from>
    <xdr:to>
      <xdr:col>8</xdr:col>
      <xdr:colOff>0</xdr:colOff>
      <xdr:row>72</xdr:row>
      <xdr:rowOff>0</xdr:rowOff>
    </xdr:to>
    <xdr:sp macro="" textlink="">
      <xdr:nvSpPr>
        <xdr:cNvPr id="9508" name="OpenSolver392"/>
        <xdr:cNvSpPr/>
      </xdr:nvSpPr>
      <xdr:spPr>
        <a:xfrm>
          <a:off x="43973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215900</xdr:colOff>
      <xdr:row>9</xdr:row>
      <xdr:rowOff>15875</xdr:rowOff>
    </xdr:from>
    <xdr:to>
      <xdr:col>10</xdr:col>
      <xdr:colOff>0</xdr:colOff>
      <xdr:row>72</xdr:row>
      <xdr:rowOff>0</xdr:rowOff>
    </xdr:to>
    <xdr:sp macro="" textlink="">
      <xdr:nvSpPr>
        <xdr:cNvPr id="9509" name="OpenSolver393"/>
        <xdr:cNvSpPr/>
      </xdr:nvSpPr>
      <xdr:spPr>
        <a:xfrm>
          <a:off x="5578475" y="1778000"/>
          <a:ext cx="374650" cy="119951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98425</xdr:rowOff>
    </xdr:from>
    <xdr:to>
      <xdr:col>9</xdr:col>
      <xdr:colOff>215900</xdr:colOff>
      <xdr:row>40</xdr:row>
      <xdr:rowOff>98425</xdr:rowOff>
    </xdr:to>
    <xdr:cxnSp macro="">
      <xdr:nvCxnSpPr>
        <xdr:cNvPr id="9510" name="OpenSolver394"/>
        <xdr:cNvCxnSpPr>
          <a:stCxn id="9508" idx="3"/>
          <a:endCxn id="9509" idx="1"/>
        </xdr:cNvCxnSpPr>
      </xdr:nvCxnSpPr>
      <xdr:spPr>
        <a:xfrm>
          <a:off x="4772025" y="7775575"/>
          <a:ext cx="806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39</xdr:row>
      <xdr:rowOff>161925</xdr:rowOff>
    </xdr:from>
    <xdr:to>
      <xdr:col>9</xdr:col>
      <xdr:colOff>3175</xdr:colOff>
      <xdr:row>41</xdr:row>
      <xdr:rowOff>34925</xdr:rowOff>
    </xdr:to>
    <xdr:sp macro="" textlink="">
      <xdr:nvSpPr>
        <xdr:cNvPr id="9511" name="OpenSolver395"/>
        <xdr:cNvSpPr/>
      </xdr:nvSpPr>
      <xdr:spPr>
        <a:xfrm>
          <a:off x="4984750" y="7648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215900</xdr:colOff>
      <xdr:row>75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512" name="OpenSolver396"/>
        <xdr:cNvSpPr/>
      </xdr:nvSpPr>
      <xdr:spPr>
        <a:xfrm>
          <a:off x="43973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215900</xdr:colOff>
      <xdr:row>75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513" name="OpenSolver397"/>
        <xdr:cNvSpPr/>
      </xdr:nvSpPr>
      <xdr:spPr>
        <a:xfrm>
          <a:off x="5578475" y="14370050"/>
          <a:ext cx="374650" cy="11976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107950</xdr:rowOff>
    </xdr:from>
    <xdr:to>
      <xdr:col>9</xdr:col>
      <xdr:colOff>215900</xdr:colOff>
      <xdr:row>106</xdr:row>
      <xdr:rowOff>107950</xdr:rowOff>
    </xdr:to>
    <xdr:cxnSp macro="">
      <xdr:nvCxnSpPr>
        <xdr:cNvPr id="9514" name="OpenSolver398"/>
        <xdr:cNvCxnSpPr>
          <a:stCxn id="9512" idx="3"/>
          <a:endCxn id="9513" idx="1"/>
        </xdr:cNvCxnSpPr>
      </xdr:nvCxnSpPr>
      <xdr:spPr>
        <a:xfrm>
          <a:off x="4772025" y="20358100"/>
          <a:ext cx="806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212725</xdr:colOff>
      <xdr:row>105</xdr:row>
      <xdr:rowOff>171450</xdr:rowOff>
    </xdr:from>
    <xdr:to>
      <xdr:col>9</xdr:col>
      <xdr:colOff>3175</xdr:colOff>
      <xdr:row>107</xdr:row>
      <xdr:rowOff>44450</xdr:rowOff>
    </xdr:to>
    <xdr:sp macro="" textlink="">
      <xdr:nvSpPr>
        <xdr:cNvPr id="9515" name="OpenSolver399"/>
        <xdr:cNvSpPr/>
      </xdr:nvSpPr>
      <xdr:spPr>
        <a:xfrm>
          <a:off x="4984750" y="20231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</xdr:row>
      <xdr:rowOff>38100</xdr:rowOff>
    </xdr:from>
    <xdr:to>
      <xdr:col>8</xdr:col>
      <xdr:colOff>0</xdr:colOff>
      <xdr:row>8</xdr:row>
      <xdr:rowOff>0</xdr:rowOff>
    </xdr:to>
    <xdr:sp macro="" textlink="">
      <xdr:nvSpPr>
        <xdr:cNvPr id="9516" name="OpenSolver400"/>
        <xdr:cNvSpPr/>
      </xdr:nvSpPr>
      <xdr:spPr>
        <a:xfrm>
          <a:off x="44100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228600</xdr:colOff>
      <xdr:row>7</xdr:row>
      <xdr:rowOff>38100</xdr:rowOff>
    </xdr:from>
    <xdr:to>
      <xdr:col>10</xdr:col>
      <xdr:colOff>0</xdr:colOff>
      <xdr:row>8</xdr:row>
      <xdr:rowOff>0</xdr:rowOff>
    </xdr:to>
    <xdr:sp macro="" textlink="">
      <xdr:nvSpPr>
        <xdr:cNvPr id="9517" name="OpenSolver401"/>
        <xdr:cNvSpPr/>
      </xdr:nvSpPr>
      <xdr:spPr>
        <a:xfrm>
          <a:off x="5591175" y="1409700"/>
          <a:ext cx="361950" cy="1524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114300</xdr:rowOff>
    </xdr:from>
    <xdr:to>
      <xdr:col>9</xdr:col>
      <xdr:colOff>228600</xdr:colOff>
      <xdr:row>7</xdr:row>
      <xdr:rowOff>114300</xdr:rowOff>
    </xdr:to>
    <xdr:cxnSp macro="">
      <xdr:nvCxnSpPr>
        <xdr:cNvPr id="9518" name="OpenSolver402"/>
        <xdr:cNvCxnSpPr>
          <a:stCxn id="9516" idx="3"/>
          <a:endCxn id="9517" idx="1"/>
        </xdr:cNvCxnSpPr>
      </xdr:nvCxnSpPr>
      <xdr:spPr>
        <a:xfrm>
          <a:off x="4772025" y="1485900"/>
          <a:ext cx="8191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6</xdr:row>
      <xdr:rowOff>177800</xdr:rowOff>
    </xdr:from>
    <xdr:to>
      <xdr:col>9</xdr:col>
      <xdr:colOff>9525</xdr:colOff>
      <xdr:row>8</xdr:row>
      <xdr:rowOff>50800</xdr:rowOff>
    </xdr:to>
    <xdr:sp macro="" textlink="">
      <xdr:nvSpPr>
        <xdr:cNvPr id="9519" name="OpenSolver403"/>
        <xdr:cNvSpPr/>
      </xdr:nvSpPr>
      <xdr:spPr>
        <a:xfrm>
          <a:off x="4991100" y="135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9</xdr:row>
      <xdr:rowOff>28575</xdr:rowOff>
    </xdr:from>
    <xdr:to>
      <xdr:col>8</xdr:col>
      <xdr:colOff>0</xdr:colOff>
      <xdr:row>72</xdr:row>
      <xdr:rowOff>0</xdr:rowOff>
    </xdr:to>
    <xdr:sp macro="" textlink="">
      <xdr:nvSpPr>
        <xdr:cNvPr id="9520" name="OpenSolver404"/>
        <xdr:cNvSpPr/>
      </xdr:nvSpPr>
      <xdr:spPr>
        <a:xfrm>
          <a:off x="44100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228600</xdr:colOff>
      <xdr:row>9</xdr:row>
      <xdr:rowOff>28575</xdr:rowOff>
    </xdr:from>
    <xdr:to>
      <xdr:col>10</xdr:col>
      <xdr:colOff>0</xdr:colOff>
      <xdr:row>72</xdr:row>
      <xdr:rowOff>0</xdr:rowOff>
    </xdr:to>
    <xdr:sp macro="" textlink="">
      <xdr:nvSpPr>
        <xdr:cNvPr id="9521" name="OpenSolver405"/>
        <xdr:cNvSpPr/>
      </xdr:nvSpPr>
      <xdr:spPr>
        <a:xfrm>
          <a:off x="5591175" y="1790700"/>
          <a:ext cx="361950" cy="119824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104775</xdr:rowOff>
    </xdr:from>
    <xdr:to>
      <xdr:col>9</xdr:col>
      <xdr:colOff>228600</xdr:colOff>
      <xdr:row>40</xdr:row>
      <xdr:rowOff>104775</xdr:rowOff>
    </xdr:to>
    <xdr:cxnSp macro="">
      <xdr:nvCxnSpPr>
        <xdr:cNvPr id="9522" name="OpenSolver406"/>
        <xdr:cNvCxnSpPr>
          <a:stCxn id="9520" idx="3"/>
          <a:endCxn id="9521" idx="1"/>
        </xdr:cNvCxnSpPr>
      </xdr:nvCxnSpPr>
      <xdr:spPr>
        <a:xfrm>
          <a:off x="4772025" y="7781925"/>
          <a:ext cx="819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39</xdr:row>
      <xdr:rowOff>168275</xdr:rowOff>
    </xdr:from>
    <xdr:to>
      <xdr:col>9</xdr:col>
      <xdr:colOff>9525</xdr:colOff>
      <xdr:row>41</xdr:row>
      <xdr:rowOff>41275</xdr:rowOff>
    </xdr:to>
    <xdr:sp macro="" textlink="">
      <xdr:nvSpPr>
        <xdr:cNvPr id="9523" name="OpenSolver407"/>
        <xdr:cNvSpPr/>
      </xdr:nvSpPr>
      <xdr:spPr>
        <a:xfrm>
          <a:off x="4991100" y="7654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228600</xdr:colOff>
      <xdr:row>75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524" name="OpenSolver408"/>
        <xdr:cNvSpPr/>
      </xdr:nvSpPr>
      <xdr:spPr>
        <a:xfrm>
          <a:off x="44100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228600</xdr:colOff>
      <xdr:row>75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525" name="OpenSolver409"/>
        <xdr:cNvSpPr/>
      </xdr:nvSpPr>
      <xdr:spPr>
        <a:xfrm>
          <a:off x="5591175" y="14382750"/>
          <a:ext cx="361950" cy="11963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114300</xdr:rowOff>
    </xdr:from>
    <xdr:to>
      <xdr:col>9</xdr:col>
      <xdr:colOff>228600</xdr:colOff>
      <xdr:row>106</xdr:row>
      <xdr:rowOff>114300</xdr:rowOff>
    </xdr:to>
    <xdr:cxnSp macro="">
      <xdr:nvCxnSpPr>
        <xdr:cNvPr id="9526" name="OpenSolver410"/>
        <xdr:cNvCxnSpPr>
          <a:stCxn id="9524" idx="3"/>
          <a:endCxn id="9525" idx="1"/>
        </xdr:cNvCxnSpPr>
      </xdr:nvCxnSpPr>
      <xdr:spPr>
        <a:xfrm>
          <a:off x="4772025" y="20364450"/>
          <a:ext cx="819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219075</xdr:colOff>
      <xdr:row>105</xdr:row>
      <xdr:rowOff>177800</xdr:rowOff>
    </xdr:from>
    <xdr:to>
      <xdr:col>9</xdr:col>
      <xdr:colOff>9525</xdr:colOff>
      <xdr:row>107</xdr:row>
      <xdr:rowOff>50800</xdr:rowOff>
    </xdr:to>
    <xdr:sp macro="" textlink="">
      <xdr:nvSpPr>
        <xdr:cNvPr id="9527" name="OpenSolver411"/>
        <xdr:cNvSpPr/>
      </xdr:nvSpPr>
      <xdr:spPr>
        <a:xfrm>
          <a:off x="4991100" y="20237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</xdr:row>
      <xdr:rowOff>50800</xdr:rowOff>
    </xdr:from>
    <xdr:to>
      <xdr:col>8</xdr:col>
      <xdr:colOff>0</xdr:colOff>
      <xdr:row>8</xdr:row>
      <xdr:rowOff>0</xdr:rowOff>
    </xdr:to>
    <xdr:sp macro="" textlink="">
      <xdr:nvSpPr>
        <xdr:cNvPr id="9528" name="OpenSolver412"/>
        <xdr:cNvSpPr/>
      </xdr:nvSpPr>
      <xdr:spPr>
        <a:xfrm>
          <a:off x="44227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241300</xdr:colOff>
      <xdr:row>7</xdr:row>
      <xdr:rowOff>50800</xdr:rowOff>
    </xdr:from>
    <xdr:to>
      <xdr:col>10</xdr:col>
      <xdr:colOff>0</xdr:colOff>
      <xdr:row>8</xdr:row>
      <xdr:rowOff>0</xdr:rowOff>
    </xdr:to>
    <xdr:sp macro="" textlink="">
      <xdr:nvSpPr>
        <xdr:cNvPr id="9529" name="OpenSolver413"/>
        <xdr:cNvSpPr/>
      </xdr:nvSpPr>
      <xdr:spPr>
        <a:xfrm>
          <a:off x="5603875" y="1422400"/>
          <a:ext cx="349250" cy="1397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120650</xdr:rowOff>
    </xdr:from>
    <xdr:to>
      <xdr:col>9</xdr:col>
      <xdr:colOff>241300</xdr:colOff>
      <xdr:row>7</xdr:row>
      <xdr:rowOff>120650</xdr:rowOff>
    </xdr:to>
    <xdr:cxnSp macro="">
      <xdr:nvCxnSpPr>
        <xdr:cNvPr id="9530" name="OpenSolver414"/>
        <xdr:cNvCxnSpPr>
          <a:stCxn id="9528" idx="3"/>
          <a:endCxn id="9529" idx="1"/>
        </xdr:cNvCxnSpPr>
      </xdr:nvCxnSpPr>
      <xdr:spPr>
        <a:xfrm>
          <a:off x="4772025" y="1492250"/>
          <a:ext cx="8318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6</xdr:row>
      <xdr:rowOff>184150</xdr:rowOff>
    </xdr:from>
    <xdr:to>
      <xdr:col>9</xdr:col>
      <xdr:colOff>15875</xdr:colOff>
      <xdr:row>8</xdr:row>
      <xdr:rowOff>57150</xdr:rowOff>
    </xdr:to>
    <xdr:sp macro="" textlink="">
      <xdr:nvSpPr>
        <xdr:cNvPr id="9531" name="OpenSolver415"/>
        <xdr:cNvSpPr/>
      </xdr:nvSpPr>
      <xdr:spPr>
        <a:xfrm>
          <a:off x="4997450" y="136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9</xdr:row>
      <xdr:rowOff>41275</xdr:rowOff>
    </xdr:from>
    <xdr:to>
      <xdr:col>8</xdr:col>
      <xdr:colOff>0</xdr:colOff>
      <xdr:row>72</xdr:row>
      <xdr:rowOff>0</xdr:rowOff>
    </xdr:to>
    <xdr:sp macro="" textlink="">
      <xdr:nvSpPr>
        <xdr:cNvPr id="9532" name="OpenSolver416"/>
        <xdr:cNvSpPr/>
      </xdr:nvSpPr>
      <xdr:spPr>
        <a:xfrm>
          <a:off x="44227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241300</xdr:colOff>
      <xdr:row>9</xdr:row>
      <xdr:rowOff>41275</xdr:rowOff>
    </xdr:from>
    <xdr:to>
      <xdr:col>10</xdr:col>
      <xdr:colOff>0</xdr:colOff>
      <xdr:row>72</xdr:row>
      <xdr:rowOff>0</xdr:rowOff>
    </xdr:to>
    <xdr:sp macro="" textlink="">
      <xdr:nvSpPr>
        <xdr:cNvPr id="9533" name="OpenSolver417"/>
        <xdr:cNvSpPr/>
      </xdr:nvSpPr>
      <xdr:spPr>
        <a:xfrm>
          <a:off x="5603875" y="1803400"/>
          <a:ext cx="349250" cy="119697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111125</xdr:rowOff>
    </xdr:from>
    <xdr:to>
      <xdr:col>9</xdr:col>
      <xdr:colOff>241300</xdr:colOff>
      <xdr:row>40</xdr:row>
      <xdr:rowOff>111125</xdr:rowOff>
    </xdr:to>
    <xdr:cxnSp macro="">
      <xdr:nvCxnSpPr>
        <xdr:cNvPr id="9534" name="OpenSolver418"/>
        <xdr:cNvCxnSpPr>
          <a:stCxn id="9532" idx="3"/>
          <a:endCxn id="9533" idx="1"/>
        </xdr:cNvCxnSpPr>
      </xdr:nvCxnSpPr>
      <xdr:spPr>
        <a:xfrm>
          <a:off x="4772025" y="7788275"/>
          <a:ext cx="831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39</xdr:row>
      <xdr:rowOff>174625</xdr:rowOff>
    </xdr:from>
    <xdr:to>
      <xdr:col>9</xdr:col>
      <xdr:colOff>15875</xdr:colOff>
      <xdr:row>41</xdr:row>
      <xdr:rowOff>47625</xdr:rowOff>
    </xdr:to>
    <xdr:sp macro="" textlink="">
      <xdr:nvSpPr>
        <xdr:cNvPr id="9535" name="OpenSolver419"/>
        <xdr:cNvSpPr/>
      </xdr:nvSpPr>
      <xdr:spPr>
        <a:xfrm>
          <a:off x="4997450" y="7661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241300</xdr:colOff>
      <xdr:row>75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536" name="OpenSolver420"/>
        <xdr:cNvSpPr/>
      </xdr:nvSpPr>
      <xdr:spPr>
        <a:xfrm>
          <a:off x="44227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241300</xdr:colOff>
      <xdr:row>75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537" name="OpenSolver421"/>
        <xdr:cNvSpPr/>
      </xdr:nvSpPr>
      <xdr:spPr>
        <a:xfrm>
          <a:off x="5603875" y="14395450"/>
          <a:ext cx="349250" cy="11950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120650</xdr:rowOff>
    </xdr:from>
    <xdr:to>
      <xdr:col>9</xdr:col>
      <xdr:colOff>241300</xdr:colOff>
      <xdr:row>106</xdr:row>
      <xdr:rowOff>120650</xdr:rowOff>
    </xdr:to>
    <xdr:cxnSp macro="">
      <xdr:nvCxnSpPr>
        <xdr:cNvPr id="9538" name="OpenSolver422"/>
        <xdr:cNvCxnSpPr>
          <a:stCxn id="9536" idx="3"/>
          <a:endCxn id="9537" idx="1"/>
        </xdr:cNvCxnSpPr>
      </xdr:nvCxnSpPr>
      <xdr:spPr>
        <a:xfrm>
          <a:off x="4772025" y="20370800"/>
          <a:ext cx="831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225425</xdr:colOff>
      <xdr:row>105</xdr:row>
      <xdr:rowOff>184150</xdr:rowOff>
    </xdr:from>
    <xdr:to>
      <xdr:col>9</xdr:col>
      <xdr:colOff>15875</xdr:colOff>
      <xdr:row>107</xdr:row>
      <xdr:rowOff>57150</xdr:rowOff>
    </xdr:to>
    <xdr:sp macro="" textlink="">
      <xdr:nvSpPr>
        <xdr:cNvPr id="9539" name="OpenSolver423"/>
        <xdr:cNvSpPr/>
      </xdr:nvSpPr>
      <xdr:spPr>
        <a:xfrm>
          <a:off x="4997450" y="20243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</xdr:row>
      <xdr:rowOff>63500</xdr:rowOff>
    </xdr:from>
    <xdr:to>
      <xdr:col>8</xdr:col>
      <xdr:colOff>0</xdr:colOff>
      <xdr:row>8</xdr:row>
      <xdr:rowOff>0</xdr:rowOff>
    </xdr:to>
    <xdr:sp macro="" textlink="">
      <xdr:nvSpPr>
        <xdr:cNvPr id="9540" name="OpenSolver424"/>
        <xdr:cNvSpPr/>
      </xdr:nvSpPr>
      <xdr:spPr>
        <a:xfrm>
          <a:off x="44354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254000</xdr:colOff>
      <xdr:row>7</xdr:row>
      <xdr:rowOff>63500</xdr:rowOff>
    </xdr:from>
    <xdr:to>
      <xdr:col>10</xdr:col>
      <xdr:colOff>0</xdr:colOff>
      <xdr:row>8</xdr:row>
      <xdr:rowOff>0</xdr:rowOff>
    </xdr:to>
    <xdr:sp macro="" textlink="">
      <xdr:nvSpPr>
        <xdr:cNvPr id="9541" name="OpenSolver425"/>
        <xdr:cNvSpPr/>
      </xdr:nvSpPr>
      <xdr:spPr>
        <a:xfrm>
          <a:off x="5616575" y="1435100"/>
          <a:ext cx="336550" cy="127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127000</xdr:rowOff>
    </xdr:from>
    <xdr:to>
      <xdr:col>9</xdr:col>
      <xdr:colOff>254000</xdr:colOff>
      <xdr:row>7</xdr:row>
      <xdr:rowOff>127000</xdr:rowOff>
    </xdr:to>
    <xdr:cxnSp macro="">
      <xdr:nvCxnSpPr>
        <xdr:cNvPr id="9542" name="OpenSolver426"/>
        <xdr:cNvCxnSpPr>
          <a:stCxn id="9540" idx="3"/>
          <a:endCxn id="9541" idx="1"/>
        </xdr:cNvCxnSpPr>
      </xdr:nvCxnSpPr>
      <xdr:spPr>
        <a:xfrm>
          <a:off x="4772025" y="1498600"/>
          <a:ext cx="844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7</xdr:row>
      <xdr:rowOff>0</xdr:rowOff>
    </xdr:from>
    <xdr:to>
      <xdr:col>9</xdr:col>
      <xdr:colOff>22225</xdr:colOff>
      <xdr:row>8</xdr:row>
      <xdr:rowOff>63500</xdr:rowOff>
    </xdr:to>
    <xdr:sp macro="" textlink="">
      <xdr:nvSpPr>
        <xdr:cNvPr id="9543" name="OpenSolver427"/>
        <xdr:cNvSpPr/>
      </xdr:nvSpPr>
      <xdr:spPr>
        <a:xfrm>
          <a:off x="5003800" y="1371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9</xdr:row>
      <xdr:rowOff>53975</xdr:rowOff>
    </xdr:from>
    <xdr:to>
      <xdr:col>8</xdr:col>
      <xdr:colOff>0</xdr:colOff>
      <xdr:row>72</xdr:row>
      <xdr:rowOff>0</xdr:rowOff>
    </xdr:to>
    <xdr:sp macro="" textlink="">
      <xdr:nvSpPr>
        <xdr:cNvPr id="9544" name="OpenSolver428"/>
        <xdr:cNvSpPr/>
      </xdr:nvSpPr>
      <xdr:spPr>
        <a:xfrm>
          <a:off x="44354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254000</xdr:colOff>
      <xdr:row>9</xdr:row>
      <xdr:rowOff>53975</xdr:rowOff>
    </xdr:from>
    <xdr:to>
      <xdr:col>10</xdr:col>
      <xdr:colOff>0</xdr:colOff>
      <xdr:row>72</xdr:row>
      <xdr:rowOff>0</xdr:rowOff>
    </xdr:to>
    <xdr:sp macro="" textlink="">
      <xdr:nvSpPr>
        <xdr:cNvPr id="9545" name="OpenSolver429"/>
        <xdr:cNvSpPr/>
      </xdr:nvSpPr>
      <xdr:spPr>
        <a:xfrm>
          <a:off x="5616575" y="1816100"/>
          <a:ext cx="336550" cy="119570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117475</xdr:rowOff>
    </xdr:from>
    <xdr:to>
      <xdr:col>9</xdr:col>
      <xdr:colOff>254000</xdr:colOff>
      <xdr:row>40</xdr:row>
      <xdr:rowOff>117475</xdr:rowOff>
    </xdr:to>
    <xdr:cxnSp macro="">
      <xdr:nvCxnSpPr>
        <xdr:cNvPr id="9546" name="OpenSolver430"/>
        <xdr:cNvCxnSpPr>
          <a:stCxn id="9544" idx="3"/>
          <a:endCxn id="9545" idx="1"/>
        </xdr:cNvCxnSpPr>
      </xdr:nvCxnSpPr>
      <xdr:spPr>
        <a:xfrm>
          <a:off x="4772025" y="7794625"/>
          <a:ext cx="844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39</xdr:row>
      <xdr:rowOff>180975</xdr:rowOff>
    </xdr:from>
    <xdr:to>
      <xdr:col>9</xdr:col>
      <xdr:colOff>22225</xdr:colOff>
      <xdr:row>41</xdr:row>
      <xdr:rowOff>53975</xdr:rowOff>
    </xdr:to>
    <xdr:sp macro="" textlink="">
      <xdr:nvSpPr>
        <xdr:cNvPr id="9547" name="OpenSolver431"/>
        <xdr:cNvSpPr/>
      </xdr:nvSpPr>
      <xdr:spPr>
        <a:xfrm>
          <a:off x="5003800" y="7667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254000</xdr:colOff>
      <xdr:row>75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548" name="OpenSolver432"/>
        <xdr:cNvSpPr/>
      </xdr:nvSpPr>
      <xdr:spPr>
        <a:xfrm>
          <a:off x="44354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254000</xdr:colOff>
      <xdr:row>75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549" name="OpenSolver433"/>
        <xdr:cNvSpPr/>
      </xdr:nvSpPr>
      <xdr:spPr>
        <a:xfrm>
          <a:off x="5616575" y="14408150"/>
          <a:ext cx="336550" cy="11938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127000</xdr:rowOff>
    </xdr:from>
    <xdr:to>
      <xdr:col>9</xdr:col>
      <xdr:colOff>254000</xdr:colOff>
      <xdr:row>106</xdr:row>
      <xdr:rowOff>127000</xdr:rowOff>
    </xdr:to>
    <xdr:cxnSp macro="">
      <xdr:nvCxnSpPr>
        <xdr:cNvPr id="9550" name="OpenSolver434"/>
        <xdr:cNvCxnSpPr>
          <a:stCxn id="9548" idx="3"/>
          <a:endCxn id="9549" idx="1"/>
        </xdr:cNvCxnSpPr>
      </xdr:nvCxnSpPr>
      <xdr:spPr>
        <a:xfrm>
          <a:off x="4772025" y="20377150"/>
          <a:ext cx="844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231775</xdr:colOff>
      <xdr:row>106</xdr:row>
      <xdr:rowOff>0</xdr:rowOff>
    </xdr:from>
    <xdr:to>
      <xdr:col>9</xdr:col>
      <xdr:colOff>22225</xdr:colOff>
      <xdr:row>107</xdr:row>
      <xdr:rowOff>63500</xdr:rowOff>
    </xdr:to>
    <xdr:sp macro="" textlink="">
      <xdr:nvSpPr>
        <xdr:cNvPr id="9551" name="OpenSolver435"/>
        <xdr:cNvSpPr/>
      </xdr:nvSpPr>
      <xdr:spPr>
        <a:xfrm>
          <a:off x="5003800" y="20250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</xdr:row>
      <xdr:rowOff>76200</xdr:rowOff>
    </xdr:from>
    <xdr:to>
      <xdr:col>8</xdr:col>
      <xdr:colOff>0</xdr:colOff>
      <xdr:row>8</xdr:row>
      <xdr:rowOff>0</xdr:rowOff>
    </xdr:to>
    <xdr:sp macro="" textlink="">
      <xdr:nvSpPr>
        <xdr:cNvPr id="9552" name="OpenSolver436"/>
        <xdr:cNvSpPr/>
      </xdr:nvSpPr>
      <xdr:spPr>
        <a:xfrm>
          <a:off x="44481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266700</xdr:colOff>
      <xdr:row>7</xdr:row>
      <xdr:rowOff>76200</xdr:rowOff>
    </xdr:from>
    <xdr:to>
      <xdr:col>10</xdr:col>
      <xdr:colOff>0</xdr:colOff>
      <xdr:row>8</xdr:row>
      <xdr:rowOff>0</xdr:rowOff>
    </xdr:to>
    <xdr:sp macro="" textlink="">
      <xdr:nvSpPr>
        <xdr:cNvPr id="9553" name="OpenSolver437"/>
        <xdr:cNvSpPr/>
      </xdr:nvSpPr>
      <xdr:spPr>
        <a:xfrm>
          <a:off x="5629275" y="1447800"/>
          <a:ext cx="323850" cy="114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133350</xdr:rowOff>
    </xdr:from>
    <xdr:to>
      <xdr:col>9</xdr:col>
      <xdr:colOff>266700</xdr:colOff>
      <xdr:row>7</xdr:row>
      <xdr:rowOff>133350</xdr:rowOff>
    </xdr:to>
    <xdr:cxnSp macro="">
      <xdr:nvCxnSpPr>
        <xdr:cNvPr id="9554" name="OpenSolver438"/>
        <xdr:cNvCxnSpPr>
          <a:stCxn id="9552" idx="3"/>
          <a:endCxn id="9553" idx="1"/>
        </xdr:cNvCxnSpPr>
      </xdr:nvCxnSpPr>
      <xdr:spPr>
        <a:xfrm>
          <a:off x="4772025" y="1504950"/>
          <a:ext cx="8572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7</xdr:row>
      <xdr:rowOff>6350</xdr:rowOff>
    </xdr:from>
    <xdr:to>
      <xdr:col>9</xdr:col>
      <xdr:colOff>28575</xdr:colOff>
      <xdr:row>8</xdr:row>
      <xdr:rowOff>69850</xdr:rowOff>
    </xdr:to>
    <xdr:sp macro="" textlink="">
      <xdr:nvSpPr>
        <xdr:cNvPr id="9555" name="OpenSolver439"/>
        <xdr:cNvSpPr/>
      </xdr:nvSpPr>
      <xdr:spPr>
        <a:xfrm>
          <a:off x="5010150" y="1377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9</xdr:row>
      <xdr:rowOff>66675</xdr:rowOff>
    </xdr:from>
    <xdr:to>
      <xdr:col>8</xdr:col>
      <xdr:colOff>0</xdr:colOff>
      <xdr:row>72</xdr:row>
      <xdr:rowOff>0</xdr:rowOff>
    </xdr:to>
    <xdr:sp macro="" textlink="">
      <xdr:nvSpPr>
        <xdr:cNvPr id="9556" name="OpenSolver440"/>
        <xdr:cNvSpPr/>
      </xdr:nvSpPr>
      <xdr:spPr>
        <a:xfrm>
          <a:off x="44481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266700</xdr:colOff>
      <xdr:row>9</xdr:row>
      <xdr:rowOff>66675</xdr:rowOff>
    </xdr:from>
    <xdr:to>
      <xdr:col>10</xdr:col>
      <xdr:colOff>0</xdr:colOff>
      <xdr:row>72</xdr:row>
      <xdr:rowOff>0</xdr:rowOff>
    </xdr:to>
    <xdr:sp macro="" textlink="">
      <xdr:nvSpPr>
        <xdr:cNvPr id="9557" name="OpenSolver441"/>
        <xdr:cNvSpPr/>
      </xdr:nvSpPr>
      <xdr:spPr>
        <a:xfrm>
          <a:off x="5629275" y="1828800"/>
          <a:ext cx="323850" cy="119443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123825</xdr:rowOff>
    </xdr:from>
    <xdr:to>
      <xdr:col>9</xdr:col>
      <xdr:colOff>266700</xdr:colOff>
      <xdr:row>40</xdr:row>
      <xdr:rowOff>123825</xdr:rowOff>
    </xdr:to>
    <xdr:cxnSp macro="">
      <xdr:nvCxnSpPr>
        <xdr:cNvPr id="9558" name="OpenSolver442"/>
        <xdr:cNvCxnSpPr>
          <a:stCxn id="9556" idx="3"/>
          <a:endCxn id="9557" idx="1"/>
        </xdr:cNvCxnSpPr>
      </xdr:nvCxnSpPr>
      <xdr:spPr>
        <a:xfrm>
          <a:off x="4772025" y="7800975"/>
          <a:ext cx="857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39</xdr:row>
      <xdr:rowOff>187325</xdr:rowOff>
    </xdr:from>
    <xdr:to>
      <xdr:col>9</xdr:col>
      <xdr:colOff>28575</xdr:colOff>
      <xdr:row>41</xdr:row>
      <xdr:rowOff>60325</xdr:rowOff>
    </xdr:to>
    <xdr:sp macro="" textlink="">
      <xdr:nvSpPr>
        <xdr:cNvPr id="9559" name="OpenSolver443"/>
        <xdr:cNvSpPr/>
      </xdr:nvSpPr>
      <xdr:spPr>
        <a:xfrm>
          <a:off x="5010150" y="7673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266700</xdr:colOff>
      <xdr:row>75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560" name="OpenSolver444"/>
        <xdr:cNvSpPr/>
      </xdr:nvSpPr>
      <xdr:spPr>
        <a:xfrm>
          <a:off x="44481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266700</xdr:colOff>
      <xdr:row>75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561" name="OpenSolver445"/>
        <xdr:cNvSpPr/>
      </xdr:nvSpPr>
      <xdr:spPr>
        <a:xfrm>
          <a:off x="5629275" y="14420850"/>
          <a:ext cx="323850" cy="119253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133350</xdr:rowOff>
    </xdr:from>
    <xdr:to>
      <xdr:col>9</xdr:col>
      <xdr:colOff>266700</xdr:colOff>
      <xdr:row>106</xdr:row>
      <xdr:rowOff>133350</xdr:rowOff>
    </xdr:to>
    <xdr:cxnSp macro="">
      <xdr:nvCxnSpPr>
        <xdr:cNvPr id="9562" name="OpenSolver446"/>
        <xdr:cNvCxnSpPr>
          <a:stCxn id="9560" idx="3"/>
          <a:endCxn id="9561" idx="1"/>
        </xdr:cNvCxnSpPr>
      </xdr:nvCxnSpPr>
      <xdr:spPr>
        <a:xfrm>
          <a:off x="4772025" y="20383500"/>
          <a:ext cx="8572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238125</xdr:colOff>
      <xdr:row>106</xdr:row>
      <xdr:rowOff>6350</xdr:rowOff>
    </xdr:from>
    <xdr:to>
      <xdr:col>9</xdr:col>
      <xdr:colOff>28575</xdr:colOff>
      <xdr:row>107</xdr:row>
      <xdr:rowOff>69850</xdr:rowOff>
    </xdr:to>
    <xdr:sp macro="" textlink="">
      <xdr:nvSpPr>
        <xdr:cNvPr id="9563" name="OpenSolver447"/>
        <xdr:cNvSpPr/>
      </xdr:nvSpPr>
      <xdr:spPr>
        <a:xfrm>
          <a:off x="5010150" y="2025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</xdr:row>
      <xdr:rowOff>88900</xdr:rowOff>
    </xdr:from>
    <xdr:to>
      <xdr:col>8</xdr:col>
      <xdr:colOff>0</xdr:colOff>
      <xdr:row>8</xdr:row>
      <xdr:rowOff>0</xdr:rowOff>
    </xdr:to>
    <xdr:sp macro="" textlink="">
      <xdr:nvSpPr>
        <xdr:cNvPr id="9564" name="OpenSolver448"/>
        <xdr:cNvSpPr/>
      </xdr:nvSpPr>
      <xdr:spPr>
        <a:xfrm>
          <a:off x="44608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279400</xdr:colOff>
      <xdr:row>7</xdr:row>
      <xdr:rowOff>88900</xdr:rowOff>
    </xdr:from>
    <xdr:to>
      <xdr:col>10</xdr:col>
      <xdr:colOff>0</xdr:colOff>
      <xdr:row>8</xdr:row>
      <xdr:rowOff>0</xdr:rowOff>
    </xdr:to>
    <xdr:sp macro="" textlink="">
      <xdr:nvSpPr>
        <xdr:cNvPr id="9565" name="OpenSolver449"/>
        <xdr:cNvSpPr/>
      </xdr:nvSpPr>
      <xdr:spPr>
        <a:xfrm>
          <a:off x="5641975" y="1460500"/>
          <a:ext cx="311150" cy="1016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139700</xdr:rowOff>
    </xdr:from>
    <xdr:to>
      <xdr:col>9</xdr:col>
      <xdr:colOff>279400</xdr:colOff>
      <xdr:row>7</xdr:row>
      <xdr:rowOff>139700</xdr:rowOff>
    </xdr:to>
    <xdr:cxnSp macro="">
      <xdr:nvCxnSpPr>
        <xdr:cNvPr id="9566" name="OpenSolver450"/>
        <xdr:cNvCxnSpPr>
          <a:stCxn id="9564" idx="3"/>
          <a:endCxn id="9565" idx="1"/>
        </xdr:cNvCxnSpPr>
      </xdr:nvCxnSpPr>
      <xdr:spPr>
        <a:xfrm>
          <a:off x="4772025" y="1511300"/>
          <a:ext cx="8699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7</xdr:row>
      <xdr:rowOff>12700</xdr:rowOff>
    </xdr:from>
    <xdr:to>
      <xdr:col>9</xdr:col>
      <xdr:colOff>34925</xdr:colOff>
      <xdr:row>8</xdr:row>
      <xdr:rowOff>76200</xdr:rowOff>
    </xdr:to>
    <xdr:sp macro="" textlink="">
      <xdr:nvSpPr>
        <xdr:cNvPr id="9567" name="OpenSolver451"/>
        <xdr:cNvSpPr/>
      </xdr:nvSpPr>
      <xdr:spPr>
        <a:xfrm>
          <a:off x="5016500" y="1384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9</xdr:row>
      <xdr:rowOff>79375</xdr:rowOff>
    </xdr:from>
    <xdr:to>
      <xdr:col>8</xdr:col>
      <xdr:colOff>0</xdr:colOff>
      <xdr:row>72</xdr:row>
      <xdr:rowOff>0</xdr:rowOff>
    </xdr:to>
    <xdr:sp macro="" textlink="">
      <xdr:nvSpPr>
        <xdr:cNvPr id="9568" name="OpenSolver452"/>
        <xdr:cNvSpPr/>
      </xdr:nvSpPr>
      <xdr:spPr>
        <a:xfrm>
          <a:off x="44608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279400</xdr:colOff>
      <xdr:row>9</xdr:row>
      <xdr:rowOff>79375</xdr:rowOff>
    </xdr:from>
    <xdr:to>
      <xdr:col>10</xdr:col>
      <xdr:colOff>0</xdr:colOff>
      <xdr:row>72</xdr:row>
      <xdr:rowOff>0</xdr:rowOff>
    </xdr:to>
    <xdr:sp macro="" textlink="">
      <xdr:nvSpPr>
        <xdr:cNvPr id="9569" name="OpenSolver453"/>
        <xdr:cNvSpPr/>
      </xdr:nvSpPr>
      <xdr:spPr>
        <a:xfrm>
          <a:off x="5641975" y="1841500"/>
          <a:ext cx="311150" cy="119316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130175</xdr:rowOff>
    </xdr:from>
    <xdr:to>
      <xdr:col>9</xdr:col>
      <xdr:colOff>279400</xdr:colOff>
      <xdr:row>40</xdr:row>
      <xdr:rowOff>130175</xdr:rowOff>
    </xdr:to>
    <xdr:cxnSp macro="">
      <xdr:nvCxnSpPr>
        <xdr:cNvPr id="9570" name="OpenSolver454"/>
        <xdr:cNvCxnSpPr>
          <a:stCxn id="9568" idx="3"/>
          <a:endCxn id="9569" idx="1"/>
        </xdr:cNvCxnSpPr>
      </xdr:nvCxnSpPr>
      <xdr:spPr>
        <a:xfrm>
          <a:off x="4772025" y="7807325"/>
          <a:ext cx="869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40</xdr:row>
      <xdr:rowOff>3175</xdr:rowOff>
    </xdr:from>
    <xdr:to>
      <xdr:col>9</xdr:col>
      <xdr:colOff>34925</xdr:colOff>
      <xdr:row>41</xdr:row>
      <xdr:rowOff>66675</xdr:rowOff>
    </xdr:to>
    <xdr:sp macro="" textlink="">
      <xdr:nvSpPr>
        <xdr:cNvPr id="9571" name="OpenSolver455"/>
        <xdr:cNvSpPr/>
      </xdr:nvSpPr>
      <xdr:spPr>
        <a:xfrm>
          <a:off x="5016500" y="768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279400</xdr:colOff>
      <xdr:row>75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572" name="OpenSolver456"/>
        <xdr:cNvSpPr/>
      </xdr:nvSpPr>
      <xdr:spPr>
        <a:xfrm>
          <a:off x="44608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279400</xdr:colOff>
      <xdr:row>75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573" name="OpenSolver457"/>
        <xdr:cNvSpPr/>
      </xdr:nvSpPr>
      <xdr:spPr>
        <a:xfrm>
          <a:off x="5641975" y="14433550"/>
          <a:ext cx="311150" cy="119126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139700</xdr:rowOff>
    </xdr:from>
    <xdr:to>
      <xdr:col>9</xdr:col>
      <xdr:colOff>279400</xdr:colOff>
      <xdr:row>106</xdr:row>
      <xdr:rowOff>139700</xdr:rowOff>
    </xdr:to>
    <xdr:cxnSp macro="">
      <xdr:nvCxnSpPr>
        <xdr:cNvPr id="9574" name="OpenSolver458"/>
        <xdr:cNvCxnSpPr>
          <a:stCxn id="9572" idx="3"/>
          <a:endCxn id="9573" idx="1"/>
        </xdr:cNvCxnSpPr>
      </xdr:nvCxnSpPr>
      <xdr:spPr>
        <a:xfrm>
          <a:off x="4772025" y="20389850"/>
          <a:ext cx="8699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244475</xdr:colOff>
      <xdr:row>106</xdr:row>
      <xdr:rowOff>12700</xdr:rowOff>
    </xdr:from>
    <xdr:to>
      <xdr:col>9</xdr:col>
      <xdr:colOff>34925</xdr:colOff>
      <xdr:row>107</xdr:row>
      <xdr:rowOff>76200</xdr:rowOff>
    </xdr:to>
    <xdr:sp macro="" textlink="">
      <xdr:nvSpPr>
        <xdr:cNvPr id="9575" name="OpenSolver459"/>
        <xdr:cNvSpPr/>
      </xdr:nvSpPr>
      <xdr:spPr>
        <a:xfrm>
          <a:off x="5016500" y="2026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</xdr:row>
      <xdr:rowOff>101600</xdr:rowOff>
    </xdr:from>
    <xdr:to>
      <xdr:col>8</xdr:col>
      <xdr:colOff>0</xdr:colOff>
      <xdr:row>8</xdr:row>
      <xdr:rowOff>0</xdr:rowOff>
    </xdr:to>
    <xdr:sp macro="" textlink="">
      <xdr:nvSpPr>
        <xdr:cNvPr id="9576" name="OpenSolver460"/>
        <xdr:cNvSpPr/>
      </xdr:nvSpPr>
      <xdr:spPr>
        <a:xfrm>
          <a:off x="44735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292100</xdr:colOff>
      <xdr:row>7</xdr:row>
      <xdr:rowOff>101600</xdr:rowOff>
    </xdr:from>
    <xdr:to>
      <xdr:col>10</xdr:col>
      <xdr:colOff>0</xdr:colOff>
      <xdr:row>8</xdr:row>
      <xdr:rowOff>0</xdr:rowOff>
    </xdr:to>
    <xdr:sp macro="" textlink="">
      <xdr:nvSpPr>
        <xdr:cNvPr id="9577" name="OpenSolver461"/>
        <xdr:cNvSpPr/>
      </xdr:nvSpPr>
      <xdr:spPr>
        <a:xfrm>
          <a:off x="5654675" y="1473200"/>
          <a:ext cx="298450" cy="889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146050</xdr:rowOff>
    </xdr:from>
    <xdr:to>
      <xdr:col>9</xdr:col>
      <xdr:colOff>292100</xdr:colOff>
      <xdr:row>7</xdr:row>
      <xdr:rowOff>146050</xdr:rowOff>
    </xdr:to>
    <xdr:cxnSp macro="">
      <xdr:nvCxnSpPr>
        <xdr:cNvPr id="9578" name="OpenSolver462"/>
        <xdr:cNvCxnSpPr>
          <a:stCxn id="9576" idx="3"/>
          <a:endCxn id="9577" idx="1"/>
        </xdr:cNvCxnSpPr>
      </xdr:nvCxnSpPr>
      <xdr:spPr>
        <a:xfrm>
          <a:off x="4772025" y="1517650"/>
          <a:ext cx="8826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7</xdr:row>
      <xdr:rowOff>19050</xdr:rowOff>
    </xdr:from>
    <xdr:to>
      <xdr:col>9</xdr:col>
      <xdr:colOff>41275</xdr:colOff>
      <xdr:row>8</xdr:row>
      <xdr:rowOff>82550</xdr:rowOff>
    </xdr:to>
    <xdr:sp macro="" textlink="">
      <xdr:nvSpPr>
        <xdr:cNvPr id="9579" name="OpenSolver463"/>
        <xdr:cNvSpPr/>
      </xdr:nvSpPr>
      <xdr:spPr>
        <a:xfrm>
          <a:off x="5022850" y="1390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9</xdr:row>
      <xdr:rowOff>92075</xdr:rowOff>
    </xdr:from>
    <xdr:to>
      <xdr:col>8</xdr:col>
      <xdr:colOff>0</xdr:colOff>
      <xdr:row>72</xdr:row>
      <xdr:rowOff>0</xdr:rowOff>
    </xdr:to>
    <xdr:sp macro="" textlink="">
      <xdr:nvSpPr>
        <xdr:cNvPr id="9580" name="OpenSolver464"/>
        <xdr:cNvSpPr/>
      </xdr:nvSpPr>
      <xdr:spPr>
        <a:xfrm>
          <a:off x="44735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292100</xdr:colOff>
      <xdr:row>9</xdr:row>
      <xdr:rowOff>92075</xdr:rowOff>
    </xdr:from>
    <xdr:to>
      <xdr:col>10</xdr:col>
      <xdr:colOff>0</xdr:colOff>
      <xdr:row>72</xdr:row>
      <xdr:rowOff>0</xdr:rowOff>
    </xdr:to>
    <xdr:sp macro="" textlink="">
      <xdr:nvSpPr>
        <xdr:cNvPr id="9581" name="OpenSolver465"/>
        <xdr:cNvSpPr/>
      </xdr:nvSpPr>
      <xdr:spPr>
        <a:xfrm>
          <a:off x="5654675" y="1854200"/>
          <a:ext cx="298450" cy="119189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136525</xdr:rowOff>
    </xdr:from>
    <xdr:to>
      <xdr:col>9</xdr:col>
      <xdr:colOff>292100</xdr:colOff>
      <xdr:row>40</xdr:row>
      <xdr:rowOff>136525</xdr:rowOff>
    </xdr:to>
    <xdr:cxnSp macro="">
      <xdr:nvCxnSpPr>
        <xdr:cNvPr id="9582" name="OpenSolver466"/>
        <xdr:cNvCxnSpPr>
          <a:stCxn id="9580" idx="3"/>
          <a:endCxn id="9581" idx="1"/>
        </xdr:cNvCxnSpPr>
      </xdr:nvCxnSpPr>
      <xdr:spPr>
        <a:xfrm>
          <a:off x="4772025" y="7813675"/>
          <a:ext cx="882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40</xdr:row>
      <xdr:rowOff>9525</xdr:rowOff>
    </xdr:from>
    <xdr:to>
      <xdr:col>9</xdr:col>
      <xdr:colOff>41275</xdr:colOff>
      <xdr:row>41</xdr:row>
      <xdr:rowOff>73025</xdr:rowOff>
    </xdr:to>
    <xdr:sp macro="" textlink="">
      <xdr:nvSpPr>
        <xdr:cNvPr id="9583" name="OpenSolver467"/>
        <xdr:cNvSpPr/>
      </xdr:nvSpPr>
      <xdr:spPr>
        <a:xfrm>
          <a:off x="5022850" y="7686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292100</xdr:colOff>
      <xdr:row>75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584" name="OpenSolver468"/>
        <xdr:cNvSpPr/>
      </xdr:nvSpPr>
      <xdr:spPr>
        <a:xfrm>
          <a:off x="44735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292100</xdr:colOff>
      <xdr:row>75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585" name="OpenSolver469"/>
        <xdr:cNvSpPr/>
      </xdr:nvSpPr>
      <xdr:spPr>
        <a:xfrm>
          <a:off x="5654675" y="14446250"/>
          <a:ext cx="298450" cy="118999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146050</xdr:rowOff>
    </xdr:from>
    <xdr:to>
      <xdr:col>9</xdr:col>
      <xdr:colOff>292100</xdr:colOff>
      <xdr:row>106</xdr:row>
      <xdr:rowOff>146050</xdr:rowOff>
    </xdr:to>
    <xdr:cxnSp macro="">
      <xdr:nvCxnSpPr>
        <xdr:cNvPr id="9586" name="OpenSolver470"/>
        <xdr:cNvCxnSpPr>
          <a:stCxn id="9584" idx="3"/>
          <a:endCxn id="9585" idx="1"/>
        </xdr:cNvCxnSpPr>
      </xdr:nvCxnSpPr>
      <xdr:spPr>
        <a:xfrm>
          <a:off x="4772025" y="20396200"/>
          <a:ext cx="8826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250825</xdr:colOff>
      <xdr:row>106</xdr:row>
      <xdr:rowOff>19050</xdr:rowOff>
    </xdr:from>
    <xdr:to>
      <xdr:col>9</xdr:col>
      <xdr:colOff>41275</xdr:colOff>
      <xdr:row>107</xdr:row>
      <xdr:rowOff>82550</xdr:rowOff>
    </xdr:to>
    <xdr:sp macro="" textlink="">
      <xdr:nvSpPr>
        <xdr:cNvPr id="9587" name="OpenSolver471"/>
        <xdr:cNvSpPr/>
      </xdr:nvSpPr>
      <xdr:spPr>
        <a:xfrm>
          <a:off x="5022850" y="20269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</xdr:row>
      <xdr:rowOff>114300</xdr:rowOff>
    </xdr:from>
    <xdr:to>
      <xdr:col>8</xdr:col>
      <xdr:colOff>0</xdr:colOff>
      <xdr:row>8</xdr:row>
      <xdr:rowOff>0</xdr:rowOff>
    </xdr:to>
    <xdr:sp macro="" textlink="">
      <xdr:nvSpPr>
        <xdr:cNvPr id="9588" name="OpenSolver472"/>
        <xdr:cNvSpPr/>
      </xdr:nvSpPr>
      <xdr:spPr>
        <a:xfrm>
          <a:off x="44862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304800</xdr:colOff>
      <xdr:row>7</xdr:row>
      <xdr:rowOff>114300</xdr:rowOff>
    </xdr:from>
    <xdr:to>
      <xdr:col>10</xdr:col>
      <xdr:colOff>0</xdr:colOff>
      <xdr:row>8</xdr:row>
      <xdr:rowOff>0</xdr:rowOff>
    </xdr:to>
    <xdr:sp macro="" textlink="">
      <xdr:nvSpPr>
        <xdr:cNvPr id="9589" name="OpenSolver473"/>
        <xdr:cNvSpPr/>
      </xdr:nvSpPr>
      <xdr:spPr>
        <a:xfrm>
          <a:off x="5667375" y="1485900"/>
          <a:ext cx="285750" cy="762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152400</xdr:rowOff>
    </xdr:from>
    <xdr:to>
      <xdr:col>9</xdr:col>
      <xdr:colOff>304800</xdr:colOff>
      <xdr:row>7</xdr:row>
      <xdr:rowOff>152400</xdr:rowOff>
    </xdr:to>
    <xdr:cxnSp macro="">
      <xdr:nvCxnSpPr>
        <xdr:cNvPr id="9590" name="OpenSolver474"/>
        <xdr:cNvCxnSpPr>
          <a:stCxn id="9588" idx="3"/>
          <a:endCxn id="9589" idx="1"/>
        </xdr:cNvCxnSpPr>
      </xdr:nvCxnSpPr>
      <xdr:spPr>
        <a:xfrm>
          <a:off x="4772025" y="1524000"/>
          <a:ext cx="8953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7</xdr:row>
      <xdr:rowOff>25400</xdr:rowOff>
    </xdr:from>
    <xdr:to>
      <xdr:col>9</xdr:col>
      <xdr:colOff>47625</xdr:colOff>
      <xdr:row>8</xdr:row>
      <xdr:rowOff>88900</xdr:rowOff>
    </xdr:to>
    <xdr:sp macro="" textlink="">
      <xdr:nvSpPr>
        <xdr:cNvPr id="9591" name="OpenSolver475"/>
        <xdr:cNvSpPr/>
      </xdr:nvSpPr>
      <xdr:spPr>
        <a:xfrm>
          <a:off x="5029200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9</xdr:row>
      <xdr:rowOff>104775</xdr:rowOff>
    </xdr:from>
    <xdr:to>
      <xdr:col>8</xdr:col>
      <xdr:colOff>0</xdr:colOff>
      <xdr:row>72</xdr:row>
      <xdr:rowOff>0</xdr:rowOff>
    </xdr:to>
    <xdr:sp macro="" textlink="">
      <xdr:nvSpPr>
        <xdr:cNvPr id="9592" name="OpenSolver476"/>
        <xdr:cNvSpPr/>
      </xdr:nvSpPr>
      <xdr:spPr>
        <a:xfrm>
          <a:off x="44862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304800</xdr:colOff>
      <xdr:row>9</xdr:row>
      <xdr:rowOff>104775</xdr:rowOff>
    </xdr:from>
    <xdr:to>
      <xdr:col>10</xdr:col>
      <xdr:colOff>0</xdr:colOff>
      <xdr:row>72</xdr:row>
      <xdr:rowOff>0</xdr:rowOff>
    </xdr:to>
    <xdr:sp macro="" textlink="">
      <xdr:nvSpPr>
        <xdr:cNvPr id="9593" name="OpenSolver477"/>
        <xdr:cNvSpPr/>
      </xdr:nvSpPr>
      <xdr:spPr>
        <a:xfrm>
          <a:off x="5667375" y="1866900"/>
          <a:ext cx="285750" cy="119062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142875</xdr:rowOff>
    </xdr:from>
    <xdr:to>
      <xdr:col>9</xdr:col>
      <xdr:colOff>304800</xdr:colOff>
      <xdr:row>40</xdr:row>
      <xdr:rowOff>142875</xdr:rowOff>
    </xdr:to>
    <xdr:cxnSp macro="">
      <xdr:nvCxnSpPr>
        <xdr:cNvPr id="9594" name="OpenSolver478"/>
        <xdr:cNvCxnSpPr>
          <a:stCxn id="9592" idx="3"/>
          <a:endCxn id="9593" idx="1"/>
        </xdr:cNvCxnSpPr>
      </xdr:nvCxnSpPr>
      <xdr:spPr>
        <a:xfrm>
          <a:off x="4772025" y="7820025"/>
          <a:ext cx="895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40</xdr:row>
      <xdr:rowOff>15875</xdr:rowOff>
    </xdr:from>
    <xdr:to>
      <xdr:col>9</xdr:col>
      <xdr:colOff>47625</xdr:colOff>
      <xdr:row>41</xdr:row>
      <xdr:rowOff>79375</xdr:rowOff>
    </xdr:to>
    <xdr:sp macro="" textlink="">
      <xdr:nvSpPr>
        <xdr:cNvPr id="9595" name="OpenSolver479"/>
        <xdr:cNvSpPr/>
      </xdr:nvSpPr>
      <xdr:spPr>
        <a:xfrm>
          <a:off x="5029200" y="7693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304800</xdr:colOff>
      <xdr:row>75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596" name="OpenSolver480"/>
        <xdr:cNvSpPr/>
      </xdr:nvSpPr>
      <xdr:spPr>
        <a:xfrm>
          <a:off x="44862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304800</xdr:colOff>
      <xdr:row>75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597" name="OpenSolver481"/>
        <xdr:cNvSpPr/>
      </xdr:nvSpPr>
      <xdr:spPr>
        <a:xfrm>
          <a:off x="5667375" y="14458950"/>
          <a:ext cx="285750" cy="118872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152400</xdr:rowOff>
    </xdr:from>
    <xdr:to>
      <xdr:col>9</xdr:col>
      <xdr:colOff>304800</xdr:colOff>
      <xdr:row>106</xdr:row>
      <xdr:rowOff>152400</xdr:rowOff>
    </xdr:to>
    <xdr:cxnSp macro="">
      <xdr:nvCxnSpPr>
        <xdr:cNvPr id="9598" name="OpenSolver482"/>
        <xdr:cNvCxnSpPr>
          <a:stCxn id="9596" idx="3"/>
          <a:endCxn id="9597" idx="1"/>
        </xdr:cNvCxnSpPr>
      </xdr:nvCxnSpPr>
      <xdr:spPr>
        <a:xfrm>
          <a:off x="4772025" y="20402550"/>
          <a:ext cx="8953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257175</xdr:colOff>
      <xdr:row>106</xdr:row>
      <xdr:rowOff>25400</xdr:rowOff>
    </xdr:from>
    <xdr:to>
      <xdr:col>9</xdr:col>
      <xdr:colOff>47625</xdr:colOff>
      <xdr:row>107</xdr:row>
      <xdr:rowOff>88900</xdr:rowOff>
    </xdr:to>
    <xdr:sp macro="" textlink="">
      <xdr:nvSpPr>
        <xdr:cNvPr id="9599" name="OpenSolver483"/>
        <xdr:cNvSpPr/>
      </xdr:nvSpPr>
      <xdr:spPr>
        <a:xfrm>
          <a:off x="5029200" y="20275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</xdr:row>
      <xdr:rowOff>127000</xdr:rowOff>
    </xdr:from>
    <xdr:to>
      <xdr:col>8</xdr:col>
      <xdr:colOff>0</xdr:colOff>
      <xdr:row>8</xdr:row>
      <xdr:rowOff>0</xdr:rowOff>
    </xdr:to>
    <xdr:sp macro="" textlink="">
      <xdr:nvSpPr>
        <xdr:cNvPr id="9600" name="OpenSolver484"/>
        <xdr:cNvSpPr/>
      </xdr:nvSpPr>
      <xdr:spPr>
        <a:xfrm>
          <a:off x="44989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317500</xdr:colOff>
      <xdr:row>7</xdr:row>
      <xdr:rowOff>127000</xdr:rowOff>
    </xdr:from>
    <xdr:to>
      <xdr:col>10</xdr:col>
      <xdr:colOff>0</xdr:colOff>
      <xdr:row>8</xdr:row>
      <xdr:rowOff>0</xdr:rowOff>
    </xdr:to>
    <xdr:sp macro="" textlink="">
      <xdr:nvSpPr>
        <xdr:cNvPr id="9601" name="OpenSolver485"/>
        <xdr:cNvSpPr/>
      </xdr:nvSpPr>
      <xdr:spPr>
        <a:xfrm>
          <a:off x="5680075" y="1498600"/>
          <a:ext cx="273050" cy="6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158750</xdr:rowOff>
    </xdr:from>
    <xdr:to>
      <xdr:col>9</xdr:col>
      <xdr:colOff>317500</xdr:colOff>
      <xdr:row>7</xdr:row>
      <xdr:rowOff>158750</xdr:rowOff>
    </xdr:to>
    <xdr:cxnSp macro="">
      <xdr:nvCxnSpPr>
        <xdr:cNvPr id="9602" name="OpenSolver486"/>
        <xdr:cNvCxnSpPr>
          <a:stCxn id="9600" idx="3"/>
          <a:endCxn id="9601" idx="1"/>
        </xdr:cNvCxnSpPr>
      </xdr:nvCxnSpPr>
      <xdr:spPr>
        <a:xfrm>
          <a:off x="4772025" y="1530350"/>
          <a:ext cx="9080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7</xdr:row>
      <xdr:rowOff>31750</xdr:rowOff>
    </xdr:from>
    <xdr:to>
      <xdr:col>9</xdr:col>
      <xdr:colOff>53975</xdr:colOff>
      <xdr:row>8</xdr:row>
      <xdr:rowOff>95250</xdr:rowOff>
    </xdr:to>
    <xdr:sp macro="" textlink="">
      <xdr:nvSpPr>
        <xdr:cNvPr id="9603" name="OpenSolver487"/>
        <xdr:cNvSpPr/>
      </xdr:nvSpPr>
      <xdr:spPr>
        <a:xfrm>
          <a:off x="5035550" y="140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9</xdr:row>
      <xdr:rowOff>117475</xdr:rowOff>
    </xdr:from>
    <xdr:to>
      <xdr:col>8</xdr:col>
      <xdr:colOff>0</xdr:colOff>
      <xdr:row>72</xdr:row>
      <xdr:rowOff>0</xdr:rowOff>
    </xdr:to>
    <xdr:sp macro="" textlink="">
      <xdr:nvSpPr>
        <xdr:cNvPr id="9604" name="OpenSolver488"/>
        <xdr:cNvSpPr/>
      </xdr:nvSpPr>
      <xdr:spPr>
        <a:xfrm>
          <a:off x="44989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317500</xdr:colOff>
      <xdr:row>9</xdr:row>
      <xdr:rowOff>117475</xdr:rowOff>
    </xdr:from>
    <xdr:to>
      <xdr:col>10</xdr:col>
      <xdr:colOff>0</xdr:colOff>
      <xdr:row>72</xdr:row>
      <xdr:rowOff>0</xdr:rowOff>
    </xdr:to>
    <xdr:sp macro="" textlink="">
      <xdr:nvSpPr>
        <xdr:cNvPr id="9605" name="OpenSolver489"/>
        <xdr:cNvSpPr/>
      </xdr:nvSpPr>
      <xdr:spPr>
        <a:xfrm>
          <a:off x="5680075" y="1879600"/>
          <a:ext cx="273050" cy="118935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149225</xdr:rowOff>
    </xdr:from>
    <xdr:to>
      <xdr:col>9</xdr:col>
      <xdr:colOff>317500</xdr:colOff>
      <xdr:row>40</xdr:row>
      <xdr:rowOff>149225</xdr:rowOff>
    </xdr:to>
    <xdr:cxnSp macro="">
      <xdr:nvCxnSpPr>
        <xdr:cNvPr id="9606" name="OpenSolver490"/>
        <xdr:cNvCxnSpPr>
          <a:stCxn id="9604" idx="3"/>
          <a:endCxn id="9605" idx="1"/>
        </xdr:cNvCxnSpPr>
      </xdr:nvCxnSpPr>
      <xdr:spPr>
        <a:xfrm>
          <a:off x="4772025" y="7826375"/>
          <a:ext cx="908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40</xdr:row>
      <xdr:rowOff>22225</xdr:rowOff>
    </xdr:from>
    <xdr:to>
      <xdr:col>9</xdr:col>
      <xdr:colOff>53975</xdr:colOff>
      <xdr:row>41</xdr:row>
      <xdr:rowOff>85725</xdr:rowOff>
    </xdr:to>
    <xdr:sp macro="" textlink="">
      <xdr:nvSpPr>
        <xdr:cNvPr id="9607" name="OpenSolver491"/>
        <xdr:cNvSpPr/>
      </xdr:nvSpPr>
      <xdr:spPr>
        <a:xfrm>
          <a:off x="5035550" y="769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317500</xdr:colOff>
      <xdr:row>75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608" name="OpenSolver492"/>
        <xdr:cNvSpPr/>
      </xdr:nvSpPr>
      <xdr:spPr>
        <a:xfrm>
          <a:off x="44989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317500</xdr:colOff>
      <xdr:row>75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609" name="OpenSolver493"/>
        <xdr:cNvSpPr/>
      </xdr:nvSpPr>
      <xdr:spPr>
        <a:xfrm>
          <a:off x="5680075" y="14471650"/>
          <a:ext cx="273050" cy="1187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158750</xdr:rowOff>
    </xdr:from>
    <xdr:to>
      <xdr:col>9</xdr:col>
      <xdr:colOff>317500</xdr:colOff>
      <xdr:row>106</xdr:row>
      <xdr:rowOff>158750</xdr:rowOff>
    </xdr:to>
    <xdr:cxnSp macro="">
      <xdr:nvCxnSpPr>
        <xdr:cNvPr id="9610" name="OpenSolver494"/>
        <xdr:cNvCxnSpPr>
          <a:stCxn id="9608" idx="3"/>
          <a:endCxn id="9609" idx="1"/>
        </xdr:cNvCxnSpPr>
      </xdr:nvCxnSpPr>
      <xdr:spPr>
        <a:xfrm>
          <a:off x="4772025" y="20408900"/>
          <a:ext cx="9080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263525</xdr:colOff>
      <xdr:row>106</xdr:row>
      <xdr:rowOff>31750</xdr:rowOff>
    </xdr:from>
    <xdr:to>
      <xdr:col>9</xdr:col>
      <xdr:colOff>53975</xdr:colOff>
      <xdr:row>107</xdr:row>
      <xdr:rowOff>95250</xdr:rowOff>
    </xdr:to>
    <xdr:sp macro="" textlink="">
      <xdr:nvSpPr>
        <xdr:cNvPr id="9611" name="OpenSolver495"/>
        <xdr:cNvSpPr/>
      </xdr:nvSpPr>
      <xdr:spPr>
        <a:xfrm>
          <a:off x="5035550" y="2028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</xdr:row>
      <xdr:rowOff>139700</xdr:rowOff>
    </xdr:from>
    <xdr:to>
      <xdr:col>8</xdr:col>
      <xdr:colOff>0</xdr:colOff>
      <xdr:row>8</xdr:row>
      <xdr:rowOff>0</xdr:rowOff>
    </xdr:to>
    <xdr:sp macro="" textlink="">
      <xdr:nvSpPr>
        <xdr:cNvPr id="9612" name="OpenSolver496"/>
        <xdr:cNvSpPr/>
      </xdr:nvSpPr>
      <xdr:spPr>
        <a:xfrm>
          <a:off x="45116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330200</xdr:colOff>
      <xdr:row>7</xdr:row>
      <xdr:rowOff>139700</xdr:rowOff>
    </xdr:from>
    <xdr:to>
      <xdr:col>10</xdr:col>
      <xdr:colOff>0</xdr:colOff>
      <xdr:row>8</xdr:row>
      <xdr:rowOff>0</xdr:rowOff>
    </xdr:to>
    <xdr:sp macro="" textlink="">
      <xdr:nvSpPr>
        <xdr:cNvPr id="9613" name="OpenSolver497"/>
        <xdr:cNvSpPr/>
      </xdr:nvSpPr>
      <xdr:spPr>
        <a:xfrm>
          <a:off x="5692775" y="1511300"/>
          <a:ext cx="260350" cy="50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165100</xdr:rowOff>
    </xdr:from>
    <xdr:to>
      <xdr:col>9</xdr:col>
      <xdr:colOff>330200</xdr:colOff>
      <xdr:row>7</xdr:row>
      <xdr:rowOff>165100</xdr:rowOff>
    </xdr:to>
    <xdr:cxnSp macro="">
      <xdr:nvCxnSpPr>
        <xdr:cNvPr id="9614" name="OpenSolver498"/>
        <xdr:cNvCxnSpPr>
          <a:stCxn id="9612" idx="3"/>
          <a:endCxn id="9613" idx="1"/>
        </xdr:cNvCxnSpPr>
      </xdr:nvCxnSpPr>
      <xdr:spPr>
        <a:xfrm>
          <a:off x="4772025" y="1536700"/>
          <a:ext cx="9207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7</xdr:row>
      <xdr:rowOff>38100</xdr:rowOff>
    </xdr:from>
    <xdr:to>
      <xdr:col>9</xdr:col>
      <xdr:colOff>60325</xdr:colOff>
      <xdr:row>8</xdr:row>
      <xdr:rowOff>101600</xdr:rowOff>
    </xdr:to>
    <xdr:sp macro="" textlink="">
      <xdr:nvSpPr>
        <xdr:cNvPr id="9615" name="OpenSolver499"/>
        <xdr:cNvSpPr/>
      </xdr:nvSpPr>
      <xdr:spPr>
        <a:xfrm>
          <a:off x="5041900" y="1409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9</xdr:row>
      <xdr:rowOff>130175</xdr:rowOff>
    </xdr:from>
    <xdr:to>
      <xdr:col>8</xdr:col>
      <xdr:colOff>0</xdr:colOff>
      <xdr:row>72</xdr:row>
      <xdr:rowOff>0</xdr:rowOff>
    </xdr:to>
    <xdr:sp macro="" textlink="">
      <xdr:nvSpPr>
        <xdr:cNvPr id="9616" name="OpenSolver500"/>
        <xdr:cNvSpPr/>
      </xdr:nvSpPr>
      <xdr:spPr>
        <a:xfrm>
          <a:off x="45116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330200</xdr:colOff>
      <xdr:row>9</xdr:row>
      <xdr:rowOff>130175</xdr:rowOff>
    </xdr:from>
    <xdr:to>
      <xdr:col>10</xdr:col>
      <xdr:colOff>0</xdr:colOff>
      <xdr:row>72</xdr:row>
      <xdr:rowOff>0</xdr:rowOff>
    </xdr:to>
    <xdr:sp macro="" textlink="">
      <xdr:nvSpPr>
        <xdr:cNvPr id="9617" name="OpenSolver501"/>
        <xdr:cNvSpPr/>
      </xdr:nvSpPr>
      <xdr:spPr>
        <a:xfrm>
          <a:off x="5692775" y="1892300"/>
          <a:ext cx="260350" cy="118808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155575</xdr:rowOff>
    </xdr:from>
    <xdr:to>
      <xdr:col>9</xdr:col>
      <xdr:colOff>330200</xdr:colOff>
      <xdr:row>40</xdr:row>
      <xdr:rowOff>155575</xdr:rowOff>
    </xdr:to>
    <xdr:cxnSp macro="">
      <xdr:nvCxnSpPr>
        <xdr:cNvPr id="9618" name="OpenSolver502"/>
        <xdr:cNvCxnSpPr>
          <a:stCxn id="9616" idx="3"/>
          <a:endCxn id="9617" idx="1"/>
        </xdr:cNvCxnSpPr>
      </xdr:nvCxnSpPr>
      <xdr:spPr>
        <a:xfrm>
          <a:off x="4772025" y="7832725"/>
          <a:ext cx="920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40</xdr:row>
      <xdr:rowOff>28575</xdr:rowOff>
    </xdr:from>
    <xdr:to>
      <xdr:col>9</xdr:col>
      <xdr:colOff>60325</xdr:colOff>
      <xdr:row>41</xdr:row>
      <xdr:rowOff>92075</xdr:rowOff>
    </xdr:to>
    <xdr:sp macro="" textlink="">
      <xdr:nvSpPr>
        <xdr:cNvPr id="9619" name="OpenSolver503"/>
        <xdr:cNvSpPr/>
      </xdr:nvSpPr>
      <xdr:spPr>
        <a:xfrm>
          <a:off x="5041900" y="7705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330200</xdr:colOff>
      <xdr:row>75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620" name="OpenSolver504"/>
        <xdr:cNvSpPr/>
      </xdr:nvSpPr>
      <xdr:spPr>
        <a:xfrm>
          <a:off x="45116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330200</xdr:colOff>
      <xdr:row>75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621" name="OpenSolver505"/>
        <xdr:cNvSpPr/>
      </xdr:nvSpPr>
      <xdr:spPr>
        <a:xfrm>
          <a:off x="5692775" y="14484350"/>
          <a:ext cx="260350" cy="11861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165100</xdr:rowOff>
    </xdr:from>
    <xdr:to>
      <xdr:col>9</xdr:col>
      <xdr:colOff>330200</xdr:colOff>
      <xdr:row>106</xdr:row>
      <xdr:rowOff>165100</xdr:rowOff>
    </xdr:to>
    <xdr:cxnSp macro="">
      <xdr:nvCxnSpPr>
        <xdr:cNvPr id="9622" name="OpenSolver506"/>
        <xdr:cNvCxnSpPr>
          <a:stCxn id="9620" idx="3"/>
          <a:endCxn id="9621" idx="1"/>
        </xdr:cNvCxnSpPr>
      </xdr:nvCxnSpPr>
      <xdr:spPr>
        <a:xfrm>
          <a:off x="4772025" y="20415250"/>
          <a:ext cx="9207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269875</xdr:colOff>
      <xdr:row>106</xdr:row>
      <xdr:rowOff>38100</xdr:rowOff>
    </xdr:from>
    <xdr:to>
      <xdr:col>9</xdr:col>
      <xdr:colOff>60325</xdr:colOff>
      <xdr:row>107</xdr:row>
      <xdr:rowOff>101600</xdr:rowOff>
    </xdr:to>
    <xdr:sp macro="" textlink="">
      <xdr:nvSpPr>
        <xdr:cNvPr id="9623" name="OpenSolver507"/>
        <xdr:cNvSpPr/>
      </xdr:nvSpPr>
      <xdr:spPr>
        <a:xfrm>
          <a:off x="5041900" y="20288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</xdr:row>
      <xdr:rowOff>152400</xdr:rowOff>
    </xdr:from>
    <xdr:to>
      <xdr:col>8</xdr:col>
      <xdr:colOff>0</xdr:colOff>
      <xdr:row>8</xdr:row>
      <xdr:rowOff>0</xdr:rowOff>
    </xdr:to>
    <xdr:sp macro="" textlink="">
      <xdr:nvSpPr>
        <xdr:cNvPr id="9624" name="OpenSolver508"/>
        <xdr:cNvSpPr/>
      </xdr:nvSpPr>
      <xdr:spPr>
        <a:xfrm>
          <a:off x="45243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342900</xdr:colOff>
      <xdr:row>7</xdr:row>
      <xdr:rowOff>152400</xdr:rowOff>
    </xdr:from>
    <xdr:to>
      <xdr:col>10</xdr:col>
      <xdr:colOff>0</xdr:colOff>
      <xdr:row>8</xdr:row>
      <xdr:rowOff>0</xdr:rowOff>
    </xdr:to>
    <xdr:sp macro="" textlink="">
      <xdr:nvSpPr>
        <xdr:cNvPr id="9625" name="OpenSolver509"/>
        <xdr:cNvSpPr/>
      </xdr:nvSpPr>
      <xdr:spPr>
        <a:xfrm>
          <a:off x="5705475" y="1524000"/>
          <a:ext cx="247650" cy="381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171450</xdr:rowOff>
    </xdr:from>
    <xdr:to>
      <xdr:col>9</xdr:col>
      <xdr:colOff>342900</xdr:colOff>
      <xdr:row>7</xdr:row>
      <xdr:rowOff>171450</xdr:rowOff>
    </xdr:to>
    <xdr:cxnSp macro="">
      <xdr:nvCxnSpPr>
        <xdr:cNvPr id="9626" name="OpenSolver510"/>
        <xdr:cNvCxnSpPr>
          <a:stCxn id="9624" idx="3"/>
          <a:endCxn id="9625" idx="1"/>
        </xdr:cNvCxnSpPr>
      </xdr:nvCxnSpPr>
      <xdr:spPr>
        <a:xfrm>
          <a:off x="4772025" y="1543050"/>
          <a:ext cx="9334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7</xdr:row>
      <xdr:rowOff>44450</xdr:rowOff>
    </xdr:from>
    <xdr:to>
      <xdr:col>9</xdr:col>
      <xdr:colOff>66675</xdr:colOff>
      <xdr:row>8</xdr:row>
      <xdr:rowOff>107950</xdr:rowOff>
    </xdr:to>
    <xdr:sp macro="" textlink="">
      <xdr:nvSpPr>
        <xdr:cNvPr id="9627" name="OpenSolver511"/>
        <xdr:cNvSpPr/>
      </xdr:nvSpPr>
      <xdr:spPr>
        <a:xfrm>
          <a:off x="5048250" y="1416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9</xdr:row>
      <xdr:rowOff>142875</xdr:rowOff>
    </xdr:from>
    <xdr:to>
      <xdr:col>8</xdr:col>
      <xdr:colOff>0</xdr:colOff>
      <xdr:row>72</xdr:row>
      <xdr:rowOff>0</xdr:rowOff>
    </xdr:to>
    <xdr:sp macro="" textlink="">
      <xdr:nvSpPr>
        <xdr:cNvPr id="9628" name="OpenSolver512"/>
        <xdr:cNvSpPr/>
      </xdr:nvSpPr>
      <xdr:spPr>
        <a:xfrm>
          <a:off x="45243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342900</xdr:colOff>
      <xdr:row>9</xdr:row>
      <xdr:rowOff>142875</xdr:rowOff>
    </xdr:from>
    <xdr:to>
      <xdr:col>10</xdr:col>
      <xdr:colOff>0</xdr:colOff>
      <xdr:row>72</xdr:row>
      <xdr:rowOff>0</xdr:rowOff>
    </xdr:to>
    <xdr:sp macro="" textlink="">
      <xdr:nvSpPr>
        <xdr:cNvPr id="9629" name="OpenSolver513"/>
        <xdr:cNvSpPr/>
      </xdr:nvSpPr>
      <xdr:spPr>
        <a:xfrm>
          <a:off x="5705475" y="1905000"/>
          <a:ext cx="247650" cy="118681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161925</xdr:rowOff>
    </xdr:from>
    <xdr:to>
      <xdr:col>9</xdr:col>
      <xdr:colOff>342900</xdr:colOff>
      <xdr:row>40</xdr:row>
      <xdr:rowOff>161925</xdr:rowOff>
    </xdr:to>
    <xdr:cxnSp macro="">
      <xdr:nvCxnSpPr>
        <xdr:cNvPr id="9630" name="OpenSolver514"/>
        <xdr:cNvCxnSpPr>
          <a:stCxn id="9628" idx="3"/>
          <a:endCxn id="9629" idx="1"/>
        </xdr:cNvCxnSpPr>
      </xdr:nvCxnSpPr>
      <xdr:spPr>
        <a:xfrm>
          <a:off x="4772025" y="7839075"/>
          <a:ext cx="933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40</xdr:row>
      <xdr:rowOff>34925</xdr:rowOff>
    </xdr:from>
    <xdr:to>
      <xdr:col>9</xdr:col>
      <xdr:colOff>66675</xdr:colOff>
      <xdr:row>41</xdr:row>
      <xdr:rowOff>98425</xdr:rowOff>
    </xdr:to>
    <xdr:sp macro="" textlink="">
      <xdr:nvSpPr>
        <xdr:cNvPr id="9631" name="OpenSolver515"/>
        <xdr:cNvSpPr/>
      </xdr:nvSpPr>
      <xdr:spPr>
        <a:xfrm>
          <a:off x="5048250" y="7712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342900</xdr:colOff>
      <xdr:row>75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632" name="OpenSolver516"/>
        <xdr:cNvSpPr/>
      </xdr:nvSpPr>
      <xdr:spPr>
        <a:xfrm>
          <a:off x="45243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342900</xdr:colOff>
      <xdr:row>75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633" name="OpenSolver517"/>
        <xdr:cNvSpPr/>
      </xdr:nvSpPr>
      <xdr:spPr>
        <a:xfrm>
          <a:off x="5705475" y="14497050"/>
          <a:ext cx="247650" cy="118491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171450</xdr:rowOff>
    </xdr:from>
    <xdr:to>
      <xdr:col>9</xdr:col>
      <xdr:colOff>342900</xdr:colOff>
      <xdr:row>106</xdr:row>
      <xdr:rowOff>171450</xdr:rowOff>
    </xdr:to>
    <xdr:cxnSp macro="">
      <xdr:nvCxnSpPr>
        <xdr:cNvPr id="9634" name="OpenSolver518"/>
        <xdr:cNvCxnSpPr>
          <a:stCxn id="9632" idx="3"/>
          <a:endCxn id="9633" idx="1"/>
        </xdr:cNvCxnSpPr>
      </xdr:nvCxnSpPr>
      <xdr:spPr>
        <a:xfrm>
          <a:off x="4772025" y="20421600"/>
          <a:ext cx="9334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276225</xdr:colOff>
      <xdr:row>106</xdr:row>
      <xdr:rowOff>44450</xdr:rowOff>
    </xdr:from>
    <xdr:to>
      <xdr:col>9</xdr:col>
      <xdr:colOff>66675</xdr:colOff>
      <xdr:row>107</xdr:row>
      <xdr:rowOff>107950</xdr:rowOff>
    </xdr:to>
    <xdr:sp macro="" textlink="">
      <xdr:nvSpPr>
        <xdr:cNvPr id="9635" name="OpenSolver519"/>
        <xdr:cNvSpPr/>
      </xdr:nvSpPr>
      <xdr:spPr>
        <a:xfrm>
          <a:off x="5048250" y="2029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</xdr:row>
      <xdr:rowOff>165100</xdr:rowOff>
    </xdr:from>
    <xdr:to>
      <xdr:col>8</xdr:col>
      <xdr:colOff>0</xdr:colOff>
      <xdr:row>8</xdr:row>
      <xdr:rowOff>0</xdr:rowOff>
    </xdr:to>
    <xdr:sp macro="" textlink="">
      <xdr:nvSpPr>
        <xdr:cNvPr id="9636" name="OpenSolver520"/>
        <xdr:cNvSpPr/>
      </xdr:nvSpPr>
      <xdr:spPr>
        <a:xfrm>
          <a:off x="45370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355600</xdr:colOff>
      <xdr:row>7</xdr:row>
      <xdr:rowOff>165100</xdr:rowOff>
    </xdr:from>
    <xdr:to>
      <xdr:col>10</xdr:col>
      <xdr:colOff>0</xdr:colOff>
      <xdr:row>8</xdr:row>
      <xdr:rowOff>0</xdr:rowOff>
    </xdr:to>
    <xdr:sp macro="" textlink="">
      <xdr:nvSpPr>
        <xdr:cNvPr id="9637" name="OpenSolver521"/>
        <xdr:cNvSpPr/>
      </xdr:nvSpPr>
      <xdr:spPr>
        <a:xfrm>
          <a:off x="5718175" y="1536700"/>
          <a:ext cx="234950" cy="254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177800</xdr:rowOff>
    </xdr:from>
    <xdr:to>
      <xdr:col>9</xdr:col>
      <xdr:colOff>355600</xdr:colOff>
      <xdr:row>7</xdr:row>
      <xdr:rowOff>177800</xdr:rowOff>
    </xdr:to>
    <xdr:cxnSp macro="">
      <xdr:nvCxnSpPr>
        <xdr:cNvPr id="9638" name="OpenSolver522"/>
        <xdr:cNvCxnSpPr>
          <a:stCxn id="9636" idx="3"/>
          <a:endCxn id="9637" idx="1"/>
        </xdr:cNvCxnSpPr>
      </xdr:nvCxnSpPr>
      <xdr:spPr>
        <a:xfrm>
          <a:off x="4772025" y="1549400"/>
          <a:ext cx="9461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7</xdr:row>
      <xdr:rowOff>50800</xdr:rowOff>
    </xdr:from>
    <xdr:to>
      <xdr:col>9</xdr:col>
      <xdr:colOff>73025</xdr:colOff>
      <xdr:row>8</xdr:row>
      <xdr:rowOff>114300</xdr:rowOff>
    </xdr:to>
    <xdr:sp macro="" textlink="">
      <xdr:nvSpPr>
        <xdr:cNvPr id="9639" name="OpenSolver523"/>
        <xdr:cNvSpPr/>
      </xdr:nvSpPr>
      <xdr:spPr>
        <a:xfrm>
          <a:off x="5054600" y="1422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9</xdr:row>
      <xdr:rowOff>155575</xdr:rowOff>
    </xdr:from>
    <xdr:to>
      <xdr:col>8</xdr:col>
      <xdr:colOff>0</xdr:colOff>
      <xdr:row>72</xdr:row>
      <xdr:rowOff>0</xdr:rowOff>
    </xdr:to>
    <xdr:sp macro="" textlink="">
      <xdr:nvSpPr>
        <xdr:cNvPr id="9640" name="OpenSolver524"/>
        <xdr:cNvSpPr/>
      </xdr:nvSpPr>
      <xdr:spPr>
        <a:xfrm>
          <a:off x="45370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355600</xdr:colOff>
      <xdr:row>9</xdr:row>
      <xdr:rowOff>155575</xdr:rowOff>
    </xdr:from>
    <xdr:to>
      <xdr:col>10</xdr:col>
      <xdr:colOff>0</xdr:colOff>
      <xdr:row>72</xdr:row>
      <xdr:rowOff>0</xdr:rowOff>
    </xdr:to>
    <xdr:sp macro="" textlink="">
      <xdr:nvSpPr>
        <xdr:cNvPr id="9641" name="OpenSolver525"/>
        <xdr:cNvSpPr/>
      </xdr:nvSpPr>
      <xdr:spPr>
        <a:xfrm>
          <a:off x="5718175" y="1917700"/>
          <a:ext cx="234950" cy="118554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168275</xdr:rowOff>
    </xdr:from>
    <xdr:to>
      <xdr:col>9</xdr:col>
      <xdr:colOff>355600</xdr:colOff>
      <xdr:row>40</xdr:row>
      <xdr:rowOff>168275</xdr:rowOff>
    </xdr:to>
    <xdr:cxnSp macro="">
      <xdr:nvCxnSpPr>
        <xdr:cNvPr id="9642" name="OpenSolver526"/>
        <xdr:cNvCxnSpPr>
          <a:stCxn id="9640" idx="3"/>
          <a:endCxn id="9641" idx="1"/>
        </xdr:cNvCxnSpPr>
      </xdr:nvCxnSpPr>
      <xdr:spPr>
        <a:xfrm>
          <a:off x="4772025" y="7845425"/>
          <a:ext cx="946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40</xdr:row>
      <xdr:rowOff>41275</xdr:rowOff>
    </xdr:from>
    <xdr:to>
      <xdr:col>9</xdr:col>
      <xdr:colOff>73025</xdr:colOff>
      <xdr:row>41</xdr:row>
      <xdr:rowOff>104775</xdr:rowOff>
    </xdr:to>
    <xdr:sp macro="" textlink="">
      <xdr:nvSpPr>
        <xdr:cNvPr id="9643" name="OpenSolver527"/>
        <xdr:cNvSpPr/>
      </xdr:nvSpPr>
      <xdr:spPr>
        <a:xfrm>
          <a:off x="5054600" y="77184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355600</xdr:colOff>
      <xdr:row>75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644" name="OpenSolver528"/>
        <xdr:cNvSpPr/>
      </xdr:nvSpPr>
      <xdr:spPr>
        <a:xfrm>
          <a:off x="45370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355600</xdr:colOff>
      <xdr:row>75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645" name="OpenSolver529"/>
        <xdr:cNvSpPr/>
      </xdr:nvSpPr>
      <xdr:spPr>
        <a:xfrm>
          <a:off x="5718175" y="14509750"/>
          <a:ext cx="234950" cy="118364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177800</xdr:rowOff>
    </xdr:from>
    <xdr:to>
      <xdr:col>9</xdr:col>
      <xdr:colOff>355600</xdr:colOff>
      <xdr:row>106</xdr:row>
      <xdr:rowOff>177800</xdr:rowOff>
    </xdr:to>
    <xdr:cxnSp macro="">
      <xdr:nvCxnSpPr>
        <xdr:cNvPr id="9646" name="OpenSolver530"/>
        <xdr:cNvCxnSpPr>
          <a:stCxn id="9644" idx="3"/>
          <a:endCxn id="9645" idx="1"/>
        </xdr:cNvCxnSpPr>
      </xdr:nvCxnSpPr>
      <xdr:spPr>
        <a:xfrm>
          <a:off x="4772025" y="20427950"/>
          <a:ext cx="9461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282575</xdr:colOff>
      <xdr:row>106</xdr:row>
      <xdr:rowOff>50800</xdr:rowOff>
    </xdr:from>
    <xdr:to>
      <xdr:col>9</xdr:col>
      <xdr:colOff>73025</xdr:colOff>
      <xdr:row>107</xdr:row>
      <xdr:rowOff>114300</xdr:rowOff>
    </xdr:to>
    <xdr:sp macro="" textlink="">
      <xdr:nvSpPr>
        <xdr:cNvPr id="9647" name="OpenSolver531"/>
        <xdr:cNvSpPr/>
      </xdr:nvSpPr>
      <xdr:spPr>
        <a:xfrm>
          <a:off x="5054600" y="203009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</xdr:row>
      <xdr:rowOff>177800</xdr:rowOff>
    </xdr:from>
    <xdr:to>
      <xdr:col>8</xdr:col>
      <xdr:colOff>0</xdr:colOff>
      <xdr:row>8</xdr:row>
      <xdr:rowOff>0</xdr:rowOff>
    </xdr:to>
    <xdr:sp macro="" textlink="">
      <xdr:nvSpPr>
        <xdr:cNvPr id="9648" name="OpenSolver532"/>
        <xdr:cNvSpPr/>
      </xdr:nvSpPr>
      <xdr:spPr>
        <a:xfrm>
          <a:off x="45497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368300</xdr:colOff>
      <xdr:row>7</xdr:row>
      <xdr:rowOff>177800</xdr:rowOff>
    </xdr:from>
    <xdr:to>
      <xdr:col>10</xdr:col>
      <xdr:colOff>0</xdr:colOff>
      <xdr:row>8</xdr:row>
      <xdr:rowOff>0</xdr:rowOff>
    </xdr:to>
    <xdr:sp macro="" textlink="">
      <xdr:nvSpPr>
        <xdr:cNvPr id="9649" name="OpenSolver533"/>
        <xdr:cNvSpPr/>
      </xdr:nvSpPr>
      <xdr:spPr>
        <a:xfrm>
          <a:off x="5730875" y="1549400"/>
          <a:ext cx="222250" cy="127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184150</xdr:rowOff>
    </xdr:from>
    <xdr:to>
      <xdr:col>9</xdr:col>
      <xdr:colOff>368300</xdr:colOff>
      <xdr:row>7</xdr:row>
      <xdr:rowOff>184150</xdr:rowOff>
    </xdr:to>
    <xdr:cxnSp macro="">
      <xdr:nvCxnSpPr>
        <xdr:cNvPr id="9650" name="OpenSolver534"/>
        <xdr:cNvCxnSpPr>
          <a:stCxn id="9648" idx="3"/>
          <a:endCxn id="9649" idx="1"/>
        </xdr:cNvCxnSpPr>
      </xdr:nvCxnSpPr>
      <xdr:spPr>
        <a:xfrm>
          <a:off x="4772025" y="1555750"/>
          <a:ext cx="9588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7</xdr:row>
      <xdr:rowOff>57150</xdr:rowOff>
    </xdr:from>
    <xdr:to>
      <xdr:col>9</xdr:col>
      <xdr:colOff>79375</xdr:colOff>
      <xdr:row>8</xdr:row>
      <xdr:rowOff>120650</xdr:rowOff>
    </xdr:to>
    <xdr:sp macro="" textlink="">
      <xdr:nvSpPr>
        <xdr:cNvPr id="9651" name="OpenSolver535"/>
        <xdr:cNvSpPr/>
      </xdr:nvSpPr>
      <xdr:spPr>
        <a:xfrm>
          <a:off x="5060950" y="1428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9</xdr:row>
      <xdr:rowOff>168275</xdr:rowOff>
    </xdr:from>
    <xdr:to>
      <xdr:col>8</xdr:col>
      <xdr:colOff>0</xdr:colOff>
      <xdr:row>72</xdr:row>
      <xdr:rowOff>0</xdr:rowOff>
    </xdr:to>
    <xdr:sp macro="" textlink="">
      <xdr:nvSpPr>
        <xdr:cNvPr id="9652" name="OpenSolver536"/>
        <xdr:cNvSpPr/>
      </xdr:nvSpPr>
      <xdr:spPr>
        <a:xfrm>
          <a:off x="45497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368300</xdr:colOff>
      <xdr:row>9</xdr:row>
      <xdr:rowOff>168275</xdr:rowOff>
    </xdr:from>
    <xdr:to>
      <xdr:col>10</xdr:col>
      <xdr:colOff>0</xdr:colOff>
      <xdr:row>72</xdr:row>
      <xdr:rowOff>0</xdr:rowOff>
    </xdr:to>
    <xdr:sp macro="" textlink="">
      <xdr:nvSpPr>
        <xdr:cNvPr id="9653" name="OpenSolver537"/>
        <xdr:cNvSpPr/>
      </xdr:nvSpPr>
      <xdr:spPr>
        <a:xfrm>
          <a:off x="5730875" y="1930400"/>
          <a:ext cx="222250" cy="118427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174625</xdr:rowOff>
    </xdr:from>
    <xdr:to>
      <xdr:col>9</xdr:col>
      <xdr:colOff>368300</xdr:colOff>
      <xdr:row>40</xdr:row>
      <xdr:rowOff>174625</xdr:rowOff>
    </xdr:to>
    <xdr:cxnSp macro="">
      <xdr:nvCxnSpPr>
        <xdr:cNvPr id="9654" name="OpenSolver538"/>
        <xdr:cNvCxnSpPr>
          <a:stCxn id="9652" idx="3"/>
          <a:endCxn id="9653" idx="1"/>
        </xdr:cNvCxnSpPr>
      </xdr:nvCxnSpPr>
      <xdr:spPr>
        <a:xfrm>
          <a:off x="4772025" y="7851775"/>
          <a:ext cx="958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40</xdr:row>
      <xdr:rowOff>47625</xdr:rowOff>
    </xdr:from>
    <xdr:to>
      <xdr:col>9</xdr:col>
      <xdr:colOff>79375</xdr:colOff>
      <xdr:row>41</xdr:row>
      <xdr:rowOff>111125</xdr:rowOff>
    </xdr:to>
    <xdr:sp macro="" textlink="">
      <xdr:nvSpPr>
        <xdr:cNvPr id="9655" name="OpenSolver539"/>
        <xdr:cNvSpPr/>
      </xdr:nvSpPr>
      <xdr:spPr>
        <a:xfrm>
          <a:off x="5060950" y="77247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368300</xdr:colOff>
      <xdr:row>75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656" name="OpenSolver540"/>
        <xdr:cNvSpPr/>
      </xdr:nvSpPr>
      <xdr:spPr>
        <a:xfrm>
          <a:off x="45497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368300</xdr:colOff>
      <xdr:row>75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657" name="OpenSolver541"/>
        <xdr:cNvSpPr/>
      </xdr:nvSpPr>
      <xdr:spPr>
        <a:xfrm>
          <a:off x="5730875" y="14522450"/>
          <a:ext cx="222250" cy="118237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184150</xdr:rowOff>
    </xdr:from>
    <xdr:to>
      <xdr:col>9</xdr:col>
      <xdr:colOff>368300</xdr:colOff>
      <xdr:row>106</xdr:row>
      <xdr:rowOff>184150</xdr:rowOff>
    </xdr:to>
    <xdr:cxnSp macro="">
      <xdr:nvCxnSpPr>
        <xdr:cNvPr id="9658" name="OpenSolver542"/>
        <xdr:cNvCxnSpPr>
          <a:stCxn id="9656" idx="3"/>
          <a:endCxn id="9657" idx="1"/>
        </xdr:cNvCxnSpPr>
      </xdr:nvCxnSpPr>
      <xdr:spPr>
        <a:xfrm>
          <a:off x="4772025" y="20434300"/>
          <a:ext cx="9588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288925</xdr:colOff>
      <xdr:row>106</xdr:row>
      <xdr:rowOff>57150</xdr:rowOff>
    </xdr:from>
    <xdr:to>
      <xdr:col>9</xdr:col>
      <xdr:colOff>79375</xdr:colOff>
      <xdr:row>107</xdr:row>
      <xdr:rowOff>120650</xdr:rowOff>
    </xdr:to>
    <xdr:sp macro="" textlink="">
      <xdr:nvSpPr>
        <xdr:cNvPr id="9659" name="OpenSolver543"/>
        <xdr:cNvSpPr/>
      </xdr:nvSpPr>
      <xdr:spPr>
        <a:xfrm>
          <a:off x="5060950" y="203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9</xdr:row>
      <xdr:rowOff>180975</xdr:rowOff>
    </xdr:from>
    <xdr:to>
      <xdr:col>8</xdr:col>
      <xdr:colOff>0</xdr:colOff>
      <xdr:row>72</xdr:row>
      <xdr:rowOff>0</xdr:rowOff>
    </xdr:to>
    <xdr:sp macro="" textlink="">
      <xdr:nvSpPr>
        <xdr:cNvPr id="9660" name="OpenSolver544"/>
        <xdr:cNvSpPr/>
      </xdr:nvSpPr>
      <xdr:spPr>
        <a:xfrm>
          <a:off x="45624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381000</xdr:colOff>
      <xdr:row>9</xdr:row>
      <xdr:rowOff>180975</xdr:rowOff>
    </xdr:from>
    <xdr:to>
      <xdr:col>10</xdr:col>
      <xdr:colOff>0</xdr:colOff>
      <xdr:row>72</xdr:row>
      <xdr:rowOff>0</xdr:rowOff>
    </xdr:to>
    <xdr:sp macro="" textlink="">
      <xdr:nvSpPr>
        <xdr:cNvPr id="9661" name="OpenSolver545"/>
        <xdr:cNvSpPr/>
      </xdr:nvSpPr>
      <xdr:spPr>
        <a:xfrm>
          <a:off x="5743575" y="1943100"/>
          <a:ext cx="209550" cy="118300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180975</xdr:rowOff>
    </xdr:from>
    <xdr:to>
      <xdr:col>9</xdr:col>
      <xdr:colOff>381000</xdr:colOff>
      <xdr:row>40</xdr:row>
      <xdr:rowOff>180975</xdr:rowOff>
    </xdr:to>
    <xdr:cxnSp macro="">
      <xdr:nvCxnSpPr>
        <xdr:cNvPr id="9662" name="OpenSolver546"/>
        <xdr:cNvCxnSpPr>
          <a:stCxn id="9660" idx="3"/>
          <a:endCxn id="9661" idx="1"/>
        </xdr:cNvCxnSpPr>
      </xdr:nvCxnSpPr>
      <xdr:spPr>
        <a:xfrm>
          <a:off x="4772025" y="7858125"/>
          <a:ext cx="971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40</xdr:row>
      <xdr:rowOff>53975</xdr:rowOff>
    </xdr:from>
    <xdr:to>
      <xdr:col>9</xdr:col>
      <xdr:colOff>85725</xdr:colOff>
      <xdr:row>41</xdr:row>
      <xdr:rowOff>117475</xdr:rowOff>
    </xdr:to>
    <xdr:sp macro="" textlink="">
      <xdr:nvSpPr>
        <xdr:cNvPr id="9663" name="OpenSolver547"/>
        <xdr:cNvSpPr/>
      </xdr:nvSpPr>
      <xdr:spPr>
        <a:xfrm>
          <a:off x="5067300" y="77311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381000</xdr:colOff>
      <xdr:row>76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664" name="OpenSolver548"/>
        <xdr:cNvSpPr/>
      </xdr:nvSpPr>
      <xdr:spPr>
        <a:xfrm>
          <a:off x="45624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381000</xdr:colOff>
      <xdr:row>76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665" name="OpenSolver549"/>
        <xdr:cNvSpPr/>
      </xdr:nvSpPr>
      <xdr:spPr>
        <a:xfrm>
          <a:off x="5743575" y="14535150"/>
          <a:ext cx="209550" cy="1181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0</xdr:rowOff>
    </xdr:from>
    <xdr:to>
      <xdr:col>9</xdr:col>
      <xdr:colOff>381000</xdr:colOff>
      <xdr:row>107</xdr:row>
      <xdr:rowOff>0</xdr:rowOff>
    </xdr:to>
    <xdr:cxnSp macro="">
      <xdr:nvCxnSpPr>
        <xdr:cNvPr id="9666" name="OpenSolver550"/>
        <xdr:cNvCxnSpPr>
          <a:stCxn id="9664" idx="3"/>
          <a:endCxn id="9665" idx="1"/>
        </xdr:cNvCxnSpPr>
      </xdr:nvCxnSpPr>
      <xdr:spPr>
        <a:xfrm>
          <a:off x="4772025" y="20440650"/>
          <a:ext cx="971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295275</xdr:colOff>
      <xdr:row>106</xdr:row>
      <xdr:rowOff>63500</xdr:rowOff>
    </xdr:from>
    <xdr:to>
      <xdr:col>9</xdr:col>
      <xdr:colOff>85725</xdr:colOff>
      <xdr:row>107</xdr:row>
      <xdr:rowOff>127000</xdr:rowOff>
    </xdr:to>
    <xdr:sp macro="" textlink="">
      <xdr:nvSpPr>
        <xdr:cNvPr id="9667" name="OpenSolver551"/>
        <xdr:cNvSpPr/>
      </xdr:nvSpPr>
      <xdr:spPr>
        <a:xfrm>
          <a:off x="5067300" y="203136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9</xdr:row>
      <xdr:rowOff>193675</xdr:rowOff>
    </xdr:from>
    <xdr:to>
      <xdr:col>8</xdr:col>
      <xdr:colOff>0</xdr:colOff>
      <xdr:row>72</xdr:row>
      <xdr:rowOff>0</xdr:rowOff>
    </xdr:to>
    <xdr:sp macro="" textlink="">
      <xdr:nvSpPr>
        <xdr:cNvPr id="9668" name="OpenSolver552"/>
        <xdr:cNvSpPr/>
      </xdr:nvSpPr>
      <xdr:spPr>
        <a:xfrm>
          <a:off x="45751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393700</xdr:colOff>
      <xdr:row>9</xdr:row>
      <xdr:rowOff>193675</xdr:rowOff>
    </xdr:from>
    <xdr:to>
      <xdr:col>10</xdr:col>
      <xdr:colOff>0</xdr:colOff>
      <xdr:row>72</xdr:row>
      <xdr:rowOff>0</xdr:rowOff>
    </xdr:to>
    <xdr:sp macro="" textlink="">
      <xdr:nvSpPr>
        <xdr:cNvPr id="9669" name="OpenSolver553"/>
        <xdr:cNvSpPr/>
      </xdr:nvSpPr>
      <xdr:spPr>
        <a:xfrm>
          <a:off x="5756275" y="1955800"/>
          <a:ext cx="196850" cy="118173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187325</xdr:rowOff>
    </xdr:from>
    <xdr:to>
      <xdr:col>9</xdr:col>
      <xdr:colOff>393700</xdr:colOff>
      <xdr:row>40</xdr:row>
      <xdr:rowOff>187325</xdr:rowOff>
    </xdr:to>
    <xdr:cxnSp macro="">
      <xdr:nvCxnSpPr>
        <xdr:cNvPr id="9670" name="OpenSolver554"/>
        <xdr:cNvCxnSpPr>
          <a:stCxn id="9668" idx="3"/>
          <a:endCxn id="9669" idx="1"/>
        </xdr:cNvCxnSpPr>
      </xdr:nvCxnSpPr>
      <xdr:spPr>
        <a:xfrm>
          <a:off x="4772025" y="7864475"/>
          <a:ext cx="984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40</xdr:row>
      <xdr:rowOff>60325</xdr:rowOff>
    </xdr:from>
    <xdr:to>
      <xdr:col>9</xdr:col>
      <xdr:colOff>92075</xdr:colOff>
      <xdr:row>41</xdr:row>
      <xdr:rowOff>123825</xdr:rowOff>
    </xdr:to>
    <xdr:sp macro="" textlink="">
      <xdr:nvSpPr>
        <xdr:cNvPr id="9671" name="OpenSolver555"/>
        <xdr:cNvSpPr/>
      </xdr:nvSpPr>
      <xdr:spPr>
        <a:xfrm>
          <a:off x="5073650" y="77374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393700</xdr:colOff>
      <xdr:row>76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672" name="OpenSolver556"/>
        <xdr:cNvSpPr/>
      </xdr:nvSpPr>
      <xdr:spPr>
        <a:xfrm>
          <a:off x="45751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393700</xdr:colOff>
      <xdr:row>76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673" name="OpenSolver557"/>
        <xdr:cNvSpPr/>
      </xdr:nvSpPr>
      <xdr:spPr>
        <a:xfrm>
          <a:off x="5756275" y="14547850"/>
          <a:ext cx="196850" cy="117983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</xdr:rowOff>
    </xdr:from>
    <xdr:to>
      <xdr:col>9</xdr:col>
      <xdr:colOff>393700</xdr:colOff>
      <xdr:row>107</xdr:row>
      <xdr:rowOff>6350</xdr:rowOff>
    </xdr:to>
    <xdr:cxnSp macro="">
      <xdr:nvCxnSpPr>
        <xdr:cNvPr id="9674" name="OpenSolver558"/>
        <xdr:cNvCxnSpPr>
          <a:stCxn id="9672" idx="3"/>
          <a:endCxn id="9673" idx="1"/>
        </xdr:cNvCxnSpPr>
      </xdr:nvCxnSpPr>
      <xdr:spPr>
        <a:xfrm>
          <a:off x="4772025" y="20447000"/>
          <a:ext cx="9842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301625</xdr:colOff>
      <xdr:row>106</xdr:row>
      <xdr:rowOff>69850</xdr:rowOff>
    </xdr:from>
    <xdr:to>
      <xdr:col>9</xdr:col>
      <xdr:colOff>92075</xdr:colOff>
      <xdr:row>107</xdr:row>
      <xdr:rowOff>133350</xdr:rowOff>
    </xdr:to>
    <xdr:sp macro="" textlink="">
      <xdr:nvSpPr>
        <xdr:cNvPr id="9675" name="OpenSolver559"/>
        <xdr:cNvSpPr/>
      </xdr:nvSpPr>
      <xdr:spPr>
        <a:xfrm>
          <a:off x="5073650" y="20320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10</xdr:row>
      <xdr:rowOff>6350</xdr:rowOff>
    </xdr:from>
    <xdr:to>
      <xdr:col>8</xdr:col>
      <xdr:colOff>0</xdr:colOff>
      <xdr:row>72</xdr:row>
      <xdr:rowOff>0</xdr:rowOff>
    </xdr:to>
    <xdr:sp macro="" textlink="">
      <xdr:nvSpPr>
        <xdr:cNvPr id="9676" name="OpenSolver560"/>
        <xdr:cNvSpPr/>
      </xdr:nvSpPr>
      <xdr:spPr>
        <a:xfrm>
          <a:off x="45878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406400</xdr:colOff>
      <xdr:row>10</xdr:row>
      <xdr:rowOff>6350</xdr:rowOff>
    </xdr:from>
    <xdr:to>
      <xdr:col>10</xdr:col>
      <xdr:colOff>0</xdr:colOff>
      <xdr:row>72</xdr:row>
      <xdr:rowOff>0</xdr:rowOff>
    </xdr:to>
    <xdr:sp macro="" textlink="">
      <xdr:nvSpPr>
        <xdr:cNvPr id="9677" name="OpenSolver561"/>
        <xdr:cNvSpPr/>
      </xdr:nvSpPr>
      <xdr:spPr>
        <a:xfrm>
          <a:off x="5768975" y="1968500"/>
          <a:ext cx="184150" cy="118046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3175</xdr:rowOff>
    </xdr:from>
    <xdr:to>
      <xdr:col>9</xdr:col>
      <xdr:colOff>406400</xdr:colOff>
      <xdr:row>41</xdr:row>
      <xdr:rowOff>3175</xdr:rowOff>
    </xdr:to>
    <xdr:cxnSp macro="">
      <xdr:nvCxnSpPr>
        <xdr:cNvPr id="9678" name="OpenSolver562"/>
        <xdr:cNvCxnSpPr>
          <a:stCxn id="9676" idx="3"/>
          <a:endCxn id="9677" idx="1"/>
        </xdr:cNvCxnSpPr>
      </xdr:nvCxnSpPr>
      <xdr:spPr>
        <a:xfrm>
          <a:off x="4772025" y="7870825"/>
          <a:ext cx="996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40</xdr:row>
      <xdr:rowOff>66675</xdr:rowOff>
    </xdr:from>
    <xdr:to>
      <xdr:col>9</xdr:col>
      <xdr:colOff>98425</xdr:colOff>
      <xdr:row>41</xdr:row>
      <xdr:rowOff>130175</xdr:rowOff>
    </xdr:to>
    <xdr:sp macro="" textlink="">
      <xdr:nvSpPr>
        <xdr:cNvPr id="9679" name="OpenSolver563"/>
        <xdr:cNvSpPr/>
      </xdr:nvSpPr>
      <xdr:spPr>
        <a:xfrm>
          <a:off x="5080000" y="7743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406400</xdr:colOff>
      <xdr:row>76</xdr:row>
      <xdr:rowOff>25400</xdr:rowOff>
    </xdr:from>
    <xdr:to>
      <xdr:col>8</xdr:col>
      <xdr:colOff>0</xdr:colOff>
      <xdr:row>138</xdr:row>
      <xdr:rowOff>0</xdr:rowOff>
    </xdr:to>
    <xdr:sp macro="" textlink="">
      <xdr:nvSpPr>
        <xdr:cNvPr id="9680" name="OpenSolver564"/>
        <xdr:cNvSpPr/>
      </xdr:nvSpPr>
      <xdr:spPr>
        <a:xfrm>
          <a:off x="45878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406400</xdr:colOff>
      <xdr:row>76</xdr:row>
      <xdr:rowOff>25400</xdr:rowOff>
    </xdr:from>
    <xdr:to>
      <xdr:col>10</xdr:col>
      <xdr:colOff>0</xdr:colOff>
      <xdr:row>138</xdr:row>
      <xdr:rowOff>0</xdr:rowOff>
    </xdr:to>
    <xdr:sp macro="" textlink="">
      <xdr:nvSpPr>
        <xdr:cNvPr id="9681" name="OpenSolver565"/>
        <xdr:cNvSpPr/>
      </xdr:nvSpPr>
      <xdr:spPr>
        <a:xfrm>
          <a:off x="5768975" y="14560550"/>
          <a:ext cx="184150" cy="117856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12700</xdr:rowOff>
    </xdr:from>
    <xdr:to>
      <xdr:col>9</xdr:col>
      <xdr:colOff>406400</xdr:colOff>
      <xdr:row>107</xdr:row>
      <xdr:rowOff>12700</xdr:rowOff>
    </xdr:to>
    <xdr:cxnSp macro="">
      <xdr:nvCxnSpPr>
        <xdr:cNvPr id="9682" name="OpenSolver566"/>
        <xdr:cNvCxnSpPr>
          <a:stCxn id="9680" idx="3"/>
          <a:endCxn id="9681" idx="1"/>
        </xdr:cNvCxnSpPr>
      </xdr:nvCxnSpPr>
      <xdr:spPr>
        <a:xfrm>
          <a:off x="4772025" y="20453350"/>
          <a:ext cx="9969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307975</xdr:colOff>
      <xdr:row>106</xdr:row>
      <xdr:rowOff>76200</xdr:rowOff>
    </xdr:from>
    <xdr:to>
      <xdr:col>9</xdr:col>
      <xdr:colOff>98425</xdr:colOff>
      <xdr:row>107</xdr:row>
      <xdr:rowOff>139700</xdr:rowOff>
    </xdr:to>
    <xdr:sp macro="" textlink="">
      <xdr:nvSpPr>
        <xdr:cNvPr id="9683" name="OpenSolver567"/>
        <xdr:cNvSpPr/>
      </xdr:nvSpPr>
      <xdr:spPr>
        <a:xfrm>
          <a:off x="5080000" y="20326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10</xdr:row>
      <xdr:rowOff>19050</xdr:rowOff>
    </xdr:from>
    <xdr:to>
      <xdr:col>8</xdr:col>
      <xdr:colOff>0</xdr:colOff>
      <xdr:row>72</xdr:row>
      <xdr:rowOff>0</xdr:rowOff>
    </xdr:to>
    <xdr:sp macro="" textlink="">
      <xdr:nvSpPr>
        <xdr:cNvPr id="9684" name="OpenSolver568"/>
        <xdr:cNvSpPr/>
      </xdr:nvSpPr>
      <xdr:spPr>
        <a:xfrm>
          <a:off x="46005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419100</xdr:colOff>
      <xdr:row>10</xdr:row>
      <xdr:rowOff>19050</xdr:rowOff>
    </xdr:from>
    <xdr:to>
      <xdr:col>10</xdr:col>
      <xdr:colOff>0</xdr:colOff>
      <xdr:row>72</xdr:row>
      <xdr:rowOff>0</xdr:rowOff>
    </xdr:to>
    <xdr:sp macro="" textlink="">
      <xdr:nvSpPr>
        <xdr:cNvPr id="9685" name="OpenSolver569"/>
        <xdr:cNvSpPr/>
      </xdr:nvSpPr>
      <xdr:spPr>
        <a:xfrm>
          <a:off x="5781675" y="1981200"/>
          <a:ext cx="171450" cy="117919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</xdr:rowOff>
    </xdr:from>
    <xdr:to>
      <xdr:col>9</xdr:col>
      <xdr:colOff>419100</xdr:colOff>
      <xdr:row>41</xdr:row>
      <xdr:rowOff>9525</xdr:rowOff>
    </xdr:to>
    <xdr:cxnSp macro="">
      <xdr:nvCxnSpPr>
        <xdr:cNvPr id="9686" name="OpenSolver570"/>
        <xdr:cNvCxnSpPr>
          <a:stCxn id="9684" idx="3"/>
          <a:endCxn id="9685" idx="1"/>
        </xdr:cNvCxnSpPr>
      </xdr:nvCxnSpPr>
      <xdr:spPr>
        <a:xfrm>
          <a:off x="4772025" y="7877175"/>
          <a:ext cx="1009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40</xdr:row>
      <xdr:rowOff>73025</xdr:rowOff>
    </xdr:from>
    <xdr:to>
      <xdr:col>9</xdr:col>
      <xdr:colOff>104775</xdr:colOff>
      <xdr:row>41</xdr:row>
      <xdr:rowOff>136525</xdr:rowOff>
    </xdr:to>
    <xdr:sp macro="" textlink="">
      <xdr:nvSpPr>
        <xdr:cNvPr id="9687" name="OpenSolver571"/>
        <xdr:cNvSpPr/>
      </xdr:nvSpPr>
      <xdr:spPr>
        <a:xfrm>
          <a:off x="5086350" y="77501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419100</xdr:colOff>
      <xdr:row>76</xdr:row>
      <xdr:rowOff>38100</xdr:rowOff>
    </xdr:from>
    <xdr:to>
      <xdr:col>8</xdr:col>
      <xdr:colOff>0</xdr:colOff>
      <xdr:row>138</xdr:row>
      <xdr:rowOff>0</xdr:rowOff>
    </xdr:to>
    <xdr:sp macro="" textlink="">
      <xdr:nvSpPr>
        <xdr:cNvPr id="9688" name="OpenSolver572"/>
        <xdr:cNvSpPr/>
      </xdr:nvSpPr>
      <xdr:spPr>
        <a:xfrm>
          <a:off x="46005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419100</xdr:colOff>
      <xdr:row>76</xdr:row>
      <xdr:rowOff>38100</xdr:rowOff>
    </xdr:from>
    <xdr:to>
      <xdr:col>10</xdr:col>
      <xdr:colOff>0</xdr:colOff>
      <xdr:row>138</xdr:row>
      <xdr:rowOff>0</xdr:rowOff>
    </xdr:to>
    <xdr:sp macro="" textlink="">
      <xdr:nvSpPr>
        <xdr:cNvPr id="9689" name="OpenSolver573"/>
        <xdr:cNvSpPr/>
      </xdr:nvSpPr>
      <xdr:spPr>
        <a:xfrm>
          <a:off x="5781675" y="14573250"/>
          <a:ext cx="171450" cy="117729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19050</xdr:rowOff>
    </xdr:from>
    <xdr:to>
      <xdr:col>9</xdr:col>
      <xdr:colOff>419100</xdr:colOff>
      <xdr:row>107</xdr:row>
      <xdr:rowOff>19050</xdr:rowOff>
    </xdr:to>
    <xdr:cxnSp macro="">
      <xdr:nvCxnSpPr>
        <xdr:cNvPr id="9690" name="OpenSolver574"/>
        <xdr:cNvCxnSpPr>
          <a:stCxn id="9688" idx="3"/>
          <a:endCxn id="9689" idx="1"/>
        </xdr:cNvCxnSpPr>
      </xdr:nvCxnSpPr>
      <xdr:spPr>
        <a:xfrm>
          <a:off x="4772025" y="20459700"/>
          <a:ext cx="10096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314325</xdr:colOff>
      <xdr:row>106</xdr:row>
      <xdr:rowOff>82550</xdr:rowOff>
    </xdr:from>
    <xdr:to>
      <xdr:col>9</xdr:col>
      <xdr:colOff>104775</xdr:colOff>
      <xdr:row>107</xdr:row>
      <xdr:rowOff>146050</xdr:rowOff>
    </xdr:to>
    <xdr:sp macro="" textlink="">
      <xdr:nvSpPr>
        <xdr:cNvPr id="9691" name="OpenSolver575"/>
        <xdr:cNvSpPr/>
      </xdr:nvSpPr>
      <xdr:spPr>
        <a:xfrm>
          <a:off x="5086350" y="203327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10</xdr:row>
      <xdr:rowOff>31750</xdr:rowOff>
    </xdr:from>
    <xdr:to>
      <xdr:col>8</xdr:col>
      <xdr:colOff>0</xdr:colOff>
      <xdr:row>72</xdr:row>
      <xdr:rowOff>0</xdr:rowOff>
    </xdr:to>
    <xdr:sp macro="" textlink="">
      <xdr:nvSpPr>
        <xdr:cNvPr id="9692" name="OpenSolver576"/>
        <xdr:cNvSpPr/>
      </xdr:nvSpPr>
      <xdr:spPr>
        <a:xfrm>
          <a:off x="46132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431800</xdr:colOff>
      <xdr:row>10</xdr:row>
      <xdr:rowOff>31750</xdr:rowOff>
    </xdr:from>
    <xdr:to>
      <xdr:col>10</xdr:col>
      <xdr:colOff>0</xdr:colOff>
      <xdr:row>72</xdr:row>
      <xdr:rowOff>0</xdr:rowOff>
    </xdr:to>
    <xdr:sp macro="" textlink="">
      <xdr:nvSpPr>
        <xdr:cNvPr id="9693" name="OpenSolver577"/>
        <xdr:cNvSpPr/>
      </xdr:nvSpPr>
      <xdr:spPr>
        <a:xfrm>
          <a:off x="5794375" y="1993900"/>
          <a:ext cx="158750" cy="117792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15875</xdr:rowOff>
    </xdr:from>
    <xdr:to>
      <xdr:col>9</xdr:col>
      <xdr:colOff>431800</xdr:colOff>
      <xdr:row>41</xdr:row>
      <xdr:rowOff>15875</xdr:rowOff>
    </xdr:to>
    <xdr:cxnSp macro="">
      <xdr:nvCxnSpPr>
        <xdr:cNvPr id="9694" name="OpenSolver578"/>
        <xdr:cNvCxnSpPr>
          <a:stCxn id="9692" idx="3"/>
          <a:endCxn id="9693" idx="1"/>
        </xdr:cNvCxnSpPr>
      </xdr:nvCxnSpPr>
      <xdr:spPr>
        <a:xfrm>
          <a:off x="4772025" y="7883525"/>
          <a:ext cx="1022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40</xdr:row>
      <xdr:rowOff>79375</xdr:rowOff>
    </xdr:from>
    <xdr:to>
      <xdr:col>9</xdr:col>
      <xdr:colOff>111125</xdr:colOff>
      <xdr:row>41</xdr:row>
      <xdr:rowOff>142875</xdr:rowOff>
    </xdr:to>
    <xdr:sp macro="" textlink="">
      <xdr:nvSpPr>
        <xdr:cNvPr id="9695" name="OpenSolver579"/>
        <xdr:cNvSpPr/>
      </xdr:nvSpPr>
      <xdr:spPr>
        <a:xfrm>
          <a:off x="5092700" y="77565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431800</xdr:colOff>
      <xdr:row>76</xdr:row>
      <xdr:rowOff>50800</xdr:rowOff>
    </xdr:from>
    <xdr:to>
      <xdr:col>8</xdr:col>
      <xdr:colOff>0</xdr:colOff>
      <xdr:row>138</xdr:row>
      <xdr:rowOff>0</xdr:rowOff>
    </xdr:to>
    <xdr:sp macro="" textlink="">
      <xdr:nvSpPr>
        <xdr:cNvPr id="9696" name="OpenSolver580"/>
        <xdr:cNvSpPr/>
      </xdr:nvSpPr>
      <xdr:spPr>
        <a:xfrm>
          <a:off x="46132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431800</xdr:colOff>
      <xdr:row>76</xdr:row>
      <xdr:rowOff>50800</xdr:rowOff>
    </xdr:from>
    <xdr:to>
      <xdr:col>10</xdr:col>
      <xdr:colOff>0</xdr:colOff>
      <xdr:row>138</xdr:row>
      <xdr:rowOff>0</xdr:rowOff>
    </xdr:to>
    <xdr:sp macro="" textlink="">
      <xdr:nvSpPr>
        <xdr:cNvPr id="9697" name="OpenSolver581"/>
        <xdr:cNvSpPr/>
      </xdr:nvSpPr>
      <xdr:spPr>
        <a:xfrm>
          <a:off x="5794375" y="14585950"/>
          <a:ext cx="158750" cy="117602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25400</xdr:rowOff>
    </xdr:from>
    <xdr:to>
      <xdr:col>9</xdr:col>
      <xdr:colOff>431800</xdr:colOff>
      <xdr:row>107</xdr:row>
      <xdr:rowOff>25400</xdr:rowOff>
    </xdr:to>
    <xdr:cxnSp macro="">
      <xdr:nvCxnSpPr>
        <xdr:cNvPr id="9698" name="OpenSolver582"/>
        <xdr:cNvCxnSpPr>
          <a:stCxn id="9696" idx="3"/>
          <a:endCxn id="9697" idx="1"/>
        </xdr:cNvCxnSpPr>
      </xdr:nvCxnSpPr>
      <xdr:spPr>
        <a:xfrm>
          <a:off x="4772025" y="20466050"/>
          <a:ext cx="10223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320675</xdr:colOff>
      <xdr:row>106</xdr:row>
      <xdr:rowOff>88900</xdr:rowOff>
    </xdr:from>
    <xdr:to>
      <xdr:col>9</xdr:col>
      <xdr:colOff>111125</xdr:colOff>
      <xdr:row>107</xdr:row>
      <xdr:rowOff>152400</xdr:rowOff>
    </xdr:to>
    <xdr:sp macro="" textlink="">
      <xdr:nvSpPr>
        <xdr:cNvPr id="9699" name="OpenSolver583"/>
        <xdr:cNvSpPr/>
      </xdr:nvSpPr>
      <xdr:spPr>
        <a:xfrm>
          <a:off x="5092700" y="20339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10</xdr:row>
      <xdr:rowOff>44450</xdr:rowOff>
    </xdr:from>
    <xdr:to>
      <xdr:col>8</xdr:col>
      <xdr:colOff>0</xdr:colOff>
      <xdr:row>72</xdr:row>
      <xdr:rowOff>0</xdr:rowOff>
    </xdr:to>
    <xdr:sp macro="" textlink="">
      <xdr:nvSpPr>
        <xdr:cNvPr id="9700" name="OpenSolver584"/>
        <xdr:cNvSpPr/>
      </xdr:nvSpPr>
      <xdr:spPr>
        <a:xfrm>
          <a:off x="46259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444500</xdr:colOff>
      <xdr:row>10</xdr:row>
      <xdr:rowOff>44450</xdr:rowOff>
    </xdr:from>
    <xdr:to>
      <xdr:col>10</xdr:col>
      <xdr:colOff>0</xdr:colOff>
      <xdr:row>72</xdr:row>
      <xdr:rowOff>0</xdr:rowOff>
    </xdr:to>
    <xdr:sp macro="" textlink="">
      <xdr:nvSpPr>
        <xdr:cNvPr id="9701" name="OpenSolver585"/>
        <xdr:cNvSpPr/>
      </xdr:nvSpPr>
      <xdr:spPr>
        <a:xfrm>
          <a:off x="5807075" y="2006600"/>
          <a:ext cx="146050" cy="117665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22225</xdr:rowOff>
    </xdr:from>
    <xdr:to>
      <xdr:col>9</xdr:col>
      <xdr:colOff>444500</xdr:colOff>
      <xdr:row>41</xdr:row>
      <xdr:rowOff>22225</xdr:rowOff>
    </xdr:to>
    <xdr:cxnSp macro="">
      <xdr:nvCxnSpPr>
        <xdr:cNvPr id="9702" name="OpenSolver586"/>
        <xdr:cNvCxnSpPr>
          <a:stCxn id="9700" idx="3"/>
          <a:endCxn id="9701" idx="1"/>
        </xdr:cNvCxnSpPr>
      </xdr:nvCxnSpPr>
      <xdr:spPr>
        <a:xfrm>
          <a:off x="4772025" y="7889875"/>
          <a:ext cx="1035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40</xdr:row>
      <xdr:rowOff>85725</xdr:rowOff>
    </xdr:from>
    <xdr:to>
      <xdr:col>9</xdr:col>
      <xdr:colOff>117475</xdr:colOff>
      <xdr:row>41</xdr:row>
      <xdr:rowOff>149225</xdr:rowOff>
    </xdr:to>
    <xdr:sp macro="" textlink="">
      <xdr:nvSpPr>
        <xdr:cNvPr id="9703" name="OpenSolver587"/>
        <xdr:cNvSpPr/>
      </xdr:nvSpPr>
      <xdr:spPr>
        <a:xfrm>
          <a:off x="5099050" y="776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444500</xdr:colOff>
      <xdr:row>76</xdr:row>
      <xdr:rowOff>63500</xdr:rowOff>
    </xdr:from>
    <xdr:to>
      <xdr:col>8</xdr:col>
      <xdr:colOff>0</xdr:colOff>
      <xdr:row>138</xdr:row>
      <xdr:rowOff>0</xdr:rowOff>
    </xdr:to>
    <xdr:sp macro="" textlink="">
      <xdr:nvSpPr>
        <xdr:cNvPr id="9704" name="OpenSolver588"/>
        <xdr:cNvSpPr/>
      </xdr:nvSpPr>
      <xdr:spPr>
        <a:xfrm>
          <a:off x="46259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444500</xdr:colOff>
      <xdr:row>76</xdr:row>
      <xdr:rowOff>63500</xdr:rowOff>
    </xdr:from>
    <xdr:to>
      <xdr:col>10</xdr:col>
      <xdr:colOff>0</xdr:colOff>
      <xdr:row>138</xdr:row>
      <xdr:rowOff>0</xdr:rowOff>
    </xdr:to>
    <xdr:sp macro="" textlink="">
      <xdr:nvSpPr>
        <xdr:cNvPr id="9705" name="OpenSolver589"/>
        <xdr:cNvSpPr/>
      </xdr:nvSpPr>
      <xdr:spPr>
        <a:xfrm>
          <a:off x="5807075" y="14598650"/>
          <a:ext cx="146050" cy="1174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31750</xdr:rowOff>
    </xdr:from>
    <xdr:to>
      <xdr:col>9</xdr:col>
      <xdr:colOff>444500</xdr:colOff>
      <xdr:row>107</xdr:row>
      <xdr:rowOff>31750</xdr:rowOff>
    </xdr:to>
    <xdr:cxnSp macro="">
      <xdr:nvCxnSpPr>
        <xdr:cNvPr id="9706" name="OpenSolver590"/>
        <xdr:cNvCxnSpPr>
          <a:stCxn id="9704" idx="3"/>
          <a:endCxn id="9705" idx="1"/>
        </xdr:cNvCxnSpPr>
      </xdr:nvCxnSpPr>
      <xdr:spPr>
        <a:xfrm>
          <a:off x="4772025" y="20472400"/>
          <a:ext cx="10350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327025</xdr:colOff>
      <xdr:row>106</xdr:row>
      <xdr:rowOff>95250</xdr:rowOff>
    </xdr:from>
    <xdr:to>
      <xdr:col>9</xdr:col>
      <xdr:colOff>117475</xdr:colOff>
      <xdr:row>107</xdr:row>
      <xdr:rowOff>158750</xdr:rowOff>
    </xdr:to>
    <xdr:sp macro="" textlink="">
      <xdr:nvSpPr>
        <xdr:cNvPr id="9707" name="OpenSolver591"/>
        <xdr:cNvSpPr/>
      </xdr:nvSpPr>
      <xdr:spPr>
        <a:xfrm>
          <a:off x="5099050" y="20345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10</xdr:row>
      <xdr:rowOff>57150</xdr:rowOff>
    </xdr:from>
    <xdr:to>
      <xdr:col>8</xdr:col>
      <xdr:colOff>0</xdr:colOff>
      <xdr:row>72</xdr:row>
      <xdr:rowOff>0</xdr:rowOff>
    </xdr:to>
    <xdr:sp macro="" textlink="">
      <xdr:nvSpPr>
        <xdr:cNvPr id="9708" name="OpenSolver592"/>
        <xdr:cNvSpPr/>
      </xdr:nvSpPr>
      <xdr:spPr>
        <a:xfrm>
          <a:off x="46386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457200</xdr:colOff>
      <xdr:row>10</xdr:row>
      <xdr:rowOff>57150</xdr:rowOff>
    </xdr:from>
    <xdr:to>
      <xdr:col>10</xdr:col>
      <xdr:colOff>0</xdr:colOff>
      <xdr:row>72</xdr:row>
      <xdr:rowOff>0</xdr:rowOff>
    </xdr:to>
    <xdr:sp macro="" textlink="">
      <xdr:nvSpPr>
        <xdr:cNvPr id="9709" name="OpenSolver593"/>
        <xdr:cNvSpPr/>
      </xdr:nvSpPr>
      <xdr:spPr>
        <a:xfrm>
          <a:off x="5819775" y="2019300"/>
          <a:ext cx="133350" cy="117538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28575</xdr:rowOff>
    </xdr:from>
    <xdr:to>
      <xdr:col>9</xdr:col>
      <xdr:colOff>457200</xdr:colOff>
      <xdr:row>41</xdr:row>
      <xdr:rowOff>28575</xdr:rowOff>
    </xdr:to>
    <xdr:cxnSp macro="">
      <xdr:nvCxnSpPr>
        <xdr:cNvPr id="9710" name="OpenSolver594"/>
        <xdr:cNvCxnSpPr>
          <a:stCxn id="9708" idx="3"/>
          <a:endCxn id="9709" idx="1"/>
        </xdr:cNvCxnSpPr>
      </xdr:nvCxnSpPr>
      <xdr:spPr>
        <a:xfrm>
          <a:off x="4772025" y="7896225"/>
          <a:ext cx="1047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40</xdr:row>
      <xdr:rowOff>92075</xdr:rowOff>
    </xdr:from>
    <xdr:to>
      <xdr:col>9</xdr:col>
      <xdr:colOff>123825</xdr:colOff>
      <xdr:row>41</xdr:row>
      <xdr:rowOff>155575</xdr:rowOff>
    </xdr:to>
    <xdr:sp macro="" textlink="">
      <xdr:nvSpPr>
        <xdr:cNvPr id="9711" name="OpenSolver595"/>
        <xdr:cNvSpPr/>
      </xdr:nvSpPr>
      <xdr:spPr>
        <a:xfrm>
          <a:off x="5105400" y="7769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457200</xdr:colOff>
      <xdr:row>76</xdr:row>
      <xdr:rowOff>76200</xdr:rowOff>
    </xdr:from>
    <xdr:to>
      <xdr:col>8</xdr:col>
      <xdr:colOff>0</xdr:colOff>
      <xdr:row>138</xdr:row>
      <xdr:rowOff>0</xdr:rowOff>
    </xdr:to>
    <xdr:sp macro="" textlink="">
      <xdr:nvSpPr>
        <xdr:cNvPr id="9712" name="OpenSolver596"/>
        <xdr:cNvSpPr/>
      </xdr:nvSpPr>
      <xdr:spPr>
        <a:xfrm>
          <a:off x="46386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457200</xdr:colOff>
      <xdr:row>76</xdr:row>
      <xdr:rowOff>76200</xdr:rowOff>
    </xdr:from>
    <xdr:to>
      <xdr:col>10</xdr:col>
      <xdr:colOff>0</xdr:colOff>
      <xdr:row>138</xdr:row>
      <xdr:rowOff>0</xdr:rowOff>
    </xdr:to>
    <xdr:sp macro="" textlink="">
      <xdr:nvSpPr>
        <xdr:cNvPr id="9713" name="OpenSolver597"/>
        <xdr:cNvSpPr/>
      </xdr:nvSpPr>
      <xdr:spPr>
        <a:xfrm>
          <a:off x="5819775" y="14611350"/>
          <a:ext cx="133350" cy="11734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38100</xdr:rowOff>
    </xdr:from>
    <xdr:to>
      <xdr:col>9</xdr:col>
      <xdr:colOff>457200</xdr:colOff>
      <xdr:row>107</xdr:row>
      <xdr:rowOff>38100</xdr:rowOff>
    </xdr:to>
    <xdr:cxnSp macro="">
      <xdr:nvCxnSpPr>
        <xdr:cNvPr id="9714" name="OpenSolver598"/>
        <xdr:cNvCxnSpPr>
          <a:stCxn id="9712" idx="3"/>
          <a:endCxn id="9713" idx="1"/>
        </xdr:cNvCxnSpPr>
      </xdr:nvCxnSpPr>
      <xdr:spPr>
        <a:xfrm>
          <a:off x="4772025" y="20478750"/>
          <a:ext cx="10477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106</xdr:row>
      <xdr:rowOff>101600</xdr:rowOff>
    </xdr:from>
    <xdr:to>
      <xdr:col>9</xdr:col>
      <xdr:colOff>123825</xdr:colOff>
      <xdr:row>107</xdr:row>
      <xdr:rowOff>165100</xdr:rowOff>
    </xdr:to>
    <xdr:sp macro="" textlink="">
      <xdr:nvSpPr>
        <xdr:cNvPr id="9715" name="OpenSolver599"/>
        <xdr:cNvSpPr/>
      </xdr:nvSpPr>
      <xdr:spPr>
        <a:xfrm>
          <a:off x="5105400" y="2035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10</xdr:row>
      <xdr:rowOff>69850</xdr:rowOff>
    </xdr:from>
    <xdr:to>
      <xdr:col>8</xdr:col>
      <xdr:colOff>0</xdr:colOff>
      <xdr:row>72</xdr:row>
      <xdr:rowOff>0</xdr:rowOff>
    </xdr:to>
    <xdr:sp macro="" textlink="">
      <xdr:nvSpPr>
        <xdr:cNvPr id="9716" name="OpenSolver600"/>
        <xdr:cNvSpPr/>
      </xdr:nvSpPr>
      <xdr:spPr>
        <a:xfrm>
          <a:off x="46513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469900</xdr:colOff>
      <xdr:row>10</xdr:row>
      <xdr:rowOff>69850</xdr:rowOff>
    </xdr:from>
    <xdr:to>
      <xdr:col>10</xdr:col>
      <xdr:colOff>0</xdr:colOff>
      <xdr:row>72</xdr:row>
      <xdr:rowOff>0</xdr:rowOff>
    </xdr:to>
    <xdr:sp macro="" textlink="">
      <xdr:nvSpPr>
        <xdr:cNvPr id="9717" name="OpenSolver601"/>
        <xdr:cNvSpPr/>
      </xdr:nvSpPr>
      <xdr:spPr>
        <a:xfrm>
          <a:off x="5832475" y="2032000"/>
          <a:ext cx="120650" cy="117411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34925</xdr:rowOff>
    </xdr:from>
    <xdr:to>
      <xdr:col>9</xdr:col>
      <xdr:colOff>469900</xdr:colOff>
      <xdr:row>41</xdr:row>
      <xdr:rowOff>34925</xdr:rowOff>
    </xdr:to>
    <xdr:cxnSp macro="">
      <xdr:nvCxnSpPr>
        <xdr:cNvPr id="9718" name="OpenSolver602"/>
        <xdr:cNvCxnSpPr>
          <a:stCxn id="9716" idx="3"/>
          <a:endCxn id="9717" idx="1"/>
        </xdr:cNvCxnSpPr>
      </xdr:nvCxnSpPr>
      <xdr:spPr>
        <a:xfrm>
          <a:off x="4772025" y="7902575"/>
          <a:ext cx="10604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40</xdr:row>
      <xdr:rowOff>98425</xdr:rowOff>
    </xdr:from>
    <xdr:to>
      <xdr:col>9</xdr:col>
      <xdr:colOff>130175</xdr:colOff>
      <xdr:row>41</xdr:row>
      <xdr:rowOff>161925</xdr:rowOff>
    </xdr:to>
    <xdr:sp macro="" textlink="">
      <xdr:nvSpPr>
        <xdr:cNvPr id="9719" name="OpenSolver603"/>
        <xdr:cNvSpPr/>
      </xdr:nvSpPr>
      <xdr:spPr>
        <a:xfrm>
          <a:off x="5111750" y="7775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469900</xdr:colOff>
      <xdr:row>76</xdr:row>
      <xdr:rowOff>88900</xdr:rowOff>
    </xdr:from>
    <xdr:to>
      <xdr:col>8</xdr:col>
      <xdr:colOff>0</xdr:colOff>
      <xdr:row>138</xdr:row>
      <xdr:rowOff>0</xdr:rowOff>
    </xdr:to>
    <xdr:sp macro="" textlink="">
      <xdr:nvSpPr>
        <xdr:cNvPr id="9720" name="OpenSolver604"/>
        <xdr:cNvSpPr/>
      </xdr:nvSpPr>
      <xdr:spPr>
        <a:xfrm>
          <a:off x="46513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469900</xdr:colOff>
      <xdr:row>76</xdr:row>
      <xdr:rowOff>88900</xdr:rowOff>
    </xdr:from>
    <xdr:to>
      <xdr:col>10</xdr:col>
      <xdr:colOff>0</xdr:colOff>
      <xdr:row>138</xdr:row>
      <xdr:rowOff>0</xdr:rowOff>
    </xdr:to>
    <xdr:sp macro="" textlink="">
      <xdr:nvSpPr>
        <xdr:cNvPr id="9721" name="OpenSolver605"/>
        <xdr:cNvSpPr/>
      </xdr:nvSpPr>
      <xdr:spPr>
        <a:xfrm>
          <a:off x="5832475" y="14624050"/>
          <a:ext cx="120650" cy="117221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44450</xdr:rowOff>
    </xdr:from>
    <xdr:to>
      <xdr:col>9</xdr:col>
      <xdr:colOff>469900</xdr:colOff>
      <xdr:row>107</xdr:row>
      <xdr:rowOff>44450</xdr:rowOff>
    </xdr:to>
    <xdr:cxnSp macro="">
      <xdr:nvCxnSpPr>
        <xdr:cNvPr id="9722" name="OpenSolver606"/>
        <xdr:cNvCxnSpPr>
          <a:stCxn id="9720" idx="3"/>
          <a:endCxn id="9721" idx="1"/>
        </xdr:cNvCxnSpPr>
      </xdr:nvCxnSpPr>
      <xdr:spPr>
        <a:xfrm>
          <a:off x="4772025" y="20485100"/>
          <a:ext cx="10604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339725</xdr:colOff>
      <xdr:row>106</xdr:row>
      <xdr:rowOff>107950</xdr:rowOff>
    </xdr:from>
    <xdr:to>
      <xdr:col>9</xdr:col>
      <xdr:colOff>130175</xdr:colOff>
      <xdr:row>107</xdr:row>
      <xdr:rowOff>171450</xdr:rowOff>
    </xdr:to>
    <xdr:sp macro="" textlink="">
      <xdr:nvSpPr>
        <xdr:cNvPr id="9723" name="OpenSolver607"/>
        <xdr:cNvSpPr/>
      </xdr:nvSpPr>
      <xdr:spPr>
        <a:xfrm>
          <a:off x="5111750" y="20358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10</xdr:row>
      <xdr:rowOff>82550</xdr:rowOff>
    </xdr:from>
    <xdr:to>
      <xdr:col>8</xdr:col>
      <xdr:colOff>0</xdr:colOff>
      <xdr:row>72</xdr:row>
      <xdr:rowOff>0</xdr:rowOff>
    </xdr:to>
    <xdr:sp macro="" textlink="">
      <xdr:nvSpPr>
        <xdr:cNvPr id="9724" name="OpenSolver608"/>
        <xdr:cNvSpPr/>
      </xdr:nvSpPr>
      <xdr:spPr>
        <a:xfrm>
          <a:off x="46640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482600</xdr:colOff>
      <xdr:row>10</xdr:row>
      <xdr:rowOff>82550</xdr:rowOff>
    </xdr:from>
    <xdr:to>
      <xdr:col>10</xdr:col>
      <xdr:colOff>0</xdr:colOff>
      <xdr:row>72</xdr:row>
      <xdr:rowOff>0</xdr:rowOff>
    </xdr:to>
    <xdr:sp macro="" textlink="">
      <xdr:nvSpPr>
        <xdr:cNvPr id="9725" name="OpenSolver609"/>
        <xdr:cNvSpPr/>
      </xdr:nvSpPr>
      <xdr:spPr>
        <a:xfrm>
          <a:off x="5845175" y="2044700"/>
          <a:ext cx="107950" cy="117284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41275</xdr:rowOff>
    </xdr:from>
    <xdr:to>
      <xdr:col>9</xdr:col>
      <xdr:colOff>482600</xdr:colOff>
      <xdr:row>41</xdr:row>
      <xdr:rowOff>41275</xdr:rowOff>
    </xdr:to>
    <xdr:cxnSp macro="">
      <xdr:nvCxnSpPr>
        <xdr:cNvPr id="9726" name="OpenSolver610"/>
        <xdr:cNvCxnSpPr>
          <a:stCxn id="9724" idx="3"/>
          <a:endCxn id="9725" idx="1"/>
        </xdr:cNvCxnSpPr>
      </xdr:nvCxnSpPr>
      <xdr:spPr>
        <a:xfrm>
          <a:off x="4772025" y="7908925"/>
          <a:ext cx="10731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40</xdr:row>
      <xdr:rowOff>104775</xdr:rowOff>
    </xdr:from>
    <xdr:to>
      <xdr:col>9</xdr:col>
      <xdr:colOff>136525</xdr:colOff>
      <xdr:row>41</xdr:row>
      <xdr:rowOff>168275</xdr:rowOff>
    </xdr:to>
    <xdr:sp macro="" textlink="">
      <xdr:nvSpPr>
        <xdr:cNvPr id="9727" name="OpenSolver611"/>
        <xdr:cNvSpPr/>
      </xdr:nvSpPr>
      <xdr:spPr>
        <a:xfrm>
          <a:off x="5118100" y="7781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482600</xdr:colOff>
      <xdr:row>76</xdr:row>
      <xdr:rowOff>101600</xdr:rowOff>
    </xdr:from>
    <xdr:to>
      <xdr:col>8</xdr:col>
      <xdr:colOff>0</xdr:colOff>
      <xdr:row>138</xdr:row>
      <xdr:rowOff>0</xdr:rowOff>
    </xdr:to>
    <xdr:sp macro="" textlink="">
      <xdr:nvSpPr>
        <xdr:cNvPr id="9728" name="OpenSolver612"/>
        <xdr:cNvSpPr/>
      </xdr:nvSpPr>
      <xdr:spPr>
        <a:xfrm>
          <a:off x="46640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482600</xdr:colOff>
      <xdr:row>76</xdr:row>
      <xdr:rowOff>101600</xdr:rowOff>
    </xdr:from>
    <xdr:to>
      <xdr:col>10</xdr:col>
      <xdr:colOff>0</xdr:colOff>
      <xdr:row>138</xdr:row>
      <xdr:rowOff>0</xdr:rowOff>
    </xdr:to>
    <xdr:sp macro="" textlink="">
      <xdr:nvSpPr>
        <xdr:cNvPr id="9729" name="OpenSolver613"/>
        <xdr:cNvSpPr/>
      </xdr:nvSpPr>
      <xdr:spPr>
        <a:xfrm>
          <a:off x="5845175" y="14636750"/>
          <a:ext cx="107950" cy="117094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50800</xdr:rowOff>
    </xdr:from>
    <xdr:to>
      <xdr:col>9</xdr:col>
      <xdr:colOff>482600</xdr:colOff>
      <xdr:row>107</xdr:row>
      <xdr:rowOff>50800</xdr:rowOff>
    </xdr:to>
    <xdr:cxnSp macro="">
      <xdr:nvCxnSpPr>
        <xdr:cNvPr id="9730" name="OpenSolver614"/>
        <xdr:cNvCxnSpPr>
          <a:stCxn id="9728" idx="3"/>
          <a:endCxn id="9729" idx="1"/>
        </xdr:cNvCxnSpPr>
      </xdr:nvCxnSpPr>
      <xdr:spPr>
        <a:xfrm>
          <a:off x="4772025" y="20491450"/>
          <a:ext cx="10731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346075</xdr:colOff>
      <xdr:row>106</xdr:row>
      <xdr:rowOff>114300</xdr:rowOff>
    </xdr:from>
    <xdr:to>
      <xdr:col>9</xdr:col>
      <xdr:colOff>136525</xdr:colOff>
      <xdr:row>107</xdr:row>
      <xdr:rowOff>177800</xdr:rowOff>
    </xdr:to>
    <xdr:sp macro="" textlink="">
      <xdr:nvSpPr>
        <xdr:cNvPr id="9731" name="OpenSolver615"/>
        <xdr:cNvSpPr/>
      </xdr:nvSpPr>
      <xdr:spPr>
        <a:xfrm>
          <a:off x="5118100" y="20364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10</xdr:row>
      <xdr:rowOff>95250</xdr:rowOff>
    </xdr:from>
    <xdr:to>
      <xdr:col>8</xdr:col>
      <xdr:colOff>0</xdr:colOff>
      <xdr:row>72</xdr:row>
      <xdr:rowOff>0</xdr:rowOff>
    </xdr:to>
    <xdr:sp macro="" textlink="">
      <xdr:nvSpPr>
        <xdr:cNvPr id="9732" name="OpenSolver616"/>
        <xdr:cNvSpPr/>
      </xdr:nvSpPr>
      <xdr:spPr>
        <a:xfrm>
          <a:off x="46767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495300</xdr:colOff>
      <xdr:row>10</xdr:row>
      <xdr:rowOff>95250</xdr:rowOff>
    </xdr:from>
    <xdr:to>
      <xdr:col>10</xdr:col>
      <xdr:colOff>0</xdr:colOff>
      <xdr:row>72</xdr:row>
      <xdr:rowOff>0</xdr:rowOff>
    </xdr:to>
    <xdr:sp macro="" textlink="">
      <xdr:nvSpPr>
        <xdr:cNvPr id="9733" name="OpenSolver617"/>
        <xdr:cNvSpPr/>
      </xdr:nvSpPr>
      <xdr:spPr>
        <a:xfrm>
          <a:off x="5857875" y="2057400"/>
          <a:ext cx="95250" cy="117157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47625</xdr:rowOff>
    </xdr:from>
    <xdr:to>
      <xdr:col>9</xdr:col>
      <xdr:colOff>495300</xdr:colOff>
      <xdr:row>41</xdr:row>
      <xdr:rowOff>47625</xdr:rowOff>
    </xdr:to>
    <xdr:cxnSp macro="">
      <xdr:nvCxnSpPr>
        <xdr:cNvPr id="9734" name="OpenSolver618"/>
        <xdr:cNvCxnSpPr>
          <a:stCxn id="9732" idx="3"/>
          <a:endCxn id="9733" idx="1"/>
        </xdr:cNvCxnSpPr>
      </xdr:nvCxnSpPr>
      <xdr:spPr>
        <a:xfrm>
          <a:off x="4772025" y="7915275"/>
          <a:ext cx="10858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40</xdr:row>
      <xdr:rowOff>111125</xdr:rowOff>
    </xdr:from>
    <xdr:to>
      <xdr:col>9</xdr:col>
      <xdr:colOff>142875</xdr:colOff>
      <xdr:row>41</xdr:row>
      <xdr:rowOff>174625</xdr:rowOff>
    </xdr:to>
    <xdr:sp macro="" textlink="">
      <xdr:nvSpPr>
        <xdr:cNvPr id="9735" name="OpenSolver619"/>
        <xdr:cNvSpPr/>
      </xdr:nvSpPr>
      <xdr:spPr>
        <a:xfrm>
          <a:off x="5124450" y="7788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495300</xdr:colOff>
      <xdr:row>76</xdr:row>
      <xdr:rowOff>114300</xdr:rowOff>
    </xdr:from>
    <xdr:to>
      <xdr:col>8</xdr:col>
      <xdr:colOff>0</xdr:colOff>
      <xdr:row>138</xdr:row>
      <xdr:rowOff>0</xdr:rowOff>
    </xdr:to>
    <xdr:sp macro="" textlink="">
      <xdr:nvSpPr>
        <xdr:cNvPr id="9736" name="OpenSolver620"/>
        <xdr:cNvSpPr/>
      </xdr:nvSpPr>
      <xdr:spPr>
        <a:xfrm>
          <a:off x="46767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495300</xdr:colOff>
      <xdr:row>76</xdr:row>
      <xdr:rowOff>114300</xdr:rowOff>
    </xdr:from>
    <xdr:to>
      <xdr:col>10</xdr:col>
      <xdr:colOff>0</xdr:colOff>
      <xdr:row>138</xdr:row>
      <xdr:rowOff>0</xdr:rowOff>
    </xdr:to>
    <xdr:sp macro="" textlink="">
      <xdr:nvSpPr>
        <xdr:cNvPr id="9737" name="OpenSolver621"/>
        <xdr:cNvSpPr/>
      </xdr:nvSpPr>
      <xdr:spPr>
        <a:xfrm>
          <a:off x="5857875" y="14649450"/>
          <a:ext cx="95250" cy="116967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57150</xdr:rowOff>
    </xdr:from>
    <xdr:to>
      <xdr:col>9</xdr:col>
      <xdr:colOff>495300</xdr:colOff>
      <xdr:row>107</xdr:row>
      <xdr:rowOff>57150</xdr:rowOff>
    </xdr:to>
    <xdr:cxnSp macro="">
      <xdr:nvCxnSpPr>
        <xdr:cNvPr id="9738" name="OpenSolver622"/>
        <xdr:cNvCxnSpPr>
          <a:stCxn id="9736" idx="3"/>
          <a:endCxn id="9737" idx="1"/>
        </xdr:cNvCxnSpPr>
      </xdr:nvCxnSpPr>
      <xdr:spPr>
        <a:xfrm>
          <a:off x="4772025" y="20497800"/>
          <a:ext cx="10858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352425</xdr:colOff>
      <xdr:row>106</xdr:row>
      <xdr:rowOff>120650</xdr:rowOff>
    </xdr:from>
    <xdr:to>
      <xdr:col>9</xdr:col>
      <xdr:colOff>142875</xdr:colOff>
      <xdr:row>107</xdr:row>
      <xdr:rowOff>184150</xdr:rowOff>
    </xdr:to>
    <xdr:sp macro="" textlink="">
      <xdr:nvSpPr>
        <xdr:cNvPr id="9739" name="OpenSolver623"/>
        <xdr:cNvSpPr/>
      </xdr:nvSpPr>
      <xdr:spPr>
        <a:xfrm>
          <a:off x="5124450" y="20370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10</xdr:row>
      <xdr:rowOff>107950</xdr:rowOff>
    </xdr:from>
    <xdr:to>
      <xdr:col>8</xdr:col>
      <xdr:colOff>0</xdr:colOff>
      <xdr:row>72</xdr:row>
      <xdr:rowOff>0</xdr:rowOff>
    </xdr:to>
    <xdr:sp macro="" textlink="">
      <xdr:nvSpPr>
        <xdr:cNvPr id="9740" name="OpenSolver624"/>
        <xdr:cNvSpPr/>
      </xdr:nvSpPr>
      <xdr:spPr>
        <a:xfrm>
          <a:off x="46894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508000</xdr:colOff>
      <xdr:row>10</xdr:row>
      <xdr:rowOff>107950</xdr:rowOff>
    </xdr:from>
    <xdr:to>
      <xdr:col>10</xdr:col>
      <xdr:colOff>0</xdr:colOff>
      <xdr:row>72</xdr:row>
      <xdr:rowOff>0</xdr:rowOff>
    </xdr:to>
    <xdr:sp macro="" textlink="">
      <xdr:nvSpPr>
        <xdr:cNvPr id="9741" name="OpenSolver625"/>
        <xdr:cNvSpPr/>
      </xdr:nvSpPr>
      <xdr:spPr>
        <a:xfrm>
          <a:off x="5870575" y="2070100"/>
          <a:ext cx="82550" cy="1170305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53975</xdr:rowOff>
    </xdr:from>
    <xdr:to>
      <xdr:col>9</xdr:col>
      <xdr:colOff>508000</xdr:colOff>
      <xdr:row>41</xdr:row>
      <xdr:rowOff>53975</xdr:rowOff>
    </xdr:to>
    <xdr:cxnSp macro="">
      <xdr:nvCxnSpPr>
        <xdr:cNvPr id="9742" name="OpenSolver626"/>
        <xdr:cNvCxnSpPr>
          <a:stCxn id="9740" idx="3"/>
          <a:endCxn id="9741" idx="1"/>
        </xdr:cNvCxnSpPr>
      </xdr:nvCxnSpPr>
      <xdr:spPr>
        <a:xfrm>
          <a:off x="4772025" y="7921625"/>
          <a:ext cx="1098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40</xdr:row>
      <xdr:rowOff>117475</xdr:rowOff>
    </xdr:from>
    <xdr:to>
      <xdr:col>9</xdr:col>
      <xdr:colOff>149225</xdr:colOff>
      <xdr:row>41</xdr:row>
      <xdr:rowOff>180975</xdr:rowOff>
    </xdr:to>
    <xdr:sp macro="" textlink="">
      <xdr:nvSpPr>
        <xdr:cNvPr id="9743" name="OpenSolver627"/>
        <xdr:cNvSpPr/>
      </xdr:nvSpPr>
      <xdr:spPr>
        <a:xfrm>
          <a:off x="5130800" y="7794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508000</xdr:colOff>
      <xdr:row>76</xdr:row>
      <xdr:rowOff>127000</xdr:rowOff>
    </xdr:from>
    <xdr:to>
      <xdr:col>8</xdr:col>
      <xdr:colOff>0</xdr:colOff>
      <xdr:row>138</xdr:row>
      <xdr:rowOff>0</xdr:rowOff>
    </xdr:to>
    <xdr:sp macro="" textlink="">
      <xdr:nvSpPr>
        <xdr:cNvPr id="9744" name="OpenSolver628"/>
        <xdr:cNvSpPr/>
      </xdr:nvSpPr>
      <xdr:spPr>
        <a:xfrm>
          <a:off x="46894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508000</xdr:colOff>
      <xdr:row>76</xdr:row>
      <xdr:rowOff>127000</xdr:rowOff>
    </xdr:from>
    <xdr:to>
      <xdr:col>10</xdr:col>
      <xdr:colOff>0</xdr:colOff>
      <xdr:row>138</xdr:row>
      <xdr:rowOff>0</xdr:rowOff>
    </xdr:to>
    <xdr:sp macro="" textlink="">
      <xdr:nvSpPr>
        <xdr:cNvPr id="9745" name="OpenSolver629"/>
        <xdr:cNvSpPr/>
      </xdr:nvSpPr>
      <xdr:spPr>
        <a:xfrm>
          <a:off x="5870575" y="14662150"/>
          <a:ext cx="82550" cy="1168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63500</xdr:rowOff>
    </xdr:from>
    <xdr:to>
      <xdr:col>9</xdr:col>
      <xdr:colOff>508000</xdr:colOff>
      <xdr:row>107</xdr:row>
      <xdr:rowOff>63500</xdr:rowOff>
    </xdr:to>
    <xdr:cxnSp macro="">
      <xdr:nvCxnSpPr>
        <xdr:cNvPr id="9746" name="OpenSolver630"/>
        <xdr:cNvCxnSpPr>
          <a:stCxn id="9744" idx="3"/>
          <a:endCxn id="9745" idx="1"/>
        </xdr:cNvCxnSpPr>
      </xdr:nvCxnSpPr>
      <xdr:spPr>
        <a:xfrm>
          <a:off x="4772025" y="20504150"/>
          <a:ext cx="10985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358775</xdr:colOff>
      <xdr:row>106</xdr:row>
      <xdr:rowOff>127000</xdr:rowOff>
    </xdr:from>
    <xdr:to>
      <xdr:col>9</xdr:col>
      <xdr:colOff>149225</xdr:colOff>
      <xdr:row>108</xdr:row>
      <xdr:rowOff>0</xdr:rowOff>
    </xdr:to>
    <xdr:sp macro="" textlink="">
      <xdr:nvSpPr>
        <xdr:cNvPr id="9747" name="OpenSolver631"/>
        <xdr:cNvSpPr/>
      </xdr:nvSpPr>
      <xdr:spPr>
        <a:xfrm>
          <a:off x="5130800" y="20377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10</xdr:row>
      <xdr:rowOff>120650</xdr:rowOff>
    </xdr:from>
    <xdr:to>
      <xdr:col>8</xdr:col>
      <xdr:colOff>0</xdr:colOff>
      <xdr:row>72</xdr:row>
      <xdr:rowOff>0</xdr:rowOff>
    </xdr:to>
    <xdr:sp macro="" textlink="">
      <xdr:nvSpPr>
        <xdr:cNvPr id="9748" name="OpenSolver632"/>
        <xdr:cNvSpPr/>
      </xdr:nvSpPr>
      <xdr:spPr>
        <a:xfrm>
          <a:off x="47021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520700</xdr:colOff>
      <xdr:row>10</xdr:row>
      <xdr:rowOff>120650</xdr:rowOff>
    </xdr:from>
    <xdr:to>
      <xdr:col>10</xdr:col>
      <xdr:colOff>0</xdr:colOff>
      <xdr:row>72</xdr:row>
      <xdr:rowOff>0</xdr:rowOff>
    </xdr:to>
    <xdr:sp macro="" textlink="">
      <xdr:nvSpPr>
        <xdr:cNvPr id="9749" name="OpenSolver633"/>
        <xdr:cNvSpPr/>
      </xdr:nvSpPr>
      <xdr:spPr>
        <a:xfrm>
          <a:off x="5883275" y="2082800"/>
          <a:ext cx="69850" cy="1169035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60325</xdr:rowOff>
    </xdr:from>
    <xdr:to>
      <xdr:col>9</xdr:col>
      <xdr:colOff>520700</xdr:colOff>
      <xdr:row>41</xdr:row>
      <xdr:rowOff>60325</xdr:rowOff>
    </xdr:to>
    <xdr:cxnSp macro="">
      <xdr:nvCxnSpPr>
        <xdr:cNvPr id="9750" name="OpenSolver634"/>
        <xdr:cNvCxnSpPr>
          <a:stCxn id="9748" idx="3"/>
          <a:endCxn id="9749" idx="1"/>
        </xdr:cNvCxnSpPr>
      </xdr:nvCxnSpPr>
      <xdr:spPr>
        <a:xfrm>
          <a:off x="4772025" y="7927975"/>
          <a:ext cx="11112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40</xdr:row>
      <xdr:rowOff>123825</xdr:rowOff>
    </xdr:from>
    <xdr:to>
      <xdr:col>9</xdr:col>
      <xdr:colOff>155575</xdr:colOff>
      <xdr:row>41</xdr:row>
      <xdr:rowOff>187325</xdr:rowOff>
    </xdr:to>
    <xdr:sp macro="" textlink="">
      <xdr:nvSpPr>
        <xdr:cNvPr id="9751" name="OpenSolver635"/>
        <xdr:cNvSpPr/>
      </xdr:nvSpPr>
      <xdr:spPr>
        <a:xfrm>
          <a:off x="5137150" y="78009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520700</xdr:colOff>
      <xdr:row>76</xdr:row>
      <xdr:rowOff>139700</xdr:rowOff>
    </xdr:from>
    <xdr:to>
      <xdr:col>8</xdr:col>
      <xdr:colOff>0</xdr:colOff>
      <xdr:row>138</xdr:row>
      <xdr:rowOff>0</xdr:rowOff>
    </xdr:to>
    <xdr:sp macro="" textlink="">
      <xdr:nvSpPr>
        <xdr:cNvPr id="9752" name="OpenSolver636"/>
        <xdr:cNvSpPr/>
      </xdr:nvSpPr>
      <xdr:spPr>
        <a:xfrm>
          <a:off x="47021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520700</xdr:colOff>
      <xdr:row>76</xdr:row>
      <xdr:rowOff>139700</xdr:rowOff>
    </xdr:from>
    <xdr:to>
      <xdr:col>10</xdr:col>
      <xdr:colOff>0</xdr:colOff>
      <xdr:row>138</xdr:row>
      <xdr:rowOff>0</xdr:rowOff>
    </xdr:to>
    <xdr:sp macro="" textlink="">
      <xdr:nvSpPr>
        <xdr:cNvPr id="9753" name="OpenSolver637"/>
        <xdr:cNvSpPr/>
      </xdr:nvSpPr>
      <xdr:spPr>
        <a:xfrm>
          <a:off x="5883275" y="14674850"/>
          <a:ext cx="69850" cy="116713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69850</xdr:rowOff>
    </xdr:from>
    <xdr:to>
      <xdr:col>9</xdr:col>
      <xdr:colOff>520700</xdr:colOff>
      <xdr:row>107</xdr:row>
      <xdr:rowOff>69850</xdr:rowOff>
    </xdr:to>
    <xdr:cxnSp macro="">
      <xdr:nvCxnSpPr>
        <xdr:cNvPr id="9754" name="OpenSolver638"/>
        <xdr:cNvCxnSpPr>
          <a:stCxn id="9752" idx="3"/>
          <a:endCxn id="9753" idx="1"/>
        </xdr:cNvCxnSpPr>
      </xdr:nvCxnSpPr>
      <xdr:spPr>
        <a:xfrm>
          <a:off x="4772025" y="20510500"/>
          <a:ext cx="11112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365125</xdr:colOff>
      <xdr:row>106</xdr:row>
      <xdr:rowOff>133350</xdr:rowOff>
    </xdr:from>
    <xdr:to>
      <xdr:col>9</xdr:col>
      <xdr:colOff>155575</xdr:colOff>
      <xdr:row>108</xdr:row>
      <xdr:rowOff>6350</xdr:rowOff>
    </xdr:to>
    <xdr:sp macro="" textlink="">
      <xdr:nvSpPr>
        <xdr:cNvPr id="9755" name="OpenSolver639"/>
        <xdr:cNvSpPr/>
      </xdr:nvSpPr>
      <xdr:spPr>
        <a:xfrm>
          <a:off x="5137150" y="20383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10</xdr:row>
      <xdr:rowOff>133350</xdr:rowOff>
    </xdr:from>
    <xdr:to>
      <xdr:col>8</xdr:col>
      <xdr:colOff>0</xdr:colOff>
      <xdr:row>72</xdr:row>
      <xdr:rowOff>0</xdr:rowOff>
    </xdr:to>
    <xdr:sp macro="" textlink="">
      <xdr:nvSpPr>
        <xdr:cNvPr id="9756" name="OpenSolver640"/>
        <xdr:cNvSpPr/>
      </xdr:nvSpPr>
      <xdr:spPr>
        <a:xfrm>
          <a:off x="47148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533400</xdr:colOff>
      <xdr:row>10</xdr:row>
      <xdr:rowOff>133350</xdr:rowOff>
    </xdr:from>
    <xdr:to>
      <xdr:col>10</xdr:col>
      <xdr:colOff>0</xdr:colOff>
      <xdr:row>72</xdr:row>
      <xdr:rowOff>0</xdr:rowOff>
    </xdr:to>
    <xdr:sp macro="" textlink="">
      <xdr:nvSpPr>
        <xdr:cNvPr id="9757" name="OpenSolver641"/>
        <xdr:cNvSpPr/>
      </xdr:nvSpPr>
      <xdr:spPr>
        <a:xfrm>
          <a:off x="5895975" y="2095500"/>
          <a:ext cx="57150" cy="116776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66675</xdr:rowOff>
    </xdr:from>
    <xdr:to>
      <xdr:col>9</xdr:col>
      <xdr:colOff>533400</xdr:colOff>
      <xdr:row>41</xdr:row>
      <xdr:rowOff>66675</xdr:rowOff>
    </xdr:to>
    <xdr:cxnSp macro="">
      <xdr:nvCxnSpPr>
        <xdr:cNvPr id="9758" name="OpenSolver642"/>
        <xdr:cNvCxnSpPr>
          <a:stCxn id="9756" idx="3"/>
          <a:endCxn id="9757" idx="1"/>
        </xdr:cNvCxnSpPr>
      </xdr:nvCxnSpPr>
      <xdr:spPr>
        <a:xfrm>
          <a:off x="4772025" y="7934325"/>
          <a:ext cx="11239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40</xdr:row>
      <xdr:rowOff>130175</xdr:rowOff>
    </xdr:from>
    <xdr:to>
      <xdr:col>9</xdr:col>
      <xdr:colOff>161925</xdr:colOff>
      <xdr:row>42</xdr:row>
      <xdr:rowOff>3175</xdr:rowOff>
    </xdr:to>
    <xdr:sp macro="" textlink="">
      <xdr:nvSpPr>
        <xdr:cNvPr id="9759" name="OpenSolver643"/>
        <xdr:cNvSpPr/>
      </xdr:nvSpPr>
      <xdr:spPr>
        <a:xfrm>
          <a:off x="5143500" y="7807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533400</xdr:colOff>
      <xdr:row>76</xdr:row>
      <xdr:rowOff>152400</xdr:rowOff>
    </xdr:from>
    <xdr:to>
      <xdr:col>8</xdr:col>
      <xdr:colOff>0</xdr:colOff>
      <xdr:row>138</xdr:row>
      <xdr:rowOff>0</xdr:rowOff>
    </xdr:to>
    <xdr:sp macro="" textlink="">
      <xdr:nvSpPr>
        <xdr:cNvPr id="9760" name="OpenSolver644"/>
        <xdr:cNvSpPr/>
      </xdr:nvSpPr>
      <xdr:spPr>
        <a:xfrm>
          <a:off x="47148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533400</xdr:colOff>
      <xdr:row>76</xdr:row>
      <xdr:rowOff>152400</xdr:rowOff>
    </xdr:from>
    <xdr:to>
      <xdr:col>10</xdr:col>
      <xdr:colOff>0</xdr:colOff>
      <xdr:row>138</xdr:row>
      <xdr:rowOff>0</xdr:rowOff>
    </xdr:to>
    <xdr:sp macro="" textlink="">
      <xdr:nvSpPr>
        <xdr:cNvPr id="9761" name="OpenSolver645"/>
        <xdr:cNvSpPr/>
      </xdr:nvSpPr>
      <xdr:spPr>
        <a:xfrm>
          <a:off x="5895975" y="14687550"/>
          <a:ext cx="57150" cy="116586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76200</xdr:rowOff>
    </xdr:from>
    <xdr:to>
      <xdr:col>9</xdr:col>
      <xdr:colOff>533400</xdr:colOff>
      <xdr:row>107</xdr:row>
      <xdr:rowOff>76200</xdr:rowOff>
    </xdr:to>
    <xdr:cxnSp macro="">
      <xdr:nvCxnSpPr>
        <xdr:cNvPr id="9762" name="OpenSolver646"/>
        <xdr:cNvCxnSpPr>
          <a:stCxn id="9760" idx="3"/>
          <a:endCxn id="9761" idx="1"/>
        </xdr:cNvCxnSpPr>
      </xdr:nvCxnSpPr>
      <xdr:spPr>
        <a:xfrm>
          <a:off x="4772025" y="20516850"/>
          <a:ext cx="11239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371475</xdr:colOff>
      <xdr:row>106</xdr:row>
      <xdr:rowOff>139700</xdr:rowOff>
    </xdr:from>
    <xdr:to>
      <xdr:col>9</xdr:col>
      <xdr:colOff>161925</xdr:colOff>
      <xdr:row>108</xdr:row>
      <xdr:rowOff>12700</xdr:rowOff>
    </xdr:to>
    <xdr:sp macro="" textlink="">
      <xdr:nvSpPr>
        <xdr:cNvPr id="9763" name="OpenSolver647"/>
        <xdr:cNvSpPr/>
      </xdr:nvSpPr>
      <xdr:spPr>
        <a:xfrm>
          <a:off x="5143500" y="2038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10</xdr:row>
      <xdr:rowOff>146050</xdr:rowOff>
    </xdr:from>
    <xdr:to>
      <xdr:col>8</xdr:col>
      <xdr:colOff>0</xdr:colOff>
      <xdr:row>72</xdr:row>
      <xdr:rowOff>0</xdr:rowOff>
    </xdr:to>
    <xdr:sp macro="" textlink="">
      <xdr:nvSpPr>
        <xdr:cNvPr id="9764" name="OpenSolver648"/>
        <xdr:cNvSpPr/>
      </xdr:nvSpPr>
      <xdr:spPr>
        <a:xfrm>
          <a:off x="47275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546100</xdr:colOff>
      <xdr:row>10</xdr:row>
      <xdr:rowOff>146050</xdr:rowOff>
    </xdr:from>
    <xdr:to>
      <xdr:col>10</xdr:col>
      <xdr:colOff>0</xdr:colOff>
      <xdr:row>72</xdr:row>
      <xdr:rowOff>0</xdr:rowOff>
    </xdr:to>
    <xdr:sp macro="" textlink="">
      <xdr:nvSpPr>
        <xdr:cNvPr id="9765" name="OpenSolver649"/>
        <xdr:cNvSpPr/>
      </xdr:nvSpPr>
      <xdr:spPr>
        <a:xfrm>
          <a:off x="5908675" y="2108200"/>
          <a:ext cx="44450" cy="116649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73025</xdr:rowOff>
    </xdr:from>
    <xdr:to>
      <xdr:col>9</xdr:col>
      <xdr:colOff>546100</xdr:colOff>
      <xdr:row>41</xdr:row>
      <xdr:rowOff>73025</xdr:rowOff>
    </xdr:to>
    <xdr:cxnSp macro="">
      <xdr:nvCxnSpPr>
        <xdr:cNvPr id="9766" name="OpenSolver650"/>
        <xdr:cNvCxnSpPr>
          <a:stCxn id="9764" idx="3"/>
          <a:endCxn id="9765" idx="1"/>
        </xdr:cNvCxnSpPr>
      </xdr:nvCxnSpPr>
      <xdr:spPr>
        <a:xfrm>
          <a:off x="4772025" y="7940675"/>
          <a:ext cx="1136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40</xdr:row>
      <xdr:rowOff>136525</xdr:rowOff>
    </xdr:from>
    <xdr:to>
      <xdr:col>9</xdr:col>
      <xdr:colOff>168275</xdr:colOff>
      <xdr:row>42</xdr:row>
      <xdr:rowOff>9525</xdr:rowOff>
    </xdr:to>
    <xdr:sp macro="" textlink="">
      <xdr:nvSpPr>
        <xdr:cNvPr id="9767" name="OpenSolver651"/>
        <xdr:cNvSpPr/>
      </xdr:nvSpPr>
      <xdr:spPr>
        <a:xfrm>
          <a:off x="5149850" y="78136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546100</xdr:colOff>
      <xdr:row>76</xdr:row>
      <xdr:rowOff>165100</xdr:rowOff>
    </xdr:from>
    <xdr:to>
      <xdr:col>8</xdr:col>
      <xdr:colOff>0</xdr:colOff>
      <xdr:row>138</xdr:row>
      <xdr:rowOff>0</xdr:rowOff>
    </xdr:to>
    <xdr:sp macro="" textlink="">
      <xdr:nvSpPr>
        <xdr:cNvPr id="9768" name="OpenSolver652"/>
        <xdr:cNvSpPr/>
      </xdr:nvSpPr>
      <xdr:spPr>
        <a:xfrm>
          <a:off x="47275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546100</xdr:colOff>
      <xdr:row>76</xdr:row>
      <xdr:rowOff>165100</xdr:rowOff>
    </xdr:from>
    <xdr:to>
      <xdr:col>10</xdr:col>
      <xdr:colOff>0</xdr:colOff>
      <xdr:row>138</xdr:row>
      <xdr:rowOff>0</xdr:rowOff>
    </xdr:to>
    <xdr:sp macro="" textlink="">
      <xdr:nvSpPr>
        <xdr:cNvPr id="9769" name="OpenSolver653"/>
        <xdr:cNvSpPr/>
      </xdr:nvSpPr>
      <xdr:spPr>
        <a:xfrm>
          <a:off x="5908675" y="14700250"/>
          <a:ext cx="44450" cy="116459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82550</xdr:rowOff>
    </xdr:from>
    <xdr:to>
      <xdr:col>9</xdr:col>
      <xdr:colOff>546100</xdr:colOff>
      <xdr:row>107</xdr:row>
      <xdr:rowOff>82550</xdr:rowOff>
    </xdr:to>
    <xdr:cxnSp macro="">
      <xdr:nvCxnSpPr>
        <xdr:cNvPr id="9770" name="OpenSolver654"/>
        <xdr:cNvCxnSpPr>
          <a:stCxn id="9768" idx="3"/>
          <a:endCxn id="9769" idx="1"/>
        </xdr:cNvCxnSpPr>
      </xdr:nvCxnSpPr>
      <xdr:spPr>
        <a:xfrm>
          <a:off x="4772025" y="20523200"/>
          <a:ext cx="11366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377825</xdr:colOff>
      <xdr:row>106</xdr:row>
      <xdr:rowOff>146050</xdr:rowOff>
    </xdr:from>
    <xdr:to>
      <xdr:col>9</xdr:col>
      <xdr:colOff>168275</xdr:colOff>
      <xdr:row>108</xdr:row>
      <xdr:rowOff>19050</xdr:rowOff>
    </xdr:to>
    <xdr:sp macro="" textlink="">
      <xdr:nvSpPr>
        <xdr:cNvPr id="9771" name="OpenSolver655"/>
        <xdr:cNvSpPr/>
      </xdr:nvSpPr>
      <xdr:spPr>
        <a:xfrm>
          <a:off x="5149850" y="203962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10</xdr:row>
      <xdr:rowOff>158750</xdr:rowOff>
    </xdr:from>
    <xdr:to>
      <xdr:col>8</xdr:col>
      <xdr:colOff>0</xdr:colOff>
      <xdr:row>72</xdr:row>
      <xdr:rowOff>0</xdr:rowOff>
    </xdr:to>
    <xdr:sp macro="" textlink="">
      <xdr:nvSpPr>
        <xdr:cNvPr id="9772" name="OpenSolver656"/>
        <xdr:cNvSpPr/>
      </xdr:nvSpPr>
      <xdr:spPr>
        <a:xfrm>
          <a:off x="47402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558800</xdr:colOff>
      <xdr:row>10</xdr:row>
      <xdr:rowOff>158750</xdr:rowOff>
    </xdr:from>
    <xdr:to>
      <xdr:col>10</xdr:col>
      <xdr:colOff>0</xdr:colOff>
      <xdr:row>72</xdr:row>
      <xdr:rowOff>0</xdr:rowOff>
    </xdr:to>
    <xdr:sp macro="" textlink="">
      <xdr:nvSpPr>
        <xdr:cNvPr id="9773" name="OpenSolver657"/>
        <xdr:cNvSpPr/>
      </xdr:nvSpPr>
      <xdr:spPr>
        <a:xfrm>
          <a:off x="5921375" y="2120900"/>
          <a:ext cx="31750" cy="1165225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79375</xdr:rowOff>
    </xdr:from>
    <xdr:to>
      <xdr:col>9</xdr:col>
      <xdr:colOff>558800</xdr:colOff>
      <xdr:row>41</xdr:row>
      <xdr:rowOff>79375</xdr:rowOff>
    </xdr:to>
    <xdr:cxnSp macro="">
      <xdr:nvCxnSpPr>
        <xdr:cNvPr id="9774" name="OpenSolver658"/>
        <xdr:cNvCxnSpPr>
          <a:stCxn id="9772" idx="3"/>
          <a:endCxn id="9773" idx="1"/>
        </xdr:cNvCxnSpPr>
      </xdr:nvCxnSpPr>
      <xdr:spPr>
        <a:xfrm>
          <a:off x="4772025" y="7947025"/>
          <a:ext cx="114935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40</xdr:row>
      <xdr:rowOff>142875</xdr:rowOff>
    </xdr:from>
    <xdr:to>
      <xdr:col>9</xdr:col>
      <xdr:colOff>174625</xdr:colOff>
      <xdr:row>42</xdr:row>
      <xdr:rowOff>15875</xdr:rowOff>
    </xdr:to>
    <xdr:sp macro="" textlink="">
      <xdr:nvSpPr>
        <xdr:cNvPr id="9775" name="OpenSolver659"/>
        <xdr:cNvSpPr/>
      </xdr:nvSpPr>
      <xdr:spPr>
        <a:xfrm>
          <a:off x="5156200" y="78200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558800</xdr:colOff>
      <xdr:row>76</xdr:row>
      <xdr:rowOff>177800</xdr:rowOff>
    </xdr:from>
    <xdr:to>
      <xdr:col>8</xdr:col>
      <xdr:colOff>0</xdr:colOff>
      <xdr:row>138</xdr:row>
      <xdr:rowOff>0</xdr:rowOff>
    </xdr:to>
    <xdr:sp macro="" textlink="">
      <xdr:nvSpPr>
        <xdr:cNvPr id="9776" name="OpenSolver660"/>
        <xdr:cNvSpPr/>
      </xdr:nvSpPr>
      <xdr:spPr>
        <a:xfrm>
          <a:off x="47402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558800</xdr:colOff>
      <xdr:row>76</xdr:row>
      <xdr:rowOff>177800</xdr:rowOff>
    </xdr:from>
    <xdr:to>
      <xdr:col>10</xdr:col>
      <xdr:colOff>0</xdr:colOff>
      <xdr:row>138</xdr:row>
      <xdr:rowOff>0</xdr:rowOff>
    </xdr:to>
    <xdr:sp macro="" textlink="">
      <xdr:nvSpPr>
        <xdr:cNvPr id="9777" name="OpenSolver661"/>
        <xdr:cNvSpPr/>
      </xdr:nvSpPr>
      <xdr:spPr>
        <a:xfrm>
          <a:off x="5921375" y="14712950"/>
          <a:ext cx="31750" cy="116332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88900</xdr:rowOff>
    </xdr:from>
    <xdr:to>
      <xdr:col>9</xdr:col>
      <xdr:colOff>558800</xdr:colOff>
      <xdr:row>107</xdr:row>
      <xdr:rowOff>88900</xdr:rowOff>
    </xdr:to>
    <xdr:cxnSp macro="">
      <xdr:nvCxnSpPr>
        <xdr:cNvPr id="9778" name="OpenSolver662"/>
        <xdr:cNvCxnSpPr>
          <a:stCxn id="9776" idx="3"/>
          <a:endCxn id="9777" idx="1"/>
        </xdr:cNvCxnSpPr>
      </xdr:nvCxnSpPr>
      <xdr:spPr>
        <a:xfrm>
          <a:off x="4772025" y="20529550"/>
          <a:ext cx="11493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384175</xdr:colOff>
      <xdr:row>106</xdr:row>
      <xdr:rowOff>152400</xdr:rowOff>
    </xdr:from>
    <xdr:to>
      <xdr:col>9</xdr:col>
      <xdr:colOff>174625</xdr:colOff>
      <xdr:row>108</xdr:row>
      <xdr:rowOff>25400</xdr:rowOff>
    </xdr:to>
    <xdr:sp macro="" textlink="">
      <xdr:nvSpPr>
        <xdr:cNvPr id="9779" name="OpenSolver663"/>
        <xdr:cNvSpPr/>
      </xdr:nvSpPr>
      <xdr:spPr>
        <a:xfrm>
          <a:off x="5156200" y="20402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10</xdr:row>
      <xdr:rowOff>171450</xdr:rowOff>
    </xdr:from>
    <xdr:to>
      <xdr:col>8</xdr:col>
      <xdr:colOff>0</xdr:colOff>
      <xdr:row>72</xdr:row>
      <xdr:rowOff>0</xdr:rowOff>
    </xdr:to>
    <xdr:sp macro="" textlink="">
      <xdr:nvSpPr>
        <xdr:cNvPr id="9780" name="OpenSolver664"/>
        <xdr:cNvSpPr/>
      </xdr:nvSpPr>
      <xdr:spPr>
        <a:xfrm>
          <a:off x="47529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571500</xdr:colOff>
      <xdr:row>10</xdr:row>
      <xdr:rowOff>171450</xdr:rowOff>
    </xdr:from>
    <xdr:to>
      <xdr:col>10</xdr:col>
      <xdr:colOff>0</xdr:colOff>
      <xdr:row>72</xdr:row>
      <xdr:rowOff>0</xdr:rowOff>
    </xdr:to>
    <xdr:sp macro="" textlink="">
      <xdr:nvSpPr>
        <xdr:cNvPr id="9781" name="OpenSolver665"/>
        <xdr:cNvSpPr/>
      </xdr:nvSpPr>
      <xdr:spPr>
        <a:xfrm>
          <a:off x="5934075" y="2133600"/>
          <a:ext cx="19050" cy="1163955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85725</xdr:rowOff>
    </xdr:from>
    <xdr:to>
      <xdr:col>9</xdr:col>
      <xdr:colOff>571500</xdr:colOff>
      <xdr:row>41</xdr:row>
      <xdr:rowOff>85725</xdr:rowOff>
    </xdr:to>
    <xdr:cxnSp macro="">
      <xdr:nvCxnSpPr>
        <xdr:cNvPr id="9782" name="OpenSolver666"/>
        <xdr:cNvCxnSpPr>
          <a:stCxn id="9780" idx="3"/>
          <a:endCxn id="9781" idx="1"/>
        </xdr:cNvCxnSpPr>
      </xdr:nvCxnSpPr>
      <xdr:spPr>
        <a:xfrm>
          <a:off x="4772025" y="7953375"/>
          <a:ext cx="11620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40</xdr:row>
      <xdr:rowOff>149225</xdr:rowOff>
    </xdr:from>
    <xdr:to>
      <xdr:col>9</xdr:col>
      <xdr:colOff>180975</xdr:colOff>
      <xdr:row>42</xdr:row>
      <xdr:rowOff>22225</xdr:rowOff>
    </xdr:to>
    <xdr:sp macro="" textlink="">
      <xdr:nvSpPr>
        <xdr:cNvPr id="9783" name="OpenSolver667"/>
        <xdr:cNvSpPr/>
      </xdr:nvSpPr>
      <xdr:spPr>
        <a:xfrm>
          <a:off x="51625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571500</xdr:colOff>
      <xdr:row>77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784" name="OpenSolver668"/>
        <xdr:cNvSpPr/>
      </xdr:nvSpPr>
      <xdr:spPr>
        <a:xfrm>
          <a:off x="47529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571500</xdr:colOff>
      <xdr:row>77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785" name="OpenSolver669"/>
        <xdr:cNvSpPr/>
      </xdr:nvSpPr>
      <xdr:spPr>
        <a:xfrm>
          <a:off x="5934075" y="14725650"/>
          <a:ext cx="19050" cy="1162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571500</xdr:colOff>
      <xdr:row>107</xdr:row>
      <xdr:rowOff>95250</xdr:rowOff>
    </xdr:to>
    <xdr:cxnSp macro="">
      <xdr:nvCxnSpPr>
        <xdr:cNvPr id="9786" name="OpenSolver670"/>
        <xdr:cNvCxnSpPr>
          <a:stCxn id="9784" idx="3"/>
          <a:endCxn id="9785" idx="1"/>
        </xdr:cNvCxnSpPr>
      </xdr:nvCxnSpPr>
      <xdr:spPr>
        <a:xfrm>
          <a:off x="4772025" y="20535900"/>
          <a:ext cx="11620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390525</xdr:colOff>
      <xdr:row>106</xdr:row>
      <xdr:rowOff>158750</xdr:rowOff>
    </xdr:from>
    <xdr:to>
      <xdr:col>9</xdr:col>
      <xdr:colOff>180975</xdr:colOff>
      <xdr:row>108</xdr:row>
      <xdr:rowOff>31750</xdr:rowOff>
    </xdr:to>
    <xdr:sp macro="" textlink="">
      <xdr:nvSpPr>
        <xdr:cNvPr id="9787" name="OpenSolver671"/>
        <xdr:cNvSpPr/>
      </xdr:nvSpPr>
      <xdr:spPr>
        <a:xfrm>
          <a:off x="5162550" y="20408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10</xdr:row>
      <xdr:rowOff>184150</xdr:rowOff>
    </xdr:from>
    <xdr:to>
      <xdr:col>8</xdr:col>
      <xdr:colOff>0</xdr:colOff>
      <xdr:row>72</xdr:row>
      <xdr:rowOff>0</xdr:rowOff>
    </xdr:to>
    <xdr:sp macro="" textlink="">
      <xdr:nvSpPr>
        <xdr:cNvPr id="9788" name="OpenSolver672"/>
        <xdr:cNvSpPr/>
      </xdr:nvSpPr>
      <xdr:spPr>
        <a:xfrm>
          <a:off x="47656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584200</xdr:colOff>
      <xdr:row>10</xdr:row>
      <xdr:rowOff>184150</xdr:rowOff>
    </xdr:from>
    <xdr:to>
      <xdr:col>10</xdr:col>
      <xdr:colOff>0</xdr:colOff>
      <xdr:row>72</xdr:row>
      <xdr:rowOff>0</xdr:rowOff>
    </xdr:to>
    <xdr:sp macro="" textlink="">
      <xdr:nvSpPr>
        <xdr:cNvPr id="9789" name="OpenSolver673"/>
        <xdr:cNvSpPr/>
      </xdr:nvSpPr>
      <xdr:spPr>
        <a:xfrm>
          <a:off x="5946775" y="2146300"/>
          <a:ext cx="6350" cy="1162685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92075</xdr:rowOff>
    </xdr:from>
    <xdr:to>
      <xdr:col>9</xdr:col>
      <xdr:colOff>584200</xdr:colOff>
      <xdr:row>41</xdr:row>
      <xdr:rowOff>92075</xdr:rowOff>
    </xdr:to>
    <xdr:cxnSp macro="">
      <xdr:nvCxnSpPr>
        <xdr:cNvPr id="9790" name="OpenSolver674"/>
        <xdr:cNvCxnSpPr>
          <a:stCxn id="9788" idx="3"/>
          <a:endCxn id="9789" idx="1"/>
        </xdr:cNvCxnSpPr>
      </xdr:nvCxnSpPr>
      <xdr:spPr>
        <a:xfrm>
          <a:off x="4772025" y="7959725"/>
          <a:ext cx="11747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40</xdr:row>
      <xdr:rowOff>155575</xdr:rowOff>
    </xdr:from>
    <xdr:to>
      <xdr:col>9</xdr:col>
      <xdr:colOff>187325</xdr:colOff>
      <xdr:row>42</xdr:row>
      <xdr:rowOff>28575</xdr:rowOff>
    </xdr:to>
    <xdr:sp macro="" textlink="">
      <xdr:nvSpPr>
        <xdr:cNvPr id="9791" name="OpenSolver675"/>
        <xdr:cNvSpPr/>
      </xdr:nvSpPr>
      <xdr:spPr>
        <a:xfrm>
          <a:off x="5168900" y="78327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584200</xdr:colOff>
      <xdr:row>77</xdr:row>
      <xdr:rowOff>12700</xdr:rowOff>
    </xdr:from>
    <xdr:to>
      <xdr:col>8</xdr:col>
      <xdr:colOff>0</xdr:colOff>
      <xdr:row>138</xdr:row>
      <xdr:rowOff>0</xdr:rowOff>
    </xdr:to>
    <xdr:sp macro="" textlink="">
      <xdr:nvSpPr>
        <xdr:cNvPr id="9792" name="OpenSolver676"/>
        <xdr:cNvSpPr/>
      </xdr:nvSpPr>
      <xdr:spPr>
        <a:xfrm>
          <a:off x="47656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584200</xdr:colOff>
      <xdr:row>77</xdr:row>
      <xdr:rowOff>12700</xdr:rowOff>
    </xdr:from>
    <xdr:to>
      <xdr:col>10</xdr:col>
      <xdr:colOff>0</xdr:colOff>
      <xdr:row>138</xdr:row>
      <xdr:rowOff>0</xdr:rowOff>
    </xdr:to>
    <xdr:sp macro="" textlink="">
      <xdr:nvSpPr>
        <xdr:cNvPr id="9793" name="OpenSolver677"/>
        <xdr:cNvSpPr/>
      </xdr:nvSpPr>
      <xdr:spPr>
        <a:xfrm>
          <a:off x="5946775" y="14738350"/>
          <a:ext cx="6350" cy="1160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101600</xdr:rowOff>
    </xdr:from>
    <xdr:to>
      <xdr:col>9</xdr:col>
      <xdr:colOff>584200</xdr:colOff>
      <xdr:row>107</xdr:row>
      <xdr:rowOff>101600</xdr:rowOff>
    </xdr:to>
    <xdr:cxnSp macro="">
      <xdr:nvCxnSpPr>
        <xdr:cNvPr id="9794" name="OpenSolver678"/>
        <xdr:cNvCxnSpPr>
          <a:stCxn id="9792" idx="3"/>
          <a:endCxn id="9793" idx="1"/>
        </xdr:cNvCxnSpPr>
      </xdr:nvCxnSpPr>
      <xdr:spPr>
        <a:xfrm>
          <a:off x="4772025" y="20542250"/>
          <a:ext cx="11747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396875</xdr:colOff>
      <xdr:row>106</xdr:row>
      <xdr:rowOff>165100</xdr:rowOff>
    </xdr:from>
    <xdr:to>
      <xdr:col>9</xdr:col>
      <xdr:colOff>187325</xdr:colOff>
      <xdr:row>108</xdr:row>
      <xdr:rowOff>38100</xdr:rowOff>
    </xdr:to>
    <xdr:sp macro="" textlink="">
      <xdr:nvSpPr>
        <xdr:cNvPr id="9795" name="OpenSolver679"/>
        <xdr:cNvSpPr/>
      </xdr:nvSpPr>
      <xdr:spPr>
        <a:xfrm>
          <a:off x="5168900" y="20415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/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/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/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/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/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/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/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/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/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/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/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/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/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/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/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/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/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/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/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/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/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54" name="OpenSolver1"/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55" name="OpenSolver2"/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56" name="OpenSolver3"/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7" name="OpenSolver4"/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58" name="OpenSolver5"/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59" name="OpenSolver6"/>
        <xdr:cNvCxnSpPr>
          <a:stCxn id="57" idx="3"/>
          <a:endCxn id="58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60" name="OpenSolver7"/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61" name="OpenSolver8"/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62" name="OpenSolver9"/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63" name="OpenSolver10"/>
        <xdr:cNvCxnSpPr>
          <a:stCxn id="61" idx="3"/>
          <a:endCxn id="62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64" name="OpenSolver11"/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65" name="OpenSolver12"/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66" name="OpenSolver13"/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67" name="OpenSolver14"/>
        <xdr:cNvCxnSpPr>
          <a:stCxn id="65" idx="3"/>
          <a:endCxn id="66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68" name="OpenSolver15"/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69" name="OpenSolver16"/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70" name="OpenSolver17"/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71" name="OpenSolver18"/>
        <xdr:cNvCxnSpPr>
          <a:stCxn id="69" idx="3"/>
          <a:endCxn id="70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72" name="OpenSolver19"/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73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74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75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76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77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7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7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8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81" name="OpenSolver28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82" name="OpenSolver29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83" name="OpenSolver30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84" name="OpenSolver31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5" name="OpenSolver32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86" name="OpenSolver33"/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87" name="OpenSolver34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88" name="OpenSolver35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89" name="OpenSolver36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0" name="OpenSolver37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91" name="OpenSolver38"/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92" name="OpenSolver39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93" name="OpenSolver40"/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4" name="OpenSolver41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95" name="OpenSolver42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96" name="OpenSolver43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97" name="OpenSolver44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98" name="OpenSolver45"/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99" name="OpenSolver46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100" name="OpenSolver47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101" name="OpenSolver48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102" name="OpenSolver49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103" name="OpenSolver50"/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4" name="OpenSolver51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105" name="OpenSolver52"/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/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/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/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/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/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/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/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/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/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/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2" name="OpenSolver1"/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3" name="OpenSolver2"/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4" name="OpenSolver3"/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27" name="OpenSolver1"/>
        <xdr:cNvSpPr/>
      </xdr:nvSpPr>
      <xdr:spPr>
        <a:xfrm>
          <a:off x="1885950" y="1190625"/>
          <a:ext cx="466725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28" name="OpenSolver2"/>
        <xdr:cNvSpPr/>
      </xdr:nvSpPr>
      <xdr:spPr>
        <a:xfrm>
          <a:off x="3038475" y="2733675"/>
          <a:ext cx="6858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669925</xdr:colOff>
      <xdr:row>13</xdr:row>
      <xdr:rowOff>111125</xdr:rowOff>
    </xdr:from>
    <xdr:to>
      <xdr:col>5</xdr:col>
      <xdr:colOff>215214</xdr:colOff>
      <xdr:row>14</xdr:row>
      <xdr:rowOff>47625</xdr:rowOff>
    </xdr:to>
    <xdr:sp macro="" textlink="">
      <xdr:nvSpPr>
        <xdr:cNvPr id="29" name="OpenSolver3"/>
        <xdr:cNvSpPr/>
      </xdr:nvSpPr>
      <xdr:spPr>
        <a:xfrm>
          <a:off x="3022600" y="2654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0" name="OpenSolverD7"/>
        <xdr:cNvSpPr/>
      </xdr:nvSpPr>
      <xdr:spPr>
        <a:xfrm>
          <a:off x="1885950" y="1190625"/>
          <a:ext cx="4667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1" name="OpenSolverD8"/>
        <xdr:cNvSpPr/>
      </xdr:nvSpPr>
      <xdr:spPr>
        <a:xfrm>
          <a:off x="1885950" y="1381125"/>
          <a:ext cx="4667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2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4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7" name="OpenSolver6"/>
        <xdr:cNvCxnSpPr>
          <a:stCxn id="5" idx="3"/>
          <a:endCxn id="6" idx="1"/>
        </xdr:cNvCxnSpPr>
      </xdr:nvCxnSpPr>
      <xdr:spPr>
        <a:xfrm>
          <a:off x="228600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8" name="OpenSolver7"/>
        <xdr:cNvSpPr/>
      </xdr:nvSpPr>
      <xdr:spPr>
        <a:xfrm>
          <a:off x="219551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11" name="OpenSolver10"/>
        <xdr:cNvCxnSpPr>
          <a:stCxn id="9" idx="3"/>
          <a:endCxn id="10" idx="1"/>
        </xdr:cNvCxnSpPr>
      </xdr:nvCxnSpPr>
      <xdr:spPr>
        <a:xfrm>
          <a:off x="228600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12" name="OpenSolver11"/>
        <xdr:cNvSpPr/>
      </xdr:nvSpPr>
      <xdr:spPr>
        <a:xfrm>
          <a:off x="219551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15" name="OpenSolver14"/>
        <xdr:cNvCxnSpPr>
          <a:stCxn id="13" idx="3"/>
          <a:endCxn id="14" idx="1"/>
        </xdr:cNvCxnSpPr>
      </xdr:nvCxnSpPr>
      <xdr:spPr>
        <a:xfrm>
          <a:off x="228600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471488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16" name="OpenSolver15"/>
        <xdr:cNvSpPr/>
      </xdr:nvSpPr>
      <xdr:spPr>
        <a:xfrm>
          <a:off x="219551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7" name="OpenSolverM15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12≥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0</xdr:colOff>
      <xdr:row>11</xdr:row>
      <xdr:rowOff>95250</xdr:rowOff>
    </xdr:to>
    <xdr:cxnSp macro="">
      <xdr:nvCxnSpPr>
        <xdr:cNvPr id="20" name="OpenSolver19"/>
        <xdr:cNvCxnSpPr>
          <a:stCxn id="18" idx="3"/>
          <a:endCxn id="19" idx="1"/>
        </xdr:cNvCxnSpPr>
      </xdr:nvCxnSpPr>
      <xdr:spPr>
        <a:xfrm>
          <a:off x="4333875" y="2190750"/>
          <a:ext cx="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276225</xdr:colOff>
      <xdr:row>10</xdr:row>
      <xdr:rowOff>158750</xdr:rowOff>
    </xdr:from>
    <xdr:to>
      <xdr:col>13</xdr:col>
      <xdr:colOff>190500</xdr:colOff>
      <xdr:row>12</xdr:row>
      <xdr:rowOff>31750</xdr:rowOff>
    </xdr:to>
    <xdr:sp macro="" textlink="">
      <xdr:nvSpPr>
        <xdr:cNvPr id="21" name="OpenSolver20"/>
        <xdr:cNvSpPr/>
      </xdr:nvSpPr>
      <xdr:spPr>
        <a:xfrm>
          <a:off x="4143375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22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0</xdr:colOff>
      <xdr:row>12</xdr:row>
      <xdr:rowOff>0</xdr:rowOff>
    </xdr:to>
    <xdr:sp macro="" textlink="">
      <xdr:nvSpPr>
        <xdr:cNvPr id="23" name="OpenSolver22"/>
        <xdr:cNvSpPr/>
      </xdr:nvSpPr>
      <xdr:spPr>
        <a:xfrm>
          <a:off x="3879850" y="2108200"/>
          <a:ext cx="454025" cy="1778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101600</xdr:rowOff>
    </xdr:to>
    <xdr:cxnSp macro="">
      <xdr:nvCxnSpPr>
        <xdr:cNvPr id="24" name="OpenSolver23"/>
        <xdr:cNvCxnSpPr>
          <a:stCxn id="22" idx="3"/>
          <a:endCxn id="23" idx="1"/>
        </xdr:cNvCxnSpPr>
      </xdr:nvCxnSpPr>
      <xdr:spPr>
        <a:xfrm>
          <a:off x="3867150" y="2190750"/>
          <a:ext cx="12700" cy="63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161925</xdr:rowOff>
    </xdr:from>
    <xdr:to>
      <xdr:col>12</xdr:col>
      <xdr:colOff>196850</xdr:colOff>
      <xdr:row>12</xdr:row>
      <xdr:rowOff>34925</xdr:rowOff>
    </xdr:to>
    <xdr:sp macro="" textlink="">
      <xdr:nvSpPr>
        <xdr:cNvPr id="25" name="OpenSolver24"/>
        <xdr:cNvSpPr/>
      </xdr:nvSpPr>
      <xdr:spPr>
        <a:xfrm>
          <a:off x="3683000" y="20669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26" name="OpenSolverM17:M18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2≤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0</xdr:colOff>
      <xdr:row>9</xdr:row>
      <xdr:rowOff>0</xdr:rowOff>
    </xdr:to>
    <xdr:sp macro="" textlink="">
      <xdr:nvSpPr>
        <xdr:cNvPr id="27" name="OpenSolver26"/>
        <xdr:cNvSpPr/>
      </xdr:nvSpPr>
      <xdr:spPr>
        <a:xfrm>
          <a:off x="3413125" y="1536700"/>
          <a:ext cx="1387475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28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239713</xdr:colOff>
      <xdr:row>9</xdr:row>
      <xdr:rowOff>0</xdr:rowOff>
    </xdr:to>
    <xdr:cxnSp macro="">
      <xdr:nvCxnSpPr>
        <xdr:cNvPr id="29" name="OpenSolver28"/>
        <xdr:cNvCxnSpPr>
          <a:stCxn id="27" idx="2"/>
          <a:endCxn id="28" idx="0"/>
        </xdr:cNvCxnSpPr>
      </xdr:nvCxnSpPr>
      <xdr:spPr>
        <a:xfrm flipH="1">
          <a:off x="4100513" y="1714500"/>
          <a:ext cx="63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46038</xdr:colOff>
      <xdr:row>8</xdr:row>
      <xdr:rowOff>63500</xdr:rowOff>
    </xdr:from>
    <xdr:to>
      <xdr:col>12</xdr:col>
      <xdr:colOff>427038</xdr:colOff>
      <xdr:row>9</xdr:row>
      <xdr:rowOff>127000</xdr:rowOff>
    </xdr:to>
    <xdr:sp macro="" textlink="">
      <xdr:nvSpPr>
        <xdr:cNvPr id="30" name="OpenSolver29"/>
        <xdr:cNvSpPr/>
      </xdr:nvSpPr>
      <xdr:spPr>
        <a:xfrm>
          <a:off x="3913188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" name="OpenSolver1"/>
        <xdr:cNvSpPr/>
      </xdr:nvSpPr>
      <xdr:spPr>
        <a:xfrm>
          <a:off x="228600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838200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4" name="OpenSolver3"/>
        <xdr:cNvSpPr/>
      </xdr:nvSpPr>
      <xdr:spPr>
        <a:xfrm>
          <a:off x="8382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596900</xdr:colOff>
      <xdr:row>7</xdr:row>
      <xdr:rowOff>114300</xdr:rowOff>
    </xdr:from>
    <xdr:to>
      <xdr:col>2</xdr:col>
      <xdr:colOff>218389</xdr:colOff>
      <xdr:row>8</xdr:row>
      <xdr:rowOff>50800</xdr:rowOff>
    </xdr:to>
    <xdr:sp macro="" textlink="">
      <xdr:nvSpPr>
        <xdr:cNvPr id="5" name="OpenSolver4"/>
        <xdr:cNvSpPr/>
      </xdr:nvSpPr>
      <xdr:spPr>
        <a:xfrm>
          <a:off x="8255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6" name="OpenSolver5"/>
        <xdr:cNvSpPr/>
      </xdr:nvSpPr>
      <xdr:spPr>
        <a:xfrm>
          <a:off x="2286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7" name="OpenSolver6"/>
        <xdr:cNvSpPr/>
      </xdr:nvSpPr>
      <xdr:spPr>
        <a:xfrm>
          <a:off x="1447800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8" name="OpenSolver7"/>
        <xdr:cNvCxnSpPr>
          <a:stCxn id="6" idx="3"/>
          <a:endCxn id="7" idx="1"/>
        </xdr:cNvCxnSpPr>
      </xdr:nvCxnSpPr>
      <xdr:spPr>
        <a:xfrm>
          <a:off x="838200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9" name="OpenSolver8"/>
        <xdr:cNvSpPr/>
      </xdr:nvSpPr>
      <xdr:spPr>
        <a:xfrm>
          <a:off x="952500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10" name="OpenSolver9"/>
        <xdr:cNvSpPr/>
      </xdr:nvSpPr>
      <xdr:spPr>
        <a:xfrm>
          <a:off x="228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11" name="OpenSolver10"/>
        <xdr:cNvSpPr/>
      </xdr:nvSpPr>
      <xdr:spPr>
        <a:xfrm>
          <a:off x="1447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12" name="OpenSolver11"/>
        <xdr:cNvCxnSpPr>
          <a:stCxn id="10" idx="3"/>
          <a:endCxn id="11" idx="1"/>
        </xdr:cNvCxnSpPr>
      </xdr:nvCxnSpPr>
      <xdr:spPr>
        <a:xfrm>
          <a:off x="838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13" name="OpenSolver12"/>
        <xdr:cNvSpPr/>
      </xdr:nvSpPr>
      <xdr:spPr>
        <a:xfrm>
          <a:off x="952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14" name="OpenSolver13"/>
        <xdr:cNvSpPr/>
      </xdr:nvSpPr>
      <xdr:spPr>
        <a:xfrm>
          <a:off x="2286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15" name="OpenSolver14"/>
        <xdr:cNvSpPr/>
      </xdr:nvSpPr>
      <xdr:spPr>
        <a:xfrm>
          <a:off x="1447800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16" name="OpenSolver15"/>
        <xdr:cNvCxnSpPr>
          <a:stCxn id="14" idx="3"/>
          <a:endCxn id="15" idx="1"/>
        </xdr:cNvCxnSpPr>
      </xdr:nvCxnSpPr>
      <xdr:spPr>
        <a:xfrm>
          <a:off x="838200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17" name="OpenSolver16"/>
        <xdr:cNvSpPr/>
      </xdr:nvSpPr>
      <xdr:spPr>
        <a:xfrm>
          <a:off x="952500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18" name="OpenSolver17"/>
        <xdr:cNvSpPr/>
      </xdr:nvSpPr>
      <xdr:spPr>
        <a:xfrm>
          <a:off x="1447800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19" name="OpenSolver18"/>
        <xdr:cNvSpPr/>
      </xdr:nvSpPr>
      <xdr:spPr>
        <a:xfrm>
          <a:off x="1447800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20" name="OpenSolver19"/>
        <xdr:cNvCxnSpPr>
          <a:stCxn id="18" idx="2"/>
          <a:endCxn id="19" idx="0"/>
        </xdr:cNvCxnSpPr>
      </xdr:nvCxnSpPr>
      <xdr:spPr>
        <a:xfrm>
          <a:off x="1752600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21" name="OpenSolver20"/>
        <xdr:cNvSpPr/>
      </xdr:nvSpPr>
      <xdr:spPr>
        <a:xfrm>
          <a:off x="1562100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12700</xdr:colOff>
      <xdr:row>27</xdr:row>
      <xdr:rowOff>12700</xdr:rowOff>
    </xdr:from>
    <xdr:to>
      <xdr:col>1</xdr:col>
      <xdr:colOff>64830</xdr:colOff>
      <xdr:row>27</xdr:row>
      <xdr:rowOff>127000</xdr:rowOff>
    </xdr:to>
    <xdr:sp macro="" textlink="">
      <xdr:nvSpPr>
        <xdr:cNvPr id="22" name="OpenSolver21"/>
        <xdr:cNvSpPr/>
      </xdr:nvSpPr>
      <xdr:spPr>
        <a:xfrm>
          <a:off x="2413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12700</xdr:colOff>
      <xdr:row>27</xdr:row>
      <xdr:rowOff>12700</xdr:rowOff>
    </xdr:from>
    <xdr:to>
      <xdr:col>2</xdr:col>
      <xdr:colOff>64830</xdr:colOff>
      <xdr:row>27</xdr:row>
      <xdr:rowOff>127000</xdr:rowOff>
    </xdr:to>
    <xdr:sp macro="" textlink="">
      <xdr:nvSpPr>
        <xdr:cNvPr id="23" name="OpenSolver22"/>
        <xdr:cNvSpPr/>
      </xdr:nvSpPr>
      <xdr:spPr>
        <a:xfrm>
          <a:off x="8509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12700</xdr:rowOff>
    </xdr:from>
    <xdr:to>
      <xdr:col>3</xdr:col>
      <xdr:colOff>64830</xdr:colOff>
      <xdr:row>27</xdr:row>
      <xdr:rowOff>127000</xdr:rowOff>
    </xdr:to>
    <xdr:sp macro="" textlink="">
      <xdr:nvSpPr>
        <xdr:cNvPr id="24" name="OpenSolver23"/>
        <xdr:cNvSpPr/>
      </xdr:nvSpPr>
      <xdr:spPr>
        <a:xfrm>
          <a:off x="14605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Data"/>
  <dimension ref="A1:H7"/>
  <sheetViews>
    <sheetView workbookViewId="0">
      <selection activeCell="K13" sqref="K13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1814"/>
  <sheetViews>
    <sheetView workbookViewId="0">
      <selection activeCell="I19" sqref="I19"/>
    </sheetView>
  </sheetViews>
  <sheetFormatPr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zResults"/>
  <dimension ref="A1:S72"/>
  <sheetViews>
    <sheetView tabSelected="1" topLeftCell="A16" zoomScale="85" zoomScaleNormal="85" zoomScalePageLayoutView="85" workbookViewId="0">
      <selection activeCell="K38" sqref="K38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84" t="s">
        <v>318</v>
      </c>
      <c r="D1" s="184"/>
      <c r="E1" s="184"/>
      <c r="F1" s="184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312</v>
      </c>
      <c r="F2" s="149" t="s">
        <v>306</v>
      </c>
      <c r="G2" s="149" t="s">
        <v>196</v>
      </c>
      <c r="H2" s="149" t="s">
        <v>232</v>
      </c>
      <c r="I2" s="149" t="s">
        <v>231</v>
      </c>
    </row>
    <row r="3" spans="1:19" x14ac:dyDescent="0.25">
      <c r="A3" s="155" t="str">
        <f>HYPERLINK("[OpenSolver Tester.xlsm]'SimpleLP'!A1", "SimpleLP")</f>
        <v>SimpleLP</v>
      </c>
    </row>
    <row r="4" spans="1:19" x14ac:dyDescent="0.25">
      <c r="A4" s="155" t="str">
        <f>HYPERLINK("[OpenSolver Tester.xlsm]'SimpleIP'!A1", "SimpleIP")</f>
        <v>SimpleIP</v>
      </c>
    </row>
    <row r="5" spans="1:19" x14ac:dyDescent="0.25">
      <c r="A5" s="155" t="str">
        <f>HYPERLINK("[OpenSolver Tester.xlsm]'IP_SUMIF'!A1", "IP_SUMIF")</f>
        <v>IP_SUMIF</v>
      </c>
      <c r="H5"/>
    </row>
    <row r="6" spans="1:19" x14ac:dyDescent="0.25">
      <c r="A6" s="155" t="str">
        <f>HYPERLINK("[OpenSolver Tester.xlsm]'OverlappingVars'!A1", "OverlappingVars")</f>
        <v>OverlappingVars</v>
      </c>
      <c r="C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H7"/>
    </row>
    <row r="8" spans="1:19" x14ac:dyDescent="0.25">
      <c r="A8" s="155" t="str">
        <f>HYPERLINK("[OpenSolver Tester.xlsm]'BlankLHS'!A1", "BlankLHS")</f>
        <v>BlankLHS</v>
      </c>
      <c r="H8"/>
    </row>
    <row r="9" spans="1:19" x14ac:dyDescent="0.25">
      <c r="A9" s="155" t="str">
        <f>HYPERLINK("[OpenSolver Tester.xlsm]'TextRHS'!A1", "TextRHS")</f>
        <v>TextRHS</v>
      </c>
      <c r="H9"/>
    </row>
    <row r="10" spans="1:19" x14ac:dyDescent="0.25">
      <c r="A10" s="155" t="str">
        <f>HYPERLINK("[OpenSolver Tester.xlsm]'ErrorRHS'!A1", "ErrorRHS")</f>
        <v>ErrorRHS</v>
      </c>
    </row>
    <row r="11" spans="1:19" x14ac:dyDescent="0.25">
      <c r="A11" s="155" t="str">
        <f>HYPERLINK("[OpenSolver Tester.xlsm]'ErrorLHS'!A1", "ErrorLHS")</f>
        <v>ErrorLHS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</row>
    <row r="17" spans="1:8" x14ac:dyDescent="0.25">
      <c r="A17" s="155" t="str">
        <f>HYPERLINK("[OpenSolver Tester.xlsm]'MergedRHS_OK'!A1", "MergedRHS_OK")</f>
        <v>MergedRHS_OK</v>
      </c>
    </row>
    <row r="18" spans="1:8" x14ac:dyDescent="0.25">
      <c r="A18" s="155" t="str">
        <f>HYPERLINK("[OpenSolver Tester.xlsm]'MergedLHS_OK'!A1", "MergedLHS_OK")</f>
        <v>MergedLHS_OK</v>
      </c>
    </row>
    <row r="19" spans="1:8" x14ac:dyDescent="0.25">
      <c r="A19" s="155" t="str">
        <f>HYPERLINK("[OpenSolver Tester.xlsm]'MergedLHSMultiple_OK'!A1", "MergedLHSMultiple_OK")</f>
        <v>MergedLHSMultiple_OK</v>
      </c>
    </row>
    <row r="20" spans="1:8" x14ac:dyDescent="0.25">
      <c r="A20" s="155" t="str">
        <f>HYPERLINK("[OpenSolver Tester.xlsm]'BinIntOverlap'!A1", "BinIntOverlap")</f>
        <v>BinIntOverlap</v>
      </c>
    </row>
    <row r="21" spans="1:8" x14ac:dyDescent="0.25">
      <c r="A21" s="155" t="str">
        <f>HYPERLINK("[OpenSolver Tester.xlsm]'ConFormula'!A1", "ConFormula")</f>
        <v>ConFormula</v>
      </c>
      <c r="G21" s="59" t="s">
        <v>332</v>
      </c>
      <c r="H21" s="59" t="s">
        <v>332</v>
      </c>
    </row>
    <row r="22" spans="1:8" x14ac:dyDescent="0.25">
      <c r="A22" s="155" t="str">
        <f>HYPERLINK("[OpenSolver Tester.xlsm]'ConFormulaInf'!A1", "ConFormulaInf")</f>
        <v>ConFormulaInf</v>
      </c>
    </row>
    <row r="23" spans="1:8" x14ac:dyDescent="0.25">
      <c r="A23" s="155" t="str">
        <f>HYPERLINK("[OpenSolver Tester.xlsm]'BadName!'!A1", "BadName!")</f>
        <v>BadName!</v>
      </c>
    </row>
    <row r="24" spans="1:8" x14ac:dyDescent="0.25">
      <c r="A24" s="155" t="str">
        <f>HYPERLINK("[OpenSolver Tester.xlsm]'EscapeSheetName(1)+2-1'!A1", "EscapeSheetName(1)+2-1")</f>
        <v>EscapeSheetName(1)+2-1</v>
      </c>
    </row>
    <row r="25" spans="1:8" x14ac:dyDescent="0.25">
      <c r="A25" s="155" t="str">
        <f>HYPERLINK("[OpenSolver Tester.xlsm]'DeletedConRef'!A1", "DeletedConRef")</f>
        <v>DeletedConRef</v>
      </c>
    </row>
    <row r="26" spans="1:8" x14ac:dyDescent="0.25">
      <c r="A26" s="155" t="str">
        <f>HYPERLINK("[OpenSolver Tester.xlsm]'DeletedObjRef'!A1", "DeletedObjRef")</f>
        <v>DeletedObjRef</v>
      </c>
    </row>
    <row r="27" spans="1:8" x14ac:dyDescent="0.25">
      <c r="A27" s="155" t="str">
        <f>HYPERLINK("[OpenSolver Tester.xlsm]'InfConstConstraint'!A1", "InfConstConstraint")</f>
        <v>InfConstConstraint</v>
      </c>
    </row>
    <row r="28" spans="1:8" x14ac:dyDescent="0.25">
      <c r="A28" s="155" t="str">
        <f>HYPERLINK("[OpenSolver Tester.xlsm]'FeasConstConstraint'!A1", "FeasConstConstraint")</f>
        <v>FeasConstConstraint</v>
      </c>
    </row>
    <row r="29" spans="1:8" x14ac:dyDescent="0.25">
      <c r="A29" s="155" t="str">
        <f>HYPERLINK("[OpenSolver Tester.xlsm]'Unbounded'!A1", "Unbounded")</f>
        <v>Unbounded</v>
      </c>
    </row>
    <row r="30" spans="1:8" x14ac:dyDescent="0.25">
      <c r="A30" s="155" t="str">
        <f>HYPERLINK("[OpenSolver Tester.xlsm]'ProtectedSheet'!A1", "ProtectedSheet")</f>
        <v>ProtectedSheet</v>
      </c>
    </row>
    <row r="31" spans="1:8" x14ac:dyDescent="0.25">
      <c r="A31" s="155" t="str">
        <f>HYPERLINK("[OpenSolver Tester.xlsm]'IndirectLBs'!A1", "IndirectLBs")</f>
        <v>IndirectLBs</v>
      </c>
    </row>
    <row r="32" spans="1:8" x14ac:dyDescent="0.25">
      <c r="A32" s="155" t="str">
        <f>HYPERLINK("[OpenSolver Tester.xlsm]'DirectLBs'!A1", "DirectLBs")</f>
        <v>DirectLBs</v>
      </c>
    </row>
    <row r="33" spans="1:7" x14ac:dyDescent="0.25">
      <c r="A33" s="155" t="str">
        <f>HYPERLINK("[OpenSolver Tester.xlsm]'SingleRangeLB'!A1", "SingleRangeLB")</f>
        <v>SingleRangeLB</v>
      </c>
    </row>
    <row r="34" spans="1:7" x14ac:dyDescent="0.25">
      <c r="A34" s="155" t="str">
        <f>HYPERLINK("[OpenSolver Tester.xlsm]'BinLB'!A1", "BinLB")</f>
        <v>BinLB</v>
      </c>
    </row>
    <row r="35" spans="1:7" x14ac:dyDescent="0.25">
      <c r="A35" s="155" t="str">
        <f>HYPERLINK("[OpenSolver Tester.xlsm]'BinIntLB'!A1", "BinIntLB")</f>
        <v>BinIntLB</v>
      </c>
    </row>
    <row r="36" spans="1:7" x14ac:dyDescent="0.25">
      <c r="A36" s="155" t="str">
        <f>HYPERLINK("[OpenSolver Tester.xlsm]'Relaxation'!A1", "Relaxation")</f>
        <v>Relaxation</v>
      </c>
      <c r="G36" s="165"/>
    </row>
    <row r="37" spans="1:7" x14ac:dyDescent="0.25">
      <c r="A37" s="155" t="str">
        <f>HYPERLINK("[OpenSolver Tester.xlsm]'LargeRangeLB'!A1", "LargeRangeLB")</f>
        <v>LargeRangeLB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C38" s="162"/>
    </row>
    <row r="39" spans="1:7" x14ac:dyDescent="0.25">
      <c r="A39" s="155" t="str">
        <f>HYPERLINK("[OpenSolver Tester.xlsm]'OverlapRangeLBwithFormula'!A1", "OverlapRangeLBwithFormula")</f>
        <v>OverlapRangeLBwithFormula</v>
      </c>
    </row>
    <row r="40" spans="1:7" x14ac:dyDescent="0.25">
      <c r="A40" s="155" t="str">
        <f>HYPERLINK("[OpenSolver Tester.xlsm]'ConstFormulaRangeLB'!A1", "ConstFormulaRangeLB")</f>
        <v>ConstFormulaRangeLB</v>
      </c>
    </row>
    <row r="41" spans="1:7" x14ac:dyDescent="0.25">
      <c r="A41" s="155" t="str">
        <f>HYPERLINK("[OpenSolver Tester.xlsm]'VariableFormulaRangeLB'!A1", "VariableFormulaRangeLB")</f>
        <v>VariableFormulaRangeLB</v>
      </c>
    </row>
    <row r="42" spans="1:7" x14ac:dyDescent="0.25">
      <c r="A42" s="155" t="str">
        <f>HYPERLINK("[OpenSolver Tester.xlsm]'ConstraintLB'!A1", "ConstraintLB")</f>
        <v>ConstraintLB</v>
      </c>
    </row>
    <row r="43" spans="1:7" x14ac:dyDescent="0.25">
      <c r="A43" s="155" t="str">
        <f>HYPERLINK("[OpenSolver Tester.xlsm]'ConstantLB'!A1", "ConstantLB")</f>
        <v>ConstantLB</v>
      </c>
    </row>
    <row r="44" spans="1:7" x14ac:dyDescent="0.25">
      <c r="A44" s="155" t="str">
        <f>HYPERLINK("[OpenSolver Tester.xlsm]'FormulaLB'!A1", "FormulaLB")</f>
        <v>FormulaLB</v>
      </c>
    </row>
    <row r="45" spans="1:7" x14ac:dyDescent="0.25">
      <c r="A45" s="155" t="str">
        <f>HYPERLINK("[OpenSolver Tester.xlsm]'VarConstraintLB'!A1", "VarConstraintLB")</f>
        <v>VarConstraintLB</v>
      </c>
    </row>
    <row r="46" spans="1:7" x14ac:dyDescent="0.25">
      <c r="A46" s="155" t="str">
        <f>HYPERLINK("[OpenSolver Tester.xlsm]'FractionalCoeffs'!A1", "FractionalCoeffs")</f>
        <v>FractionalCoeffs</v>
      </c>
    </row>
    <row r="47" spans="1:7" x14ac:dyDescent="0.25">
      <c r="A47" s="155" t="str">
        <f>HYPERLINK("[OpenSolver Tester.xlsm]'ComplexLayout'!A1", "ComplexLayout")</f>
        <v>ComplexLayout</v>
      </c>
    </row>
    <row r="48" spans="1:7" x14ac:dyDescent="0.25">
      <c r="A48" s="155" t="str">
        <f>HYPERLINK("[OpenSolver Tester.xlsm]'InfModel'!A1", "InfModel")</f>
        <v>InfModel</v>
      </c>
    </row>
    <row r="49" spans="1:3" x14ac:dyDescent="0.25">
      <c r="A49" s="155" t="str">
        <f>HYPERLINK("[OpenSolver Tester.xlsm]'IterativeCalc'!A1", "IterativeCalc")</f>
        <v>IterativeCalc</v>
      </c>
    </row>
    <row r="50" spans="1:3" x14ac:dyDescent="0.25">
      <c r="A50" s="155" t="str">
        <f>HYPERLINK("[OpenSolver Tester.xlsm]'NoObj'!A1", "NoObj")</f>
        <v>NoObj</v>
      </c>
    </row>
    <row r="51" spans="1:3" x14ac:dyDescent="0.25">
      <c r="A51" s="155" t="str">
        <f>HYPERLINK("[OpenSolver Tester.xlsm]'SeekObj'!A1", "SeekObj")</f>
        <v>SeekObj</v>
      </c>
    </row>
    <row r="52" spans="1:3" x14ac:dyDescent="0.25">
      <c r="A52" s="155" t="str">
        <f>HYPERLINK("[OpenSolver Tester.xlsm]'SeekObjInf'!A1", "SeekObjInf")</f>
        <v>SeekObjInf</v>
      </c>
    </row>
    <row r="53" spans="1:3" x14ac:dyDescent="0.25">
      <c r="A53" s="155" t="str">
        <f>HYPERLINK("[OpenSolver Tester.xlsm]'DiffSheetObj'!A1", "DiffSheetObj")</f>
        <v>DiffSheetObj</v>
      </c>
    </row>
    <row r="54" spans="1:3" x14ac:dyDescent="0.25">
      <c r="A54" s="155" t="str">
        <f>HYPERLINK("[OpenSolver Tester.xlsm]'NamedRanges'!A1", "NamedRanges")</f>
        <v>NamedRanges</v>
      </c>
    </row>
    <row r="55" spans="1:3" x14ac:dyDescent="0.25">
      <c r="A55" s="155" t="str">
        <f>HYPERLINK("[OpenSolver Tester.xlsm]'QuickSolve'!A1", "QuickSolve")</f>
        <v>QuickSolve</v>
      </c>
    </row>
    <row r="56" spans="1:3" x14ac:dyDescent="0.25">
      <c r="A56" s="155" t="str">
        <f>HYPERLINK("[OpenSolver Tester.xlsm]'SolverParameters'!A1", "SolverParameters")</f>
        <v>SolverParameters</v>
      </c>
    </row>
    <row r="57" spans="1:3" x14ac:dyDescent="0.25">
      <c r="A57" s="155" t="str">
        <f>HYPERLINK("[OpenSolver Tester.xlsm]'Warmstart'!A1", "Warmstart")</f>
        <v>Warmstart</v>
      </c>
      <c r="C57" s="59" t="s">
        <v>332</v>
      </c>
    </row>
    <row r="58" spans="1:3" x14ac:dyDescent="0.25">
      <c r="A58" s="155" t="str">
        <f>HYPERLINK("[OpenSolver Tester.xlsm]'Sensitivity'!A1", "Sensitivity")</f>
        <v>Sensitivity</v>
      </c>
    </row>
    <row r="59" spans="1:3" x14ac:dyDescent="0.25">
      <c r="A59" s="155" t="str">
        <f>HYPERLINK("[OpenSolver Tester.xlsm]'SensitivityNames'!A1", "SensitivityNames")</f>
        <v>SensitivityNames</v>
      </c>
    </row>
    <row r="60" spans="1:3" x14ac:dyDescent="0.25">
      <c r="A60" s="155" t="str">
        <f>HYPERLINK("[OpenSolver Tester.xlsm]'NonLinSimple'!A1", "NonLinSimple")</f>
        <v>NonLinSimple</v>
      </c>
    </row>
    <row r="61" spans="1:3" x14ac:dyDescent="0.25">
      <c r="A61" s="155" t="str">
        <f>HYPERLINK("[OpenSolver Tester.xlsm]'NonLinLarge'!A1", "NonLinLarge")</f>
        <v>NonLinLarge</v>
      </c>
    </row>
    <row r="62" spans="1:3" x14ac:dyDescent="0.25">
      <c r="A62" s="155" t="str">
        <f>HYPERLINK("[OpenSolver Tester.xlsm]'NonLinObj'!A1", "NonLinObj")</f>
        <v>NonLinObj</v>
      </c>
    </row>
    <row r="63" spans="1:3" x14ac:dyDescent="0.25">
      <c r="A63" s="155" t="str">
        <f>HYPERLINK("[OpenSolver Tester.xlsm]'NonLinPruning'!A1", "NonLinPruning")</f>
        <v>NonLinPruning</v>
      </c>
    </row>
    <row r="64" spans="1:3" x14ac:dyDescent="0.25">
      <c r="A64" s="155" t="str">
        <f>HYPERLINK("[OpenSolver Tester.xlsm]'NonLinMinMax'!A1", "NonLinMinMax")</f>
        <v>NonLinMinMax</v>
      </c>
    </row>
    <row r="65" spans="1:8" x14ac:dyDescent="0.25">
      <c r="A65" s="155" t="str">
        <f>HYPERLINK("[OpenSolver Tester.xlsm]'NonLinConstraints'!A1", "NonLinConstraints")</f>
        <v>NonLinConstraints</v>
      </c>
      <c r="H65" s="165"/>
    </row>
    <row r="66" spans="1:8" x14ac:dyDescent="0.25">
      <c r="A66" s="155" t="str">
        <f>HYPERLINK("[OpenSolver Tester.xlsm]'NonLinBinary'!A1", "NonLinBinary")</f>
        <v>NonLinBinary</v>
      </c>
      <c r="G66" s="163"/>
    </row>
    <row r="67" spans="1:8" x14ac:dyDescent="0.25">
      <c r="A67" s="155" t="str">
        <f>HYPERLINK("[OpenSolver Tester.xlsm]'NonLin'!A1", "NonLin")</f>
        <v>NonLin</v>
      </c>
    </row>
    <row r="68" spans="1:8" x14ac:dyDescent="0.25">
      <c r="A68" s="155" t="str">
        <f>HYPERLINK("[OpenSolver Tester.xlsm]'NonLin2'!A1", "NonLin2")</f>
        <v>NonLin2</v>
      </c>
    </row>
    <row r="69" spans="1:8" x14ac:dyDescent="0.25">
      <c r="A69" s="155" t="str">
        <f>HYPERLINK("[OpenSolver Tester.xlsm]'NonLin3'!A1", "NonLin3")</f>
        <v>NonLin3</v>
      </c>
    </row>
    <row r="70" spans="1:8" x14ac:dyDescent="0.25">
      <c r="A70" s="155" t="str">
        <f>HYPERLINK("[OpenSolver Tester.xlsm]'NonLin4'!A1", "NonLin4")</f>
        <v>NonLin4</v>
      </c>
    </row>
    <row r="71" spans="1:8" x14ac:dyDescent="0.25">
      <c r="A71" s="155" t="str">
        <f>HYPERLINK("[OpenSolver Tester.xlsm]'NonLin5'!A1", "NonLin5")</f>
        <v>NonLin5</v>
      </c>
    </row>
    <row r="72" spans="1:8" x14ac:dyDescent="0.25">
      <c r="A72" s="155" t="str">
        <f>HYPERLINK("[OpenSolver Tester.xlsm]'NonLin6'!A1", "NonLin6")</f>
        <v>NonLin6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47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mpleI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425781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P_SUMIF"/>
  <dimension ref="A1:J21"/>
  <sheetViews>
    <sheetView workbookViewId="0">
      <selection activeCell="N6" sqref="N6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9" customWidth="1"/>
    <col min="4" max="4" width="13.7109375" style="178" customWidth="1"/>
    <col min="5" max="5" width="13" style="178" customWidth="1"/>
    <col min="6" max="6" width="5.140625" style="178" customWidth="1"/>
    <col min="7" max="7" width="3.140625" style="178" customWidth="1"/>
    <col min="8" max="8" width="8.425781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1</v>
      </c>
    </row>
    <row r="6" spans="1:10" ht="15.75" thickBot="1" x14ac:dyDescent="0.3">
      <c r="A6" s="63" t="b">
        <f>AND(D17,E17,F17,D21)</f>
        <v>0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0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3</v>
      </c>
      <c r="E10" s="176">
        <f>SUMIF(E5:E7,"=1",D5:D7)</f>
        <v>5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0</v>
      </c>
      <c r="E17" s="8" t="b">
        <f>ABS(E6-E16)/(1+ABS(E16))&lt;=0.000001</f>
        <v>1</v>
      </c>
      <c r="F17" s="8" t="b">
        <f>ABS(E7-F16)/(1+ABS(F16))&lt;=0.000001</f>
        <v>0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0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pingVars"/>
  <dimension ref="A1:J21"/>
  <sheetViews>
    <sheetView workbookViewId="0">
      <selection activeCell="K37" sqref="K37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nkL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RHS"/>
  <dimension ref="A1:L21"/>
  <sheetViews>
    <sheetView workbookViewId="0">
      <selection activeCell="M18" sqref="M18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RHS"/>
  <dimension ref="A1:L21"/>
  <sheetViews>
    <sheetView workbookViewId="0">
      <selection activeCell="O20" sqref="O2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LHS"/>
  <dimension ref="A1:L21"/>
  <sheetViews>
    <sheetView workbookViewId="0">
      <selection activeCell="B1" sqref="B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ext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Subset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5">
        <v>5.2941175999999999</v>
      </c>
      <c r="F5" s="185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85">
        <v>5.2941176470588225</v>
      </c>
      <c r="F5" s="185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VarsBad"/>
  <dimension ref="A1:L22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5">
        <v>2</v>
      </c>
      <c r="D5" s="185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R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42578125" style="1" customWidth="1"/>
    <col min="5" max="5" width="5.140625" style="1" customWidth="1"/>
    <col min="6" max="6" width="7.28515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116.47058823529413</v>
      </c>
      <c r="I10" s="1" t="s">
        <v>8</v>
      </c>
      <c r="J10" s="185">
        <v>150</v>
      </c>
      <c r="K10" s="185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1.8873791418627661E-15</v>
      </c>
      <c r="E5" s="1">
        <v>5.2941176470588225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58.235294117647065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5">
        <f>SUMPRODUCT($D$5:$F$5,D10:F10)</f>
        <v>116.47058823529413</v>
      </c>
      <c r="H10" s="185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rgedLHSMultiple_OK"/>
  <dimension ref="A1:L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5.274805938580519E+286</v>
      </c>
      <c r="E5" s="1">
        <v>5.274805938580519E+286</v>
      </c>
      <c r="F5" s="1">
        <v>5.274805938580519E+286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2.6374029692902598E+287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1.107709247101909E+288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6">
        <v>5</v>
      </c>
      <c r="H10" s="186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6"/>
      <c r="H11" s="186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2.7956471474476749E+288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-4.4408920985006262E-16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8.3970691012126615</v>
      </c>
      <c r="Q4" s="145">
        <v>0</v>
      </c>
      <c r="R4" s="10">
        <v>10.999998579972202</v>
      </c>
      <c r="S4" s="9">
        <f>SUM(Q4:R4)</f>
        <v>10.999998579972202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0.29565217356554974</v>
      </c>
      <c r="J5"/>
      <c r="K5"/>
      <c r="M5" t="s">
        <v>20</v>
      </c>
      <c r="N5">
        <v>0</v>
      </c>
      <c r="Q5" s="4">
        <v>43.999999569969518</v>
      </c>
      <c r="R5" s="5">
        <v>22.000001090028391</v>
      </c>
      <c r="S5" s="4">
        <f>SUM(Q5:R5)</f>
        <v>66.000000659997909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43.999999569969518</v>
      </c>
      <c r="R6" s="10">
        <f>SUM(R4:R5)</f>
        <v>32.999999670000591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721.43093843475435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14.547826082786596</v>
      </c>
      <c r="J9" s="1" t="s">
        <v>8</v>
      </c>
      <c r="K9" s="1">
        <f>61.2345678+2.3*N4-S5</f>
        <v>14.54782607279121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28.799999992007642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115.20000000799236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-9.4608695540975916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28.80000000199809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9.6943122802255677E+293</v>
      </c>
      <c r="Q4" s="145">
        <v>1.6157187133709278E+294</v>
      </c>
      <c r="R4" s="10">
        <v>1.6157187133709278E+294</v>
      </c>
      <c r="S4" s="9">
        <f>SUM(Q4:R4)</f>
        <v>3.2314374267418556E+294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0</v>
      </c>
      <c r="E5" s="1">
        <v>1.0000000000000899</v>
      </c>
      <c r="F5" s="1">
        <v>1.0000000000000719</v>
      </c>
      <c r="G5" s="1">
        <v>1.6157187133709278E+294</v>
      </c>
      <c r="J5"/>
      <c r="K5"/>
      <c r="M5" t="s">
        <v>20</v>
      </c>
      <c r="N5">
        <v>1.6157187133709278E+294</v>
      </c>
      <c r="Q5" s="4">
        <v>1.6157187133709278E+294</v>
      </c>
      <c r="R5" s="5">
        <v>1.6157187133709278E+294</v>
      </c>
      <c r="S5" s="4">
        <f>SUM(Q5:R5)</f>
        <v>3.2314374267418556E+294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3.2314374267418556E+294</v>
      </c>
      <c r="R6" s="10">
        <f>SUM(R4:R5)</f>
        <v>3.2314374267418556E+294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8.7442696767634612E+295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1.9388624560451134E+295</v>
      </c>
      <c r="J9" s="1" t="s">
        <v>8</v>
      </c>
      <c r="K9" s="1">
        <f>61.2345678+2.3*N4-S5</f>
        <v>-1.0017456022899752E+294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3.7161530407531339E+295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-3.7161530407531339E+295</v>
      </c>
      <c r="Q11" t="s">
        <v>22</v>
      </c>
    </row>
    <row r="12" spans="1:21" x14ac:dyDescent="0.25">
      <c r="G12" s="1">
        <v>-32</v>
      </c>
      <c r="I12" s="16">
        <f>SUMPRODUCT($D$5:$G$5,D12:G12)</f>
        <v>-5.170299882786969E+295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dName"/>
  <dimension ref="A1:J22"/>
  <sheetViews>
    <sheetView workbookViewId="0">
      <selection activeCell="N10" sqref="N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32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0"/>
      <c r="C20" s="17" t="s">
        <v>16</v>
      </c>
    </row>
    <row r="21" spans="1:6" s="1" customFormat="1" x14ac:dyDescent="0.25">
      <c r="A21" s="60"/>
      <c r="C21"/>
      <c r="D21" s="1">
        <v>15.882352941176622</v>
      </c>
    </row>
    <row r="22" spans="1:6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scapeSheetName"/>
  <dimension ref="A1:J21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425781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ConRef"/>
  <dimension ref="A1:J21"/>
  <sheetViews>
    <sheetView workbookViewId="0">
      <selection activeCell="N4" sqref="N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letedObjRef"/>
  <dimension ref="A1:J21"/>
  <sheetViews>
    <sheetView workbookViewId="0">
      <selection activeCell="P7" sqref="P7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5.274805938580519E+286</v>
      </c>
      <c r="E4" s="1">
        <v>5.274805938580519E+286</v>
      </c>
      <c r="F4" s="1">
        <v>5.274805938580519E+286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4.7473253447224677E+287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1.7406859597315713E+288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3.4813719194631425E+288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1.0549611877161038E+288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asConstConstraint"/>
  <dimension ref="A1:N21"/>
  <sheetViews>
    <sheetView workbookViewId="0">
      <selection activeCell="P9" sqref="P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425781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9.6462802938638397E+18</v>
      </c>
      <c r="E4" s="167">
        <v>-9.4049453590526239E+18</v>
      </c>
      <c r="F4" s="167">
        <v>-4.2652755195117594E+18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-2.5983377567477228E+19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-5.817490224508158E+19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-1.0243824867678759E+20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9.3764425220753359E+19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16384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tectedSheet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directLBs"/>
  <dimension ref="A1:L23"/>
  <sheetViews>
    <sheetView topLeftCell="A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rectLBs"/>
  <dimension ref="A1:J22"/>
  <sheetViews>
    <sheetView workbookViewId="0">
      <selection activeCell="L19" sqref="L19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ingleRangeLB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LB"/>
  <dimension ref="A1:J23"/>
  <sheetViews>
    <sheetView workbookViewId="0">
      <selection activeCell="K14" sqref="K1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nIntLB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axation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161" customWidth="1"/>
    <col min="5" max="5" width="7.28515625" style="161" customWidth="1"/>
    <col min="6" max="6" width="5.140625" style="161" customWidth="1"/>
    <col min="7" max="7" width="3.140625" style="161" customWidth="1"/>
    <col min="8" max="8" width="8.425781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34">
        <v>-1.9</v>
      </c>
      <c r="E5" s="161">
        <v>-1.8999999999999997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-1.8999999999999997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rgeRangeLB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verlapRangeLBwithFormula"/>
  <dimension ref="A1:J24"/>
  <sheetViews>
    <sheetView workbookViewId="0">
      <selection activeCell="H6" sqref="H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FormulaRangeLB"/>
  <dimension ref="A1:M22"/>
  <sheetViews>
    <sheetView workbookViewId="0">
      <selection activeCell="H5" sqref="H5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iableFormulaRange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raintLB"/>
  <dimension ref="A1:M23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sta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rmulaLB"/>
  <dimension ref="A1:M23"/>
  <sheetViews>
    <sheetView topLeftCell="A4" workbookViewId="0">
      <selection activeCell="H32" sqref="H32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arConstraintLB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ractionalCoeffs"/>
  <dimension ref="A1:I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250.00000100989999</v>
      </c>
      <c r="E2">
        <v>99.999999000066694</v>
      </c>
      <c r="F2">
        <v>-9.9666834785239189E-9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49.999999847020007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plexLayout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6.8545359809223028</v>
      </c>
      <c r="Q3" s="9">
        <v>3.0422880111134106E-9</v>
      </c>
      <c r="R3" s="10">
        <v>10.999998568394588</v>
      </c>
      <c r="S3" s="9">
        <f>SUM(Q3:R3)</f>
        <v>10.999998571436876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-1.2504230539889249E-8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43.999999557279253</v>
      </c>
      <c r="R4" s="5">
        <v>22.000001101852366</v>
      </c>
      <c r="S4" s="4">
        <f>SUM(Q4:R4)</f>
        <v>66.000000659131615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43.999999560321541</v>
      </c>
      <c r="R5" s="10">
        <f>SUM(R3:R4)</f>
        <v>32.99999967024695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712.5356639999851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10.999999874957695</v>
      </c>
      <c r="J8" s="1" t="s">
        <v>8</v>
      </c>
      <c r="K8" s="1">
        <f>61.2345678+2.3*N3-S4</f>
        <v>10.999999896989678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21.999999737411159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fModel"/>
  <dimension ref="A1:J21"/>
  <sheetViews>
    <sheetView workbookViewId="0">
      <selection activeCell="A6" sqref="A6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1.9999999999996527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3.9999999999993054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19.999999999996525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41.99999999999271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41.99999999999271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37.999999999993399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terativeCalc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bj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42578125" style="58" customWidth="1"/>
    <col min="9" max="9" width="3" style="58" bestFit="1" customWidth="1"/>
    <col min="10" max="10" width="6" style="58" customWidth="1"/>
    <col min="14" max="14" width="8.425781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0.166344261963907</v>
      </c>
      <c r="E5" s="58">
        <v>5.2243727263413797</v>
      </c>
      <c r="F5" s="134">
        <v>2.4662927278786384E-2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59.427497736739681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118.99667680816448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117.8621821533403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249.99999999014099</v>
      </c>
      <c r="E2">
        <v>100.000000019719</v>
      </c>
      <c r="F2">
        <v>-9.859618899099587E-9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50.000000000000007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350.0000000000004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100.000000019719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-499.99999999014159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-9.859618899099587E-9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49.999999847020007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ekObjInf"/>
  <dimension ref="A1:O13"/>
  <sheetViews>
    <sheetView topLeftCell="A13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0</v>
      </c>
      <c r="E2">
        <v>350</v>
      </c>
      <c r="F2" s="80">
        <v>0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350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0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iffSheetObj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425781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250.00000100989999</v>
      </c>
      <c r="E2">
        <v>99.999999000066694</v>
      </c>
      <c r="F2" s="80">
        <v>-9.9666834785239189E-9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99.999999000066694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-500.00000202976668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-9.9666834785239189E-9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medRanges"/>
  <dimension ref="A1:K16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ickSolve"/>
  <dimension ref="A1:T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12.380952380952383</v>
      </c>
      <c r="E4" s="1">
        <v>0</v>
      </c>
      <c r="F4" s="1">
        <v>10.869565217391306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4.2443064182195087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250.00000000000006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olverParameters"/>
  <dimension ref="A1:Y24"/>
  <sheetViews>
    <sheetView workbookViewId="0">
      <selection sqref="A1:B1048576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9645964912301.0937</v>
      </c>
      <c r="E13" s="30">
        <v>-7198771929833.7637</v>
      </c>
      <c r="F13" s="30">
        <v>-1921403508775.2239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-9989999999999.9961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-5783684210463.1562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150.0078125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88384561403810.312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179.9765625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0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rmstart"/>
  <dimension ref="A1:UH25"/>
  <sheetViews>
    <sheetView topLeftCell="A4" zoomScale="14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9.42578125" style="83" customWidth="1"/>
    <col min="4" max="4" width="2.28515625" style="83" customWidth="1"/>
    <col min="5" max="550" width="2.140625" style="83" customWidth="1"/>
    <col min="551" max="551" width="2.140625" style="83" bestFit="1" customWidth="1"/>
    <col min="552" max="552" width="4.28515625" style="83" bestFit="1" customWidth="1"/>
    <col min="553" max="553" width="3.28515625" style="83" bestFit="1" customWidth="1"/>
    <col min="554" max="554" width="6.42578125" style="83" bestFit="1" customWidth="1"/>
    <col min="555" max="16384" width="8.85546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0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0</v>
      </c>
      <c r="CH1" s="180">
        <v>0</v>
      </c>
      <c r="CI1" s="180">
        <v>1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1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1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1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0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0</v>
      </c>
      <c r="IZ1" s="180">
        <v>0</v>
      </c>
      <c r="JA1" s="180">
        <v>1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1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1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0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0</v>
      </c>
      <c r="PR1" s="180">
        <v>0</v>
      </c>
      <c r="PS1" s="180">
        <v>1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1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1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0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99.76568219962067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orientation="portrait" horizontalDpi="300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"/>
  <dimension ref="A1:P15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3.9999999600099998</v>
      </c>
      <c r="F4">
        <v>3.0000001199750002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10.000000199960001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nsitivityNames"/>
  <dimension ref="A1:W44"/>
  <sheetViews>
    <sheetView workbookViewId="0">
      <selection activeCell="P15" sqref="P15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100.00000000000001</v>
      </c>
      <c r="E14" s="160">
        <v>99.999999999999957</v>
      </c>
      <c r="F14" s="160">
        <v>0</v>
      </c>
      <c r="G14" s="160">
        <v>0</v>
      </c>
      <c r="H14" s="160">
        <v>0</v>
      </c>
      <c r="I14">
        <f>SUM(D14:H14)</f>
        <v>199.99999999999997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200.00000000000006</v>
      </c>
      <c r="F16" s="160">
        <v>0</v>
      </c>
      <c r="G16" s="160">
        <v>0</v>
      </c>
      <c r="H16" s="160">
        <v>149.99999999999997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100.00000000000001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149.99999999999997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13249.999999999998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Simple"/>
  <dimension ref="A1:L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2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-4.7322420733340912E-7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Large"/>
  <dimension ref="A1:O139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2.6182822510485755</v>
      </c>
      <c r="E3" s="31">
        <v>0</v>
      </c>
      <c r="F3" s="31">
        <v>0</v>
      </c>
      <c r="G3" s="31"/>
      <c r="I3" s="142" t="b">
        <f>ABS(D3-I2)/(1+ABS(I2))&lt;=0.000001</f>
        <v>1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1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27.421607784623983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26.182822510485757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198.94736814129598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198.94736814129598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198.94736814129598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198.94736814129598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198.94736814129598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198.94736814129598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198.94736814129598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198.94736814129598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198.94736814129598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198.94736814129598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198.94736814129598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198.94736814129598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198.94736814129598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198.94736814129598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198.94736814129598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198.94736814129598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198.94736814129598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198.94736814129598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198.94736814129598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198.94736814129598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198.94736814129598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198.94736814129598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198.94736814129598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198.94736814129598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198.94736814129598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198.94736814129598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198.94736814129598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198.94736814129598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198.94736814129598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198.94736814129598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198.94736814129598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198.94736814129598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198.94736814129598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198.94736814129598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198.94736814129598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198.94736814129598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198.94736814129598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198.94736814129598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198.94736814129598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198.94736814129598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198.94736814129598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198.94736814129598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198.94736814129598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198.94736814129598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198.94736814129598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198.94736814129598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198.94736814129598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198.94736814129598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198.94736814129598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198.94736814129598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198.94736814129598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198.94736814129598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198.94736814129598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198.94736814129598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198.94736814129598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198.94736814129598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198.94736814129598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198.94736814129598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198.94736814129598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198.94736814129598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198.94736814129598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198.94736814129598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198.94736814129598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198.94736814129598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179.99999974688686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-1264.6303272564619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198.94736814129598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198.94736814129598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198.94736814129598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198.94736814129598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198.94736814129598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198.94736814129598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198.94736814129598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198.94736814129598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198.94736814129598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198.94736814129598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198.94736814129598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198.94736814129598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198.94736814129598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198.94736814129598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198.94736814129598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198.94736814129598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198.94736814129598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198.94736814129598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198.94736814129598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198.94736814129598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198.94736814129598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198.94736814129598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198.94736814129598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198.94736814129598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198.94736814129598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198.94736814129598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198.94736814129598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198.94736814129598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198.94736814129598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198.94736814129598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198.94736814129598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198.94736814129598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198.94736814129598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198.94736814129598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198.94736814129598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198.94736814129598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198.94736814129598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198.94736814129598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198.94736814129598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198.94736814129598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198.94736814129598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198.94736814129598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198.94736814129598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198.94736814129598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198.94736814129598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198.94736814129598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198.94736814129598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198.94736814129598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198.94736814129598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198.94736814129598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198.94736814129598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198.94736814129598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198.94736814129598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198.94736814129598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198.94736814129598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198.94736814129598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198.94736814129598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198.94736814129598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198.94736814129598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198.94736814129598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198.94736814129598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198.94736814129598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198.94736814129598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198.94736814129598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179.99999974688686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Obj"/>
  <dimension ref="A1:J20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425781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0</v>
      </c>
      <c r="E3" s="1">
        <v>5.2941176432347898</v>
      </c>
      <c r="F3" s="134">
        <v>-4.0630361297644413E-9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252.24913406744437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58.235294026826253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116.47058805771555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116.4705882446152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Pruning"/>
  <dimension ref="A1:O8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28515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29.749907324666335</v>
      </c>
      <c r="E5">
        <v>0.67227126526215586</v>
      </c>
    </row>
    <row r="6" spans="1:15" ht="15.75" thickBot="1" x14ac:dyDescent="0.3">
      <c r="A6" s="63" t="b">
        <f>AND(F22)</f>
        <v>1</v>
      </c>
      <c r="F6">
        <f>D5^2*E5^2</f>
        <v>400.00031354347408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20.000007838585315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30.422178589928492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29.749907324666335</v>
      </c>
      <c r="G10" t="s">
        <v>9</v>
      </c>
      <c r="H10">
        <v>0</v>
      </c>
    </row>
    <row r="11" spans="1:15" x14ac:dyDescent="0.25">
      <c r="F11">
        <f>E5</f>
        <v>0.67227126526215586</v>
      </c>
      <c r="H11">
        <v>0</v>
      </c>
    </row>
    <row r="12" spans="1:15" x14ac:dyDescent="0.25">
      <c r="F12">
        <f>E5*D5+E5+D5</f>
        <v>50.422186428513811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50.422186428513811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50.422186428513811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-10.422170751343177</v>
      </c>
      <c r="G15" t="s">
        <v>8</v>
      </c>
      <c r="H15">
        <v>0</v>
      </c>
      <c r="O15" s="81"/>
    </row>
    <row r="16" spans="1:15" x14ac:dyDescent="0.25">
      <c r="F16">
        <f>E5-D5*E5+D5</f>
        <v>10.422170751343177</v>
      </c>
      <c r="G16" t="s">
        <v>8</v>
      </c>
      <c r="H16">
        <v>60</v>
      </c>
      <c r="O16" s="81"/>
    </row>
    <row r="17" spans="6:15" x14ac:dyDescent="0.25">
      <c r="F17">
        <f>E5-D5+E5*D5</f>
        <v>-9.0776282208188626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1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MinMax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2</v>
      </c>
      <c r="E4">
        <v>0</v>
      </c>
      <c r="F4">
        <v>22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1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Constraints"/>
  <dimension ref="A1:K30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3.1325458964147401</v>
      </c>
      <c r="E5">
        <v>3.1325458964402699</v>
      </c>
      <c r="F5">
        <v>3.1325458964147401</v>
      </c>
      <c r="G5">
        <v>3.1325458967930602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-5.8089919970161539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-44.311742347235082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-31.781558761172271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Binary"/>
  <dimension ref="A1:H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"/>
  <dimension ref="A1:Q4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3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-3.5527136788005009E-15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2"/>
  <dimension ref="A1:H11"/>
  <sheetViews>
    <sheetView workbookViewId="0">
      <selection activeCell="N12" sqref="N12"/>
    </sheetView>
  </sheetViews>
  <sheetFormatPr defaultColWidth="8.85546875" defaultRowHeight="15" x14ac:dyDescent="0.25"/>
  <cols>
    <col min="1" max="1" width="15" style="60" bestFit="1" customWidth="1"/>
    <col min="2" max="2" width="3.425781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1.00000000002003</v>
      </c>
      <c r="D4" s="80">
        <v>1.0000000000401099</v>
      </c>
      <c r="F4">
        <f>100*(D4-C4^2)^2+(1-C4)^2</f>
        <v>4.0144960624077123E-22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1</v>
      </c>
      <c r="C6">
        <v>1</v>
      </c>
      <c r="D6">
        <v>0</v>
      </c>
      <c r="E6">
        <f>SUMPRODUCT(C6:D6,$C$4:$D$4)</f>
        <v>1.00000000002003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3"/>
  <dimension ref="A1:AS81"/>
  <sheetViews>
    <sheetView showGridLines="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28515625" style="83" customWidth="1"/>
    <col min="5" max="5" width="1.42578125" style="83" customWidth="1"/>
    <col min="6" max="7" width="12.140625" style="83" customWidth="1"/>
    <col min="8" max="8" width="1.28515625" style="83" customWidth="1"/>
    <col min="9" max="13" width="8.85546875" style="83"/>
    <col min="14" max="15" width="5.85546875" style="83" customWidth="1"/>
    <col min="16" max="16" width="6.42578125" style="83" customWidth="1"/>
    <col min="17" max="258" width="8.85546875" style="83"/>
    <col min="259" max="259" width="3.7109375" style="83" customWidth="1"/>
    <col min="260" max="260" width="4.28515625" style="83" customWidth="1"/>
    <col min="261" max="261" width="1.42578125" style="83" customWidth="1"/>
    <col min="262" max="263" width="12.140625" style="83" customWidth="1"/>
    <col min="264" max="264" width="1.28515625" style="83" customWidth="1"/>
    <col min="265" max="269" width="8.85546875" style="83"/>
    <col min="270" max="271" width="5.85546875" style="83" customWidth="1"/>
    <col min="272" max="272" width="6.42578125" style="83" customWidth="1"/>
    <col min="273" max="514" width="8.85546875" style="83"/>
    <col min="515" max="515" width="3.7109375" style="83" customWidth="1"/>
    <col min="516" max="516" width="4.28515625" style="83" customWidth="1"/>
    <col min="517" max="517" width="1.42578125" style="83" customWidth="1"/>
    <col min="518" max="519" width="12.140625" style="83" customWidth="1"/>
    <col min="520" max="520" width="1.28515625" style="83" customWidth="1"/>
    <col min="521" max="525" width="8.85546875" style="83"/>
    <col min="526" max="527" width="5.85546875" style="83" customWidth="1"/>
    <col min="528" max="528" width="6.42578125" style="83" customWidth="1"/>
    <col min="529" max="770" width="8.85546875" style="83"/>
    <col min="771" max="771" width="3.7109375" style="83" customWidth="1"/>
    <col min="772" max="772" width="4.28515625" style="83" customWidth="1"/>
    <col min="773" max="773" width="1.42578125" style="83" customWidth="1"/>
    <col min="774" max="775" width="12.140625" style="83" customWidth="1"/>
    <col min="776" max="776" width="1.28515625" style="83" customWidth="1"/>
    <col min="777" max="781" width="8.85546875" style="83"/>
    <col min="782" max="783" width="5.85546875" style="83" customWidth="1"/>
    <col min="784" max="784" width="6.42578125" style="83" customWidth="1"/>
    <col min="785" max="1026" width="8.85546875" style="83"/>
    <col min="1027" max="1027" width="3.7109375" style="83" customWidth="1"/>
    <col min="1028" max="1028" width="4.28515625" style="83" customWidth="1"/>
    <col min="1029" max="1029" width="1.42578125" style="83" customWidth="1"/>
    <col min="1030" max="1031" width="12.140625" style="83" customWidth="1"/>
    <col min="1032" max="1032" width="1.28515625" style="83" customWidth="1"/>
    <col min="1033" max="1037" width="8.85546875" style="83"/>
    <col min="1038" max="1039" width="5.85546875" style="83" customWidth="1"/>
    <col min="1040" max="1040" width="6.42578125" style="83" customWidth="1"/>
    <col min="1041" max="1282" width="8.85546875" style="83"/>
    <col min="1283" max="1283" width="3.7109375" style="83" customWidth="1"/>
    <col min="1284" max="1284" width="4.28515625" style="83" customWidth="1"/>
    <col min="1285" max="1285" width="1.42578125" style="83" customWidth="1"/>
    <col min="1286" max="1287" width="12.140625" style="83" customWidth="1"/>
    <col min="1288" max="1288" width="1.28515625" style="83" customWidth="1"/>
    <col min="1289" max="1293" width="8.85546875" style="83"/>
    <col min="1294" max="1295" width="5.85546875" style="83" customWidth="1"/>
    <col min="1296" max="1296" width="6.42578125" style="83" customWidth="1"/>
    <col min="1297" max="1538" width="8.85546875" style="83"/>
    <col min="1539" max="1539" width="3.7109375" style="83" customWidth="1"/>
    <col min="1540" max="1540" width="4.28515625" style="83" customWidth="1"/>
    <col min="1541" max="1541" width="1.42578125" style="83" customWidth="1"/>
    <col min="1542" max="1543" width="12.140625" style="83" customWidth="1"/>
    <col min="1544" max="1544" width="1.28515625" style="83" customWidth="1"/>
    <col min="1545" max="1549" width="8.85546875" style="83"/>
    <col min="1550" max="1551" width="5.85546875" style="83" customWidth="1"/>
    <col min="1552" max="1552" width="6.42578125" style="83" customWidth="1"/>
    <col min="1553" max="1794" width="8.85546875" style="83"/>
    <col min="1795" max="1795" width="3.7109375" style="83" customWidth="1"/>
    <col min="1796" max="1796" width="4.28515625" style="83" customWidth="1"/>
    <col min="1797" max="1797" width="1.42578125" style="83" customWidth="1"/>
    <col min="1798" max="1799" width="12.140625" style="83" customWidth="1"/>
    <col min="1800" max="1800" width="1.28515625" style="83" customWidth="1"/>
    <col min="1801" max="1805" width="8.85546875" style="83"/>
    <col min="1806" max="1807" width="5.85546875" style="83" customWidth="1"/>
    <col min="1808" max="1808" width="6.42578125" style="83" customWidth="1"/>
    <col min="1809" max="2050" width="8.85546875" style="83"/>
    <col min="2051" max="2051" width="3.7109375" style="83" customWidth="1"/>
    <col min="2052" max="2052" width="4.28515625" style="83" customWidth="1"/>
    <col min="2053" max="2053" width="1.42578125" style="83" customWidth="1"/>
    <col min="2054" max="2055" width="12.140625" style="83" customWidth="1"/>
    <col min="2056" max="2056" width="1.28515625" style="83" customWidth="1"/>
    <col min="2057" max="2061" width="8.85546875" style="83"/>
    <col min="2062" max="2063" width="5.85546875" style="83" customWidth="1"/>
    <col min="2064" max="2064" width="6.42578125" style="83" customWidth="1"/>
    <col min="2065" max="2306" width="8.85546875" style="83"/>
    <col min="2307" max="2307" width="3.7109375" style="83" customWidth="1"/>
    <col min="2308" max="2308" width="4.28515625" style="83" customWidth="1"/>
    <col min="2309" max="2309" width="1.42578125" style="83" customWidth="1"/>
    <col min="2310" max="2311" width="12.140625" style="83" customWidth="1"/>
    <col min="2312" max="2312" width="1.28515625" style="83" customWidth="1"/>
    <col min="2313" max="2317" width="8.85546875" style="83"/>
    <col min="2318" max="2319" width="5.85546875" style="83" customWidth="1"/>
    <col min="2320" max="2320" width="6.42578125" style="83" customWidth="1"/>
    <col min="2321" max="2562" width="8.85546875" style="83"/>
    <col min="2563" max="2563" width="3.7109375" style="83" customWidth="1"/>
    <col min="2564" max="2564" width="4.28515625" style="83" customWidth="1"/>
    <col min="2565" max="2565" width="1.42578125" style="83" customWidth="1"/>
    <col min="2566" max="2567" width="12.140625" style="83" customWidth="1"/>
    <col min="2568" max="2568" width="1.28515625" style="83" customWidth="1"/>
    <col min="2569" max="2573" width="8.85546875" style="83"/>
    <col min="2574" max="2575" width="5.85546875" style="83" customWidth="1"/>
    <col min="2576" max="2576" width="6.42578125" style="83" customWidth="1"/>
    <col min="2577" max="2818" width="8.85546875" style="83"/>
    <col min="2819" max="2819" width="3.7109375" style="83" customWidth="1"/>
    <col min="2820" max="2820" width="4.28515625" style="83" customWidth="1"/>
    <col min="2821" max="2821" width="1.42578125" style="83" customWidth="1"/>
    <col min="2822" max="2823" width="12.140625" style="83" customWidth="1"/>
    <col min="2824" max="2824" width="1.28515625" style="83" customWidth="1"/>
    <col min="2825" max="2829" width="8.85546875" style="83"/>
    <col min="2830" max="2831" width="5.85546875" style="83" customWidth="1"/>
    <col min="2832" max="2832" width="6.42578125" style="83" customWidth="1"/>
    <col min="2833" max="3074" width="8.85546875" style="83"/>
    <col min="3075" max="3075" width="3.7109375" style="83" customWidth="1"/>
    <col min="3076" max="3076" width="4.28515625" style="83" customWidth="1"/>
    <col min="3077" max="3077" width="1.42578125" style="83" customWidth="1"/>
    <col min="3078" max="3079" width="12.140625" style="83" customWidth="1"/>
    <col min="3080" max="3080" width="1.28515625" style="83" customWidth="1"/>
    <col min="3081" max="3085" width="8.85546875" style="83"/>
    <col min="3086" max="3087" width="5.85546875" style="83" customWidth="1"/>
    <col min="3088" max="3088" width="6.42578125" style="83" customWidth="1"/>
    <col min="3089" max="3330" width="8.85546875" style="83"/>
    <col min="3331" max="3331" width="3.7109375" style="83" customWidth="1"/>
    <col min="3332" max="3332" width="4.28515625" style="83" customWidth="1"/>
    <col min="3333" max="3333" width="1.42578125" style="83" customWidth="1"/>
    <col min="3334" max="3335" width="12.140625" style="83" customWidth="1"/>
    <col min="3336" max="3336" width="1.28515625" style="83" customWidth="1"/>
    <col min="3337" max="3341" width="8.85546875" style="83"/>
    <col min="3342" max="3343" width="5.85546875" style="83" customWidth="1"/>
    <col min="3344" max="3344" width="6.42578125" style="83" customWidth="1"/>
    <col min="3345" max="3586" width="8.85546875" style="83"/>
    <col min="3587" max="3587" width="3.7109375" style="83" customWidth="1"/>
    <col min="3588" max="3588" width="4.28515625" style="83" customWidth="1"/>
    <col min="3589" max="3589" width="1.42578125" style="83" customWidth="1"/>
    <col min="3590" max="3591" width="12.140625" style="83" customWidth="1"/>
    <col min="3592" max="3592" width="1.28515625" style="83" customWidth="1"/>
    <col min="3593" max="3597" width="8.85546875" style="83"/>
    <col min="3598" max="3599" width="5.85546875" style="83" customWidth="1"/>
    <col min="3600" max="3600" width="6.42578125" style="83" customWidth="1"/>
    <col min="3601" max="3842" width="8.85546875" style="83"/>
    <col min="3843" max="3843" width="3.7109375" style="83" customWidth="1"/>
    <col min="3844" max="3844" width="4.28515625" style="83" customWidth="1"/>
    <col min="3845" max="3845" width="1.42578125" style="83" customWidth="1"/>
    <col min="3846" max="3847" width="12.140625" style="83" customWidth="1"/>
    <col min="3848" max="3848" width="1.28515625" style="83" customWidth="1"/>
    <col min="3849" max="3853" width="8.85546875" style="83"/>
    <col min="3854" max="3855" width="5.85546875" style="83" customWidth="1"/>
    <col min="3856" max="3856" width="6.42578125" style="83" customWidth="1"/>
    <col min="3857" max="4098" width="8.85546875" style="83"/>
    <col min="4099" max="4099" width="3.7109375" style="83" customWidth="1"/>
    <col min="4100" max="4100" width="4.28515625" style="83" customWidth="1"/>
    <col min="4101" max="4101" width="1.42578125" style="83" customWidth="1"/>
    <col min="4102" max="4103" width="12.140625" style="83" customWidth="1"/>
    <col min="4104" max="4104" width="1.28515625" style="83" customWidth="1"/>
    <col min="4105" max="4109" width="8.85546875" style="83"/>
    <col min="4110" max="4111" width="5.85546875" style="83" customWidth="1"/>
    <col min="4112" max="4112" width="6.42578125" style="83" customWidth="1"/>
    <col min="4113" max="4354" width="8.85546875" style="83"/>
    <col min="4355" max="4355" width="3.7109375" style="83" customWidth="1"/>
    <col min="4356" max="4356" width="4.28515625" style="83" customWidth="1"/>
    <col min="4357" max="4357" width="1.42578125" style="83" customWidth="1"/>
    <col min="4358" max="4359" width="12.140625" style="83" customWidth="1"/>
    <col min="4360" max="4360" width="1.28515625" style="83" customWidth="1"/>
    <col min="4361" max="4365" width="8.85546875" style="83"/>
    <col min="4366" max="4367" width="5.85546875" style="83" customWidth="1"/>
    <col min="4368" max="4368" width="6.42578125" style="83" customWidth="1"/>
    <col min="4369" max="4610" width="8.85546875" style="83"/>
    <col min="4611" max="4611" width="3.7109375" style="83" customWidth="1"/>
    <col min="4612" max="4612" width="4.28515625" style="83" customWidth="1"/>
    <col min="4613" max="4613" width="1.42578125" style="83" customWidth="1"/>
    <col min="4614" max="4615" width="12.140625" style="83" customWidth="1"/>
    <col min="4616" max="4616" width="1.28515625" style="83" customWidth="1"/>
    <col min="4617" max="4621" width="8.85546875" style="83"/>
    <col min="4622" max="4623" width="5.85546875" style="83" customWidth="1"/>
    <col min="4624" max="4624" width="6.42578125" style="83" customWidth="1"/>
    <col min="4625" max="4866" width="8.85546875" style="83"/>
    <col min="4867" max="4867" width="3.7109375" style="83" customWidth="1"/>
    <col min="4868" max="4868" width="4.28515625" style="83" customWidth="1"/>
    <col min="4869" max="4869" width="1.42578125" style="83" customWidth="1"/>
    <col min="4870" max="4871" width="12.140625" style="83" customWidth="1"/>
    <col min="4872" max="4872" width="1.28515625" style="83" customWidth="1"/>
    <col min="4873" max="4877" width="8.85546875" style="83"/>
    <col min="4878" max="4879" width="5.85546875" style="83" customWidth="1"/>
    <col min="4880" max="4880" width="6.42578125" style="83" customWidth="1"/>
    <col min="4881" max="5122" width="8.85546875" style="83"/>
    <col min="5123" max="5123" width="3.7109375" style="83" customWidth="1"/>
    <col min="5124" max="5124" width="4.28515625" style="83" customWidth="1"/>
    <col min="5125" max="5125" width="1.42578125" style="83" customWidth="1"/>
    <col min="5126" max="5127" width="12.140625" style="83" customWidth="1"/>
    <col min="5128" max="5128" width="1.28515625" style="83" customWidth="1"/>
    <col min="5129" max="5133" width="8.85546875" style="83"/>
    <col min="5134" max="5135" width="5.85546875" style="83" customWidth="1"/>
    <col min="5136" max="5136" width="6.42578125" style="83" customWidth="1"/>
    <col min="5137" max="5378" width="8.85546875" style="83"/>
    <col min="5379" max="5379" width="3.7109375" style="83" customWidth="1"/>
    <col min="5380" max="5380" width="4.28515625" style="83" customWidth="1"/>
    <col min="5381" max="5381" width="1.42578125" style="83" customWidth="1"/>
    <col min="5382" max="5383" width="12.140625" style="83" customWidth="1"/>
    <col min="5384" max="5384" width="1.28515625" style="83" customWidth="1"/>
    <col min="5385" max="5389" width="8.85546875" style="83"/>
    <col min="5390" max="5391" width="5.85546875" style="83" customWidth="1"/>
    <col min="5392" max="5392" width="6.42578125" style="83" customWidth="1"/>
    <col min="5393" max="5634" width="8.85546875" style="83"/>
    <col min="5635" max="5635" width="3.7109375" style="83" customWidth="1"/>
    <col min="5636" max="5636" width="4.28515625" style="83" customWidth="1"/>
    <col min="5637" max="5637" width="1.42578125" style="83" customWidth="1"/>
    <col min="5638" max="5639" width="12.140625" style="83" customWidth="1"/>
    <col min="5640" max="5640" width="1.28515625" style="83" customWidth="1"/>
    <col min="5641" max="5645" width="8.85546875" style="83"/>
    <col min="5646" max="5647" width="5.85546875" style="83" customWidth="1"/>
    <col min="5648" max="5648" width="6.42578125" style="83" customWidth="1"/>
    <col min="5649" max="5890" width="8.85546875" style="83"/>
    <col min="5891" max="5891" width="3.7109375" style="83" customWidth="1"/>
    <col min="5892" max="5892" width="4.28515625" style="83" customWidth="1"/>
    <col min="5893" max="5893" width="1.42578125" style="83" customWidth="1"/>
    <col min="5894" max="5895" width="12.140625" style="83" customWidth="1"/>
    <col min="5896" max="5896" width="1.28515625" style="83" customWidth="1"/>
    <col min="5897" max="5901" width="8.85546875" style="83"/>
    <col min="5902" max="5903" width="5.85546875" style="83" customWidth="1"/>
    <col min="5904" max="5904" width="6.42578125" style="83" customWidth="1"/>
    <col min="5905" max="6146" width="8.85546875" style="83"/>
    <col min="6147" max="6147" width="3.7109375" style="83" customWidth="1"/>
    <col min="6148" max="6148" width="4.28515625" style="83" customWidth="1"/>
    <col min="6149" max="6149" width="1.42578125" style="83" customWidth="1"/>
    <col min="6150" max="6151" width="12.140625" style="83" customWidth="1"/>
    <col min="6152" max="6152" width="1.28515625" style="83" customWidth="1"/>
    <col min="6153" max="6157" width="8.85546875" style="83"/>
    <col min="6158" max="6159" width="5.85546875" style="83" customWidth="1"/>
    <col min="6160" max="6160" width="6.42578125" style="83" customWidth="1"/>
    <col min="6161" max="6402" width="8.85546875" style="83"/>
    <col min="6403" max="6403" width="3.7109375" style="83" customWidth="1"/>
    <col min="6404" max="6404" width="4.28515625" style="83" customWidth="1"/>
    <col min="6405" max="6405" width="1.42578125" style="83" customWidth="1"/>
    <col min="6406" max="6407" width="12.140625" style="83" customWidth="1"/>
    <col min="6408" max="6408" width="1.28515625" style="83" customWidth="1"/>
    <col min="6409" max="6413" width="8.85546875" style="83"/>
    <col min="6414" max="6415" width="5.85546875" style="83" customWidth="1"/>
    <col min="6416" max="6416" width="6.42578125" style="83" customWidth="1"/>
    <col min="6417" max="6658" width="8.85546875" style="83"/>
    <col min="6659" max="6659" width="3.7109375" style="83" customWidth="1"/>
    <col min="6660" max="6660" width="4.28515625" style="83" customWidth="1"/>
    <col min="6661" max="6661" width="1.42578125" style="83" customWidth="1"/>
    <col min="6662" max="6663" width="12.140625" style="83" customWidth="1"/>
    <col min="6664" max="6664" width="1.28515625" style="83" customWidth="1"/>
    <col min="6665" max="6669" width="8.85546875" style="83"/>
    <col min="6670" max="6671" width="5.85546875" style="83" customWidth="1"/>
    <col min="6672" max="6672" width="6.42578125" style="83" customWidth="1"/>
    <col min="6673" max="6914" width="8.85546875" style="83"/>
    <col min="6915" max="6915" width="3.7109375" style="83" customWidth="1"/>
    <col min="6916" max="6916" width="4.28515625" style="83" customWidth="1"/>
    <col min="6917" max="6917" width="1.42578125" style="83" customWidth="1"/>
    <col min="6918" max="6919" width="12.140625" style="83" customWidth="1"/>
    <col min="6920" max="6920" width="1.28515625" style="83" customWidth="1"/>
    <col min="6921" max="6925" width="8.85546875" style="83"/>
    <col min="6926" max="6927" width="5.85546875" style="83" customWidth="1"/>
    <col min="6928" max="6928" width="6.42578125" style="83" customWidth="1"/>
    <col min="6929" max="7170" width="8.85546875" style="83"/>
    <col min="7171" max="7171" width="3.7109375" style="83" customWidth="1"/>
    <col min="7172" max="7172" width="4.28515625" style="83" customWidth="1"/>
    <col min="7173" max="7173" width="1.42578125" style="83" customWidth="1"/>
    <col min="7174" max="7175" width="12.140625" style="83" customWidth="1"/>
    <col min="7176" max="7176" width="1.28515625" style="83" customWidth="1"/>
    <col min="7177" max="7181" width="8.85546875" style="83"/>
    <col min="7182" max="7183" width="5.85546875" style="83" customWidth="1"/>
    <col min="7184" max="7184" width="6.42578125" style="83" customWidth="1"/>
    <col min="7185" max="7426" width="8.85546875" style="83"/>
    <col min="7427" max="7427" width="3.7109375" style="83" customWidth="1"/>
    <col min="7428" max="7428" width="4.28515625" style="83" customWidth="1"/>
    <col min="7429" max="7429" width="1.42578125" style="83" customWidth="1"/>
    <col min="7430" max="7431" width="12.140625" style="83" customWidth="1"/>
    <col min="7432" max="7432" width="1.28515625" style="83" customWidth="1"/>
    <col min="7433" max="7437" width="8.85546875" style="83"/>
    <col min="7438" max="7439" width="5.85546875" style="83" customWidth="1"/>
    <col min="7440" max="7440" width="6.42578125" style="83" customWidth="1"/>
    <col min="7441" max="7682" width="8.85546875" style="83"/>
    <col min="7683" max="7683" width="3.7109375" style="83" customWidth="1"/>
    <col min="7684" max="7684" width="4.28515625" style="83" customWidth="1"/>
    <col min="7685" max="7685" width="1.42578125" style="83" customWidth="1"/>
    <col min="7686" max="7687" width="12.140625" style="83" customWidth="1"/>
    <col min="7688" max="7688" width="1.28515625" style="83" customWidth="1"/>
    <col min="7689" max="7693" width="8.85546875" style="83"/>
    <col min="7694" max="7695" width="5.85546875" style="83" customWidth="1"/>
    <col min="7696" max="7696" width="6.42578125" style="83" customWidth="1"/>
    <col min="7697" max="7938" width="8.85546875" style="83"/>
    <col min="7939" max="7939" width="3.7109375" style="83" customWidth="1"/>
    <col min="7940" max="7940" width="4.28515625" style="83" customWidth="1"/>
    <col min="7941" max="7941" width="1.42578125" style="83" customWidth="1"/>
    <col min="7942" max="7943" width="12.140625" style="83" customWidth="1"/>
    <col min="7944" max="7944" width="1.28515625" style="83" customWidth="1"/>
    <col min="7945" max="7949" width="8.85546875" style="83"/>
    <col min="7950" max="7951" width="5.85546875" style="83" customWidth="1"/>
    <col min="7952" max="7952" width="6.42578125" style="83" customWidth="1"/>
    <col min="7953" max="8194" width="8.85546875" style="83"/>
    <col min="8195" max="8195" width="3.7109375" style="83" customWidth="1"/>
    <col min="8196" max="8196" width="4.28515625" style="83" customWidth="1"/>
    <col min="8197" max="8197" width="1.42578125" style="83" customWidth="1"/>
    <col min="8198" max="8199" width="12.140625" style="83" customWidth="1"/>
    <col min="8200" max="8200" width="1.28515625" style="83" customWidth="1"/>
    <col min="8201" max="8205" width="8.85546875" style="83"/>
    <col min="8206" max="8207" width="5.85546875" style="83" customWidth="1"/>
    <col min="8208" max="8208" width="6.42578125" style="83" customWidth="1"/>
    <col min="8209" max="8450" width="8.85546875" style="83"/>
    <col min="8451" max="8451" width="3.7109375" style="83" customWidth="1"/>
    <col min="8452" max="8452" width="4.28515625" style="83" customWidth="1"/>
    <col min="8453" max="8453" width="1.42578125" style="83" customWidth="1"/>
    <col min="8454" max="8455" width="12.140625" style="83" customWidth="1"/>
    <col min="8456" max="8456" width="1.28515625" style="83" customWidth="1"/>
    <col min="8457" max="8461" width="8.85546875" style="83"/>
    <col min="8462" max="8463" width="5.85546875" style="83" customWidth="1"/>
    <col min="8464" max="8464" width="6.42578125" style="83" customWidth="1"/>
    <col min="8465" max="8706" width="8.85546875" style="83"/>
    <col min="8707" max="8707" width="3.7109375" style="83" customWidth="1"/>
    <col min="8708" max="8708" width="4.28515625" style="83" customWidth="1"/>
    <col min="8709" max="8709" width="1.42578125" style="83" customWidth="1"/>
    <col min="8710" max="8711" width="12.140625" style="83" customWidth="1"/>
    <col min="8712" max="8712" width="1.28515625" style="83" customWidth="1"/>
    <col min="8713" max="8717" width="8.85546875" style="83"/>
    <col min="8718" max="8719" width="5.85546875" style="83" customWidth="1"/>
    <col min="8720" max="8720" width="6.42578125" style="83" customWidth="1"/>
    <col min="8721" max="8962" width="8.85546875" style="83"/>
    <col min="8963" max="8963" width="3.7109375" style="83" customWidth="1"/>
    <col min="8964" max="8964" width="4.28515625" style="83" customWidth="1"/>
    <col min="8965" max="8965" width="1.42578125" style="83" customWidth="1"/>
    <col min="8966" max="8967" width="12.140625" style="83" customWidth="1"/>
    <col min="8968" max="8968" width="1.28515625" style="83" customWidth="1"/>
    <col min="8969" max="8973" width="8.85546875" style="83"/>
    <col min="8974" max="8975" width="5.85546875" style="83" customWidth="1"/>
    <col min="8976" max="8976" width="6.42578125" style="83" customWidth="1"/>
    <col min="8977" max="9218" width="8.85546875" style="83"/>
    <col min="9219" max="9219" width="3.7109375" style="83" customWidth="1"/>
    <col min="9220" max="9220" width="4.28515625" style="83" customWidth="1"/>
    <col min="9221" max="9221" width="1.42578125" style="83" customWidth="1"/>
    <col min="9222" max="9223" width="12.140625" style="83" customWidth="1"/>
    <col min="9224" max="9224" width="1.28515625" style="83" customWidth="1"/>
    <col min="9225" max="9229" width="8.85546875" style="83"/>
    <col min="9230" max="9231" width="5.85546875" style="83" customWidth="1"/>
    <col min="9232" max="9232" width="6.42578125" style="83" customWidth="1"/>
    <col min="9233" max="9474" width="8.85546875" style="83"/>
    <col min="9475" max="9475" width="3.7109375" style="83" customWidth="1"/>
    <col min="9476" max="9476" width="4.28515625" style="83" customWidth="1"/>
    <col min="9477" max="9477" width="1.42578125" style="83" customWidth="1"/>
    <col min="9478" max="9479" width="12.140625" style="83" customWidth="1"/>
    <col min="9480" max="9480" width="1.28515625" style="83" customWidth="1"/>
    <col min="9481" max="9485" width="8.85546875" style="83"/>
    <col min="9486" max="9487" width="5.85546875" style="83" customWidth="1"/>
    <col min="9488" max="9488" width="6.42578125" style="83" customWidth="1"/>
    <col min="9489" max="9730" width="8.85546875" style="83"/>
    <col min="9731" max="9731" width="3.7109375" style="83" customWidth="1"/>
    <col min="9732" max="9732" width="4.28515625" style="83" customWidth="1"/>
    <col min="9733" max="9733" width="1.42578125" style="83" customWidth="1"/>
    <col min="9734" max="9735" width="12.140625" style="83" customWidth="1"/>
    <col min="9736" max="9736" width="1.28515625" style="83" customWidth="1"/>
    <col min="9737" max="9741" width="8.85546875" style="83"/>
    <col min="9742" max="9743" width="5.85546875" style="83" customWidth="1"/>
    <col min="9744" max="9744" width="6.42578125" style="83" customWidth="1"/>
    <col min="9745" max="9986" width="8.85546875" style="83"/>
    <col min="9987" max="9987" width="3.7109375" style="83" customWidth="1"/>
    <col min="9988" max="9988" width="4.28515625" style="83" customWidth="1"/>
    <col min="9989" max="9989" width="1.42578125" style="83" customWidth="1"/>
    <col min="9990" max="9991" width="12.140625" style="83" customWidth="1"/>
    <col min="9992" max="9992" width="1.28515625" style="83" customWidth="1"/>
    <col min="9993" max="9997" width="8.85546875" style="83"/>
    <col min="9998" max="9999" width="5.85546875" style="83" customWidth="1"/>
    <col min="10000" max="10000" width="6.42578125" style="83" customWidth="1"/>
    <col min="10001" max="10242" width="8.85546875" style="83"/>
    <col min="10243" max="10243" width="3.7109375" style="83" customWidth="1"/>
    <col min="10244" max="10244" width="4.28515625" style="83" customWidth="1"/>
    <col min="10245" max="10245" width="1.42578125" style="83" customWidth="1"/>
    <col min="10246" max="10247" width="12.140625" style="83" customWidth="1"/>
    <col min="10248" max="10248" width="1.28515625" style="83" customWidth="1"/>
    <col min="10249" max="10253" width="8.85546875" style="83"/>
    <col min="10254" max="10255" width="5.85546875" style="83" customWidth="1"/>
    <col min="10256" max="10256" width="6.42578125" style="83" customWidth="1"/>
    <col min="10257" max="10498" width="8.85546875" style="83"/>
    <col min="10499" max="10499" width="3.7109375" style="83" customWidth="1"/>
    <col min="10500" max="10500" width="4.28515625" style="83" customWidth="1"/>
    <col min="10501" max="10501" width="1.42578125" style="83" customWidth="1"/>
    <col min="10502" max="10503" width="12.140625" style="83" customWidth="1"/>
    <col min="10504" max="10504" width="1.28515625" style="83" customWidth="1"/>
    <col min="10505" max="10509" width="8.85546875" style="83"/>
    <col min="10510" max="10511" width="5.85546875" style="83" customWidth="1"/>
    <col min="10512" max="10512" width="6.42578125" style="83" customWidth="1"/>
    <col min="10513" max="10754" width="8.85546875" style="83"/>
    <col min="10755" max="10755" width="3.7109375" style="83" customWidth="1"/>
    <col min="10756" max="10756" width="4.28515625" style="83" customWidth="1"/>
    <col min="10757" max="10757" width="1.42578125" style="83" customWidth="1"/>
    <col min="10758" max="10759" width="12.140625" style="83" customWidth="1"/>
    <col min="10760" max="10760" width="1.28515625" style="83" customWidth="1"/>
    <col min="10761" max="10765" width="8.85546875" style="83"/>
    <col min="10766" max="10767" width="5.85546875" style="83" customWidth="1"/>
    <col min="10768" max="10768" width="6.42578125" style="83" customWidth="1"/>
    <col min="10769" max="11010" width="8.85546875" style="83"/>
    <col min="11011" max="11011" width="3.7109375" style="83" customWidth="1"/>
    <col min="11012" max="11012" width="4.28515625" style="83" customWidth="1"/>
    <col min="11013" max="11013" width="1.42578125" style="83" customWidth="1"/>
    <col min="11014" max="11015" width="12.140625" style="83" customWidth="1"/>
    <col min="11016" max="11016" width="1.28515625" style="83" customWidth="1"/>
    <col min="11017" max="11021" width="8.85546875" style="83"/>
    <col min="11022" max="11023" width="5.85546875" style="83" customWidth="1"/>
    <col min="11024" max="11024" width="6.42578125" style="83" customWidth="1"/>
    <col min="11025" max="11266" width="8.85546875" style="83"/>
    <col min="11267" max="11267" width="3.7109375" style="83" customWidth="1"/>
    <col min="11268" max="11268" width="4.28515625" style="83" customWidth="1"/>
    <col min="11269" max="11269" width="1.42578125" style="83" customWidth="1"/>
    <col min="11270" max="11271" width="12.140625" style="83" customWidth="1"/>
    <col min="11272" max="11272" width="1.28515625" style="83" customWidth="1"/>
    <col min="11273" max="11277" width="8.85546875" style="83"/>
    <col min="11278" max="11279" width="5.85546875" style="83" customWidth="1"/>
    <col min="11280" max="11280" width="6.42578125" style="83" customWidth="1"/>
    <col min="11281" max="11522" width="8.85546875" style="83"/>
    <col min="11523" max="11523" width="3.7109375" style="83" customWidth="1"/>
    <col min="11524" max="11524" width="4.28515625" style="83" customWidth="1"/>
    <col min="11525" max="11525" width="1.42578125" style="83" customWidth="1"/>
    <col min="11526" max="11527" width="12.140625" style="83" customWidth="1"/>
    <col min="11528" max="11528" width="1.28515625" style="83" customWidth="1"/>
    <col min="11529" max="11533" width="8.85546875" style="83"/>
    <col min="11534" max="11535" width="5.85546875" style="83" customWidth="1"/>
    <col min="11536" max="11536" width="6.42578125" style="83" customWidth="1"/>
    <col min="11537" max="11778" width="8.85546875" style="83"/>
    <col min="11779" max="11779" width="3.7109375" style="83" customWidth="1"/>
    <col min="11780" max="11780" width="4.28515625" style="83" customWidth="1"/>
    <col min="11781" max="11781" width="1.42578125" style="83" customWidth="1"/>
    <col min="11782" max="11783" width="12.140625" style="83" customWidth="1"/>
    <col min="11784" max="11784" width="1.28515625" style="83" customWidth="1"/>
    <col min="11785" max="11789" width="8.85546875" style="83"/>
    <col min="11790" max="11791" width="5.85546875" style="83" customWidth="1"/>
    <col min="11792" max="11792" width="6.42578125" style="83" customWidth="1"/>
    <col min="11793" max="12034" width="8.85546875" style="83"/>
    <col min="12035" max="12035" width="3.7109375" style="83" customWidth="1"/>
    <col min="12036" max="12036" width="4.28515625" style="83" customWidth="1"/>
    <col min="12037" max="12037" width="1.42578125" style="83" customWidth="1"/>
    <col min="12038" max="12039" width="12.140625" style="83" customWidth="1"/>
    <col min="12040" max="12040" width="1.28515625" style="83" customWidth="1"/>
    <col min="12041" max="12045" width="8.85546875" style="83"/>
    <col min="12046" max="12047" width="5.85546875" style="83" customWidth="1"/>
    <col min="12048" max="12048" width="6.42578125" style="83" customWidth="1"/>
    <col min="12049" max="12290" width="8.85546875" style="83"/>
    <col min="12291" max="12291" width="3.7109375" style="83" customWidth="1"/>
    <col min="12292" max="12292" width="4.28515625" style="83" customWidth="1"/>
    <col min="12293" max="12293" width="1.42578125" style="83" customWidth="1"/>
    <col min="12294" max="12295" width="12.140625" style="83" customWidth="1"/>
    <col min="12296" max="12296" width="1.28515625" style="83" customWidth="1"/>
    <col min="12297" max="12301" width="8.85546875" style="83"/>
    <col min="12302" max="12303" width="5.85546875" style="83" customWidth="1"/>
    <col min="12304" max="12304" width="6.42578125" style="83" customWidth="1"/>
    <col min="12305" max="12546" width="8.85546875" style="83"/>
    <col min="12547" max="12547" width="3.7109375" style="83" customWidth="1"/>
    <col min="12548" max="12548" width="4.28515625" style="83" customWidth="1"/>
    <col min="12549" max="12549" width="1.42578125" style="83" customWidth="1"/>
    <col min="12550" max="12551" width="12.140625" style="83" customWidth="1"/>
    <col min="12552" max="12552" width="1.28515625" style="83" customWidth="1"/>
    <col min="12553" max="12557" width="8.85546875" style="83"/>
    <col min="12558" max="12559" width="5.85546875" style="83" customWidth="1"/>
    <col min="12560" max="12560" width="6.42578125" style="83" customWidth="1"/>
    <col min="12561" max="12802" width="8.85546875" style="83"/>
    <col min="12803" max="12803" width="3.7109375" style="83" customWidth="1"/>
    <col min="12804" max="12804" width="4.28515625" style="83" customWidth="1"/>
    <col min="12805" max="12805" width="1.42578125" style="83" customWidth="1"/>
    <col min="12806" max="12807" width="12.140625" style="83" customWidth="1"/>
    <col min="12808" max="12808" width="1.28515625" style="83" customWidth="1"/>
    <col min="12809" max="12813" width="8.85546875" style="83"/>
    <col min="12814" max="12815" width="5.85546875" style="83" customWidth="1"/>
    <col min="12816" max="12816" width="6.42578125" style="83" customWidth="1"/>
    <col min="12817" max="13058" width="8.85546875" style="83"/>
    <col min="13059" max="13059" width="3.7109375" style="83" customWidth="1"/>
    <col min="13060" max="13060" width="4.28515625" style="83" customWidth="1"/>
    <col min="13061" max="13061" width="1.42578125" style="83" customWidth="1"/>
    <col min="13062" max="13063" width="12.140625" style="83" customWidth="1"/>
    <col min="13064" max="13064" width="1.28515625" style="83" customWidth="1"/>
    <col min="13065" max="13069" width="8.85546875" style="83"/>
    <col min="13070" max="13071" width="5.85546875" style="83" customWidth="1"/>
    <col min="13072" max="13072" width="6.42578125" style="83" customWidth="1"/>
    <col min="13073" max="13314" width="8.85546875" style="83"/>
    <col min="13315" max="13315" width="3.7109375" style="83" customWidth="1"/>
    <col min="13316" max="13316" width="4.28515625" style="83" customWidth="1"/>
    <col min="13317" max="13317" width="1.42578125" style="83" customWidth="1"/>
    <col min="13318" max="13319" width="12.140625" style="83" customWidth="1"/>
    <col min="13320" max="13320" width="1.28515625" style="83" customWidth="1"/>
    <col min="13321" max="13325" width="8.85546875" style="83"/>
    <col min="13326" max="13327" width="5.85546875" style="83" customWidth="1"/>
    <col min="13328" max="13328" width="6.42578125" style="83" customWidth="1"/>
    <col min="13329" max="13570" width="8.85546875" style="83"/>
    <col min="13571" max="13571" width="3.7109375" style="83" customWidth="1"/>
    <col min="13572" max="13572" width="4.28515625" style="83" customWidth="1"/>
    <col min="13573" max="13573" width="1.42578125" style="83" customWidth="1"/>
    <col min="13574" max="13575" width="12.140625" style="83" customWidth="1"/>
    <col min="13576" max="13576" width="1.28515625" style="83" customWidth="1"/>
    <col min="13577" max="13581" width="8.85546875" style="83"/>
    <col min="13582" max="13583" width="5.85546875" style="83" customWidth="1"/>
    <col min="13584" max="13584" width="6.42578125" style="83" customWidth="1"/>
    <col min="13585" max="13826" width="8.85546875" style="83"/>
    <col min="13827" max="13827" width="3.7109375" style="83" customWidth="1"/>
    <col min="13828" max="13828" width="4.28515625" style="83" customWidth="1"/>
    <col min="13829" max="13829" width="1.42578125" style="83" customWidth="1"/>
    <col min="13830" max="13831" width="12.140625" style="83" customWidth="1"/>
    <col min="13832" max="13832" width="1.28515625" style="83" customWidth="1"/>
    <col min="13833" max="13837" width="8.85546875" style="83"/>
    <col min="13838" max="13839" width="5.85546875" style="83" customWidth="1"/>
    <col min="13840" max="13840" width="6.42578125" style="83" customWidth="1"/>
    <col min="13841" max="14082" width="8.85546875" style="83"/>
    <col min="14083" max="14083" width="3.7109375" style="83" customWidth="1"/>
    <col min="14084" max="14084" width="4.28515625" style="83" customWidth="1"/>
    <col min="14085" max="14085" width="1.42578125" style="83" customWidth="1"/>
    <col min="14086" max="14087" width="12.140625" style="83" customWidth="1"/>
    <col min="14088" max="14088" width="1.28515625" style="83" customWidth="1"/>
    <col min="14089" max="14093" width="8.85546875" style="83"/>
    <col min="14094" max="14095" width="5.85546875" style="83" customWidth="1"/>
    <col min="14096" max="14096" width="6.42578125" style="83" customWidth="1"/>
    <col min="14097" max="14338" width="8.85546875" style="83"/>
    <col min="14339" max="14339" width="3.7109375" style="83" customWidth="1"/>
    <col min="14340" max="14340" width="4.28515625" style="83" customWidth="1"/>
    <col min="14341" max="14341" width="1.42578125" style="83" customWidth="1"/>
    <col min="14342" max="14343" width="12.140625" style="83" customWidth="1"/>
    <col min="14344" max="14344" width="1.28515625" style="83" customWidth="1"/>
    <col min="14345" max="14349" width="8.85546875" style="83"/>
    <col min="14350" max="14351" width="5.85546875" style="83" customWidth="1"/>
    <col min="14352" max="14352" width="6.42578125" style="83" customWidth="1"/>
    <col min="14353" max="14594" width="8.85546875" style="83"/>
    <col min="14595" max="14595" width="3.7109375" style="83" customWidth="1"/>
    <col min="14596" max="14596" width="4.28515625" style="83" customWidth="1"/>
    <col min="14597" max="14597" width="1.42578125" style="83" customWidth="1"/>
    <col min="14598" max="14599" width="12.140625" style="83" customWidth="1"/>
    <col min="14600" max="14600" width="1.28515625" style="83" customWidth="1"/>
    <col min="14601" max="14605" width="8.85546875" style="83"/>
    <col min="14606" max="14607" width="5.85546875" style="83" customWidth="1"/>
    <col min="14608" max="14608" width="6.42578125" style="83" customWidth="1"/>
    <col min="14609" max="14850" width="8.85546875" style="83"/>
    <col min="14851" max="14851" width="3.7109375" style="83" customWidth="1"/>
    <col min="14852" max="14852" width="4.28515625" style="83" customWidth="1"/>
    <col min="14853" max="14853" width="1.42578125" style="83" customWidth="1"/>
    <col min="14854" max="14855" width="12.140625" style="83" customWidth="1"/>
    <col min="14856" max="14856" width="1.28515625" style="83" customWidth="1"/>
    <col min="14857" max="14861" width="8.85546875" style="83"/>
    <col min="14862" max="14863" width="5.85546875" style="83" customWidth="1"/>
    <col min="14864" max="14864" width="6.42578125" style="83" customWidth="1"/>
    <col min="14865" max="15106" width="8.85546875" style="83"/>
    <col min="15107" max="15107" width="3.7109375" style="83" customWidth="1"/>
    <col min="15108" max="15108" width="4.28515625" style="83" customWidth="1"/>
    <col min="15109" max="15109" width="1.42578125" style="83" customWidth="1"/>
    <col min="15110" max="15111" width="12.140625" style="83" customWidth="1"/>
    <col min="15112" max="15112" width="1.28515625" style="83" customWidth="1"/>
    <col min="15113" max="15117" width="8.85546875" style="83"/>
    <col min="15118" max="15119" width="5.85546875" style="83" customWidth="1"/>
    <col min="15120" max="15120" width="6.42578125" style="83" customWidth="1"/>
    <col min="15121" max="15362" width="8.85546875" style="83"/>
    <col min="15363" max="15363" width="3.7109375" style="83" customWidth="1"/>
    <col min="15364" max="15364" width="4.28515625" style="83" customWidth="1"/>
    <col min="15365" max="15365" width="1.42578125" style="83" customWidth="1"/>
    <col min="15366" max="15367" width="12.140625" style="83" customWidth="1"/>
    <col min="15368" max="15368" width="1.28515625" style="83" customWidth="1"/>
    <col min="15369" max="15373" width="8.85546875" style="83"/>
    <col min="15374" max="15375" width="5.85546875" style="83" customWidth="1"/>
    <col min="15376" max="15376" width="6.42578125" style="83" customWidth="1"/>
    <col min="15377" max="15618" width="8.85546875" style="83"/>
    <col min="15619" max="15619" width="3.7109375" style="83" customWidth="1"/>
    <col min="15620" max="15620" width="4.28515625" style="83" customWidth="1"/>
    <col min="15621" max="15621" width="1.42578125" style="83" customWidth="1"/>
    <col min="15622" max="15623" width="12.140625" style="83" customWidth="1"/>
    <col min="15624" max="15624" width="1.28515625" style="83" customWidth="1"/>
    <col min="15625" max="15629" width="8.85546875" style="83"/>
    <col min="15630" max="15631" width="5.85546875" style="83" customWidth="1"/>
    <col min="15632" max="15632" width="6.42578125" style="83" customWidth="1"/>
    <col min="15633" max="15874" width="8.85546875" style="83"/>
    <col min="15875" max="15875" width="3.7109375" style="83" customWidth="1"/>
    <col min="15876" max="15876" width="4.28515625" style="83" customWidth="1"/>
    <col min="15877" max="15877" width="1.42578125" style="83" customWidth="1"/>
    <col min="15878" max="15879" width="12.140625" style="83" customWidth="1"/>
    <col min="15880" max="15880" width="1.28515625" style="83" customWidth="1"/>
    <col min="15881" max="15885" width="8.85546875" style="83"/>
    <col min="15886" max="15887" width="5.85546875" style="83" customWidth="1"/>
    <col min="15888" max="15888" width="6.42578125" style="83" customWidth="1"/>
    <col min="15889" max="16130" width="8.85546875" style="83"/>
    <col min="16131" max="16131" width="3.7109375" style="83" customWidth="1"/>
    <col min="16132" max="16132" width="4.28515625" style="83" customWidth="1"/>
    <col min="16133" max="16133" width="1.42578125" style="83" customWidth="1"/>
    <col min="16134" max="16135" width="12.140625" style="83" customWidth="1"/>
    <col min="16136" max="16136" width="1.28515625" style="83" customWidth="1"/>
    <col min="16137" max="16141" width="8.85546875" style="83"/>
    <col min="16142" max="16143" width="5.85546875" style="83" customWidth="1"/>
    <col min="16144" max="16144" width="6.425781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1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1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0.94240514101539263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0.41277404755001423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5.1848876768566914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4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28515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302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1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135.09259044966896</v>
      </c>
      <c r="E11" s="108"/>
    </row>
    <row r="12" spans="1:5" x14ac:dyDescent="0.25">
      <c r="C12" s="106" t="s">
        <v>266</v>
      </c>
      <c r="D12" s="107">
        <f>D11/D4</f>
        <v>27.018518089933792</v>
      </c>
      <c r="E12" s="108"/>
    </row>
    <row r="13" spans="1:5" x14ac:dyDescent="0.25">
      <c r="C13" s="106" t="s">
        <v>267</v>
      </c>
      <c r="D13" s="109">
        <f>D8*D11/2</f>
        <v>0.37011668616347659</v>
      </c>
      <c r="E13" s="108"/>
    </row>
    <row r="14" spans="1:5" x14ac:dyDescent="0.25">
      <c r="C14" s="106" t="s">
        <v>268</v>
      </c>
      <c r="D14" s="110">
        <f>D5/D12</f>
        <v>0.37011652403414641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0.740233210197623</v>
      </c>
      <c r="E16" s="108"/>
    </row>
    <row r="17" spans="3:4" x14ac:dyDescent="0.25">
      <c r="D17" s="83" t="b">
        <f>D16&lt;0.75</f>
        <v>1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5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42578125" style="86" bestFit="1" customWidth="1"/>
    <col min="5" max="5" width="2.42578125" style="83" bestFit="1" customWidth="1"/>
    <col min="6" max="9" width="5.85546875" style="83" customWidth="1"/>
    <col min="10" max="10" width="15.140625" style="124" bestFit="1" customWidth="1"/>
    <col min="11" max="11" width="3.425781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302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0.28867513463156941</v>
      </c>
      <c r="G2" s="114">
        <v>0.50000000004165057</v>
      </c>
      <c r="H2" s="114">
        <v>1.7113248653678492</v>
      </c>
      <c r="I2" s="114">
        <v>0.50000000001256872</v>
      </c>
      <c r="J2" s="112">
        <f>SQRT(($F$2-D2)^2+($G$2-E2)^2)</f>
        <v>0.57735026924407451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0.57735026917193355</v>
      </c>
      <c r="K3" s="96"/>
      <c r="N3" s="86" t="s">
        <v>281</v>
      </c>
      <c r="O3" s="86">
        <f>$F$2</f>
        <v>0.28867513463156941</v>
      </c>
      <c r="P3" s="86">
        <f>$G$2</f>
        <v>0.50000000004165057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0.57735026919740984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0.57735026921917953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1.4226497307362798</v>
      </c>
      <c r="K6" s="96"/>
      <c r="N6" s="86" t="s">
        <v>281</v>
      </c>
      <c r="O6" s="86">
        <f>$F$2</f>
        <v>0.28867513463156941</v>
      </c>
      <c r="P6" s="86">
        <f>$G$2</f>
        <v>0.50000000004165057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3.7320508075688772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1.7113248653678492</v>
      </c>
      <c r="P9" s="86">
        <f>$I$2</f>
        <v>0.50000000001256872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1.7113248653678492</v>
      </c>
      <c r="P12" s="86">
        <f>$I$2</f>
        <v>0.50000000001256872</v>
      </c>
    </row>
    <row r="14" spans="1:16" x14ac:dyDescent="0.25">
      <c r="N14" s="86" t="s">
        <v>281</v>
      </c>
      <c r="O14" s="86">
        <f>$F$2</f>
        <v>0.28867513463156941</v>
      </c>
      <c r="P14" s="86">
        <f>$G$2</f>
        <v>0.50000000004165057</v>
      </c>
    </row>
    <row r="15" spans="1:16" x14ac:dyDescent="0.25">
      <c r="N15" s="86" t="s">
        <v>283</v>
      </c>
      <c r="O15" s="86">
        <f>$H$2</f>
        <v>1.7113248653678492</v>
      </c>
      <c r="P15" s="86">
        <f>$I$2</f>
        <v>0.50000000001256872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1</v>
      </c>
      <c r="G24" s="8" t="b">
        <f>ABS(G2-G23)/(1+ABS(G23))&lt;=0.001</f>
        <v>1</v>
      </c>
      <c r="H24" s="8" t="b">
        <f>ABS(H2-H23)/(1+ABS(H23))&lt;=0.001</f>
        <v>1</v>
      </c>
      <c r="I24" s="8" t="b">
        <f>ABS(I2-I23)/(1+ABS(I23))&lt;=0.001</f>
        <v>1</v>
      </c>
      <c r="J24" s="8" t="b">
        <f>ABS(J7-J23)/(1+ABS(J23))&lt;=0.000001</f>
        <v>1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nLin6"/>
  <dimension ref="A1:I31"/>
  <sheetViews>
    <sheetView workbookViewId="0">
      <selection activeCell="A10" sqref="A10"/>
    </sheetView>
  </sheetViews>
  <sheetFormatPr defaultColWidth="10.28515625" defaultRowHeight="15" x14ac:dyDescent="0.25"/>
  <cols>
    <col min="1" max="1" width="15" style="60" bestFit="1" customWidth="1"/>
    <col min="2" max="2" width="3" style="83" customWidth="1"/>
    <col min="3" max="3" width="10.28515625" style="125" customWidth="1"/>
    <col min="4" max="4" width="7" style="125" customWidth="1"/>
    <col min="5" max="16384" width="10.28515625" style="125"/>
  </cols>
  <sheetData>
    <row r="1" spans="1:9" x14ac:dyDescent="0.25">
      <c r="A1" s="62" t="s">
        <v>302</v>
      </c>
      <c r="C1" s="187" t="s">
        <v>285</v>
      </c>
      <c r="D1" s="187"/>
      <c r="E1" s="187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2.357142857062807</v>
      </c>
      <c r="I4" s="125">
        <f>SIN(RADIANS(D7))*D2</f>
        <v>1.8557687224969033</v>
      </c>
    </row>
    <row r="5" spans="1:9" x14ac:dyDescent="0.25">
      <c r="A5" s="62" t="s">
        <v>209</v>
      </c>
      <c r="H5" s="125">
        <f>H4+COS(RADIANS(D8))*D3</f>
        <v>6.9999999999689768</v>
      </c>
      <c r="I5" s="125">
        <f>I4+SIN(RADIANS(D8))*D3</f>
        <v>2.2433632729246256E-10</v>
      </c>
    </row>
    <row r="6" spans="1:9" ht="15.75" thickBot="1" x14ac:dyDescent="0.3">
      <c r="A6" s="63" t="b">
        <f>AND(F16)</f>
        <v>1</v>
      </c>
      <c r="C6" s="187" t="s">
        <v>224</v>
      </c>
      <c r="D6" s="187"/>
      <c r="E6" s="187"/>
    </row>
    <row r="7" spans="1:9" x14ac:dyDescent="0.25">
      <c r="A7" s="62" t="s">
        <v>210</v>
      </c>
      <c r="C7" s="127" t="s">
        <v>290</v>
      </c>
      <c r="D7" s="168">
        <v>38.2132107042097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-21.786789296748125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87" t="s">
        <v>293</v>
      </c>
      <c r="D10" s="187"/>
      <c r="E10" s="187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6.9999999999689768</v>
      </c>
      <c r="D12" s="130">
        <f>D4</f>
        <v>7</v>
      </c>
      <c r="E12" s="130">
        <f>D12-C12</f>
        <v>3.1023184021705674E-11</v>
      </c>
      <c r="F12" s="130">
        <f>E12^2</f>
        <v>9.6243794684461425E-22</v>
      </c>
    </row>
    <row r="13" spans="1:9" x14ac:dyDescent="0.25">
      <c r="C13" s="130">
        <f>D2*SIN(RADIANS(D7))+D3*SIN(RADIANS(D8))</f>
        <v>2.2433632729246256E-10</v>
      </c>
      <c r="D13" s="130">
        <v>0</v>
      </c>
      <c r="E13" s="130">
        <f>C13-D13</f>
        <v>2.2433632729246256E-10</v>
      </c>
      <c r="F13" s="130">
        <f>E13^2</f>
        <v>5.032678774307088E-20</v>
      </c>
    </row>
    <row r="15" spans="1:9" x14ac:dyDescent="0.25">
      <c r="C15" s="187" t="s">
        <v>298</v>
      </c>
      <c r="D15" s="187"/>
      <c r="E15" s="187"/>
      <c r="F15" s="131">
        <f>SUM(F12:F13)</f>
        <v>5.1289225689915495E-20</v>
      </c>
    </row>
    <row r="16" spans="1:9" x14ac:dyDescent="0.25">
      <c r="C16" s="132"/>
      <c r="F16" s="125" t="b">
        <f>ABS(F15)&lt;=0.000001</f>
        <v>1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Highlighting"/>
  <dimension ref="B1:N18"/>
  <sheetViews>
    <sheetView workbookViewId="0">
      <selection activeCell="B18" sqref="B18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utoModel"/>
  <dimension ref="B2:H35"/>
  <sheetViews>
    <sheetView workbookViewId="0">
      <selection activeCell="D39" sqref="D39"/>
    </sheetView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8" t="s">
        <v>157</v>
      </c>
      <c r="C33" s="189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Sheet19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2016-04-19T02:16:50Z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