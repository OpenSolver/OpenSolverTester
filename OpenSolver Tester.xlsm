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1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6800" windowHeight="20460" firstSheet="68" activeTab="73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Sheet19" sheetId="154" r:id="rId13"/>
    <sheet name="ErrorObj" sheetId="28" r:id="rId14"/>
    <sheet name="TextObj" sheetId="29" r:id="rId15"/>
    <sheet name="MergedVarsSubset" sheetId="30" r:id="rId16"/>
    <sheet name="MergedVarsOK" sheetId="31" r:id="rId17"/>
    <sheet name="MergedVarsBad" sheetId="36" r:id="rId18"/>
    <sheet name="MergedRHS_OK" sheetId="33" r:id="rId19"/>
    <sheet name="MergedLHS_OK" sheetId="34" r:id="rId20"/>
    <sheet name="MergedLHSMultiple_OK" sheetId="35" r:id="rId21"/>
    <sheet name="BinIntOverlap" sheetId="6" r:id="rId22"/>
    <sheet name="ConFormula" sheetId="8" r:id="rId23"/>
    <sheet name="ConFormulaInf" sheetId="9" r:id="rId24"/>
    <sheet name="BadName!" sheetId="10" r:id="rId25"/>
    <sheet name="EscapeSheetName(1)+2-1" sheetId="94" r:id="rId26"/>
    <sheet name="DeletedConRef" sheetId="12" r:id="rId27"/>
    <sheet name="DeletedObjRef" sheetId="55" r:id="rId28"/>
    <sheet name="InfConstConstraint" sheetId="14" r:id="rId29"/>
    <sheet name="FeasConstConstraint" sheetId="41" r:id="rId30"/>
    <sheet name="Unbounded" sheetId="111" r:id="rId31"/>
    <sheet name="ProtectedSheet" sheetId="18" r:id="rId32"/>
    <sheet name="IndirectLBs" sheetId="23" r:id="rId33"/>
    <sheet name="DirectLBs" sheetId="42" r:id="rId34"/>
    <sheet name="SingleRangeLB" sheetId="43" r:id="rId35"/>
    <sheet name="BinLB" sheetId="44" r:id="rId36"/>
    <sheet name="BinIntLB" sheetId="45" r:id="rId37"/>
    <sheet name="Relaxation" sheetId="98" r:id="rId38"/>
    <sheet name="LargeRangeLB" sheetId="46" r:id="rId39"/>
    <sheet name="OverlapRangeLB" sheetId="47" r:id="rId40"/>
    <sheet name="OverlapRangeLBwithFormula" sheetId="48" r:id="rId41"/>
    <sheet name="ConstFormulaRangeLB" sheetId="49" r:id="rId42"/>
    <sheet name="VariableFormulaRangeLB" sheetId="50" r:id="rId43"/>
    <sheet name="ConstraintLB" sheetId="51" r:id="rId44"/>
    <sheet name="ConstantLB" sheetId="52" r:id="rId45"/>
    <sheet name="FormulaLB" sheetId="53" r:id="rId46"/>
    <sheet name="VarConstraintLB" sheetId="54" r:id="rId47"/>
    <sheet name="FractionalCoeffs" sheetId="90" r:id="rId48"/>
    <sheet name="ComplexLayout" sheetId="7" r:id="rId49"/>
    <sheet name="InfModel" sheetId="11" r:id="rId50"/>
    <sheet name="IterativeCalc" sheetId="57" r:id="rId51"/>
    <sheet name="NoObj" sheetId="59" r:id="rId52"/>
    <sheet name="SeekObj" sheetId="92" r:id="rId53"/>
    <sheet name="SeekObjInf" sheetId="144" r:id="rId54"/>
    <sheet name="DiffSheetObj" sheetId="112" r:id="rId55"/>
    <sheet name="NamedRanges" sheetId="66" r:id="rId56"/>
    <sheet name="QuickSolve" sheetId="4" r:id="rId57"/>
    <sheet name="SolverParameters" sheetId="2" r:id="rId58"/>
    <sheet name="Warmstart" sheetId="155" r:id="rId59"/>
    <sheet name="Sensitivity" sheetId="65" r:id="rId60"/>
    <sheet name="SensitivityNames" sheetId="77" r:id="rId61"/>
    <sheet name="NonLinSimple" sheetId="20" r:id="rId62"/>
    <sheet name="NonLinLarge" sheetId="38" r:id="rId63"/>
    <sheet name="NonLinObj" sheetId="19" r:id="rId64"/>
    <sheet name="NonLinPruning" sheetId="69" r:id="rId65"/>
    <sheet name="NonLinMinMax" sheetId="70" r:id="rId66"/>
    <sheet name="NonLinConstraints" sheetId="71" r:id="rId67"/>
    <sheet name="NonLinBinary" sheetId="95" r:id="rId68"/>
    <sheet name="NonLin" sheetId="3" r:id="rId69"/>
    <sheet name="NonLin2" sheetId="68" r:id="rId70"/>
    <sheet name="NonLin3" sheetId="75" r:id="rId71"/>
    <sheet name="NonLin4" sheetId="85" r:id="rId72"/>
    <sheet name="NonLin5" sheetId="87" r:id="rId73"/>
    <sheet name="NonLin6" sheetId="88" r:id="rId74"/>
    <sheet name="Highlighting" sheetId="5" r:id="rId75"/>
    <sheet name="AutoModel" sheetId="40" r:id="rId76"/>
  </sheets>
  <functionGroups builtInGroupCount="18"/>
  <externalReferences>
    <externalReference r:id="rId77"/>
  </externalReferences>
  <definedNames>
    <definedName name="anscount" hidden="1">1</definedName>
    <definedName name="asdsad" localSheetId="54">#REF!</definedName>
    <definedName name="asdsad" localSheetId="5">#REF!</definedName>
    <definedName name="asdsad" localSheetId="37">#REF!</definedName>
    <definedName name="asdsad" localSheetId="53">#REF!</definedName>
    <definedName name="asdsad" localSheetId="4">#REF!</definedName>
    <definedName name="asdsad" localSheetId="30">#REF!</definedName>
    <definedName name="asdsad">#REF!</definedName>
    <definedName name="b">[1]InventoryStep!$B$4</definedName>
    <definedName name="CBCDualsNewSheet" hidden="1">FALSE</definedName>
    <definedName name="dffd" localSheetId="54">#REF!</definedName>
    <definedName name="dffd" localSheetId="25">#REF!</definedName>
    <definedName name="dffd" localSheetId="5">#REF!</definedName>
    <definedName name="dffd" localSheetId="37">#REF!</definedName>
    <definedName name="dffd" localSheetId="52">#REF!</definedName>
    <definedName name="dffd" localSheetId="53">#REF!</definedName>
    <definedName name="dffd" localSheetId="4">#REF!</definedName>
    <definedName name="dffd" localSheetId="30">#REF!</definedName>
    <definedName name="dffd">#REF!</definedName>
    <definedName name="DualsNewSheet" hidden="1">FALSE</definedName>
    <definedName name="feasibilitySolve" localSheetId="54" hidden="1">CBC (default)</definedName>
    <definedName name="feasibilitySolve" localSheetId="25" hidden="1">CBC (default)</definedName>
    <definedName name="feasibilitySolve" localSheetId="5" hidden="1">CBC (default)</definedName>
    <definedName name="feasibilitySolve" localSheetId="67" hidden="1">CBC (default)</definedName>
    <definedName name="feasibilitySolve" localSheetId="37" hidden="1">CBC (default)</definedName>
    <definedName name="feasibilitySolve" localSheetId="52" hidden="1">CBC (default)</definedName>
    <definedName name="feasibilitySolve" localSheetId="53" hidden="1">CBC (default)</definedName>
    <definedName name="feasibilitySolve" localSheetId="4" hidden="1">CBC (default)</definedName>
    <definedName name="feasibilitySolve" localSheetId="30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4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4">#REF!</definedName>
    <definedName name="Hey" localSheetId="25">#REF!</definedName>
    <definedName name="Hey" localSheetId="5">#REF!</definedName>
    <definedName name="Hey" localSheetId="67">#REF!</definedName>
    <definedName name="Hey" localSheetId="37">#REF!</definedName>
    <definedName name="Hey" localSheetId="52">#REF!</definedName>
    <definedName name="Hey" localSheetId="53">#REF!</definedName>
    <definedName name="Hey" localSheetId="4">#REF!</definedName>
    <definedName name="Hey" localSheetId="30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4">#REF!</definedName>
    <definedName name="junk" localSheetId="5">#REF!</definedName>
    <definedName name="junk" localSheetId="37">#REF!</definedName>
    <definedName name="junk" localSheetId="53">#REF!</definedName>
    <definedName name="junk" localSheetId="4">#REF!</definedName>
    <definedName name="junk" localSheetId="30">#REF!</definedName>
    <definedName name="junk">#REF!</definedName>
    <definedName name="K">[1]InventoryStep!$B$5</definedName>
    <definedName name="lll">Sensitivity!$I$9</definedName>
    <definedName name="MaximumCost" localSheetId="54">#REF!</definedName>
    <definedName name="MaximumCost" localSheetId="25">#REF!</definedName>
    <definedName name="MaximumCost" localSheetId="5">#REF!</definedName>
    <definedName name="MaximumCost" localSheetId="37">#REF!</definedName>
    <definedName name="MaximumCost" localSheetId="52">#REF!</definedName>
    <definedName name="MaximumCost" localSheetId="53">#REF!</definedName>
    <definedName name="MaximumCost" localSheetId="4">#REF!</definedName>
    <definedName name="MaximumCost" localSheetId="30">#REF!</definedName>
    <definedName name="MaximumCost">#REF!</definedName>
    <definedName name="me">2</definedName>
    <definedName name="MinValue" localSheetId="70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7" hidden="1">SolverParameters!$L$5:$M$5</definedName>
    <definedName name="OpenSolver_CBCParameters" localSheetId="57" hidden="1">SolverParameters!$C$5:$D$7</definedName>
    <definedName name="OpenSolver_ChosenSolver" localSheetId="24" hidden="1">CBC</definedName>
    <definedName name="OpenSolver_ChosenSolver" localSheetId="36" hidden="1">NeosCou</definedName>
    <definedName name="OpenSolver_ChosenSolver" localSheetId="21" hidden="1">NeosCou</definedName>
    <definedName name="OpenSolver_ChosenSolver" localSheetId="35" hidden="1">NeosCou</definedName>
    <definedName name="OpenSolver_ChosenSolver" localSheetId="8" hidden="1">NeosCou</definedName>
    <definedName name="OpenSolver_ChosenSolver" localSheetId="7" hidden="1">NeosCou</definedName>
    <definedName name="OpenSolver_ChosenSolver" localSheetId="48" hidden="1">NeosCou</definedName>
    <definedName name="OpenSolver_ChosenSolver" localSheetId="22" hidden="1">NeosBon</definedName>
    <definedName name="OpenSolver_ChosenSolver" localSheetId="23" hidden="1">NeosCou</definedName>
    <definedName name="OpenSolver_ChosenSolver" localSheetId="44" hidden="1">NeosCou</definedName>
    <definedName name="OpenSolver_ChosenSolver" localSheetId="41" hidden="1">NeosCou</definedName>
    <definedName name="OpenSolver_ChosenSolver" localSheetId="43" hidden="1">NeosCou</definedName>
    <definedName name="OpenSolver_ChosenSolver" localSheetId="26" hidden="1">NeosCou</definedName>
    <definedName name="OpenSolver_ChosenSolver" localSheetId="27" hidden="1">NeosCou</definedName>
    <definedName name="OpenSolver_ChosenSolver" localSheetId="54" hidden="1">NeosCou</definedName>
    <definedName name="OpenSolver_ChosenSolver" localSheetId="33" hidden="1">NeosCou</definedName>
    <definedName name="OpenSolver_ChosenSolver" localSheetId="11" hidden="1">NeosCou</definedName>
    <definedName name="OpenSolver_ChosenSolver" localSheetId="13" hidden="1">NeosCou</definedName>
    <definedName name="OpenSolver_ChosenSolver" localSheetId="10" hidden="1">NeosCou</definedName>
    <definedName name="OpenSolver_ChosenSolver" localSheetId="25" hidden="1">NeosCou</definedName>
    <definedName name="OpenSolver_ChosenSolver" localSheetId="29" hidden="1">NeosCou</definedName>
    <definedName name="OpenSolver_ChosenSolver" localSheetId="45" hidden="1">NeosCou</definedName>
    <definedName name="OpenSolver_ChosenSolver" localSheetId="47" hidden="1">NeosCou</definedName>
    <definedName name="OpenSolver_ChosenSolver" localSheetId="32" hidden="1">NeosCou</definedName>
    <definedName name="OpenSolver_ChosenSolver" localSheetId="28" hidden="1">NeosCou</definedName>
    <definedName name="OpenSolver_ChosenSolver" localSheetId="49" hidden="1">NeosCou</definedName>
    <definedName name="OpenSolver_ChosenSolver" localSheetId="5" hidden="1">NeosCou</definedName>
    <definedName name="OpenSolver_ChosenSolver" localSheetId="50" hidden="1">NeosCou</definedName>
    <definedName name="OpenSolver_ChosenSolver" localSheetId="38" hidden="1">NeosCou</definedName>
    <definedName name="OpenSolver_ChosenSolver" localSheetId="19" hidden="1">NeosCou</definedName>
    <definedName name="OpenSolver_ChosenSolver" localSheetId="20" hidden="1">NeosCou</definedName>
    <definedName name="OpenSolver_ChosenSolver" localSheetId="18" hidden="1">NeosCou</definedName>
    <definedName name="OpenSolver_ChosenSolver" localSheetId="17" hidden="1">NeosCou</definedName>
    <definedName name="OpenSolver_ChosenSolver" localSheetId="16" hidden="1">NeosCou</definedName>
    <definedName name="OpenSolver_ChosenSolver" localSheetId="15" hidden="1">NeosCou</definedName>
    <definedName name="OpenSolver_ChosenSolver" localSheetId="55" hidden="1">NeosCou</definedName>
    <definedName name="OpenSolver_ChosenSolver" localSheetId="68" hidden="1">NeosCou</definedName>
    <definedName name="OpenSolver_ChosenSolver" localSheetId="69" hidden="1">NeosCou</definedName>
    <definedName name="OpenSolver_ChosenSolver" localSheetId="70" hidden="1">NeosCou</definedName>
    <definedName name="OpenSolver_ChosenSolver" localSheetId="71" hidden="1">NeosCou</definedName>
    <definedName name="OpenSolver_ChosenSolver" localSheetId="72" hidden="1">NeosCou</definedName>
    <definedName name="OpenSolver_ChosenSolver" localSheetId="73" hidden="1">NOMAD</definedName>
    <definedName name="OpenSolver_ChosenSolver" localSheetId="67" hidden="1">NeosCou</definedName>
    <definedName name="OpenSolver_ChosenSolver" localSheetId="66" hidden="1">NeosCou</definedName>
    <definedName name="OpenSolver_ChosenSolver" localSheetId="62" hidden="1">NeosCou</definedName>
    <definedName name="OpenSolver_ChosenSolver" localSheetId="65" hidden="1">NeosCou</definedName>
    <definedName name="OpenSolver_ChosenSolver" localSheetId="63" hidden="1">NeosCou</definedName>
    <definedName name="OpenSolver_ChosenSolver" localSheetId="64" hidden="1">NeosCou</definedName>
    <definedName name="OpenSolver_ChosenSolver" localSheetId="61" hidden="1">NeosCou</definedName>
    <definedName name="OpenSolver_ChosenSolver" localSheetId="51" hidden="1">NeosCou</definedName>
    <definedName name="OpenSolver_ChosenSolver" localSheetId="6" hidden="1">Gurobi</definedName>
    <definedName name="OpenSolver_ChosenSolver" localSheetId="39" hidden="1">NeosCou</definedName>
    <definedName name="OpenSolver_ChosenSolver" localSheetId="40" hidden="1">NeosCou</definedName>
    <definedName name="OpenSolver_ChosenSolver" localSheetId="31" hidden="1">NeosCou</definedName>
    <definedName name="OpenSolver_ChosenSolver" localSheetId="56" hidden="1">NeosCou</definedName>
    <definedName name="OpenSolver_ChosenSolver" localSheetId="37" hidden="1">NeosCou</definedName>
    <definedName name="OpenSolver_ChosenSolver" localSheetId="2" hidden="1">CBC</definedName>
    <definedName name="OpenSolver_ChosenSolver" localSheetId="52" hidden="1">NeosCou</definedName>
    <definedName name="OpenSolver_ChosenSolver" localSheetId="53" hidden="1">NeosCou</definedName>
    <definedName name="OpenSolver_ChosenSolver" localSheetId="59" hidden="1">NeosCou</definedName>
    <definedName name="OpenSolver_ChosenSolver" localSheetId="60" hidden="1">NOMAD</definedName>
    <definedName name="OpenSolver_ChosenSolver" localSheetId="4" hidden="1">NeosCou</definedName>
    <definedName name="OpenSolver_ChosenSolver" localSheetId="3" hidden="1">NeosCou</definedName>
    <definedName name="OpenSolver_ChosenSolver" localSheetId="34" hidden="1">NeosCou</definedName>
    <definedName name="OpenSolver_ChosenSolver" localSheetId="57" hidden="1">NeosCou</definedName>
    <definedName name="OpenSolver_ChosenSolver" localSheetId="14" hidden="1">NeosCou</definedName>
    <definedName name="OpenSolver_ChosenSolver" localSheetId="9" hidden="1">NeosCou</definedName>
    <definedName name="OpenSolver_ChosenSolver" localSheetId="30" hidden="1">NeosCou</definedName>
    <definedName name="OpenSolver_ChosenSolver" localSheetId="46" hidden="1">NeosCou</definedName>
    <definedName name="OpenSolver_ChosenSolver" localSheetId="42" hidden="1">NeosCou</definedName>
    <definedName name="OpenSolver_ChosenSolver" localSheetId="58" hidden="1">Gurobi</definedName>
    <definedName name="OpenSolver_ConstraintList" localSheetId="5">#REF!</definedName>
    <definedName name="OpenSolver_ConstraintList" localSheetId="53">#REF!</definedName>
    <definedName name="OpenSolver_ConstraintList">#REF!</definedName>
    <definedName name="OpenSolver_CouenneParameters" localSheetId="57" hidden="1">SolverParameters!$O$5:$P$5</definedName>
    <definedName name="OpenSolver_Duals" localSheetId="59" hidden="1">Sensitivity!$K$1</definedName>
    <definedName name="OpenSolver_DualsNewSheet" localSheetId="73" hidden="1">0</definedName>
    <definedName name="OpenSolver_DualsNewSheet" localSheetId="6" hidden="1">0</definedName>
    <definedName name="OpenSolver_DualsNewSheet" localSheetId="52" hidden="1">1</definedName>
    <definedName name="OpenSolver_DualsNewSheet" localSheetId="59" hidden="1">1</definedName>
    <definedName name="OpenSolver_DualsNewSheet" localSheetId="60" hidden="1">1</definedName>
    <definedName name="OpenSolver_DualsNewSheet" localSheetId="58" hidden="1">0</definedName>
    <definedName name="OpenSolver_GurobiParameters" localSheetId="57" hidden="1">SolverParameters!$F$5:$G$5</definedName>
    <definedName name="OpenSolver_GurobiParameters" localSheetId="58" hidden="1">Warmstart!$C$20:$D$20</definedName>
    <definedName name="OpenSolver_LinearityCheck" localSheetId="24" hidden="1">1</definedName>
    <definedName name="OpenSolver_LinearityCheck" localSheetId="36" hidden="1">1</definedName>
    <definedName name="OpenSolver_LinearityCheck" localSheetId="21" hidden="1">1</definedName>
    <definedName name="OpenSolver_LinearityCheck" localSheetId="35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8" hidden="1">1</definedName>
    <definedName name="OpenSolver_LinearityCheck" localSheetId="22" hidden="1">1</definedName>
    <definedName name="OpenSolver_LinearityCheck" localSheetId="23" hidden="1">1</definedName>
    <definedName name="OpenSolver_LinearityCheck" localSheetId="44" hidden="1">1</definedName>
    <definedName name="OpenSolver_LinearityCheck" localSheetId="41" hidden="1">1</definedName>
    <definedName name="OpenSolver_LinearityCheck" localSheetId="43" hidden="1">1</definedName>
    <definedName name="OpenSolver_LinearityCheck" localSheetId="26" hidden="1">1</definedName>
    <definedName name="OpenSolver_LinearityCheck" localSheetId="27" hidden="1">1</definedName>
    <definedName name="OpenSolver_LinearityCheck" localSheetId="54" hidden="1">1</definedName>
    <definedName name="OpenSolver_LinearityCheck" localSheetId="33" hidden="1">1</definedName>
    <definedName name="OpenSolver_LinearityCheck" localSheetId="11" hidden="1">1</definedName>
    <definedName name="OpenSolver_LinearityCheck" localSheetId="13" hidden="1">1</definedName>
    <definedName name="OpenSolver_LinearityCheck" localSheetId="10" hidden="1">1</definedName>
    <definedName name="OpenSolver_LinearityCheck" localSheetId="25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7" hidden="1">1</definedName>
    <definedName name="OpenSolver_LinearityCheck" localSheetId="32" hidden="1">1</definedName>
    <definedName name="OpenSolver_LinearityCheck" localSheetId="28" hidden="1">1</definedName>
    <definedName name="OpenSolver_LinearityCheck" localSheetId="49" hidden="1">1</definedName>
    <definedName name="OpenSolver_LinearityCheck" localSheetId="5" hidden="1">1</definedName>
    <definedName name="OpenSolver_LinearityCheck" localSheetId="50" hidden="1">1</definedName>
    <definedName name="OpenSolver_LinearityCheck" localSheetId="38" hidden="1">1</definedName>
    <definedName name="OpenSolver_LinearityCheck" localSheetId="19" hidden="1">1</definedName>
    <definedName name="OpenSolver_LinearityCheck" localSheetId="20" hidden="1">1</definedName>
    <definedName name="OpenSolver_LinearityCheck" localSheetId="18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55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73" hidden="1">1</definedName>
    <definedName name="OpenSolver_LinearityCheck" localSheetId="67" hidden="1">1</definedName>
    <definedName name="OpenSolver_LinearityCheck" localSheetId="66" hidden="1">1</definedName>
    <definedName name="OpenSolver_LinearityCheck" localSheetId="62" hidden="1">1</definedName>
    <definedName name="OpenSolver_LinearityCheck" localSheetId="65" hidden="1">1</definedName>
    <definedName name="OpenSolver_LinearityCheck" localSheetId="63" hidden="1">1</definedName>
    <definedName name="OpenSolver_LinearityCheck" localSheetId="64" hidden="1">1</definedName>
    <definedName name="OpenSolver_LinearityCheck" localSheetId="61" hidden="1">1</definedName>
    <definedName name="OpenSolver_LinearityCheck" localSheetId="51" hidden="1">1</definedName>
    <definedName name="OpenSolver_LinearityCheck" localSheetId="6" hidden="1">1</definedName>
    <definedName name="OpenSolver_LinearityCheck" localSheetId="39" hidden="1">1</definedName>
    <definedName name="OpenSolver_LinearityCheck" localSheetId="40" hidden="1">1</definedName>
    <definedName name="OpenSolver_LinearityCheck" localSheetId="31" hidden="1">1</definedName>
    <definedName name="OpenSolver_LinearityCheck" localSheetId="37" hidden="1">1</definedName>
    <definedName name="OpenSolver_LinearityCheck" localSheetId="2" hidden="1">1</definedName>
    <definedName name="OpenSolver_LinearityCheck" localSheetId="52" hidden="1">1</definedName>
    <definedName name="OpenSolver_LinearityCheck" localSheetId="53" hidden="1">1</definedName>
    <definedName name="OpenSolver_LinearityCheck" localSheetId="59" hidden="1">1</definedName>
    <definedName name="OpenSolver_LinearityCheck" localSheetId="60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4" hidden="1">1</definedName>
    <definedName name="OpenSolver_LinearityCheck" localSheetId="57" hidden="1">1</definedName>
    <definedName name="OpenSolver_LinearityCheck" localSheetId="14" hidden="1">1</definedName>
    <definedName name="OpenSolver_LinearityCheck" localSheetId="9" hidden="1">1</definedName>
    <definedName name="OpenSolver_LinearityCheck" localSheetId="30" hidden="1">1</definedName>
    <definedName name="OpenSolver_LinearityCheck" localSheetId="46" hidden="1">1</definedName>
    <definedName name="OpenSolver_LinearityCheck" localSheetId="42" hidden="1">1</definedName>
    <definedName name="OpenSolver_LinearityCheck" localSheetId="58" hidden="1">1</definedName>
    <definedName name="OpenSolver_ModelParameters">SimpleLP!$O$7:$P$7</definedName>
    <definedName name="OpenSolver_NeosBonParameters" localSheetId="57" hidden="1">SolverParameters!$U$5:$V$5</definedName>
    <definedName name="OpenSolver_NeosCBCParameters" localSheetId="57" hidden="1">SolverParameters!$I$5:$J$7</definedName>
    <definedName name="OpenSolver_NeosCouParameters" localSheetId="57" hidden="1">SolverParameters!$X$5:$Y$5</definedName>
    <definedName name="OpenSolver_NOMADParameters" localSheetId="57" hidden="1">SolverParameters!$R$5:$S$5</definedName>
    <definedName name="OpenSolver_UpdateSensitivity" localSheetId="73" hidden="1">1</definedName>
    <definedName name="OpenSolver_UpdateSensitivity" localSheetId="52" hidden="1">1</definedName>
    <definedName name="OpenSolver_UpdateSensitivity" localSheetId="59" hidden="1">1</definedName>
    <definedName name="OpenSolver_UpdateSensitivity" localSheetId="60" hidden="1">1</definedName>
    <definedName name="OpenSolverModelParameters" localSheetId="56" hidden="1">QuickSolve!$O$7:$P$7</definedName>
    <definedName name="OpenSolverResult">Data!$A$1:$A$7</definedName>
    <definedName name="OpenSolverResultCodes">Data!$A$1:$B$7</definedName>
    <definedName name="p" localSheetId="54">#REF!</definedName>
    <definedName name="p" localSheetId="25">#REF!</definedName>
    <definedName name="p" localSheetId="5">#REF!</definedName>
    <definedName name="p" localSheetId="37">#REF!</definedName>
    <definedName name="p" localSheetId="52">#REF!</definedName>
    <definedName name="p" localSheetId="53">#REF!</definedName>
    <definedName name="p" localSheetId="4">#REF!</definedName>
    <definedName name="p" localSheetId="30">#REF!</definedName>
    <definedName name="p">#REF!</definedName>
    <definedName name="q" localSheetId="54">#REF!</definedName>
    <definedName name="q" localSheetId="25">#REF!</definedName>
    <definedName name="q" localSheetId="5">#REF!</definedName>
    <definedName name="q" localSheetId="37">#REF!</definedName>
    <definedName name="q" localSheetId="52">#REF!</definedName>
    <definedName name="q" localSheetId="53">#REF!</definedName>
    <definedName name="q" localSheetId="4">#REF!</definedName>
    <definedName name="q" localSheetId="30">#REF!</definedName>
    <definedName name="q">#REF!</definedName>
    <definedName name="s" localSheetId="54">#REF!</definedName>
    <definedName name="s" localSheetId="25">#REF!</definedName>
    <definedName name="s" localSheetId="5">#REF!</definedName>
    <definedName name="s" localSheetId="37">#REF!</definedName>
    <definedName name="s" localSheetId="52">#REF!</definedName>
    <definedName name="s" localSheetId="53">#REF!</definedName>
    <definedName name="s" localSheetId="4">#REF!</definedName>
    <definedName name="s" localSheetId="30">#REF!</definedName>
    <definedName name="s">#REF!</definedName>
    <definedName name="Scale" localSheetId="24">'BadName!'!$O$8</definedName>
    <definedName name="Scale" localSheetId="36">BinIntLB!$O$10</definedName>
    <definedName name="Scale" localSheetId="21">BinIntOverlap!$P$7</definedName>
    <definedName name="Scale" localSheetId="35">BinLB!$O$10</definedName>
    <definedName name="Scale" localSheetId="8">BlankLHS!$O$7</definedName>
    <definedName name="Scale" localSheetId="7">BlankRHS!$O$7</definedName>
    <definedName name="Scale" localSheetId="48">ComplexLayout!$O$7</definedName>
    <definedName name="Scale" localSheetId="22">ConFormula!$O$8</definedName>
    <definedName name="Scale" localSheetId="23">ConFormulaInf!$O$8</definedName>
    <definedName name="Scale" localSheetId="44">ConstantLB!$O$10</definedName>
    <definedName name="Scale" localSheetId="41">ConstFormulaRangeLB!$O$9</definedName>
    <definedName name="Scale" localSheetId="43">ConstraintLB!$O$10</definedName>
    <definedName name="Scale" localSheetId="26">DeletedConRef!$O$8</definedName>
    <definedName name="Scale" localSheetId="27">DeletedObjRef!$O$8</definedName>
    <definedName name="Scale" localSheetId="11">ErrorLHS!$O$7</definedName>
    <definedName name="Scale" localSheetId="13">ErrorObj!$O$7</definedName>
    <definedName name="Scale" localSheetId="10">ErrorRHS!$O$7</definedName>
    <definedName name="Scale" localSheetId="25">'EscapeSheetName(1)+2-1'!$O$7</definedName>
    <definedName name="Scale" localSheetId="29">FeasConstConstraint!$Q$7</definedName>
    <definedName name="Scale" localSheetId="45">FormulaLB!$O$10</definedName>
    <definedName name="Scale" localSheetId="74">Highlighting!$P$6</definedName>
    <definedName name="Scale" localSheetId="32">IndirectLBs!$O$9</definedName>
    <definedName name="Scale" localSheetId="28">InfConstConstraint!$Q$7</definedName>
    <definedName name="Scale" localSheetId="49">InfModel!$O$8</definedName>
    <definedName name="Scale" localSheetId="5">IP_SUMIF!$O$7</definedName>
    <definedName name="Scale" localSheetId="50">IterativeCalc!$O$8</definedName>
    <definedName name="Scale" localSheetId="38">LargeRangeLB!$O$11</definedName>
    <definedName name="Scale" localSheetId="19">MergedLHS_OK!$O$8</definedName>
    <definedName name="Scale" localSheetId="20">MergedLHSMultiple_OK!$O$8</definedName>
    <definedName name="Scale" localSheetId="18">MergedRHS_OK!$O$8</definedName>
    <definedName name="Scale" localSheetId="17">MergedVarsBad!$O$8</definedName>
    <definedName name="Scale" localSheetId="16">MergedVarsOK!$O$8</definedName>
    <definedName name="Scale" localSheetId="15">MergedVarsSubset!$O$8</definedName>
    <definedName name="Scale" localSheetId="67">#REF!</definedName>
    <definedName name="Scale" localSheetId="51">NoObj!#REF!</definedName>
    <definedName name="Scale" localSheetId="6">OverlappingVars!$O$7</definedName>
    <definedName name="Scale" localSheetId="39">OverlapRangeLB!$O$11</definedName>
    <definedName name="Scale" localSheetId="40">OverlapRangeLBwithFormula!$O$11</definedName>
    <definedName name="Scale" localSheetId="31">ProtectedSheet!$O$7</definedName>
    <definedName name="Scale" localSheetId="56">QuickSolve!$O$7</definedName>
    <definedName name="Scale" localSheetId="37">Relaxation!$O$10</definedName>
    <definedName name="Scale" localSheetId="4">SimpleIP!$O$7</definedName>
    <definedName name="Scale" localSheetId="34">SingleRangeLB!$O$9</definedName>
    <definedName name="Scale" localSheetId="14">TextObj!$O$7</definedName>
    <definedName name="Scale" localSheetId="9">TextRHS!$O$7</definedName>
    <definedName name="Scale" localSheetId="30">Unbounded!$O$7</definedName>
    <definedName name="Scale" localSheetId="46">VarConstraintLB!$O$10</definedName>
    <definedName name="Scale" localSheetId="42">VariableFormulaRangeLB!$O$10</definedName>
    <definedName name="Scale">SimpleLP!$O$7</definedName>
    <definedName name="scale2" localSheetId="54">#REF!</definedName>
    <definedName name="scale2" localSheetId="5">#REF!</definedName>
    <definedName name="scale2" localSheetId="37">#REF!</definedName>
    <definedName name="scale2" localSheetId="53">#REF!</definedName>
    <definedName name="scale2" localSheetId="4">#REF!</definedName>
    <definedName name="scale2" localSheetId="30">#REF!</definedName>
    <definedName name="scale2">#REF!</definedName>
    <definedName name="sencount" hidden="1">1</definedName>
    <definedName name="Sheet1OpenSolverModelParameters" localSheetId="24">'BadName!'!$K$6:$K$6</definedName>
    <definedName name="Sheet1OpenSolverModelParameters" localSheetId="36">BinIntLB!$K$8:$K$8</definedName>
    <definedName name="Sheet1OpenSolverModelParameters" localSheetId="21">BinIntOverlap!$L$5:$L$5</definedName>
    <definedName name="Sheet1OpenSolverModelParameters" localSheetId="35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8">ComplexLayout!#REF!</definedName>
    <definedName name="Sheet1OpenSolverModelParameters" localSheetId="22">ConFormula!#REF!</definedName>
    <definedName name="Sheet1OpenSolverModelParameters" localSheetId="23">ConFormulaInf!#REF!</definedName>
    <definedName name="Sheet1OpenSolverModelParameters" localSheetId="44">ConstantLB!$K$8:$K$8</definedName>
    <definedName name="Sheet1OpenSolverModelParameters" localSheetId="41">ConstFormulaRangeLB!$K$7:$K$7</definedName>
    <definedName name="Sheet1OpenSolverModelParameters" localSheetId="43">ConstraintLB!$K$8:$K$8</definedName>
    <definedName name="Sheet1OpenSolverModelParameters" localSheetId="26">DeletedConRef!$K$6:$K$6</definedName>
    <definedName name="Sheet1OpenSolverModelParameters" localSheetId="27">DeletedObjRef!$K$6:$K$6</definedName>
    <definedName name="Sheet1OpenSolverModelParameters" localSheetId="11">ErrorLHS!$K$5:$K$5</definedName>
    <definedName name="Sheet1OpenSolverModelParameters" localSheetId="13">ErrorObj!$K$5:$K$5</definedName>
    <definedName name="Sheet1OpenSolverModelParameters" localSheetId="10">ErrorRHS!$K$5:$K$5</definedName>
    <definedName name="Sheet1OpenSolverModelParameters" localSheetId="25">'EscapeSheetName(1)+2-1'!$K$5:$K$5</definedName>
    <definedName name="Sheet1OpenSolverModelParameters" localSheetId="29">FeasConstConstraint!$M$5:$M$5</definedName>
    <definedName name="Sheet1OpenSolverModelParameters" localSheetId="45">FormulaLB!$K$8:$K$8</definedName>
    <definedName name="Sheet1OpenSolverModelParameters" localSheetId="74">Highlighting!$L$4:$L$4</definedName>
    <definedName name="Sheet1OpenSolverModelParameters" localSheetId="32">IndirectLBs!$K$7:$K$7</definedName>
    <definedName name="Sheet1OpenSolverModelParameters" localSheetId="28">InfConstConstraint!$M$5:$M$5</definedName>
    <definedName name="Sheet1OpenSolverModelParameters" localSheetId="49">InfModel!$K$6:$K$6</definedName>
    <definedName name="Sheet1OpenSolverModelParameters" localSheetId="5">IP_SUMIF!$K$5:$K$5</definedName>
    <definedName name="Sheet1OpenSolverModelParameters" localSheetId="50">IterativeCalc!$K$6:$K$6</definedName>
    <definedName name="Sheet1OpenSolverModelParameters" localSheetId="38">LargeRangeLB!$K$9:$K$9</definedName>
    <definedName name="Sheet1OpenSolverModelParameters" localSheetId="19">MergedLHS_OK!$K$6:$K$6</definedName>
    <definedName name="Sheet1OpenSolverModelParameters" localSheetId="20">MergedLHSMultiple_OK!$K$6:$K$6</definedName>
    <definedName name="Sheet1OpenSolverModelParameters" localSheetId="18">MergedRHS_OK!$K$6:$K$6</definedName>
    <definedName name="Sheet1OpenSolverModelParameters" localSheetId="17">MergedVarsBad!$K$6:$K$6</definedName>
    <definedName name="Sheet1OpenSolverModelParameters" localSheetId="16">MergedVarsOK!$K$6:$K$6</definedName>
    <definedName name="Sheet1OpenSolverModelParameters" localSheetId="15">MergedVarsSubset!$K$6:$K$6</definedName>
    <definedName name="Sheet1OpenSolverModelParameters" localSheetId="67">#REF!</definedName>
    <definedName name="Sheet1OpenSolverModelParameters" localSheetId="51">NoObj!$K$6:$K$6</definedName>
    <definedName name="Sheet1OpenSolverModelParameters" localSheetId="6">OverlappingVars!$K$5:$K$5</definedName>
    <definedName name="Sheet1OpenSolverModelParameters" localSheetId="39">OverlapRangeLB!$K$9:$K$9</definedName>
    <definedName name="Sheet1OpenSolverModelParameters" localSheetId="40">OverlapRangeLBwithFormula!$K$9:$K$9</definedName>
    <definedName name="Sheet1OpenSolverModelParameters" localSheetId="31">ProtectedSheet!$K$5:$K$5</definedName>
    <definedName name="Sheet1OpenSolverModelParameters" localSheetId="56">QuickSolve!$K$5:$K$5</definedName>
    <definedName name="Sheet1OpenSolverModelParameters" localSheetId="37">Relaxation!$K$8:$K$8</definedName>
    <definedName name="Sheet1OpenSolverModelParameters" localSheetId="4">SimpleIP!$K$5:$K$5</definedName>
    <definedName name="Sheet1OpenSolverModelParameters" localSheetId="34">SingleRangeLB!$K$7:$K$7</definedName>
    <definedName name="Sheet1OpenSolverModelParameters" localSheetId="14">TextObj!$K$5:$K$5</definedName>
    <definedName name="Sheet1OpenSolverModelParameters" localSheetId="9">TextRHS!$K$5:$K$5</definedName>
    <definedName name="Sheet1OpenSolverModelParameters" localSheetId="30">Unbounded!$K$5:$K$5</definedName>
    <definedName name="Sheet1OpenSolverModelParameters" localSheetId="46">VarConstraintLB!$K$8:$K$8</definedName>
    <definedName name="Sheet1OpenSolverModelParameters" localSheetId="42">VariableFormulaRangeLB!$K$8:$K$8</definedName>
    <definedName name="Sheet1OpenSolverModelParameters">SimpleLP!$K$5:$K$5</definedName>
    <definedName name="Solver" localSheetId="54" hidden="1">CBC (default)</definedName>
    <definedName name="Solver" localSheetId="25" hidden="1">CBC (default)</definedName>
    <definedName name="Solver" localSheetId="5" hidden="1">CBC (default)</definedName>
    <definedName name="Solver" localSheetId="67" hidden="1">CBC (default)</definedName>
    <definedName name="Solver" localSheetId="37" hidden="1">CBC (default)</definedName>
    <definedName name="Solver" localSheetId="52" hidden="1">CBC (default)</definedName>
    <definedName name="Solver" localSheetId="53" hidden="1">CBC (default)</definedName>
    <definedName name="Solver" localSheetId="4" hidden="1">CBC (default)</definedName>
    <definedName name="Solver" localSheetId="30" hidden="1">CBC (default)</definedName>
    <definedName name="Solver" hidden="1">CBC (default)</definedName>
    <definedName name="solver_adj" localSheetId="24" hidden="1">'BadName!'!$D$5:$F$5</definedName>
    <definedName name="solver_adj" localSheetId="36" hidden="1">BinIntLB!$D$5:$F$5</definedName>
    <definedName name="solver_adj" localSheetId="21" hidden="1">BinIntOverlap!$D$4:$G$4</definedName>
    <definedName name="solver_adj" localSheetId="35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8" hidden="1">ComplexLayout!$D$4:$G$4,ComplexLayout!$Q$3:$R$4,ComplexLayout!$N$3:$N$4</definedName>
    <definedName name="solver_adj" localSheetId="22" hidden="1">ConFormula!$D$5:$G$5,ConFormula!$Q$4:$R$5,ConFormula!$N$4:$N$5</definedName>
    <definedName name="solver_adj" localSheetId="23" hidden="1">ConFormulaInf!$D$5:$G$5,ConFormulaInf!$Q$4:$R$5,ConFormulaInf!$N$4:$N$5</definedName>
    <definedName name="solver_adj" localSheetId="44" hidden="1">ConstantLB!$D$5:$F$5</definedName>
    <definedName name="solver_adj" localSheetId="41" hidden="1">ConstFormulaRangeLB!$D$4:$F$4</definedName>
    <definedName name="solver_adj" localSheetId="43" hidden="1">ConstraintLB!$D$5:$F$5</definedName>
    <definedName name="solver_adj" localSheetId="26" hidden="1">DeletedConRef!$D$5:$F$5</definedName>
    <definedName name="solver_adj" localSheetId="27" hidden="1">DeletedObjRef!$D$5:$F$5</definedName>
    <definedName name="solver_adj" localSheetId="54" hidden="1">DiffSheetObj!$D$2:$F$2</definedName>
    <definedName name="solver_adj" localSheetId="33" hidden="1">DirectLBs!$D$4:$F$4</definedName>
    <definedName name="solver_adj" localSheetId="11" hidden="1">ErrorLHS!$D$4:$F$4</definedName>
    <definedName name="solver_adj" localSheetId="13" hidden="1">ErrorObj!$D$4:$F$4</definedName>
    <definedName name="solver_adj" localSheetId="10" hidden="1">ErrorRHS!$D$4:$F$4</definedName>
    <definedName name="solver_adj" localSheetId="25" hidden="1">'EscapeSheetName(1)+2-1'!$D$4:$F$4</definedName>
    <definedName name="solver_adj" localSheetId="29" hidden="1">FeasConstConstraint!$D$4:$F$4</definedName>
    <definedName name="solver_adj" localSheetId="45" hidden="1">FormulaLB!$D$5:$F$5</definedName>
    <definedName name="solver_adj" localSheetId="47" hidden="1">FractionalCoeffs!$D$2:$F$2</definedName>
    <definedName name="solver_adj" localSheetId="32" hidden="1">IndirectLBs!$D$5:$F$5</definedName>
    <definedName name="solver_adj" localSheetId="28" hidden="1">InfConstConstraint!$D$4:$F$4</definedName>
    <definedName name="solver_adj" localSheetId="49" hidden="1">InfModel!$D$5:$F$5</definedName>
    <definedName name="solver_adj" localSheetId="5" hidden="1">IP_SUMIF!$E$5:$E$7</definedName>
    <definedName name="solver_adj" localSheetId="50" hidden="1">IterativeCalc!$D$5:$F$5</definedName>
    <definedName name="solver_adj" localSheetId="38" hidden="1">LargeRangeLB!$D$6:$F$6</definedName>
    <definedName name="solver_adj" localSheetId="19" hidden="1">MergedLHS_OK!$D$5:$E$5</definedName>
    <definedName name="solver_adj" localSheetId="20" hidden="1">MergedLHSMultiple_OK!$D$5:$F$5</definedName>
    <definedName name="solver_adj" localSheetId="18" hidden="1">MergedRHS_OK!$D$5:$E$5</definedName>
    <definedName name="solver_adj" localSheetId="17" hidden="1">MergedVarsBad!$D$5:$F$5</definedName>
    <definedName name="solver_adj" localSheetId="16" hidden="1">MergedVarsOK!$D$5:$E$5</definedName>
    <definedName name="solver_adj" localSheetId="15" hidden="1">MergedVarsSubset!$D$5:$F$5</definedName>
    <definedName name="solver_adj" localSheetId="55" hidden="1">NamedRanges!$D$4:$H$4</definedName>
    <definedName name="solver_adj" localSheetId="68" hidden="1">NonLin!$D$3:$D$35</definedName>
    <definedName name="solver_adj" localSheetId="69" hidden="1">NonLin2!$C$4:$D$4</definedName>
    <definedName name="solver_adj" localSheetId="70" hidden="1">NonLin3!$S$10:$S$11</definedName>
    <definedName name="solver_adj" localSheetId="71" hidden="1">NonLin4!$D$11</definedName>
    <definedName name="solver_adj" localSheetId="72" hidden="1">NonLin5!$F$2:$I$2</definedName>
    <definedName name="solver_adj" localSheetId="73" hidden="1">NonLin6!$D$7:$D$8</definedName>
    <definedName name="solver_adj" localSheetId="67" hidden="1">NonLinBinary!$C$4:$D$4</definedName>
    <definedName name="solver_adj" localSheetId="66" hidden="1">NonLinConstraints!$D$5:$H$5</definedName>
    <definedName name="solver_adj" localSheetId="62" hidden="1">NonLinLarge!$D$3:$F$3</definedName>
    <definedName name="solver_adj" localSheetId="65" hidden="1">NonLinMinMax!$D$4:$F$4</definedName>
    <definedName name="solver_adj" localSheetId="63" hidden="1">NonLinObj!$D$3:$F$3</definedName>
    <definedName name="solver_adj" localSheetId="64" hidden="1">NonLinPruning!$D$5:$E$5</definedName>
    <definedName name="solver_adj" localSheetId="61" hidden="1">NonLinSimple!$D$3:$F$3</definedName>
    <definedName name="solver_adj" localSheetId="51" hidden="1">NoObj!$D$5:$F$5</definedName>
    <definedName name="solver_adj" localSheetId="6" hidden="1">OverlappingVars!$D$4:$E$4,OverlappingVars!$E$4:$F$4</definedName>
    <definedName name="solver_adj" localSheetId="39" hidden="1">OverlapRangeLB!$D$6:$F$6</definedName>
    <definedName name="solver_adj" localSheetId="40" hidden="1">OverlapRangeLBwithFormula!$D$6:$F$6</definedName>
    <definedName name="solver_adj" localSheetId="31" hidden="1">ProtectedSheet!$D$4:$F$4</definedName>
    <definedName name="solver_adj" localSheetId="56" hidden="1">QuickSolve!$D$4:$F$4</definedName>
    <definedName name="solver_adj" localSheetId="37" hidden="1">Relaxation!$D$5:$F$5</definedName>
    <definedName name="solver_adj" localSheetId="52" hidden="1">SeekObj!$D$2:$F$2</definedName>
    <definedName name="solver_adj" localSheetId="53" hidden="1">SeekObjInf!$D$2:$F$2</definedName>
    <definedName name="solver_adj" localSheetId="59" hidden="1">Sensitivity!$D$4:$F$4</definedName>
    <definedName name="solver_adj" localSheetId="60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4" hidden="1">SingleRangeLB!$D$4:$F$4</definedName>
    <definedName name="solver_adj" localSheetId="57" hidden="1">SolverParameters!$D$13:$F$13</definedName>
    <definedName name="solver_adj" localSheetId="14" hidden="1">TextObj!$D$4:$F$4</definedName>
    <definedName name="solver_adj" localSheetId="9" hidden="1">TextRHS!$D$4:$F$4</definedName>
    <definedName name="solver_adj" localSheetId="30" hidden="1">Unbounded!$D$4:$F$4</definedName>
    <definedName name="solver_adj" localSheetId="46" hidden="1">VarConstraintLB!$D$5:$F$5</definedName>
    <definedName name="solver_adj" localSheetId="42" hidden="1">VariableFormulaRangeLB!$D$5:$F$5</definedName>
    <definedName name="solver_adj" localSheetId="58" hidden="1">Warmstart!$D$1:$UE$1,Warmstart!$C$23:$C$24</definedName>
    <definedName name="solver_cvg" localSheetId="73" hidden="1">0.0001</definedName>
    <definedName name="solver_cvg" localSheetId="62" hidden="1">0.0001</definedName>
    <definedName name="solver_cvg" localSheetId="53" hidden="1">0.0001</definedName>
    <definedName name="solver_cvg" localSheetId="60" hidden="1">0.0001</definedName>
    <definedName name="solver_cvg" localSheetId="3" hidden="1">0.0001</definedName>
    <definedName name="solver_cvg" localSheetId="58" hidden="1">0.001</definedName>
    <definedName name="solver_drv" localSheetId="73" hidden="1">1</definedName>
    <definedName name="solver_drv" localSheetId="62" hidden="1">1</definedName>
    <definedName name="solver_drv" localSheetId="53" hidden="1">1</definedName>
    <definedName name="solver_drv" localSheetId="60" hidden="1">1</definedName>
    <definedName name="solver_drv" localSheetId="3" hidden="1">1</definedName>
    <definedName name="solver_drv" localSheetId="58" hidden="1">1</definedName>
    <definedName name="solver_est" localSheetId="73" hidden="1">1</definedName>
    <definedName name="solver_est" localSheetId="62" hidden="1">1</definedName>
    <definedName name="solver_est" localSheetId="53" hidden="1">1</definedName>
    <definedName name="solver_est" localSheetId="60" hidden="1">1</definedName>
    <definedName name="solver_est" localSheetId="3" hidden="1">1</definedName>
    <definedName name="solver_est" localSheetId="58" hidden="1">1</definedName>
    <definedName name="solver_itr" localSheetId="36" hidden="1">999999999</definedName>
    <definedName name="solver_itr" localSheetId="21" hidden="1">999999999</definedName>
    <definedName name="solver_itr" localSheetId="35" hidden="1">999999999</definedName>
    <definedName name="solver_itr" localSheetId="8" hidden="1">999999999</definedName>
    <definedName name="solver_itr" localSheetId="7" hidden="1">999999999</definedName>
    <definedName name="solver_itr" localSheetId="48" hidden="1">999999999</definedName>
    <definedName name="solver_itr" localSheetId="22" hidden="1">999999999</definedName>
    <definedName name="solver_itr" localSheetId="23" hidden="1">999999999</definedName>
    <definedName name="solver_itr" localSheetId="44" hidden="1">999999999</definedName>
    <definedName name="solver_itr" localSheetId="41" hidden="1">999999999</definedName>
    <definedName name="solver_itr" localSheetId="43" hidden="1">999999999</definedName>
    <definedName name="solver_itr" localSheetId="26" hidden="1">999999999</definedName>
    <definedName name="solver_itr" localSheetId="54" hidden="1">999999999</definedName>
    <definedName name="solver_itr" localSheetId="33" hidden="1">999999999</definedName>
    <definedName name="solver_itr" localSheetId="11" hidden="1">999999999</definedName>
    <definedName name="solver_itr" localSheetId="10" hidden="1">999999999</definedName>
    <definedName name="solver_itr" localSheetId="25" hidden="1">999999999</definedName>
    <definedName name="solver_itr" localSheetId="29" hidden="1">999999999</definedName>
    <definedName name="solver_itr" localSheetId="45" hidden="1">999999999</definedName>
    <definedName name="solver_itr" localSheetId="47" hidden="1">999999999</definedName>
    <definedName name="solver_itr" localSheetId="32" hidden="1">999999999</definedName>
    <definedName name="solver_itr" localSheetId="28" hidden="1">999999999</definedName>
    <definedName name="solver_itr" localSheetId="49" hidden="1">999999999</definedName>
    <definedName name="solver_itr" localSheetId="5" hidden="1">999999999</definedName>
    <definedName name="solver_itr" localSheetId="50" hidden="1">999999999</definedName>
    <definedName name="solver_itr" localSheetId="38" hidden="1">999999999</definedName>
    <definedName name="solver_itr" localSheetId="19" hidden="1">999999999</definedName>
    <definedName name="solver_itr" localSheetId="20" hidden="1">999999999</definedName>
    <definedName name="solver_itr" localSheetId="18" hidden="1">999999999</definedName>
    <definedName name="solver_itr" localSheetId="16" hidden="1">999999999</definedName>
    <definedName name="solver_itr" localSheetId="55" hidden="1">999999999</definedName>
    <definedName name="solver_itr" localSheetId="68" hidden="1">999999999</definedName>
    <definedName name="solver_itr" localSheetId="69" hidden="1">999999999</definedName>
    <definedName name="solver_itr" localSheetId="70" hidden="1">999999999</definedName>
    <definedName name="solver_itr" localSheetId="71" hidden="1">999999999</definedName>
    <definedName name="solver_itr" localSheetId="72" hidden="1">999999999</definedName>
    <definedName name="solver_itr" localSheetId="73" hidden="1">999999999</definedName>
    <definedName name="solver_itr" localSheetId="67" hidden="1">999999999</definedName>
    <definedName name="solver_itr" localSheetId="66" hidden="1">999999999</definedName>
    <definedName name="solver_itr" localSheetId="62" hidden="1">999999999</definedName>
    <definedName name="solver_itr" localSheetId="65" hidden="1">999999999</definedName>
    <definedName name="solver_itr" localSheetId="63" hidden="1">999999999</definedName>
    <definedName name="solver_itr" localSheetId="64" hidden="1">999999999</definedName>
    <definedName name="solver_itr" localSheetId="61" hidden="1">999999999</definedName>
    <definedName name="solver_itr" localSheetId="51" hidden="1">999999999</definedName>
    <definedName name="solver_itr" localSheetId="6" hidden="1">999999999</definedName>
    <definedName name="solver_itr" localSheetId="39" hidden="1">999999999</definedName>
    <definedName name="solver_itr" localSheetId="40" hidden="1">999999999</definedName>
    <definedName name="solver_itr" localSheetId="37" hidden="1">999999999</definedName>
    <definedName name="solver_itr" localSheetId="52" hidden="1">999999999</definedName>
    <definedName name="solver_itr" localSheetId="53" hidden="1">999999999</definedName>
    <definedName name="solver_itr" localSheetId="59" hidden="1">999999999</definedName>
    <definedName name="solver_itr" localSheetId="60" hidden="1">999999999</definedName>
    <definedName name="solver_itr" localSheetId="4" hidden="1">999999999</definedName>
    <definedName name="solver_itr" localSheetId="3" hidden="1">999999999</definedName>
    <definedName name="solver_itr" localSheetId="34" hidden="1">999999999</definedName>
    <definedName name="solver_itr" localSheetId="57" hidden="1">999999999</definedName>
    <definedName name="solver_itr" localSheetId="9" hidden="1">999999999</definedName>
    <definedName name="solver_itr" localSheetId="30" hidden="1">999999999</definedName>
    <definedName name="solver_itr" localSheetId="46" hidden="1">999999999</definedName>
    <definedName name="solver_itr" localSheetId="42" hidden="1">999999999</definedName>
    <definedName name="solver_itr" localSheetId="58" hidden="1">999999999</definedName>
    <definedName name="solver_lhs1" localSheetId="24" hidden="1">'BadName!'!$H$12</definedName>
    <definedName name="solver_lhs1" localSheetId="36" hidden="1">BinIntLB!$H$11:$H$13</definedName>
    <definedName name="solver_lhs1" localSheetId="21" hidden="1">BinIntOverlap!$I$8:$I$9</definedName>
    <definedName name="solver_lhs1" localSheetId="35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8" hidden="1">ComplexLayout!$I$8:$I$9</definedName>
    <definedName name="solver_lhs1" localSheetId="22" hidden="1">ConFormula!$I$9:$I$10</definedName>
    <definedName name="solver_lhs1" localSheetId="23" hidden="1">ConFormulaInf!$I$9:$I$10</definedName>
    <definedName name="solver_lhs1" localSheetId="44" hidden="1">ConstantLB!$H$11:$H$13</definedName>
    <definedName name="solver_lhs1" localSheetId="41" hidden="1">ConstFormulaRangeLB!$H$10:$H$12</definedName>
    <definedName name="solver_lhs1" localSheetId="43" hidden="1">ConstraintLB!$H$11:$H$13</definedName>
    <definedName name="solver_lhs1" localSheetId="26" hidden="1">DeletedConRef!$H$9:$H$10</definedName>
    <definedName name="solver_lhs1" localSheetId="27" hidden="1">DeletedObjRef!$H$9:$H$10</definedName>
    <definedName name="solver_lhs1" localSheetId="54" hidden="1">DiffSheetObj!$G$6</definedName>
    <definedName name="solver_lhs1" localSheetId="33" hidden="1">DirectLBs!$H$10:$H$12</definedName>
    <definedName name="solver_lhs1" localSheetId="11" hidden="1">ErrorLHS!$H$8:$H$9</definedName>
    <definedName name="solver_lhs1" localSheetId="13" hidden="1">ErrorObj!$H$8:$H$9</definedName>
    <definedName name="solver_lhs1" localSheetId="10" hidden="1">ErrorRHS!$H$8:$H$9</definedName>
    <definedName name="solver_lhs1" localSheetId="25" hidden="1">'EscapeSheetName(1)+2-1'!$H$8:$H$9</definedName>
    <definedName name="solver_lhs1" localSheetId="29" hidden="1">FeasConstConstraint!$J$8:$J$9</definedName>
    <definedName name="solver_lhs1" localSheetId="45" hidden="1">FormulaLB!$H$11:$H$13</definedName>
    <definedName name="solver_lhs1" localSheetId="47" hidden="1">FractionalCoeffs!$G$6</definedName>
    <definedName name="solver_lhs1" localSheetId="32" hidden="1">IndirectLBs!$H$10:$H$11</definedName>
    <definedName name="solver_lhs1" localSheetId="28" hidden="1">InfConstConstraint!$J$8:$J$9</definedName>
    <definedName name="solver_lhs1" localSheetId="49" hidden="1">InfModel!$H$9:$H$10</definedName>
    <definedName name="solver_lhs1" localSheetId="5" hidden="1">IP_SUMIF!$D$10</definedName>
    <definedName name="solver_lhs1" localSheetId="50" hidden="1">IterativeCalc!$H$9:$H$10</definedName>
    <definedName name="solver_lhs1" localSheetId="38" hidden="1">LargeRangeLB!$H$12:$H$14</definedName>
    <definedName name="solver_lhs1" localSheetId="19" hidden="1">MergedLHS_OK!$H$9:$H$10</definedName>
    <definedName name="solver_lhs1" localSheetId="20" hidden="1">MergedLHSMultiple_OK!$H$9:$H$10</definedName>
    <definedName name="solver_lhs1" localSheetId="18" hidden="1">MergedRHS_OK!$H$9:$H$10</definedName>
    <definedName name="solver_lhs1" localSheetId="17" hidden="1">MergedVarsBad!$H$9:$H$10</definedName>
    <definedName name="solver_lhs1" localSheetId="16" hidden="1">MergedVarsOK!$H$9:$H$10</definedName>
    <definedName name="solver_lhs1" localSheetId="15" hidden="1">MergedVarsSubset!$H$9:$H$10</definedName>
    <definedName name="solver_lhs1" localSheetId="55" hidden="1">NamedRanges!$I$8</definedName>
    <definedName name="solver_lhs1" localSheetId="68" hidden="1">NonLin!$J$40</definedName>
    <definedName name="solver_lhs1" localSheetId="69" hidden="1">NonLin2!$E$6:$E$7</definedName>
    <definedName name="solver_lhs1" localSheetId="70" hidden="1">NonLin3!$S$10:$S$11</definedName>
    <definedName name="solver_lhs1" localSheetId="73" hidden="1">NonLin6!$D$7</definedName>
    <definedName name="solver_lhs1" localSheetId="67" hidden="1">NonLinBinary!$E$8:$E$9</definedName>
    <definedName name="solver_lhs1" localSheetId="66" hidden="1">NonLinConstraints!$I$7:$I$9</definedName>
    <definedName name="solver_lhs1" localSheetId="62" hidden="1">NonLinLarge!$H$7:$H$8</definedName>
    <definedName name="solver_lhs1" localSheetId="65" hidden="1">NonLinMinMax!$G$8</definedName>
    <definedName name="solver_lhs1" localSheetId="63" hidden="1">NonLinObj!$H$7:$H$8</definedName>
    <definedName name="solver_lhs1" localSheetId="64" hidden="1">NonLinPruning!$F$8:$F$9</definedName>
    <definedName name="solver_lhs1" localSheetId="61" hidden="1">NonLinSimple!$H$7:$H$8</definedName>
    <definedName name="solver_lhs1" localSheetId="51" hidden="1">NoObj!$H$9:$H$10</definedName>
    <definedName name="solver_lhs1" localSheetId="6" hidden="1">OverlappingVars!$H$8:$H$9</definedName>
    <definedName name="solver_lhs1" localSheetId="39" hidden="1">OverlapRangeLB!$H$12:$H$14</definedName>
    <definedName name="solver_lhs1" localSheetId="40" hidden="1">OverlapRangeLBwithFormula!$H$12:$H$14</definedName>
    <definedName name="solver_lhs1" localSheetId="31" hidden="1">ProtectedSheet!$H$8:$H$9</definedName>
    <definedName name="solver_lhs1" localSheetId="56" hidden="1">QuickSolve!$H$8</definedName>
    <definedName name="solver_lhs1" localSheetId="37" hidden="1">Relaxation!$H$11:$H$13</definedName>
    <definedName name="solver_lhs1" localSheetId="52" hidden="1">SeekObj!$G$6</definedName>
    <definedName name="solver_lhs1" localSheetId="53" hidden="1">SeekObjInf!$G$6</definedName>
    <definedName name="solver_lhs1" localSheetId="59" hidden="1">Sensitivity!$G$8</definedName>
    <definedName name="solver_lhs1" localSheetId="60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4" hidden="1">SingleRangeLB!$H$10:$H$12</definedName>
    <definedName name="solver_lhs1" localSheetId="57" hidden="1">SolverParameters!$H$17:$H$18</definedName>
    <definedName name="solver_lhs1" localSheetId="14" hidden="1">TextObj!$H$8:$H$9</definedName>
    <definedName name="solver_lhs1" localSheetId="9" hidden="1">TextRHS!$H$8:$H$9</definedName>
    <definedName name="solver_lhs1" localSheetId="30" hidden="1">Unbounded!$H$8:$H$9</definedName>
    <definedName name="solver_lhs1" localSheetId="46" hidden="1">VarConstraintLB!$H$11:$H$13</definedName>
    <definedName name="solver_lhs1" localSheetId="42" hidden="1">VariableFormulaRangeLB!$H$11:$H$13</definedName>
    <definedName name="solver_lhs1" localSheetId="58" hidden="1">Warmstart!$UF$4</definedName>
    <definedName name="solver_lhs10" localSheetId="62" hidden="1">NonLinLarge!$H$74</definedName>
    <definedName name="solver_lhs100" localSheetId="62" hidden="1">NonLinLarge!$H$74</definedName>
    <definedName name="solver_lhs101" localSheetId="62" hidden="1">NonLinLarge!$H$75:$H$138</definedName>
    <definedName name="solver_lhs102" localSheetId="62" hidden="1">NonLinLarge!$H$139</definedName>
    <definedName name="solver_lhs103" localSheetId="62" hidden="1">NonLinLarge!$H$7:$H$8</definedName>
    <definedName name="solver_lhs104" localSheetId="62" hidden="1">NonLinLarge!$H$9:$H$72</definedName>
    <definedName name="solver_lhs105" localSheetId="62" hidden="1">NonLinLarge!$H$73</definedName>
    <definedName name="solver_lhs106" localSheetId="62" hidden="1">NonLinLarge!$H$74</definedName>
    <definedName name="solver_lhs107" localSheetId="62" hidden="1">NonLinLarge!$H$75:$H$138</definedName>
    <definedName name="solver_lhs108" localSheetId="62" hidden="1">NonLinLarge!$H$139</definedName>
    <definedName name="solver_lhs109" localSheetId="62" hidden="1">NonLinLarge!$H$7:$H$8</definedName>
    <definedName name="solver_lhs11" localSheetId="62" hidden="1">NonLinLarge!$H$75:$H$138</definedName>
    <definedName name="solver_lhs110" localSheetId="62" hidden="1">NonLinLarge!$H$9:$H$72</definedName>
    <definedName name="solver_lhs111" localSheetId="62" hidden="1">NonLinLarge!$H$73</definedName>
    <definedName name="solver_lhs112" localSheetId="62" hidden="1">NonLinLarge!$H$74</definedName>
    <definedName name="solver_lhs113" localSheetId="62" hidden="1">NonLinLarge!$H$75:$H$138</definedName>
    <definedName name="solver_lhs114" localSheetId="62" hidden="1">NonLinLarge!$H$139</definedName>
    <definedName name="solver_lhs115" localSheetId="62" hidden="1">NonLinLarge!$H$7:$H$8</definedName>
    <definedName name="solver_lhs116" localSheetId="62" hidden="1">NonLinLarge!$H$9:$H$72</definedName>
    <definedName name="solver_lhs117" localSheetId="62" hidden="1">NonLinLarge!$H$73</definedName>
    <definedName name="solver_lhs118" localSheetId="62" hidden="1">NonLinLarge!$H$74</definedName>
    <definedName name="solver_lhs119" localSheetId="62" hidden="1">NonLinLarge!$H$75:$H$138</definedName>
    <definedName name="solver_lhs12" localSheetId="62" hidden="1">NonLinLarge!$H$139</definedName>
    <definedName name="solver_lhs120" localSheetId="62" hidden="1">NonLinLarge!$H$139</definedName>
    <definedName name="solver_lhs121" localSheetId="62" hidden="1">NonLinLarge!$H$7:$H$8</definedName>
    <definedName name="solver_lhs122" localSheetId="62" hidden="1">NonLinLarge!$H$9:$H$72</definedName>
    <definedName name="solver_lhs123" localSheetId="62" hidden="1">NonLinLarge!$H$73</definedName>
    <definedName name="solver_lhs124" localSheetId="62" hidden="1">NonLinLarge!$H$74</definedName>
    <definedName name="solver_lhs125" localSheetId="62" hidden="1">NonLinLarge!$H$75:$H$138</definedName>
    <definedName name="solver_lhs126" localSheetId="62" hidden="1">NonLinLarge!$H$139</definedName>
    <definedName name="solver_lhs127" localSheetId="62" hidden="1">NonLinLarge!$H$7:$H$8</definedName>
    <definedName name="solver_lhs128" localSheetId="62" hidden="1">NonLinLarge!$H$9:$H$72</definedName>
    <definedName name="solver_lhs129" localSheetId="62" hidden="1">NonLinLarge!$H$73</definedName>
    <definedName name="solver_lhs13" localSheetId="62" hidden="1">NonLinLarge!$H$7:$H$8</definedName>
    <definedName name="solver_lhs130" localSheetId="62" hidden="1">NonLinLarge!$H$74</definedName>
    <definedName name="solver_lhs131" localSheetId="62" hidden="1">NonLinLarge!$H$75:$H$138</definedName>
    <definedName name="solver_lhs132" localSheetId="62" hidden="1">NonLinLarge!$H$139</definedName>
    <definedName name="solver_lhs133" localSheetId="62" hidden="1">NonLinLarge!$H$7:$H$8</definedName>
    <definedName name="solver_lhs134" localSheetId="62" hidden="1">NonLinLarge!$H$9:$H$72</definedName>
    <definedName name="solver_lhs135" localSheetId="62" hidden="1">NonLinLarge!$H$73</definedName>
    <definedName name="solver_lhs136" localSheetId="62" hidden="1">NonLinLarge!$H$74</definedName>
    <definedName name="solver_lhs137" localSheetId="62" hidden="1">NonLinLarge!$H$75:$H$138</definedName>
    <definedName name="solver_lhs138" localSheetId="62" hidden="1">NonLinLarge!$H$139</definedName>
    <definedName name="solver_lhs139" localSheetId="62" hidden="1">NonLinLarge!$H$7:$H$8</definedName>
    <definedName name="solver_lhs14" localSheetId="62" hidden="1">NonLinLarge!$H$9:$H$72</definedName>
    <definedName name="solver_lhs140" localSheetId="62" hidden="1">NonLinLarge!$H$9:$H$72</definedName>
    <definedName name="solver_lhs141" localSheetId="62" hidden="1">NonLinLarge!$H$73</definedName>
    <definedName name="solver_lhs142" localSheetId="62" hidden="1">NonLinLarge!$H$74</definedName>
    <definedName name="solver_lhs143" localSheetId="62" hidden="1">NonLinLarge!$H$75:$H$138</definedName>
    <definedName name="solver_lhs144" localSheetId="62" hidden="1">NonLinLarge!$H$139</definedName>
    <definedName name="solver_lhs145" localSheetId="62" hidden="1">NonLinLarge!$H$7:$H$8</definedName>
    <definedName name="solver_lhs146" localSheetId="62" hidden="1">NonLinLarge!$H$9:$H$72</definedName>
    <definedName name="solver_lhs147" localSheetId="62" hidden="1">NonLinLarge!$H$73</definedName>
    <definedName name="solver_lhs148" localSheetId="62" hidden="1">NonLinLarge!$H$74</definedName>
    <definedName name="solver_lhs149" localSheetId="62" hidden="1">NonLinLarge!$H$75:$H$138</definedName>
    <definedName name="solver_lhs15" localSheetId="62" hidden="1">NonLinLarge!$H$73</definedName>
    <definedName name="solver_lhs150" localSheetId="62" hidden="1">NonLinLarge!$H$139</definedName>
    <definedName name="solver_lhs151" localSheetId="62" hidden="1">NonLinLarge!$H$7:$H$8</definedName>
    <definedName name="solver_lhs152" localSheetId="62" hidden="1">NonLinLarge!$H$9:$H$72</definedName>
    <definedName name="solver_lhs153" localSheetId="62" hidden="1">NonLinLarge!$H$73</definedName>
    <definedName name="solver_lhs154" localSheetId="62" hidden="1">NonLinLarge!$H$74</definedName>
    <definedName name="solver_lhs155" localSheetId="62" hidden="1">NonLinLarge!$H$75:$H$138</definedName>
    <definedName name="solver_lhs156" localSheetId="62" hidden="1">NonLinLarge!$H$139</definedName>
    <definedName name="solver_lhs157" localSheetId="62" hidden="1">NonLinLarge!$H$7:$H$8</definedName>
    <definedName name="solver_lhs158" localSheetId="62" hidden="1">NonLinLarge!$H$9:$H$72</definedName>
    <definedName name="solver_lhs159" localSheetId="62" hidden="1">NonLinLarge!$H$73</definedName>
    <definedName name="solver_lhs16" localSheetId="62" hidden="1">NonLinLarge!$H$74</definedName>
    <definedName name="solver_lhs160" localSheetId="62" hidden="1">NonLinLarge!$H$74</definedName>
    <definedName name="solver_lhs161" localSheetId="62" hidden="1">NonLinLarge!$H$75:$H$138</definedName>
    <definedName name="solver_lhs162" localSheetId="62" hidden="1">NonLinLarge!$H$139</definedName>
    <definedName name="solver_lhs163" localSheetId="62" hidden="1">NonLinLarge!$H$7:$H$8</definedName>
    <definedName name="solver_lhs164" localSheetId="62" hidden="1">NonLinLarge!$H$9:$H$72</definedName>
    <definedName name="solver_lhs165" localSheetId="62" hidden="1">NonLinLarge!$H$73</definedName>
    <definedName name="solver_lhs166" localSheetId="62" hidden="1">NonLinLarge!$H$74</definedName>
    <definedName name="solver_lhs167" localSheetId="62" hidden="1">NonLinLarge!$H$75:$H$138</definedName>
    <definedName name="solver_lhs168" localSheetId="62" hidden="1">NonLinLarge!$H$139</definedName>
    <definedName name="solver_lhs169" localSheetId="62" hidden="1">NonLinLarge!$H$7:$H$8</definedName>
    <definedName name="solver_lhs17" localSheetId="62" hidden="1">NonLinLarge!$H$75:$H$138</definedName>
    <definedName name="solver_lhs170" localSheetId="62" hidden="1">NonLinLarge!$H$9:$H$72</definedName>
    <definedName name="solver_lhs171" localSheetId="62" hidden="1">NonLinLarge!$H$73</definedName>
    <definedName name="solver_lhs172" localSheetId="62" hidden="1">NonLinLarge!$H$74</definedName>
    <definedName name="solver_lhs173" localSheetId="62" hidden="1">NonLinLarge!$H$75:$H$138</definedName>
    <definedName name="solver_lhs174" localSheetId="62" hidden="1">NonLinLarge!$H$139</definedName>
    <definedName name="solver_lhs175" localSheetId="62" hidden="1">NonLinLarge!$H$7:$H$8</definedName>
    <definedName name="solver_lhs176" localSheetId="62" hidden="1">NonLinLarge!$H$9:$H$72</definedName>
    <definedName name="solver_lhs177" localSheetId="62" hidden="1">NonLinLarge!$H$73</definedName>
    <definedName name="solver_lhs178" localSheetId="62" hidden="1">NonLinLarge!$H$74</definedName>
    <definedName name="solver_lhs179" localSheetId="62" hidden="1">NonLinLarge!$H$75:$H$138</definedName>
    <definedName name="solver_lhs18" localSheetId="62" hidden="1">NonLinLarge!$H$139</definedName>
    <definedName name="solver_lhs180" localSheetId="62" hidden="1">NonLinLarge!$H$139</definedName>
    <definedName name="solver_lhs181" localSheetId="62" hidden="1">NonLinLarge!$H$7:$H$8</definedName>
    <definedName name="solver_lhs182" localSheetId="62" hidden="1">NonLinLarge!$H$9:$H$72</definedName>
    <definedName name="solver_lhs183" localSheetId="62" hidden="1">NonLinLarge!$H$73</definedName>
    <definedName name="solver_lhs184" localSheetId="62" hidden="1">NonLinLarge!$H$74</definedName>
    <definedName name="solver_lhs185" localSheetId="62" hidden="1">NonLinLarge!$H$75:$H$138</definedName>
    <definedName name="solver_lhs186" localSheetId="62" hidden="1">NonLinLarge!$H$139</definedName>
    <definedName name="solver_lhs187" localSheetId="62" hidden="1">NonLinLarge!$H$7:$H$8</definedName>
    <definedName name="solver_lhs188" localSheetId="62" hidden="1">NonLinLarge!$H$9:$H$72</definedName>
    <definedName name="solver_lhs189" localSheetId="62" hidden="1">NonLinLarge!$H$73</definedName>
    <definedName name="solver_lhs19" localSheetId="62" hidden="1">NonLinLarge!$H$7:$H$8</definedName>
    <definedName name="solver_lhs190" localSheetId="62" hidden="1">NonLinLarge!$H$74</definedName>
    <definedName name="solver_lhs191" localSheetId="62" hidden="1">NonLinLarge!$H$75:$H$138</definedName>
    <definedName name="solver_lhs192" localSheetId="62" hidden="1">NonLinLarge!$H$139</definedName>
    <definedName name="solver_lhs193" localSheetId="62" hidden="1">NonLinLarge!$H$7:$H$8</definedName>
    <definedName name="solver_lhs194" localSheetId="62" hidden="1">NonLinLarge!$H$9:$H$72</definedName>
    <definedName name="solver_lhs195" localSheetId="62" hidden="1">NonLinLarge!$H$73</definedName>
    <definedName name="solver_lhs196" localSheetId="62" hidden="1">NonLinLarge!$H$74</definedName>
    <definedName name="solver_lhs197" localSheetId="62" hidden="1">NonLinLarge!$H$75:$H$138</definedName>
    <definedName name="solver_lhs198" localSheetId="62" hidden="1">NonLinLarge!$H$139</definedName>
    <definedName name="solver_lhs199" localSheetId="62" hidden="1">NonLinLarge!$H$7:$H$8</definedName>
    <definedName name="solver_lhs2" localSheetId="36" hidden="1">BinIntLB!$D$5:$F$5</definedName>
    <definedName name="solver_lhs2" localSheetId="21" hidden="1">BinIntOverlap!$I$10</definedName>
    <definedName name="solver_lhs2" localSheetId="35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8" hidden="1">ComplexLayout!$I$10</definedName>
    <definedName name="solver_lhs2" localSheetId="22" hidden="1">ConFormula!$I$11</definedName>
    <definedName name="solver_lhs2" localSheetId="23" hidden="1">ConFormulaInf!$K$11</definedName>
    <definedName name="solver_lhs2" localSheetId="44" hidden="1">ConstantLB!$D$5</definedName>
    <definedName name="solver_lhs2" localSheetId="41" hidden="1">ConstFormulaRangeLB!$D$4:$F$4</definedName>
    <definedName name="solver_lhs2" localSheetId="26" hidden="1">DeletedConRef!$H$11</definedName>
    <definedName name="solver_lhs2" localSheetId="27" hidden="1">DeletedObjRef!$H$11</definedName>
    <definedName name="solver_lhs2" localSheetId="54" hidden="1">DiffSheetObj!$G$7</definedName>
    <definedName name="solver_lhs2" localSheetId="33" hidden="1">DirectLBs!$D$4:$F$4</definedName>
    <definedName name="solver_lhs2" localSheetId="11" hidden="1">ErrorLHS!$H$10</definedName>
    <definedName name="solver_lhs2" localSheetId="13" hidden="1">ErrorObj!$H$10</definedName>
    <definedName name="solver_lhs2" localSheetId="10" hidden="1">ErrorRHS!$H$10</definedName>
    <definedName name="solver_lhs2" localSheetId="25" hidden="1">'EscapeSheetName(1)+2-1'!$H$10</definedName>
    <definedName name="solver_lhs2" localSheetId="29" hidden="1">FeasConstConstraint!$J$10</definedName>
    <definedName name="solver_lhs2" localSheetId="45" hidden="1">FormulaLB!$D$5</definedName>
    <definedName name="solver_lhs2" localSheetId="47" hidden="1">FractionalCoeffs!$G$7</definedName>
    <definedName name="solver_lhs2" localSheetId="32" hidden="1">IndirectLBs!$H$12</definedName>
    <definedName name="solver_lhs2" localSheetId="28" hidden="1">InfConstConstraint!$J$10</definedName>
    <definedName name="solver_lhs2" localSheetId="49" hidden="1">InfModel!$H$11</definedName>
    <definedName name="solver_lhs2" localSheetId="5" hidden="1">IP_SUMIF!$E$5:$E$7</definedName>
    <definedName name="solver_lhs2" localSheetId="50" hidden="1">IterativeCalc!$H$11</definedName>
    <definedName name="solver_lhs2" localSheetId="38" hidden="1">LargeRangeLB!$D$6:$H$6</definedName>
    <definedName name="solver_lhs2" localSheetId="19" hidden="1">MergedLHS_OK!$H$11</definedName>
    <definedName name="solver_lhs2" localSheetId="20" hidden="1">MergedLHSMultiple_OK!$H$11</definedName>
    <definedName name="solver_lhs2" localSheetId="18" hidden="1">MergedRHS_OK!$H$11</definedName>
    <definedName name="solver_lhs2" localSheetId="17" hidden="1">MergedVarsBad!$H$11</definedName>
    <definedName name="solver_lhs2" localSheetId="16" hidden="1">MergedVarsOK!$H$11</definedName>
    <definedName name="solver_lhs2" localSheetId="15" hidden="1">MergedVarsSubset!$H$11</definedName>
    <definedName name="solver_lhs2" localSheetId="55" hidden="1">NamedRanges!$I$9</definedName>
    <definedName name="solver_lhs2" localSheetId="68" hidden="1">NonLin!$J$41:$J$42</definedName>
    <definedName name="solver_lhs2" localSheetId="70" hidden="1">NonLin3!$S$10:$S$11</definedName>
    <definedName name="solver_lhs2" localSheetId="73" hidden="1">NonLin6!$D$7</definedName>
    <definedName name="solver_lhs2" localSheetId="67" hidden="1">NonLinBinary!$C$4:$D$4</definedName>
    <definedName name="solver_lhs2" localSheetId="62" hidden="1">NonLinLarge!$H$9:$H$72</definedName>
    <definedName name="solver_lhs2" localSheetId="65" hidden="1">NonLinMinMax!$D$4:$F$4</definedName>
    <definedName name="solver_lhs2" localSheetId="63" hidden="1">NonLinObj!$H$9</definedName>
    <definedName name="solver_lhs2" localSheetId="64" hidden="1">NonLinPruning!$F$10:$F$11</definedName>
    <definedName name="solver_lhs2" localSheetId="61" hidden="1">NonLinSimple!$H$9</definedName>
    <definedName name="solver_lhs2" localSheetId="51" hidden="1">NoObj!$H$11</definedName>
    <definedName name="solver_lhs2" localSheetId="6" hidden="1">OverlappingVars!$H$10</definedName>
    <definedName name="solver_lhs2" localSheetId="39" hidden="1">OverlapRangeLB!$E$6:$H$6</definedName>
    <definedName name="solver_lhs2" localSheetId="40" hidden="1">OverlapRangeLBwithFormula!$D$6:$H$6</definedName>
    <definedName name="solver_lhs2" localSheetId="31" hidden="1">ProtectedSheet!$H$10</definedName>
    <definedName name="solver_lhs2" localSheetId="56" hidden="1">QuickSolve!$H$9:$H$10</definedName>
    <definedName name="solver_lhs2" localSheetId="37" hidden="1">Relaxation!$D$5:$F$5</definedName>
    <definedName name="solver_lhs2" localSheetId="52" hidden="1">SeekObj!$G$7</definedName>
    <definedName name="solver_lhs2" localSheetId="53" hidden="1">SeekObjInf!$G$7</definedName>
    <definedName name="solver_lhs2" localSheetId="59" hidden="1">Sensitivity!$G$9</definedName>
    <definedName name="solver_lhs2" localSheetId="60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4" hidden="1">SingleRangeLB!$D$4:$F$4</definedName>
    <definedName name="solver_lhs2" localSheetId="57" hidden="1">SolverParameters!$H$19</definedName>
    <definedName name="solver_lhs2" localSheetId="14" hidden="1">TextObj!$H$10</definedName>
    <definedName name="solver_lhs2" localSheetId="9" hidden="1">TextRHS!$H$10</definedName>
    <definedName name="solver_lhs2" localSheetId="30" hidden="1">Unbounded!$H$10</definedName>
    <definedName name="solver_lhs2" localSheetId="46" hidden="1">VarConstraintLB!$D$7</definedName>
    <definedName name="solver_lhs2" localSheetId="42" hidden="1">VariableFormulaRangeLB!$D$5:$F$5</definedName>
    <definedName name="solver_lhs2" localSheetId="58" hidden="1">Warmstart!$D$1:$UE$1</definedName>
    <definedName name="solver_lhs20" localSheetId="62" hidden="1">NonLinLarge!$H$9:$H$72</definedName>
    <definedName name="solver_lhs200" localSheetId="62" hidden="1">NonLinLarge!$H$9:$H$72</definedName>
    <definedName name="solver_lhs201" localSheetId="62" hidden="1">NonLinLarge!$H$73</definedName>
    <definedName name="solver_lhs202" localSheetId="62" hidden="1">NonLinLarge!$H$74</definedName>
    <definedName name="solver_lhs203" localSheetId="62" hidden="1">NonLinLarge!$H$75:$H$138</definedName>
    <definedName name="solver_lhs204" localSheetId="62" hidden="1">NonLinLarge!$H$139</definedName>
    <definedName name="solver_lhs205" localSheetId="62" hidden="1">NonLinLarge!$H$7:$H$8</definedName>
    <definedName name="solver_lhs206" localSheetId="62" hidden="1">NonLinLarge!$H$9:$H$72</definedName>
    <definedName name="solver_lhs207" localSheetId="62" hidden="1">NonLinLarge!$H$73</definedName>
    <definedName name="solver_lhs208" localSheetId="62" hidden="1">NonLinLarge!$H$74</definedName>
    <definedName name="solver_lhs209" localSheetId="62" hidden="1">NonLinLarge!$H$75:$H$138</definedName>
    <definedName name="solver_lhs21" localSheetId="62" hidden="1">NonLinLarge!$H$73</definedName>
    <definedName name="solver_lhs210" localSheetId="62" hidden="1">NonLinLarge!$H$139</definedName>
    <definedName name="solver_lhs211" localSheetId="62" hidden="1">NonLinLarge!$H$7:$H$8</definedName>
    <definedName name="solver_lhs212" localSheetId="62" hidden="1">NonLinLarge!$H$9:$H$72</definedName>
    <definedName name="solver_lhs213" localSheetId="62" hidden="1">NonLinLarge!$H$73</definedName>
    <definedName name="solver_lhs214" localSheetId="62" hidden="1">NonLinLarge!$H$74</definedName>
    <definedName name="solver_lhs215" localSheetId="62" hidden="1">NonLinLarge!$H$75:$H$138</definedName>
    <definedName name="solver_lhs216" localSheetId="62" hidden="1">NonLinLarge!$H$139</definedName>
    <definedName name="solver_lhs217" localSheetId="62" hidden="1">NonLinLarge!$H$7:$H$8</definedName>
    <definedName name="solver_lhs218" localSheetId="62" hidden="1">NonLinLarge!$H$9:$H$72</definedName>
    <definedName name="solver_lhs219" localSheetId="62" hidden="1">NonLinLarge!$H$73</definedName>
    <definedName name="solver_lhs22" localSheetId="62" hidden="1">NonLinLarge!$H$74</definedName>
    <definedName name="solver_lhs220" localSheetId="62" hidden="1">NonLinLarge!$H$74</definedName>
    <definedName name="solver_lhs221" localSheetId="62" hidden="1">NonLinLarge!$H$75:$H$138</definedName>
    <definedName name="solver_lhs222" localSheetId="62" hidden="1">NonLinLarge!$H$139</definedName>
    <definedName name="solver_lhs223" localSheetId="62" hidden="1">NonLinLarge!$H$7:$H$8</definedName>
    <definedName name="solver_lhs224" localSheetId="62" hidden="1">NonLinLarge!$H$9:$H$72</definedName>
    <definedName name="solver_lhs225" localSheetId="62" hidden="1">NonLinLarge!$H$73</definedName>
    <definedName name="solver_lhs226" localSheetId="62" hidden="1">NonLinLarge!$H$74</definedName>
    <definedName name="solver_lhs227" localSheetId="62" hidden="1">NonLinLarge!$H$75:$H$138</definedName>
    <definedName name="solver_lhs228" localSheetId="62" hidden="1">NonLinLarge!$H$139</definedName>
    <definedName name="solver_lhs229" localSheetId="62" hidden="1">NonLinLarge!$H$7:$H$8</definedName>
    <definedName name="solver_lhs23" localSheetId="62" hidden="1">NonLinLarge!$H$75:$H$138</definedName>
    <definedName name="solver_lhs230" localSheetId="62" hidden="1">NonLinLarge!$H$9:$H$72</definedName>
    <definedName name="solver_lhs231" localSheetId="62" hidden="1">NonLinLarge!$H$73</definedName>
    <definedName name="solver_lhs232" localSheetId="62" hidden="1">NonLinLarge!$H$74</definedName>
    <definedName name="solver_lhs233" localSheetId="62" hidden="1">NonLinLarge!$H$75:$H$138</definedName>
    <definedName name="solver_lhs234" localSheetId="62" hidden="1">NonLinLarge!$H$139</definedName>
    <definedName name="solver_lhs235" localSheetId="62" hidden="1">NonLinLarge!$H$7:$H$8</definedName>
    <definedName name="solver_lhs236" localSheetId="62" hidden="1">NonLinLarge!$H$9:$H$72</definedName>
    <definedName name="solver_lhs237" localSheetId="62" hidden="1">NonLinLarge!$H$73</definedName>
    <definedName name="solver_lhs238" localSheetId="62" hidden="1">NonLinLarge!$H$74</definedName>
    <definedName name="solver_lhs239" localSheetId="62" hidden="1">NonLinLarge!$H$75:$H$138</definedName>
    <definedName name="solver_lhs24" localSheetId="62" hidden="1">NonLinLarge!$H$139</definedName>
    <definedName name="solver_lhs240" localSheetId="62" hidden="1">NonLinLarge!$H$139</definedName>
    <definedName name="solver_lhs241" localSheetId="62" hidden="1">NonLinLarge!$H$7:$H$8</definedName>
    <definedName name="solver_lhs242" localSheetId="62" hidden="1">NonLinLarge!$H$9:$H$72</definedName>
    <definedName name="solver_lhs243" localSheetId="62" hidden="1">NonLinLarge!$H$73</definedName>
    <definedName name="solver_lhs244" localSheetId="62" hidden="1">NonLinLarge!$H$74</definedName>
    <definedName name="solver_lhs245" localSheetId="62" hidden="1">NonLinLarge!$H$75:$H$138</definedName>
    <definedName name="solver_lhs246" localSheetId="62" hidden="1">NonLinLarge!$H$139</definedName>
    <definedName name="solver_lhs247" localSheetId="62" hidden="1">NonLinLarge!$H$7:$H$8</definedName>
    <definedName name="solver_lhs248" localSheetId="62" hidden="1">NonLinLarge!$H$9:$H$72</definedName>
    <definedName name="solver_lhs249" localSheetId="62" hidden="1">NonLinLarge!$H$73</definedName>
    <definedName name="solver_lhs25" localSheetId="62" hidden="1">NonLinLarge!$H$7:$H$8</definedName>
    <definedName name="solver_lhs250" localSheetId="62" hidden="1">NonLinLarge!$H$74</definedName>
    <definedName name="solver_lhs251" localSheetId="62" hidden="1">NonLinLarge!$H$75:$H$138</definedName>
    <definedName name="solver_lhs252" localSheetId="62" hidden="1">NonLinLarge!$H$139</definedName>
    <definedName name="solver_lhs253" localSheetId="62" hidden="1">NonLinLarge!$H$7:$H$8</definedName>
    <definedName name="solver_lhs254" localSheetId="62" hidden="1">NonLinLarge!$H$9:$H$72</definedName>
    <definedName name="solver_lhs255" localSheetId="62" hidden="1">NonLinLarge!$H$73</definedName>
    <definedName name="solver_lhs256" localSheetId="62" hidden="1">NonLinLarge!$H$74</definedName>
    <definedName name="solver_lhs257" localSheetId="62" hidden="1">NonLinLarge!$H$75:$H$138</definedName>
    <definedName name="solver_lhs258" localSheetId="62" hidden="1">NonLinLarge!$H$139</definedName>
    <definedName name="solver_lhs259" localSheetId="62" hidden="1">NonLinLarge!$H$7:$H$8</definedName>
    <definedName name="solver_lhs26" localSheetId="62" hidden="1">NonLinLarge!$H$9:$H$72</definedName>
    <definedName name="solver_lhs260" localSheetId="62" hidden="1">NonLinLarge!$H$9:$H$72</definedName>
    <definedName name="solver_lhs261" localSheetId="62" hidden="1">NonLinLarge!$H$73</definedName>
    <definedName name="solver_lhs262" localSheetId="62" hidden="1">NonLinLarge!$H$74</definedName>
    <definedName name="solver_lhs263" localSheetId="62" hidden="1">NonLinLarge!$H$75:$H$138</definedName>
    <definedName name="solver_lhs264" localSheetId="62" hidden="1">NonLinLarge!$H$139</definedName>
    <definedName name="solver_lhs265" localSheetId="62" hidden="1">NonLinLarge!$H$7:$H$8</definedName>
    <definedName name="solver_lhs266" localSheetId="62" hidden="1">NonLinLarge!$H$9:$H$72</definedName>
    <definedName name="solver_lhs267" localSheetId="62" hidden="1">NonLinLarge!$H$73</definedName>
    <definedName name="solver_lhs268" localSheetId="62" hidden="1">NonLinLarge!$H$74</definedName>
    <definedName name="solver_lhs269" localSheetId="62" hidden="1">NonLinLarge!$H$75:$H$138</definedName>
    <definedName name="solver_lhs27" localSheetId="62" hidden="1">NonLinLarge!$H$73</definedName>
    <definedName name="solver_lhs270" localSheetId="62" hidden="1">NonLinLarge!$H$139</definedName>
    <definedName name="solver_lhs271" localSheetId="62" hidden="1">NonLinLarge!$H$7:$H$8</definedName>
    <definedName name="solver_lhs272" localSheetId="62" hidden="1">NonLinLarge!$H$9:$H$72</definedName>
    <definedName name="solver_lhs273" localSheetId="62" hidden="1">NonLinLarge!$H$73</definedName>
    <definedName name="solver_lhs274" localSheetId="62" hidden="1">NonLinLarge!$H$74</definedName>
    <definedName name="solver_lhs275" localSheetId="62" hidden="1">NonLinLarge!$H$75:$H$138</definedName>
    <definedName name="solver_lhs276" localSheetId="62" hidden="1">NonLinLarge!$H$139</definedName>
    <definedName name="solver_lhs277" localSheetId="62" hidden="1">NonLinLarge!$H$7:$H$8</definedName>
    <definedName name="solver_lhs278" localSheetId="62" hidden="1">NonLinLarge!$H$9:$H$72</definedName>
    <definedName name="solver_lhs279" localSheetId="62" hidden="1">NonLinLarge!$H$73</definedName>
    <definedName name="solver_lhs28" localSheetId="62" hidden="1">NonLinLarge!$H$74</definedName>
    <definedName name="solver_lhs280" localSheetId="62" hidden="1">NonLinLarge!$H$74</definedName>
    <definedName name="solver_lhs281" localSheetId="62" hidden="1">NonLinLarge!$H$75:$H$138</definedName>
    <definedName name="solver_lhs282" localSheetId="62" hidden="1">NonLinLarge!$H$139</definedName>
    <definedName name="solver_lhs283" localSheetId="62" hidden="1">NonLinLarge!$H$7:$H$8</definedName>
    <definedName name="solver_lhs284" localSheetId="62" hidden="1">NonLinLarge!$H$9:$H$72</definedName>
    <definedName name="solver_lhs285" localSheetId="62" hidden="1">NonLinLarge!$H$73</definedName>
    <definedName name="solver_lhs286" localSheetId="62" hidden="1">NonLinLarge!$H$74</definedName>
    <definedName name="solver_lhs287" localSheetId="62" hidden="1">NonLinLarge!$H$75:$H$138</definedName>
    <definedName name="solver_lhs288" localSheetId="62" hidden="1">NonLinLarge!$H$139</definedName>
    <definedName name="solver_lhs289" localSheetId="62" hidden="1">NonLinLarge!$H$7:$H$8</definedName>
    <definedName name="solver_lhs29" localSheetId="62" hidden="1">NonLinLarge!$H$75:$H$138</definedName>
    <definedName name="solver_lhs290" localSheetId="62" hidden="1">NonLinLarge!$H$9:$H$72</definedName>
    <definedName name="solver_lhs291" localSheetId="62" hidden="1">NonLinLarge!$H$73</definedName>
    <definedName name="solver_lhs292" localSheetId="62" hidden="1">NonLinLarge!$H$74</definedName>
    <definedName name="solver_lhs293" localSheetId="62" hidden="1">NonLinLarge!$H$75:$H$138</definedName>
    <definedName name="solver_lhs294" localSheetId="62" hidden="1">NonLinLarge!$H$139</definedName>
    <definedName name="solver_lhs295" localSheetId="62" hidden="1">NonLinLarge!$H$7:$H$8</definedName>
    <definedName name="solver_lhs296" localSheetId="62" hidden="1">NonLinLarge!$H$9:$H$72</definedName>
    <definedName name="solver_lhs297" localSheetId="62" hidden="1">NonLinLarge!$H$73</definedName>
    <definedName name="solver_lhs298" localSheetId="62" hidden="1">NonLinLarge!$H$74</definedName>
    <definedName name="solver_lhs299" localSheetId="62" hidden="1">NonLinLarge!$H$75:$H$138</definedName>
    <definedName name="solver_lhs3" localSheetId="36" hidden="1">BinIntLB!$F$5</definedName>
    <definedName name="solver_lhs3" localSheetId="21" hidden="1">BinIntOverlap!$I$11</definedName>
    <definedName name="solver_lhs3" localSheetId="35" hidden="1">BinLB!$F$5</definedName>
    <definedName name="solver_lhs3" localSheetId="8" hidden="1">BlankLHS!$H$11</definedName>
    <definedName name="solver_lhs3" localSheetId="7" hidden="1">BlankRHS!$H$11</definedName>
    <definedName name="solver_lhs3" localSheetId="48" hidden="1">ComplexLayout!$I$11</definedName>
    <definedName name="solver_lhs3" localSheetId="22" hidden="1">ConFormula!$I$12</definedName>
    <definedName name="solver_lhs3" localSheetId="23" hidden="1">ConFormulaInf!$I$12</definedName>
    <definedName name="solver_lhs3" localSheetId="26" hidden="1">DeletedConRef!$H$12</definedName>
    <definedName name="solver_lhs3" localSheetId="27" hidden="1">DeletedObjRef!$H$12</definedName>
    <definedName name="solver_lhs3" localSheetId="54" hidden="1">DiffSheetObj!$G$8:$G$9</definedName>
    <definedName name="solver_lhs3" localSheetId="11" hidden="1">ErrorLHS!$H$11</definedName>
    <definedName name="solver_lhs3" localSheetId="13" hidden="1">ErrorObj!$H$11</definedName>
    <definedName name="solver_lhs3" localSheetId="10" hidden="1">ErrorRHS!$H$11</definedName>
    <definedName name="solver_lhs3" localSheetId="25" hidden="1">'EscapeSheetName(1)+2-1'!$H$11</definedName>
    <definedName name="solver_lhs3" localSheetId="29" hidden="1">FeasConstConstraint!$J$11</definedName>
    <definedName name="solver_lhs3" localSheetId="47" hidden="1">FractionalCoeffs!$G$8:$G$9</definedName>
    <definedName name="solver_lhs3" localSheetId="32" hidden="1">IndirectLBs!$H$13</definedName>
    <definedName name="solver_lhs3" localSheetId="28" hidden="1">InfConstConstraint!$J$11</definedName>
    <definedName name="solver_lhs3" localSheetId="49" hidden="1">InfModel!$H$12</definedName>
    <definedName name="solver_lhs3" localSheetId="50" hidden="1">IterativeCalc!$H$12</definedName>
    <definedName name="solver_lhs3" localSheetId="19" hidden="1">MergedLHS_OK!$H$12</definedName>
    <definedName name="solver_lhs3" localSheetId="20" hidden="1">MergedLHSMultiple_OK!$H$12</definedName>
    <definedName name="solver_lhs3" localSheetId="18" hidden="1">MergedRHS_OK!$H$12</definedName>
    <definedName name="solver_lhs3" localSheetId="17" hidden="1">MergedVarsBad!$H$12</definedName>
    <definedName name="solver_lhs3" localSheetId="16" hidden="1">MergedVarsOK!$H$12</definedName>
    <definedName name="solver_lhs3" localSheetId="15" hidden="1">MergedVarsSubset!$H$12</definedName>
    <definedName name="solver_lhs3" localSheetId="55" hidden="1">NamedRanges!$I$10:$I$11</definedName>
    <definedName name="solver_lhs3" localSheetId="68" hidden="1">NonLin!$J$43</definedName>
    <definedName name="solver_lhs3" localSheetId="73" hidden="1">NonLin6!$D$8</definedName>
    <definedName name="solver_lhs3" localSheetId="62" hidden="1">NonLinLarge!$H$73</definedName>
    <definedName name="solver_lhs3" localSheetId="63" hidden="1">NonLinObj!$H$10</definedName>
    <definedName name="solver_lhs3" localSheetId="64" hidden="1">NonLinPruning!$F$12:$F$18</definedName>
    <definedName name="solver_lhs3" localSheetId="61" hidden="1">NonLinSimple!$H$10</definedName>
    <definedName name="solver_lhs3" localSheetId="51" hidden="1">NoObj!$H$12</definedName>
    <definedName name="solver_lhs3" localSheetId="6" hidden="1">OverlappingVars!$H$11</definedName>
    <definedName name="solver_lhs3" localSheetId="31" hidden="1">ProtectedSheet!$H$11</definedName>
    <definedName name="solver_lhs3" localSheetId="37" hidden="1">Relaxation!$F$5</definedName>
    <definedName name="solver_lhs3" localSheetId="52" hidden="1">SeekObj!$G$8:$G$9</definedName>
    <definedName name="solver_lhs3" localSheetId="53" hidden="1">SeekObjInf!$G$8:$G$9</definedName>
    <definedName name="solver_lhs3" localSheetId="59" hidden="1">Sensitivity!$G$10:$G$11</definedName>
    <definedName name="solver_lhs3" localSheetId="60" hidden="1">SensitivityNames!$J$24</definedName>
    <definedName name="solver_lhs3" localSheetId="3" hidden="1">SimpleLP!$H$11</definedName>
    <definedName name="solver_lhs3" localSheetId="57" hidden="1">SolverParameters!$H$20</definedName>
    <definedName name="solver_lhs3" localSheetId="14" hidden="1">TextObj!$H$11</definedName>
    <definedName name="solver_lhs3" localSheetId="9" hidden="1">TextRHS!$H$11</definedName>
    <definedName name="solver_lhs3" localSheetId="30" hidden="1">Unbounded!$H$11</definedName>
    <definedName name="solver_lhs30" localSheetId="62" hidden="1">NonLinLarge!$H$139</definedName>
    <definedName name="solver_lhs300" localSheetId="62" hidden="1">NonLinLarge!$H$139</definedName>
    <definedName name="solver_lhs301" localSheetId="62" hidden="1">NonLinLarge!$H$7:$H$8</definedName>
    <definedName name="solver_lhs302" localSheetId="62" hidden="1">NonLinLarge!$H$9:$H$72</definedName>
    <definedName name="solver_lhs303" localSheetId="62" hidden="1">NonLinLarge!$H$73</definedName>
    <definedName name="solver_lhs304" localSheetId="62" hidden="1">NonLinLarge!$H$74</definedName>
    <definedName name="solver_lhs305" localSheetId="62" hidden="1">NonLinLarge!$H$75:$H$138</definedName>
    <definedName name="solver_lhs306" localSheetId="62" hidden="1">NonLinLarge!$H$139</definedName>
    <definedName name="solver_lhs307" localSheetId="62" hidden="1">NonLinLarge!$H$7:$H$8</definedName>
    <definedName name="solver_lhs308" localSheetId="62" hidden="1">NonLinLarge!$H$9:$H$72</definedName>
    <definedName name="solver_lhs309" localSheetId="62" hidden="1">NonLinLarge!$H$73</definedName>
    <definedName name="solver_lhs31" localSheetId="62" hidden="1">NonLinLarge!$H$7:$H$8</definedName>
    <definedName name="solver_lhs310" localSheetId="62" hidden="1">NonLinLarge!$H$74</definedName>
    <definedName name="solver_lhs311" localSheetId="62" hidden="1">NonLinLarge!$H$75:$H$138</definedName>
    <definedName name="solver_lhs312" localSheetId="62" hidden="1">NonLinLarge!$H$139</definedName>
    <definedName name="solver_lhs313" localSheetId="62" hidden="1">NonLinLarge!$H$7:$H$8</definedName>
    <definedName name="solver_lhs314" localSheetId="62" hidden="1">NonLinLarge!$H$9:$H$72</definedName>
    <definedName name="solver_lhs315" localSheetId="62" hidden="1">NonLinLarge!$H$73</definedName>
    <definedName name="solver_lhs316" localSheetId="62" hidden="1">NonLinLarge!$H$74</definedName>
    <definedName name="solver_lhs317" localSheetId="62" hidden="1">NonLinLarge!$H$75:$H$138</definedName>
    <definedName name="solver_lhs318" localSheetId="62" hidden="1">NonLinLarge!$H$139</definedName>
    <definedName name="solver_lhs319" localSheetId="62" hidden="1">NonLinLarge!$H$7:$H$8</definedName>
    <definedName name="solver_lhs32" localSheetId="62" hidden="1">NonLinLarge!$H$9:$H$72</definedName>
    <definedName name="solver_lhs320" localSheetId="62" hidden="1">NonLinLarge!$H$9:$H$72</definedName>
    <definedName name="solver_lhs321" localSheetId="62" hidden="1">NonLinLarge!$H$73</definedName>
    <definedName name="solver_lhs322" localSheetId="62" hidden="1">NonLinLarge!$H$74</definedName>
    <definedName name="solver_lhs323" localSheetId="62" hidden="1">NonLinLarge!$H$75:$H$138</definedName>
    <definedName name="solver_lhs324" localSheetId="62" hidden="1">NonLinLarge!$H$139</definedName>
    <definedName name="solver_lhs325" localSheetId="62" hidden="1">NonLinLarge!$H$7:$H$8</definedName>
    <definedName name="solver_lhs326" localSheetId="62" hidden="1">NonLinLarge!$H$9:$H$72</definedName>
    <definedName name="solver_lhs327" localSheetId="62" hidden="1">NonLinLarge!$H$73</definedName>
    <definedName name="solver_lhs328" localSheetId="62" hidden="1">NonLinLarge!$H$74</definedName>
    <definedName name="solver_lhs329" localSheetId="62" hidden="1">NonLinLarge!$H$75:$H$138</definedName>
    <definedName name="solver_lhs33" localSheetId="62" hidden="1">NonLinLarge!$H$73</definedName>
    <definedName name="solver_lhs330" localSheetId="62" hidden="1">NonLinLarge!$H$139</definedName>
    <definedName name="solver_lhs331" localSheetId="62" hidden="1">NonLinLarge!$H$7:$H$8</definedName>
    <definedName name="solver_lhs332" localSheetId="62" hidden="1">NonLinLarge!$H$9:$H$72</definedName>
    <definedName name="solver_lhs333" localSheetId="62" hidden="1">NonLinLarge!$H$73</definedName>
    <definedName name="solver_lhs334" localSheetId="62" hidden="1">NonLinLarge!$H$74</definedName>
    <definedName name="solver_lhs335" localSheetId="62" hidden="1">NonLinLarge!$H$75:$H$138</definedName>
    <definedName name="solver_lhs336" localSheetId="62" hidden="1">NonLinLarge!$H$139</definedName>
    <definedName name="solver_lhs337" localSheetId="62" hidden="1">NonLinLarge!$H$7:$H$8</definedName>
    <definedName name="solver_lhs338" localSheetId="62" hidden="1">NonLinLarge!$H$9:$H$72</definedName>
    <definedName name="solver_lhs339" localSheetId="62" hidden="1">NonLinLarge!$H$73</definedName>
    <definedName name="solver_lhs34" localSheetId="62" hidden="1">NonLinLarge!$H$74</definedName>
    <definedName name="solver_lhs340" localSheetId="62" hidden="1">NonLinLarge!$H$74</definedName>
    <definedName name="solver_lhs341" localSheetId="62" hidden="1">NonLinLarge!$H$75:$H$138</definedName>
    <definedName name="solver_lhs342" localSheetId="62" hidden="1">NonLinLarge!$H$139</definedName>
    <definedName name="solver_lhs343" localSheetId="62" hidden="1">NonLinLarge!$H$7:$H$8</definedName>
    <definedName name="solver_lhs344" localSheetId="62" hidden="1">NonLinLarge!$H$9:$H$72</definedName>
    <definedName name="solver_lhs345" localSheetId="62" hidden="1">NonLinLarge!$H$73</definedName>
    <definedName name="solver_lhs346" localSheetId="62" hidden="1">NonLinLarge!$H$74</definedName>
    <definedName name="solver_lhs347" localSheetId="62" hidden="1">NonLinLarge!$H$75:$H$138</definedName>
    <definedName name="solver_lhs348" localSheetId="62" hidden="1">NonLinLarge!$H$139</definedName>
    <definedName name="solver_lhs349" localSheetId="62" hidden="1">NonLinLarge!$H$7:$H$8</definedName>
    <definedName name="solver_lhs35" localSheetId="62" hidden="1">NonLinLarge!$H$75:$H$138</definedName>
    <definedName name="solver_lhs350" localSheetId="62" hidden="1">NonLinLarge!$H$9:$H$72</definedName>
    <definedName name="solver_lhs351" localSheetId="62" hidden="1">NonLinLarge!$H$73</definedName>
    <definedName name="solver_lhs352" localSheetId="62" hidden="1">NonLinLarge!$H$74</definedName>
    <definedName name="solver_lhs353" localSheetId="62" hidden="1">NonLinLarge!$H$75:$H$138</definedName>
    <definedName name="solver_lhs354" localSheetId="62" hidden="1">NonLinLarge!$H$139</definedName>
    <definedName name="solver_lhs355" localSheetId="62" hidden="1">NonLinLarge!$H$7:$H$8</definedName>
    <definedName name="solver_lhs356" localSheetId="62" hidden="1">NonLinLarge!$H$9:$H$72</definedName>
    <definedName name="solver_lhs357" localSheetId="62" hidden="1">NonLinLarge!$H$73</definedName>
    <definedName name="solver_lhs358" localSheetId="62" hidden="1">NonLinLarge!$H$74</definedName>
    <definedName name="solver_lhs359" localSheetId="62" hidden="1">NonLinLarge!$H$75:$H$138</definedName>
    <definedName name="solver_lhs36" localSheetId="62" hidden="1">NonLinLarge!$H$139</definedName>
    <definedName name="solver_lhs360" localSheetId="62" hidden="1">NonLinLarge!$H$139</definedName>
    <definedName name="solver_lhs361" localSheetId="62" hidden="1">NonLinLarge!$H$7:$H$8</definedName>
    <definedName name="solver_lhs362" localSheetId="62" hidden="1">NonLinLarge!$H$9:$H$72</definedName>
    <definedName name="solver_lhs363" localSheetId="62" hidden="1">NonLinLarge!$H$73</definedName>
    <definedName name="solver_lhs364" localSheetId="62" hidden="1">NonLinLarge!$H$74</definedName>
    <definedName name="solver_lhs365" localSheetId="62" hidden="1">NonLinLarge!$H$75:$H$138</definedName>
    <definedName name="solver_lhs366" localSheetId="62" hidden="1">NonLinLarge!$H$139</definedName>
    <definedName name="solver_lhs367" localSheetId="62" hidden="1">NonLinLarge!$H$7:$H$8</definedName>
    <definedName name="solver_lhs368" localSheetId="62" hidden="1">NonLinLarge!$H$9:$H$72</definedName>
    <definedName name="solver_lhs369" localSheetId="62" hidden="1">NonLinLarge!$H$73</definedName>
    <definedName name="solver_lhs37" localSheetId="62" hidden="1">NonLinLarge!$H$7:$H$8</definedName>
    <definedName name="solver_lhs370" localSheetId="62" hidden="1">NonLinLarge!$H$74</definedName>
    <definedName name="solver_lhs371" localSheetId="62" hidden="1">NonLinLarge!$H$75:$H$138</definedName>
    <definedName name="solver_lhs372" localSheetId="62" hidden="1">NonLinLarge!$H$139</definedName>
    <definedName name="solver_lhs373" localSheetId="62" hidden="1">NonLinLarge!$H$7:$H$8</definedName>
    <definedName name="solver_lhs374" localSheetId="62" hidden="1">NonLinLarge!$H$9:$H$72</definedName>
    <definedName name="solver_lhs375" localSheetId="62" hidden="1">NonLinLarge!$H$73</definedName>
    <definedName name="solver_lhs376" localSheetId="62" hidden="1">NonLinLarge!$H$74</definedName>
    <definedName name="solver_lhs377" localSheetId="62" hidden="1">NonLinLarge!$H$75:$H$138</definedName>
    <definedName name="solver_lhs378" localSheetId="62" hidden="1">NonLinLarge!$H$139</definedName>
    <definedName name="solver_lhs379" localSheetId="62" hidden="1">NonLinLarge!$H$7:$H$8</definedName>
    <definedName name="solver_lhs38" localSheetId="62" hidden="1">NonLinLarge!$H$9:$H$72</definedName>
    <definedName name="solver_lhs380" localSheetId="62" hidden="1">NonLinLarge!$H$9:$H$72</definedName>
    <definedName name="solver_lhs381" localSheetId="62" hidden="1">NonLinLarge!$H$73</definedName>
    <definedName name="solver_lhs382" localSheetId="62" hidden="1">NonLinLarge!$H$74</definedName>
    <definedName name="solver_lhs383" localSheetId="62" hidden="1">NonLinLarge!$H$75:$H$138</definedName>
    <definedName name="solver_lhs384" localSheetId="62" hidden="1">NonLinLarge!$H$139</definedName>
    <definedName name="solver_lhs385" localSheetId="62" hidden="1">NonLinLarge!$H$7:$H$8</definedName>
    <definedName name="solver_lhs386" localSheetId="62" hidden="1">NonLinLarge!$H$9:$H$72</definedName>
    <definedName name="solver_lhs387" localSheetId="62" hidden="1">NonLinLarge!$H$73</definedName>
    <definedName name="solver_lhs388" localSheetId="62" hidden="1">NonLinLarge!$H$74</definedName>
    <definedName name="solver_lhs389" localSheetId="62" hidden="1">NonLinLarge!$H$75:$H$138</definedName>
    <definedName name="solver_lhs39" localSheetId="62" hidden="1">NonLinLarge!$H$73</definedName>
    <definedName name="solver_lhs390" localSheetId="62" hidden="1">NonLinLarge!$H$139</definedName>
    <definedName name="solver_lhs391" localSheetId="62" hidden="1">NonLinLarge!$H$7:$H$8</definedName>
    <definedName name="solver_lhs392" localSheetId="62" hidden="1">NonLinLarge!$H$9:$H$72</definedName>
    <definedName name="solver_lhs393" localSheetId="62" hidden="1">NonLinLarge!$H$73</definedName>
    <definedName name="solver_lhs394" localSheetId="62" hidden="1">NonLinLarge!$H$74</definedName>
    <definedName name="solver_lhs395" localSheetId="62" hidden="1">NonLinLarge!$H$75:$H$138</definedName>
    <definedName name="solver_lhs396" localSheetId="62" hidden="1">NonLinLarge!$H$139</definedName>
    <definedName name="solver_lhs397" localSheetId="62" hidden="1">NonLinLarge!$H$7:$H$8</definedName>
    <definedName name="solver_lhs398" localSheetId="62" hidden="1">NonLinLarge!$H$9:$H$72</definedName>
    <definedName name="solver_lhs399" localSheetId="62" hidden="1">NonLinLarge!$H$73</definedName>
    <definedName name="solver_lhs4" localSheetId="36" hidden="1">BinIntLB!$E$5:$F$5</definedName>
    <definedName name="solver_lhs4" localSheetId="21" hidden="1">BinIntOverlap!$E$4:$F$4</definedName>
    <definedName name="solver_lhs4" localSheetId="48" hidden="1">ComplexLayout!$E$4:$F$4</definedName>
    <definedName name="solver_lhs4" localSheetId="22" hidden="1">ConFormula!$E$5:$F$5</definedName>
    <definedName name="solver_lhs4" localSheetId="23" hidden="1">ConFormulaInf!$E$5:$F$5</definedName>
    <definedName name="solver_lhs4" localSheetId="26" hidden="1">DeletedConRef!$K$1</definedName>
    <definedName name="solver_lhs4" localSheetId="32" hidden="1">IndirectLBs!$D$5:$E$5</definedName>
    <definedName name="solver_lhs4" localSheetId="49" hidden="1">InfModel!$D$5</definedName>
    <definedName name="solver_lhs4" localSheetId="55" hidden="1">NamedRanges!$I$12</definedName>
    <definedName name="solver_lhs4" localSheetId="68" hidden="1">NonLin!$J$44</definedName>
    <definedName name="solver_lhs4" localSheetId="73" hidden="1">NonLin6!$D$8</definedName>
    <definedName name="solver_lhs4" localSheetId="62" hidden="1">NonLinLarge!$H$74</definedName>
    <definedName name="solver_lhs4" localSheetId="37" hidden="1">Relaxation!$E$5:$F$5</definedName>
    <definedName name="solver_lhs4" localSheetId="59" hidden="1">Sensitivity!$G$20</definedName>
    <definedName name="solver_lhs4" localSheetId="60" hidden="1">SensitivityNames!$D$14:$H$16</definedName>
    <definedName name="solver_lhs4" localSheetId="58" hidden="1">Warmstart!$D$1:$UE$1</definedName>
    <definedName name="solver_lhs40" localSheetId="62" hidden="1">NonLinLarge!$H$74</definedName>
    <definedName name="solver_lhs400" localSheetId="62" hidden="1">NonLinLarge!$H$74</definedName>
    <definedName name="solver_lhs401" localSheetId="62" hidden="1">NonLinLarge!$H$75:$H$138</definedName>
    <definedName name="solver_lhs402" localSheetId="62" hidden="1">NonLinLarge!$H$139</definedName>
    <definedName name="solver_lhs403" localSheetId="62" hidden="1">NonLinLarge!$H$7:$H$8</definedName>
    <definedName name="solver_lhs404" localSheetId="62" hidden="1">NonLinLarge!$H$9:$H$72</definedName>
    <definedName name="solver_lhs405" localSheetId="62" hidden="1">NonLinLarge!$H$73</definedName>
    <definedName name="solver_lhs406" localSheetId="62" hidden="1">NonLinLarge!$H$74</definedName>
    <definedName name="solver_lhs407" localSheetId="62" hidden="1">NonLinLarge!$H$75:$H$138</definedName>
    <definedName name="solver_lhs408" localSheetId="62" hidden="1">NonLinLarge!$H$139</definedName>
    <definedName name="solver_lhs409" localSheetId="62" hidden="1">NonLinLarge!$H$7:$H$8</definedName>
    <definedName name="solver_lhs41" localSheetId="62" hidden="1">NonLinLarge!$H$75:$H$138</definedName>
    <definedName name="solver_lhs410" localSheetId="62" hidden="1">NonLinLarge!$H$9:$H$72</definedName>
    <definedName name="solver_lhs411" localSheetId="62" hidden="1">NonLinLarge!$H$73</definedName>
    <definedName name="solver_lhs412" localSheetId="62" hidden="1">NonLinLarge!$H$74</definedName>
    <definedName name="solver_lhs413" localSheetId="62" hidden="1">NonLinLarge!$H$75:$H$138</definedName>
    <definedName name="solver_lhs414" localSheetId="62" hidden="1">NonLinLarge!$H$139</definedName>
    <definedName name="solver_lhs415" localSheetId="62" hidden="1">NonLinLarge!$H$7:$H$8</definedName>
    <definedName name="solver_lhs416" localSheetId="62" hidden="1">NonLinLarge!$H$9:$H$72</definedName>
    <definedName name="solver_lhs417" localSheetId="62" hidden="1">NonLinLarge!$H$73</definedName>
    <definedName name="solver_lhs418" localSheetId="62" hidden="1">NonLinLarge!$H$74</definedName>
    <definedName name="solver_lhs419" localSheetId="62" hidden="1">NonLinLarge!$H$75:$H$138</definedName>
    <definedName name="solver_lhs42" localSheetId="62" hidden="1">NonLinLarge!$H$139</definedName>
    <definedName name="solver_lhs420" localSheetId="62" hidden="1">NonLinLarge!$H$139</definedName>
    <definedName name="solver_lhs421" localSheetId="62" hidden="1">NonLinLarge!$H$7:$H$8</definedName>
    <definedName name="solver_lhs422" localSheetId="62" hidden="1">NonLinLarge!$H$9:$H$72</definedName>
    <definedName name="solver_lhs423" localSheetId="62" hidden="1">NonLinLarge!$H$73</definedName>
    <definedName name="solver_lhs424" localSheetId="62" hidden="1">NonLinLarge!$H$74</definedName>
    <definedName name="solver_lhs425" localSheetId="62" hidden="1">NonLinLarge!$H$75:$H$138</definedName>
    <definedName name="solver_lhs426" localSheetId="62" hidden="1">NonLinLarge!$H$139</definedName>
    <definedName name="solver_lhs427" localSheetId="62" hidden="1">NonLinLarge!$H$7:$H$8</definedName>
    <definedName name="solver_lhs428" localSheetId="62" hidden="1">NonLinLarge!$H$9:$H$72</definedName>
    <definedName name="solver_lhs429" localSheetId="62" hidden="1">NonLinLarge!$H$73</definedName>
    <definedName name="solver_lhs43" localSheetId="62" hidden="1">NonLinLarge!$H$7:$H$8</definedName>
    <definedName name="solver_lhs430" localSheetId="62" hidden="1">NonLinLarge!$H$74</definedName>
    <definedName name="solver_lhs431" localSheetId="62" hidden="1">NonLinLarge!$H$75:$H$138</definedName>
    <definedName name="solver_lhs432" localSheetId="62" hidden="1">NonLinLarge!$H$139</definedName>
    <definedName name="solver_lhs433" localSheetId="62" hidden="1">NonLinLarge!$H$7:$H$8</definedName>
    <definedName name="solver_lhs434" localSheetId="62" hidden="1">NonLinLarge!$H$9:$H$72</definedName>
    <definedName name="solver_lhs435" localSheetId="62" hidden="1">NonLinLarge!$H$73</definedName>
    <definedName name="solver_lhs436" localSheetId="62" hidden="1">NonLinLarge!$H$74</definedName>
    <definedName name="solver_lhs437" localSheetId="62" hidden="1">NonLinLarge!$H$75:$H$138</definedName>
    <definedName name="solver_lhs438" localSheetId="62" hidden="1">NonLinLarge!$H$139</definedName>
    <definedName name="solver_lhs439" localSheetId="62" hidden="1">NonLinLarge!$H$7:$H$8</definedName>
    <definedName name="solver_lhs44" localSheetId="62" hidden="1">NonLinLarge!$H$9:$H$72</definedName>
    <definedName name="solver_lhs440" localSheetId="62" hidden="1">NonLinLarge!$H$9:$H$72</definedName>
    <definedName name="solver_lhs441" localSheetId="62" hidden="1">NonLinLarge!$H$73</definedName>
    <definedName name="solver_lhs442" localSheetId="62" hidden="1">NonLinLarge!$H$74</definedName>
    <definedName name="solver_lhs443" localSheetId="62" hidden="1">NonLinLarge!$H$75:$H$138</definedName>
    <definedName name="solver_lhs444" localSheetId="62" hidden="1">NonLinLarge!$H$139</definedName>
    <definedName name="solver_lhs445" localSheetId="62" hidden="1">NonLinLarge!$H$7:$H$8</definedName>
    <definedName name="solver_lhs446" localSheetId="62" hidden="1">NonLinLarge!$H$9:$H$72</definedName>
    <definedName name="solver_lhs447" localSheetId="62" hidden="1">NonLinLarge!$H$73</definedName>
    <definedName name="solver_lhs448" localSheetId="62" hidden="1">NonLinLarge!$H$74</definedName>
    <definedName name="solver_lhs449" localSheetId="62" hidden="1">NonLinLarge!$H$75:$H$138</definedName>
    <definedName name="solver_lhs45" localSheetId="62" hidden="1">NonLinLarge!$H$73</definedName>
    <definedName name="solver_lhs450" localSheetId="62" hidden="1">NonLinLarge!$H$139</definedName>
    <definedName name="solver_lhs451" localSheetId="62" hidden="1">NonLinLarge!$H$7:$H$8</definedName>
    <definedName name="solver_lhs452" localSheetId="62" hidden="1">NonLinLarge!$H$9:$H$72</definedName>
    <definedName name="solver_lhs453" localSheetId="62" hidden="1">NonLinLarge!$H$73</definedName>
    <definedName name="solver_lhs454" localSheetId="62" hidden="1">NonLinLarge!$H$74</definedName>
    <definedName name="solver_lhs455" localSheetId="62" hidden="1">NonLinLarge!$H$75:$H$138</definedName>
    <definedName name="solver_lhs456" localSheetId="62" hidden="1">NonLinLarge!$H$139</definedName>
    <definedName name="solver_lhs457" localSheetId="62" hidden="1">NonLinLarge!$H$7:$H$8</definedName>
    <definedName name="solver_lhs458" localSheetId="62" hidden="1">NonLinLarge!$H$9:$H$72</definedName>
    <definedName name="solver_lhs459" localSheetId="62" hidden="1">NonLinLarge!$H$73</definedName>
    <definedName name="solver_lhs46" localSheetId="62" hidden="1">NonLinLarge!$H$74</definedName>
    <definedName name="solver_lhs460" localSheetId="62" hidden="1">NonLinLarge!$H$74</definedName>
    <definedName name="solver_lhs461" localSheetId="62" hidden="1">NonLinLarge!$H$75:$H$138</definedName>
    <definedName name="solver_lhs462" localSheetId="62" hidden="1">NonLinLarge!$H$139</definedName>
    <definedName name="solver_lhs463" localSheetId="62" hidden="1">NonLinLarge!$H$7:$H$8</definedName>
    <definedName name="solver_lhs464" localSheetId="62" hidden="1">NonLinLarge!$H$9:$H$72</definedName>
    <definedName name="solver_lhs465" localSheetId="62" hidden="1">NonLinLarge!$H$73</definedName>
    <definedName name="solver_lhs466" localSheetId="62" hidden="1">NonLinLarge!$H$74</definedName>
    <definedName name="solver_lhs467" localSheetId="62" hidden="1">NonLinLarge!$H$75:$H$138</definedName>
    <definedName name="solver_lhs468" localSheetId="62" hidden="1">NonLinLarge!$H$139</definedName>
    <definedName name="solver_lhs469" localSheetId="62" hidden="1">NonLinLarge!$H$7:$H$8</definedName>
    <definedName name="solver_lhs47" localSheetId="62" hidden="1">NonLinLarge!$H$75:$H$138</definedName>
    <definedName name="solver_lhs470" localSheetId="62" hidden="1">NonLinLarge!$H$9:$H$72</definedName>
    <definedName name="solver_lhs471" localSheetId="62" hidden="1">NonLinLarge!$H$73</definedName>
    <definedName name="solver_lhs472" localSheetId="62" hidden="1">NonLinLarge!$H$74</definedName>
    <definedName name="solver_lhs473" localSheetId="62" hidden="1">NonLinLarge!$H$75:$H$138</definedName>
    <definedName name="solver_lhs474" localSheetId="62" hidden="1">NonLinLarge!$H$139</definedName>
    <definedName name="solver_lhs475" localSheetId="62" hidden="1">NonLinLarge!$H$7:$H$8</definedName>
    <definedName name="solver_lhs476" localSheetId="62" hidden="1">NonLinLarge!$H$9:$H$72</definedName>
    <definedName name="solver_lhs477" localSheetId="62" hidden="1">NonLinLarge!$H$73</definedName>
    <definedName name="solver_lhs478" localSheetId="62" hidden="1">NonLinLarge!$H$74</definedName>
    <definedName name="solver_lhs479" localSheetId="62" hidden="1">NonLinLarge!$H$75:$H$138</definedName>
    <definedName name="solver_lhs48" localSheetId="62" hidden="1">NonLinLarge!$H$139</definedName>
    <definedName name="solver_lhs480" localSheetId="62" hidden="1">NonLinLarge!$H$139</definedName>
    <definedName name="solver_lhs481" localSheetId="62" hidden="1">NonLinLarge!$H$7:$H$8</definedName>
    <definedName name="solver_lhs482" localSheetId="62" hidden="1">NonLinLarge!$H$9:$H$72</definedName>
    <definedName name="solver_lhs483" localSheetId="62" hidden="1">NonLinLarge!$H$73</definedName>
    <definedName name="solver_lhs484" localSheetId="62" hidden="1">NonLinLarge!$H$74</definedName>
    <definedName name="solver_lhs485" localSheetId="62" hidden="1">NonLinLarge!$H$75:$H$138</definedName>
    <definedName name="solver_lhs486" localSheetId="62" hidden="1">NonLinLarge!$H$139</definedName>
    <definedName name="solver_lhs487" localSheetId="62" hidden="1">NonLinLarge!$H$7:$H$8</definedName>
    <definedName name="solver_lhs488" localSheetId="62" hidden="1">NonLinLarge!$H$9:$H$72</definedName>
    <definedName name="solver_lhs489" localSheetId="62" hidden="1">NonLinLarge!$H$73</definedName>
    <definedName name="solver_lhs49" localSheetId="62" hidden="1">NonLinLarge!$H$7:$H$8</definedName>
    <definedName name="solver_lhs490" localSheetId="62" hidden="1">NonLinLarge!$H$74</definedName>
    <definedName name="solver_lhs491" localSheetId="62" hidden="1">NonLinLarge!$H$75:$H$138</definedName>
    <definedName name="solver_lhs492" localSheetId="62" hidden="1">NonLinLarge!$H$139</definedName>
    <definedName name="solver_lhs493" localSheetId="62" hidden="1">NonLinLarge!$H$7:$H$8</definedName>
    <definedName name="solver_lhs494" localSheetId="62" hidden="1">NonLinLarge!$H$9:$H$72</definedName>
    <definedName name="solver_lhs495" localSheetId="62" hidden="1">NonLinLarge!$H$73</definedName>
    <definedName name="solver_lhs496" localSheetId="62" hidden="1">NonLinLarge!$H$74</definedName>
    <definedName name="solver_lhs497" localSheetId="62" hidden="1">NonLinLarge!$H$75:$H$138</definedName>
    <definedName name="solver_lhs498" localSheetId="62" hidden="1">NonLinLarge!$H$139</definedName>
    <definedName name="solver_lhs499" localSheetId="62" hidden="1">NonLinLarge!$H$7:$H$8</definedName>
    <definedName name="solver_lhs5" localSheetId="21" hidden="1">BinIntOverlap!$D$4:$F$4</definedName>
    <definedName name="solver_lhs5" localSheetId="48" hidden="1">ComplexLayout!$D$4:$F$4</definedName>
    <definedName name="solver_lhs5" localSheetId="22" hidden="1">ConFormula!$D$5:$F$5</definedName>
    <definedName name="solver_lhs5" localSheetId="23" hidden="1">ConFormulaInf!$D$5:$F$5</definedName>
    <definedName name="solver_lhs5" localSheetId="32" hidden="1">IndirectLBs!$D$5</definedName>
    <definedName name="solver_lhs5" localSheetId="68" hidden="1">NonLin!$D$3:$D$35</definedName>
    <definedName name="solver_lhs5" localSheetId="62" hidden="1">NonLinLarge!$H$75:$H$138</definedName>
    <definedName name="solver_lhs5" localSheetId="58" hidden="1">Warmstart!#REF!</definedName>
    <definedName name="solver_lhs50" localSheetId="62" hidden="1">NonLinLarge!$H$9:$H$72</definedName>
    <definedName name="solver_lhs500" localSheetId="62" hidden="1">NonLinLarge!$H$9:$H$72</definedName>
    <definedName name="solver_lhs501" localSheetId="62" hidden="1">NonLinLarge!$H$73</definedName>
    <definedName name="solver_lhs502" localSheetId="62" hidden="1">NonLinLarge!$H$74</definedName>
    <definedName name="solver_lhs503" localSheetId="62" hidden="1">NonLinLarge!$H$75:$H$138</definedName>
    <definedName name="solver_lhs504" localSheetId="62" hidden="1">NonLinLarge!$H$139</definedName>
    <definedName name="solver_lhs505" localSheetId="62" hidden="1">NonLinLarge!$H$7:$H$8</definedName>
    <definedName name="solver_lhs506" localSheetId="62" hidden="1">NonLinLarge!$H$9:$H$72</definedName>
    <definedName name="solver_lhs507" localSheetId="62" hidden="1">NonLinLarge!$H$73</definedName>
    <definedName name="solver_lhs508" localSheetId="62" hidden="1">NonLinLarge!$H$74</definedName>
    <definedName name="solver_lhs509" localSheetId="62" hidden="1">NonLinLarge!$H$75:$H$138</definedName>
    <definedName name="solver_lhs51" localSheetId="62" hidden="1">NonLinLarge!$H$73</definedName>
    <definedName name="solver_lhs510" localSheetId="62" hidden="1">NonLinLarge!$H$139</definedName>
    <definedName name="solver_lhs511" localSheetId="62" hidden="1">NonLinLarge!$H$7:$H$8</definedName>
    <definedName name="solver_lhs512" localSheetId="62" hidden="1">NonLinLarge!$H$9:$H$72</definedName>
    <definedName name="solver_lhs513" localSheetId="62" hidden="1">NonLinLarge!$H$73</definedName>
    <definedName name="solver_lhs514" localSheetId="62" hidden="1">NonLinLarge!$H$74</definedName>
    <definedName name="solver_lhs515" localSheetId="62" hidden="1">NonLinLarge!$H$75:$H$138</definedName>
    <definedName name="solver_lhs516" localSheetId="62" hidden="1">NonLinLarge!$H$139</definedName>
    <definedName name="solver_lhs517" localSheetId="62" hidden="1">NonLinLarge!$H$7:$H$8</definedName>
    <definedName name="solver_lhs518" localSheetId="62" hidden="1">NonLinLarge!$H$9:$H$72</definedName>
    <definedName name="solver_lhs519" localSheetId="62" hidden="1">NonLinLarge!$H$73</definedName>
    <definedName name="solver_lhs52" localSheetId="62" hidden="1">NonLinLarge!$H$74</definedName>
    <definedName name="solver_lhs520" localSheetId="62" hidden="1">NonLinLarge!$H$74</definedName>
    <definedName name="solver_lhs521" localSheetId="62" hidden="1">NonLinLarge!$H$75:$H$138</definedName>
    <definedName name="solver_lhs522" localSheetId="62" hidden="1">NonLinLarge!$H$139</definedName>
    <definedName name="solver_lhs523" localSheetId="62" hidden="1">NonLinLarge!$H$7:$H$8</definedName>
    <definedName name="solver_lhs524" localSheetId="62" hidden="1">NonLinLarge!$H$9:$H$72</definedName>
    <definedName name="solver_lhs525" localSheetId="62" hidden="1">NonLinLarge!$H$73</definedName>
    <definedName name="solver_lhs526" localSheetId="62" hidden="1">NonLinLarge!$H$74</definedName>
    <definedName name="solver_lhs527" localSheetId="62" hidden="1">NonLinLarge!$H$75:$H$138</definedName>
    <definedName name="solver_lhs528" localSheetId="62" hidden="1">NonLinLarge!$H$139</definedName>
    <definedName name="solver_lhs529" localSheetId="62" hidden="1">NonLinLarge!$H$7:$H$8</definedName>
    <definedName name="solver_lhs53" localSheetId="62" hidden="1">NonLinLarge!$H$75:$H$138</definedName>
    <definedName name="solver_lhs530" localSheetId="62" hidden="1">NonLinLarge!$H$9:$H$72</definedName>
    <definedName name="solver_lhs531" localSheetId="62" hidden="1">NonLinLarge!$H$73</definedName>
    <definedName name="solver_lhs532" localSheetId="62" hidden="1">NonLinLarge!$H$74</definedName>
    <definedName name="solver_lhs533" localSheetId="62" hidden="1">NonLinLarge!$H$75:$H$138</definedName>
    <definedName name="solver_lhs534" localSheetId="62" hidden="1">NonLinLarge!$H$139</definedName>
    <definedName name="solver_lhs535" localSheetId="62" hidden="1">NonLinLarge!$H$7:$H$8</definedName>
    <definedName name="solver_lhs536" localSheetId="62" hidden="1">NonLinLarge!$H$9:$H$72</definedName>
    <definedName name="solver_lhs537" localSheetId="62" hidden="1">NonLinLarge!$H$73</definedName>
    <definedName name="solver_lhs538" localSheetId="62" hidden="1">NonLinLarge!$H$74</definedName>
    <definedName name="solver_lhs539" localSheetId="62" hidden="1">NonLinLarge!$H$75:$H$138</definedName>
    <definedName name="solver_lhs54" localSheetId="62" hidden="1">NonLinLarge!$H$139</definedName>
    <definedName name="solver_lhs540" localSheetId="62" hidden="1">NonLinLarge!$H$139</definedName>
    <definedName name="solver_lhs541" localSheetId="62" hidden="1">NonLinLarge!$H$7:$H$8</definedName>
    <definedName name="solver_lhs542" localSheetId="62" hidden="1">NonLinLarge!$H$9:$H$72</definedName>
    <definedName name="solver_lhs543" localSheetId="62" hidden="1">NonLinLarge!$H$73</definedName>
    <definedName name="solver_lhs544" localSheetId="62" hidden="1">NonLinLarge!$H$74</definedName>
    <definedName name="solver_lhs545" localSheetId="62" hidden="1">NonLinLarge!$H$75:$H$138</definedName>
    <definedName name="solver_lhs546" localSheetId="62" hidden="1">NonLinLarge!$H$139</definedName>
    <definedName name="solver_lhs547" localSheetId="62" hidden="1">NonLinLarge!$H$7:$H$8</definedName>
    <definedName name="solver_lhs548" localSheetId="62" hidden="1">NonLinLarge!$H$9:$H$72</definedName>
    <definedName name="solver_lhs549" localSheetId="62" hidden="1">NonLinLarge!$H$73</definedName>
    <definedName name="solver_lhs55" localSheetId="62" hidden="1">NonLinLarge!$H$7:$H$8</definedName>
    <definedName name="solver_lhs550" localSheetId="62" hidden="1">NonLinLarge!$H$74</definedName>
    <definedName name="solver_lhs551" localSheetId="62" hidden="1">NonLinLarge!$H$75:$H$138</definedName>
    <definedName name="solver_lhs552" localSheetId="62" hidden="1">NonLinLarge!$H$139</definedName>
    <definedName name="solver_lhs553" localSheetId="62" hidden="1">NonLinLarge!$H$7:$H$8</definedName>
    <definedName name="solver_lhs554" localSheetId="62" hidden="1">NonLinLarge!$H$9:$H$72</definedName>
    <definedName name="solver_lhs555" localSheetId="62" hidden="1">NonLinLarge!$H$73</definedName>
    <definedName name="solver_lhs556" localSheetId="62" hidden="1">NonLinLarge!$H$74</definedName>
    <definedName name="solver_lhs557" localSheetId="62" hidden="1">NonLinLarge!$H$75:$H$138</definedName>
    <definedName name="solver_lhs558" localSheetId="62" hidden="1">NonLinLarge!$H$139</definedName>
    <definedName name="solver_lhs559" localSheetId="62" hidden="1">NonLinLarge!$H$7:$H$8</definedName>
    <definedName name="solver_lhs56" localSheetId="62" hidden="1">NonLinLarge!$H$9:$H$72</definedName>
    <definedName name="solver_lhs560" localSheetId="62" hidden="1">NonLinLarge!$H$9:$H$72</definedName>
    <definedName name="solver_lhs561" localSheetId="62" hidden="1">NonLinLarge!$H$73</definedName>
    <definedName name="solver_lhs562" localSheetId="62" hidden="1">NonLinLarge!$H$74</definedName>
    <definedName name="solver_lhs563" localSheetId="62" hidden="1">NonLinLarge!$H$75:$H$138</definedName>
    <definedName name="solver_lhs564" localSheetId="62" hidden="1">NonLinLarge!$H$139</definedName>
    <definedName name="solver_lhs565" localSheetId="62" hidden="1">NonLinLarge!$H$7:$H$8</definedName>
    <definedName name="solver_lhs566" localSheetId="62" hidden="1">NonLinLarge!$H$9:$H$72</definedName>
    <definedName name="solver_lhs567" localSheetId="62" hidden="1">NonLinLarge!$H$73</definedName>
    <definedName name="solver_lhs568" localSheetId="62" hidden="1">NonLinLarge!$H$74</definedName>
    <definedName name="solver_lhs569" localSheetId="62" hidden="1">NonLinLarge!$H$75:$H$138</definedName>
    <definedName name="solver_lhs57" localSheetId="62" hidden="1">NonLinLarge!$H$73</definedName>
    <definedName name="solver_lhs570" localSheetId="62" hidden="1">NonLinLarge!$H$139</definedName>
    <definedName name="solver_lhs571" localSheetId="62" hidden="1">NonLinLarge!$H$7:$H$8</definedName>
    <definedName name="solver_lhs572" localSheetId="62" hidden="1">NonLinLarge!$H$9:$H$72</definedName>
    <definedName name="solver_lhs573" localSheetId="62" hidden="1">NonLinLarge!$H$73</definedName>
    <definedName name="solver_lhs574" localSheetId="62" hidden="1">NonLinLarge!$H$74</definedName>
    <definedName name="solver_lhs575" localSheetId="62" hidden="1">NonLinLarge!$H$75:$H$138</definedName>
    <definedName name="solver_lhs576" localSheetId="62" hidden="1">NonLinLarge!$H$139</definedName>
    <definedName name="solver_lhs577" localSheetId="62" hidden="1">NonLinLarge!$H$7:$H$8</definedName>
    <definedName name="solver_lhs578" localSheetId="62" hidden="1">NonLinLarge!$H$9:$H$72</definedName>
    <definedName name="solver_lhs579" localSheetId="62" hidden="1">NonLinLarge!$H$73</definedName>
    <definedName name="solver_lhs58" localSheetId="62" hidden="1">NonLinLarge!$H$74</definedName>
    <definedName name="solver_lhs580" localSheetId="62" hidden="1">NonLinLarge!$H$74</definedName>
    <definedName name="solver_lhs581" localSheetId="62" hidden="1">NonLinLarge!$H$75:$H$138</definedName>
    <definedName name="solver_lhs582" localSheetId="62" hidden="1">NonLinLarge!$H$139</definedName>
    <definedName name="solver_lhs583" localSheetId="62" hidden="1">NonLinLarge!$H$7:$H$8</definedName>
    <definedName name="solver_lhs584" localSheetId="62" hidden="1">NonLinLarge!$H$9:$H$72</definedName>
    <definedName name="solver_lhs585" localSheetId="62" hidden="1">NonLinLarge!$H$73</definedName>
    <definedName name="solver_lhs586" localSheetId="62" hidden="1">NonLinLarge!$H$74</definedName>
    <definedName name="solver_lhs587" localSheetId="62" hidden="1">NonLinLarge!$H$75:$H$138</definedName>
    <definedName name="solver_lhs588" localSheetId="62" hidden="1">NonLinLarge!$H$139</definedName>
    <definedName name="solver_lhs589" localSheetId="62" hidden="1">NonLinLarge!$H$7:$H$8</definedName>
    <definedName name="solver_lhs59" localSheetId="62" hidden="1">NonLinLarge!$H$75:$H$138</definedName>
    <definedName name="solver_lhs590" localSheetId="62" hidden="1">NonLinLarge!$H$9:$H$72</definedName>
    <definedName name="solver_lhs591" localSheetId="62" hidden="1">NonLinLarge!$H$73</definedName>
    <definedName name="solver_lhs592" localSheetId="62" hidden="1">NonLinLarge!$H$74</definedName>
    <definedName name="solver_lhs593" localSheetId="62" hidden="1">NonLinLarge!$H$75:$H$138</definedName>
    <definedName name="solver_lhs594" localSheetId="62" hidden="1">NonLinLarge!$H$139</definedName>
    <definedName name="solver_lhs595" localSheetId="62" hidden="1">NonLinLarge!$H$7:$H$8</definedName>
    <definedName name="solver_lhs596" localSheetId="62" hidden="1">NonLinLarge!$H$9:$H$72</definedName>
    <definedName name="solver_lhs597" localSheetId="62" hidden="1">NonLinLarge!$H$73</definedName>
    <definedName name="solver_lhs598" localSheetId="62" hidden="1">NonLinLarge!$H$74</definedName>
    <definedName name="solver_lhs599" localSheetId="62" hidden="1">NonLinLarge!$H$75:$H$138</definedName>
    <definedName name="solver_lhs6" localSheetId="48" hidden="1">ComplexLayout!$S$3:$S$4</definedName>
    <definedName name="solver_lhs6" localSheetId="22" hidden="1">ConFormula!$S$4:$S$5</definedName>
    <definedName name="solver_lhs6" localSheetId="23" hidden="1">ConFormulaInf!$S$4:$S$5</definedName>
    <definedName name="solver_lhs6" localSheetId="62" hidden="1">NonLinLarge!$H$139</definedName>
    <definedName name="solver_lhs60" localSheetId="62" hidden="1">NonLinLarge!$H$139</definedName>
    <definedName name="solver_lhs600" localSheetId="62" hidden="1">NonLinLarge!$H$139</definedName>
    <definedName name="solver_lhs61" localSheetId="62" hidden="1">NonLinLarge!$H$7:$H$8</definedName>
    <definedName name="solver_lhs62" localSheetId="62" hidden="1">NonLinLarge!$H$9:$H$72</definedName>
    <definedName name="solver_lhs63" localSheetId="62" hidden="1">NonLinLarge!$H$73</definedName>
    <definedName name="solver_lhs64" localSheetId="62" hidden="1">NonLinLarge!$H$74</definedName>
    <definedName name="solver_lhs65" localSheetId="62" hidden="1">NonLinLarge!$H$75:$H$138</definedName>
    <definedName name="solver_lhs66" localSheetId="62" hidden="1">NonLinLarge!$H$139</definedName>
    <definedName name="solver_lhs67" localSheetId="62" hidden="1">NonLinLarge!$H$7:$H$8</definedName>
    <definedName name="solver_lhs68" localSheetId="62" hidden="1">NonLinLarge!$H$9:$H$72</definedName>
    <definedName name="solver_lhs69" localSheetId="62" hidden="1">NonLinLarge!$H$73</definedName>
    <definedName name="solver_lhs7" localSheetId="48" hidden="1">ComplexLayout!$Q$5:$R$5</definedName>
    <definedName name="solver_lhs7" localSheetId="22" hidden="1">ConFormula!$Q$6:$R$6</definedName>
    <definedName name="solver_lhs7" localSheetId="23" hidden="1">ConFormulaInf!$Q$6:$R$6</definedName>
    <definedName name="solver_lhs7" localSheetId="62" hidden="1">NonLinLarge!$H$7:$H$8</definedName>
    <definedName name="solver_lhs70" localSheetId="62" hidden="1">NonLinLarge!$H$74</definedName>
    <definedName name="solver_lhs71" localSheetId="62" hidden="1">NonLinLarge!$H$75:$H$138</definedName>
    <definedName name="solver_lhs72" localSheetId="62" hidden="1">NonLinLarge!$H$139</definedName>
    <definedName name="solver_lhs73" localSheetId="62" hidden="1">NonLinLarge!$H$7:$H$8</definedName>
    <definedName name="solver_lhs74" localSheetId="62" hidden="1">NonLinLarge!$H$9:$H$72</definedName>
    <definedName name="solver_lhs75" localSheetId="62" hidden="1">NonLinLarge!$H$73</definedName>
    <definedName name="solver_lhs76" localSheetId="62" hidden="1">NonLinLarge!$H$74</definedName>
    <definedName name="solver_lhs77" localSheetId="62" hidden="1">NonLinLarge!$H$75:$H$138</definedName>
    <definedName name="solver_lhs78" localSheetId="62" hidden="1">NonLinLarge!$H$139</definedName>
    <definedName name="solver_lhs79" localSheetId="62" hidden="1">NonLinLarge!$H$7:$H$8</definedName>
    <definedName name="solver_lhs8" localSheetId="22" hidden="1">ConFormula!$I$10</definedName>
    <definedName name="solver_lhs8" localSheetId="23" hidden="1">ConFormulaInf!$I$10</definedName>
    <definedName name="solver_lhs8" localSheetId="62" hidden="1">NonLinLarge!$H$9:$H$72</definedName>
    <definedName name="solver_lhs80" localSheetId="62" hidden="1">NonLinLarge!$H$9:$H$72</definedName>
    <definedName name="solver_lhs81" localSheetId="62" hidden="1">NonLinLarge!$H$73</definedName>
    <definedName name="solver_lhs82" localSheetId="62" hidden="1">NonLinLarge!$H$74</definedName>
    <definedName name="solver_lhs83" localSheetId="62" hidden="1">NonLinLarge!$H$75:$H$138</definedName>
    <definedName name="solver_lhs84" localSheetId="62" hidden="1">NonLinLarge!$H$139</definedName>
    <definedName name="solver_lhs85" localSheetId="62" hidden="1">NonLinLarge!$H$7:$H$8</definedName>
    <definedName name="solver_lhs86" localSheetId="62" hidden="1">NonLinLarge!$H$9:$H$72</definedName>
    <definedName name="solver_lhs87" localSheetId="62" hidden="1">NonLinLarge!$H$73</definedName>
    <definedName name="solver_lhs88" localSheetId="62" hidden="1">NonLinLarge!$H$74</definedName>
    <definedName name="solver_lhs89" localSheetId="62" hidden="1">NonLinLarge!$H$75:$H$138</definedName>
    <definedName name="solver_lhs9" localSheetId="23" hidden="1">ConFormulaInf!$I$14</definedName>
    <definedName name="solver_lhs9" localSheetId="62" hidden="1">NonLinLarge!$H$73</definedName>
    <definedName name="solver_lhs90" localSheetId="62" hidden="1">NonLinLarge!$H$139</definedName>
    <definedName name="solver_lhs91" localSheetId="62" hidden="1">NonLinLarge!$H$7:$H$8</definedName>
    <definedName name="solver_lhs92" localSheetId="62" hidden="1">NonLinLarge!$H$9:$H$72</definedName>
    <definedName name="solver_lhs93" localSheetId="62" hidden="1">NonLinLarge!$H$73</definedName>
    <definedName name="solver_lhs94" localSheetId="62" hidden="1">NonLinLarge!$H$74</definedName>
    <definedName name="solver_lhs95" localSheetId="62" hidden="1">NonLinLarge!$H$75:$H$138</definedName>
    <definedName name="solver_lhs96" localSheetId="62" hidden="1">NonLinLarge!$H$139</definedName>
    <definedName name="solver_lhs97" localSheetId="62" hidden="1">NonLinLarge!$H$7:$H$8</definedName>
    <definedName name="solver_lhs98" localSheetId="62" hidden="1">NonLinLarge!$H$9:$H$72</definedName>
    <definedName name="solver_lhs99" localSheetId="62" hidden="1">NonLinLarge!$H$73</definedName>
    <definedName name="solver_lin" localSheetId="58" hidden="1">1</definedName>
    <definedName name="solver_neg" localSheetId="36" hidden="1">1</definedName>
    <definedName name="solver_neg" localSheetId="21" hidden="1">1</definedName>
    <definedName name="solver_neg" localSheetId="35" hidden="1">1</definedName>
    <definedName name="solver_neg" localSheetId="8" hidden="1">1</definedName>
    <definedName name="solver_neg" localSheetId="7" hidden="1">1</definedName>
    <definedName name="solver_neg" localSheetId="48" hidden="1">1</definedName>
    <definedName name="solver_neg" localSheetId="22" hidden="1">1</definedName>
    <definedName name="solver_neg" localSheetId="23" hidden="1">1</definedName>
    <definedName name="solver_neg" localSheetId="44" hidden="1">1</definedName>
    <definedName name="solver_neg" localSheetId="41" hidden="1">1</definedName>
    <definedName name="solver_neg" localSheetId="43" hidden="1">1</definedName>
    <definedName name="solver_neg" localSheetId="26" hidden="1">1</definedName>
    <definedName name="solver_neg" localSheetId="54" hidden="1">1</definedName>
    <definedName name="solver_neg" localSheetId="33" hidden="1">1</definedName>
    <definedName name="solver_neg" localSheetId="11" hidden="1">1</definedName>
    <definedName name="solver_neg" localSheetId="10" hidden="1">1</definedName>
    <definedName name="solver_neg" localSheetId="25" hidden="1">1</definedName>
    <definedName name="solver_neg" localSheetId="29" hidden="1">1</definedName>
    <definedName name="solver_neg" localSheetId="45" hidden="1">1</definedName>
    <definedName name="solver_neg" localSheetId="47" hidden="1">1</definedName>
    <definedName name="solver_neg" localSheetId="32" hidden="1">1</definedName>
    <definedName name="solver_neg" localSheetId="28" hidden="1">1</definedName>
    <definedName name="solver_neg" localSheetId="49" hidden="1">1</definedName>
    <definedName name="solver_neg" localSheetId="5" hidden="1">1</definedName>
    <definedName name="solver_neg" localSheetId="50" hidden="1">1</definedName>
    <definedName name="solver_neg" localSheetId="38" hidden="1">1</definedName>
    <definedName name="solver_neg" localSheetId="19" hidden="1">1</definedName>
    <definedName name="solver_neg" localSheetId="20" hidden="1">1</definedName>
    <definedName name="solver_neg" localSheetId="18" hidden="1">1</definedName>
    <definedName name="solver_neg" localSheetId="16" hidden="1">1</definedName>
    <definedName name="solver_neg" localSheetId="55" hidden="1">1</definedName>
    <definedName name="solver_neg" localSheetId="68" hidden="1">1</definedName>
    <definedName name="solver_neg" localSheetId="69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73" hidden="1">1</definedName>
    <definedName name="solver_neg" localSheetId="67" hidden="1">1</definedName>
    <definedName name="solver_neg" localSheetId="66" hidden="1">1</definedName>
    <definedName name="solver_neg" localSheetId="62" hidden="1">1</definedName>
    <definedName name="solver_neg" localSheetId="65" hidden="1">1</definedName>
    <definedName name="solver_neg" localSheetId="63" hidden="1">1</definedName>
    <definedName name="solver_neg" localSheetId="64" hidden="1">1</definedName>
    <definedName name="solver_neg" localSheetId="61" hidden="1">1</definedName>
    <definedName name="solver_neg" localSheetId="51" hidden="1">1</definedName>
    <definedName name="solver_neg" localSheetId="6" hidden="1">1</definedName>
    <definedName name="solver_neg" localSheetId="39" hidden="1">1</definedName>
    <definedName name="solver_neg" localSheetId="40" hidden="1">1</definedName>
    <definedName name="solver_neg" localSheetId="37" hidden="1">1</definedName>
    <definedName name="solver_neg" localSheetId="52" hidden="1">1</definedName>
    <definedName name="solver_neg" localSheetId="53" hidden="1">1</definedName>
    <definedName name="solver_neg" localSheetId="59" hidden="1">1</definedName>
    <definedName name="solver_neg" localSheetId="60" hidden="1">0</definedName>
    <definedName name="solver_neg" localSheetId="4" hidden="1">1</definedName>
    <definedName name="solver_neg" localSheetId="3" hidden="1">1</definedName>
    <definedName name="solver_neg" localSheetId="34" hidden="1">1</definedName>
    <definedName name="solver_neg" localSheetId="57" hidden="1">0</definedName>
    <definedName name="solver_neg" localSheetId="9" hidden="1">1</definedName>
    <definedName name="solver_neg" localSheetId="30" hidden="1">0</definedName>
    <definedName name="solver_neg" localSheetId="46" hidden="1">1</definedName>
    <definedName name="solver_neg" localSheetId="42" hidden="1">1</definedName>
    <definedName name="solver_neg" localSheetId="58" hidden="1">1</definedName>
    <definedName name="solver_num" localSheetId="24" hidden="1">1</definedName>
    <definedName name="solver_num" localSheetId="36" hidden="1">4</definedName>
    <definedName name="solver_num" localSheetId="21" hidden="1">5</definedName>
    <definedName name="solver_num" localSheetId="35" hidden="1">3</definedName>
    <definedName name="solver_num" localSheetId="8" hidden="1">3</definedName>
    <definedName name="solver_num" localSheetId="7" hidden="1">3</definedName>
    <definedName name="solver_num" localSheetId="48" hidden="1">7</definedName>
    <definedName name="solver_num" localSheetId="22" hidden="1">8</definedName>
    <definedName name="solver_num" localSheetId="23" hidden="1">9</definedName>
    <definedName name="solver_num" localSheetId="44" hidden="1">2</definedName>
    <definedName name="solver_num" localSheetId="41" hidden="1">2</definedName>
    <definedName name="solver_num" localSheetId="43" hidden="1">1</definedName>
    <definedName name="solver_num" localSheetId="26" hidden="1">4</definedName>
    <definedName name="solver_num" localSheetId="27" hidden="1">3</definedName>
    <definedName name="solver_num" localSheetId="54" hidden="1">3</definedName>
    <definedName name="solver_num" localSheetId="33" hidden="1">2</definedName>
    <definedName name="solver_num" localSheetId="11" hidden="1">3</definedName>
    <definedName name="solver_num" localSheetId="13" hidden="1">3</definedName>
    <definedName name="solver_num" localSheetId="10" hidden="1">3</definedName>
    <definedName name="solver_num" localSheetId="25" hidden="1">3</definedName>
    <definedName name="solver_num" localSheetId="29" hidden="1">3</definedName>
    <definedName name="solver_num" localSheetId="45" hidden="1">2</definedName>
    <definedName name="solver_num" localSheetId="47" hidden="1">3</definedName>
    <definedName name="solver_num" localSheetId="32" hidden="1">5</definedName>
    <definedName name="solver_num" localSheetId="28" hidden="1">3</definedName>
    <definedName name="solver_num" localSheetId="49" hidden="1">4</definedName>
    <definedName name="solver_num" localSheetId="5" hidden="1">2</definedName>
    <definedName name="solver_num" localSheetId="50" hidden="1">3</definedName>
    <definedName name="solver_num" localSheetId="38" hidden="1">2</definedName>
    <definedName name="solver_num" localSheetId="19" hidden="1">3</definedName>
    <definedName name="solver_num" localSheetId="20" hidden="1">3</definedName>
    <definedName name="solver_num" localSheetId="18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55" hidden="1">4</definedName>
    <definedName name="solver_num" localSheetId="68" hidden="1">5</definedName>
    <definedName name="solver_num" localSheetId="69" hidden="1">1</definedName>
    <definedName name="solver_num" localSheetId="70" hidden="1">2</definedName>
    <definedName name="solver_num" localSheetId="71" hidden="1">0</definedName>
    <definedName name="solver_num" localSheetId="72" hidden="1">0</definedName>
    <definedName name="solver_num" localSheetId="73" hidden="1">4</definedName>
    <definedName name="solver_num" localSheetId="67" hidden="1">2</definedName>
    <definedName name="solver_num" localSheetId="66" hidden="1">1</definedName>
    <definedName name="solver_num" localSheetId="62" hidden="1">6</definedName>
    <definedName name="solver_num" localSheetId="65" hidden="1">2</definedName>
    <definedName name="solver_num" localSheetId="63" hidden="1">3</definedName>
    <definedName name="solver_num" localSheetId="64" hidden="1">3</definedName>
    <definedName name="solver_num" localSheetId="61" hidden="1">3</definedName>
    <definedName name="solver_num" localSheetId="51" hidden="1">3</definedName>
    <definedName name="solver_num" localSheetId="6" hidden="1">3</definedName>
    <definedName name="solver_num" localSheetId="39" hidden="1">2</definedName>
    <definedName name="solver_num" localSheetId="40" hidden="1">2</definedName>
    <definedName name="solver_num" localSheetId="31" hidden="1">3</definedName>
    <definedName name="solver_num" localSheetId="56" hidden="1">2</definedName>
    <definedName name="solver_num" localSheetId="37" hidden="1">4</definedName>
    <definedName name="solver_num" localSheetId="2" hidden="1">0</definedName>
    <definedName name="solver_num" localSheetId="52" hidden="1">3</definedName>
    <definedName name="solver_num" localSheetId="53" hidden="1">3</definedName>
    <definedName name="solver_num" localSheetId="59" hidden="1">4</definedName>
    <definedName name="solver_num" localSheetId="60" hidden="1">4</definedName>
    <definedName name="solver_num" localSheetId="4" hidden="1">2</definedName>
    <definedName name="solver_num" localSheetId="3" hidden="1">3</definedName>
    <definedName name="solver_num" localSheetId="34" hidden="1">2</definedName>
    <definedName name="solver_num" localSheetId="57" hidden="1">3</definedName>
    <definedName name="solver_num" localSheetId="14" hidden="1">3</definedName>
    <definedName name="solver_num" localSheetId="9" hidden="1">3</definedName>
    <definedName name="solver_num" localSheetId="30" hidden="1">3</definedName>
    <definedName name="solver_num" localSheetId="46" hidden="1">2</definedName>
    <definedName name="solver_num" localSheetId="42" hidden="1">2</definedName>
    <definedName name="solver_num" localSheetId="58" hidden="1">2</definedName>
    <definedName name="solver_nwt" localSheetId="73" hidden="1">1</definedName>
    <definedName name="solver_nwt" localSheetId="62" hidden="1">1</definedName>
    <definedName name="solver_nwt" localSheetId="53" hidden="1">1</definedName>
    <definedName name="solver_nwt" localSheetId="60" hidden="1">1</definedName>
    <definedName name="solver_nwt" localSheetId="3" hidden="1">1</definedName>
    <definedName name="solver_nwt" localSheetId="58" hidden="1">1</definedName>
    <definedName name="solver_opt" localSheetId="24" hidden="1">'BadName!'!$H$7</definedName>
    <definedName name="solver_opt" localSheetId="36" hidden="1">BinIntLB!$H$9</definedName>
    <definedName name="solver_opt" localSheetId="21" hidden="1">BinIntOverlap!$I$6</definedName>
    <definedName name="solver_opt" localSheetId="35" hidden="1">BinLB!$H$9</definedName>
    <definedName name="solver_opt" localSheetId="8" hidden="1">BlankLHS!$H$6</definedName>
    <definedName name="solver_opt" localSheetId="7" hidden="1">BlankRHS!$H$6</definedName>
    <definedName name="solver_opt" localSheetId="48" hidden="1">ComplexLayout!$I$6</definedName>
    <definedName name="solver_opt" localSheetId="22" hidden="1">ConFormula!$I$7</definedName>
    <definedName name="solver_opt" localSheetId="23" hidden="1">ConFormulaInf!$I$7</definedName>
    <definedName name="solver_opt" localSheetId="44" hidden="1">ConstantLB!$H$9</definedName>
    <definedName name="solver_opt" localSheetId="41" hidden="1">ConstFormulaRangeLB!$H$8</definedName>
    <definedName name="solver_opt" localSheetId="43" hidden="1">ConstraintLB!$H$9</definedName>
    <definedName name="solver_opt" localSheetId="26" hidden="1">DeletedConRef!$H$7</definedName>
    <definedName name="solver_opt" localSheetId="27" hidden="1">DeletedObjRef!#REF!</definedName>
    <definedName name="solver_opt" localSheetId="54" hidden="1">SeekObj!$G$17</definedName>
    <definedName name="solver_opt" localSheetId="33" hidden="1">DirectLBs!$H$8</definedName>
    <definedName name="solver_opt" localSheetId="11" hidden="1">ErrorLHS!$H$6</definedName>
    <definedName name="solver_opt" localSheetId="13" hidden="1">ErrorObj!$H$6</definedName>
    <definedName name="solver_opt" localSheetId="10" hidden="1">ErrorRHS!$H$6</definedName>
    <definedName name="solver_opt" localSheetId="25" hidden="1">'EscapeSheetName(1)+2-1'!$H$6</definedName>
    <definedName name="solver_opt" localSheetId="29" hidden="1">FeasConstConstraint!$J$6</definedName>
    <definedName name="solver_opt" localSheetId="45" hidden="1">FormulaLB!$H$9</definedName>
    <definedName name="solver_opt" localSheetId="47" hidden="1">FractionalCoeffs!$G$4</definedName>
    <definedName name="solver_opt" localSheetId="32" hidden="1">IndirectLBs!$H$8</definedName>
    <definedName name="solver_opt" localSheetId="28" hidden="1">InfConstConstraint!$J$6</definedName>
    <definedName name="solver_opt" localSheetId="49" hidden="1">InfModel!$H$7</definedName>
    <definedName name="solver_opt" localSheetId="5" hidden="1">IP_SUMIF!$E$10</definedName>
    <definedName name="solver_opt" localSheetId="50" hidden="1">IterativeCalc!$H$7</definedName>
    <definedName name="solver_opt" localSheetId="38" hidden="1">LargeRangeLB!$H$10</definedName>
    <definedName name="solver_opt" localSheetId="19" hidden="1">MergedLHS_OK!$H$7</definedName>
    <definedName name="solver_opt" localSheetId="20" hidden="1">MergedLHSMultiple_OK!$H$7</definedName>
    <definedName name="solver_opt" localSheetId="18" hidden="1">MergedRHS_OK!$H$7</definedName>
    <definedName name="solver_opt" localSheetId="17" hidden="1">MergedVarsBad!$H$7</definedName>
    <definedName name="solver_opt" localSheetId="16" hidden="1">MergedVarsOK!$H$7</definedName>
    <definedName name="solver_opt" localSheetId="15" hidden="1">MergedVarsSubset!$H$7</definedName>
    <definedName name="solver_opt" localSheetId="55" hidden="1">NamedRanges!$I$6</definedName>
    <definedName name="solver_opt" localSheetId="68" hidden="1">NonLin!$I$39</definedName>
    <definedName name="solver_opt" localSheetId="69" hidden="1">NonLin2!$F$4</definedName>
    <definedName name="solver_opt" localSheetId="70" hidden="1">NonLin3!$S$13</definedName>
    <definedName name="solver_opt" localSheetId="71" hidden="1">NonLin4!$D$16</definedName>
    <definedName name="solver_opt" localSheetId="72" hidden="1">NonLin5!$J$7</definedName>
    <definedName name="solver_opt" localSheetId="73" hidden="1">NonLin6!$F$15</definedName>
    <definedName name="solver_opt" localSheetId="67" hidden="1">NonLinBinary!$C$6</definedName>
    <definedName name="solver_opt" localSheetId="66" hidden="1">NonLinConstraints!$I$6</definedName>
    <definedName name="solver_opt" localSheetId="62" hidden="1">NonLinLarge!$H$5</definedName>
    <definedName name="solver_opt" localSheetId="65" hidden="1">NonLinMinMax!$G$6</definedName>
    <definedName name="solver_opt" localSheetId="63" hidden="1">NonLinObj!$H$5</definedName>
    <definedName name="solver_opt" localSheetId="64" hidden="1">NonLinPruning!$F$6</definedName>
    <definedName name="solver_opt" localSheetId="61" hidden="1">NonLinSimple!$H$5</definedName>
    <definedName name="solver_opt" localSheetId="6" hidden="1">OverlappingVars!$H$6</definedName>
    <definedName name="solver_opt" localSheetId="39" hidden="1">OverlapRangeLB!$H$10</definedName>
    <definedName name="solver_opt" localSheetId="40" hidden="1">OverlapRangeLBwithFormula!$H$10</definedName>
    <definedName name="solver_opt" localSheetId="31" hidden="1">ProtectedSheet!$H$6</definedName>
    <definedName name="solver_opt" localSheetId="56" hidden="1">QuickSolve!$H$6</definedName>
    <definedName name="solver_opt" localSheetId="37" hidden="1">Relaxation!$H$9</definedName>
    <definedName name="solver_opt" localSheetId="52" hidden="1">SeekObj!$G$4</definedName>
    <definedName name="solver_opt" localSheetId="53" hidden="1">SeekObjInf!$G$4</definedName>
    <definedName name="solver_opt" localSheetId="59" hidden="1">Sensitivity!$G$6</definedName>
    <definedName name="solver_opt" localSheetId="60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4" hidden="1">SingleRangeLB!$H$8</definedName>
    <definedName name="solver_opt" localSheetId="57" hidden="1">SolverParameters!$H$15</definedName>
    <definedName name="solver_opt" localSheetId="14" hidden="1">TextObj!$H$6</definedName>
    <definedName name="solver_opt" localSheetId="9" hidden="1">TextRHS!$H$6</definedName>
    <definedName name="solver_opt" localSheetId="30" hidden="1">Unbounded!$H$6</definedName>
    <definedName name="solver_opt" localSheetId="46" hidden="1">VarConstraintLB!$H$9</definedName>
    <definedName name="solver_opt" localSheetId="42" hidden="1">VariableFormulaRangeLB!$H$9</definedName>
    <definedName name="solver_opt" localSheetId="58" hidden="1">Warmstart!$UF$2</definedName>
    <definedName name="solver_pre" localSheetId="73" hidden="1">0.000001</definedName>
    <definedName name="solver_pre" localSheetId="64" hidden="1">0.001</definedName>
    <definedName name="solver_pre" localSheetId="60" hidden="1">0.0001</definedName>
    <definedName name="solver_rel1" localSheetId="24" hidden="1">1</definedName>
    <definedName name="solver_rel1" localSheetId="36" hidden="1">3</definedName>
    <definedName name="solver_rel1" localSheetId="21" hidden="1">1</definedName>
    <definedName name="solver_rel1" localSheetId="35" hidden="1">3</definedName>
    <definedName name="solver_rel1" localSheetId="8" hidden="1">1</definedName>
    <definedName name="solver_rel1" localSheetId="7" hidden="1">1</definedName>
    <definedName name="solver_rel1" localSheetId="48" hidden="1">1</definedName>
    <definedName name="solver_rel1" localSheetId="22" hidden="1">1</definedName>
    <definedName name="solver_rel1" localSheetId="23" hidden="1">1</definedName>
    <definedName name="solver_rel1" localSheetId="44" hidden="1">3</definedName>
    <definedName name="solver_rel1" localSheetId="41" hidden="1">3</definedName>
    <definedName name="solver_rel1" localSheetId="43" hidden="1">3</definedName>
    <definedName name="solver_rel1" localSheetId="26" hidden="1">1</definedName>
    <definedName name="solver_rel1" localSheetId="27" hidden="1">1</definedName>
    <definedName name="solver_rel1" localSheetId="54" hidden="1">2</definedName>
    <definedName name="solver_rel1" localSheetId="33" hidden="1">3</definedName>
    <definedName name="solver_rel1" localSheetId="11" hidden="1">1</definedName>
    <definedName name="solver_rel1" localSheetId="13" hidden="1">1</definedName>
    <definedName name="solver_rel1" localSheetId="10" hidden="1">1</definedName>
    <definedName name="solver_rel1" localSheetId="25" hidden="1">1</definedName>
    <definedName name="solver_rel1" localSheetId="29" hidden="1">1</definedName>
    <definedName name="solver_rel1" localSheetId="45" hidden="1">3</definedName>
    <definedName name="solver_rel1" localSheetId="47" hidden="1">2</definedName>
    <definedName name="solver_rel1" localSheetId="32" hidden="1">1</definedName>
    <definedName name="solver_rel1" localSheetId="28" hidden="1">1</definedName>
    <definedName name="solver_rel1" localSheetId="49" hidden="1">1</definedName>
    <definedName name="solver_rel1" localSheetId="5" hidden="1">1</definedName>
    <definedName name="solver_rel1" localSheetId="50" hidden="1">1</definedName>
    <definedName name="solver_rel1" localSheetId="38" hidden="1">3</definedName>
    <definedName name="solver_rel1" localSheetId="19" hidden="1">1</definedName>
    <definedName name="solver_rel1" localSheetId="20" hidden="1">1</definedName>
    <definedName name="solver_rel1" localSheetId="18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55" hidden="1">1</definedName>
    <definedName name="solver_rel1" localSheetId="68" hidden="1">3</definedName>
    <definedName name="solver_rel1" localSheetId="69" hidden="1">3</definedName>
    <definedName name="solver_rel1" localSheetId="70" hidden="1">3</definedName>
    <definedName name="solver_rel1" localSheetId="73" hidden="1">3</definedName>
    <definedName name="solver_rel1" localSheetId="67" hidden="1">3</definedName>
    <definedName name="solver_rel1" localSheetId="66" hidden="1">1</definedName>
    <definedName name="solver_rel1" localSheetId="62" hidden="1">1</definedName>
    <definedName name="solver_rel1" localSheetId="65" hidden="1">1</definedName>
    <definedName name="solver_rel1" localSheetId="63" hidden="1">1</definedName>
    <definedName name="solver_rel1" localSheetId="64" hidden="1">1</definedName>
    <definedName name="solver_rel1" localSheetId="61" hidden="1">1</definedName>
    <definedName name="solver_rel1" localSheetId="51" hidden="1">1</definedName>
    <definedName name="solver_rel1" localSheetId="6" hidden="1">1</definedName>
    <definedName name="solver_rel1" localSheetId="39" hidden="1">3</definedName>
    <definedName name="solver_rel1" localSheetId="40" hidden="1">3</definedName>
    <definedName name="solver_rel1" localSheetId="31" hidden="1">1</definedName>
    <definedName name="solver_rel1" localSheetId="56" hidden="1">1</definedName>
    <definedName name="solver_rel1" localSheetId="37" hidden="1">3</definedName>
    <definedName name="solver_rel1" localSheetId="52" hidden="1">2</definedName>
    <definedName name="solver_rel1" localSheetId="53" hidden="1">2</definedName>
    <definedName name="solver_rel1" localSheetId="59" hidden="1">1</definedName>
    <definedName name="solver_rel1" localSheetId="60" hidden="1">1</definedName>
    <definedName name="solver_rel1" localSheetId="4" hidden="1">1</definedName>
    <definedName name="solver_rel1" localSheetId="3" hidden="1">1</definedName>
    <definedName name="solver_rel1" localSheetId="34" hidden="1">3</definedName>
    <definedName name="solver_rel1" localSheetId="57" hidden="1">1</definedName>
    <definedName name="solver_rel1" localSheetId="14" hidden="1">1</definedName>
    <definedName name="solver_rel1" localSheetId="9" hidden="1">1</definedName>
    <definedName name="solver_rel1" localSheetId="30" hidden="1">1</definedName>
    <definedName name="solver_rel1" localSheetId="46" hidden="1">3</definedName>
    <definedName name="solver_rel1" localSheetId="42" hidden="1">3</definedName>
    <definedName name="solver_rel1" localSheetId="58" hidden="1">1</definedName>
    <definedName name="solver_rel10" localSheetId="62" hidden="1">1</definedName>
    <definedName name="solver_rel100" localSheetId="62" hidden="1">1</definedName>
    <definedName name="solver_rel101" localSheetId="62" hidden="1">3</definedName>
    <definedName name="solver_rel102" localSheetId="62" hidden="1">2</definedName>
    <definedName name="solver_rel103" localSheetId="62" hidden="1">1</definedName>
    <definedName name="solver_rel104" localSheetId="62" hidden="1">3</definedName>
    <definedName name="solver_rel105" localSheetId="62" hidden="1">2</definedName>
    <definedName name="solver_rel106" localSheetId="62" hidden="1">1</definedName>
    <definedName name="solver_rel107" localSheetId="62" hidden="1">3</definedName>
    <definedName name="solver_rel108" localSheetId="62" hidden="1">2</definedName>
    <definedName name="solver_rel109" localSheetId="62" hidden="1">1</definedName>
    <definedName name="solver_rel11" localSheetId="62" hidden="1">3</definedName>
    <definedName name="solver_rel110" localSheetId="62" hidden="1">3</definedName>
    <definedName name="solver_rel111" localSheetId="62" hidden="1">2</definedName>
    <definedName name="solver_rel112" localSheetId="62" hidden="1">1</definedName>
    <definedName name="solver_rel113" localSheetId="62" hidden="1">3</definedName>
    <definedName name="solver_rel114" localSheetId="62" hidden="1">2</definedName>
    <definedName name="solver_rel115" localSheetId="62" hidden="1">1</definedName>
    <definedName name="solver_rel116" localSheetId="62" hidden="1">3</definedName>
    <definedName name="solver_rel117" localSheetId="62" hidden="1">2</definedName>
    <definedName name="solver_rel118" localSheetId="62" hidden="1">1</definedName>
    <definedName name="solver_rel119" localSheetId="62" hidden="1">3</definedName>
    <definedName name="solver_rel12" localSheetId="62" hidden="1">2</definedName>
    <definedName name="solver_rel120" localSheetId="62" hidden="1">2</definedName>
    <definedName name="solver_rel121" localSheetId="62" hidden="1">1</definedName>
    <definedName name="solver_rel122" localSheetId="62" hidden="1">3</definedName>
    <definedName name="solver_rel123" localSheetId="62" hidden="1">2</definedName>
    <definedName name="solver_rel124" localSheetId="62" hidden="1">1</definedName>
    <definedName name="solver_rel125" localSheetId="62" hidden="1">3</definedName>
    <definedName name="solver_rel126" localSheetId="62" hidden="1">2</definedName>
    <definedName name="solver_rel127" localSheetId="62" hidden="1">1</definedName>
    <definedName name="solver_rel128" localSheetId="62" hidden="1">3</definedName>
    <definedName name="solver_rel129" localSheetId="62" hidden="1">2</definedName>
    <definedName name="solver_rel13" localSheetId="62" hidden="1">1</definedName>
    <definedName name="solver_rel130" localSheetId="62" hidden="1">1</definedName>
    <definedName name="solver_rel131" localSheetId="62" hidden="1">3</definedName>
    <definedName name="solver_rel132" localSheetId="62" hidden="1">2</definedName>
    <definedName name="solver_rel133" localSheetId="62" hidden="1">1</definedName>
    <definedName name="solver_rel134" localSheetId="62" hidden="1">3</definedName>
    <definedName name="solver_rel135" localSheetId="62" hidden="1">2</definedName>
    <definedName name="solver_rel136" localSheetId="62" hidden="1">1</definedName>
    <definedName name="solver_rel137" localSheetId="62" hidden="1">3</definedName>
    <definedName name="solver_rel138" localSheetId="62" hidden="1">2</definedName>
    <definedName name="solver_rel139" localSheetId="62" hidden="1">1</definedName>
    <definedName name="solver_rel14" localSheetId="62" hidden="1">3</definedName>
    <definedName name="solver_rel140" localSheetId="62" hidden="1">3</definedName>
    <definedName name="solver_rel141" localSheetId="62" hidden="1">2</definedName>
    <definedName name="solver_rel142" localSheetId="62" hidden="1">1</definedName>
    <definedName name="solver_rel143" localSheetId="62" hidden="1">3</definedName>
    <definedName name="solver_rel144" localSheetId="62" hidden="1">2</definedName>
    <definedName name="solver_rel145" localSheetId="62" hidden="1">1</definedName>
    <definedName name="solver_rel146" localSheetId="62" hidden="1">3</definedName>
    <definedName name="solver_rel147" localSheetId="62" hidden="1">2</definedName>
    <definedName name="solver_rel148" localSheetId="62" hidden="1">1</definedName>
    <definedName name="solver_rel149" localSheetId="62" hidden="1">3</definedName>
    <definedName name="solver_rel15" localSheetId="62" hidden="1">2</definedName>
    <definedName name="solver_rel150" localSheetId="62" hidden="1">2</definedName>
    <definedName name="solver_rel151" localSheetId="62" hidden="1">1</definedName>
    <definedName name="solver_rel152" localSheetId="62" hidden="1">3</definedName>
    <definedName name="solver_rel153" localSheetId="62" hidden="1">2</definedName>
    <definedName name="solver_rel154" localSheetId="62" hidden="1">1</definedName>
    <definedName name="solver_rel155" localSheetId="62" hidden="1">3</definedName>
    <definedName name="solver_rel156" localSheetId="62" hidden="1">2</definedName>
    <definedName name="solver_rel157" localSheetId="62" hidden="1">1</definedName>
    <definedName name="solver_rel158" localSheetId="62" hidden="1">3</definedName>
    <definedName name="solver_rel159" localSheetId="62" hidden="1">2</definedName>
    <definedName name="solver_rel16" localSheetId="62" hidden="1">1</definedName>
    <definedName name="solver_rel160" localSheetId="62" hidden="1">1</definedName>
    <definedName name="solver_rel161" localSheetId="62" hidden="1">3</definedName>
    <definedName name="solver_rel162" localSheetId="62" hidden="1">2</definedName>
    <definedName name="solver_rel163" localSheetId="62" hidden="1">1</definedName>
    <definedName name="solver_rel164" localSheetId="62" hidden="1">3</definedName>
    <definedName name="solver_rel165" localSheetId="62" hidden="1">2</definedName>
    <definedName name="solver_rel166" localSheetId="62" hidden="1">1</definedName>
    <definedName name="solver_rel167" localSheetId="62" hidden="1">3</definedName>
    <definedName name="solver_rel168" localSheetId="62" hidden="1">2</definedName>
    <definedName name="solver_rel169" localSheetId="62" hidden="1">1</definedName>
    <definedName name="solver_rel17" localSheetId="62" hidden="1">3</definedName>
    <definedName name="solver_rel170" localSheetId="62" hidden="1">3</definedName>
    <definedName name="solver_rel171" localSheetId="62" hidden="1">2</definedName>
    <definedName name="solver_rel172" localSheetId="62" hidden="1">1</definedName>
    <definedName name="solver_rel173" localSheetId="62" hidden="1">3</definedName>
    <definedName name="solver_rel174" localSheetId="62" hidden="1">2</definedName>
    <definedName name="solver_rel175" localSheetId="62" hidden="1">1</definedName>
    <definedName name="solver_rel176" localSheetId="62" hidden="1">3</definedName>
    <definedName name="solver_rel177" localSheetId="62" hidden="1">2</definedName>
    <definedName name="solver_rel178" localSheetId="62" hidden="1">1</definedName>
    <definedName name="solver_rel179" localSheetId="62" hidden="1">3</definedName>
    <definedName name="solver_rel18" localSheetId="62" hidden="1">2</definedName>
    <definedName name="solver_rel180" localSheetId="62" hidden="1">2</definedName>
    <definedName name="solver_rel181" localSheetId="62" hidden="1">1</definedName>
    <definedName name="solver_rel182" localSheetId="62" hidden="1">3</definedName>
    <definedName name="solver_rel183" localSheetId="62" hidden="1">2</definedName>
    <definedName name="solver_rel184" localSheetId="62" hidden="1">1</definedName>
    <definedName name="solver_rel185" localSheetId="62" hidden="1">3</definedName>
    <definedName name="solver_rel186" localSheetId="62" hidden="1">2</definedName>
    <definedName name="solver_rel187" localSheetId="62" hidden="1">1</definedName>
    <definedName name="solver_rel188" localSheetId="62" hidden="1">3</definedName>
    <definedName name="solver_rel189" localSheetId="62" hidden="1">2</definedName>
    <definedName name="solver_rel19" localSheetId="62" hidden="1">1</definedName>
    <definedName name="solver_rel190" localSheetId="62" hidden="1">1</definedName>
    <definedName name="solver_rel191" localSheetId="62" hidden="1">3</definedName>
    <definedName name="solver_rel192" localSheetId="62" hidden="1">2</definedName>
    <definedName name="solver_rel193" localSheetId="62" hidden="1">1</definedName>
    <definedName name="solver_rel194" localSheetId="62" hidden="1">3</definedName>
    <definedName name="solver_rel195" localSheetId="62" hidden="1">2</definedName>
    <definedName name="solver_rel196" localSheetId="62" hidden="1">1</definedName>
    <definedName name="solver_rel197" localSheetId="62" hidden="1">3</definedName>
    <definedName name="solver_rel198" localSheetId="62" hidden="1">2</definedName>
    <definedName name="solver_rel199" localSheetId="62" hidden="1">1</definedName>
    <definedName name="solver_rel2" localSheetId="36" hidden="1">3</definedName>
    <definedName name="solver_rel2" localSheetId="21" hidden="1">3</definedName>
    <definedName name="solver_rel2" localSheetId="35" hidden="1">3</definedName>
    <definedName name="solver_rel2" localSheetId="8" hidden="1">3</definedName>
    <definedName name="solver_rel2" localSheetId="7" hidden="1">3</definedName>
    <definedName name="solver_rel2" localSheetId="48" hidden="1">3</definedName>
    <definedName name="solver_rel2" localSheetId="22" hidden="1">3</definedName>
    <definedName name="solver_rel2" localSheetId="23" hidden="1">1</definedName>
    <definedName name="solver_rel2" localSheetId="44" hidden="1">3</definedName>
    <definedName name="solver_rel2" localSheetId="41" hidden="1">3</definedName>
    <definedName name="solver_rel2" localSheetId="26" hidden="1">3</definedName>
    <definedName name="solver_rel2" localSheetId="27" hidden="1">3</definedName>
    <definedName name="solver_rel2" localSheetId="54" hidden="1">3</definedName>
    <definedName name="solver_rel2" localSheetId="33" hidden="1">3</definedName>
    <definedName name="solver_rel2" localSheetId="11" hidden="1">3</definedName>
    <definedName name="solver_rel2" localSheetId="13" hidden="1">3</definedName>
    <definedName name="solver_rel2" localSheetId="10" hidden="1">3</definedName>
    <definedName name="solver_rel2" localSheetId="25" hidden="1">3</definedName>
    <definedName name="solver_rel2" localSheetId="29" hidden="1">3</definedName>
    <definedName name="solver_rel2" localSheetId="45" hidden="1">3</definedName>
    <definedName name="solver_rel2" localSheetId="47" hidden="1">3</definedName>
    <definedName name="solver_rel2" localSheetId="32" hidden="1">3</definedName>
    <definedName name="solver_rel2" localSheetId="28" hidden="1">3</definedName>
    <definedName name="solver_rel2" localSheetId="49" hidden="1">3</definedName>
    <definedName name="solver_rel2" localSheetId="5" hidden="1">5</definedName>
    <definedName name="solver_rel2" localSheetId="50" hidden="1">3</definedName>
    <definedName name="solver_rel2" localSheetId="38" hidden="1">3</definedName>
    <definedName name="solver_rel2" localSheetId="19" hidden="1">3</definedName>
    <definedName name="solver_rel2" localSheetId="20" hidden="1">3</definedName>
    <definedName name="solver_rel2" localSheetId="18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55" hidden="1">3</definedName>
    <definedName name="solver_rel2" localSheetId="68" hidden="1">1</definedName>
    <definedName name="solver_rel2" localSheetId="70" hidden="1">1</definedName>
    <definedName name="solver_rel2" localSheetId="73" hidden="1">1</definedName>
    <definedName name="solver_rel2" localSheetId="67" hidden="1">5</definedName>
    <definedName name="solver_rel2" localSheetId="62" hidden="1">3</definedName>
    <definedName name="solver_rel2" localSheetId="65" hidden="1">4</definedName>
    <definedName name="solver_rel2" localSheetId="63" hidden="1">3</definedName>
    <definedName name="solver_rel2" localSheetId="64" hidden="1">3</definedName>
    <definedName name="solver_rel2" localSheetId="61" hidden="1">3</definedName>
    <definedName name="solver_rel2" localSheetId="51" hidden="1">3</definedName>
    <definedName name="solver_rel2" localSheetId="6" hidden="1">3</definedName>
    <definedName name="solver_rel2" localSheetId="39" hidden="1">3</definedName>
    <definedName name="solver_rel2" localSheetId="40" hidden="1">3</definedName>
    <definedName name="solver_rel2" localSheetId="31" hidden="1">3</definedName>
    <definedName name="solver_rel2" localSheetId="56" hidden="1">3</definedName>
    <definedName name="solver_rel2" localSheetId="37" hidden="1">3</definedName>
    <definedName name="solver_rel2" localSheetId="52" hidden="1">3</definedName>
    <definedName name="solver_rel2" localSheetId="53" hidden="1">3</definedName>
    <definedName name="solver_rel2" localSheetId="59" hidden="1">3</definedName>
    <definedName name="solver_rel2" localSheetId="60" hidden="1">2</definedName>
    <definedName name="solver_rel2" localSheetId="4" hidden="1">5</definedName>
    <definedName name="solver_rel2" localSheetId="3" hidden="1">3</definedName>
    <definedName name="solver_rel2" localSheetId="34" hidden="1">3</definedName>
    <definedName name="solver_rel2" localSheetId="57" hidden="1">3</definedName>
    <definedName name="solver_rel2" localSheetId="14" hidden="1">3</definedName>
    <definedName name="solver_rel2" localSheetId="9" hidden="1">3</definedName>
    <definedName name="solver_rel2" localSheetId="30" hidden="1">3</definedName>
    <definedName name="solver_rel2" localSheetId="46" hidden="1">1</definedName>
    <definedName name="solver_rel2" localSheetId="42" hidden="1">3</definedName>
    <definedName name="solver_rel2" localSheetId="58" hidden="1">5</definedName>
    <definedName name="solver_rel20" localSheetId="62" hidden="1">3</definedName>
    <definedName name="solver_rel200" localSheetId="62" hidden="1">3</definedName>
    <definedName name="solver_rel201" localSheetId="62" hidden="1">2</definedName>
    <definedName name="solver_rel202" localSheetId="62" hidden="1">1</definedName>
    <definedName name="solver_rel203" localSheetId="62" hidden="1">3</definedName>
    <definedName name="solver_rel204" localSheetId="62" hidden="1">2</definedName>
    <definedName name="solver_rel205" localSheetId="62" hidden="1">1</definedName>
    <definedName name="solver_rel206" localSheetId="62" hidden="1">3</definedName>
    <definedName name="solver_rel207" localSheetId="62" hidden="1">2</definedName>
    <definedName name="solver_rel208" localSheetId="62" hidden="1">1</definedName>
    <definedName name="solver_rel209" localSheetId="62" hidden="1">3</definedName>
    <definedName name="solver_rel21" localSheetId="62" hidden="1">2</definedName>
    <definedName name="solver_rel210" localSheetId="62" hidden="1">2</definedName>
    <definedName name="solver_rel211" localSheetId="62" hidden="1">1</definedName>
    <definedName name="solver_rel212" localSheetId="62" hidden="1">3</definedName>
    <definedName name="solver_rel213" localSheetId="62" hidden="1">2</definedName>
    <definedName name="solver_rel214" localSheetId="62" hidden="1">1</definedName>
    <definedName name="solver_rel215" localSheetId="62" hidden="1">3</definedName>
    <definedName name="solver_rel216" localSheetId="62" hidden="1">2</definedName>
    <definedName name="solver_rel217" localSheetId="62" hidden="1">1</definedName>
    <definedName name="solver_rel218" localSheetId="62" hidden="1">3</definedName>
    <definedName name="solver_rel219" localSheetId="62" hidden="1">2</definedName>
    <definedName name="solver_rel22" localSheetId="62" hidden="1">1</definedName>
    <definedName name="solver_rel220" localSheetId="62" hidden="1">1</definedName>
    <definedName name="solver_rel221" localSheetId="62" hidden="1">3</definedName>
    <definedName name="solver_rel222" localSheetId="62" hidden="1">2</definedName>
    <definedName name="solver_rel223" localSheetId="62" hidden="1">1</definedName>
    <definedName name="solver_rel224" localSheetId="62" hidden="1">3</definedName>
    <definedName name="solver_rel225" localSheetId="62" hidden="1">2</definedName>
    <definedName name="solver_rel226" localSheetId="62" hidden="1">1</definedName>
    <definedName name="solver_rel227" localSheetId="62" hidden="1">3</definedName>
    <definedName name="solver_rel228" localSheetId="62" hidden="1">2</definedName>
    <definedName name="solver_rel229" localSheetId="62" hidden="1">1</definedName>
    <definedName name="solver_rel23" localSheetId="62" hidden="1">3</definedName>
    <definedName name="solver_rel230" localSheetId="62" hidden="1">3</definedName>
    <definedName name="solver_rel231" localSheetId="62" hidden="1">2</definedName>
    <definedName name="solver_rel232" localSheetId="62" hidden="1">1</definedName>
    <definedName name="solver_rel233" localSheetId="62" hidden="1">3</definedName>
    <definedName name="solver_rel234" localSheetId="62" hidden="1">2</definedName>
    <definedName name="solver_rel235" localSheetId="62" hidden="1">1</definedName>
    <definedName name="solver_rel236" localSheetId="62" hidden="1">3</definedName>
    <definedName name="solver_rel237" localSheetId="62" hidden="1">2</definedName>
    <definedName name="solver_rel238" localSheetId="62" hidden="1">1</definedName>
    <definedName name="solver_rel239" localSheetId="62" hidden="1">3</definedName>
    <definedName name="solver_rel24" localSheetId="62" hidden="1">2</definedName>
    <definedName name="solver_rel240" localSheetId="62" hidden="1">2</definedName>
    <definedName name="solver_rel241" localSheetId="62" hidden="1">1</definedName>
    <definedName name="solver_rel242" localSheetId="62" hidden="1">3</definedName>
    <definedName name="solver_rel243" localSheetId="62" hidden="1">2</definedName>
    <definedName name="solver_rel244" localSheetId="62" hidden="1">1</definedName>
    <definedName name="solver_rel245" localSheetId="62" hidden="1">3</definedName>
    <definedName name="solver_rel246" localSheetId="62" hidden="1">2</definedName>
    <definedName name="solver_rel247" localSheetId="62" hidden="1">1</definedName>
    <definedName name="solver_rel248" localSheetId="62" hidden="1">3</definedName>
    <definedName name="solver_rel249" localSheetId="62" hidden="1">2</definedName>
    <definedName name="solver_rel25" localSheetId="62" hidden="1">1</definedName>
    <definedName name="solver_rel250" localSheetId="62" hidden="1">1</definedName>
    <definedName name="solver_rel251" localSheetId="62" hidden="1">3</definedName>
    <definedName name="solver_rel252" localSheetId="62" hidden="1">2</definedName>
    <definedName name="solver_rel253" localSheetId="62" hidden="1">1</definedName>
    <definedName name="solver_rel254" localSheetId="62" hidden="1">3</definedName>
    <definedName name="solver_rel255" localSheetId="62" hidden="1">2</definedName>
    <definedName name="solver_rel256" localSheetId="62" hidden="1">1</definedName>
    <definedName name="solver_rel257" localSheetId="62" hidden="1">3</definedName>
    <definedName name="solver_rel258" localSheetId="62" hidden="1">2</definedName>
    <definedName name="solver_rel259" localSheetId="62" hidden="1">1</definedName>
    <definedName name="solver_rel26" localSheetId="62" hidden="1">3</definedName>
    <definedName name="solver_rel260" localSheetId="62" hidden="1">3</definedName>
    <definedName name="solver_rel261" localSheetId="62" hidden="1">2</definedName>
    <definedName name="solver_rel262" localSheetId="62" hidden="1">1</definedName>
    <definedName name="solver_rel263" localSheetId="62" hidden="1">3</definedName>
    <definedName name="solver_rel264" localSheetId="62" hidden="1">2</definedName>
    <definedName name="solver_rel265" localSheetId="62" hidden="1">1</definedName>
    <definedName name="solver_rel266" localSheetId="62" hidden="1">3</definedName>
    <definedName name="solver_rel267" localSheetId="62" hidden="1">2</definedName>
    <definedName name="solver_rel268" localSheetId="62" hidden="1">1</definedName>
    <definedName name="solver_rel269" localSheetId="62" hidden="1">3</definedName>
    <definedName name="solver_rel27" localSheetId="62" hidden="1">2</definedName>
    <definedName name="solver_rel270" localSheetId="62" hidden="1">2</definedName>
    <definedName name="solver_rel271" localSheetId="62" hidden="1">1</definedName>
    <definedName name="solver_rel272" localSheetId="62" hidden="1">3</definedName>
    <definedName name="solver_rel273" localSheetId="62" hidden="1">2</definedName>
    <definedName name="solver_rel274" localSheetId="62" hidden="1">1</definedName>
    <definedName name="solver_rel275" localSheetId="62" hidden="1">3</definedName>
    <definedName name="solver_rel276" localSheetId="62" hidden="1">2</definedName>
    <definedName name="solver_rel277" localSheetId="62" hidden="1">1</definedName>
    <definedName name="solver_rel278" localSheetId="62" hidden="1">3</definedName>
    <definedName name="solver_rel279" localSheetId="62" hidden="1">2</definedName>
    <definedName name="solver_rel28" localSheetId="62" hidden="1">1</definedName>
    <definedName name="solver_rel280" localSheetId="62" hidden="1">1</definedName>
    <definedName name="solver_rel281" localSheetId="62" hidden="1">3</definedName>
    <definedName name="solver_rel282" localSheetId="62" hidden="1">2</definedName>
    <definedName name="solver_rel283" localSheetId="62" hidden="1">1</definedName>
    <definedName name="solver_rel284" localSheetId="62" hidden="1">3</definedName>
    <definedName name="solver_rel285" localSheetId="62" hidden="1">2</definedName>
    <definedName name="solver_rel286" localSheetId="62" hidden="1">1</definedName>
    <definedName name="solver_rel287" localSheetId="62" hidden="1">3</definedName>
    <definedName name="solver_rel288" localSheetId="62" hidden="1">2</definedName>
    <definedName name="solver_rel289" localSheetId="62" hidden="1">1</definedName>
    <definedName name="solver_rel29" localSheetId="62" hidden="1">3</definedName>
    <definedName name="solver_rel290" localSheetId="62" hidden="1">3</definedName>
    <definedName name="solver_rel291" localSheetId="62" hidden="1">2</definedName>
    <definedName name="solver_rel292" localSheetId="62" hidden="1">1</definedName>
    <definedName name="solver_rel293" localSheetId="62" hidden="1">3</definedName>
    <definedName name="solver_rel294" localSheetId="62" hidden="1">2</definedName>
    <definedName name="solver_rel295" localSheetId="62" hidden="1">1</definedName>
    <definedName name="solver_rel296" localSheetId="62" hidden="1">3</definedName>
    <definedName name="solver_rel297" localSheetId="62" hidden="1">2</definedName>
    <definedName name="solver_rel298" localSheetId="62" hidden="1">1</definedName>
    <definedName name="solver_rel299" localSheetId="62" hidden="1">3</definedName>
    <definedName name="solver_rel3" localSheetId="36" hidden="1">5</definedName>
    <definedName name="solver_rel3" localSheetId="21" hidden="1">1</definedName>
    <definedName name="solver_rel3" localSheetId="35" hidden="1">5</definedName>
    <definedName name="solver_rel3" localSheetId="8" hidden="1">2</definedName>
    <definedName name="solver_rel3" localSheetId="7" hidden="1">2</definedName>
    <definedName name="solver_rel3" localSheetId="48" hidden="1">1</definedName>
    <definedName name="solver_rel3" localSheetId="22" hidden="1">1</definedName>
    <definedName name="solver_rel3" localSheetId="23" hidden="1">1</definedName>
    <definedName name="solver_rel3" localSheetId="26" hidden="1">1</definedName>
    <definedName name="solver_rel3" localSheetId="27" hidden="1">1</definedName>
    <definedName name="solver_rel3" localSheetId="54" hidden="1">1</definedName>
    <definedName name="solver_rel3" localSheetId="11" hidden="1">2</definedName>
    <definedName name="solver_rel3" localSheetId="13" hidden="1">2</definedName>
    <definedName name="solver_rel3" localSheetId="10" hidden="1">2</definedName>
    <definedName name="solver_rel3" localSheetId="25" hidden="1">2</definedName>
    <definedName name="solver_rel3" localSheetId="29" hidden="1">3</definedName>
    <definedName name="solver_rel3" localSheetId="47" hidden="1">1</definedName>
    <definedName name="solver_rel3" localSheetId="32" hidden="1">2</definedName>
    <definedName name="solver_rel3" localSheetId="28" hidden="1">2</definedName>
    <definedName name="solver_rel3" localSheetId="49" hidden="1">1</definedName>
    <definedName name="solver_rel3" localSheetId="50" hidden="1">2</definedName>
    <definedName name="solver_rel3" localSheetId="19" hidden="1">2</definedName>
    <definedName name="solver_rel3" localSheetId="20" hidden="1">2</definedName>
    <definedName name="solver_rel3" localSheetId="18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55" hidden="1">1</definedName>
    <definedName name="solver_rel3" localSheetId="68" hidden="1">3</definedName>
    <definedName name="solver_rel3" localSheetId="73" hidden="1">3</definedName>
    <definedName name="solver_rel3" localSheetId="62" hidden="1">2</definedName>
    <definedName name="solver_rel3" localSheetId="63" hidden="1">2</definedName>
    <definedName name="solver_rel3" localSheetId="64" hidden="1">1</definedName>
    <definedName name="solver_rel3" localSheetId="61" hidden="1">2</definedName>
    <definedName name="solver_rel3" localSheetId="51" hidden="1">2</definedName>
    <definedName name="solver_rel3" localSheetId="6" hidden="1">2</definedName>
    <definedName name="solver_rel3" localSheetId="31" hidden="1">2</definedName>
    <definedName name="solver_rel3" localSheetId="37" hidden="1">5</definedName>
    <definedName name="solver_rel3" localSheetId="52" hidden="1">1</definedName>
    <definedName name="solver_rel3" localSheetId="53" hidden="1">1</definedName>
    <definedName name="solver_rel3" localSheetId="59" hidden="1">1</definedName>
    <definedName name="solver_rel3" localSheetId="60" hidden="1">2</definedName>
    <definedName name="solver_rel3" localSheetId="3" hidden="1">2</definedName>
    <definedName name="solver_rel3" localSheetId="57" hidden="1">2</definedName>
    <definedName name="solver_rel3" localSheetId="14" hidden="1">2</definedName>
    <definedName name="solver_rel3" localSheetId="9" hidden="1">2</definedName>
    <definedName name="solver_rel3" localSheetId="30" hidden="1">2</definedName>
    <definedName name="solver_rel30" localSheetId="62" hidden="1">2</definedName>
    <definedName name="solver_rel300" localSheetId="62" hidden="1">2</definedName>
    <definedName name="solver_rel301" localSheetId="62" hidden="1">1</definedName>
    <definedName name="solver_rel302" localSheetId="62" hidden="1">3</definedName>
    <definedName name="solver_rel303" localSheetId="62" hidden="1">2</definedName>
    <definedName name="solver_rel304" localSheetId="62" hidden="1">1</definedName>
    <definedName name="solver_rel305" localSheetId="62" hidden="1">3</definedName>
    <definedName name="solver_rel306" localSheetId="62" hidden="1">2</definedName>
    <definedName name="solver_rel307" localSheetId="62" hidden="1">1</definedName>
    <definedName name="solver_rel308" localSheetId="62" hidden="1">3</definedName>
    <definedName name="solver_rel309" localSheetId="62" hidden="1">2</definedName>
    <definedName name="solver_rel31" localSheetId="62" hidden="1">1</definedName>
    <definedName name="solver_rel310" localSheetId="62" hidden="1">1</definedName>
    <definedName name="solver_rel311" localSheetId="62" hidden="1">3</definedName>
    <definedName name="solver_rel312" localSheetId="62" hidden="1">2</definedName>
    <definedName name="solver_rel313" localSheetId="62" hidden="1">1</definedName>
    <definedName name="solver_rel314" localSheetId="62" hidden="1">3</definedName>
    <definedName name="solver_rel315" localSheetId="62" hidden="1">2</definedName>
    <definedName name="solver_rel316" localSheetId="62" hidden="1">1</definedName>
    <definedName name="solver_rel317" localSheetId="62" hidden="1">3</definedName>
    <definedName name="solver_rel318" localSheetId="62" hidden="1">2</definedName>
    <definedName name="solver_rel319" localSheetId="62" hidden="1">1</definedName>
    <definedName name="solver_rel32" localSheetId="62" hidden="1">3</definedName>
    <definedName name="solver_rel320" localSheetId="62" hidden="1">3</definedName>
    <definedName name="solver_rel321" localSheetId="62" hidden="1">2</definedName>
    <definedName name="solver_rel322" localSheetId="62" hidden="1">1</definedName>
    <definedName name="solver_rel323" localSheetId="62" hidden="1">3</definedName>
    <definedName name="solver_rel324" localSheetId="62" hidden="1">2</definedName>
    <definedName name="solver_rel325" localSheetId="62" hidden="1">1</definedName>
    <definedName name="solver_rel326" localSheetId="62" hidden="1">3</definedName>
    <definedName name="solver_rel327" localSheetId="62" hidden="1">2</definedName>
    <definedName name="solver_rel328" localSheetId="62" hidden="1">1</definedName>
    <definedName name="solver_rel329" localSheetId="62" hidden="1">3</definedName>
    <definedName name="solver_rel33" localSheetId="62" hidden="1">2</definedName>
    <definedName name="solver_rel330" localSheetId="62" hidden="1">2</definedName>
    <definedName name="solver_rel331" localSheetId="62" hidden="1">1</definedName>
    <definedName name="solver_rel332" localSheetId="62" hidden="1">3</definedName>
    <definedName name="solver_rel333" localSheetId="62" hidden="1">2</definedName>
    <definedName name="solver_rel334" localSheetId="62" hidden="1">1</definedName>
    <definedName name="solver_rel335" localSheetId="62" hidden="1">3</definedName>
    <definedName name="solver_rel336" localSheetId="62" hidden="1">2</definedName>
    <definedName name="solver_rel337" localSheetId="62" hidden="1">1</definedName>
    <definedName name="solver_rel338" localSheetId="62" hidden="1">3</definedName>
    <definedName name="solver_rel339" localSheetId="62" hidden="1">2</definedName>
    <definedName name="solver_rel34" localSheetId="62" hidden="1">1</definedName>
    <definedName name="solver_rel340" localSheetId="62" hidden="1">1</definedName>
    <definedName name="solver_rel341" localSheetId="62" hidden="1">3</definedName>
    <definedName name="solver_rel342" localSheetId="62" hidden="1">2</definedName>
    <definedName name="solver_rel343" localSheetId="62" hidden="1">1</definedName>
    <definedName name="solver_rel344" localSheetId="62" hidden="1">3</definedName>
    <definedName name="solver_rel345" localSheetId="62" hidden="1">2</definedName>
    <definedName name="solver_rel346" localSheetId="62" hidden="1">1</definedName>
    <definedName name="solver_rel347" localSheetId="62" hidden="1">3</definedName>
    <definedName name="solver_rel348" localSheetId="62" hidden="1">2</definedName>
    <definedName name="solver_rel349" localSheetId="62" hidden="1">1</definedName>
    <definedName name="solver_rel35" localSheetId="62" hidden="1">3</definedName>
    <definedName name="solver_rel350" localSheetId="62" hidden="1">3</definedName>
    <definedName name="solver_rel351" localSheetId="62" hidden="1">2</definedName>
    <definedName name="solver_rel352" localSheetId="62" hidden="1">1</definedName>
    <definedName name="solver_rel353" localSheetId="62" hidden="1">3</definedName>
    <definedName name="solver_rel354" localSheetId="62" hidden="1">2</definedName>
    <definedName name="solver_rel355" localSheetId="62" hidden="1">1</definedName>
    <definedName name="solver_rel356" localSheetId="62" hidden="1">3</definedName>
    <definedName name="solver_rel357" localSheetId="62" hidden="1">2</definedName>
    <definedName name="solver_rel358" localSheetId="62" hidden="1">1</definedName>
    <definedName name="solver_rel359" localSheetId="62" hidden="1">3</definedName>
    <definedName name="solver_rel36" localSheetId="62" hidden="1">2</definedName>
    <definedName name="solver_rel360" localSheetId="62" hidden="1">2</definedName>
    <definedName name="solver_rel361" localSheetId="62" hidden="1">1</definedName>
    <definedName name="solver_rel362" localSheetId="62" hidden="1">3</definedName>
    <definedName name="solver_rel363" localSheetId="62" hidden="1">2</definedName>
    <definedName name="solver_rel364" localSheetId="62" hidden="1">1</definedName>
    <definedName name="solver_rel365" localSheetId="62" hidden="1">3</definedName>
    <definedName name="solver_rel366" localSheetId="62" hidden="1">2</definedName>
    <definedName name="solver_rel367" localSheetId="62" hidden="1">1</definedName>
    <definedName name="solver_rel368" localSheetId="62" hidden="1">3</definedName>
    <definedName name="solver_rel369" localSheetId="62" hidden="1">2</definedName>
    <definedName name="solver_rel37" localSheetId="62" hidden="1">1</definedName>
    <definedName name="solver_rel370" localSheetId="62" hidden="1">1</definedName>
    <definedName name="solver_rel371" localSheetId="62" hidden="1">3</definedName>
    <definedName name="solver_rel372" localSheetId="62" hidden="1">2</definedName>
    <definedName name="solver_rel373" localSheetId="62" hidden="1">1</definedName>
    <definedName name="solver_rel374" localSheetId="62" hidden="1">3</definedName>
    <definedName name="solver_rel375" localSheetId="62" hidden="1">2</definedName>
    <definedName name="solver_rel376" localSheetId="62" hidden="1">1</definedName>
    <definedName name="solver_rel377" localSheetId="62" hidden="1">3</definedName>
    <definedName name="solver_rel378" localSheetId="62" hidden="1">2</definedName>
    <definedName name="solver_rel379" localSheetId="62" hidden="1">1</definedName>
    <definedName name="solver_rel38" localSheetId="62" hidden="1">3</definedName>
    <definedName name="solver_rel380" localSheetId="62" hidden="1">3</definedName>
    <definedName name="solver_rel381" localSheetId="62" hidden="1">2</definedName>
    <definedName name="solver_rel382" localSheetId="62" hidden="1">1</definedName>
    <definedName name="solver_rel383" localSheetId="62" hidden="1">3</definedName>
    <definedName name="solver_rel384" localSheetId="62" hidden="1">2</definedName>
    <definedName name="solver_rel385" localSheetId="62" hidden="1">1</definedName>
    <definedName name="solver_rel386" localSheetId="62" hidden="1">3</definedName>
    <definedName name="solver_rel387" localSheetId="62" hidden="1">2</definedName>
    <definedName name="solver_rel388" localSheetId="62" hidden="1">1</definedName>
    <definedName name="solver_rel389" localSheetId="62" hidden="1">3</definedName>
    <definedName name="solver_rel39" localSheetId="62" hidden="1">2</definedName>
    <definedName name="solver_rel390" localSheetId="62" hidden="1">2</definedName>
    <definedName name="solver_rel391" localSheetId="62" hidden="1">1</definedName>
    <definedName name="solver_rel392" localSheetId="62" hidden="1">3</definedName>
    <definedName name="solver_rel393" localSheetId="62" hidden="1">2</definedName>
    <definedName name="solver_rel394" localSheetId="62" hidden="1">1</definedName>
    <definedName name="solver_rel395" localSheetId="62" hidden="1">3</definedName>
    <definedName name="solver_rel396" localSheetId="62" hidden="1">2</definedName>
    <definedName name="solver_rel397" localSheetId="62" hidden="1">1</definedName>
    <definedName name="solver_rel398" localSheetId="62" hidden="1">3</definedName>
    <definedName name="solver_rel399" localSheetId="62" hidden="1">2</definedName>
    <definedName name="solver_rel4" localSheetId="36" hidden="1">4</definedName>
    <definedName name="solver_rel4" localSheetId="21" hidden="1">5</definedName>
    <definedName name="solver_rel4" localSheetId="48" hidden="1">5</definedName>
    <definedName name="solver_rel4" localSheetId="22" hidden="1">5</definedName>
    <definedName name="solver_rel4" localSheetId="23" hidden="1">5</definedName>
    <definedName name="solver_rel4" localSheetId="26" hidden="1">1</definedName>
    <definedName name="solver_rel4" localSheetId="32" hidden="1">3</definedName>
    <definedName name="solver_rel4" localSheetId="49" hidden="1">1</definedName>
    <definedName name="solver_rel4" localSheetId="55" hidden="1">2</definedName>
    <definedName name="solver_rel4" localSheetId="68" hidden="1">1</definedName>
    <definedName name="solver_rel4" localSheetId="73" hidden="1">1</definedName>
    <definedName name="solver_rel4" localSheetId="62" hidden="1">1</definedName>
    <definedName name="solver_rel4" localSheetId="37" hidden="1">4</definedName>
    <definedName name="solver_rel4" localSheetId="59" hidden="1">2</definedName>
    <definedName name="solver_rel4" localSheetId="60" hidden="1">3</definedName>
    <definedName name="solver_rel4" localSheetId="58" hidden="1">4</definedName>
    <definedName name="solver_rel40" localSheetId="62" hidden="1">1</definedName>
    <definedName name="solver_rel400" localSheetId="62" hidden="1">1</definedName>
    <definedName name="solver_rel401" localSheetId="62" hidden="1">3</definedName>
    <definedName name="solver_rel402" localSheetId="62" hidden="1">2</definedName>
    <definedName name="solver_rel403" localSheetId="62" hidden="1">1</definedName>
    <definedName name="solver_rel404" localSheetId="62" hidden="1">3</definedName>
    <definedName name="solver_rel405" localSheetId="62" hidden="1">2</definedName>
    <definedName name="solver_rel406" localSheetId="62" hidden="1">1</definedName>
    <definedName name="solver_rel407" localSheetId="62" hidden="1">3</definedName>
    <definedName name="solver_rel408" localSheetId="62" hidden="1">2</definedName>
    <definedName name="solver_rel409" localSheetId="62" hidden="1">1</definedName>
    <definedName name="solver_rel41" localSheetId="62" hidden="1">3</definedName>
    <definedName name="solver_rel410" localSheetId="62" hidden="1">3</definedName>
    <definedName name="solver_rel411" localSheetId="62" hidden="1">2</definedName>
    <definedName name="solver_rel412" localSheetId="62" hidden="1">1</definedName>
    <definedName name="solver_rel413" localSheetId="62" hidden="1">3</definedName>
    <definedName name="solver_rel414" localSheetId="62" hidden="1">2</definedName>
    <definedName name="solver_rel415" localSheetId="62" hidden="1">1</definedName>
    <definedName name="solver_rel416" localSheetId="62" hidden="1">3</definedName>
    <definedName name="solver_rel417" localSheetId="62" hidden="1">2</definedName>
    <definedName name="solver_rel418" localSheetId="62" hidden="1">1</definedName>
    <definedName name="solver_rel419" localSheetId="62" hidden="1">3</definedName>
    <definedName name="solver_rel42" localSheetId="62" hidden="1">2</definedName>
    <definedName name="solver_rel420" localSheetId="62" hidden="1">2</definedName>
    <definedName name="solver_rel421" localSheetId="62" hidden="1">1</definedName>
    <definedName name="solver_rel422" localSheetId="62" hidden="1">3</definedName>
    <definedName name="solver_rel423" localSheetId="62" hidden="1">2</definedName>
    <definedName name="solver_rel424" localSheetId="62" hidden="1">1</definedName>
    <definedName name="solver_rel425" localSheetId="62" hidden="1">3</definedName>
    <definedName name="solver_rel426" localSheetId="62" hidden="1">2</definedName>
    <definedName name="solver_rel427" localSheetId="62" hidden="1">1</definedName>
    <definedName name="solver_rel428" localSheetId="62" hidden="1">3</definedName>
    <definedName name="solver_rel429" localSheetId="62" hidden="1">2</definedName>
    <definedName name="solver_rel43" localSheetId="62" hidden="1">1</definedName>
    <definedName name="solver_rel430" localSheetId="62" hidden="1">1</definedName>
    <definedName name="solver_rel431" localSheetId="62" hidden="1">3</definedName>
    <definedName name="solver_rel432" localSheetId="62" hidden="1">2</definedName>
    <definedName name="solver_rel433" localSheetId="62" hidden="1">1</definedName>
    <definedName name="solver_rel434" localSheetId="62" hidden="1">3</definedName>
    <definedName name="solver_rel435" localSheetId="62" hidden="1">2</definedName>
    <definedName name="solver_rel436" localSheetId="62" hidden="1">1</definedName>
    <definedName name="solver_rel437" localSheetId="62" hidden="1">3</definedName>
    <definedName name="solver_rel438" localSheetId="62" hidden="1">2</definedName>
    <definedName name="solver_rel439" localSheetId="62" hidden="1">1</definedName>
    <definedName name="solver_rel44" localSheetId="62" hidden="1">3</definedName>
    <definedName name="solver_rel440" localSheetId="62" hidden="1">3</definedName>
    <definedName name="solver_rel441" localSheetId="62" hidden="1">2</definedName>
    <definedName name="solver_rel442" localSheetId="62" hidden="1">1</definedName>
    <definedName name="solver_rel443" localSheetId="62" hidden="1">3</definedName>
    <definedName name="solver_rel444" localSheetId="62" hidden="1">2</definedName>
    <definedName name="solver_rel445" localSheetId="62" hidden="1">1</definedName>
    <definedName name="solver_rel446" localSheetId="62" hidden="1">3</definedName>
    <definedName name="solver_rel447" localSheetId="62" hidden="1">2</definedName>
    <definedName name="solver_rel448" localSheetId="62" hidden="1">1</definedName>
    <definedName name="solver_rel449" localSheetId="62" hidden="1">3</definedName>
    <definedName name="solver_rel45" localSheetId="62" hidden="1">2</definedName>
    <definedName name="solver_rel450" localSheetId="62" hidden="1">2</definedName>
    <definedName name="solver_rel451" localSheetId="62" hidden="1">1</definedName>
    <definedName name="solver_rel452" localSheetId="62" hidden="1">3</definedName>
    <definedName name="solver_rel453" localSheetId="62" hidden="1">2</definedName>
    <definedName name="solver_rel454" localSheetId="62" hidden="1">1</definedName>
    <definedName name="solver_rel455" localSheetId="62" hidden="1">3</definedName>
    <definedName name="solver_rel456" localSheetId="62" hidden="1">2</definedName>
    <definedName name="solver_rel457" localSheetId="62" hidden="1">1</definedName>
    <definedName name="solver_rel458" localSheetId="62" hidden="1">3</definedName>
    <definedName name="solver_rel459" localSheetId="62" hidden="1">2</definedName>
    <definedName name="solver_rel46" localSheetId="62" hidden="1">1</definedName>
    <definedName name="solver_rel460" localSheetId="62" hidden="1">1</definedName>
    <definedName name="solver_rel461" localSheetId="62" hidden="1">3</definedName>
    <definedName name="solver_rel462" localSheetId="62" hidden="1">2</definedName>
    <definedName name="solver_rel463" localSheetId="62" hidden="1">1</definedName>
    <definedName name="solver_rel464" localSheetId="62" hidden="1">3</definedName>
    <definedName name="solver_rel465" localSheetId="62" hidden="1">2</definedName>
    <definedName name="solver_rel466" localSheetId="62" hidden="1">1</definedName>
    <definedName name="solver_rel467" localSheetId="62" hidden="1">3</definedName>
    <definedName name="solver_rel468" localSheetId="62" hidden="1">2</definedName>
    <definedName name="solver_rel469" localSheetId="62" hidden="1">1</definedName>
    <definedName name="solver_rel47" localSheetId="62" hidden="1">3</definedName>
    <definedName name="solver_rel470" localSheetId="62" hidden="1">3</definedName>
    <definedName name="solver_rel471" localSheetId="62" hidden="1">2</definedName>
    <definedName name="solver_rel472" localSheetId="62" hidden="1">1</definedName>
    <definedName name="solver_rel473" localSheetId="62" hidden="1">3</definedName>
    <definedName name="solver_rel474" localSheetId="62" hidden="1">2</definedName>
    <definedName name="solver_rel475" localSheetId="62" hidden="1">1</definedName>
    <definedName name="solver_rel476" localSheetId="62" hidden="1">3</definedName>
    <definedName name="solver_rel477" localSheetId="62" hidden="1">2</definedName>
    <definedName name="solver_rel478" localSheetId="62" hidden="1">1</definedName>
    <definedName name="solver_rel479" localSheetId="62" hidden="1">3</definedName>
    <definedName name="solver_rel48" localSheetId="62" hidden="1">2</definedName>
    <definedName name="solver_rel480" localSheetId="62" hidden="1">2</definedName>
    <definedName name="solver_rel481" localSheetId="62" hidden="1">1</definedName>
    <definedName name="solver_rel482" localSheetId="62" hidden="1">3</definedName>
    <definedName name="solver_rel483" localSheetId="62" hidden="1">2</definedName>
    <definedName name="solver_rel484" localSheetId="62" hidden="1">1</definedName>
    <definedName name="solver_rel485" localSheetId="62" hidden="1">3</definedName>
    <definedName name="solver_rel486" localSheetId="62" hidden="1">2</definedName>
    <definedName name="solver_rel487" localSheetId="62" hidden="1">1</definedName>
    <definedName name="solver_rel488" localSheetId="62" hidden="1">3</definedName>
    <definedName name="solver_rel489" localSheetId="62" hidden="1">2</definedName>
    <definedName name="solver_rel49" localSheetId="62" hidden="1">1</definedName>
    <definedName name="solver_rel490" localSheetId="62" hidden="1">1</definedName>
    <definedName name="solver_rel491" localSheetId="62" hidden="1">3</definedName>
    <definedName name="solver_rel492" localSheetId="62" hidden="1">2</definedName>
    <definedName name="solver_rel493" localSheetId="62" hidden="1">1</definedName>
    <definedName name="solver_rel494" localSheetId="62" hidden="1">3</definedName>
    <definedName name="solver_rel495" localSheetId="62" hidden="1">2</definedName>
    <definedName name="solver_rel496" localSheetId="62" hidden="1">1</definedName>
    <definedName name="solver_rel497" localSheetId="62" hidden="1">3</definedName>
    <definedName name="solver_rel498" localSheetId="62" hidden="1">2</definedName>
    <definedName name="solver_rel499" localSheetId="62" hidden="1">1</definedName>
    <definedName name="solver_rel5" localSheetId="21" hidden="1">4</definedName>
    <definedName name="solver_rel5" localSheetId="48" hidden="1">4</definedName>
    <definedName name="solver_rel5" localSheetId="22" hidden="1">4</definedName>
    <definedName name="solver_rel5" localSheetId="23" hidden="1">4</definedName>
    <definedName name="solver_rel5" localSheetId="32" hidden="1">1</definedName>
    <definedName name="solver_rel5" localSheetId="68" hidden="1">4</definedName>
    <definedName name="solver_rel5" localSheetId="62" hidden="1">3</definedName>
    <definedName name="solver_rel5" localSheetId="58" hidden="1">1</definedName>
    <definedName name="solver_rel50" localSheetId="62" hidden="1">3</definedName>
    <definedName name="solver_rel500" localSheetId="62" hidden="1">3</definedName>
    <definedName name="solver_rel501" localSheetId="62" hidden="1">2</definedName>
    <definedName name="solver_rel502" localSheetId="62" hidden="1">1</definedName>
    <definedName name="solver_rel503" localSheetId="62" hidden="1">3</definedName>
    <definedName name="solver_rel504" localSheetId="62" hidden="1">2</definedName>
    <definedName name="solver_rel505" localSheetId="62" hidden="1">1</definedName>
    <definedName name="solver_rel506" localSheetId="62" hidden="1">3</definedName>
    <definedName name="solver_rel507" localSheetId="62" hidden="1">2</definedName>
    <definedName name="solver_rel508" localSheetId="62" hidden="1">1</definedName>
    <definedName name="solver_rel509" localSheetId="62" hidden="1">3</definedName>
    <definedName name="solver_rel51" localSheetId="62" hidden="1">2</definedName>
    <definedName name="solver_rel510" localSheetId="62" hidden="1">2</definedName>
    <definedName name="solver_rel511" localSheetId="62" hidden="1">1</definedName>
    <definedName name="solver_rel512" localSheetId="62" hidden="1">3</definedName>
    <definedName name="solver_rel513" localSheetId="62" hidden="1">2</definedName>
    <definedName name="solver_rel514" localSheetId="62" hidden="1">1</definedName>
    <definedName name="solver_rel515" localSheetId="62" hidden="1">3</definedName>
    <definedName name="solver_rel516" localSheetId="62" hidden="1">2</definedName>
    <definedName name="solver_rel517" localSheetId="62" hidden="1">1</definedName>
    <definedName name="solver_rel518" localSheetId="62" hidden="1">3</definedName>
    <definedName name="solver_rel519" localSheetId="62" hidden="1">2</definedName>
    <definedName name="solver_rel52" localSheetId="62" hidden="1">1</definedName>
    <definedName name="solver_rel520" localSheetId="62" hidden="1">1</definedName>
    <definedName name="solver_rel521" localSheetId="62" hidden="1">3</definedName>
    <definedName name="solver_rel522" localSheetId="62" hidden="1">2</definedName>
    <definedName name="solver_rel523" localSheetId="62" hidden="1">1</definedName>
    <definedName name="solver_rel524" localSheetId="62" hidden="1">3</definedName>
    <definedName name="solver_rel525" localSheetId="62" hidden="1">2</definedName>
    <definedName name="solver_rel526" localSheetId="62" hidden="1">1</definedName>
    <definedName name="solver_rel527" localSheetId="62" hidden="1">3</definedName>
    <definedName name="solver_rel528" localSheetId="62" hidden="1">2</definedName>
    <definedName name="solver_rel529" localSheetId="62" hidden="1">1</definedName>
    <definedName name="solver_rel53" localSheetId="62" hidden="1">3</definedName>
    <definedName name="solver_rel530" localSheetId="62" hidden="1">3</definedName>
    <definedName name="solver_rel531" localSheetId="62" hidden="1">2</definedName>
    <definedName name="solver_rel532" localSheetId="62" hidden="1">1</definedName>
    <definedName name="solver_rel533" localSheetId="62" hidden="1">3</definedName>
    <definedName name="solver_rel534" localSheetId="62" hidden="1">2</definedName>
    <definedName name="solver_rel535" localSheetId="62" hidden="1">1</definedName>
    <definedName name="solver_rel536" localSheetId="62" hidden="1">3</definedName>
    <definedName name="solver_rel537" localSheetId="62" hidden="1">2</definedName>
    <definedName name="solver_rel538" localSheetId="62" hidden="1">1</definedName>
    <definedName name="solver_rel539" localSheetId="62" hidden="1">3</definedName>
    <definedName name="solver_rel54" localSheetId="62" hidden="1">2</definedName>
    <definedName name="solver_rel540" localSheetId="62" hidden="1">2</definedName>
    <definedName name="solver_rel541" localSheetId="62" hidden="1">1</definedName>
    <definedName name="solver_rel542" localSheetId="62" hidden="1">3</definedName>
    <definedName name="solver_rel543" localSheetId="62" hidden="1">2</definedName>
    <definedName name="solver_rel544" localSheetId="62" hidden="1">1</definedName>
    <definedName name="solver_rel545" localSheetId="62" hidden="1">3</definedName>
    <definedName name="solver_rel546" localSheetId="62" hidden="1">2</definedName>
    <definedName name="solver_rel547" localSheetId="62" hidden="1">1</definedName>
    <definedName name="solver_rel548" localSheetId="62" hidden="1">3</definedName>
    <definedName name="solver_rel549" localSheetId="62" hidden="1">2</definedName>
    <definedName name="solver_rel55" localSheetId="62" hidden="1">1</definedName>
    <definedName name="solver_rel550" localSheetId="62" hidden="1">1</definedName>
    <definedName name="solver_rel551" localSheetId="62" hidden="1">3</definedName>
    <definedName name="solver_rel552" localSheetId="62" hidden="1">2</definedName>
    <definedName name="solver_rel553" localSheetId="62" hidden="1">1</definedName>
    <definedName name="solver_rel554" localSheetId="62" hidden="1">3</definedName>
    <definedName name="solver_rel555" localSheetId="62" hidden="1">2</definedName>
    <definedName name="solver_rel556" localSheetId="62" hidden="1">1</definedName>
    <definedName name="solver_rel557" localSheetId="62" hidden="1">3</definedName>
    <definedName name="solver_rel558" localSheetId="62" hidden="1">2</definedName>
    <definedName name="solver_rel559" localSheetId="62" hidden="1">1</definedName>
    <definedName name="solver_rel56" localSheetId="62" hidden="1">3</definedName>
    <definedName name="solver_rel560" localSheetId="62" hidden="1">3</definedName>
    <definedName name="solver_rel561" localSheetId="62" hidden="1">2</definedName>
    <definedName name="solver_rel562" localSheetId="62" hidden="1">1</definedName>
    <definedName name="solver_rel563" localSheetId="62" hidden="1">3</definedName>
    <definedName name="solver_rel564" localSheetId="62" hidden="1">2</definedName>
    <definedName name="solver_rel565" localSheetId="62" hidden="1">1</definedName>
    <definedName name="solver_rel566" localSheetId="62" hidden="1">3</definedName>
    <definedName name="solver_rel567" localSheetId="62" hidden="1">2</definedName>
    <definedName name="solver_rel568" localSheetId="62" hidden="1">1</definedName>
    <definedName name="solver_rel569" localSheetId="62" hidden="1">3</definedName>
    <definedName name="solver_rel57" localSheetId="62" hidden="1">2</definedName>
    <definedName name="solver_rel570" localSheetId="62" hidden="1">2</definedName>
    <definedName name="solver_rel571" localSheetId="62" hidden="1">1</definedName>
    <definedName name="solver_rel572" localSheetId="62" hidden="1">3</definedName>
    <definedName name="solver_rel573" localSheetId="62" hidden="1">2</definedName>
    <definedName name="solver_rel574" localSheetId="62" hidden="1">1</definedName>
    <definedName name="solver_rel575" localSheetId="62" hidden="1">3</definedName>
    <definedName name="solver_rel576" localSheetId="62" hidden="1">2</definedName>
    <definedName name="solver_rel577" localSheetId="62" hidden="1">1</definedName>
    <definedName name="solver_rel578" localSheetId="62" hidden="1">3</definedName>
    <definedName name="solver_rel579" localSheetId="62" hidden="1">2</definedName>
    <definedName name="solver_rel58" localSheetId="62" hidden="1">1</definedName>
    <definedName name="solver_rel580" localSheetId="62" hidden="1">1</definedName>
    <definedName name="solver_rel581" localSheetId="62" hidden="1">3</definedName>
    <definedName name="solver_rel582" localSheetId="62" hidden="1">2</definedName>
    <definedName name="solver_rel583" localSheetId="62" hidden="1">1</definedName>
    <definedName name="solver_rel584" localSheetId="62" hidden="1">3</definedName>
    <definedName name="solver_rel585" localSheetId="62" hidden="1">2</definedName>
    <definedName name="solver_rel586" localSheetId="62" hidden="1">1</definedName>
    <definedName name="solver_rel587" localSheetId="62" hidden="1">3</definedName>
    <definedName name="solver_rel588" localSheetId="62" hidden="1">2</definedName>
    <definedName name="solver_rel589" localSheetId="62" hidden="1">1</definedName>
    <definedName name="solver_rel59" localSheetId="62" hidden="1">3</definedName>
    <definedName name="solver_rel590" localSheetId="62" hidden="1">3</definedName>
    <definedName name="solver_rel591" localSheetId="62" hidden="1">2</definedName>
    <definedName name="solver_rel592" localSheetId="62" hidden="1">1</definedName>
    <definedName name="solver_rel593" localSheetId="62" hidden="1">3</definedName>
    <definedName name="solver_rel594" localSheetId="62" hidden="1">2</definedName>
    <definedName name="solver_rel595" localSheetId="62" hidden="1">1</definedName>
    <definedName name="solver_rel596" localSheetId="62" hidden="1">3</definedName>
    <definedName name="solver_rel597" localSheetId="62" hidden="1">2</definedName>
    <definedName name="solver_rel598" localSheetId="62" hidden="1">1</definedName>
    <definedName name="solver_rel599" localSheetId="62" hidden="1">3</definedName>
    <definedName name="solver_rel6" localSheetId="48" hidden="1">1</definedName>
    <definedName name="solver_rel6" localSheetId="22" hidden="1">1</definedName>
    <definedName name="solver_rel6" localSheetId="23" hidden="1">1</definedName>
    <definedName name="solver_rel6" localSheetId="62" hidden="1">2</definedName>
    <definedName name="solver_rel60" localSheetId="62" hidden="1">2</definedName>
    <definedName name="solver_rel600" localSheetId="62" hidden="1">2</definedName>
    <definedName name="solver_rel61" localSheetId="62" hidden="1">1</definedName>
    <definedName name="solver_rel62" localSheetId="62" hidden="1">3</definedName>
    <definedName name="solver_rel63" localSheetId="62" hidden="1">2</definedName>
    <definedName name="solver_rel64" localSheetId="62" hidden="1">1</definedName>
    <definedName name="solver_rel65" localSheetId="62" hidden="1">3</definedName>
    <definedName name="solver_rel66" localSheetId="62" hidden="1">2</definedName>
    <definedName name="solver_rel67" localSheetId="62" hidden="1">1</definedName>
    <definedName name="solver_rel68" localSheetId="62" hidden="1">3</definedName>
    <definedName name="solver_rel69" localSheetId="62" hidden="1">2</definedName>
    <definedName name="solver_rel7" localSheetId="48" hidden="1">3</definedName>
    <definedName name="solver_rel7" localSheetId="22" hidden="1">3</definedName>
    <definedName name="solver_rel7" localSheetId="23" hidden="1">3</definedName>
    <definedName name="solver_rel7" localSheetId="62" hidden="1">1</definedName>
    <definedName name="solver_rel70" localSheetId="62" hidden="1">1</definedName>
    <definedName name="solver_rel71" localSheetId="62" hidden="1">3</definedName>
    <definedName name="solver_rel72" localSheetId="62" hidden="1">2</definedName>
    <definedName name="solver_rel73" localSheetId="62" hidden="1">1</definedName>
    <definedName name="solver_rel74" localSheetId="62" hidden="1">3</definedName>
    <definedName name="solver_rel75" localSheetId="62" hidden="1">2</definedName>
    <definedName name="solver_rel76" localSheetId="62" hidden="1">1</definedName>
    <definedName name="solver_rel77" localSheetId="62" hidden="1">3</definedName>
    <definedName name="solver_rel78" localSheetId="62" hidden="1">2</definedName>
    <definedName name="solver_rel79" localSheetId="62" hidden="1">1</definedName>
    <definedName name="solver_rel8" localSheetId="22" hidden="1">3</definedName>
    <definedName name="solver_rel8" localSheetId="23" hidden="1">3</definedName>
    <definedName name="solver_rel8" localSheetId="62" hidden="1">3</definedName>
    <definedName name="solver_rel80" localSheetId="62" hidden="1">3</definedName>
    <definedName name="solver_rel81" localSheetId="62" hidden="1">2</definedName>
    <definedName name="solver_rel82" localSheetId="62" hidden="1">1</definedName>
    <definedName name="solver_rel83" localSheetId="62" hidden="1">3</definedName>
    <definedName name="solver_rel84" localSheetId="62" hidden="1">2</definedName>
    <definedName name="solver_rel85" localSheetId="62" hidden="1">1</definedName>
    <definedName name="solver_rel86" localSheetId="62" hidden="1">3</definedName>
    <definedName name="solver_rel87" localSheetId="62" hidden="1">2</definedName>
    <definedName name="solver_rel88" localSheetId="62" hidden="1">1</definedName>
    <definedName name="solver_rel89" localSheetId="62" hidden="1">3</definedName>
    <definedName name="solver_rel9" localSheetId="23" hidden="1">1</definedName>
    <definedName name="solver_rel9" localSheetId="62" hidden="1">2</definedName>
    <definedName name="solver_rel90" localSheetId="62" hidden="1">2</definedName>
    <definedName name="solver_rel91" localSheetId="62" hidden="1">1</definedName>
    <definedName name="solver_rel92" localSheetId="62" hidden="1">3</definedName>
    <definedName name="solver_rel93" localSheetId="62" hidden="1">2</definedName>
    <definedName name="solver_rel94" localSheetId="62" hidden="1">1</definedName>
    <definedName name="solver_rel95" localSheetId="62" hidden="1">3</definedName>
    <definedName name="solver_rel96" localSheetId="62" hidden="1">2</definedName>
    <definedName name="solver_rel97" localSheetId="62" hidden="1">1</definedName>
    <definedName name="solver_rel98" localSheetId="62" hidden="1">3</definedName>
    <definedName name="solver_rel99" localSheetId="62" hidden="1">2</definedName>
    <definedName name="solver_rhs1" localSheetId="24" hidden="1">'BadName!'!$J$12</definedName>
    <definedName name="solver_rhs1" localSheetId="36" hidden="1">BinIntLB!$J$11:$J$13</definedName>
    <definedName name="solver_rhs1" localSheetId="21" hidden="1">BinIntOverlap!$K$8:$K$9</definedName>
    <definedName name="solver_rhs1" localSheetId="35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8" hidden="1">ComplexLayout!$K$8:$K$9</definedName>
    <definedName name="solver_rhs1" localSheetId="22" hidden="1">ConFormula!$K$9:$K$10</definedName>
    <definedName name="solver_rhs1" localSheetId="23" hidden="1">ConFormulaInf!$K$9:$K$10</definedName>
    <definedName name="solver_rhs1" localSheetId="44" hidden="1">ConstantLB!$J$11:$J$13</definedName>
    <definedName name="solver_rhs1" localSheetId="41" hidden="1">ConstFormulaRangeLB!$J$10:$J$12</definedName>
    <definedName name="solver_rhs1" localSheetId="43" hidden="1">ConstraintLB!$J$11:$J$13</definedName>
    <definedName name="solver_rhs1" localSheetId="26" hidden="1">DeletedConRef!$J$9:$J$10</definedName>
    <definedName name="solver_rhs1" localSheetId="27" hidden="1">DeletedObjRef!$J$9:$J$10</definedName>
    <definedName name="solver_rhs1" localSheetId="54" hidden="1">DiffSheetObj!$I$6</definedName>
    <definedName name="solver_rhs1" localSheetId="33" hidden="1">DirectLBs!$J$10:$J$12</definedName>
    <definedName name="solver_rhs1" localSheetId="11" hidden="1">ErrorLHS!$J$8:$J$9</definedName>
    <definedName name="solver_rhs1" localSheetId="13" hidden="1">ErrorObj!$J$8:$J$9</definedName>
    <definedName name="solver_rhs1" localSheetId="10" hidden="1">ErrorRHS!$J$8:$J$9</definedName>
    <definedName name="solver_rhs1" localSheetId="25" hidden="1">'EscapeSheetName(1)+2-1'!$J$8:$J$9</definedName>
    <definedName name="solver_rhs1" localSheetId="29" hidden="1">FeasConstConstraint!$L$8:$L$9</definedName>
    <definedName name="solver_rhs1" localSheetId="45" hidden="1">FormulaLB!$J$11:$J$13</definedName>
    <definedName name="solver_rhs1" localSheetId="47" hidden="1">FractionalCoeffs!$I$6</definedName>
    <definedName name="solver_rhs1" localSheetId="32" hidden="1">IndirectLBs!$J$10:$J$11</definedName>
    <definedName name="solver_rhs1" localSheetId="28" hidden="1">InfConstConstraint!$L$8:$L$9</definedName>
    <definedName name="solver_rhs1" localSheetId="49" hidden="1">InfModel!$J$9:$J$10</definedName>
    <definedName name="solver_rhs1" localSheetId="5" hidden="1">IP_SUMIF!$C$10</definedName>
    <definedName name="solver_rhs1" localSheetId="50" hidden="1">IterativeCalc!$J$9:$J$10</definedName>
    <definedName name="solver_rhs1" localSheetId="38" hidden="1">LargeRangeLB!$J$12:$J$14</definedName>
    <definedName name="solver_rhs1" localSheetId="19" hidden="1">MergedLHS_OK!$J$9:$J$10</definedName>
    <definedName name="solver_rhs1" localSheetId="20" hidden="1">MergedLHSMultiple_OK!$J$9:$J$10</definedName>
    <definedName name="solver_rhs1" localSheetId="18" hidden="1">MergedRHS_OK!$J$9:$J$10</definedName>
    <definedName name="solver_rhs1" localSheetId="17" hidden="1">MergedVarsBad!$J$9:$J$10</definedName>
    <definedName name="solver_rhs1" localSheetId="16" hidden="1">MergedVarsOK!$J$9:$J$10</definedName>
    <definedName name="solver_rhs1" localSheetId="15" hidden="1">MergedVarsSubset!$J$9:$J$10</definedName>
    <definedName name="solver_rhs1" localSheetId="55" hidden="1">NamedRanges!$K$8</definedName>
    <definedName name="solver_rhs1" localSheetId="68" hidden="1">NonLin!$L$40</definedName>
    <definedName name="solver_rhs1" localSheetId="69" hidden="1">NonLin2!$G$6:$G$7</definedName>
    <definedName name="solver_rhs1" localSheetId="70" hidden="1">NonLin3!$Q$10:$Q$11</definedName>
    <definedName name="solver_rhs1" localSheetId="73" hidden="1">0</definedName>
    <definedName name="solver_rhs1" localSheetId="67" hidden="1">NonLinBinary!$G$8:$G$9</definedName>
    <definedName name="solver_rhs1" localSheetId="66" hidden="1">NonLinConstraints!$K$7:$K$9</definedName>
    <definedName name="solver_rhs1" localSheetId="62" hidden="1">NonLinLarge!$J$7:$J$8</definedName>
    <definedName name="solver_rhs1" localSheetId="65" hidden="1">NonLinMinMax!$I$8</definedName>
    <definedName name="solver_rhs1" localSheetId="63" hidden="1">NonLinObj!$J$7:$J$8</definedName>
    <definedName name="solver_rhs1" localSheetId="64" hidden="1">NonLinPruning!$H$8:$H$9</definedName>
    <definedName name="solver_rhs1" localSheetId="61" hidden="1">NonLinSimple!$J$7:$J$8</definedName>
    <definedName name="solver_rhs1" localSheetId="51" hidden="1">NoObj!$J$9:$J$10</definedName>
    <definedName name="solver_rhs1" localSheetId="6" hidden="1">OverlappingVars!$J$8:$J$9</definedName>
    <definedName name="solver_rhs1" localSheetId="39" hidden="1">OverlapRangeLB!$J$12:$J$14</definedName>
    <definedName name="solver_rhs1" localSheetId="40" hidden="1">OverlapRangeLBwithFormula!$J$12:$J$14</definedName>
    <definedName name="solver_rhs1" localSheetId="31" hidden="1">ProtectedSheet!$J$8:$J$9</definedName>
    <definedName name="solver_rhs1" localSheetId="56" hidden="1">QuickSolve!$J$8</definedName>
    <definedName name="solver_rhs1" localSheetId="37" hidden="1">Relaxation!$J$11:$J$13</definedName>
    <definedName name="solver_rhs1" localSheetId="52" hidden="1">SeekObj!$I$6</definedName>
    <definedName name="solver_rhs1" localSheetId="53" hidden="1">SeekObjInf!$I$6</definedName>
    <definedName name="solver_rhs1" localSheetId="59" hidden="1">Sensitivity!$I$8</definedName>
    <definedName name="solver_rhs1" localSheetId="60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4" hidden="1">SingleRangeLB!$J$10:$J$12</definedName>
    <definedName name="solver_rhs1" localSheetId="57" hidden="1">SolverParameters!$J$17:$J$18</definedName>
    <definedName name="solver_rhs1" localSheetId="14" hidden="1">TextObj!$J$8:$J$9</definedName>
    <definedName name="solver_rhs1" localSheetId="9" hidden="1">TextRHS!$J$8:$J$9</definedName>
    <definedName name="solver_rhs1" localSheetId="30" hidden="1">Unbounded!$J$8:$J$9</definedName>
    <definedName name="solver_rhs1" localSheetId="46" hidden="1">VarConstraintLB!$J$11:$J$13</definedName>
    <definedName name="solver_rhs1" localSheetId="42" hidden="1">VariableFormulaRangeLB!$J$11:$J$13</definedName>
    <definedName name="solver_rhs1" localSheetId="58" hidden="1">Warmstart!$UH$4</definedName>
    <definedName name="solver_rhs10" localSheetId="62" hidden="1">NonLinLarge!$J$74</definedName>
    <definedName name="solver_rhs100" localSheetId="62" hidden="1">NonLinLarge!$J$74</definedName>
    <definedName name="solver_rhs101" localSheetId="62" hidden="1">NonLinLarge!$J$75:$J$138</definedName>
    <definedName name="solver_rhs102" localSheetId="62" hidden="1">NonLinLarge!$J$139</definedName>
    <definedName name="solver_rhs103" localSheetId="62" hidden="1">NonLinLarge!$J$7:$J$8</definedName>
    <definedName name="solver_rhs104" localSheetId="62" hidden="1">NonLinLarge!$J$9:$J$72</definedName>
    <definedName name="solver_rhs105" localSheetId="62" hidden="1">NonLinLarge!$J$73</definedName>
    <definedName name="solver_rhs106" localSheetId="62" hidden="1">NonLinLarge!$J$74</definedName>
    <definedName name="solver_rhs107" localSheetId="62" hidden="1">NonLinLarge!$J$75:$J$138</definedName>
    <definedName name="solver_rhs108" localSheetId="62" hidden="1">NonLinLarge!$J$139</definedName>
    <definedName name="solver_rhs109" localSheetId="62" hidden="1">NonLinLarge!$J$7:$J$8</definedName>
    <definedName name="solver_rhs11" localSheetId="62" hidden="1">NonLinLarge!$J$75:$J$138</definedName>
    <definedName name="solver_rhs110" localSheetId="62" hidden="1">NonLinLarge!$J$9:$J$72</definedName>
    <definedName name="solver_rhs111" localSheetId="62" hidden="1">NonLinLarge!$J$73</definedName>
    <definedName name="solver_rhs112" localSheetId="62" hidden="1">NonLinLarge!$J$74</definedName>
    <definedName name="solver_rhs113" localSheetId="62" hidden="1">NonLinLarge!$J$75:$J$138</definedName>
    <definedName name="solver_rhs114" localSheetId="62" hidden="1">NonLinLarge!$J$139</definedName>
    <definedName name="solver_rhs115" localSheetId="62" hidden="1">NonLinLarge!$J$7:$J$8</definedName>
    <definedName name="solver_rhs116" localSheetId="62" hidden="1">NonLinLarge!$J$9:$J$72</definedName>
    <definedName name="solver_rhs117" localSheetId="62" hidden="1">NonLinLarge!$J$73</definedName>
    <definedName name="solver_rhs118" localSheetId="62" hidden="1">NonLinLarge!$J$74</definedName>
    <definedName name="solver_rhs119" localSheetId="62" hidden="1">NonLinLarge!$J$75:$J$138</definedName>
    <definedName name="solver_rhs12" localSheetId="62" hidden="1">NonLinLarge!$J$139</definedName>
    <definedName name="solver_rhs120" localSheetId="62" hidden="1">NonLinLarge!$J$139</definedName>
    <definedName name="solver_rhs121" localSheetId="62" hidden="1">NonLinLarge!$J$7:$J$8</definedName>
    <definedName name="solver_rhs122" localSheetId="62" hidden="1">NonLinLarge!$J$9:$J$72</definedName>
    <definedName name="solver_rhs123" localSheetId="62" hidden="1">NonLinLarge!$J$73</definedName>
    <definedName name="solver_rhs124" localSheetId="62" hidden="1">NonLinLarge!$J$74</definedName>
    <definedName name="solver_rhs125" localSheetId="62" hidden="1">NonLinLarge!$J$75:$J$138</definedName>
    <definedName name="solver_rhs126" localSheetId="62" hidden="1">NonLinLarge!$J$139</definedName>
    <definedName name="solver_rhs127" localSheetId="62" hidden="1">NonLinLarge!$J$7:$J$8</definedName>
    <definedName name="solver_rhs128" localSheetId="62" hidden="1">NonLinLarge!$J$9:$J$72</definedName>
    <definedName name="solver_rhs129" localSheetId="62" hidden="1">NonLinLarge!$J$73</definedName>
    <definedName name="solver_rhs13" localSheetId="62" hidden="1">NonLinLarge!$J$7:$J$8</definedName>
    <definedName name="solver_rhs130" localSheetId="62" hidden="1">NonLinLarge!$J$74</definedName>
    <definedName name="solver_rhs131" localSheetId="62" hidden="1">NonLinLarge!$J$75:$J$138</definedName>
    <definedName name="solver_rhs132" localSheetId="62" hidden="1">NonLinLarge!$J$139</definedName>
    <definedName name="solver_rhs133" localSheetId="62" hidden="1">NonLinLarge!$J$7:$J$8</definedName>
    <definedName name="solver_rhs134" localSheetId="62" hidden="1">NonLinLarge!$J$9:$J$72</definedName>
    <definedName name="solver_rhs135" localSheetId="62" hidden="1">NonLinLarge!$J$73</definedName>
    <definedName name="solver_rhs136" localSheetId="62" hidden="1">NonLinLarge!$J$74</definedName>
    <definedName name="solver_rhs137" localSheetId="62" hidden="1">NonLinLarge!$J$75:$J$138</definedName>
    <definedName name="solver_rhs138" localSheetId="62" hidden="1">NonLinLarge!$J$139</definedName>
    <definedName name="solver_rhs139" localSheetId="62" hidden="1">NonLinLarge!$J$7:$J$8</definedName>
    <definedName name="solver_rhs14" localSheetId="62" hidden="1">NonLinLarge!$J$9:$J$72</definedName>
    <definedName name="solver_rhs140" localSheetId="62" hidden="1">NonLinLarge!$J$9:$J$72</definedName>
    <definedName name="solver_rhs141" localSheetId="62" hidden="1">NonLinLarge!$J$73</definedName>
    <definedName name="solver_rhs142" localSheetId="62" hidden="1">NonLinLarge!$J$74</definedName>
    <definedName name="solver_rhs143" localSheetId="62" hidden="1">NonLinLarge!$J$75:$J$138</definedName>
    <definedName name="solver_rhs144" localSheetId="62" hidden="1">NonLinLarge!$J$139</definedName>
    <definedName name="solver_rhs145" localSheetId="62" hidden="1">NonLinLarge!$J$7:$J$8</definedName>
    <definedName name="solver_rhs146" localSheetId="62" hidden="1">NonLinLarge!$J$9:$J$72</definedName>
    <definedName name="solver_rhs147" localSheetId="62" hidden="1">NonLinLarge!$J$73</definedName>
    <definedName name="solver_rhs148" localSheetId="62" hidden="1">NonLinLarge!$J$74</definedName>
    <definedName name="solver_rhs149" localSheetId="62" hidden="1">NonLinLarge!$J$75:$J$138</definedName>
    <definedName name="solver_rhs15" localSheetId="62" hidden="1">NonLinLarge!$J$73</definedName>
    <definedName name="solver_rhs150" localSheetId="62" hidden="1">NonLinLarge!$J$139</definedName>
    <definedName name="solver_rhs151" localSheetId="62" hidden="1">NonLinLarge!$J$7:$J$8</definedName>
    <definedName name="solver_rhs152" localSheetId="62" hidden="1">NonLinLarge!$J$9:$J$72</definedName>
    <definedName name="solver_rhs153" localSheetId="62" hidden="1">NonLinLarge!$J$73</definedName>
    <definedName name="solver_rhs154" localSheetId="62" hidden="1">NonLinLarge!$J$74</definedName>
    <definedName name="solver_rhs155" localSheetId="62" hidden="1">NonLinLarge!$J$75:$J$138</definedName>
    <definedName name="solver_rhs156" localSheetId="62" hidden="1">NonLinLarge!$J$139</definedName>
    <definedName name="solver_rhs157" localSheetId="62" hidden="1">NonLinLarge!$J$7:$J$8</definedName>
    <definedName name="solver_rhs158" localSheetId="62" hidden="1">NonLinLarge!$J$9:$J$72</definedName>
    <definedName name="solver_rhs159" localSheetId="62" hidden="1">NonLinLarge!$J$73</definedName>
    <definedName name="solver_rhs16" localSheetId="62" hidden="1">NonLinLarge!$J$74</definedName>
    <definedName name="solver_rhs160" localSheetId="62" hidden="1">NonLinLarge!$J$74</definedName>
    <definedName name="solver_rhs161" localSheetId="62" hidden="1">NonLinLarge!$J$75:$J$138</definedName>
    <definedName name="solver_rhs162" localSheetId="62" hidden="1">NonLinLarge!$J$139</definedName>
    <definedName name="solver_rhs163" localSheetId="62" hidden="1">NonLinLarge!$J$7:$J$8</definedName>
    <definedName name="solver_rhs164" localSheetId="62" hidden="1">NonLinLarge!$J$9:$J$72</definedName>
    <definedName name="solver_rhs165" localSheetId="62" hidden="1">NonLinLarge!$J$73</definedName>
    <definedName name="solver_rhs166" localSheetId="62" hidden="1">NonLinLarge!$J$74</definedName>
    <definedName name="solver_rhs167" localSheetId="62" hidden="1">NonLinLarge!$J$75:$J$138</definedName>
    <definedName name="solver_rhs168" localSheetId="62" hidden="1">NonLinLarge!$J$139</definedName>
    <definedName name="solver_rhs169" localSheetId="62" hidden="1">NonLinLarge!$J$7:$J$8</definedName>
    <definedName name="solver_rhs17" localSheetId="62" hidden="1">NonLinLarge!$J$75:$J$138</definedName>
    <definedName name="solver_rhs170" localSheetId="62" hidden="1">NonLinLarge!$J$9:$J$72</definedName>
    <definedName name="solver_rhs171" localSheetId="62" hidden="1">NonLinLarge!$J$73</definedName>
    <definedName name="solver_rhs172" localSheetId="62" hidden="1">NonLinLarge!$J$74</definedName>
    <definedName name="solver_rhs173" localSheetId="62" hidden="1">NonLinLarge!$J$75:$J$138</definedName>
    <definedName name="solver_rhs174" localSheetId="62" hidden="1">NonLinLarge!$J$139</definedName>
    <definedName name="solver_rhs175" localSheetId="62" hidden="1">NonLinLarge!$J$7:$J$8</definedName>
    <definedName name="solver_rhs176" localSheetId="62" hidden="1">NonLinLarge!$J$9:$J$72</definedName>
    <definedName name="solver_rhs177" localSheetId="62" hidden="1">NonLinLarge!$J$73</definedName>
    <definedName name="solver_rhs178" localSheetId="62" hidden="1">NonLinLarge!$J$74</definedName>
    <definedName name="solver_rhs179" localSheetId="62" hidden="1">NonLinLarge!$J$75:$J$138</definedName>
    <definedName name="solver_rhs18" localSheetId="62" hidden="1">NonLinLarge!$J$139</definedName>
    <definedName name="solver_rhs180" localSheetId="62" hidden="1">NonLinLarge!$J$139</definedName>
    <definedName name="solver_rhs181" localSheetId="62" hidden="1">NonLinLarge!$J$7:$J$8</definedName>
    <definedName name="solver_rhs182" localSheetId="62" hidden="1">NonLinLarge!$J$9:$J$72</definedName>
    <definedName name="solver_rhs183" localSheetId="62" hidden="1">NonLinLarge!$J$73</definedName>
    <definedName name="solver_rhs184" localSheetId="62" hidden="1">NonLinLarge!$J$74</definedName>
    <definedName name="solver_rhs185" localSheetId="62" hidden="1">NonLinLarge!$J$75:$J$138</definedName>
    <definedName name="solver_rhs186" localSheetId="62" hidden="1">NonLinLarge!$J$139</definedName>
    <definedName name="solver_rhs187" localSheetId="62" hidden="1">NonLinLarge!$J$7:$J$8</definedName>
    <definedName name="solver_rhs188" localSheetId="62" hidden="1">NonLinLarge!$J$9:$J$72</definedName>
    <definedName name="solver_rhs189" localSheetId="62" hidden="1">NonLinLarge!$J$73</definedName>
    <definedName name="solver_rhs19" localSheetId="62" hidden="1">NonLinLarge!$J$7:$J$8</definedName>
    <definedName name="solver_rhs190" localSheetId="62" hidden="1">NonLinLarge!$J$74</definedName>
    <definedName name="solver_rhs191" localSheetId="62" hidden="1">NonLinLarge!$J$75:$J$138</definedName>
    <definedName name="solver_rhs192" localSheetId="62" hidden="1">NonLinLarge!$J$139</definedName>
    <definedName name="solver_rhs193" localSheetId="62" hidden="1">NonLinLarge!$J$7:$J$8</definedName>
    <definedName name="solver_rhs194" localSheetId="62" hidden="1">NonLinLarge!$J$9:$J$72</definedName>
    <definedName name="solver_rhs195" localSheetId="62" hidden="1">NonLinLarge!$J$73</definedName>
    <definedName name="solver_rhs196" localSheetId="62" hidden="1">NonLinLarge!$J$74</definedName>
    <definedName name="solver_rhs197" localSheetId="62" hidden="1">NonLinLarge!$J$75:$J$138</definedName>
    <definedName name="solver_rhs198" localSheetId="62" hidden="1">NonLinLarge!$J$139</definedName>
    <definedName name="solver_rhs199" localSheetId="62" hidden="1">NonLinLarge!$J$7:$J$8</definedName>
    <definedName name="solver_rhs2" localSheetId="36" hidden="1">BinIntLB!$E$7</definedName>
    <definedName name="solver_rhs2" localSheetId="21" hidden="1">BinIntOverlap!$K$10</definedName>
    <definedName name="solver_rhs2" localSheetId="35" hidden="1">BinLB!$E$7</definedName>
    <definedName name="solver_rhs2" localSheetId="8" hidden="1">BlankLHS!$J$10</definedName>
    <definedName name="solver_rhs2" localSheetId="7" hidden="1">BlankRHS!$J$10</definedName>
    <definedName name="solver_rhs2" localSheetId="48" hidden="1">ComplexLayout!$K$10</definedName>
    <definedName name="solver_rhs2" localSheetId="22" hidden="1">ConFormula!$K$11</definedName>
    <definedName name="solver_rhs2" localSheetId="23" hidden="1">ConFormulaInf!$N$11</definedName>
    <definedName name="solver_rhs2" localSheetId="44" hidden="1">-10</definedName>
    <definedName name="solver_rhs2" localSheetId="41" hidden="1">ConstFormulaRangeLB!$D$6:$F$6</definedName>
    <definedName name="solver_rhs2" localSheetId="26" hidden="1">DeletedConRef!$J$11</definedName>
    <definedName name="solver_rhs2" localSheetId="27" hidden="1">DeletedObjRef!$J$11</definedName>
    <definedName name="solver_rhs2" localSheetId="54" hidden="1">DiffSheetObj!$I$7</definedName>
    <definedName name="solver_rhs2" localSheetId="33" hidden="1">DirectLBs!$D$6:$F$6</definedName>
    <definedName name="solver_rhs2" localSheetId="11" hidden="1">ErrorLHS!$J$10</definedName>
    <definedName name="solver_rhs2" localSheetId="13" hidden="1">ErrorObj!$J$10</definedName>
    <definedName name="solver_rhs2" localSheetId="10" hidden="1">ErrorRHS!$J$10</definedName>
    <definedName name="solver_rhs2" localSheetId="25" hidden="1">'EscapeSheetName(1)+2-1'!$J$10</definedName>
    <definedName name="solver_rhs2" localSheetId="29" hidden="1">FeasConstConstraint!$L$10</definedName>
    <definedName name="solver_rhs2" localSheetId="45" hidden="1">-10*2</definedName>
    <definedName name="solver_rhs2" localSheetId="47" hidden="1">FractionalCoeffs!$I$7</definedName>
    <definedName name="solver_rhs2" localSheetId="32" hidden="1">IndirectLBs!$J$12</definedName>
    <definedName name="solver_rhs2" localSheetId="28" hidden="1">InfConstConstraint!$L$10</definedName>
    <definedName name="solver_rhs2" localSheetId="49" hidden="1">InfModel!$J$11</definedName>
    <definedName name="solver_rhs2" localSheetId="5" hidden="1">binary</definedName>
    <definedName name="solver_rhs2" localSheetId="50" hidden="1">IterativeCalc!$J$11</definedName>
    <definedName name="solver_rhs2" localSheetId="38" hidden="1">LargeRangeLB!$D$8:$H$8</definedName>
    <definedName name="solver_rhs2" localSheetId="19" hidden="1">MergedLHS_OK!$J$11</definedName>
    <definedName name="solver_rhs2" localSheetId="20" hidden="1">MergedLHSMultiple_OK!$J$11</definedName>
    <definedName name="solver_rhs2" localSheetId="18" hidden="1">MergedRHS_OK!$J$11</definedName>
    <definedName name="solver_rhs2" localSheetId="17" hidden="1">MergedVarsBad!$J$11</definedName>
    <definedName name="solver_rhs2" localSheetId="16" hidden="1">MergedVarsOK!$J$11</definedName>
    <definedName name="solver_rhs2" localSheetId="15" hidden="1">MergedVarsSubset!$J$11</definedName>
    <definedName name="solver_rhs2" localSheetId="55" hidden="1">NamedRanges!$K$9</definedName>
    <definedName name="solver_rhs2" localSheetId="68" hidden="1">NonLin!$L$41:$L$42</definedName>
    <definedName name="solver_rhs2" localSheetId="70" hidden="1">NonLin3!$U$10:$U$11</definedName>
    <definedName name="solver_rhs2" localSheetId="73" hidden="1">90</definedName>
    <definedName name="solver_rhs2" localSheetId="67" hidden="1">binary</definedName>
    <definedName name="solver_rhs2" localSheetId="62" hidden="1">NonLinLarge!$J$9:$J$72</definedName>
    <definedName name="solver_rhs2" localSheetId="65" hidden="1">integer</definedName>
    <definedName name="solver_rhs2" localSheetId="63" hidden="1">NonLinObj!$J$9</definedName>
    <definedName name="solver_rhs2" localSheetId="64" hidden="1">NonLinPruning!$H$10:$H$11</definedName>
    <definedName name="solver_rhs2" localSheetId="61" hidden="1">NonLinSimple!$J$9</definedName>
    <definedName name="solver_rhs2" localSheetId="51" hidden="1">NoObj!$J$11</definedName>
    <definedName name="solver_rhs2" localSheetId="6" hidden="1">OverlappingVars!$J$10</definedName>
    <definedName name="solver_rhs2" localSheetId="39" hidden="1">OverlapRangeLB!$E$8:$H$8</definedName>
    <definedName name="solver_rhs2" localSheetId="40" hidden="1">OverlapRangeLBwithFormula!$D$8:$H$8</definedName>
    <definedName name="solver_rhs2" localSheetId="31" hidden="1">ProtectedSheet!$J$10</definedName>
    <definedName name="solver_rhs2" localSheetId="56" hidden="1">QuickSolve!$J$9:$J$10</definedName>
    <definedName name="solver_rhs2" localSheetId="37" hidden="1">Relaxation!$E$7</definedName>
    <definedName name="solver_rhs2" localSheetId="52" hidden="1">SeekObj!$I$7</definedName>
    <definedName name="solver_rhs2" localSheetId="53" hidden="1">SeekObjInf!$I$7</definedName>
    <definedName name="solver_rhs2" localSheetId="59" hidden="1">Sensitivity!$I$9</definedName>
    <definedName name="solver_rhs2" localSheetId="60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4" hidden="1">-2</definedName>
    <definedName name="solver_rhs2" localSheetId="57" hidden="1">SolverParameters!$J$19</definedName>
    <definedName name="solver_rhs2" localSheetId="14" hidden="1">TextObj!$J$10</definedName>
    <definedName name="solver_rhs2" localSheetId="9" hidden="1">TextRHS!$J$10</definedName>
    <definedName name="solver_rhs2" localSheetId="30" hidden="1">Unbounded!$J$10</definedName>
    <definedName name="solver_rhs2" localSheetId="46" hidden="1">VarConstraintLB!$D$5</definedName>
    <definedName name="solver_rhs2" localSheetId="42" hidden="1">VariableFormulaRangeLB!$D$7:$F$7</definedName>
    <definedName name="solver_rhs2" localSheetId="58" hidden="1">binary</definedName>
    <definedName name="solver_rhs20" localSheetId="62" hidden="1">NonLinLarge!$J$9:$J$72</definedName>
    <definedName name="solver_rhs200" localSheetId="62" hidden="1">NonLinLarge!$J$9:$J$72</definedName>
    <definedName name="solver_rhs201" localSheetId="62" hidden="1">NonLinLarge!$J$73</definedName>
    <definedName name="solver_rhs202" localSheetId="62" hidden="1">NonLinLarge!$J$74</definedName>
    <definedName name="solver_rhs203" localSheetId="62" hidden="1">NonLinLarge!$J$75:$J$138</definedName>
    <definedName name="solver_rhs204" localSheetId="62" hidden="1">NonLinLarge!$J$139</definedName>
    <definedName name="solver_rhs205" localSheetId="62" hidden="1">NonLinLarge!$J$7:$J$8</definedName>
    <definedName name="solver_rhs206" localSheetId="62" hidden="1">NonLinLarge!$J$9:$J$72</definedName>
    <definedName name="solver_rhs207" localSheetId="62" hidden="1">NonLinLarge!$J$73</definedName>
    <definedName name="solver_rhs208" localSheetId="62" hidden="1">NonLinLarge!$J$74</definedName>
    <definedName name="solver_rhs209" localSheetId="62" hidden="1">NonLinLarge!$J$75:$J$138</definedName>
    <definedName name="solver_rhs21" localSheetId="62" hidden="1">NonLinLarge!$J$73</definedName>
    <definedName name="solver_rhs210" localSheetId="62" hidden="1">NonLinLarge!$J$139</definedName>
    <definedName name="solver_rhs211" localSheetId="62" hidden="1">NonLinLarge!$J$7:$J$8</definedName>
    <definedName name="solver_rhs212" localSheetId="62" hidden="1">NonLinLarge!$J$9:$J$72</definedName>
    <definedName name="solver_rhs213" localSheetId="62" hidden="1">NonLinLarge!$J$73</definedName>
    <definedName name="solver_rhs214" localSheetId="62" hidden="1">NonLinLarge!$J$74</definedName>
    <definedName name="solver_rhs215" localSheetId="62" hidden="1">NonLinLarge!$J$75:$J$138</definedName>
    <definedName name="solver_rhs216" localSheetId="62" hidden="1">NonLinLarge!$J$139</definedName>
    <definedName name="solver_rhs217" localSheetId="62" hidden="1">NonLinLarge!$J$7:$J$8</definedName>
    <definedName name="solver_rhs218" localSheetId="62" hidden="1">NonLinLarge!$J$9:$J$72</definedName>
    <definedName name="solver_rhs219" localSheetId="62" hidden="1">NonLinLarge!$J$73</definedName>
    <definedName name="solver_rhs22" localSheetId="62" hidden="1">NonLinLarge!$J$74</definedName>
    <definedName name="solver_rhs220" localSheetId="62" hidden="1">NonLinLarge!$J$74</definedName>
    <definedName name="solver_rhs221" localSheetId="62" hidden="1">NonLinLarge!$J$75:$J$138</definedName>
    <definedName name="solver_rhs222" localSheetId="62" hidden="1">NonLinLarge!$J$139</definedName>
    <definedName name="solver_rhs223" localSheetId="62" hidden="1">NonLinLarge!$J$7:$J$8</definedName>
    <definedName name="solver_rhs224" localSheetId="62" hidden="1">NonLinLarge!$J$9:$J$72</definedName>
    <definedName name="solver_rhs225" localSheetId="62" hidden="1">NonLinLarge!$J$73</definedName>
    <definedName name="solver_rhs226" localSheetId="62" hidden="1">NonLinLarge!$J$74</definedName>
    <definedName name="solver_rhs227" localSheetId="62" hidden="1">NonLinLarge!$J$75:$J$138</definedName>
    <definedName name="solver_rhs228" localSheetId="62" hidden="1">NonLinLarge!$J$139</definedName>
    <definedName name="solver_rhs229" localSheetId="62" hidden="1">NonLinLarge!$J$7:$J$8</definedName>
    <definedName name="solver_rhs23" localSheetId="62" hidden="1">NonLinLarge!$J$75:$J$138</definedName>
    <definedName name="solver_rhs230" localSheetId="62" hidden="1">NonLinLarge!$J$9:$J$72</definedName>
    <definedName name="solver_rhs231" localSheetId="62" hidden="1">NonLinLarge!$J$73</definedName>
    <definedName name="solver_rhs232" localSheetId="62" hidden="1">NonLinLarge!$J$74</definedName>
    <definedName name="solver_rhs233" localSheetId="62" hidden="1">NonLinLarge!$J$75:$J$138</definedName>
    <definedName name="solver_rhs234" localSheetId="62" hidden="1">NonLinLarge!$J$139</definedName>
    <definedName name="solver_rhs235" localSheetId="62" hidden="1">NonLinLarge!$J$7:$J$8</definedName>
    <definedName name="solver_rhs236" localSheetId="62" hidden="1">NonLinLarge!$J$9:$J$72</definedName>
    <definedName name="solver_rhs237" localSheetId="62" hidden="1">NonLinLarge!$J$73</definedName>
    <definedName name="solver_rhs238" localSheetId="62" hidden="1">NonLinLarge!$J$74</definedName>
    <definedName name="solver_rhs239" localSheetId="62" hidden="1">NonLinLarge!$J$75:$J$138</definedName>
    <definedName name="solver_rhs24" localSheetId="62" hidden="1">NonLinLarge!$J$139</definedName>
    <definedName name="solver_rhs240" localSheetId="62" hidden="1">NonLinLarge!$J$139</definedName>
    <definedName name="solver_rhs241" localSheetId="62" hidden="1">NonLinLarge!$J$7:$J$8</definedName>
    <definedName name="solver_rhs242" localSheetId="62" hidden="1">NonLinLarge!$J$9:$J$72</definedName>
    <definedName name="solver_rhs243" localSheetId="62" hidden="1">NonLinLarge!$J$73</definedName>
    <definedName name="solver_rhs244" localSheetId="62" hidden="1">NonLinLarge!$J$74</definedName>
    <definedName name="solver_rhs245" localSheetId="62" hidden="1">NonLinLarge!$J$75:$J$138</definedName>
    <definedName name="solver_rhs246" localSheetId="62" hidden="1">NonLinLarge!$J$139</definedName>
    <definedName name="solver_rhs247" localSheetId="62" hidden="1">NonLinLarge!$J$7:$J$8</definedName>
    <definedName name="solver_rhs248" localSheetId="62" hidden="1">NonLinLarge!$J$9:$J$72</definedName>
    <definedName name="solver_rhs249" localSheetId="62" hidden="1">NonLinLarge!$J$73</definedName>
    <definedName name="solver_rhs25" localSheetId="62" hidden="1">NonLinLarge!$J$7:$J$8</definedName>
    <definedName name="solver_rhs250" localSheetId="62" hidden="1">NonLinLarge!$J$74</definedName>
    <definedName name="solver_rhs251" localSheetId="62" hidden="1">NonLinLarge!$J$75:$J$138</definedName>
    <definedName name="solver_rhs252" localSheetId="62" hidden="1">NonLinLarge!$J$139</definedName>
    <definedName name="solver_rhs253" localSheetId="62" hidden="1">NonLinLarge!$J$7:$J$8</definedName>
    <definedName name="solver_rhs254" localSheetId="62" hidden="1">NonLinLarge!$J$9:$J$72</definedName>
    <definedName name="solver_rhs255" localSheetId="62" hidden="1">NonLinLarge!$J$73</definedName>
    <definedName name="solver_rhs256" localSheetId="62" hidden="1">NonLinLarge!$J$74</definedName>
    <definedName name="solver_rhs257" localSheetId="62" hidden="1">NonLinLarge!$J$75:$J$138</definedName>
    <definedName name="solver_rhs258" localSheetId="62" hidden="1">NonLinLarge!$J$139</definedName>
    <definedName name="solver_rhs259" localSheetId="62" hidden="1">NonLinLarge!$J$7:$J$8</definedName>
    <definedName name="solver_rhs26" localSheetId="62" hidden="1">NonLinLarge!$J$9:$J$72</definedName>
    <definedName name="solver_rhs260" localSheetId="62" hidden="1">NonLinLarge!$J$9:$J$72</definedName>
    <definedName name="solver_rhs261" localSheetId="62" hidden="1">NonLinLarge!$J$73</definedName>
    <definedName name="solver_rhs262" localSheetId="62" hidden="1">NonLinLarge!$J$74</definedName>
    <definedName name="solver_rhs263" localSheetId="62" hidden="1">NonLinLarge!$J$75:$J$138</definedName>
    <definedName name="solver_rhs264" localSheetId="62" hidden="1">NonLinLarge!$J$139</definedName>
    <definedName name="solver_rhs265" localSheetId="62" hidden="1">NonLinLarge!$J$7:$J$8</definedName>
    <definedName name="solver_rhs266" localSheetId="62" hidden="1">NonLinLarge!$J$9:$J$72</definedName>
    <definedName name="solver_rhs267" localSheetId="62" hidden="1">NonLinLarge!$J$73</definedName>
    <definedName name="solver_rhs268" localSheetId="62" hidden="1">NonLinLarge!$J$74</definedName>
    <definedName name="solver_rhs269" localSheetId="62" hidden="1">NonLinLarge!$J$75:$J$138</definedName>
    <definedName name="solver_rhs27" localSheetId="62" hidden="1">NonLinLarge!$J$73</definedName>
    <definedName name="solver_rhs270" localSheetId="62" hidden="1">NonLinLarge!$J$139</definedName>
    <definedName name="solver_rhs271" localSheetId="62" hidden="1">NonLinLarge!$J$7:$J$8</definedName>
    <definedName name="solver_rhs272" localSheetId="62" hidden="1">NonLinLarge!$J$9:$J$72</definedName>
    <definedName name="solver_rhs273" localSheetId="62" hidden="1">NonLinLarge!$J$73</definedName>
    <definedName name="solver_rhs274" localSheetId="62" hidden="1">NonLinLarge!$J$74</definedName>
    <definedName name="solver_rhs275" localSheetId="62" hidden="1">NonLinLarge!$J$75:$J$138</definedName>
    <definedName name="solver_rhs276" localSheetId="62" hidden="1">NonLinLarge!$J$139</definedName>
    <definedName name="solver_rhs277" localSheetId="62" hidden="1">NonLinLarge!$J$7:$J$8</definedName>
    <definedName name="solver_rhs278" localSheetId="62" hidden="1">NonLinLarge!$J$9:$J$72</definedName>
    <definedName name="solver_rhs279" localSheetId="62" hidden="1">NonLinLarge!$J$73</definedName>
    <definedName name="solver_rhs28" localSheetId="62" hidden="1">NonLinLarge!$J$74</definedName>
    <definedName name="solver_rhs280" localSheetId="62" hidden="1">NonLinLarge!$J$74</definedName>
    <definedName name="solver_rhs281" localSheetId="62" hidden="1">NonLinLarge!$J$75:$J$138</definedName>
    <definedName name="solver_rhs282" localSheetId="62" hidden="1">NonLinLarge!$J$139</definedName>
    <definedName name="solver_rhs283" localSheetId="62" hidden="1">NonLinLarge!$J$7:$J$8</definedName>
    <definedName name="solver_rhs284" localSheetId="62" hidden="1">NonLinLarge!$J$9:$J$72</definedName>
    <definedName name="solver_rhs285" localSheetId="62" hidden="1">NonLinLarge!$J$73</definedName>
    <definedName name="solver_rhs286" localSheetId="62" hidden="1">NonLinLarge!$J$74</definedName>
    <definedName name="solver_rhs287" localSheetId="62" hidden="1">NonLinLarge!$J$75:$J$138</definedName>
    <definedName name="solver_rhs288" localSheetId="62" hidden="1">NonLinLarge!$J$139</definedName>
    <definedName name="solver_rhs289" localSheetId="62" hidden="1">NonLinLarge!$J$7:$J$8</definedName>
    <definedName name="solver_rhs29" localSheetId="62" hidden="1">NonLinLarge!$J$75:$J$138</definedName>
    <definedName name="solver_rhs290" localSheetId="62" hidden="1">NonLinLarge!$J$9:$J$72</definedName>
    <definedName name="solver_rhs291" localSheetId="62" hidden="1">NonLinLarge!$J$73</definedName>
    <definedName name="solver_rhs292" localSheetId="62" hidden="1">NonLinLarge!$J$74</definedName>
    <definedName name="solver_rhs293" localSheetId="62" hidden="1">NonLinLarge!$J$75:$J$138</definedName>
    <definedName name="solver_rhs294" localSheetId="62" hidden="1">NonLinLarge!$J$139</definedName>
    <definedName name="solver_rhs295" localSheetId="62" hidden="1">NonLinLarge!$J$7:$J$8</definedName>
    <definedName name="solver_rhs296" localSheetId="62" hidden="1">NonLinLarge!$J$9:$J$72</definedName>
    <definedName name="solver_rhs297" localSheetId="62" hidden="1">NonLinLarge!$J$73</definedName>
    <definedName name="solver_rhs298" localSheetId="62" hidden="1">NonLinLarge!$J$74</definedName>
    <definedName name="solver_rhs299" localSheetId="62" hidden="1">NonLinLarge!$J$75:$J$138</definedName>
    <definedName name="solver_rhs3" localSheetId="36" hidden="1">binary</definedName>
    <definedName name="solver_rhs3" localSheetId="21" hidden="1">BinIntOverlap!$K$11</definedName>
    <definedName name="solver_rhs3" localSheetId="35" hidden="1">binary</definedName>
    <definedName name="solver_rhs3" localSheetId="8" hidden="1">BlankLHS!$J$11</definedName>
    <definedName name="solver_rhs3" localSheetId="7" hidden="1">BlankRHS!$J$11</definedName>
    <definedName name="solver_rhs3" localSheetId="48" hidden="1">ComplexLayout!$K$11</definedName>
    <definedName name="solver_rhs3" localSheetId="22" hidden="1">ConFormula!$K$12</definedName>
    <definedName name="solver_rhs3" localSheetId="23" hidden="1">ConFormulaInf!$K$12</definedName>
    <definedName name="solver_rhs3" localSheetId="26" hidden="1">DeletedConRef!$J$12</definedName>
    <definedName name="solver_rhs3" localSheetId="27" hidden="1">DeletedObjRef!$J$12</definedName>
    <definedName name="solver_rhs3" localSheetId="54" hidden="1">DiffSheetObj!$I$8:$I$9</definedName>
    <definedName name="solver_rhs3" localSheetId="11" hidden="1">ErrorLHS!$J$11</definedName>
    <definedName name="solver_rhs3" localSheetId="13" hidden="1">ErrorObj!$J$11</definedName>
    <definedName name="solver_rhs3" localSheetId="10" hidden="1">ErrorRHS!$J$11</definedName>
    <definedName name="solver_rhs3" localSheetId="25" hidden="1">'EscapeSheetName(1)+2-1'!$J$11</definedName>
    <definedName name="solver_rhs3" localSheetId="29" hidden="1">FeasConstConstraint!$L$11</definedName>
    <definedName name="solver_rhs3" localSheetId="47" hidden="1">FractionalCoeffs!$I$8:$I$9</definedName>
    <definedName name="solver_rhs3" localSheetId="32" hidden="1">IndirectLBs!$J$13</definedName>
    <definedName name="solver_rhs3" localSheetId="28" hidden="1">InfConstConstraint!$L$11</definedName>
    <definedName name="solver_rhs3" localSheetId="49" hidden="1">InfModel!$J$12</definedName>
    <definedName name="solver_rhs3" localSheetId="50" hidden="1">IterativeCalc!$J$12</definedName>
    <definedName name="solver_rhs3" localSheetId="19" hidden="1">MergedLHS_OK!$J$12</definedName>
    <definedName name="solver_rhs3" localSheetId="20" hidden="1">MergedLHSMultiple_OK!$J$12</definedName>
    <definedName name="solver_rhs3" localSheetId="18" hidden="1">MergedRHS_OK!$J$12</definedName>
    <definedName name="solver_rhs3" localSheetId="17" hidden="1">MergedVarsBad!$J$12</definedName>
    <definedName name="solver_rhs3" localSheetId="16" hidden="1">MergedVarsOK!$J$12</definedName>
    <definedName name="solver_rhs3" localSheetId="15" hidden="1">MergedVarsSubset!$J$12</definedName>
    <definedName name="solver_rhs3" localSheetId="55" hidden="1">NamedRanges!$K$10:$K$11</definedName>
    <definedName name="solver_rhs3" localSheetId="68" hidden="1">NonLin!$L$43</definedName>
    <definedName name="solver_rhs3" localSheetId="73" hidden="1">-180</definedName>
    <definedName name="solver_rhs3" localSheetId="62" hidden="1">NonLinLarge!$J$73</definedName>
    <definedName name="solver_rhs3" localSheetId="63" hidden="1">NonLinObj!$J$10</definedName>
    <definedName name="solver_rhs3" localSheetId="64" hidden="1">NonLinPruning!$H$12:$H$18</definedName>
    <definedName name="solver_rhs3" localSheetId="61" hidden="1">NonLinSimple!$J$10</definedName>
    <definedName name="solver_rhs3" localSheetId="51" hidden="1">NoObj!$J$12</definedName>
    <definedName name="solver_rhs3" localSheetId="6" hidden="1">OverlappingVars!$J$11</definedName>
    <definedName name="solver_rhs3" localSheetId="31" hidden="1">ProtectedSheet!$J$11</definedName>
    <definedName name="solver_rhs3" localSheetId="37" hidden="1">binary</definedName>
    <definedName name="solver_rhs3" localSheetId="52" hidden="1">SeekObj!$I$8:$I$9</definedName>
    <definedName name="solver_rhs3" localSheetId="53" hidden="1">SeekObjInf!$I$8:$I$9</definedName>
    <definedName name="solver_rhs3" localSheetId="59" hidden="1">Sensitivity!$I$10:$I$11</definedName>
    <definedName name="solver_rhs3" localSheetId="60" hidden="1">SensitivityNames!$J$24</definedName>
    <definedName name="solver_rhs3" localSheetId="3" hidden="1">SimpleLP!$J$11</definedName>
    <definedName name="solver_rhs3" localSheetId="57" hidden="1">SolverParameters!$J$20</definedName>
    <definedName name="solver_rhs3" localSheetId="14" hidden="1">TextObj!$J$11</definedName>
    <definedName name="solver_rhs3" localSheetId="9" hidden="1">TextRHS!$J$11</definedName>
    <definedName name="solver_rhs3" localSheetId="30" hidden="1">Unbounded!$J$11</definedName>
    <definedName name="solver_rhs30" localSheetId="62" hidden="1">NonLinLarge!$J$139</definedName>
    <definedName name="solver_rhs300" localSheetId="62" hidden="1">NonLinLarge!$J$139</definedName>
    <definedName name="solver_rhs301" localSheetId="62" hidden="1">NonLinLarge!$J$7:$J$8</definedName>
    <definedName name="solver_rhs302" localSheetId="62" hidden="1">NonLinLarge!$J$9:$J$72</definedName>
    <definedName name="solver_rhs303" localSheetId="62" hidden="1">NonLinLarge!$J$73</definedName>
    <definedName name="solver_rhs304" localSheetId="62" hidden="1">NonLinLarge!$J$74</definedName>
    <definedName name="solver_rhs305" localSheetId="62" hidden="1">NonLinLarge!$J$75:$J$138</definedName>
    <definedName name="solver_rhs306" localSheetId="62" hidden="1">NonLinLarge!$J$139</definedName>
    <definedName name="solver_rhs307" localSheetId="62" hidden="1">NonLinLarge!$J$7:$J$8</definedName>
    <definedName name="solver_rhs308" localSheetId="62" hidden="1">NonLinLarge!$J$9:$J$72</definedName>
    <definedName name="solver_rhs309" localSheetId="62" hidden="1">NonLinLarge!$J$73</definedName>
    <definedName name="solver_rhs31" localSheetId="62" hidden="1">NonLinLarge!$J$7:$J$8</definedName>
    <definedName name="solver_rhs310" localSheetId="62" hidden="1">NonLinLarge!$J$74</definedName>
    <definedName name="solver_rhs311" localSheetId="62" hidden="1">NonLinLarge!$J$75:$J$138</definedName>
    <definedName name="solver_rhs312" localSheetId="62" hidden="1">NonLinLarge!$J$139</definedName>
    <definedName name="solver_rhs313" localSheetId="62" hidden="1">NonLinLarge!$J$7:$J$8</definedName>
    <definedName name="solver_rhs314" localSheetId="62" hidden="1">NonLinLarge!$J$9:$J$72</definedName>
    <definedName name="solver_rhs315" localSheetId="62" hidden="1">NonLinLarge!$J$73</definedName>
    <definedName name="solver_rhs316" localSheetId="62" hidden="1">NonLinLarge!$J$74</definedName>
    <definedName name="solver_rhs317" localSheetId="62" hidden="1">NonLinLarge!$J$75:$J$138</definedName>
    <definedName name="solver_rhs318" localSheetId="62" hidden="1">NonLinLarge!$J$139</definedName>
    <definedName name="solver_rhs319" localSheetId="62" hidden="1">NonLinLarge!$J$7:$J$8</definedName>
    <definedName name="solver_rhs32" localSheetId="62" hidden="1">NonLinLarge!$J$9:$J$72</definedName>
    <definedName name="solver_rhs320" localSheetId="62" hidden="1">NonLinLarge!$J$9:$J$72</definedName>
    <definedName name="solver_rhs321" localSheetId="62" hidden="1">NonLinLarge!$J$73</definedName>
    <definedName name="solver_rhs322" localSheetId="62" hidden="1">NonLinLarge!$J$74</definedName>
    <definedName name="solver_rhs323" localSheetId="62" hidden="1">NonLinLarge!$J$75:$J$138</definedName>
    <definedName name="solver_rhs324" localSheetId="62" hidden="1">NonLinLarge!$J$139</definedName>
    <definedName name="solver_rhs325" localSheetId="62" hidden="1">NonLinLarge!$J$7:$J$8</definedName>
    <definedName name="solver_rhs326" localSheetId="62" hidden="1">NonLinLarge!$J$9:$J$72</definedName>
    <definedName name="solver_rhs327" localSheetId="62" hidden="1">NonLinLarge!$J$73</definedName>
    <definedName name="solver_rhs328" localSheetId="62" hidden="1">NonLinLarge!$J$74</definedName>
    <definedName name="solver_rhs329" localSheetId="62" hidden="1">NonLinLarge!$J$75:$J$138</definedName>
    <definedName name="solver_rhs33" localSheetId="62" hidden="1">NonLinLarge!$J$73</definedName>
    <definedName name="solver_rhs330" localSheetId="62" hidden="1">NonLinLarge!$J$139</definedName>
    <definedName name="solver_rhs331" localSheetId="62" hidden="1">NonLinLarge!$J$7:$J$8</definedName>
    <definedName name="solver_rhs332" localSheetId="62" hidden="1">NonLinLarge!$J$9:$J$72</definedName>
    <definedName name="solver_rhs333" localSheetId="62" hidden="1">NonLinLarge!$J$73</definedName>
    <definedName name="solver_rhs334" localSheetId="62" hidden="1">NonLinLarge!$J$74</definedName>
    <definedName name="solver_rhs335" localSheetId="62" hidden="1">NonLinLarge!$J$75:$J$138</definedName>
    <definedName name="solver_rhs336" localSheetId="62" hidden="1">NonLinLarge!$J$139</definedName>
    <definedName name="solver_rhs337" localSheetId="62" hidden="1">NonLinLarge!$J$7:$J$8</definedName>
    <definedName name="solver_rhs338" localSheetId="62" hidden="1">NonLinLarge!$J$9:$J$72</definedName>
    <definedName name="solver_rhs339" localSheetId="62" hidden="1">NonLinLarge!$J$73</definedName>
    <definedName name="solver_rhs34" localSheetId="62" hidden="1">NonLinLarge!$J$74</definedName>
    <definedName name="solver_rhs340" localSheetId="62" hidden="1">NonLinLarge!$J$74</definedName>
    <definedName name="solver_rhs341" localSheetId="62" hidden="1">NonLinLarge!$J$75:$J$138</definedName>
    <definedName name="solver_rhs342" localSheetId="62" hidden="1">NonLinLarge!$J$139</definedName>
    <definedName name="solver_rhs343" localSheetId="62" hidden="1">NonLinLarge!$J$7:$J$8</definedName>
    <definedName name="solver_rhs344" localSheetId="62" hidden="1">NonLinLarge!$J$9:$J$72</definedName>
    <definedName name="solver_rhs345" localSheetId="62" hidden="1">NonLinLarge!$J$73</definedName>
    <definedName name="solver_rhs346" localSheetId="62" hidden="1">NonLinLarge!$J$74</definedName>
    <definedName name="solver_rhs347" localSheetId="62" hidden="1">NonLinLarge!$J$75:$J$138</definedName>
    <definedName name="solver_rhs348" localSheetId="62" hidden="1">NonLinLarge!$J$139</definedName>
    <definedName name="solver_rhs349" localSheetId="62" hidden="1">NonLinLarge!$J$7:$J$8</definedName>
    <definedName name="solver_rhs35" localSheetId="62" hidden="1">NonLinLarge!$J$75:$J$138</definedName>
    <definedName name="solver_rhs350" localSheetId="62" hidden="1">NonLinLarge!$J$9:$J$72</definedName>
    <definedName name="solver_rhs351" localSheetId="62" hidden="1">NonLinLarge!$J$73</definedName>
    <definedName name="solver_rhs352" localSheetId="62" hidden="1">NonLinLarge!$J$74</definedName>
    <definedName name="solver_rhs353" localSheetId="62" hidden="1">NonLinLarge!$J$75:$J$138</definedName>
    <definedName name="solver_rhs354" localSheetId="62" hidden="1">NonLinLarge!$J$139</definedName>
    <definedName name="solver_rhs355" localSheetId="62" hidden="1">NonLinLarge!$J$7:$J$8</definedName>
    <definedName name="solver_rhs356" localSheetId="62" hidden="1">NonLinLarge!$J$9:$J$72</definedName>
    <definedName name="solver_rhs357" localSheetId="62" hidden="1">NonLinLarge!$J$73</definedName>
    <definedName name="solver_rhs358" localSheetId="62" hidden="1">NonLinLarge!$J$74</definedName>
    <definedName name="solver_rhs359" localSheetId="62" hidden="1">NonLinLarge!$J$75:$J$138</definedName>
    <definedName name="solver_rhs36" localSheetId="62" hidden="1">NonLinLarge!$J$139</definedName>
    <definedName name="solver_rhs360" localSheetId="62" hidden="1">NonLinLarge!$J$139</definedName>
    <definedName name="solver_rhs361" localSheetId="62" hidden="1">NonLinLarge!$J$7:$J$8</definedName>
    <definedName name="solver_rhs362" localSheetId="62" hidden="1">NonLinLarge!$J$9:$J$72</definedName>
    <definedName name="solver_rhs363" localSheetId="62" hidden="1">NonLinLarge!$J$73</definedName>
    <definedName name="solver_rhs364" localSheetId="62" hidden="1">NonLinLarge!$J$74</definedName>
    <definedName name="solver_rhs365" localSheetId="62" hidden="1">NonLinLarge!$J$75:$J$138</definedName>
    <definedName name="solver_rhs366" localSheetId="62" hidden="1">NonLinLarge!$J$139</definedName>
    <definedName name="solver_rhs367" localSheetId="62" hidden="1">NonLinLarge!$J$7:$J$8</definedName>
    <definedName name="solver_rhs368" localSheetId="62" hidden="1">NonLinLarge!$J$9:$J$72</definedName>
    <definedName name="solver_rhs369" localSheetId="62" hidden="1">NonLinLarge!$J$73</definedName>
    <definedName name="solver_rhs37" localSheetId="62" hidden="1">NonLinLarge!$J$7:$J$8</definedName>
    <definedName name="solver_rhs370" localSheetId="62" hidden="1">NonLinLarge!$J$74</definedName>
    <definedName name="solver_rhs371" localSheetId="62" hidden="1">NonLinLarge!$J$75:$J$138</definedName>
    <definedName name="solver_rhs372" localSheetId="62" hidden="1">NonLinLarge!$J$139</definedName>
    <definedName name="solver_rhs373" localSheetId="62" hidden="1">NonLinLarge!$J$7:$J$8</definedName>
    <definedName name="solver_rhs374" localSheetId="62" hidden="1">NonLinLarge!$J$9:$J$72</definedName>
    <definedName name="solver_rhs375" localSheetId="62" hidden="1">NonLinLarge!$J$73</definedName>
    <definedName name="solver_rhs376" localSheetId="62" hidden="1">NonLinLarge!$J$74</definedName>
    <definedName name="solver_rhs377" localSheetId="62" hidden="1">NonLinLarge!$J$75:$J$138</definedName>
    <definedName name="solver_rhs378" localSheetId="62" hidden="1">NonLinLarge!$J$139</definedName>
    <definedName name="solver_rhs379" localSheetId="62" hidden="1">NonLinLarge!$J$7:$J$8</definedName>
    <definedName name="solver_rhs38" localSheetId="62" hidden="1">NonLinLarge!$J$9:$J$72</definedName>
    <definedName name="solver_rhs380" localSheetId="62" hidden="1">NonLinLarge!$J$9:$J$72</definedName>
    <definedName name="solver_rhs381" localSheetId="62" hidden="1">NonLinLarge!$J$73</definedName>
    <definedName name="solver_rhs382" localSheetId="62" hidden="1">NonLinLarge!$J$74</definedName>
    <definedName name="solver_rhs383" localSheetId="62" hidden="1">NonLinLarge!$J$75:$J$138</definedName>
    <definedName name="solver_rhs384" localSheetId="62" hidden="1">NonLinLarge!$J$139</definedName>
    <definedName name="solver_rhs385" localSheetId="62" hidden="1">NonLinLarge!$J$7:$J$8</definedName>
    <definedName name="solver_rhs386" localSheetId="62" hidden="1">NonLinLarge!$J$9:$J$72</definedName>
    <definedName name="solver_rhs387" localSheetId="62" hidden="1">NonLinLarge!$J$73</definedName>
    <definedName name="solver_rhs388" localSheetId="62" hidden="1">NonLinLarge!$J$74</definedName>
    <definedName name="solver_rhs389" localSheetId="62" hidden="1">NonLinLarge!$J$75:$J$138</definedName>
    <definedName name="solver_rhs39" localSheetId="62" hidden="1">NonLinLarge!$J$73</definedName>
    <definedName name="solver_rhs390" localSheetId="62" hidden="1">NonLinLarge!$J$139</definedName>
    <definedName name="solver_rhs391" localSheetId="62" hidden="1">NonLinLarge!$J$7:$J$8</definedName>
    <definedName name="solver_rhs392" localSheetId="62" hidden="1">NonLinLarge!$J$9:$J$72</definedName>
    <definedName name="solver_rhs393" localSheetId="62" hidden="1">NonLinLarge!$J$73</definedName>
    <definedName name="solver_rhs394" localSheetId="62" hidden="1">NonLinLarge!$J$74</definedName>
    <definedName name="solver_rhs395" localSheetId="62" hidden="1">NonLinLarge!$J$75:$J$138</definedName>
    <definedName name="solver_rhs396" localSheetId="62" hidden="1">NonLinLarge!$J$139</definedName>
    <definedName name="solver_rhs397" localSheetId="62" hidden="1">NonLinLarge!$J$7:$J$8</definedName>
    <definedName name="solver_rhs398" localSheetId="62" hidden="1">NonLinLarge!$J$9:$J$72</definedName>
    <definedName name="solver_rhs399" localSheetId="62" hidden="1">NonLinLarge!$J$73</definedName>
    <definedName name="solver_rhs4" localSheetId="36" hidden="1">integer</definedName>
    <definedName name="solver_rhs4" localSheetId="21" hidden="1">binary</definedName>
    <definedName name="solver_rhs4" localSheetId="48" hidden="1">binary</definedName>
    <definedName name="solver_rhs4" localSheetId="22" hidden="1">binary</definedName>
    <definedName name="solver_rhs4" localSheetId="23" hidden="1">binary</definedName>
    <definedName name="solver_rhs4" localSheetId="26" hidden="1">DeletedConRef!#REF!</definedName>
    <definedName name="solver_rhs4" localSheetId="32" hidden="1">IndirectLBs!$D$6:$E$6</definedName>
    <definedName name="solver_rhs4" localSheetId="49" hidden="1">2</definedName>
    <definedName name="solver_rhs4" localSheetId="55" hidden="1">NamedRanges!$K$12</definedName>
    <definedName name="solver_rhs4" localSheetId="68" hidden="1">NonLin!$L$44</definedName>
    <definedName name="solver_rhs4" localSheetId="73" hidden="1">0</definedName>
    <definedName name="solver_rhs4" localSheetId="62" hidden="1">NonLinLarge!$J$74</definedName>
    <definedName name="solver_rhs4" localSheetId="37" hidden="1">integer</definedName>
    <definedName name="solver_rhs4" localSheetId="59" hidden="1">Sensitivity!$G$20</definedName>
    <definedName name="solver_rhs4" localSheetId="60" hidden="1">0</definedName>
    <definedName name="solver_rhs4" localSheetId="58" hidden="1">integer</definedName>
    <definedName name="solver_rhs40" localSheetId="62" hidden="1">NonLinLarge!$J$74</definedName>
    <definedName name="solver_rhs400" localSheetId="62" hidden="1">NonLinLarge!$J$74</definedName>
    <definedName name="solver_rhs401" localSheetId="62" hidden="1">NonLinLarge!$J$75:$J$138</definedName>
    <definedName name="solver_rhs402" localSheetId="62" hidden="1">NonLinLarge!$J$139</definedName>
    <definedName name="solver_rhs403" localSheetId="62" hidden="1">NonLinLarge!$J$7:$J$8</definedName>
    <definedName name="solver_rhs404" localSheetId="62" hidden="1">NonLinLarge!$J$9:$J$72</definedName>
    <definedName name="solver_rhs405" localSheetId="62" hidden="1">NonLinLarge!$J$73</definedName>
    <definedName name="solver_rhs406" localSheetId="62" hidden="1">NonLinLarge!$J$74</definedName>
    <definedName name="solver_rhs407" localSheetId="62" hidden="1">NonLinLarge!$J$75:$J$138</definedName>
    <definedName name="solver_rhs408" localSheetId="62" hidden="1">NonLinLarge!$J$139</definedName>
    <definedName name="solver_rhs409" localSheetId="62" hidden="1">NonLinLarge!$J$7:$J$8</definedName>
    <definedName name="solver_rhs41" localSheetId="62" hidden="1">NonLinLarge!$J$75:$J$138</definedName>
    <definedName name="solver_rhs410" localSheetId="62" hidden="1">NonLinLarge!$J$9:$J$72</definedName>
    <definedName name="solver_rhs411" localSheetId="62" hidden="1">NonLinLarge!$J$73</definedName>
    <definedName name="solver_rhs412" localSheetId="62" hidden="1">NonLinLarge!$J$74</definedName>
    <definedName name="solver_rhs413" localSheetId="62" hidden="1">NonLinLarge!$J$75:$J$138</definedName>
    <definedName name="solver_rhs414" localSheetId="62" hidden="1">NonLinLarge!$J$139</definedName>
    <definedName name="solver_rhs415" localSheetId="62" hidden="1">NonLinLarge!$J$7:$J$8</definedName>
    <definedName name="solver_rhs416" localSheetId="62" hidden="1">NonLinLarge!$J$9:$J$72</definedName>
    <definedName name="solver_rhs417" localSheetId="62" hidden="1">NonLinLarge!$J$73</definedName>
    <definedName name="solver_rhs418" localSheetId="62" hidden="1">NonLinLarge!$J$74</definedName>
    <definedName name="solver_rhs419" localSheetId="62" hidden="1">NonLinLarge!$J$75:$J$138</definedName>
    <definedName name="solver_rhs42" localSheetId="62" hidden="1">NonLinLarge!$J$139</definedName>
    <definedName name="solver_rhs420" localSheetId="62" hidden="1">NonLinLarge!$J$139</definedName>
    <definedName name="solver_rhs421" localSheetId="62" hidden="1">NonLinLarge!$J$7:$J$8</definedName>
    <definedName name="solver_rhs422" localSheetId="62" hidden="1">NonLinLarge!$J$9:$J$72</definedName>
    <definedName name="solver_rhs423" localSheetId="62" hidden="1">NonLinLarge!$J$73</definedName>
    <definedName name="solver_rhs424" localSheetId="62" hidden="1">NonLinLarge!$J$74</definedName>
    <definedName name="solver_rhs425" localSheetId="62" hidden="1">NonLinLarge!$J$75:$J$138</definedName>
    <definedName name="solver_rhs426" localSheetId="62" hidden="1">NonLinLarge!$J$139</definedName>
    <definedName name="solver_rhs427" localSheetId="62" hidden="1">NonLinLarge!$J$7:$J$8</definedName>
    <definedName name="solver_rhs428" localSheetId="62" hidden="1">NonLinLarge!$J$9:$J$72</definedName>
    <definedName name="solver_rhs429" localSheetId="62" hidden="1">NonLinLarge!$J$73</definedName>
    <definedName name="solver_rhs43" localSheetId="62" hidden="1">NonLinLarge!$J$7:$J$8</definedName>
    <definedName name="solver_rhs430" localSheetId="62" hidden="1">NonLinLarge!$J$74</definedName>
    <definedName name="solver_rhs431" localSheetId="62" hidden="1">NonLinLarge!$J$75:$J$138</definedName>
    <definedName name="solver_rhs432" localSheetId="62" hidden="1">NonLinLarge!$J$139</definedName>
    <definedName name="solver_rhs433" localSheetId="62" hidden="1">NonLinLarge!$J$7:$J$8</definedName>
    <definedName name="solver_rhs434" localSheetId="62" hidden="1">NonLinLarge!$J$9:$J$72</definedName>
    <definedName name="solver_rhs435" localSheetId="62" hidden="1">NonLinLarge!$J$73</definedName>
    <definedName name="solver_rhs436" localSheetId="62" hidden="1">NonLinLarge!$J$74</definedName>
    <definedName name="solver_rhs437" localSheetId="62" hidden="1">NonLinLarge!$J$75:$J$138</definedName>
    <definedName name="solver_rhs438" localSheetId="62" hidden="1">NonLinLarge!$J$139</definedName>
    <definedName name="solver_rhs439" localSheetId="62" hidden="1">NonLinLarge!$J$7:$J$8</definedName>
    <definedName name="solver_rhs44" localSheetId="62" hidden="1">NonLinLarge!$J$9:$J$72</definedName>
    <definedName name="solver_rhs440" localSheetId="62" hidden="1">NonLinLarge!$J$9:$J$72</definedName>
    <definedName name="solver_rhs441" localSheetId="62" hidden="1">NonLinLarge!$J$73</definedName>
    <definedName name="solver_rhs442" localSheetId="62" hidden="1">NonLinLarge!$J$74</definedName>
    <definedName name="solver_rhs443" localSheetId="62" hidden="1">NonLinLarge!$J$75:$J$138</definedName>
    <definedName name="solver_rhs444" localSheetId="62" hidden="1">NonLinLarge!$J$139</definedName>
    <definedName name="solver_rhs445" localSheetId="62" hidden="1">NonLinLarge!$J$7:$J$8</definedName>
    <definedName name="solver_rhs446" localSheetId="62" hidden="1">NonLinLarge!$J$9:$J$72</definedName>
    <definedName name="solver_rhs447" localSheetId="62" hidden="1">NonLinLarge!$J$73</definedName>
    <definedName name="solver_rhs448" localSheetId="62" hidden="1">NonLinLarge!$J$74</definedName>
    <definedName name="solver_rhs449" localSheetId="62" hidden="1">NonLinLarge!$J$75:$J$138</definedName>
    <definedName name="solver_rhs45" localSheetId="62" hidden="1">NonLinLarge!$J$73</definedName>
    <definedName name="solver_rhs450" localSheetId="62" hidden="1">NonLinLarge!$J$139</definedName>
    <definedName name="solver_rhs451" localSheetId="62" hidden="1">NonLinLarge!$J$7:$J$8</definedName>
    <definedName name="solver_rhs452" localSheetId="62" hidden="1">NonLinLarge!$J$9:$J$72</definedName>
    <definedName name="solver_rhs453" localSheetId="62" hidden="1">NonLinLarge!$J$73</definedName>
    <definedName name="solver_rhs454" localSheetId="62" hidden="1">NonLinLarge!$J$74</definedName>
    <definedName name="solver_rhs455" localSheetId="62" hidden="1">NonLinLarge!$J$75:$J$138</definedName>
    <definedName name="solver_rhs456" localSheetId="62" hidden="1">NonLinLarge!$J$139</definedName>
    <definedName name="solver_rhs457" localSheetId="62" hidden="1">NonLinLarge!$J$7:$J$8</definedName>
    <definedName name="solver_rhs458" localSheetId="62" hidden="1">NonLinLarge!$J$9:$J$72</definedName>
    <definedName name="solver_rhs459" localSheetId="62" hidden="1">NonLinLarge!$J$73</definedName>
    <definedName name="solver_rhs46" localSheetId="62" hidden="1">NonLinLarge!$J$74</definedName>
    <definedName name="solver_rhs460" localSheetId="62" hidden="1">NonLinLarge!$J$74</definedName>
    <definedName name="solver_rhs461" localSheetId="62" hidden="1">NonLinLarge!$J$75:$J$138</definedName>
    <definedName name="solver_rhs462" localSheetId="62" hidden="1">NonLinLarge!$J$139</definedName>
    <definedName name="solver_rhs463" localSheetId="62" hidden="1">NonLinLarge!$J$7:$J$8</definedName>
    <definedName name="solver_rhs464" localSheetId="62" hidden="1">NonLinLarge!$J$9:$J$72</definedName>
    <definedName name="solver_rhs465" localSheetId="62" hidden="1">NonLinLarge!$J$73</definedName>
    <definedName name="solver_rhs466" localSheetId="62" hidden="1">NonLinLarge!$J$74</definedName>
    <definedName name="solver_rhs467" localSheetId="62" hidden="1">NonLinLarge!$J$75:$J$138</definedName>
    <definedName name="solver_rhs468" localSheetId="62" hidden="1">NonLinLarge!$J$139</definedName>
    <definedName name="solver_rhs469" localSheetId="62" hidden="1">NonLinLarge!$J$7:$J$8</definedName>
    <definedName name="solver_rhs47" localSheetId="62" hidden="1">NonLinLarge!$J$75:$J$138</definedName>
    <definedName name="solver_rhs470" localSheetId="62" hidden="1">NonLinLarge!$J$9:$J$72</definedName>
    <definedName name="solver_rhs471" localSheetId="62" hidden="1">NonLinLarge!$J$73</definedName>
    <definedName name="solver_rhs472" localSheetId="62" hidden="1">NonLinLarge!$J$74</definedName>
    <definedName name="solver_rhs473" localSheetId="62" hidden="1">NonLinLarge!$J$75:$J$138</definedName>
    <definedName name="solver_rhs474" localSheetId="62" hidden="1">NonLinLarge!$J$139</definedName>
    <definedName name="solver_rhs475" localSheetId="62" hidden="1">NonLinLarge!$J$7:$J$8</definedName>
    <definedName name="solver_rhs476" localSheetId="62" hidden="1">NonLinLarge!$J$9:$J$72</definedName>
    <definedName name="solver_rhs477" localSheetId="62" hidden="1">NonLinLarge!$J$73</definedName>
    <definedName name="solver_rhs478" localSheetId="62" hidden="1">NonLinLarge!$J$74</definedName>
    <definedName name="solver_rhs479" localSheetId="62" hidden="1">NonLinLarge!$J$75:$J$138</definedName>
    <definedName name="solver_rhs48" localSheetId="62" hidden="1">NonLinLarge!$J$139</definedName>
    <definedName name="solver_rhs480" localSheetId="62" hidden="1">NonLinLarge!$J$139</definedName>
    <definedName name="solver_rhs481" localSheetId="62" hidden="1">NonLinLarge!$J$7:$J$8</definedName>
    <definedName name="solver_rhs482" localSheetId="62" hidden="1">NonLinLarge!$J$9:$J$72</definedName>
    <definedName name="solver_rhs483" localSheetId="62" hidden="1">NonLinLarge!$J$73</definedName>
    <definedName name="solver_rhs484" localSheetId="62" hidden="1">NonLinLarge!$J$74</definedName>
    <definedName name="solver_rhs485" localSheetId="62" hidden="1">NonLinLarge!$J$75:$J$138</definedName>
    <definedName name="solver_rhs486" localSheetId="62" hidden="1">NonLinLarge!$J$139</definedName>
    <definedName name="solver_rhs487" localSheetId="62" hidden="1">NonLinLarge!$J$7:$J$8</definedName>
    <definedName name="solver_rhs488" localSheetId="62" hidden="1">NonLinLarge!$J$9:$J$72</definedName>
    <definedName name="solver_rhs489" localSheetId="62" hidden="1">NonLinLarge!$J$73</definedName>
    <definedName name="solver_rhs49" localSheetId="62" hidden="1">NonLinLarge!$J$7:$J$8</definedName>
    <definedName name="solver_rhs490" localSheetId="62" hidden="1">NonLinLarge!$J$74</definedName>
    <definedName name="solver_rhs491" localSheetId="62" hidden="1">NonLinLarge!$J$75:$J$138</definedName>
    <definedName name="solver_rhs492" localSheetId="62" hidden="1">NonLinLarge!$J$139</definedName>
    <definedName name="solver_rhs493" localSheetId="62" hidden="1">NonLinLarge!$J$7:$J$8</definedName>
    <definedName name="solver_rhs494" localSheetId="62" hidden="1">NonLinLarge!$J$9:$J$72</definedName>
    <definedName name="solver_rhs495" localSheetId="62" hidden="1">NonLinLarge!$J$73</definedName>
    <definedName name="solver_rhs496" localSheetId="62" hidden="1">NonLinLarge!$J$74</definedName>
    <definedName name="solver_rhs497" localSheetId="62" hidden="1">NonLinLarge!$J$75:$J$138</definedName>
    <definedName name="solver_rhs498" localSheetId="62" hidden="1">NonLinLarge!$J$139</definedName>
    <definedName name="solver_rhs499" localSheetId="62" hidden="1">NonLinLarge!$J$7:$J$8</definedName>
    <definedName name="solver_rhs5" localSheetId="21" hidden="1">integer</definedName>
    <definedName name="solver_rhs5" localSheetId="48" hidden="1">integer</definedName>
    <definedName name="solver_rhs5" localSheetId="22" hidden="1">integer</definedName>
    <definedName name="solver_rhs5" localSheetId="23" hidden="1">integer</definedName>
    <definedName name="solver_rhs5" localSheetId="32" hidden="1">2</definedName>
    <definedName name="solver_rhs5" localSheetId="68" hidden="1">integer</definedName>
    <definedName name="solver_rhs5" localSheetId="62" hidden="1">NonLinLarge!$J$75:$J$138</definedName>
    <definedName name="solver_rhs5" localSheetId="58" hidden="1">1.5</definedName>
    <definedName name="solver_rhs50" localSheetId="62" hidden="1">NonLinLarge!$J$9:$J$72</definedName>
    <definedName name="solver_rhs500" localSheetId="62" hidden="1">NonLinLarge!$J$9:$J$72</definedName>
    <definedName name="solver_rhs501" localSheetId="62" hidden="1">NonLinLarge!$J$73</definedName>
    <definedName name="solver_rhs502" localSheetId="62" hidden="1">NonLinLarge!$J$74</definedName>
    <definedName name="solver_rhs503" localSheetId="62" hidden="1">NonLinLarge!$J$75:$J$138</definedName>
    <definedName name="solver_rhs504" localSheetId="62" hidden="1">NonLinLarge!$J$139</definedName>
    <definedName name="solver_rhs505" localSheetId="62" hidden="1">NonLinLarge!$J$7:$J$8</definedName>
    <definedName name="solver_rhs506" localSheetId="62" hidden="1">NonLinLarge!$J$9:$J$72</definedName>
    <definedName name="solver_rhs507" localSheetId="62" hidden="1">NonLinLarge!$J$73</definedName>
    <definedName name="solver_rhs508" localSheetId="62" hidden="1">NonLinLarge!$J$74</definedName>
    <definedName name="solver_rhs509" localSheetId="62" hidden="1">NonLinLarge!$J$75:$J$138</definedName>
    <definedName name="solver_rhs51" localSheetId="62" hidden="1">NonLinLarge!$J$73</definedName>
    <definedName name="solver_rhs510" localSheetId="62" hidden="1">NonLinLarge!$J$139</definedName>
    <definedName name="solver_rhs511" localSheetId="62" hidden="1">NonLinLarge!$J$7:$J$8</definedName>
    <definedName name="solver_rhs512" localSheetId="62" hidden="1">NonLinLarge!$J$9:$J$72</definedName>
    <definedName name="solver_rhs513" localSheetId="62" hidden="1">NonLinLarge!$J$73</definedName>
    <definedName name="solver_rhs514" localSheetId="62" hidden="1">NonLinLarge!$J$74</definedName>
    <definedName name="solver_rhs515" localSheetId="62" hidden="1">NonLinLarge!$J$75:$J$138</definedName>
    <definedName name="solver_rhs516" localSheetId="62" hidden="1">NonLinLarge!$J$139</definedName>
    <definedName name="solver_rhs517" localSheetId="62" hidden="1">NonLinLarge!$J$7:$J$8</definedName>
    <definedName name="solver_rhs518" localSheetId="62" hidden="1">NonLinLarge!$J$9:$J$72</definedName>
    <definedName name="solver_rhs519" localSheetId="62" hidden="1">NonLinLarge!$J$73</definedName>
    <definedName name="solver_rhs52" localSheetId="62" hidden="1">NonLinLarge!$J$74</definedName>
    <definedName name="solver_rhs520" localSheetId="62" hidden="1">NonLinLarge!$J$74</definedName>
    <definedName name="solver_rhs521" localSheetId="62" hidden="1">NonLinLarge!$J$75:$J$138</definedName>
    <definedName name="solver_rhs522" localSheetId="62" hidden="1">NonLinLarge!$J$139</definedName>
    <definedName name="solver_rhs523" localSheetId="62" hidden="1">NonLinLarge!$J$7:$J$8</definedName>
    <definedName name="solver_rhs524" localSheetId="62" hidden="1">NonLinLarge!$J$9:$J$72</definedName>
    <definedName name="solver_rhs525" localSheetId="62" hidden="1">NonLinLarge!$J$73</definedName>
    <definedName name="solver_rhs526" localSheetId="62" hidden="1">NonLinLarge!$J$74</definedName>
    <definedName name="solver_rhs527" localSheetId="62" hidden="1">NonLinLarge!$J$75:$J$138</definedName>
    <definedName name="solver_rhs528" localSheetId="62" hidden="1">NonLinLarge!$J$139</definedName>
    <definedName name="solver_rhs529" localSheetId="62" hidden="1">NonLinLarge!$J$7:$J$8</definedName>
    <definedName name="solver_rhs53" localSheetId="62" hidden="1">NonLinLarge!$J$75:$J$138</definedName>
    <definedName name="solver_rhs530" localSheetId="62" hidden="1">NonLinLarge!$J$9:$J$72</definedName>
    <definedName name="solver_rhs531" localSheetId="62" hidden="1">NonLinLarge!$J$73</definedName>
    <definedName name="solver_rhs532" localSheetId="62" hidden="1">NonLinLarge!$J$74</definedName>
    <definedName name="solver_rhs533" localSheetId="62" hidden="1">NonLinLarge!$J$75:$J$138</definedName>
    <definedName name="solver_rhs534" localSheetId="62" hidden="1">NonLinLarge!$J$139</definedName>
    <definedName name="solver_rhs535" localSheetId="62" hidden="1">NonLinLarge!$J$7:$J$8</definedName>
    <definedName name="solver_rhs536" localSheetId="62" hidden="1">NonLinLarge!$J$9:$J$72</definedName>
    <definedName name="solver_rhs537" localSheetId="62" hidden="1">NonLinLarge!$J$73</definedName>
    <definedName name="solver_rhs538" localSheetId="62" hidden="1">NonLinLarge!$J$74</definedName>
    <definedName name="solver_rhs539" localSheetId="62" hidden="1">NonLinLarge!$J$75:$J$138</definedName>
    <definedName name="solver_rhs54" localSheetId="62" hidden="1">NonLinLarge!$J$139</definedName>
    <definedName name="solver_rhs540" localSheetId="62" hidden="1">NonLinLarge!$J$139</definedName>
    <definedName name="solver_rhs541" localSheetId="62" hidden="1">NonLinLarge!$J$7:$J$8</definedName>
    <definedName name="solver_rhs542" localSheetId="62" hidden="1">NonLinLarge!$J$9:$J$72</definedName>
    <definedName name="solver_rhs543" localSheetId="62" hidden="1">NonLinLarge!$J$73</definedName>
    <definedName name="solver_rhs544" localSheetId="62" hidden="1">NonLinLarge!$J$74</definedName>
    <definedName name="solver_rhs545" localSheetId="62" hidden="1">NonLinLarge!$J$75:$J$138</definedName>
    <definedName name="solver_rhs546" localSheetId="62" hidden="1">NonLinLarge!$J$139</definedName>
    <definedName name="solver_rhs547" localSheetId="62" hidden="1">NonLinLarge!$J$7:$J$8</definedName>
    <definedName name="solver_rhs548" localSheetId="62" hidden="1">NonLinLarge!$J$9:$J$72</definedName>
    <definedName name="solver_rhs549" localSheetId="62" hidden="1">NonLinLarge!$J$73</definedName>
    <definedName name="solver_rhs55" localSheetId="62" hidden="1">NonLinLarge!$J$7:$J$8</definedName>
    <definedName name="solver_rhs550" localSheetId="62" hidden="1">NonLinLarge!$J$74</definedName>
    <definedName name="solver_rhs551" localSheetId="62" hidden="1">NonLinLarge!$J$75:$J$138</definedName>
    <definedName name="solver_rhs552" localSheetId="62" hidden="1">NonLinLarge!$J$139</definedName>
    <definedName name="solver_rhs553" localSheetId="62" hidden="1">NonLinLarge!$J$7:$J$8</definedName>
    <definedName name="solver_rhs554" localSheetId="62" hidden="1">NonLinLarge!$J$9:$J$72</definedName>
    <definedName name="solver_rhs555" localSheetId="62" hidden="1">NonLinLarge!$J$73</definedName>
    <definedName name="solver_rhs556" localSheetId="62" hidden="1">NonLinLarge!$J$74</definedName>
    <definedName name="solver_rhs557" localSheetId="62" hidden="1">NonLinLarge!$J$75:$J$138</definedName>
    <definedName name="solver_rhs558" localSheetId="62" hidden="1">NonLinLarge!$J$139</definedName>
    <definedName name="solver_rhs559" localSheetId="62" hidden="1">NonLinLarge!$J$7:$J$8</definedName>
    <definedName name="solver_rhs56" localSheetId="62" hidden="1">NonLinLarge!$J$9:$J$72</definedName>
    <definedName name="solver_rhs560" localSheetId="62" hidden="1">NonLinLarge!$J$9:$J$72</definedName>
    <definedName name="solver_rhs561" localSheetId="62" hidden="1">NonLinLarge!$J$73</definedName>
    <definedName name="solver_rhs562" localSheetId="62" hidden="1">NonLinLarge!$J$74</definedName>
    <definedName name="solver_rhs563" localSheetId="62" hidden="1">NonLinLarge!$J$75:$J$138</definedName>
    <definedName name="solver_rhs564" localSheetId="62" hidden="1">NonLinLarge!$J$139</definedName>
    <definedName name="solver_rhs565" localSheetId="62" hidden="1">NonLinLarge!$J$7:$J$8</definedName>
    <definedName name="solver_rhs566" localSheetId="62" hidden="1">NonLinLarge!$J$9:$J$72</definedName>
    <definedName name="solver_rhs567" localSheetId="62" hidden="1">NonLinLarge!$J$73</definedName>
    <definedName name="solver_rhs568" localSheetId="62" hidden="1">NonLinLarge!$J$74</definedName>
    <definedName name="solver_rhs569" localSheetId="62" hidden="1">NonLinLarge!$J$75:$J$138</definedName>
    <definedName name="solver_rhs57" localSheetId="62" hidden="1">NonLinLarge!$J$73</definedName>
    <definedName name="solver_rhs570" localSheetId="62" hidden="1">NonLinLarge!$J$139</definedName>
    <definedName name="solver_rhs571" localSheetId="62" hidden="1">NonLinLarge!$J$7:$J$8</definedName>
    <definedName name="solver_rhs572" localSheetId="62" hidden="1">NonLinLarge!$J$9:$J$72</definedName>
    <definedName name="solver_rhs573" localSheetId="62" hidden="1">NonLinLarge!$J$73</definedName>
    <definedName name="solver_rhs574" localSheetId="62" hidden="1">NonLinLarge!$J$74</definedName>
    <definedName name="solver_rhs575" localSheetId="62" hidden="1">NonLinLarge!$J$75:$J$138</definedName>
    <definedName name="solver_rhs576" localSheetId="62" hidden="1">NonLinLarge!$J$139</definedName>
    <definedName name="solver_rhs577" localSheetId="62" hidden="1">NonLinLarge!$J$7:$J$8</definedName>
    <definedName name="solver_rhs578" localSheetId="62" hidden="1">NonLinLarge!$J$9:$J$72</definedName>
    <definedName name="solver_rhs579" localSheetId="62" hidden="1">NonLinLarge!$J$73</definedName>
    <definedName name="solver_rhs58" localSheetId="62" hidden="1">NonLinLarge!$J$74</definedName>
    <definedName name="solver_rhs580" localSheetId="62" hidden="1">NonLinLarge!$J$74</definedName>
    <definedName name="solver_rhs581" localSheetId="62" hidden="1">NonLinLarge!$J$75:$J$138</definedName>
    <definedName name="solver_rhs582" localSheetId="62" hidden="1">NonLinLarge!$J$139</definedName>
    <definedName name="solver_rhs583" localSheetId="62" hidden="1">NonLinLarge!$J$7:$J$8</definedName>
    <definedName name="solver_rhs584" localSheetId="62" hidden="1">NonLinLarge!$J$9:$J$72</definedName>
    <definedName name="solver_rhs585" localSheetId="62" hidden="1">NonLinLarge!$J$73</definedName>
    <definedName name="solver_rhs586" localSheetId="62" hidden="1">NonLinLarge!$J$74</definedName>
    <definedName name="solver_rhs587" localSheetId="62" hidden="1">NonLinLarge!$J$75:$J$138</definedName>
    <definedName name="solver_rhs588" localSheetId="62" hidden="1">NonLinLarge!$J$139</definedName>
    <definedName name="solver_rhs589" localSheetId="62" hidden="1">NonLinLarge!$J$7:$J$8</definedName>
    <definedName name="solver_rhs59" localSheetId="62" hidden="1">NonLinLarge!$J$75:$J$138</definedName>
    <definedName name="solver_rhs590" localSheetId="62" hidden="1">NonLinLarge!$J$9:$J$72</definedName>
    <definedName name="solver_rhs591" localSheetId="62" hidden="1">NonLinLarge!$J$73</definedName>
    <definedName name="solver_rhs592" localSheetId="62" hidden="1">NonLinLarge!$J$74</definedName>
    <definedName name="solver_rhs593" localSheetId="62" hidden="1">NonLinLarge!$J$75:$J$138</definedName>
    <definedName name="solver_rhs594" localSheetId="62" hidden="1">NonLinLarge!$J$139</definedName>
    <definedName name="solver_rhs595" localSheetId="62" hidden="1">NonLinLarge!$J$7:$J$8</definedName>
    <definedName name="solver_rhs596" localSheetId="62" hidden="1">NonLinLarge!$J$9:$J$72</definedName>
    <definedName name="solver_rhs597" localSheetId="62" hidden="1">NonLinLarge!$J$73</definedName>
    <definedName name="solver_rhs598" localSheetId="62" hidden="1">NonLinLarge!$J$74</definedName>
    <definedName name="solver_rhs599" localSheetId="62" hidden="1">NonLinLarge!$J$75:$J$138</definedName>
    <definedName name="solver_rhs6" localSheetId="48" hidden="1">ComplexLayout!$U$3:$U$4</definedName>
    <definedName name="solver_rhs6" localSheetId="22" hidden="1">ConFormula!$U$4:$U$5</definedName>
    <definedName name="solver_rhs6" localSheetId="23" hidden="1">ConFormulaInf!$U$4:$U$5</definedName>
    <definedName name="solver_rhs6" localSheetId="62" hidden="1">NonLinLarge!$J$139</definedName>
    <definedName name="solver_rhs60" localSheetId="62" hidden="1">NonLinLarge!$J$139</definedName>
    <definedName name="solver_rhs600" localSheetId="62" hidden="1">NonLinLarge!$J$139</definedName>
    <definedName name="solver_rhs61" localSheetId="62" hidden="1">NonLinLarge!$J$7:$J$8</definedName>
    <definedName name="solver_rhs62" localSheetId="62" hidden="1">NonLinLarge!$J$9:$J$72</definedName>
    <definedName name="solver_rhs63" localSheetId="62" hidden="1">NonLinLarge!$J$73</definedName>
    <definedName name="solver_rhs64" localSheetId="62" hidden="1">NonLinLarge!$J$74</definedName>
    <definedName name="solver_rhs65" localSheetId="62" hidden="1">NonLinLarge!$J$75:$J$138</definedName>
    <definedName name="solver_rhs66" localSheetId="62" hidden="1">NonLinLarge!$J$139</definedName>
    <definedName name="solver_rhs67" localSheetId="62" hidden="1">NonLinLarge!$J$7:$J$8</definedName>
    <definedName name="solver_rhs68" localSheetId="62" hidden="1">NonLinLarge!$J$9:$J$72</definedName>
    <definedName name="solver_rhs69" localSheetId="62" hidden="1">NonLinLarge!$J$73</definedName>
    <definedName name="solver_rhs7" localSheetId="48" hidden="1">ComplexLayout!$Q$7:$R$7</definedName>
    <definedName name="solver_rhs7" localSheetId="22" hidden="1">ConFormula!$Q$8:$R$8</definedName>
    <definedName name="solver_rhs7" localSheetId="23" hidden="1">ConFormulaInf!$Q$8:$R$8</definedName>
    <definedName name="solver_rhs7" localSheetId="62" hidden="1">NonLinLarge!$J$7:$J$8</definedName>
    <definedName name="solver_rhs70" localSheetId="62" hidden="1">NonLinLarge!$J$74</definedName>
    <definedName name="solver_rhs71" localSheetId="62" hidden="1">NonLinLarge!$J$75:$J$138</definedName>
    <definedName name="solver_rhs72" localSheetId="62" hidden="1">NonLinLarge!$J$139</definedName>
    <definedName name="solver_rhs73" localSheetId="62" hidden="1">NonLinLarge!$J$7:$J$8</definedName>
    <definedName name="solver_rhs74" localSheetId="62" hidden="1">NonLinLarge!$J$9:$J$72</definedName>
    <definedName name="solver_rhs75" localSheetId="62" hidden="1">NonLinLarge!$J$73</definedName>
    <definedName name="solver_rhs76" localSheetId="62" hidden="1">NonLinLarge!$J$74</definedName>
    <definedName name="solver_rhs77" localSheetId="62" hidden="1">NonLinLarge!$J$75:$J$138</definedName>
    <definedName name="solver_rhs78" localSheetId="62" hidden="1">NonLinLarge!$J$139</definedName>
    <definedName name="solver_rhs79" localSheetId="62" hidden="1">NonLinLarge!$J$7:$J$8</definedName>
    <definedName name="solver_rhs8" localSheetId="22" hidden="1">ConFormula!$I$11/4+ConFormula!$B$3</definedName>
    <definedName name="solver_rhs8" localSheetId="23" hidden="1">ConFormulaInf!$I$11/4+ConFormulaInf!$B$3</definedName>
    <definedName name="solver_rhs8" localSheetId="62" hidden="1">NonLinLarge!$J$9:$J$72</definedName>
    <definedName name="solver_rhs80" localSheetId="62" hidden="1">NonLinLarge!$J$9:$J$72</definedName>
    <definedName name="solver_rhs81" localSheetId="62" hidden="1">NonLinLarge!$J$73</definedName>
    <definedName name="solver_rhs82" localSheetId="62" hidden="1">NonLinLarge!$J$74</definedName>
    <definedName name="solver_rhs83" localSheetId="62" hidden="1">NonLinLarge!$J$75:$J$138</definedName>
    <definedName name="solver_rhs84" localSheetId="62" hidden="1">NonLinLarge!$J$139</definedName>
    <definedName name="solver_rhs85" localSheetId="62" hidden="1">NonLinLarge!$J$7:$J$8</definedName>
    <definedName name="solver_rhs86" localSheetId="62" hidden="1">NonLinLarge!$J$9:$J$72</definedName>
    <definedName name="solver_rhs87" localSheetId="62" hidden="1">NonLinLarge!$J$73</definedName>
    <definedName name="solver_rhs88" localSheetId="62" hidden="1">NonLinLarge!$J$74</definedName>
    <definedName name="solver_rhs89" localSheetId="62" hidden="1">NonLinLarge!$J$75:$J$138</definedName>
    <definedName name="solver_rhs9" localSheetId="23" hidden="1">5*ConFormulaInf!$I$15-1</definedName>
    <definedName name="solver_rhs9" localSheetId="62" hidden="1">NonLinLarge!$J$73</definedName>
    <definedName name="solver_rhs90" localSheetId="62" hidden="1">NonLinLarge!$J$139</definedName>
    <definedName name="solver_rhs91" localSheetId="62" hidden="1">NonLinLarge!$J$7:$J$8</definedName>
    <definedName name="solver_rhs92" localSheetId="62" hidden="1">NonLinLarge!$J$9:$J$72</definedName>
    <definedName name="solver_rhs93" localSheetId="62" hidden="1">NonLinLarge!$J$73</definedName>
    <definedName name="solver_rhs94" localSheetId="62" hidden="1">NonLinLarge!$J$74</definedName>
    <definedName name="solver_rhs95" localSheetId="62" hidden="1">NonLinLarge!$J$75:$J$138</definedName>
    <definedName name="solver_rhs96" localSheetId="62" hidden="1">NonLinLarge!$J$139</definedName>
    <definedName name="solver_rhs97" localSheetId="62" hidden="1">NonLinLarge!$J$7:$J$8</definedName>
    <definedName name="solver_rhs98" localSheetId="62" hidden="1">NonLinLarge!$J$9:$J$72</definedName>
    <definedName name="solver_rhs99" localSheetId="62" hidden="1">NonLinLarge!$J$73</definedName>
    <definedName name="solver_rlx" localSheetId="36" hidden="1">0</definedName>
    <definedName name="solver_rlx" localSheetId="21" hidden="1">0</definedName>
    <definedName name="solver_rlx" localSheetId="35" hidden="1">0</definedName>
    <definedName name="solver_rlx" localSheetId="8" hidden="1">0</definedName>
    <definedName name="solver_rlx" localSheetId="7" hidden="1">0</definedName>
    <definedName name="solver_rlx" localSheetId="48" hidden="1">0</definedName>
    <definedName name="solver_rlx" localSheetId="22" hidden="1">0</definedName>
    <definedName name="solver_rlx" localSheetId="23" hidden="1">0</definedName>
    <definedName name="solver_rlx" localSheetId="44" hidden="1">0</definedName>
    <definedName name="solver_rlx" localSheetId="41" hidden="1">0</definedName>
    <definedName name="solver_rlx" localSheetId="43" hidden="1">0</definedName>
    <definedName name="solver_rlx" localSheetId="26" hidden="1">0</definedName>
    <definedName name="solver_rlx" localSheetId="54" hidden="1">0</definedName>
    <definedName name="solver_rlx" localSheetId="33" hidden="1">0</definedName>
    <definedName name="solver_rlx" localSheetId="11" hidden="1">0</definedName>
    <definedName name="solver_rlx" localSheetId="10" hidden="1">0</definedName>
    <definedName name="solver_rlx" localSheetId="25" hidden="1">0</definedName>
    <definedName name="solver_rlx" localSheetId="29" hidden="1">0</definedName>
    <definedName name="solver_rlx" localSheetId="45" hidden="1">0</definedName>
    <definedName name="solver_rlx" localSheetId="47" hidden="1">0</definedName>
    <definedName name="solver_rlx" localSheetId="32" hidden="1">0</definedName>
    <definedName name="solver_rlx" localSheetId="28" hidden="1">0</definedName>
    <definedName name="solver_rlx" localSheetId="49" hidden="1">0</definedName>
    <definedName name="solver_rlx" localSheetId="5" hidden="1">0</definedName>
    <definedName name="solver_rlx" localSheetId="50" hidden="1">0</definedName>
    <definedName name="solver_rlx" localSheetId="38" hidden="1">0</definedName>
    <definedName name="solver_rlx" localSheetId="19" hidden="1">0</definedName>
    <definedName name="solver_rlx" localSheetId="20" hidden="1">0</definedName>
    <definedName name="solver_rlx" localSheetId="18" hidden="1">0</definedName>
    <definedName name="solver_rlx" localSheetId="16" hidden="1">0</definedName>
    <definedName name="solver_rlx" localSheetId="55" hidden="1">0</definedName>
    <definedName name="solver_rlx" localSheetId="68" hidden="1">0</definedName>
    <definedName name="solver_rlx" localSheetId="69" hidden="1">0</definedName>
    <definedName name="solver_rlx" localSheetId="70" hidden="1">0</definedName>
    <definedName name="solver_rlx" localSheetId="71" hidden="1">0</definedName>
    <definedName name="solver_rlx" localSheetId="72" hidden="1">0</definedName>
    <definedName name="solver_rlx" localSheetId="73" hidden="1">0</definedName>
    <definedName name="solver_rlx" localSheetId="67" hidden="1">0</definedName>
    <definedName name="solver_rlx" localSheetId="66" hidden="1">0</definedName>
    <definedName name="solver_rlx" localSheetId="62" hidden="1">0</definedName>
    <definedName name="solver_rlx" localSheetId="65" hidden="1">0</definedName>
    <definedName name="solver_rlx" localSheetId="63" hidden="1">0</definedName>
    <definedName name="solver_rlx" localSheetId="64" hidden="1">0</definedName>
    <definedName name="solver_rlx" localSheetId="61" hidden="1">0</definedName>
    <definedName name="solver_rlx" localSheetId="51" hidden="1">0</definedName>
    <definedName name="solver_rlx" localSheetId="6" hidden="1">0</definedName>
    <definedName name="solver_rlx" localSheetId="39" hidden="1">0</definedName>
    <definedName name="solver_rlx" localSheetId="40" hidden="1">0</definedName>
    <definedName name="solver_rlx" localSheetId="37" hidden="1">1</definedName>
    <definedName name="solver_rlx" localSheetId="52" hidden="1">0</definedName>
    <definedName name="solver_rlx" localSheetId="53" hidden="1">0</definedName>
    <definedName name="solver_rlx" localSheetId="59" hidden="1">0</definedName>
    <definedName name="solver_rlx" localSheetId="60" hidden="1">0</definedName>
    <definedName name="solver_rlx" localSheetId="4" hidden="1">0</definedName>
    <definedName name="solver_rlx" localSheetId="3" hidden="1">0</definedName>
    <definedName name="solver_rlx" localSheetId="34" hidden="1">0</definedName>
    <definedName name="solver_rlx" localSheetId="57" hidden="1">0</definedName>
    <definedName name="solver_rlx" localSheetId="9" hidden="1">0</definedName>
    <definedName name="solver_rlx" localSheetId="30" hidden="1">0</definedName>
    <definedName name="solver_rlx" localSheetId="46" hidden="1">0</definedName>
    <definedName name="solver_rlx" localSheetId="42" hidden="1">0</definedName>
    <definedName name="solver_rlx" localSheetId="58" hidden="1">0</definedName>
    <definedName name="solver_scl" localSheetId="73" hidden="1">2</definedName>
    <definedName name="solver_scl" localSheetId="62" hidden="1">2</definedName>
    <definedName name="solver_scl" localSheetId="53" hidden="1">2</definedName>
    <definedName name="solver_scl" localSheetId="60" hidden="1">2</definedName>
    <definedName name="solver_scl" localSheetId="3" hidden="1">2</definedName>
    <definedName name="solver_scl" localSheetId="58" hidden="1">2</definedName>
    <definedName name="solver_sho" localSheetId="36" hidden="1">0</definedName>
    <definedName name="solver_sho" localSheetId="21" hidden="1">0</definedName>
    <definedName name="solver_sho" localSheetId="35" hidden="1">0</definedName>
    <definedName name="solver_sho" localSheetId="8" hidden="1">0</definedName>
    <definedName name="solver_sho" localSheetId="7" hidden="1">0</definedName>
    <definedName name="solver_sho" localSheetId="48" hidden="1">0</definedName>
    <definedName name="solver_sho" localSheetId="22" hidden="1">0</definedName>
    <definedName name="solver_sho" localSheetId="23" hidden="1">0</definedName>
    <definedName name="solver_sho" localSheetId="44" hidden="1">0</definedName>
    <definedName name="solver_sho" localSheetId="41" hidden="1">0</definedName>
    <definedName name="solver_sho" localSheetId="43" hidden="1">0</definedName>
    <definedName name="solver_sho" localSheetId="26" hidden="1">0</definedName>
    <definedName name="solver_sho" localSheetId="54" hidden="1">0</definedName>
    <definedName name="solver_sho" localSheetId="33" hidden="1">0</definedName>
    <definedName name="solver_sho" localSheetId="11" hidden="1">0</definedName>
    <definedName name="solver_sho" localSheetId="10" hidden="1">0</definedName>
    <definedName name="solver_sho" localSheetId="25" hidden="1">0</definedName>
    <definedName name="solver_sho" localSheetId="29" hidden="1">0</definedName>
    <definedName name="solver_sho" localSheetId="45" hidden="1">0</definedName>
    <definedName name="solver_sho" localSheetId="47" hidden="1">0</definedName>
    <definedName name="solver_sho" localSheetId="32" hidden="1">0</definedName>
    <definedName name="solver_sho" localSheetId="28" hidden="1">0</definedName>
    <definedName name="solver_sho" localSheetId="49" hidden="1">0</definedName>
    <definedName name="solver_sho" localSheetId="5" hidden="1">0</definedName>
    <definedName name="solver_sho" localSheetId="50" hidden="1">0</definedName>
    <definedName name="solver_sho" localSheetId="38" hidden="1">0</definedName>
    <definedName name="solver_sho" localSheetId="19" hidden="1">0</definedName>
    <definedName name="solver_sho" localSheetId="20" hidden="1">0</definedName>
    <definedName name="solver_sho" localSheetId="18" hidden="1">0</definedName>
    <definedName name="solver_sho" localSheetId="16" hidden="1">0</definedName>
    <definedName name="solver_sho" localSheetId="55" hidden="1">0</definedName>
    <definedName name="solver_sho" localSheetId="68" hidden="1">0</definedName>
    <definedName name="solver_sho" localSheetId="69" hidden="1">0</definedName>
    <definedName name="solver_sho" localSheetId="70" hidden="1">0</definedName>
    <definedName name="solver_sho" localSheetId="71" hidden="1">0</definedName>
    <definedName name="solver_sho" localSheetId="72" hidden="1">0</definedName>
    <definedName name="solver_sho" localSheetId="73" hidden="1">0</definedName>
    <definedName name="solver_sho" localSheetId="67" hidden="1">0</definedName>
    <definedName name="solver_sho" localSheetId="66" hidden="1">0</definedName>
    <definedName name="solver_sho" localSheetId="62" hidden="1">0</definedName>
    <definedName name="solver_sho" localSheetId="65" hidden="1">0</definedName>
    <definedName name="solver_sho" localSheetId="63" hidden="1">0</definedName>
    <definedName name="solver_sho" localSheetId="64" hidden="1">0</definedName>
    <definedName name="solver_sho" localSheetId="61" hidden="1">0</definedName>
    <definedName name="solver_sho" localSheetId="51" hidden="1">0</definedName>
    <definedName name="solver_sho" localSheetId="6" hidden="1">0</definedName>
    <definedName name="solver_sho" localSheetId="39" hidden="1">0</definedName>
    <definedName name="solver_sho" localSheetId="40" hidden="1">0</definedName>
    <definedName name="solver_sho" localSheetId="37" hidden="1">0</definedName>
    <definedName name="solver_sho" localSheetId="52" hidden="1">0</definedName>
    <definedName name="solver_sho" localSheetId="53" hidden="1">0</definedName>
    <definedName name="solver_sho" localSheetId="59" hidden="1">0</definedName>
    <definedName name="solver_sho" localSheetId="60" hidden="1">0</definedName>
    <definedName name="solver_sho" localSheetId="4" hidden="1">0</definedName>
    <definedName name="solver_sho" localSheetId="3" hidden="1">0</definedName>
    <definedName name="solver_sho" localSheetId="34" hidden="1">0</definedName>
    <definedName name="solver_sho" localSheetId="57" hidden="1">0</definedName>
    <definedName name="solver_sho" localSheetId="9" hidden="1">0</definedName>
    <definedName name="solver_sho" localSheetId="30" hidden="1">0</definedName>
    <definedName name="solver_sho" localSheetId="46" hidden="1">0</definedName>
    <definedName name="solver_sho" localSheetId="42" hidden="1">0</definedName>
    <definedName name="solver_sho" localSheetId="58" hidden="1">0</definedName>
    <definedName name="solver_tim" localSheetId="36" hidden="1">999999999</definedName>
    <definedName name="solver_tim" localSheetId="21" hidden="1">999999999</definedName>
    <definedName name="solver_tim" localSheetId="35" hidden="1">999999999</definedName>
    <definedName name="solver_tim" localSheetId="8" hidden="1">999999999</definedName>
    <definedName name="solver_tim" localSheetId="7" hidden="1">999999999</definedName>
    <definedName name="solver_tim" localSheetId="48" hidden="1">999999999</definedName>
    <definedName name="solver_tim" localSheetId="22" hidden="1">999999999</definedName>
    <definedName name="solver_tim" localSheetId="23" hidden="1">999999999</definedName>
    <definedName name="solver_tim" localSheetId="44" hidden="1">999999999</definedName>
    <definedName name="solver_tim" localSheetId="41" hidden="1">999999999</definedName>
    <definedName name="solver_tim" localSheetId="43" hidden="1">999999999</definedName>
    <definedName name="solver_tim" localSheetId="26" hidden="1">999999999</definedName>
    <definedName name="solver_tim" localSheetId="54" hidden="1">999999999</definedName>
    <definedName name="solver_tim" localSheetId="33" hidden="1">999999999</definedName>
    <definedName name="solver_tim" localSheetId="11" hidden="1">999999999</definedName>
    <definedName name="solver_tim" localSheetId="10" hidden="1">999999999</definedName>
    <definedName name="solver_tim" localSheetId="25" hidden="1">999999999</definedName>
    <definedName name="solver_tim" localSheetId="29" hidden="1">999999999</definedName>
    <definedName name="solver_tim" localSheetId="45" hidden="1">999999999</definedName>
    <definedName name="solver_tim" localSheetId="47" hidden="1">999999999</definedName>
    <definedName name="solver_tim" localSheetId="32" hidden="1">999999999</definedName>
    <definedName name="solver_tim" localSheetId="28" hidden="1">999999999</definedName>
    <definedName name="solver_tim" localSheetId="49" hidden="1">999999999</definedName>
    <definedName name="solver_tim" localSheetId="5" hidden="1">999999999</definedName>
    <definedName name="solver_tim" localSheetId="50" hidden="1">999999999</definedName>
    <definedName name="solver_tim" localSheetId="38" hidden="1">999999999</definedName>
    <definedName name="solver_tim" localSheetId="19" hidden="1">999999999</definedName>
    <definedName name="solver_tim" localSheetId="20" hidden="1">999999999</definedName>
    <definedName name="solver_tim" localSheetId="18" hidden="1">999999999</definedName>
    <definedName name="solver_tim" localSheetId="16" hidden="1">999999999</definedName>
    <definedName name="solver_tim" localSheetId="55" hidden="1">999999999</definedName>
    <definedName name="solver_tim" localSheetId="68" hidden="1">999999999</definedName>
    <definedName name="solver_tim" localSheetId="69" hidden="1">999999999</definedName>
    <definedName name="solver_tim" localSheetId="70" hidden="1">999999999</definedName>
    <definedName name="solver_tim" localSheetId="71" hidden="1">999999999</definedName>
    <definedName name="solver_tim" localSheetId="72" hidden="1">999999999</definedName>
    <definedName name="solver_tim" localSheetId="73" hidden="1">999999999</definedName>
    <definedName name="solver_tim" localSheetId="67" hidden="1">999999999</definedName>
    <definedName name="solver_tim" localSheetId="66" hidden="1">999999999</definedName>
    <definedName name="solver_tim" localSheetId="62" hidden="1">999999999</definedName>
    <definedName name="solver_tim" localSheetId="65" hidden="1">999999999</definedName>
    <definedName name="solver_tim" localSheetId="63" hidden="1">999999999</definedName>
    <definedName name="solver_tim" localSheetId="64" hidden="1">999999999</definedName>
    <definedName name="solver_tim" localSheetId="61" hidden="1">999999999</definedName>
    <definedName name="solver_tim" localSheetId="51" hidden="1">999999999</definedName>
    <definedName name="solver_tim" localSheetId="6" hidden="1">999999999</definedName>
    <definedName name="solver_tim" localSheetId="39" hidden="1">999999999</definedName>
    <definedName name="solver_tim" localSheetId="40" hidden="1">999999999</definedName>
    <definedName name="solver_tim" localSheetId="37" hidden="1">999999999</definedName>
    <definedName name="solver_tim" localSheetId="52" hidden="1">999999999</definedName>
    <definedName name="solver_tim" localSheetId="53" hidden="1">999999999</definedName>
    <definedName name="solver_tim" localSheetId="59" hidden="1">999999999</definedName>
    <definedName name="solver_tim" localSheetId="60" hidden="1">999999999</definedName>
    <definedName name="solver_tim" localSheetId="4" hidden="1">999999999</definedName>
    <definedName name="solver_tim" localSheetId="3" hidden="1">999999999</definedName>
    <definedName name="solver_tim" localSheetId="34" hidden="1">999999999</definedName>
    <definedName name="solver_tim" localSheetId="57" hidden="1">999999999</definedName>
    <definedName name="solver_tim" localSheetId="9" hidden="1">999999999</definedName>
    <definedName name="solver_tim" localSheetId="30" hidden="1">999999999</definedName>
    <definedName name="solver_tim" localSheetId="46" hidden="1">999999999</definedName>
    <definedName name="solver_tim" localSheetId="42" hidden="1">999999999</definedName>
    <definedName name="solver_tim" localSheetId="58" hidden="1">999999999</definedName>
    <definedName name="solver_tol" localSheetId="36" hidden="1">0.05</definedName>
    <definedName name="solver_tol" localSheetId="21" hidden="1">0.05</definedName>
    <definedName name="solver_tol" localSheetId="35" hidden="1">0.05</definedName>
    <definedName name="solver_tol" localSheetId="8" hidden="1">0.05</definedName>
    <definedName name="solver_tol" localSheetId="7" hidden="1">0.05</definedName>
    <definedName name="solver_tol" localSheetId="48" hidden="1">0.05</definedName>
    <definedName name="solver_tol" localSheetId="22" hidden="1">0.05</definedName>
    <definedName name="solver_tol" localSheetId="23" hidden="1">0.05</definedName>
    <definedName name="solver_tol" localSheetId="44" hidden="1">0.05</definedName>
    <definedName name="solver_tol" localSheetId="41" hidden="1">0.05</definedName>
    <definedName name="solver_tol" localSheetId="43" hidden="1">0.05</definedName>
    <definedName name="solver_tol" localSheetId="26" hidden="1">0.05</definedName>
    <definedName name="solver_tol" localSheetId="54" hidden="1">0.05</definedName>
    <definedName name="solver_tol" localSheetId="33" hidden="1">0.05</definedName>
    <definedName name="solver_tol" localSheetId="11" hidden="1">0.05</definedName>
    <definedName name="solver_tol" localSheetId="10" hidden="1">0.05</definedName>
    <definedName name="solver_tol" localSheetId="25" hidden="1">0.05</definedName>
    <definedName name="solver_tol" localSheetId="29" hidden="1">0.05</definedName>
    <definedName name="solver_tol" localSheetId="45" hidden="1">0.05</definedName>
    <definedName name="solver_tol" localSheetId="47" hidden="1">0.05</definedName>
    <definedName name="solver_tol" localSheetId="32" hidden="1">0.05</definedName>
    <definedName name="solver_tol" localSheetId="28" hidden="1">0.05</definedName>
    <definedName name="solver_tol" localSheetId="49" hidden="1">0.05</definedName>
    <definedName name="solver_tol" localSheetId="5" hidden="1">0.05</definedName>
    <definedName name="solver_tol" localSheetId="50" hidden="1">0.05</definedName>
    <definedName name="solver_tol" localSheetId="38" hidden="1">0.05</definedName>
    <definedName name="solver_tol" localSheetId="19" hidden="1">0.05</definedName>
    <definedName name="solver_tol" localSheetId="20" hidden="1">0.05</definedName>
    <definedName name="solver_tol" localSheetId="18" hidden="1">0.05</definedName>
    <definedName name="solver_tol" localSheetId="16" hidden="1">0.05</definedName>
    <definedName name="solver_tol" localSheetId="55" hidden="1">0.05</definedName>
    <definedName name="solver_tol" localSheetId="68" hidden="1">0.01</definedName>
    <definedName name="solver_tol" localSheetId="69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73" hidden="1">0.05</definedName>
    <definedName name="solver_tol" localSheetId="67" hidden="1">0.05</definedName>
    <definedName name="solver_tol" localSheetId="66" hidden="1">0.05</definedName>
    <definedName name="solver_tol" localSheetId="62" hidden="1">0.05</definedName>
    <definedName name="solver_tol" localSheetId="65" hidden="1">0.05</definedName>
    <definedName name="solver_tol" localSheetId="63" hidden="1">0.05</definedName>
    <definedName name="solver_tol" localSheetId="64" hidden="1">0.05</definedName>
    <definedName name="solver_tol" localSheetId="61" hidden="1">0.05</definedName>
    <definedName name="solver_tol" localSheetId="51" hidden="1">0.05</definedName>
    <definedName name="solver_tol" localSheetId="6" hidden="1">0.05</definedName>
    <definedName name="solver_tol" localSheetId="39" hidden="1">0.05</definedName>
    <definedName name="solver_tol" localSheetId="40" hidden="1">0.05</definedName>
    <definedName name="solver_tol" localSheetId="37" hidden="1">0.05</definedName>
    <definedName name="solver_tol" localSheetId="52" hidden="1">0.05</definedName>
    <definedName name="solver_tol" localSheetId="53" hidden="1">0.05</definedName>
    <definedName name="solver_tol" localSheetId="59" hidden="1">0.05</definedName>
    <definedName name="solver_tol" localSheetId="60" hidden="1">0.05</definedName>
    <definedName name="solver_tol" localSheetId="4" hidden="1">0.05</definedName>
    <definedName name="solver_tol" localSheetId="3" hidden="1">0.05</definedName>
    <definedName name="solver_tol" localSheetId="34" hidden="1">0.05</definedName>
    <definedName name="solver_tol" localSheetId="57" hidden="1">0.05</definedName>
    <definedName name="solver_tol" localSheetId="9" hidden="1">0.05</definedName>
    <definedName name="solver_tol" localSheetId="30" hidden="1">0.05</definedName>
    <definedName name="solver_tol" localSheetId="46" hidden="1">0.05</definedName>
    <definedName name="solver_tol" localSheetId="42" hidden="1">0.05</definedName>
    <definedName name="solver_tol" localSheetId="58" hidden="1">0.05</definedName>
    <definedName name="solver_typ" localSheetId="36" hidden="1">2</definedName>
    <definedName name="solver_typ" localSheetId="21" hidden="1">2</definedName>
    <definedName name="solver_typ" localSheetId="35" hidden="1">2</definedName>
    <definedName name="solver_typ" localSheetId="8" hidden="1">2</definedName>
    <definedName name="solver_typ" localSheetId="7" hidden="1">2</definedName>
    <definedName name="solver_typ" localSheetId="48" hidden="1">2</definedName>
    <definedName name="solver_typ" localSheetId="22" hidden="1">2</definedName>
    <definedName name="solver_typ" localSheetId="23" hidden="1">2</definedName>
    <definedName name="solver_typ" localSheetId="44" hidden="1">2</definedName>
    <definedName name="solver_typ" localSheetId="41" hidden="1">2</definedName>
    <definedName name="solver_typ" localSheetId="43" hidden="1">2</definedName>
    <definedName name="solver_typ" localSheetId="26" hidden="1">2</definedName>
    <definedName name="solver_typ" localSheetId="27" hidden="1">2</definedName>
    <definedName name="solver_typ" localSheetId="54" hidden="1">2</definedName>
    <definedName name="solver_typ" localSheetId="33" hidden="1">2</definedName>
    <definedName name="solver_typ" localSheetId="11" hidden="1">2</definedName>
    <definedName name="solver_typ" localSheetId="13" hidden="1">2</definedName>
    <definedName name="solver_typ" localSheetId="10" hidden="1">2</definedName>
    <definedName name="solver_typ" localSheetId="25" hidden="1">2</definedName>
    <definedName name="solver_typ" localSheetId="29" hidden="1">2</definedName>
    <definedName name="solver_typ" localSheetId="45" hidden="1">2</definedName>
    <definedName name="solver_typ" localSheetId="47" hidden="1">2</definedName>
    <definedName name="solver_typ" localSheetId="32" hidden="1">2</definedName>
    <definedName name="solver_typ" localSheetId="28" hidden="1">2</definedName>
    <definedName name="solver_typ" localSheetId="49" hidden="1">2</definedName>
    <definedName name="solver_typ" localSheetId="5" hidden="1">1</definedName>
    <definedName name="solver_typ" localSheetId="50" hidden="1">2</definedName>
    <definedName name="solver_typ" localSheetId="38" hidden="1">2</definedName>
    <definedName name="solver_typ" localSheetId="19" hidden="1">2</definedName>
    <definedName name="solver_typ" localSheetId="20" hidden="1">2</definedName>
    <definedName name="solver_typ" localSheetId="18" hidden="1">2</definedName>
    <definedName name="solver_typ" localSheetId="16" hidden="1">2</definedName>
    <definedName name="solver_typ" localSheetId="55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2" hidden="1">2</definedName>
    <definedName name="solver_typ" localSheetId="73" hidden="1">2</definedName>
    <definedName name="solver_typ" localSheetId="67" hidden="1">2</definedName>
    <definedName name="solver_typ" localSheetId="66" hidden="1">2</definedName>
    <definedName name="solver_typ" localSheetId="62" hidden="1">2</definedName>
    <definedName name="solver_typ" localSheetId="65" hidden="1">1</definedName>
    <definedName name="solver_typ" localSheetId="63" hidden="1">2</definedName>
    <definedName name="solver_typ" localSheetId="64" hidden="1">1</definedName>
    <definedName name="solver_typ" localSheetId="61" hidden="1">2</definedName>
    <definedName name="solver_typ" localSheetId="51" hidden="1">2</definedName>
    <definedName name="solver_typ" localSheetId="6" hidden="1">2</definedName>
    <definedName name="solver_typ" localSheetId="39" hidden="1">2</definedName>
    <definedName name="solver_typ" localSheetId="40" hidden="1">2</definedName>
    <definedName name="solver_typ" localSheetId="37" hidden="1">2</definedName>
    <definedName name="solver_typ" localSheetId="52" hidden="1">3</definedName>
    <definedName name="solver_typ" localSheetId="53" hidden="1">3</definedName>
    <definedName name="solver_typ" localSheetId="59" hidden="1">1</definedName>
    <definedName name="solver_typ" localSheetId="60" hidden="1">2</definedName>
    <definedName name="solver_typ" localSheetId="4" hidden="1">1</definedName>
    <definedName name="solver_typ" localSheetId="3" hidden="1">2</definedName>
    <definedName name="solver_typ" localSheetId="34" hidden="1">2</definedName>
    <definedName name="solver_typ" localSheetId="57" hidden="1">2</definedName>
    <definedName name="solver_typ" localSheetId="14" hidden="1">2</definedName>
    <definedName name="solver_typ" localSheetId="9" hidden="1">2</definedName>
    <definedName name="solver_typ" localSheetId="30" hidden="1">2</definedName>
    <definedName name="solver_typ" localSheetId="46" hidden="1">2</definedName>
    <definedName name="solver_typ" localSheetId="42" hidden="1">2</definedName>
    <definedName name="solver_typ" localSheetId="58" hidden="1">1</definedName>
    <definedName name="solver_val" localSheetId="36" hidden="1">0</definedName>
    <definedName name="solver_val" localSheetId="21" hidden="1">0</definedName>
    <definedName name="solver_val" localSheetId="35" hidden="1">0</definedName>
    <definedName name="solver_val" localSheetId="8" hidden="1">0</definedName>
    <definedName name="solver_val" localSheetId="7" hidden="1">0</definedName>
    <definedName name="solver_val" localSheetId="48" hidden="1">0</definedName>
    <definedName name="solver_val" localSheetId="22" hidden="1">0</definedName>
    <definedName name="solver_val" localSheetId="23" hidden="1">0</definedName>
    <definedName name="solver_val" localSheetId="44" hidden="1">0</definedName>
    <definedName name="solver_val" localSheetId="41" hidden="1">0</definedName>
    <definedName name="solver_val" localSheetId="43" hidden="1">0</definedName>
    <definedName name="solver_val" localSheetId="26" hidden="1">0</definedName>
    <definedName name="solver_val" localSheetId="27" hidden="1">0</definedName>
    <definedName name="solver_val" localSheetId="54" hidden="1">0</definedName>
    <definedName name="solver_val" localSheetId="33" hidden="1">0</definedName>
    <definedName name="solver_val" localSheetId="11" hidden="1">0</definedName>
    <definedName name="solver_val" localSheetId="13" hidden="1">0</definedName>
    <definedName name="solver_val" localSheetId="10" hidden="1">0</definedName>
    <definedName name="solver_val" localSheetId="25" hidden="1">0</definedName>
    <definedName name="solver_val" localSheetId="29" hidden="1">0</definedName>
    <definedName name="solver_val" localSheetId="45" hidden="1">0</definedName>
    <definedName name="solver_val" localSheetId="47" hidden="1">0</definedName>
    <definedName name="solver_val" localSheetId="32" hidden="1">0</definedName>
    <definedName name="solver_val" localSheetId="28" hidden="1">0</definedName>
    <definedName name="solver_val" localSheetId="49" hidden="1">0</definedName>
    <definedName name="solver_val" localSheetId="5" hidden="1">0</definedName>
    <definedName name="solver_val" localSheetId="50" hidden="1">0</definedName>
    <definedName name="solver_val" localSheetId="38" hidden="1">0</definedName>
    <definedName name="solver_val" localSheetId="19" hidden="1">0</definedName>
    <definedName name="solver_val" localSheetId="20" hidden="1">0</definedName>
    <definedName name="solver_val" localSheetId="18" hidden="1">0</definedName>
    <definedName name="solver_val" localSheetId="16" hidden="1">0</definedName>
    <definedName name="solver_val" localSheetId="55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2" hidden="1">0</definedName>
    <definedName name="solver_val" localSheetId="73" hidden="1">0</definedName>
    <definedName name="solver_val" localSheetId="67" hidden="1">0</definedName>
    <definedName name="solver_val" localSheetId="66" hidden="1">0</definedName>
    <definedName name="solver_val" localSheetId="62" hidden="1">0</definedName>
    <definedName name="solver_val" localSheetId="65" hidden="1">0</definedName>
    <definedName name="solver_val" localSheetId="63" hidden="1">0</definedName>
    <definedName name="solver_val" localSheetId="64" hidden="1">0</definedName>
    <definedName name="solver_val" localSheetId="61" hidden="1">0</definedName>
    <definedName name="solver_val" localSheetId="51" hidden="1">0</definedName>
    <definedName name="solver_val" localSheetId="6" hidden="1">0</definedName>
    <definedName name="solver_val" localSheetId="39" hidden="1">0</definedName>
    <definedName name="solver_val" localSheetId="40" hidden="1">0</definedName>
    <definedName name="solver_val" localSheetId="37" hidden="1">0</definedName>
    <definedName name="solver_val" localSheetId="52" hidden="1">50</definedName>
    <definedName name="solver_val" localSheetId="53" hidden="1">50</definedName>
    <definedName name="solver_val" localSheetId="59" hidden="1">0</definedName>
    <definedName name="solver_val" localSheetId="60" hidden="1">0</definedName>
    <definedName name="solver_val" localSheetId="4" hidden="1">0</definedName>
    <definedName name="solver_val" localSheetId="3" hidden="1">0</definedName>
    <definedName name="solver_val" localSheetId="34" hidden="1">0</definedName>
    <definedName name="solver_val" localSheetId="57" hidden="1">0</definedName>
    <definedName name="solver_val" localSheetId="14" hidden="1">0</definedName>
    <definedName name="solver_val" localSheetId="9" hidden="1">0</definedName>
    <definedName name="solver_val" localSheetId="30" hidden="1">0</definedName>
    <definedName name="solver_val" localSheetId="46" hidden="1">0</definedName>
    <definedName name="solver_val" localSheetId="42" hidden="1">0</definedName>
    <definedName name="solver_val" localSheetId="58" hidden="1">0</definedName>
    <definedName name="TestType">Data!$D$1:$D$2</definedName>
    <definedName name="uhj">NonLinMinMax!$B$1</definedName>
    <definedName name="wa" localSheetId="71">#REF!</definedName>
    <definedName name="wa" localSheetId="72">#REF!</definedName>
    <definedName name="wa" localSheetId="73">#REF!</definedName>
    <definedName name="wa">NonLin3!$P$3</definedName>
    <definedName name="wb" localSheetId="71">#REF!</definedName>
    <definedName name="wb" localSheetId="72">#REF!</definedName>
    <definedName name="wb" localSheetId="73">#REF!</definedName>
    <definedName name="wb">NonLin3!$P$4</definedName>
    <definedName name="wc" localSheetId="71">#REF!</definedName>
    <definedName name="wc" localSheetId="72">#REF!</definedName>
    <definedName name="wc" localSheetId="73">#REF!</definedName>
    <definedName name="wc">NonLin3!$P$5</definedName>
    <definedName name="wd" localSheetId="71">#REF!</definedName>
    <definedName name="wd" localSheetId="72">#REF!</definedName>
    <definedName name="wd" localSheetId="73">#REF!</definedName>
    <definedName name="wd">NonLin3!$P$6</definedName>
    <definedName name="x" localSheetId="54">#REF!</definedName>
    <definedName name="x" localSheetId="25">#REF!</definedName>
    <definedName name="x" localSheetId="5">#REF!</definedName>
    <definedName name="x" localSheetId="70">NonLin3!$C$34:$AQ$34</definedName>
    <definedName name="x" localSheetId="73">NonLin6!$E$6</definedName>
    <definedName name="x" localSheetId="37">#REF!</definedName>
    <definedName name="x" localSheetId="52">#REF!</definedName>
    <definedName name="x" localSheetId="53">#REF!</definedName>
    <definedName name="x" localSheetId="4">#REF!</definedName>
    <definedName name="x" localSheetId="30">#REF!</definedName>
    <definedName name="x">#REF!</definedName>
    <definedName name="xa" localSheetId="71">#REF!</definedName>
    <definedName name="xa" localSheetId="72">#REF!</definedName>
    <definedName name="xa" localSheetId="73">#REF!</definedName>
    <definedName name="xa">NonLin3!$N$3</definedName>
    <definedName name="xb" localSheetId="71">#REF!</definedName>
    <definedName name="xb" localSheetId="72">#REF!</definedName>
    <definedName name="xb" localSheetId="73">#REF!</definedName>
    <definedName name="xb">NonLin3!$N$4</definedName>
    <definedName name="xc" localSheetId="71">#REF!</definedName>
    <definedName name="xc" localSheetId="72">#REF!</definedName>
    <definedName name="xc" localSheetId="73">#REF!</definedName>
    <definedName name="xc">NonLin3!$N$5</definedName>
    <definedName name="xd" localSheetId="71">#REF!</definedName>
    <definedName name="xd" localSheetId="72">#REF!</definedName>
    <definedName name="xd" localSheetId="73">#REF!</definedName>
    <definedName name="xd">NonLin3!$N$6</definedName>
    <definedName name="xstep" localSheetId="54">#REF!</definedName>
    <definedName name="xstep" localSheetId="25">#REF!</definedName>
    <definedName name="xstep" localSheetId="5">#REF!</definedName>
    <definedName name="xstep" localSheetId="37">#REF!</definedName>
    <definedName name="xstep" localSheetId="52">#REF!</definedName>
    <definedName name="xstep" localSheetId="53">#REF!</definedName>
    <definedName name="xstep" localSheetId="4">#REF!</definedName>
    <definedName name="xstep" localSheetId="30">#REF!</definedName>
    <definedName name="xstep">#REF!</definedName>
    <definedName name="y" localSheetId="54">#REF!</definedName>
    <definedName name="y" localSheetId="25">#REF!</definedName>
    <definedName name="y" localSheetId="5">#REF!</definedName>
    <definedName name="y" localSheetId="70">NonLin3!$B$35:$B$75</definedName>
    <definedName name="y" localSheetId="73">NonLin6!$E$7</definedName>
    <definedName name="y" localSheetId="37">#REF!</definedName>
    <definedName name="y" localSheetId="52">#REF!</definedName>
    <definedName name="y" localSheetId="53">#REF!</definedName>
    <definedName name="y" localSheetId="4">#REF!</definedName>
    <definedName name="y" localSheetId="30">#REF!</definedName>
    <definedName name="y">#REF!</definedName>
    <definedName name="ya" localSheetId="71">#REF!</definedName>
    <definedName name="ya" localSheetId="72">#REF!</definedName>
    <definedName name="ya" localSheetId="73">#REF!</definedName>
    <definedName name="ya">NonLin3!$O$3</definedName>
    <definedName name="yb" localSheetId="71">#REF!</definedName>
    <definedName name="yb" localSheetId="72">#REF!</definedName>
    <definedName name="yb" localSheetId="73">#REF!</definedName>
    <definedName name="yb">NonLin3!$O$4</definedName>
    <definedName name="yc" localSheetId="71">#REF!</definedName>
    <definedName name="yc" localSheetId="72">#REF!</definedName>
    <definedName name="yc" localSheetId="73">#REF!</definedName>
    <definedName name="yc">NonLin3!$O$5</definedName>
    <definedName name="yd" localSheetId="71">#REF!</definedName>
    <definedName name="yd" localSheetId="72">#REF!</definedName>
    <definedName name="yd" localSheetId="73">#REF!</definedName>
    <definedName name="yd">NonLin3!$O$6</definedName>
    <definedName name="ystep" localSheetId="54">#REF!</definedName>
    <definedName name="ystep" localSheetId="25">#REF!</definedName>
    <definedName name="ystep" localSheetId="5">#REF!</definedName>
    <definedName name="ystep" localSheetId="37">#REF!</definedName>
    <definedName name="ystep" localSheetId="52">#REF!</definedName>
    <definedName name="ystep" localSheetId="53">#REF!</definedName>
    <definedName name="ystep" localSheetId="4">#REF!</definedName>
    <definedName name="ystep" localSheetId="30">#REF!</definedName>
    <definedName name="ystep">#REF!</definedName>
  </definedNames>
  <calcPr calcId="162913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2" i="60" l="1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C25" i="155"/>
  <c r="A10" i="155"/>
  <c r="A9" i="155"/>
  <c r="UF4" i="155"/>
  <c r="UF2" i="155"/>
  <c r="C11" i="155"/>
  <c r="C13" i="155"/>
  <c r="A6" i="155"/>
  <c r="E7" i="68"/>
  <c r="F13" i="144"/>
  <c r="E13" i="144"/>
  <c r="D13" i="144"/>
  <c r="A10" i="144"/>
  <c r="G9" i="144"/>
  <c r="A9" i="144"/>
  <c r="G8" i="144"/>
  <c r="G7" i="144"/>
  <c r="G6" i="144"/>
  <c r="G4" i="144"/>
  <c r="G13" i="144"/>
  <c r="D10" i="135"/>
  <c r="E10" i="135"/>
  <c r="D21" i="135"/>
  <c r="F17" i="135"/>
  <c r="E17" i="135"/>
  <c r="D17" i="135"/>
  <c r="A10" i="135"/>
  <c r="A9" i="135"/>
  <c r="H6" i="28"/>
  <c r="A6" i="135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/>
  <c r="AC8" i="114"/>
  <c r="H6" i="18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/>
  <c r="V6" i="114"/>
  <c r="H7" i="10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/>
  <c r="H12" i="36"/>
  <c r="O7" i="114"/>
  <c r="O8" i="114"/>
  <c r="H7" i="36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/>
  <c r="H12" i="30"/>
  <c r="M7" i="114"/>
  <c r="M8" i="114"/>
  <c r="H7" i="30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S4" i="9"/>
  <c r="I7" i="9"/>
  <c r="D20" i="77"/>
  <c r="C12" i="88"/>
  <c r="D12" i="88"/>
  <c r="E12" i="88"/>
  <c r="F12" i="88"/>
  <c r="C13" i="88"/>
  <c r="E13" i="88"/>
  <c r="F13" i="88"/>
  <c r="J2" i="87"/>
  <c r="J3" i="87"/>
  <c r="J6" i="87"/>
  <c r="J4" i="87"/>
  <c r="J5" i="87"/>
  <c r="P3" i="75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P4" i="75"/>
  <c r="AP35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/>
  <c r="I6" i="66"/>
  <c r="G17" i="92"/>
  <c r="G4" i="92"/>
  <c r="H7" i="57"/>
  <c r="H7" i="11"/>
  <c r="AU13" i="114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/>
  <c r="J6" i="41"/>
  <c r="J6" i="14"/>
  <c r="Z11" i="114"/>
  <c r="H7" i="12"/>
  <c r="X12" i="114"/>
  <c r="H6" i="94"/>
  <c r="S4" i="8"/>
  <c r="I7" i="8"/>
  <c r="I6" i="6"/>
  <c r="H7" i="35"/>
  <c r="H7" i="34"/>
  <c r="H7" i="33"/>
  <c r="H7" i="31"/>
  <c r="H6" i="27"/>
  <c r="H6" i="26"/>
  <c r="H6" i="25"/>
  <c r="H11" i="114"/>
  <c r="H6" i="32"/>
  <c r="H6" i="24"/>
  <c r="H6" i="22"/>
  <c r="E10" i="113"/>
  <c r="D8" i="85"/>
  <c r="D13" i="85"/>
  <c r="D12" i="85"/>
  <c r="D14" i="85"/>
  <c r="D17" i="113"/>
  <c r="E17" i="113"/>
  <c r="F17" i="113"/>
  <c r="D17" i="22"/>
  <c r="E17" i="22"/>
  <c r="F17" i="22"/>
  <c r="D17" i="1"/>
  <c r="E17" i="1"/>
  <c r="F17" i="1"/>
  <c r="A10" i="113"/>
  <c r="D10" i="113"/>
  <c r="D7" i="114"/>
  <c r="A9" i="113"/>
  <c r="F13" i="112"/>
  <c r="E13" i="112"/>
  <c r="D13" i="112"/>
  <c r="A10" i="112"/>
  <c r="G9" i="112"/>
  <c r="AY9" i="114"/>
  <c r="A9" i="112"/>
  <c r="G8" i="112"/>
  <c r="G7" i="112"/>
  <c r="AY8" i="114"/>
  <c r="G6" i="112"/>
  <c r="AY7" i="114"/>
  <c r="A6" i="111"/>
  <c r="H11" i="111"/>
  <c r="AB9" i="114"/>
  <c r="H10" i="111"/>
  <c r="AB8" i="114"/>
  <c r="A10" i="111"/>
  <c r="H9" i="111"/>
  <c r="A9" i="111"/>
  <c r="H8" i="111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/>
  <c r="H10" i="94"/>
  <c r="W8" i="11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/>
  <c r="G6" i="92"/>
  <c r="AX8" i="114"/>
  <c r="F13" i="90"/>
  <c r="E13" i="90"/>
  <c r="D13" i="90"/>
  <c r="A10" i="90"/>
  <c r="G9" i="90"/>
  <c r="AS9" i="114"/>
  <c r="A9" i="90"/>
  <c r="G8" i="90"/>
  <c r="G7" i="90"/>
  <c r="AS8" i="114"/>
  <c r="G6" i="90"/>
  <c r="AS7" i="114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6" i="77"/>
  <c r="I15" i="77"/>
  <c r="I14" i="77"/>
  <c r="A10" i="77"/>
  <c r="A9" i="77"/>
  <c r="A10" i="75"/>
  <c r="A9" i="75"/>
  <c r="A10" i="71"/>
  <c r="A9" i="71"/>
  <c r="I8" i="71"/>
  <c r="I9" i="71"/>
  <c r="I7" i="71"/>
  <c r="E12" i="70"/>
  <c r="D12" i="70"/>
  <c r="A10" i="70"/>
  <c r="A9" i="70"/>
  <c r="G8" i="70"/>
  <c r="BI6" i="114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/>
  <c r="H16" i="66"/>
  <c r="G16" i="66"/>
  <c r="F16" i="66"/>
  <c r="E16" i="66"/>
  <c r="D16" i="66"/>
  <c r="I12" i="66"/>
  <c r="AZ10" i="114"/>
  <c r="I11" i="66"/>
  <c r="I10" i="66"/>
  <c r="A10" i="66"/>
  <c r="I9" i="66"/>
  <c r="AZ8" i="114"/>
  <c r="A9" i="66"/>
  <c r="I8" i="66"/>
  <c r="AZ7" i="114"/>
  <c r="F15" i="65"/>
  <c r="E15" i="65"/>
  <c r="D15" i="65"/>
  <c r="G11" i="65"/>
  <c r="BC11" i="114"/>
  <c r="C11" i="65"/>
  <c r="G10" i="65"/>
  <c r="A10" i="65"/>
  <c r="G9" i="65"/>
  <c r="BC10" i="114"/>
  <c r="A9" i="65"/>
  <c r="G8" i="65"/>
  <c r="BC9" i="114"/>
  <c r="F24" i="2"/>
  <c r="E24" i="2"/>
  <c r="D24" i="2"/>
  <c r="H20" i="2"/>
  <c r="BB10" i="114"/>
  <c r="H19" i="2"/>
  <c r="BB9" i="114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/>
  <c r="H12" i="59"/>
  <c r="AW9" i="114"/>
  <c r="H11" i="59"/>
  <c r="AW8" i="114"/>
  <c r="H10" i="59"/>
  <c r="A10" i="59"/>
  <c r="H9" i="59"/>
  <c r="A9" i="59"/>
  <c r="F18" i="57"/>
  <c r="E18" i="57"/>
  <c r="D18" i="57"/>
  <c r="H12" i="57"/>
  <c r="AV9" i="114"/>
  <c r="H11" i="57"/>
  <c r="AV8" i="114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/>
  <c r="H12" i="23"/>
  <c r="AD8" i="114"/>
  <c r="H11" i="23"/>
  <c r="H10" i="23"/>
  <c r="A10" i="23"/>
  <c r="A9" i="23"/>
  <c r="H139" i="38"/>
  <c r="H138" i="38"/>
  <c r="H137" i="38"/>
  <c r="H136" i="38"/>
  <c r="H135" i="38"/>
  <c r="BF135" i="114"/>
  <c r="H134" i="38"/>
  <c r="H133" i="38"/>
  <c r="H132" i="38"/>
  <c r="H131" i="38"/>
  <c r="H130" i="38"/>
  <c r="H129" i="38"/>
  <c r="H128" i="38"/>
  <c r="BF128" i="114"/>
  <c r="H127" i="38"/>
  <c r="H126" i="38"/>
  <c r="H125" i="38"/>
  <c r="H124" i="38"/>
  <c r="H123" i="38"/>
  <c r="H122" i="38"/>
  <c r="BF122" i="114"/>
  <c r="H121" i="38"/>
  <c r="H120" i="38"/>
  <c r="H119" i="38"/>
  <c r="H118" i="38"/>
  <c r="H117" i="38"/>
  <c r="H116" i="38"/>
  <c r="H115" i="38"/>
  <c r="H114" i="38"/>
  <c r="BF114" i="114"/>
  <c r="H113" i="38"/>
  <c r="H112" i="38"/>
  <c r="H111" i="38"/>
  <c r="H110" i="38"/>
  <c r="H109" i="38"/>
  <c r="H108" i="38"/>
  <c r="BF108" i="114"/>
  <c r="H107" i="38"/>
  <c r="H106" i="38"/>
  <c r="H105" i="38"/>
  <c r="H104" i="38"/>
  <c r="H103" i="38"/>
  <c r="H102" i="38"/>
  <c r="H101" i="38"/>
  <c r="BF101" i="114"/>
  <c r="H100" i="38"/>
  <c r="H99" i="38"/>
  <c r="H98" i="38"/>
  <c r="H97" i="38"/>
  <c r="H96" i="38"/>
  <c r="H95" i="38"/>
  <c r="H94" i="38"/>
  <c r="BF94" i="114"/>
  <c r="H93" i="38"/>
  <c r="H92" i="38"/>
  <c r="H91" i="38"/>
  <c r="H90" i="38"/>
  <c r="H89" i="38"/>
  <c r="H88" i="38"/>
  <c r="BF88" i="114"/>
  <c r="H87" i="38"/>
  <c r="H86" i="38"/>
  <c r="H85" i="38"/>
  <c r="H84" i="38"/>
  <c r="BF84" i="114"/>
  <c r="H83" i="38"/>
  <c r="H82" i="38"/>
  <c r="H81" i="38"/>
  <c r="BF81" i="114"/>
  <c r="H80" i="38"/>
  <c r="H79" i="38"/>
  <c r="H78" i="38"/>
  <c r="H77" i="38"/>
  <c r="H76" i="38"/>
  <c r="H75" i="38"/>
  <c r="BF75" i="114"/>
  <c r="H74" i="38"/>
  <c r="H73" i="38"/>
  <c r="H72" i="38"/>
  <c r="H71" i="38"/>
  <c r="BF71" i="114"/>
  <c r="H70" i="38"/>
  <c r="H69" i="38"/>
  <c r="H68" i="38"/>
  <c r="H67" i="38"/>
  <c r="H66" i="38"/>
  <c r="H65" i="38"/>
  <c r="BF65" i="114"/>
  <c r="H64" i="38"/>
  <c r="H63" i="38"/>
  <c r="H62" i="38"/>
  <c r="H61" i="38"/>
  <c r="H60" i="38"/>
  <c r="H59" i="38"/>
  <c r="H58" i="38"/>
  <c r="BF58" i="114"/>
  <c r="H57" i="38"/>
  <c r="H56" i="38"/>
  <c r="H55" i="38"/>
  <c r="H54" i="38"/>
  <c r="H53" i="38"/>
  <c r="H52" i="38"/>
  <c r="BF52" i="114"/>
  <c r="H51" i="38"/>
  <c r="BF51" i="114"/>
  <c r="H50" i="38"/>
  <c r="H49" i="38"/>
  <c r="H48" i="38"/>
  <c r="H47" i="38"/>
  <c r="H46" i="38"/>
  <c r="H45" i="38"/>
  <c r="BF45" i="114"/>
  <c r="H44" i="38"/>
  <c r="H43" i="38"/>
  <c r="H42" i="38"/>
  <c r="H41" i="38"/>
  <c r="H40" i="38"/>
  <c r="H39" i="38"/>
  <c r="H38" i="38"/>
  <c r="BF38" i="114"/>
  <c r="H37" i="38"/>
  <c r="H36" i="38"/>
  <c r="H35" i="38"/>
  <c r="H34" i="38"/>
  <c r="H33" i="38"/>
  <c r="H32" i="38"/>
  <c r="BF32" i="114"/>
  <c r="H31" i="38"/>
  <c r="H30" i="38"/>
  <c r="H29" i="38"/>
  <c r="H28" i="38"/>
  <c r="H27" i="38"/>
  <c r="H26" i="38"/>
  <c r="H25" i="38"/>
  <c r="BF25" i="114"/>
  <c r="H24" i="38"/>
  <c r="H23" i="38"/>
  <c r="H22" i="38"/>
  <c r="H21" i="38"/>
  <c r="H20" i="38"/>
  <c r="H19" i="38"/>
  <c r="BF19" i="114"/>
  <c r="H18" i="38"/>
  <c r="H17" i="38"/>
  <c r="H16" i="38"/>
  <c r="H15" i="38"/>
  <c r="H14" i="38"/>
  <c r="H13" i="38"/>
  <c r="H12" i="38"/>
  <c r="BF12" i="114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/>
  <c r="A10" i="20"/>
  <c r="H9" i="20"/>
  <c r="BE7" i="114"/>
  <c r="A9" i="20"/>
  <c r="H8" i="20"/>
  <c r="H7" i="20"/>
  <c r="F16" i="19"/>
  <c r="E16" i="19"/>
  <c r="D16" i="19"/>
  <c r="H10" i="19"/>
  <c r="BG8" i="114"/>
  <c r="A10" i="19"/>
  <c r="H9" i="19"/>
  <c r="BG7" i="114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/>
  <c r="J10" i="41"/>
  <c r="AA8" i="114"/>
  <c r="A10" i="41"/>
  <c r="J9" i="41"/>
  <c r="A9" i="41"/>
  <c r="J8" i="41"/>
  <c r="J11" i="14"/>
  <c r="Z8" i="114"/>
  <c r="J10" i="14"/>
  <c r="Z7" i="114"/>
  <c r="A10" i="14"/>
  <c r="J9" i="14"/>
  <c r="A9" i="14"/>
  <c r="J8" i="14"/>
  <c r="H12" i="55"/>
  <c r="Y7" i="114"/>
  <c r="H11" i="55"/>
  <c r="Y6" i="114"/>
  <c r="H10" i="55"/>
  <c r="A10" i="55"/>
  <c r="H9" i="55"/>
  <c r="A9" i="55"/>
  <c r="H12" i="12"/>
  <c r="X8" i="114"/>
  <c r="H11" i="12"/>
  <c r="X7" i="114"/>
  <c r="H10" i="12"/>
  <c r="A10" i="12"/>
  <c r="H9" i="12"/>
  <c r="A9" i="12"/>
  <c r="H12" i="11"/>
  <c r="AU9" i="114"/>
  <c r="H11" i="11"/>
  <c r="AU8" i="114"/>
  <c r="H10" i="11"/>
  <c r="A10" i="11"/>
  <c r="H9" i="11"/>
  <c r="A9" i="11"/>
  <c r="F18" i="10"/>
  <c r="E18" i="10"/>
  <c r="D18" i="10"/>
  <c r="H11" i="10"/>
  <c r="H10" i="10"/>
  <c r="A10" i="10"/>
  <c r="H9" i="10"/>
  <c r="A9" i="10"/>
  <c r="D22" i="10"/>
  <c r="W18" i="9"/>
  <c r="V18" i="9"/>
  <c r="O18" i="9"/>
  <c r="G18" i="9"/>
  <c r="F18" i="9"/>
  <c r="E18" i="9"/>
  <c r="D18" i="9"/>
  <c r="W17" i="9"/>
  <c r="V17" i="9"/>
  <c r="O17" i="9"/>
  <c r="I12" i="9"/>
  <c r="U8" i="114"/>
  <c r="N11" i="9"/>
  <c r="U28" i="114"/>
  <c r="I10" i="9"/>
  <c r="U13" i="114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T9" i="114"/>
  <c r="I11" i="8"/>
  <c r="I10" i="8"/>
  <c r="T14" i="114"/>
  <c r="A10" i="8"/>
  <c r="I9" i="8"/>
  <c r="A9" i="8"/>
  <c r="R6" i="8"/>
  <c r="Q6" i="8"/>
  <c r="S5" i="8"/>
  <c r="K9" i="8"/>
  <c r="N37" i="7"/>
  <c r="N38" i="7"/>
  <c r="L30" i="7"/>
  <c r="L33" i="7"/>
  <c r="L34" i="7"/>
  <c r="L35" i="7"/>
  <c r="L38" i="7"/>
  <c r="K33" i="7"/>
  <c r="K34" i="7"/>
  <c r="K35" i="7"/>
  <c r="L36" i="7"/>
  <c r="W17" i="7"/>
  <c r="V17" i="7"/>
  <c r="O17" i="7"/>
  <c r="G17" i="7"/>
  <c r="F17" i="7"/>
  <c r="E17" i="7"/>
  <c r="D17" i="7"/>
  <c r="W16" i="7"/>
  <c r="V16" i="7"/>
  <c r="O16" i="7"/>
  <c r="I11" i="7"/>
  <c r="AT9" i="114"/>
  <c r="I10" i="7"/>
  <c r="AT8" i="114"/>
  <c r="A10" i="7"/>
  <c r="I9" i="7"/>
  <c r="A9" i="7"/>
  <c r="I8" i="7"/>
  <c r="R5" i="7"/>
  <c r="Q5" i="7"/>
  <c r="S4" i="7"/>
  <c r="K8" i="7"/>
  <c r="G17" i="6"/>
  <c r="F17" i="6"/>
  <c r="E17" i="6"/>
  <c r="D17" i="6"/>
  <c r="I11" i="6"/>
  <c r="S9" i="114"/>
  <c r="I10" i="6"/>
  <c r="S8" i="114"/>
  <c r="A10" i="6"/>
  <c r="I9" i="6"/>
  <c r="A9" i="6"/>
  <c r="I8" i="6"/>
  <c r="F18" i="35"/>
  <c r="E18" i="35"/>
  <c r="D18" i="35"/>
  <c r="H12" i="35"/>
  <c r="R8" i="114"/>
  <c r="A10" i="35"/>
  <c r="H9" i="35"/>
  <c r="A9" i="35"/>
  <c r="F18" i="34"/>
  <c r="E18" i="34"/>
  <c r="D18" i="34"/>
  <c r="H12" i="34"/>
  <c r="Q9" i="114"/>
  <c r="H11" i="34"/>
  <c r="Q8" i="114"/>
  <c r="G10" i="34"/>
  <c r="A10" i="34"/>
  <c r="H9" i="34"/>
  <c r="A9" i="34"/>
  <c r="F18" i="33"/>
  <c r="E18" i="33"/>
  <c r="D18" i="33"/>
  <c r="H12" i="33"/>
  <c r="P9" i="114"/>
  <c r="H11" i="33"/>
  <c r="P8" i="114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/>
  <c r="H11" i="31"/>
  <c r="N8" i="114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/>
  <c r="H10" i="29"/>
  <c r="L6" i="114"/>
  <c r="A10" i="29"/>
  <c r="H9" i="29"/>
  <c r="A9" i="29"/>
  <c r="H8" i="29"/>
  <c r="F17" i="28"/>
  <c r="E17" i="28"/>
  <c r="D17" i="28"/>
  <c r="H11" i="28"/>
  <c r="K7" i="114"/>
  <c r="H10" i="28"/>
  <c r="K6" i="114"/>
  <c r="A10" i="28"/>
  <c r="H9" i="28"/>
  <c r="A9" i="28"/>
  <c r="H8" i="28"/>
  <c r="D21" i="28"/>
  <c r="F17" i="27"/>
  <c r="E17" i="27"/>
  <c r="D17" i="27"/>
  <c r="H11" i="27"/>
  <c r="J8" i="114"/>
  <c r="A10" i="27"/>
  <c r="H9" i="27"/>
  <c r="A9" i="27"/>
  <c r="H8" i="27"/>
  <c r="F17" i="26"/>
  <c r="E17" i="26"/>
  <c r="D17" i="26"/>
  <c r="H11" i="26"/>
  <c r="I8" i="114"/>
  <c r="H10" i="26"/>
  <c r="I7" i="114"/>
  <c r="A10" i="26"/>
  <c r="H9" i="26"/>
  <c r="A9" i="26"/>
  <c r="H8" i="26"/>
  <c r="F17" i="25"/>
  <c r="E17" i="25"/>
  <c r="D17" i="25"/>
  <c r="H11" i="25"/>
  <c r="H8" i="114"/>
  <c r="H10" i="25"/>
  <c r="H7" i="114"/>
  <c r="A10" i="25"/>
  <c r="H9" i="25"/>
  <c r="A9" i="25"/>
  <c r="H8" i="25"/>
  <c r="F17" i="32"/>
  <c r="E17" i="32"/>
  <c r="D17" i="32"/>
  <c r="H11" i="32"/>
  <c r="G9" i="114"/>
  <c r="A10" i="32"/>
  <c r="H9" i="32"/>
  <c r="A9" i="32"/>
  <c r="H8" i="32"/>
  <c r="A6" i="32"/>
  <c r="F17" i="24"/>
  <c r="E17" i="24"/>
  <c r="D17" i="24"/>
  <c r="H11" i="24"/>
  <c r="F9" i="114"/>
  <c r="H10" i="24"/>
  <c r="F8" i="114"/>
  <c r="A10" i="24"/>
  <c r="H9" i="24"/>
  <c r="A9" i="24"/>
  <c r="H8" i="24"/>
  <c r="A6" i="24"/>
  <c r="H11" i="22"/>
  <c r="E9" i="114"/>
  <c r="H10" i="22"/>
  <c r="E8" i="114"/>
  <c r="A10" i="22"/>
  <c r="H9" i="22"/>
  <c r="A9" i="22"/>
  <c r="H8" i="22"/>
  <c r="H11" i="1"/>
  <c r="C9" i="114"/>
  <c r="H10" i="1"/>
  <c r="C8" i="114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/>
  <c r="F11" i="68"/>
  <c r="A6" i="68"/>
  <c r="BM9" i="114"/>
  <c r="K37" i="3"/>
  <c r="A6" i="3"/>
  <c r="BL13" i="114"/>
  <c r="D21" i="95"/>
  <c r="BK10" i="114"/>
  <c r="I16" i="71"/>
  <c r="A6" i="71"/>
  <c r="BJ9" i="114"/>
  <c r="G12" i="70"/>
  <c r="BI10" i="114"/>
  <c r="F22" i="69"/>
  <c r="A6" i="69"/>
  <c r="BH11" i="114"/>
  <c r="D20" i="19"/>
  <c r="A6" i="19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/>
  <c r="BF608" i="114"/>
  <c r="D20" i="20"/>
  <c r="A6" i="20"/>
  <c r="BE11" i="114"/>
  <c r="D24" i="77"/>
  <c r="A6" i="77"/>
  <c r="BD14" i="114"/>
  <c r="G15" i="65"/>
  <c r="A6" i="65"/>
  <c r="BC15" i="114"/>
  <c r="H24" i="2"/>
  <c r="A6" i="2"/>
  <c r="BB13" i="114"/>
  <c r="I16" i="66"/>
  <c r="A6" i="66"/>
  <c r="AZ13" i="114"/>
  <c r="G13" i="112"/>
  <c r="A6" i="112"/>
  <c r="AY12" i="114"/>
  <c r="G13" i="92"/>
  <c r="A6" i="92"/>
  <c r="AX13" i="114"/>
  <c r="D22" i="57"/>
  <c r="AV12" i="114"/>
  <c r="D21" i="7"/>
  <c r="A6" i="7"/>
  <c r="AT16" i="114"/>
  <c r="G13" i="90"/>
  <c r="A6" i="90"/>
  <c r="AS12" i="114"/>
  <c r="D23" i="54"/>
  <c r="A6" i="54"/>
  <c r="AR11" i="114"/>
  <c r="D23" i="53"/>
  <c r="A6" i="53"/>
  <c r="AQ11" i="114"/>
  <c r="D23" i="52"/>
  <c r="A6" i="52"/>
  <c r="AP11" i="114"/>
  <c r="D23" i="51"/>
  <c r="A6" i="51"/>
  <c r="AO10" i="114"/>
  <c r="D23" i="50"/>
  <c r="A6" i="50"/>
  <c r="AN11" i="114"/>
  <c r="D22" i="49"/>
  <c r="A6" i="49"/>
  <c r="AM11" i="114"/>
  <c r="D24" i="48"/>
  <c r="A6" i="48"/>
  <c r="AL11" i="114"/>
  <c r="D24" i="47"/>
  <c r="A6" i="47"/>
  <c r="AK11" i="114"/>
  <c r="D24" i="46"/>
  <c r="A6" i="46"/>
  <c r="AJ11" i="114"/>
  <c r="D23" i="98"/>
  <c r="A6" i="98"/>
  <c r="AI13" i="114"/>
  <c r="D23" i="45"/>
  <c r="A6" i="45"/>
  <c r="AH13" i="114"/>
  <c r="D23" i="44"/>
  <c r="A6" i="44"/>
  <c r="AG12" i="114"/>
  <c r="D22" i="43"/>
  <c r="A6" i="43"/>
  <c r="AF11" i="114"/>
  <c r="D22" i="42"/>
  <c r="A6" i="42"/>
  <c r="AE11" i="114"/>
  <c r="D23" i="23"/>
  <c r="A6" i="23"/>
  <c r="AD14" i="114"/>
  <c r="D21" i="41"/>
  <c r="A6" i="41"/>
  <c r="AA12" i="114"/>
  <c r="D21" i="94"/>
  <c r="W12" i="114"/>
  <c r="D22" i="9"/>
  <c r="U17" i="114"/>
  <c r="I14" i="8"/>
  <c r="T8" i="114"/>
  <c r="T33" i="114"/>
  <c r="D22" i="8"/>
  <c r="A6" i="8"/>
  <c r="T17" i="114"/>
  <c r="D21" i="6"/>
  <c r="A6" i="6"/>
  <c r="S14" i="114"/>
  <c r="D22" i="35"/>
  <c r="R11" i="114"/>
  <c r="D22" i="34"/>
  <c r="A6" i="34"/>
  <c r="Q12" i="114"/>
  <c r="D22" i="33"/>
  <c r="A6" i="33"/>
  <c r="P12" i="114"/>
  <c r="D22" i="31"/>
  <c r="A6" i="31"/>
  <c r="N12" i="114"/>
  <c r="D21" i="27"/>
  <c r="J11" i="114"/>
  <c r="D21" i="32"/>
  <c r="G12" i="114"/>
  <c r="D21" i="24"/>
  <c r="F12" i="114"/>
  <c r="D21" i="22"/>
  <c r="A6" i="22"/>
  <c r="E12" i="114"/>
  <c r="D21" i="113"/>
  <c r="A6" i="113"/>
  <c r="D11" i="114"/>
  <c r="D21" i="1"/>
  <c r="A6" i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/>
  <c r="O41" i="3"/>
  <c r="D16" i="85"/>
  <c r="H16" i="4"/>
  <c r="H20" i="4"/>
  <c r="A6" i="57"/>
  <c r="F15" i="88"/>
  <c r="J7" i="87"/>
  <c r="A6" i="70"/>
  <c r="F15" i="7"/>
  <c r="F16" i="9"/>
  <c r="F16" i="8"/>
  <c r="F16" i="88"/>
  <c r="A6" i="88"/>
  <c r="BQ12" i="114"/>
  <c r="D17" i="85"/>
  <c r="A6" i="85"/>
  <c r="BO4" i="114"/>
  <c r="J24" i="87"/>
  <c r="BP8" i="114"/>
  <c r="C77" i="75"/>
  <c r="J40" i="3"/>
  <c r="J42" i="3"/>
  <c r="O42" i="3"/>
  <c r="J43" i="3"/>
  <c r="J44" i="3"/>
  <c r="O40" i="3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/>
  <c r="L3" i="75"/>
  <c r="M3" i="75"/>
  <c r="C81" i="75"/>
  <c r="L2" i="75"/>
  <c r="M2" i="75"/>
  <c r="A6" i="75"/>
</calcChain>
</file>

<file path=xl/sharedStrings.xml><?xml version="1.0" encoding="utf-8"?>
<sst xmlns="http://schemas.openxmlformats.org/spreadsheetml/2006/main" count="1966" uniqueCount="419">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</sst>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2079901896"/>
        <c:axId val="-2079895816"/>
        <c:axId val="-2079889352"/>
      </c:surface3DChart>
      <c:catAx>
        <c:axId val="-207990189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7989581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-207989581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79901896"/>
        <c:crosses val="min"/>
        <c:crossBetween val="between"/>
        <c:majorUnit val="0.1"/>
      </c:valAx>
      <c:serAx>
        <c:axId val="-2079889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7989581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769512"/>
        <c:axId val="-2080766024"/>
      </c:scatterChart>
      <c:valAx>
        <c:axId val="-208076951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0766024"/>
        <c:crosses val="autoZero"/>
        <c:crossBetween val="midCat"/>
        <c:majorUnit val="0.5"/>
      </c:valAx>
      <c:valAx>
        <c:axId val="-208076602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076951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2.3569225797626907</c:v>
                </c:pt>
                <c:pt idx="2">
                  <c:v>6.9995995546345409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1.8560484780858455</c:v>
                </c:pt>
                <c:pt idx="2">
                  <c:v>-1.7093432066284109E-4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749480"/>
        <c:axId val="-2079746168"/>
      </c:scatterChart>
      <c:valAx>
        <c:axId val="-207974948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79746168"/>
        <c:crosses val="autoZero"/>
        <c:crossBetween val="midCat"/>
        <c:majorUnit val="1"/>
      </c:valAx>
      <c:valAx>
        <c:axId val="-207974616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7974948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/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/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/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/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/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/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/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/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/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/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/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/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/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/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/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/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/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/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/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/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/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/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/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/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/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/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/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/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/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/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/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/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/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/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/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/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/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/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/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/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/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/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/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/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/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/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/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/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/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/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/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/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/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/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/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/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/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/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/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/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/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/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/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/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/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/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/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/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/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/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/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/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/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/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/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/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/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/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/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/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/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/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/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/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/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/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/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/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/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/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/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/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/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/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/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/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/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/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/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/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/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/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/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/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/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/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/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/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/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/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/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/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/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/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/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/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/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/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/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/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/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/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/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/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/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/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/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/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/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/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/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/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/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/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/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/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/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/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/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/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/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/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/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/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/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/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/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/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/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/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/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/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/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/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/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/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/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/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/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/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/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/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/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/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/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/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/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/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/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/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/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/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/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/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/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/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/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/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/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/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/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/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/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/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/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/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/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/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/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/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/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/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/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/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/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/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/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/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/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/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/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/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/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/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/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/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/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/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/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/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/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/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/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/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/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/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/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/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/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/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/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/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/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/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/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/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/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/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/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/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/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/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/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/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/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/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/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/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/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/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/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/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/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/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/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/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/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/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/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/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/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/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/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/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/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/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/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/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/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/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/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/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/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/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/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/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/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/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/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/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/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/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/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/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/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/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/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/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/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/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/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/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/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/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/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/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/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/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/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/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/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/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/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/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/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/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/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/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/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/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/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/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/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/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/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/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/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/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/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/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/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/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/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/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/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/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/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/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/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/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/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/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/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/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/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/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/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/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/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/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/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/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/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/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/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/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/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/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/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/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/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/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/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/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/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/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/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/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/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/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/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/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/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/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/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/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/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/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/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/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/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/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/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/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/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/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/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/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/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/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/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/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/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/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/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/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/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/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/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/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/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/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/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/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/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/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/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/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/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/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/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/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/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/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/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/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/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/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/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/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/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/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/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/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/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/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/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/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/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/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/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/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/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/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/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/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/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/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/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/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/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/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/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/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/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/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/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/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/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/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/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/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/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/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/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/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/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/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/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/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/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/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/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/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/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/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/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/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/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/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/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/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/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/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/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/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/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/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/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/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/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/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/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/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/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/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/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/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/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/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/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/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/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/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/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/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/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/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/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/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/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/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/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/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/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/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/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/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/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/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/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/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/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/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/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/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/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/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/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/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/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/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/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/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/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/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/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/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/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/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/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/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/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/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/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/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/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/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/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/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/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/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/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/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/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/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/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/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/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/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/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/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/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/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/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/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/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/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/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/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/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/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/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/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/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/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/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/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/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/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/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/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/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/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/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/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/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/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/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/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/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/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/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/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/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/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/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/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/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/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/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/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/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/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/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/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/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/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/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/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/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/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/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/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/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/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/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/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/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/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/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/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/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/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/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/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/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/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/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/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/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/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/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/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/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/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/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/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/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/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/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/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/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/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/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/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/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/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/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/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/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/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/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/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/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/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/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/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/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/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/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/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/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/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/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/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/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/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/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/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/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/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/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/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/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/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/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/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/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/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/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/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/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/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/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/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/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/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/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/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/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/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/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/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/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/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/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/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/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/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/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/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/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/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/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/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/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/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/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/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/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/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/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/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/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/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/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/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/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/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/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/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/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/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/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/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/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/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/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/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/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/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/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/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/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/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/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/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/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/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/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/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/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/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/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/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/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/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/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/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/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/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/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/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/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/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/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/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/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/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/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/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/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/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/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/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/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/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2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3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4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/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/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/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/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/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/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/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/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/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/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/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/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/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/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/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/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/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/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ColWidth="8.85546875"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2"/>
  <sheetViews>
    <sheetView topLeftCell="A20" zoomScale="85" zoomScaleNormal="85" zoomScalePageLayoutView="85" workbookViewId="0">
      <selection activeCell="A72" sqref="A72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19" s="150" customFormat="1" ht="63" customHeight="1" thickBot="1" x14ac:dyDescent="0.3">
      <c r="A1" s="152"/>
      <c r="C1" s="184" t="s">
        <v>318</v>
      </c>
      <c r="D1" s="184"/>
      <c r="E1" s="184"/>
      <c r="F1" s="184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19" x14ac:dyDescent="0.25">
      <c r="A3" s="155" t="str">
        <f>HYPERLINK("[OpenSolver Tester.xlsm]'SimpleLP'!A1", "SimpleLP")</f>
        <v>SimpleLP</v>
      </c>
    </row>
    <row r="4" spans="1:19" x14ac:dyDescent="0.25">
      <c r="A4" s="155" t="str">
        <f>HYPERLINK("[OpenSolver Tester.xlsm]'SimpleIP'!A1", "SimpleIP")</f>
        <v>SimpleIP</v>
      </c>
    </row>
    <row r="5" spans="1:19" x14ac:dyDescent="0.25">
      <c r="A5" s="155" t="str">
        <f>HYPERLINK("[OpenSolver Tester.xlsm]'IP_SUMIF'!A1", "IP_SUMIF")</f>
        <v>IP_SUMIF</v>
      </c>
      <c r="H5"/>
    </row>
    <row r="6" spans="1:19" x14ac:dyDescent="0.25">
      <c r="A6" s="155" t="str">
        <f>HYPERLINK("[OpenSolver Tester.xlsm]'OverlappingVars'!A1", "OverlappingVars")</f>
        <v>OverlappingVars</v>
      </c>
      <c r="C6" s="59" t="s">
        <v>332</v>
      </c>
      <c r="H6"/>
    </row>
    <row r="7" spans="1:19" x14ac:dyDescent="0.25">
      <c r="A7" s="155" t="str">
        <f>HYPERLINK("[OpenSolver Tester.xlsm]'BlankRHS'!A1", "BlankRHS")</f>
        <v>BlankRHS</v>
      </c>
      <c r="H7"/>
    </row>
    <row r="8" spans="1:19" x14ac:dyDescent="0.25">
      <c r="A8" s="155" t="str">
        <f>HYPERLINK("[OpenSolver Tester.xlsm]'BlankLHS'!A1", "BlankLHS")</f>
        <v>BlankLHS</v>
      </c>
      <c r="H8"/>
    </row>
    <row r="9" spans="1:19" x14ac:dyDescent="0.25">
      <c r="A9" s="155" t="str">
        <f>HYPERLINK("[OpenSolver Tester.xlsm]'TextRHS'!A1", "TextRHS")</f>
        <v>TextRHS</v>
      </c>
      <c r="H9"/>
    </row>
    <row r="10" spans="1:19" x14ac:dyDescent="0.25">
      <c r="A10" s="155" t="str">
        <f>HYPERLINK("[OpenSolver Tester.xlsm]'ErrorRHS'!A1", "ErrorRHS")</f>
        <v>ErrorRHS</v>
      </c>
    </row>
    <row r="11" spans="1:19" x14ac:dyDescent="0.25">
      <c r="A11" s="155" t="str">
        <f>HYPERLINK("[OpenSolver Tester.xlsm]'ErrorLHS'!A1", "ErrorLHS")</f>
        <v>ErrorLHS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</row>
    <row r="17" spans="1:8" x14ac:dyDescent="0.25">
      <c r="A17" s="155" t="str">
        <f>HYPERLINK("[OpenSolver Tester.xlsm]'MergedRHS_OK'!A1", "MergedRHS_OK")</f>
        <v>MergedRHS_OK</v>
      </c>
    </row>
    <row r="18" spans="1:8" x14ac:dyDescent="0.25">
      <c r="A18" s="155" t="str">
        <f>HYPERLINK("[OpenSolver Tester.xlsm]'MergedLHS_OK'!A1", "MergedLHS_OK")</f>
        <v>MergedLHS_OK</v>
      </c>
    </row>
    <row r="19" spans="1:8" x14ac:dyDescent="0.25">
      <c r="A19" s="155" t="str">
        <f>HYPERLINK("[OpenSolver Tester.xlsm]'MergedLHSMultiple_OK'!A1", "MergedLHSMultiple_OK")</f>
        <v>MergedLHSMultiple_OK</v>
      </c>
    </row>
    <row r="20" spans="1:8" x14ac:dyDescent="0.25">
      <c r="A20" s="155" t="str">
        <f>HYPERLINK("[OpenSolver Tester.xlsm]'BinIntOverlap'!A1", "BinIntOverlap")</f>
        <v>BinIntOverlap</v>
      </c>
    </row>
    <row r="21" spans="1:8" x14ac:dyDescent="0.25">
      <c r="A21" s="155" t="str">
        <f>HYPERLINK("[OpenSolver Tester.xlsm]'ConFormula'!A1", "ConFormula")</f>
        <v>ConFormula</v>
      </c>
      <c r="G21" s="59" t="s">
        <v>332</v>
      </c>
      <c r="H21" s="59" t="s">
        <v>332</v>
      </c>
    </row>
    <row r="22" spans="1:8" x14ac:dyDescent="0.25">
      <c r="A22" s="155" t="str">
        <f>HYPERLINK("[OpenSolver Tester.xlsm]'ConFormulaInf'!A1", "ConFormulaInf")</f>
        <v>ConFormulaInf</v>
      </c>
    </row>
    <row r="23" spans="1:8" x14ac:dyDescent="0.25">
      <c r="A23" s="155" t="str">
        <f>HYPERLINK("[OpenSolver Tester.xlsm]'BadName!'!A1", "BadName!")</f>
        <v>BadName!</v>
      </c>
    </row>
    <row r="24" spans="1:8" x14ac:dyDescent="0.25">
      <c r="A24" s="155" t="str">
        <f>HYPERLINK("[OpenSolver Tester.xlsm]'EscapeSheetName(1)+2-1'!A1", "EscapeSheetName(1)+2-1")</f>
        <v>EscapeSheetName(1)+2-1</v>
      </c>
    </row>
    <row r="25" spans="1:8" x14ac:dyDescent="0.25">
      <c r="A25" s="155" t="str">
        <f>HYPERLINK("[OpenSolver Tester.xlsm]'DeletedConRef'!A1", "DeletedConRef")</f>
        <v>DeletedConRef</v>
      </c>
    </row>
    <row r="26" spans="1:8" x14ac:dyDescent="0.25">
      <c r="A26" s="155" t="str">
        <f>HYPERLINK("[OpenSolver Tester.xlsm]'DeletedObjRef'!A1", "DeletedObjRef")</f>
        <v>DeletedObjRef</v>
      </c>
    </row>
    <row r="27" spans="1:8" x14ac:dyDescent="0.25">
      <c r="A27" s="155" t="str">
        <f>HYPERLINK("[OpenSolver Tester.xlsm]'InfConstConstraint'!A1", "InfConstConstraint")</f>
        <v>InfConstConstraint</v>
      </c>
    </row>
    <row r="28" spans="1:8" x14ac:dyDescent="0.25">
      <c r="A28" s="155" t="str">
        <f>HYPERLINK("[OpenSolver Tester.xlsm]'FeasConstConstraint'!A1", "FeasConstConstraint")</f>
        <v>FeasConstConstraint</v>
      </c>
    </row>
    <row r="29" spans="1:8" x14ac:dyDescent="0.25">
      <c r="A29" s="155" t="str">
        <f>HYPERLINK("[OpenSolver Tester.xlsm]'Unbounded'!A1", "Unbounded")</f>
        <v>Unbounded</v>
      </c>
    </row>
    <row r="30" spans="1:8" x14ac:dyDescent="0.25">
      <c r="A30" s="155" t="str">
        <f>HYPERLINK("[OpenSolver Tester.xlsm]'ProtectedSheet'!A1", "ProtectedSheet")</f>
        <v>ProtectedSheet</v>
      </c>
    </row>
    <row r="31" spans="1:8" x14ac:dyDescent="0.25">
      <c r="A31" s="155" t="str">
        <f>HYPERLINK("[OpenSolver Tester.xlsm]'IndirectLBs'!A1", "IndirectLBs")</f>
        <v>IndirectLBs</v>
      </c>
    </row>
    <row r="32" spans="1:8" x14ac:dyDescent="0.25">
      <c r="A32" s="155" t="str">
        <f>HYPERLINK("[OpenSolver Tester.xlsm]'DirectLBs'!A1", "DirectLBs")</f>
        <v>DirectLBs</v>
      </c>
    </row>
    <row r="33" spans="1:7" x14ac:dyDescent="0.25">
      <c r="A33" s="155" t="str">
        <f>HYPERLINK("[OpenSolver Tester.xlsm]'SingleRangeLB'!A1", "SingleRangeLB")</f>
        <v>SingleRangeLB</v>
      </c>
    </row>
    <row r="34" spans="1:7" x14ac:dyDescent="0.25">
      <c r="A34" s="155" t="str">
        <f>HYPERLINK("[OpenSolver Tester.xlsm]'BinLB'!A1", "BinLB")</f>
        <v>BinLB</v>
      </c>
    </row>
    <row r="35" spans="1:7" x14ac:dyDescent="0.25">
      <c r="A35" s="155" t="str">
        <f>HYPERLINK("[OpenSolver Tester.xlsm]'BinIntLB'!A1", "BinIntLB")</f>
        <v>BinIntLB</v>
      </c>
    </row>
    <row r="36" spans="1:7" x14ac:dyDescent="0.25">
      <c r="A36" s="155" t="str">
        <f>HYPERLINK("[OpenSolver Tester.xlsm]'Relaxation'!A1", "Relaxation")</f>
        <v>Relaxation</v>
      </c>
      <c r="G36" s="165"/>
    </row>
    <row r="37" spans="1:7" x14ac:dyDescent="0.25">
      <c r="A37" s="155" t="str">
        <f>HYPERLINK("[OpenSolver Tester.xlsm]'LargeRangeLB'!A1", "LargeRangeLB")</f>
        <v>LargeRangeLB</v>
      </c>
      <c r="G37" s="165"/>
    </row>
    <row r="38" spans="1:7" x14ac:dyDescent="0.25">
      <c r="A38" s="155" t="str">
        <f>HYPERLINK("[OpenSolver Tester.xlsm]'OverlapRangeLB'!A1", "OverlapRangeLB")</f>
        <v>OverlapRangeLB</v>
      </c>
      <c r="C38" s="162"/>
    </row>
    <row r="39" spans="1:7" x14ac:dyDescent="0.25">
      <c r="A39" s="155" t="str">
        <f>HYPERLINK("[OpenSolver Tester.xlsm]'OverlapRangeLBwithFormula'!A1", "OverlapRangeLBwithFormula")</f>
        <v>OverlapRangeLBwithFormula</v>
      </c>
    </row>
    <row r="40" spans="1:7" x14ac:dyDescent="0.25">
      <c r="A40" s="155" t="str">
        <f>HYPERLINK("[OpenSolver Tester.xlsm]'ConstFormulaRangeLB'!A1", "ConstFormulaRangeLB")</f>
        <v>ConstFormulaRangeLB</v>
      </c>
    </row>
    <row r="41" spans="1:7" x14ac:dyDescent="0.25">
      <c r="A41" s="155" t="str">
        <f>HYPERLINK("[OpenSolver Tester.xlsm]'VariableFormulaRangeLB'!A1", "VariableFormulaRangeLB")</f>
        <v>VariableFormulaRangeLB</v>
      </c>
    </row>
    <row r="42" spans="1:7" x14ac:dyDescent="0.25">
      <c r="A42" s="155" t="str">
        <f>HYPERLINK("[OpenSolver Tester.xlsm]'ConstraintLB'!A1", "ConstraintLB")</f>
        <v>ConstraintLB</v>
      </c>
    </row>
    <row r="43" spans="1:7" x14ac:dyDescent="0.25">
      <c r="A43" s="155" t="str">
        <f>HYPERLINK("[OpenSolver Tester.xlsm]'ConstantLB'!A1", "ConstantLB")</f>
        <v>ConstantLB</v>
      </c>
    </row>
    <row r="44" spans="1:7" x14ac:dyDescent="0.25">
      <c r="A44" s="155" t="str">
        <f>HYPERLINK("[OpenSolver Tester.xlsm]'FormulaLB'!A1", "FormulaLB")</f>
        <v>FormulaLB</v>
      </c>
    </row>
    <row r="45" spans="1:7" x14ac:dyDescent="0.25">
      <c r="A45" s="155" t="str">
        <f>HYPERLINK("[OpenSolver Tester.xlsm]'VarConstraintLB'!A1", "VarConstraintLB")</f>
        <v>VarConstraintLB</v>
      </c>
    </row>
    <row r="46" spans="1:7" x14ac:dyDescent="0.25">
      <c r="A46" s="155" t="str">
        <f>HYPERLINK("[OpenSolver Tester.xlsm]'FractionalCoeffs'!A1", "FractionalCoeffs")</f>
        <v>FractionalCoeffs</v>
      </c>
    </row>
    <row r="47" spans="1:7" x14ac:dyDescent="0.25">
      <c r="A47" s="155" t="str">
        <f>HYPERLINK("[OpenSolver Tester.xlsm]'ComplexLayout'!A1", "ComplexLayout")</f>
        <v>ComplexLayout</v>
      </c>
    </row>
    <row r="48" spans="1:7" x14ac:dyDescent="0.25">
      <c r="A48" s="155" t="str">
        <f>HYPERLINK("[OpenSolver Tester.xlsm]'InfModel'!A1", "InfModel")</f>
        <v>InfModel</v>
      </c>
    </row>
    <row r="49" spans="1:3" x14ac:dyDescent="0.25">
      <c r="A49" s="155" t="str">
        <f>HYPERLINK("[OpenSolver Tester.xlsm]'IterativeCalc'!A1", "IterativeCalc")</f>
        <v>IterativeCalc</v>
      </c>
    </row>
    <row r="50" spans="1:3" x14ac:dyDescent="0.25">
      <c r="A50" s="155" t="str">
        <f>HYPERLINK("[OpenSolver Tester.xlsm]'NoObj'!A1", "NoObj")</f>
        <v>NoObj</v>
      </c>
    </row>
    <row r="51" spans="1:3" x14ac:dyDescent="0.25">
      <c r="A51" s="155" t="str">
        <f>HYPERLINK("[OpenSolver Tester.xlsm]'SeekObj'!A1", "SeekObj")</f>
        <v>SeekObj</v>
      </c>
    </row>
    <row r="52" spans="1:3" x14ac:dyDescent="0.25">
      <c r="A52" s="155" t="str">
        <f>HYPERLINK("[OpenSolver Tester.xlsm]'SeekObjInf'!A1", "SeekObjInf")</f>
        <v>SeekObjInf</v>
      </c>
    </row>
    <row r="53" spans="1:3" x14ac:dyDescent="0.25">
      <c r="A53" s="155" t="str">
        <f>HYPERLINK("[OpenSolver Tester.xlsm]'DiffSheetObj'!A1", "DiffSheetObj")</f>
        <v>DiffSheetObj</v>
      </c>
    </row>
    <row r="54" spans="1:3" x14ac:dyDescent="0.25">
      <c r="A54" s="155" t="str">
        <f>HYPERLINK("[OpenSolver Tester.xlsm]'NamedRanges'!A1", "NamedRanges")</f>
        <v>NamedRanges</v>
      </c>
    </row>
    <row r="55" spans="1:3" x14ac:dyDescent="0.25">
      <c r="A55" s="155" t="str">
        <f>HYPERLINK("[OpenSolver Tester.xlsm]'QuickSolve'!A1", "QuickSolve")</f>
        <v>QuickSolve</v>
      </c>
    </row>
    <row r="56" spans="1:3" x14ac:dyDescent="0.25">
      <c r="A56" s="155" t="str">
        <f>HYPERLINK("[OpenSolver Tester.xlsm]'SolverParameters'!A1", "SolverParameters")</f>
        <v>SolverParameters</v>
      </c>
    </row>
    <row r="57" spans="1:3" x14ac:dyDescent="0.25">
      <c r="A57" s="155" t="str">
        <f>HYPERLINK("[OpenSolver Tester.xlsm]'Warmstart'!A1", "Warmstart")</f>
        <v>Warmstart</v>
      </c>
      <c r="C57" s="59" t="s">
        <v>332</v>
      </c>
    </row>
    <row r="58" spans="1:3" x14ac:dyDescent="0.25">
      <c r="A58" s="155" t="str">
        <f>HYPERLINK("[OpenSolver Tester.xlsm]'Sensitivity'!A1", "Sensitivity")</f>
        <v>Sensitivity</v>
      </c>
    </row>
    <row r="59" spans="1:3" x14ac:dyDescent="0.25">
      <c r="A59" s="155" t="str">
        <f>HYPERLINK("[OpenSolver Tester.xlsm]'SensitivityNames'!A1", "SensitivityNames")</f>
        <v>SensitivityNames</v>
      </c>
    </row>
    <row r="60" spans="1:3" x14ac:dyDescent="0.25">
      <c r="A60" s="155" t="str">
        <f>HYPERLINK("[OpenSolver Tester.xlsm]'NonLinSimple'!A1", "NonLinSimple")</f>
        <v>NonLinSimple</v>
      </c>
    </row>
    <row r="61" spans="1:3" x14ac:dyDescent="0.25">
      <c r="A61" s="155" t="str">
        <f>HYPERLINK("[OpenSolver Tester.xlsm]'NonLinLarge'!A1", "NonLinLarge")</f>
        <v>NonLinLarge</v>
      </c>
    </row>
    <row r="62" spans="1:3" x14ac:dyDescent="0.25">
      <c r="A62" s="155" t="str">
        <f>HYPERLINK("[OpenSolver Tester.xlsm]'NonLinObj'!A1", "NonLinObj")</f>
        <v>NonLinObj</v>
      </c>
    </row>
    <row r="63" spans="1:3" x14ac:dyDescent="0.25">
      <c r="A63" s="155" t="str">
        <f>HYPERLINK("[OpenSolver Tester.xlsm]'NonLinPruning'!A1", "NonLinPruning")</f>
        <v>NonLinPruning</v>
      </c>
    </row>
    <row r="64" spans="1:3" x14ac:dyDescent="0.25">
      <c r="A64" s="155" t="str">
        <f>HYPERLINK("[OpenSolver Tester.xlsm]'NonLinMinMax'!A1", "NonLinMinMax")</f>
        <v>NonLinMinMax</v>
      </c>
    </row>
    <row r="65" spans="1:8" x14ac:dyDescent="0.25">
      <c r="A65" s="155" t="str">
        <f>HYPERLINK("[OpenSolver Tester.xlsm]'NonLinConstraints'!A1", "NonLinConstraints")</f>
        <v>NonLinConstraints</v>
      </c>
      <c r="H65" s="165"/>
    </row>
    <row r="66" spans="1:8" x14ac:dyDescent="0.25">
      <c r="A66" s="155" t="str">
        <f>HYPERLINK("[OpenSolver Tester.xlsm]'NonLinBinary'!A1", "NonLinBinary")</f>
        <v>NonLinBinary</v>
      </c>
      <c r="G66" s="163"/>
    </row>
    <row r="67" spans="1:8" x14ac:dyDescent="0.25">
      <c r="A67" s="155" t="str">
        <f>HYPERLINK("[OpenSolver Tester.xlsm]'NonLin'!A1", "NonLin")</f>
        <v>NonLin</v>
      </c>
    </row>
    <row r="68" spans="1:8" x14ac:dyDescent="0.25">
      <c r="A68" s="155" t="str">
        <f>HYPERLINK("[OpenSolver Tester.xlsm]'NonLin2'!A1", "NonLin2")</f>
        <v>NonLin2</v>
      </c>
    </row>
    <row r="69" spans="1:8" x14ac:dyDescent="0.25">
      <c r="A69" s="155" t="str">
        <f>HYPERLINK("[OpenSolver Tester.xlsm]'NonLin3'!A1", "NonLin3")</f>
        <v>NonLin3</v>
      </c>
    </row>
    <row r="70" spans="1:8" x14ac:dyDescent="0.25">
      <c r="A70" s="155" t="str">
        <f>HYPERLINK("[OpenSolver Tester.xlsm]'NonLin4'!A1", "NonLin4")</f>
        <v>NonLin4</v>
      </c>
    </row>
    <row r="71" spans="1:8" x14ac:dyDescent="0.25">
      <c r="A71" s="155" t="str">
        <f>HYPERLINK("[OpenSolver Tester.xlsm]'NonLin5'!A1", "NonLin5")</f>
        <v>NonLin5</v>
      </c>
    </row>
    <row r="72" spans="1:8" x14ac:dyDescent="0.25">
      <c r="A72" s="155" t="str">
        <f>HYPERLINK("[OpenSolver Tester.xlsm]'NonLin6'!A1", "NonLin6")</f>
        <v>NonLin6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N6" sqref="N6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8" customWidth="1"/>
    <col min="5" max="5" width="13" style="178" customWidth="1"/>
    <col min="6" max="6" width="5.140625" style="178" customWidth="1"/>
    <col min="7" max="7" width="3.140625" style="178" customWidth="1"/>
    <col min="8" max="8" width="8.42578125" style="178" customWidth="1"/>
    <col min="9" max="9" width="3" style="178" bestFit="1" customWidth="1"/>
    <col min="10" max="10" width="6" style="178" customWidth="1"/>
    <col min="14" max="14" width="7.71093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1</v>
      </c>
    </row>
    <row r="6" spans="1:10" ht="15.75" thickBot="1" x14ac:dyDescent="0.3">
      <c r="A6" s="63" t="b">
        <f>AND(D17,E17,F17,D21)</f>
        <v>0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0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3</v>
      </c>
      <c r="E10" s="176">
        <f>SUMIF(E5:E7,"=1",D5:D7)</f>
        <v>5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0</v>
      </c>
      <c r="E17" s="8" t="b">
        <f>ABS(E6-E16)/(1+ABS(E16))&lt;=0.000001</f>
        <v>1</v>
      </c>
      <c r="F17" s="8" t="b">
        <f>ABS(E7-F16)/(1+ABS(F16))&lt;=0.000001</f>
        <v>0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37" sqref="K3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M18" sqref="M1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O20" sqref="O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5">
        <v>5.2941175999999999</v>
      </c>
      <c r="F5" s="185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85">
        <v>5.2941176470588225</v>
      </c>
      <c r="F5" s="185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5">
        <v>2</v>
      </c>
      <c r="D5" s="185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85">
        <v>150</v>
      </c>
      <c r="K10" s="185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5">
        <f>SUMPRODUCT($D$5:$F$5,D10:F10)</f>
        <v>116.47058823529413</v>
      </c>
      <c r="H10" s="185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6">
        <v>5</v>
      </c>
      <c r="H10" s="186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6"/>
      <c r="H11" s="186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8.3970691012126615</v>
      </c>
      <c r="Q4" s="145">
        <v>0</v>
      </c>
      <c r="R4" s="10">
        <v>10.999998579972202</v>
      </c>
      <c r="S4" s="9">
        <f>SUM(Q4:R4)</f>
        <v>10.999998579972202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0.29565217356554974</v>
      </c>
      <c r="J5"/>
      <c r="K5"/>
      <c r="M5" t="s">
        <v>20</v>
      </c>
      <c r="N5">
        <v>0</v>
      </c>
      <c r="Q5" s="4">
        <v>43.999999569969518</v>
      </c>
      <c r="R5" s="5">
        <v>22.000001090028391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43.999999569969518</v>
      </c>
      <c r="R6" s="10">
        <f>SUM(R4:R5)</f>
        <v>32.999999670000591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14.547826082786596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115.20000000799236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-9.4608695540975916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9.6943122802255677E+293</v>
      </c>
      <c r="Q4" s="145">
        <v>1.6157187133709278E+294</v>
      </c>
      <c r="R4" s="10">
        <v>1.6157187133709278E+294</v>
      </c>
      <c r="S4" s="9">
        <f>SUM(Q4:R4)</f>
        <v>3.2314374267418556E+294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1.0000000000000899</v>
      </c>
      <c r="F5" s="1">
        <v>1.0000000000000719</v>
      </c>
      <c r="G5" s="1">
        <v>1.6157187133709278E+294</v>
      </c>
      <c r="J5"/>
      <c r="K5"/>
      <c r="M5" t="s">
        <v>20</v>
      </c>
      <c r="N5">
        <v>1.6157187133709278E+294</v>
      </c>
      <c r="Q5" s="4">
        <v>1.6157187133709278E+294</v>
      </c>
      <c r="R5" s="5">
        <v>1.6157187133709278E+294</v>
      </c>
      <c r="S5" s="4">
        <f>SUM(Q5:R5)</f>
        <v>3.2314374267418556E+294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3.2314374267418556E+294</v>
      </c>
      <c r="R6" s="10">
        <f>SUM(R4:R5)</f>
        <v>3.2314374267418556E+294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8.7442696767634612E+295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1.9388624560451134E+295</v>
      </c>
      <c r="J9" s="1" t="s">
        <v>8</v>
      </c>
      <c r="K9" s="1">
        <f>61.2345678+2.3*N4-S5</f>
        <v>-1.0017456022899752E+294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3.7161530407531339E+295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-3.7161530407531339E+295</v>
      </c>
      <c r="Q11" t="s">
        <v>22</v>
      </c>
    </row>
    <row r="12" spans="1:21" x14ac:dyDescent="0.25">
      <c r="G12" s="1">
        <v>-32</v>
      </c>
      <c r="I12" s="16">
        <f>SUMPRODUCT($D$5:$G$5,D12:G12)</f>
        <v>-5.170299882786969E+295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9.6462802938638397E+18</v>
      </c>
      <c r="E4" s="167">
        <v>-9.4049453590526239E+18</v>
      </c>
      <c r="F4" s="167">
        <v>-4.2652755195117594E+18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-2.5983377567477228E+19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-5.817490224508158E+19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-1.0243824867678759E+20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9.3764425220753359E+19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16384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-9.9666834785239189E-9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49.999999847020007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6.8545359809223028</v>
      </c>
      <c r="Q3" s="9">
        <v>3.0422880111134106E-9</v>
      </c>
      <c r="R3" s="10">
        <v>10.999998568394588</v>
      </c>
      <c r="S3" s="9">
        <f>SUM(Q3:R3)</f>
        <v>10.999998571436876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-1.2504230539889249E-8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43.999999557279253</v>
      </c>
      <c r="R4" s="5">
        <v>22.000001101852366</v>
      </c>
      <c r="S4" s="4">
        <f>SUM(Q4:R4)</f>
        <v>66.000000659131615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43.999999560321541</v>
      </c>
      <c r="R5" s="10">
        <f>SUM(R3:R4)</f>
        <v>32.99999967024695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712.5356639999851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10.999999874957695</v>
      </c>
      <c r="J8" s="1" t="s">
        <v>8</v>
      </c>
      <c r="K8" s="1">
        <f>61.2345678+2.3*N3-S4</f>
        <v>10.999999896989678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21.999999737411159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6" sqref="A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1.9999999999996527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3.9999999999993054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19.999999999996525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41.99999999999271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41.99999999999271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37.999999999993399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0.166344261963907</v>
      </c>
      <c r="E5" s="58">
        <v>5.2243727263413797</v>
      </c>
      <c r="F5" s="134">
        <v>2.4662927278786384E-2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59.427497736739681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118.99667680816448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117.8621821533403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>
        <v>-9.859618899099587E-9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50.000000000000007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350.0000000000004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-499.99999999014159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-9.859618899099587E-9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49.999999847020007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topLeftCell="A1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0</v>
      </c>
      <c r="E2">
        <v>350</v>
      </c>
      <c r="F2" s="80">
        <v>0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350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0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0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1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-9.9666834785239189E-9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sqref="A1:B1048576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9645964912301.0938</v>
      </c>
      <c r="E13" s="30">
        <v>-7198771929833.7637</v>
      </c>
      <c r="F13" s="30">
        <v>-1921403508775.2239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-9989999999999.9961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-5783684210463.1563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150.0078125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88384561403810.313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179.9765625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rmstart"/>
  <dimension ref="A1:UH25"/>
  <sheetViews>
    <sheetView topLeftCell="A4" zoomScale="14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9.42578125" style="83" customWidth="1"/>
    <col min="4" max="4" width="2.28515625" style="83" customWidth="1"/>
    <col min="5" max="550" width="2.140625" style="83" customWidth="1"/>
    <col min="551" max="551" width="2.140625" style="83" bestFit="1" customWidth="1"/>
    <col min="552" max="552" width="4.28515625" style="83" bestFit="1" customWidth="1"/>
    <col min="553" max="553" width="3.28515625" style="83" bestFit="1" customWidth="1"/>
    <col min="554" max="554" width="6.42578125" style="83" bestFit="1" customWidth="1"/>
    <col min="555" max="16384" width="8.85546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0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0</v>
      </c>
      <c r="CH1" s="180">
        <v>0</v>
      </c>
      <c r="CI1" s="180">
        <v>1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1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1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1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0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0</v>
      </c>
      <c r="IZ1" s="180">
        <v>0</v>
      </c>
      <c r="JA1" s="180">
        <v>1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1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1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0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0</v>
      </c>
      <c r="PR1" s="180">
        <v>0</v>
      </c>
      <c r="PS1" s="180">
        <v>1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1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1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0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99.76568219962067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P15" sqref="P15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100.00000000000001</v>
      </c>
      <c r="E14" s="160">
        <v>99.999999999999957</v>
      </c>
      <c r="F14" s="160">
        <v>0</v>
      </c>
      <c r="G14" s="160">
        <v>0</v>
      </c>
      <c r="H14" s="160">
        <v>0</v>
      </c>
      <c r="I14">
        <f>SUM(D14:H14)</f>
        <v>199.99999999999997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200.00000000000006</v>
      </c>
      <c r="F16" s="160">
        <v>0</v>
      </c>
      <c r="G16" s="160">
        <v>0</v>
      </c>
      <c r="H16" s="160">
        <v>149.99999999999997</v>
      </c>
      <c r="I16">
        <f>SUM(D16:H16)</f>
        <v>350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100.00000000000001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149.99999999999997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13249.999999999998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-4.7322420733340912E-7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27.421607784623983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198.94736814129598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198.94736814129598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198.94736814129598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198.94736814129598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198.94736814129598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198.94736814129598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198.94736814129598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198.94736814129598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198.94736814129598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198.94736814129598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198.94736814129598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198.94736814129598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198.94736814129598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198.94736814129598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198.94736814129598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198.94736814129598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198.94736814129598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198.94736814129598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198.94736814129598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198.94736814129598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198.94736814129598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198.94736814129598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198.94736814129598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198.94736814129598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198.94736814129598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198.94736814129598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198.94736814129598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198.94736814129598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198.94736814129598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198.94736814129598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198.94736814129598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198.94736814129598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198.94736814129598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198.94736814129598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198.94736814129598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198.94736814129598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198.94736814129598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198.94736814129598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198.94736814129598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198.94736814129598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198.94736814129598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198.94736814129598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198.94736814129598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198.94736814129598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198.94736814129598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198.94736814129598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198.94736814129598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198.94736814129598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198.94736814129598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198.94736814129598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198.94736814129598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198.94736814129598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198.94736814129598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198.94736814129598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198.94736814129598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198.94736814129598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198.94736814129598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198.94736814129598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198.94736814129598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198.94736814129598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198.94736814129598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198.94736814129598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198.94736814129598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198.94736814129598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179.99999974688686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-1264.6303272564619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198.94736814129598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198.94736814129598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198.94736814129598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198.94736814129598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198.94736814129598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198.94736814129598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198.94736814129598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198.94736814129598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198.94736814129598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198.94736814129598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198.94736814129598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198.94736814129598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198.94736814129598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198.94736814129598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198.94736814129598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198.94736814129598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198.94736814129598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198.94736814129598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198.94736814129598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198.94736814129598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198.94736814129598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198.94736814129598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198.94736814129598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198.94736814129598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198.94736814129598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198.94736814129598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198.94736814129598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198.94736814129598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198.94736814129598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198.94736814129598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198.94736814129598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198.94736814129598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198.94736814129598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198.94736814129598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198.94736814129598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198.94736814129598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198.94736814129598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198.94736814129598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198.94736814129598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198.94736814129598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198.94736814129598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198.94736814129598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198.94736814129598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198.94736814129598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198.94736814129598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198.94736814129598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198.94736814129598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198.94736814129598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198.94736814129598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198.94736814129598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198.94736814129598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198.94736814129598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198.94736814129598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198.94736814129598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198.94736814129598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198.94736814129598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198.94736814129598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198.94736814129598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198.94736814129598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198.94736814129598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198.94736814129598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198.94736814129598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198.94736814129598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198.94736814129598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179.99999974688686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29.749907324666335</v>
      </c>
      <c r="E5">
        <v>0.67227126526215586</v>
      </c>
    </row>
    <row r="6" spans="1:15" ht="15.75" thickBot="1" x14ac:dyDescent="0.3">
      <c r="A6" s="63" t="b">
        <f>AND(F22)</f>
        <v>1</v>
      </c>
      <c r="F6">
        <f>D5^2*E5^2</f>
        <v>400.00031354347408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20.000007838585315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30.422178589928492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29.749907324666335</v>
      </c>
      <c r="G10" t="s">
        <v>9</v>
      </c>
      <c r="H10">
        <v>0</v>
      </c>
    </row>
    <row r="11" spans="1:15" x14ac:dyDescent="0.25">
      <c r="F11">
        <f>E5</f>
        <v>0.67227126526215586</v>
      </c>
      <c r="H11">
        <v>0</v>
      </c>
    </row>
    <row r="12" spans="1:15" x14ac:dyDescent="0.25">
      <c r="F12">
        <f>E5*D5+E5+D5</f>
        <v>50.422186428513811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50.422186428513811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50.422186428513811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-10.422170751343177</v>
      </c>
      <c r="G15" t="s">
        <v>8</v>
      </c>
      <c r="H15">
        <v>0</v>
      </c>
      <c r="O15" s="81"/>
    </row>
    <row r="16" spans="1:15" x14ac:dyDescent="0.25">
      <c r="F16">
        <f>E5-D5*E5+D5</f>
        <v>10.422170751343177</v>
      </c>
      <c r="G16" t="s">
        <v>8</v>
      </c>
      <c r="H16">
        <v>60</v>
      </c>
      <c r="O16" s="81"/>
    </row>
    <row r="17" spans="6:15" x14ac:dyDescent="0.25">
      <c r="F17">
        <f>E5-D5+E5*D5</f>
        <v>-9.0776282208188626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3.1325458964147401</v>
      </c>
      <c r="E5">
        <v>3.1325458964402699</v>
      </c>
      <c r="F5">
        <v>3.1325458964147401</v>
      </c>
      <c r="G5">
        <v>3.1325458967930602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-5.8089919970161539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-44.311742347235082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-31.781558761172271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N12" sqref="N12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1.00000000002003</v>
      </c>
      <c r="D4" s="80">
        <v>1.0000000000401099</v>
      </c>
      <c r="F4">
        <f>100*(D4-C4^2)^2+(1-C4)^2</f>
        <v>4.0144960624077123E-22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1.00000000002003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0.94240514101539263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0.41277404755001423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135.09259044966896</v>
      </c>
      <c r="E11" s="108"/>
    </row>
    <row r="12" spans="1:5" x14ac:dyDescent="0.25">
      <c r="C12" s="106" t="s">
        <v>266</v>
      </c>
      <c r="D12" s="107">
        <f>D11/D4</f>
        <v>27.018518089933792</v>
      </c>
      <c r="E12" s="108"/>
    </row>
    <row r="13" spans="1:5" x14ac:dyDescent="0.25">
      <c r="C13" s="106" t="s">
        <v>267</v>
      </c>
      <c r="D13" s="109">
        <f>D8*D11/2</f>
        <v>0.37011668616347659</v>
      </c>
      <c r="E13" s="108"/>
    </row>
    <row r="14" spans="1:5" x14ac:dyDescent="0.25">
      <c r="C14" s="106" t="s">
        <v>268</v>
      </c>
      <c r="D14" s="110">
        <f>D5/D12</f>
        <v>0.37011652403414641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0.740233210197623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abSelected="1" workbookViewId="0">
      <selection activeCell="L10" sqref="L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7" t="s">
        <v>285</v>
      </c>
      <c r="D1" s="187"/>
      <c r="E1" s="187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2.3569225797626907</v>
      </c>
      <c r="I4" s="125">
        <f>SIN(RADIANS(D7))*D2</f>
        <v>1.8560484780858455</v>
      </c>
    </row>
    <row r="5" spans="1:9" x14ac:dyDescent="0.25">
      <c r="A5" s="62" t="s">
        <v>209</v>
      </c>
      <c r="H5" s="125">
        <f>H4+COS(RADIANS(D8))*D3</f>
        <v>6.9995995546345409</v>
      </c>
      <c r="I5" s="125">
        <f>I4+SIN(RADIANS(D8))*D3</f>
        <v>-1.7093432066284109E-4</v>
      </c>
    </row>
    <row r="6" spans="1:9" ht="15.75" thickBot="1" x14ac:dyDescent="0.3">
      <c r="A6" s="63" t="b">
        <f>AND(F16)</f>
        <v>1</v>
      </c>
      <c r="C6" s="187" t="s">
        <v>224</v>
      </c>
      <c r="D6" s="187"/>
      <c r="E6" s="187"/>
    </row>
    <row r="7" spans="1:9" x14ac:dyDescent="0.25">
      <c r="A7" s="62" t="s">
        <v>210</v>
      </c>
      <c r="C7" s="127" t="s">
        <v>290</v>
      </c>
      <c r="D7" s="168">
        <v>38.220011125093777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-21.792351204592141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7" t="s">
        <v>293</v>
      </c>
      <c r="D10" s="187"/>
      <c r="E10" s="187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6.9995995546345409</v>
      </c>
      <c r="D12" s="130">
        <f>D4</f>
        <v>7</v>
      </c>
      <c r="E12" s="130">
        <f>D12-C12</f>
        <v>4.0044536545913445E-4</v>
      </c>
      <c r="F12" s="130">
        <f>E12^2</f>
        <v>1.6035649071769974E-7</v>
      </c>
    </row>
    <row r="13" spans="1:9" x14ac:dyDescent="0.25">
      <c r="C13" s="130">
        <f>D2*SIN(RADIANS(D7))+D3*SIN(RADIANS(D8))</f>
        <v>-1.7093432066284109E-4</v>
      </c>
      <c r="D13" s="130">
        <v>0</v>
      </c>
      <c r="E13" s="130">
        <f>C13-D13</f>
        <v>-1.7093432066284109E-4</v>
      </c>
      <c r="F13" s="130">
        <f>E13^2</f>
        <v>2.9218541980466982E-8</v>
      </c>
    </row>
    <row r="15" spans="1:9" x14ac:dyDescent="0.25">
      <c r="C15" s="187" t="s">
        <v>298</v>
      </c>
      <c r="D15" s="187"/>
      <c r="E15" s="187"/>
      <c r="F15" s="131">
        <f>SUM(F12:F13)</f>
        <v>1.8957503269816671E-7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D39" sqref="D39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8" t="s">
        <v>157</v>
      </c>
      <c r="C33" s="189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123</vt:i4>
      </vt:variant>
    </vt:vector>
  </HeadingPairs>
  <TitlesOfParts>
    <vt:vector size="199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Sheet19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2016-07-21T13:15:43Z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