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Test46_NonLinBinary" sheetId="95" r:id="rId73"/>
    <sheet name="HighlightingExample" sheetId="5" r:id="rId74"/>
    <sheet name="TestNewAutomodel" sheetId="40" r:id="rId75"/>
  </sheets>
  <functionGroups builtInGroupCount="18"/>
  <externalReferences>
    <externalReference r:id="rId76"/>
  </externalReferences>
  <definedNames>
    <definedName name="anscount" hidden="1">1</definedName>
    <definedName name="asdsad">#REF!</definedName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localSheetId="72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 localSheetId="72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Gurobi</definedName>
    <definedName name="OpenSolver_ChosenSolver" localSheetId="2" hidden="1">Gurobi</definedName>
    <definedName name="OpenSolver_ChosenSolver" localSheetId="27" hidden="1">Gurobi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Gurobi</definedName>
    <definedName name="OpenSolver_ChosenSolver" localSheetId="33" hidden="1">Gurobi</definedName>
    <definedName name="OpenSolver_ChosenSolver" localSheetId="34" hidden="1">Gurobi</definedName>
    <definedName name="OpenSolver_ChosenSolver" localSheetId="35" hidden="1">Gurobi</definedName>
    <definedName name="OpenSolver_ChosenSolver" localSheetId="36" hidden="1">Gurobi</definedName>
    <definedName name="OpenSolver_ChosenSolver" localSheetId="37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40" hidden="1">Gurobi</definedName>
    <definedName name="OpenSolver_ChosenSolver" localSheetId="41" hidden="1">Gurobi</definedName>
    <definedName name="OpenSolver_ChosenSolver" localSheetId="3" hidden="1">Gurobi</definedName>
    <definedName name="OpenSolver_ChosenSolver" localSheetId="4" hidden="1">Gurobi</definedName>
    <definedName name="OpenSolver_ChosenSolver" localSheetId="5" hidden="1">Gurobi</definedName>
    <definedName name="OpenSolver_ChosenSolver" localSheetId="6" hidden="1">Gurobi</definedName>
    <definedName name="OpenSolver_ChosenSolver" localSheetId="7" hidden="1">Gurobi</definedName>
    <definedName name="OpenSolver_ChosenSolver" localSheetId="8" hidden="1">Gurobi</definedName>
    <definedName name="OpenSolver_ChosenSolver" localSheetId="9" hidden="1">Gurobi</definedName>
    <definedName name="OpenSolver_ChosenSolver" localSheetId="10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3" hidden="1">Gurobi</definedName>
    <definedName name="OpenSolver_ChosenSolver" localSheetId="14" hidden="1">Gurobi</definedName>
    <definedName name="OpenSolver_ChosenSolver" localSheetId="15" hidden="1">Gurobi</definedName>
    <definedName name="OpenSolver_ChosenSolver" localSheetId="16" hidden="1">Gurobi</definedName>
    <definedName name="OpenSolver_ChosenSolver" localSheetId="17" hidden="1">Gurobi</definedName>
    <definedName name="OpenSolver_ChosenSolver" localSheetId="42" hidden="1">Gurobi</definedName>
    <definedName name="OpenSolver_ChosenSolver" localSheetId="43" hidden="1">Gurobi</definedName>
    <definedName name="OpenSolver_ChosenSolver" localSheetId="44" hidden="1">Gurobi</definedName>
    <definedName name="OpenSolver_ChosenSolver" localSheetId="45" hidden="1">Gurobi</definedName>
    <definedName name="OpenSolver_ChosenSolver" localSheetId="46" hidden="1">Gurobi</definedName>
    <definedName name="OpenSolver_ChosenSolver" localSheetId="47" hidden="1">Gurobi</definedName>
    <definedName name="OpenSolver_ChosenSolver" localSheetId="48" hidden="1">Gurobi</definedName>
    <definedName name="OpenSolver_ChosenSolver" localSheetId="49" hidden="1">Gurobi</definedName>
    <definedName name="OpenSolver_ChosenSolver" localSheetId="50" hidden="1">Gurobi</definedName>
    <definedName name="OpenSolver_ChosenSolver" localSheetId="51" hidden="1">Gurobi</definedName>
    <definedName name="OpenSolver_ChosenSolver" localSheetId="18" hidden="1">Gurobi</definedName>
    <definedName name="OpenSolver_ChosenSolver" localSheetId="52" hidden="1">Gurobi</definedName>
    <definedName name="OpenSolver_ChosenSolver" localSheetId="54" hidden="1">Gurobi</definedName>
    <definedName name="OpenSolver_ChosenSolver" localSheetId="53" hidden="1">CBC</definedName>
    <definedName name="OpenSolver_ChosenSolver" localSheetId="55" hidden="1">Gurobi</definedName>
    <definedName name="OpenSolver_ChosenSolver" localSheetId="56" hidden="1">Gurobi</definedName>
    <definedName name="OpenSolver_ChosenSolver" localSheetId="57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60" hidden="1">Gurobi</definedName>
    <definedName name="OpenSolver_ChosenSolver" localSheetId="61" hidden="1">Gurobi</definedName>
    <definedName name="OpenSolver_ChosenSolver" localSheetId="62" hidden="1">CBC</definedName>
    <definedName name="OpenSolver_ChosenSolver" localSheetId="64" hidden="1">Gurobi</definedName>
    <definedName name="OpenSolver_ChosenSolver" localSheetId="19" hidden="1">Gurobi</definedName>
    <definedName name="OpenSolver_ChosenSolver" localSheetId="65" hidden="1">Gurobi</definedName>
    <definedName name="OpenSolver_ChosenSolver" localSheetId="66" hidden="1">Gurobi</definedName>
    <definedName name="OpenSolver_ChosenSolver" localSheetId="67" hidden="1">Gurobi</definedName>
    <definedName name="OpenSolver_ChosenSolver" localSheetId="68" hidden="1">Gurobi</definedName>
    <definedName name="OpenSolver_ChosenSolver" localSheetId="70" hidden="1">Gurobi</definedName>
    <definedName name="OpenSolver_ChosenSolver" localSheetId="71" hidden="1">Gurobi</definedName>
    <definedName name="OpenSolver_ChosenSolver" localSheetId="72" hidden="1">Gurobi</definedName>
    <definedName name="OpenSolver_ChosenSolver" localSheetId="20" hidden="1">Gurobi</definedName>
    <definedName name="OpenSolver_ChosenSolver" localSheetId="22" hidden="1">Gurobi</definedName>
    <definedName name="OpenSolver_ChosenSolver" localSheetId="23" hidden="1">Gurobi</definedName>
    <definedName name="OpenSolver_ChosenSolver" localSheetId="24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74" hidden="1">Gurobi</definedName>
    <definedName name="OpenSolver_ConstraintList">#REF!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72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4" hidden="1">FALSE</definedName>
    <definedName name="OpenSolver_ModelParameters" localSheetId="73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72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2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3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72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>#REF!</definedName>
    <definedName name="sencount" hidden="1">1</definedName>
    <definedName name="Sheet1OpenSolverModelParameters" localSheetId="73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72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localSheetId="72" hidden="1">CBC (default)</definedName>
    <definedName name="Solver" hidden="1">CBC (default)</definedName>
    <definedName name="solver_adj" localSheetId="73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Test39_SensNames!$D$14:$H$16,Test39_SensNames!$K$7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72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4" hidden="1">TestNewAutomodel!$B$28:$D$28,TestNewAutomodel!$C$3:$C$5</definedName>
    <definedName name="solver_cvg" localSheetId="73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72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4" hidden="1">0.0001</definedName>
    <definedName name="solver_drv" localSheetId="73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72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4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4" hidden="1">2</definedName>
    <definedName name="solver_est" localSheetId="73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72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4" hidden="1">1</definedName>
    <definedName name="solver_itr" localSheetId="73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</definedName>
    <definedName name="solver_itr" localSheetId="59" hidden="1">100</definedName>
    <definedName name="solver_itr" localSheetId="60" hidden="1">1000</definedName>
    <definedName name="solver_itr" localSheetId="61" hidden="1">100000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72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4" hidden="1">100</definedName>
    <definedName name="solver_lhs1" localSheetId="73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72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4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3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72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4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3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4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3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4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3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4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3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4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3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4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3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3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3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72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4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3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4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3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72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4" hidden="1">7</definedName>
    <definedName name="solver_nwt" localSheetId="73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72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4" hidden="1">1</definedName>
    <definedName name="solver_opt" localSheetId="73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72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4" hidden="1">TestNewAutomodel!$C$9</definedName>
    <definedName name="solver_pre" localSheetId="73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72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4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3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72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4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3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72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4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3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4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3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4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3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4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3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4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3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4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3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3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3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72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4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3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72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4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3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4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3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4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3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4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3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4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3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4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3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3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3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72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4" hidden="1">2</definedName>
    <definedName name="solver_sho" localSheetId="73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1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1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1</definedName>
    <definedName name="solver_sho" localSheetId="66" hidden="1">1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72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4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3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100000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2000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72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4" hidden="1">100</definedName>
    <definedName name="solver_tol" localSheetId="73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0.01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0.0000001</definedName>
    <definedName name="solver_tol" localSheetId="59" hidden="1">0.05</definedName>
    <definedName name="solver_tol" localSheetId="60" hidden="1">0.05</definedName>
    <definedName name="solver_tol" localSheetId="61" hidden="1">0.0001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0.0001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4" hidden="1">0.05</definedName>
    <definedName name="solver_typ" localSheetId="73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72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4" hidden="1">2</definedName>
    <definedName name="solver_val" localSheetId="73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72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4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C6" i="95" l="1"/>
  <c r="A69" i="60"/>
  <c r="H6" i="94"/>
  <c r="A68" i="60"/>
  <c r="G4" i="92"/>
  <c r="A67" i="60"/>
  <c r="G4" i="90"/>
  <c r="A66" i="60"/>
  <c r="A65" i="60"/>
  <c r="A64" i="60"/>
  <c r="A63" i="60"/>
  <c r="D20" i="77"/>
  <c r="A62" i="60"/>
  <c r="S13" i="75"/>
  <c r="A61" i="60"/>
  <c r="I6" i="71"/>
  <c r="A60" i="60"/>
  <c r="G6" i="70"/>
  <c r="A59" i="60"/>
  <c r="F6" i="69"/>
  <c r="A58" i="60"/>
  <c r="F4" i="68"/>
  <c r="A57" i="60"/>
  <c r="H6" i="67"/>
  <c r="A56" i="60"/>
  <c r="I6" i="66"/>
  <c r="A55" i="60"/>
  <c r="G6" i="65"/>
  <c r="A54" i="60"/>
  <c r="K6" i="63"/>
  <c r="A53" i="60"/>
  <c r="H6" i="62"/>
  <c r="A52" i="60"/>
  <c r="H15" i="2"/>
  <c r="A51" i="60"/>
  <c r="H6" i="4"/>
  <c r="A50" i="60"/>
  <c r="A49" i="60"/>
  <c r="H9" i="58"/>
  <c r="A48" i="60"/>
  <c r="H7" i="57"/>
  <c r="A47" i="60"/>
  <c r="H9" i="54"/>
  <c r="A46" i="60"/>
  <c r="H9" i="53"/>
  <c r="A45" i="60"/>
  <c r="H9" i="52"/>
  <c r="A44" i="60"/>
  <c r="H9" i="51"/>
  <c r="A43" i="60"/>
  <c r="H9" i="50"/>
  <c r="A42" i="60"/>
  <c r="H8" i="49"/>
  <c r="A41" i="60"/>
  <c r="H10" i="48"/>
  <c r="A40" i="60"/>
  <c r="H10" i="47"/>
  <c r="A39" i="60"/>
  <c r="H10" i="46"/>
  <c r="A38" i="60"/>
  <c r="H9" i="45"/>
  <c r="A37" i="60"/>
  <c r="H9" i="44"/>
  <c r="A36" i="60"/>
  <c r="H8" i="43"/>
  <c r="A35" i="60"/>
  <c r="H8" i="42"/>
  <c r="A34" i="60"/>
  <c r="H8" i="23"/>
  <c r="A33" i="60"/>
  <c r="H5" i="38"/>
  <c r="A32" i="60"/>
  <c r="H5" i="20"/>
  <c r="A31" i="60"/>
  <c r="H5" i="19"/>
  <c r="A30" i="60"/>
  <c r="I39" i="3"/>
  <c r="A29" i="60"/>
  <c r="A28" i="60"/>
  <c r="J6" i="41"/>
  <c r="A27" i="60"/>
  <c r="J6" i="14"/>
  <c r="A26" i="60"/>
  <c r="A25" i="60"/>
  <c r="H7" i="12"/>
  <c r="A24" i="60"/>
  <c r="H7" i="11"/>
  <c r="A23" i="60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H6" i="18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6" i="76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C4" i="76"/>
  <c r="D4" i="76" s="1"/>
  <c r="E4" i="76" s="1"/>
  <c r="F4" i="76" s="1"/>
  <c r="G4" i="76" s="1"/>
  <c r="H4" i="76" s="1"/>
  <c r="I4" i="76" s="1"/>
  <c r="J4" i="76" s="1"/>
  <c r="K4" i="76" s="1"/>
  <c r="L4" i="76" s="1"/>
  <c r="M4" i="76" s="1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2" i="67"/>
  <c r="H11" i="67"/>
  <c r="D11" i="67"/>
  <c r="H10" i="67"/>
  <c r="A10" i="67"/>
  <c r="H9" i="67"/>
  <c r="A9" i="67"/>
  <c r="H8" i="67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K11" i="63"/>
  <c r="C11" i="63"/>
  <c r="K10" i="63"/>
  <c r="A10" i="63"/>
  <c r="K9" i="63"/>
  <c r="A9" i="63"/>
  <c r="K8" i="63"/>
  <c r="K16" i="63"/>
  <c r="A6" i="63" s="1"/>
  <c r="H16" i="62"/>
  <c r="G16" i="62"/>
  <c r="F16" i="62"/>
  <c r="E16" i="62"/>
  <c r="H11" i="62"/>
  <c r="D11" i="62"/>
  <c r="H10" i="62"/>
  <c r="A10" i="62"/>
  <c r="H9" i="62"/>
  <c r="A9" i="62"/>
  <c r="H8" i="62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H14" i="58"/>
  <c r="H13" i="58"/>
  <c r="H12" i="58"/>
  <c r="H11" i="58"/>
  <c r="A10" i="58"/>
  <c r="A9" i="58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/>
  <c r="D16" i="85"/>
  <c r="D17" i="85" s="1"/>
  <c r="A6" i="85" s="1"/>
  <c r="E12" i="88"/>
  <c r="F12" i="88" s="1"/>
  <c r="F15" i="88" s="1"/>
  <c r="E39" i="3"/>
  <c r="J43" i="3" s="1"/>
  <c r="O43" i="3" s="1"/>
  <c r="H20" i="4"/>
  <c r="A6" i="70"/>
  <c r="B6" i="76"/>
  <c r="A6" i="90"/>
  <c r="H16" i="4"/>
  <c r="A6" i="62"/>
  <c r="G7" i="76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N4" i="76"/>
  <c r="O4" i="76" s="1"/>
  <c r="P4" i="76" s="1"/>
  <c r="Q4" i="76" s="1"/>
  <c r="Q8" i="76" s="1"/>
  <c r="M5" i="76"/>
  <c r="A6" i="20"/>
  <c r="A6" i="45"/>
  <c r="I5" i="76"/>
  <c r="J6" i="76"/>
  <c r="K8" i="76"/>
  <c r="A6" i="48"/>
  <c r="A6" i="50"/>
  <c r="C7" i="76"/>
  <c r="A6" i="31"/>
  <c r="A6" i="6"/>
  <c r="F15" i="7"/>
  <c r="A6" i="44"/>
  <c r="M45" i="76"/>
  <c r="I45" i="76"/>
  <c r="E45" i="76"/>
  <c r="L44" i="76"/>
  <c r="H44" i="76"/>
  <c r="D44" i="76"/>
  <c r="K43" i="76"/>
  <c r="G43" i="76"/>
  <c r="C43" i="76"/>
  <c r="J42" i="76"/>
  <c r="F42" i="76"/>
  <c r="B42" i="76"/>
  <c r="M41" i="76"/>
  <c r="I41" i="76"/>
  <c r="E41" i="76"/>
  <c r="L40" i="76"/>
  <c r="H40" i="76"/>
  <c r="D40" i="76"/>
  <c r="H45" i="76"/>
  <c r="C45" i="76"/>
  <c r="I44" i="76"/>
  <c r="C44" i="76"/>
  <c r="N43" i="76"/>
  <c r="I43" i="76"/>
  <c r="D43" i="76"/>
  <c r="I42" i="76"/>
  <c r="D42" i="76"/>
  <c r="J41" i="76"/>
  <c r="D41" i="76"/>
  <c r="J40" i="76"/>
  <c r="E40" i="76"/>
  <c r="M39" i="76"/>
  <c r="I39" i="76"/>
  <c r="E39" i="76"/>
  <c r="L45" i="76"/>
  <c r="G45" i="76"/>
  <c r="B45" i="76"/>
  <c r="M44" i="76"/>
  <c r="G44" i="76"/>
  <c r="B44" i="76"/>
  <c r="M43" i="76"/>
  <c r="H43" i="76"/>
  <c r="B43" i="76"/>
  <c r="M42" i="76"/>
  <c r="H42" i="76"/>
  <c r="C42" i="76"/>
  <c r="H41" i="76"/>
  <c r="C41" i="76"/>
  <c r="I40" i="76"/>
  <c r="C40" i="76"/>
  <c r="L39" i="76"/>
  <c r="H39" i="76"/>
  <c r="D39" i="76"/>
  <c r="K38" i="76"/>
  <c r="G38" i="76"/>
  <c r="C38" i="76"/>
  <c r="J37" i="76"/>
  <c r="F37" i="76"/>
  <c r="B37" i="76"/>
  <c r="K45" i="76"/>
  <c r="K44" i="76"/>
  <c r="L43" i="76"/>
  <c r="L42" i="76"/>
  <c r="L41" i="76"/>
  <c r="B41" i="76"/>
  <c r="M40" i="76"/>
  <c r="B40" i="76"/>
  <c r="G39" i="76"/>
  <c r="Q38" i="76"/>
  <c r="L38" i="76"/>
  <c r="F38" i="76"/>
  <c r="L37" i="76"/>
  <c r="G37" i="76"/>
  <c r="K36" i="76"/>
  <c r="G36" i="76"/>
  <c r="C36" i="76"/>
  <c r="J35" i="76"/>
  <c r="F35" i="76"/>
  <c r="B35" i="76"/>
  <c r="M34" i="76"/>
  <c r="I34" i="76"/>
  <c r="E34" i="76"/>
  <c r="L33" i="76"/>
  <c r="H33" i="76"/>
  <c r="D33" i="76"/>
  <c r="K32" i="76"/>
  <c r="G32" i="76"/>
  <c r="C32" i="76"/>
  <c r="J31" i="76"/>
  <c r="F31" i="76"/>
  <c r="B31" i="76"/>
  <c r="M30" i="76"/>
  <c r="I30" i="76"/>
  <c r="E30" i="76"/>
  <c r="L29" i="76"/>
  <c r="H29" i="76"/>
  <c r="D29" i="76"/>
  <c r="K28" i="76"/>
  <c r="G28" i="76"/>
  <c r="C28" i="76"/>
  <c r="J27" i="76"/>
  <c r="F27" i="76"/>
  <c r="B27" i="76"/>
  <c r="J45" i="76"/>
  <c r="J44" i="76"/>
  <c r="J43" i="76"/>
  <c r="K42" i="76"/>
  <c r="K41" i="76"/>
  <c r="K40" i="76"/>
  <c r="F39" i="76"/>
  <c r="J38" i="76"/>
  <c r="E38" i="76"/>
  <c r="K37" i="76"/>
  <c r="E37" i="76"/>
  <c r="J36" i="76"/>
  <c r="F36" i="76"/>
  <c r="B36" i="76"/>
  <c r="M35" i="76"/>
  <c r="I35" i="76"/>
  <c r="E35" i="76"/>
  <c r="L34" i="76"/>
  <c r="H34" i="76"/>
  <c r="D34" i="76"/>
  <c r="K33" i="76"/>
  <c r="G33" i="76"/>
  <c r="C33" i="76"/>
  <c r="J32" i="76"/>
  <c r="F32" i="76"/>
  <c r="B32" i="76"/>
  <c r="M31" i="76"/>
  <c r="I31" i="76"/>
  <c r="E31" i="76"/>
  <c r="L30" i="76"/>
  <c r="H30" i="76"/>
  <c r="D30" i="76"/>
  <c r="K29" i="76"/>
  <c r="G29" i="76"/>
  <c r="C29" i="76"/>
  <c r="J28" i="76"/>
  <c r="F28" i="76"/>
  <c r="B28" i="76"/>
  <c r="M27" i="76"/>
  <c r="I27" i="76"/>
  <c r="E27" i="76"/>
  <c r="L26" i="76"/>
  <c r="H26" i="76"/>
  <c r="D26" i="76"/>
  <c r="F45" i="76"/>
  <c r="F44" i="76"/>
  <c r="F43" i="76"/>
  <c r="D45" i="76"/>
  <c r="E44" i="76"/>
  <c r="E43" i="76"/>
  <c r="E42" i="76"/>
  <c r="F41" i="76"/>
  <c r="F40" i="76"/>
  <c r="J39" i="76"/>
  <c r="C39" i="76"/>
  <c r="D38" i="76"/>
  <c r="D37" i="76"/>
  <c r="M36" i="76"/>
  <c r="E36" i="76"/>
  <c r="H35" i="76"/>
  <c r="K34" i="76"/>
  <c r="C34" i="76"/>
  <c r="F33" i="76"/>
  <c r="I32" i="76"/>
  <c r="L31" i="76"/>
  <c r="D31" i="76"/>
  <c r="G30" i="76"/>
  <c r="J29" i="76"/>
  <c r="B29" i="76"/>
  <c r="M28" i="76"/>
  <c r="E28" i="76"/>
  <c r="H27" i="76"/>
  <c r="J26" i="76"/>
  <c r="E26" i="76"/>
  <c r="J25" i="76"/>
  <c r="F25" i="76"/>
  <c r="B25" i="76"/>
  <c r="M24" i="76"/>
  <c r="I24" i="76"/>
  <c r="E24" i="76"/>
  <c r="L23" i="76"/>
  <c r="H23" i="76"/>
  <c r="D23" i="76"/>
  <c r="K22" i="76"/>
  <c r="G22" i="76"/>
  <c r="C22" i="76"/>
  <c r="J21" i="76"/>
  <c r="F21" i="76"/>
  <c r="B21" i="76"/>
  <c r="M20" i="76"/>
  <c r="I20" i="76"/>
  <c r="E20" i="76"/>
  <c r="L19" i="76"/>
  <c r="H19" i="76"/>
  <c r="D19" i="76"/>
  <c r="K18" i="76"/>
  <c r="G18" i="76"/>
  <c r="C18" i="76"/>
  <c r="B39" i="76"/>
  <c r="M38" i="76"/>
  <c r="B38" i="76"/>
  <c r="M37" i="76"/>
  <c r="C37" i="76"/>
  <c r="L36" i="76"/>
  <c r="D36" i="76"/>
  <c r="G35" i="76"/>
  <c r="J34" i="76"/>
  <c r="B34" i="76"/>
  <c r="M33" i="76"/>
  <c r="E33" i="76"/>
  <c r="H32" i="76"/>
  <c r="K31" i="76"/>
  <c r="C31" i="76"/>
  <c r="F30" i="76"/>
  <c r="I29" i="76"/>
  <c r="L28" i="76"/>
  <c r="D28" i="76"/>
  <c r="G27" i="76"/>
  <c r="I26" i="76"/>
  <c r="C26" i="76"/>
  <c r="M25" i="76"/>
  <c r="I25" i="76"/>
  <c r="E25" i="76"/>
  <c r="L24" i="76"/>
  <c r="H24" i="76"/>
  <c r="D24" i="76"/>
  <c r="K23" i="76"/>
  <c r="G23" i="76"/>
  <c r="C23" i="76"/>
  <c r="J22" i="76"/>
  <c r="F22" i="76"/>
  <c r="B22" i="76"/>
  <c r="M21" i="76"/>
  <c r="I21" i="76"/>
  <c r="E21" i="76"/>
  <c r="L20" i="76"/>
  <c r="H20" i="76"/>
  <c r="D20" i="76"/>
  <c r="K19" i="76"/>
  <c r="G19" i="76"/>
  <c r="C19" i="76"/>
  <c r="J18" i="76"/>
  <c r="F18" i="76"/>
  <c r="B18" i="76"/>
  <c r="M17" i="76"/>
  <c r="I17" i="76"/>
  <c r="E17" i="76"/>
  <c r="I36" i="76"/>
  <c r="D35" i="76"/>
  <c r="J33" i="76"/>
  <c r="E32" i="76"/>
  <c r="K30" i="76"/>
  <c r="F29" i="76"/>
  <c r="L27" i="76"/>
  <c r="M26" i="76"/>
  <c r="B26" i="76"/>
  <c r="H25" i="76"/>
  <c r="K24" i="76"/>
  <c r="C24" i="76"/>
  <c r="F23" i="76"/>
  <c r="I22" i="76"/>
  <c r="L21" i="76"/>
  <c r="D21" i="76"/>
  <c r="G20" i="76"/>
  <c r="J19" i="76"/>
  <c r="B19" i="76"/>
  <c r="M18" i="76"/>
  <c r="E18" i="76"/>
  <c r="H17" i="76"/>
  <c r="G42" i="76"/>
  <c r="G40" i="76"/>
  <c r="H36" i="76"/>
  <c r="C35" i="76"/>
  <c r="I38" i="76"/>
  <c r="I37" i="76"/>
  <c r="L35" i="76"/>
  <c r="G34" i="76"/>
  <c r="B33" i="76"/>
  <c r="M32" i="76"/>
  <c r="H31" i="76"/>
  <c r="C30" i="76"/>
  <c r="I28" i="76"/>
  <c r="D27" i="76"/>
  <c r="G26" i="76"/>
  <c r="L25" i="76"/>
  <c r="D25" i="76"/>
  <c r="G24" i="76"/>
  <c r="J23" i="76"/>
  <c r="B23" i="76"/>
  <c r="M22" i="76"/>
  <c r="E22" i="76"/>
  <c r="H21" i="76"/>
  <c r="K20" i="76"/>
  <c r="C20" i="76"/>
  <c r="F19" i="76"/>
  <c r="G41" i="76"/>
  <c r="K39" i="76"/>
  <c r="H38" i="76"/>
  <c r="H37" i="76"/>
  <c r="K35" i="76"/>
  <c r="F34" i="76"/>
  <c r="L32" i="76"/>
  <c r="G31" i="76"/>
  <c r="B30" i="76"/>
  <c r="M29" i="76"/>
  <c r="H28" i="76"/>
  <c r="C27" i="76"/>
  <c r="Q26" i="76"/>
  <c r="F26" i="76"/>
  <c r="K25" i="76"/>
  <c r="C25" i="76"/>
  <c r="N24" i="76"/>
  <c r="F24" i="76"/>
  <c r="I23" i="76"/>
  <c r="L22" i="76"/>
  <c r="D22" i="76"/>
  <c r="G21" i="76"/>
  <c r="J20" i="76"/>
  <c r="B20" i="76"/>
  <c r="M19" i="76"/>
  <c r="E19" i="76"/>
  <c r="H18" i="76"/>
  <c r="J17" i="76"/>
  <c r="D17" i="76"/>
  <c r="L16" i="76"/>
  <c r="H16" i="76"/>
  <c r="D16" i="76"/>
  <c r="K15" i="76"/>
  <c r="G15" i="76"/>
  <c r="C15" i="76"/>
  <c r="J14" i="76"/>
  <c r="F14" i="76"/>
  <c r="B14" i="76"/>
  <c r="M13" i="76"/>
  <c r="I13" i="76"/>
  <c r="E13" i="76"/>
  <c r="L12" i="76"/>
  <c r="H12" i="76"/>
  <c r="D12" i="76"/>
  <c r="K11" i="76"/>
  <c r="G11" i="76"/>
  <c r="C11" i="76"/>
  <c r="J10" i="76"/>
  <c r="F10" i="76"/>
  <c r="B10" i="76"/>
  <c r="M9" i="76"/>
  <c r="I9" i="76"/>
  <c r="E9" i="76"/>
  <c r="L8" i="76"/>
  <c r="H8" i="76"/>
  <c r="D8" i="76"/>
  <c r="J24" i="76"/>
  <c r="K21" i="76"/>
  <c r="L18" i="76"/>
  <c r="G17" i="76"/>
  <c r="J16" i="76"/>
  <c r="E16" i="76"/>
  <c r="J15" i="76"/>
  <c r="E15" i="76"/>
  <c r="K14" i="76"/>
  <c r="E14" i="76"/>
  <c r="K13" i="76"/>
  <c r="F13" i="76"/>
  <c r="K12" i="76"/>
  <c r="F12" i="76"/>
  <c r="L11" i="76"/>
  <c r="F11" i="76"/>
  <c r="L10" i="76"/>
  <c r="G10" i="76"/>
  <c r="L9" i="76"/>
  <c r="G9" i="76"/>
  <c r="B9" i="76"/>
  <c r="M8" i="76"/>
  <c r="G8" i="76"/>
  <c r="B8" i="76"/>
  <c r="L7" i="76"/>
  <c r="H7" i="76"/>
  <c r="D7" i="76"/>
  <c r="K6" i="76"/>
  <c r="G6" i="76"/>
  <c r="C6" i="76"/>
  <c r="J5" i="76"/>
  <c r="F5" i="76"/>
  <c r="B24" i="76"/>
  <c r="M23" i="76"/>
  <c r="C21" i="76"/>
  <c r="N20" i="76"/>
  <c r="I18" i="76"/>
  <c r="F17" i="76"/>
  <c r="N16" i="76"/>
  <c r="I16" i="76"/>
  <c r="C16" i="76"/>
  <c r="I15" i="76"/>
  <c r="D15" i="76"/>
  <c r="I14" i="76"/>
  <c r="D14" i="76"/>
  <c r="J13" i="76"/>
  <c r="D13" i="76"/>
  <c r="O12" i="76"/>
  <c r="J12" i="76"/>
  <c r="E12" i="76"/>
  <c r="J11" i="76"/>
  <c r="E11" i="76"/>
  <c r="K10" i="76"/>
  <c r="E10" i="76"/>
  <c r="K9" i="76"/>
  <c r="F9" i="76"/>
  <c r="D32" i="76"/>
  <c r="E29" i="76"/>
  <c r="K26" i="76"/>
  <c r="E23" i="76"/>
  <c r="F20" i="76"/>
  <c r="D18" i="76"/>
  <c r="L17" i="76"/>
  <c r="C17" i="76"/>
  <c r="M16" i="76"/>
  <c r="G16" i="76"/>
  <c r="B16" i="76"/>
  <c r="M15" i="76"/>
  <c r="H15" i="76"/>
  <c r="B15" i="76"/>
  <c r="M14" i="76"/>
  <c r="H14" i="76"/>
  <c r="C14" i="76"/>
  <c r="H13" i="76"/>
  <c r="C13" i="76"/>
  <c r="I12" i="76"/>
  <c r="C12" i="76"/>
  <c r="I11" i="76"/>
  <c r="D11" i="76"/>
  <c r="I10" i="76"/>
  <c r="D10" i="76"/>
  <c r="O9" i="76"/>
  <c r="J9" i="76"/>
  <c r="D9" i="76"/>
  <c r="J8" i="76"/>
  <c r="E8" i="76"/>
  <c r="J7" i="76"/>
  <c r="F7" i="76"/>
  <c r="B7" i="76"/>
  <c r="M6" i="76"/>
  <c r="I6" i="76"/>
  <c r="E6" i="76"/>
  <c r="L5" i="76"/>
  <c r="H5" i="76"/>
  <c r="D5" i="76"/>
  <c r="I33" i="76"/>
  <c r="J30" i="76"/>
  <c r="K27" i="76"/>
  <c r="G25" i="76"/>
  <c r="H22" i="76"/>
  <c r="I19" i="76"/>
  <c r="Q18" i="76"/>
  <c r="K17" i="76"/>
  <c r="B17" i="76"/>
  <c r="K16" i="76"/>
  <c r="F16" i="76"/>
  <c r="L15" i="76"/>
  <c r="F15" i="76"/>
  <c r="L14" i="76"/>
  <c r="G14" i="76"/>
  <c r="L13" i="76"/>
  <c r="G13" i="76"/>
  <c r="B13" i="76"/>
  <c r="M12" i="76"/>
  <c r="G12" i="76"/>
  <c r="B12" i="76"/>
  <c r="M11" i="76"/>
  <c r="H11" i="76"/>
  <c r="B11" i="76"/>
  <c r="M10" i="76"/>
  <c r="H10" i="76"/>
  <c r="C10" i="76"/>
  <c r="N9" i="76"/>
  <c r="H9" i="76"/>
  <c r="C9" i="76"/>
  <c r="I8" i="76"/>
  <c r="C8" i="76"/>
  <c r="M7" i="76"/>
  <c r="I7" i="76"/>
  <c r="E7" i="76"/>
  <c r="L6" i="76"/>
  <c r="H6" i="76"/>
  <c r="D6" i="76"/>
  <c r="K5" i="76"/>
  <c r="G5" i="76"/>
  <c r="C5" i="76"/>
  <c r="E5" i="76"/>
  <c r="F6" i="76"/>
  <c r="K7" i="76"/>
  <c r="F8" i="76"/>
  <c r="F16" i="88"/>
  <c r="A6" i="88" s="1"/>
  <c r="A6" i="52"/>
  <c r="A6" i="46"/>
  <c r="A6" i="38"/>
  <c r="J44" i="3" l="1"/>
  <c r="O44" i="3" s="1"/>
  <c r="J40" i="3"/>
  <c r="O40" i="3" s="1"/>
  <c r="Q14" i="76"/>
  <c r="N13" i="76"/>
  <c r="P13" i="76"/>
  <c r="N29" i="76"/>
  <c r="N23" i="76"/>
  <c r="P25" i="76"/>
  <c r="Q28" i="76"/>
  <c r="P26" i="76"/>
  <c r="Q27" i="76"/>
  <c r="N28" i="76"/>
  <c r="O29" i="76"/>
  <c r="P30" i="76"/>
  <c r="Q31" i="76"/>
  <c r="N32" i="76"/>
  <c r="O33" i="76"/>
  <c r="P34" i="76"/>
  <c r="Q35" i="76"/>
  <c r="N36" i="76"/>
  <c r="P18" i="76"/>
  <c r="N19" i="76"/>
  <c r="P21" i="76"/>
  <c r="P43" i="76"/>
  <c r="N17" i="76"/>
  <c r="Q17" i="76"/>
  <c r="N18" i="76"/>
  <c r="O19" i="76"/>
  <c r="P20" i="76"/>
  <c r="Q21" i="76"/>
  <c r="N22" i="76"/>
  <c r="O23" i="76"/>
  <c r="P24" i="76"/>
  <c r="Q25" i="76"/>
  <c r="Q43" i="76"/>
  <c r="N39" i="76"/>
  <c r="N41" i="76"/>
  <c r="Q39" i="76"/>
  <c r="N8" i="76"/>
  <c r="O8" i="76"/>
  <c r="N12" i="76"/>
  <c r="Q12" i="76"/>
  <c r="O16" i="76"/>
  <c r="O27" i="76"/>
  <c r="Q29" i="76"/>
  <c r="O35" i="76"/>
  <c r="Q40" i="76"/>
  <c r="O44" i="76"/>
  <c r="O26" i="76"/>
  <c r="O30" i="76"/>
  <c r="Q32" i="76"/>
  <c r="N38" i="76"/>
  <c r="Q44" i="76"/>
  <c r="Q37" i="76"/>
  <c r="N40" i="76"/>
  <c r="O42" i="76"/>
  <c r="Q16" i="76"/>
  <c r="Q19" i="76"/>
  <c r="O25" i="76"/>
  <c r="P11" i="76"/>
  <c r="N15" i="76"/>
  <c r="O5" i="76"/>
  <c r="P6" i="76"/>
  <c r="Q7" i="76"/>
  <c r="Q15" i="76"/>
  <c r="P5" i="76"/>
  <c r="Q6" i="76"/>
  <c r="N7" i="76"/>
  <c r="N11" i="76"/>
  <c r="P10" i="76"/>
  <c r="O14" i="76"/>
  <c r="P17" i="76"/>
  <c r="N5" i="76"/>
  <c r="O6" i="76"/>
  <c r="P7" i="76"/>
  <c r="Q11" i="76"/>
  <c r="P15" i="76"/>
  <c r="P28" i="76"/>
  <c r="O17" i="76"/>
  <c r="O21" i="76"/>
  <c r="Q23" i="76"/>
  <c r="P36" i="76"/>
  <c r="O24" i="76"/>
  <c r="N34" i="76"/>
  <c r="O20" i="76"/>
  <c r="Q22" i="76"/>
  <c r="O34" i="76"/>
  <c r="P41" i="76"/>
  <c r="O45" i="76"/>
  <c r="O18" i="76"/>
  <c r="P19" i="76"/>
  <c r="Q20" i="76"/>
  <c r="N21" i="76"/>
  <c r="O22" i="76"/>
  <c r="P23" i="76"/>
  <c r="Q24" i="76"/>
  <c r="N25" i="76"/>
  <c r="P45" i="76"/>
  <c r="P38" i="76"/>
  <c r="N27" i="76"/>
  <c r="O28" i="76"/>
  <c r="P29" i="76"/>
  <c r="Q30" i="76"/>
  <c r="N31" i="76"/>
  <c r="O32" i="76"/>
  <c r="P33" i="76"/>
  <c r="Q34" i="76"/>
  <c r="N35" i="76"/>
  <c r="O36" i="76"/>
  <c r="O39" i="76"/>
  <c r="N37" i="76"/>
  <c r="O38" i="76"/>
  <c r="P39" i="76"/>
  <c r="O41" i="76"/>
  <c r="N45" i="76"/>
  <c r="P40" i="76"/>
  <c r="Q41" i="76"/>
  <c r="N42" i="76"/>
  <c r="O43" i="76"/>
  <c r="P44" i="76"/>
  <c r="Q45" i="76"/>
  <c r="O10" i="76"/>
  <c r="P22" i="76"/>
  <c r="P9" i="76"/>
  <c r="O13" i="76"/>
  <c r="Q10" i="76"/>
  <c r="P14" i="76"/>
  <c r="O31" i="76"/>
  <c r="P8" i="76"/>
  <c r="Q9" i="76"/>
  <c r="N10" i="76"/>
  <c r="O11" i="76"/>
  <c r="P12" i="76"/>
  <c r="Q13" i="76"/>
  <c r="N14" i="76"/>
  <c r="O15" i="76"/>
  <c r="P16" i="76"/>
  <c r="Q33" i="76"/>
  <c r="Q36" i="76"/>
  <c r="P31" i="76"/>
  <c r="N26" i="76"/>
  <c r="N30" i="76"/>
  <c r="P32" i="76"/>
  <c r="P42" i="76"/>
  <c r="P27" i="76"/>
  <c r="N33" i="76"/>
  <c r="P35" i="76"/>
  <c r="O37" i="76"/>
  <c r="Q42" i="76"/>
  <c r="P37" i="76"/>
  <c r="O40" i="76"/>
  <c r="N44" i="76"/>
  <c r="J41" i="3"/>
  <c r="O41" i="3" s="1"/>
  <c r="J42" i="3"/>
  <c r="O42" i="3" s="1"/>
  <c r="N6" i="76"/>
  <c r="O7" i="76"/>
  <c r="R4" i="76"/>
  <c r="Q5" i="76"/>
  <c r="S4" i="76" l="1"/>
  <c r="R6" i="76"/>
  <c r="R45" i="76"/>
  <c r="R44" i="76"/>
  <c r="R43" i="76"/>
  <c r="R28" i="76"/>
  <c r="R21" i="76"/>
  <c r="R34" i="76"/>
  <c r="R22" i="76"/>
  <c r="R19" i="76"/>
  <c r="R42" i="76"/>
  <c r="R37" i="76"/>
  <c r="R35" i="76"/>
  <c r="R40" i="76"/>
  <c r="R39" i="76"/>
  <c r="R18" i="76"/>
  <c r="R31" i="76"/>
  <c r="R36" i="76"/>
  <c r="R38" i="76"/>
  <c r="R26" i="76"/>
  <c r="R20" i="76"/>
  <c r="R17" i="76"/>
  <c r="R27" i="76"/>
  <c r="R32" i="76"/>
  <c r="R41" i="76"/>
  <c r="R29" i="76"/>
  <c r="R25" i="76"/>
  <c r="R33" i="76"/>
  <c r="R14" i="76"/>
  <c r="R23" i="76"/>
  <c r="R9" i="76"/>
  <c r="R8" i="76"/>
  <c r="R10" i="76"/>
  <c r="R5" i="76"/>
  <c r="R16" i="76"/>
  <c r="R15" i="76"/>
  <c r="R24" i="76"/>
  <c r="R30" i="76"/>
  <c r="R7" i="76"/>
  <c r="R13" i="76"/>
  <c r="R12" i="76"/>
  <c r="R11" i="76"/>
  <c r="T4" i="76" l="1"/>
  <c r="S42" i="76"/>
  <c r="S41" i="76"/>
  <c r="S40" i="76"/>
  <c r="S28" i="76"/>
  <c r="S33" i="76"/>
  <c r="S17" i="76"/>
  <c r="S37" i="76"/>
  <c r="S20" i="76"/>
  <c r="S25" i="76"/>
  <c r="S29" i="76"/>
  <c r="S34" i="76"/>
  <c r="S22" i="76"/>
  <c r="S26" i="76"/>
  <c r="S23" i="76"/>
  <c r="S35" i="76"/>
  <c r="S7" i="76"/>
  <c r="S43" i="76"/>
  <c r="S38" i="76"/>
  <c r="S36" i="76"/>
  <c r="S18" i="76"/>
  <c r="S19" i="76"/>
  <c r="S24" i="76"/>
  <c r="S45" i="76"/>
  <c r="S44" i="76"/>
  <c r="S32" i="76"/>
  <c r="S39" i="76"/>
  <c r="S31" i="76"/>
  <c r="S30" i="76"/>
  <c r="S27" i="76"/>
  <c r="S15" i="76"/>
  <c r="S14" i="76"/>
  <c r="S13" i="76"/>
  <c r="S12" i="76"/>
  <c r="S21" i="76"/>
  <c r="S5" i="76"/>
  <c r="S11" i="76"/>
  <c r="S6" i="76"/>
  <c r="S16" i="76"/>
  <c r="S10" i="76"/>
  <c r="S9" i="76"/>
  <c r="S8" i="76"/>
  <c r="U4" i="76" l="1"/>
  <c r="T44" i="76"/>
  <c r="T39" i="76"/>
  <c r="T26" i="76"/>
  <c r="T31" i="76"/>
  <c r="T19" i="76"/>
  <c r="T20" i="76"/>
  <c r="T38" i="76"/>
  <c r="T40" i="76"/>
  <c r="T33" i="76"/>
  <c r="T36" i="76"/>
  <c r="T16" i="76"/>
  <c r="T21" i="76"/>
  <c r="T29" i="76"/>
  <c r="T34" i="76"/>
  <c r="T28" i="76"/>
  <c r="T37" i="76"/>
  <c r="T25" i="76"/>
  <c r="T17" i="76"/>
  <c r="T43" i="76"/>
  <c r="T42" i="76"/>
  <c r="T41" i="76"/>
  <c r="T45" i="76"/>
  <c r="T30" i="76"/>
  <c r="T23" i="76"/>
  <c r="T24" i="76"/>
  <c r="T35" i="76"/>
  <c r="T27" i="76"/>
  <c r="T22" i="76"/>
  <c r="T12" i="76"/>
  <c r="T8" i="76"/>
  <c r="T32" i="76"/>
  <c r="T7" i="76"/>
  <c r="T18" i="76"/>
  <c r="T11" i="76"/>
  <c r="T10" i="76"/>
  <c r="T9" i="76"/>
  <c r="T6" i="76"/>
  <c r="T15" i="76"/>
  <c r="T14" i="76"/>
  <c r="T13" i="76"/>
  <c r="T5" i="76"/>
  <c r="V4" i="76" l="1"/>
  <c r="U30" i="76"/>
  <c r="U35" i="76"/>
  <c r="U28" i="76"/>
  <c r="U37" i="76"/>
  <c r="U31" i="76"/>
  <c r="U24" i="76"/>
  <c r="U33" i="76"/>
  <c r="U25" i="76"/>
  <c r="U18" i="76"/>
  <c r="U45" i="76"/>
  <c r="U42" i="76"/>
  <c r="U38" i="76"/>
  <c r="U27" i="76"/>
  <c r="U26" i="76"/>
  <c r="U20" i="76"/>
  <c r="U21" i="76"/>
  <c r="U22" i="76"/>
  <c r="U16" i="76"/>
  <c r="U9" i="76"/>
  <c r="U15" i="76"/>
  <c r="U41" i="76"/>
  <c r="U40" i="76"/>
  <c r="U39" i="76"/>
  <c r="U34" i="76"/>
  <c r="U44" i="76"/>
  <c r="U43" i="76"/>
  <c r="U36" i="76"/>
  <c r="U17" i="76"/>
  <c r="U32" i="76"/>
  <c r="U19" i="76"/>
  <c r="U23" i="76"/>
  <c r="U13" i="76"/>
  <c r="U14" i="76"/>
  <c r="U6" i="76"/>
  <c r="U29" i="76"/>
  <c r="U10" i="76"/>
  <c r="U8" i="76"/>
  <c r="U5" i="76"/>
  <c r="U12" i="76"/>
  <c r="U11" i="76"/>
  <c r="U7" i="76"/>
  <c r="W4" i="76" l="1"/>
  <c r="V8" i="76"/>
  <c r="V42" i="76"/>
  <c r="V37" i="76"/>
  <c r="V45" i="76"/>
  <c r="V35" i="76"/>
  <c r="V40" i="76"/>
  <c r="V30" i="76"/>
  <c r="V18" i="76"/>
  <c r="V31" i="76"/>
  <c r="V41" i="76"/>
  <c r="V36" i="76"/>
  <c r="V43" i="76"/>
  <c r="V38" i="76"/>
  <c r="V27" i="76"/>
  <c r="V32" i="76"/>
  <c r="V33" i="76"/>
  <c r="V25" i="76"/>
  <c r="V29" i="76"/>
  <c r="V14" i="76"/>
  <c r="V16" i="76"/>
  <c r="V44" i="76"/>
  <c r="V39" i="76"/>
  <c r="V28" i="76"/>
  <c r="V21" i="76"/>
  <c r="V22" i="76"/>
  <c r="V23" i="76"/>
  <c r="V34" i="76"/>
  <c r="V10" i="76"/>
  <c r="V19" i="76"/>
  <c r="V13" i="76"/>
  <c r="V5" i="76"/>
  <c r="V9" i="76"/>
  <c r="V17" i="76"/>
  <c r="V15" i="76"/>
  <c r="V6" i="76"/>
  <c r="V24" i="76"/>
  <c r="V20" i="76"/>
  <c r="V11" i="76"/>
  <c r="V7" i="76"/>
  <c r="V12" i="76"/>
  <c r="V26" i="76"/>
  <c r="X4" i="76" l="1"/>
  <c r="W7" i="76"/>
  <c r="W41" i="76"/>
  <c r="W40" i="76"/>
  <c r="W29" i="76"/>
  <c r="W22" i="76"/>
  <c r="W23" i="76"/>
  <c r="W34" i="76"/>
  <c r="W43" i="76"/>
  <c r="W38" i="76"/>
  <c r="W42" i="76"/>
  <c r="W37" i="76"/>
  <c r="W36" i="76"/>
  <c r="W30" i="76"/>
  <c r="W18" i="76"/>
  <c r="W19" i="76"/>
  <c r="W26" i="76"/>
  <c r="W39" i="76"/>
  <c r="W32" i="76"/>
  <c r="W35" i="76"/>
  <c r="W20" i="76"/>
  <c r="W31" i="76"/>
  <c r="W45" i="76"/>
  <c r="W44" i="76"/>
  <c r="W28" i="76"/>
  <c r="W33" i="76"/>
  <c r="W27" i="76"/>
  <c r="W24" i="76"/>
  <c r="W15" i="76"/>
  <c r="W21" i="76"/>
  <c r="W9" i="76"/>
  <c r="W8" i="76"/>
  <c r="W25" i="76"/>
  <c r="W17" i="76"/>
  <c r="W10" i="76"/>
  <c r="W11" i="76"/>
  <c r="W6" i="76"/>
  <c r="W16" i="76"/>
  <c r="W14" i="76"/>
  <c r="W13" i="76"/>
  <c r="W12" i="76"/>
  <c r="W5" i="76"/>
  <c r="Y4" i="76" l="1"/>
  <c r="X40" i="76"/>
  <c r="X39" i="76"/>
  <c r="X33" i="76"/>
  <c r="X35" i="76"/>
  <c r="X38" i="76"/>
  <c r="X37" i="76"/>
  <c r="X16" i="76"/>
  <c r="X31" i="76"/>
  <c r="X29" i="76"/>
  <c r="X34" i="76"/>
  <c r="X27" i="76"/>
  <c r="X25" i="76"/>
  <c r="X45" i="76"/>
  <c r="X30" i="76"/>
  <c r="X23" i="76"/>
  <c r="X32" i="76"/>
  <c r="X24" i="76"/>
  <c r="X36" i="76"/>
  <c r="X28" i="76"/>
  <c r="X12" i="76"/>
  <c r="X44" i="76"/>
  <c r="X43" i="76"/>
  <c r="X42" i="76"/>
  <c r="X41" i="76"/>
  <c r="X26" i="76"/>
  <c r="X19" i="76"/>
  <c r="X20" i="76"/>
  <c r="X17" i="76"/>
  <c r="X21" i="76"/>
  <c r="X8" i="76"/>
  <c r="X7" i="76"/>
  <c r="X22" i="76"/>
  <c r="X15" i="76"/>
  <c r="X14" i="76"/>
  <c r="X13" i="76"/>
  <c r="X18" i="76"/>
  <c r="X5" i="76"/>
  <c r="X11" i="76"/>
  <c r="X10" i="76"/>
  <c r="X9" i="76"/>
  <c r="X6" i="76"/>
  <c r="Z4" i="76" l="1"/>
  <c r="Y26" i="76"/>
  <c r="Y31" i="76"/>
  <c r="Y24" i="76"/>
  <c r="Y25" i="76"/>
  <c r="Y36" i="76"/>
  <c r="Y22" i="76"/>
  <c r="Y28" i="76"/>
  <c r="Y45" i="76"/>
  <c r="Y27" i="76"/>
  <c r="Y20" i="76"/>
  <c r="Y29" i="76"/>
  <c r="Y21" i="76"/>
  <c r="Y41" i="76"/>
  <c r="Y44" i="76"/>
  <c r="Y43" i="76"/>
  <c r="Y42" i="76"/>
  <c r="Y34" i="76"/>
  <c r="Y38" i="76"/>
  <c r="Y37" i="76"/>
  <c r="Y17" i="76"/>
  <c r="Y23" i="76"/>
  <c r="Y5" i="76"/>
  <c r="Y40" i="76"/>
  <c r="Y39" i="76"/>
  <c r="Y30" i="76"/>
  <c r="Y35" i="76"/>
  <c r="Y32" i="76"/>
  <c r="Y13" i="76"/>
  <c r="Y19" i="76"/>
  <c r="Y6" i="76"/>
  <c r="Y9" i="76"/>
  <c r="Y33" i="76"/>
  <c r="Y16" i="76"/>
  <c r="Y12" i="76"/>
  <c r="Y11" i="76"/>
  <c r="Y10" i="76"/>
  <c r="Y18" i="76"/>
  <c r="Y15" i="76"/>
  <c r="Y14" i="76"/>
  <c r="Y8" i="76"/>
  <c r="Y7" i="76"/>
  <c r="AA4" i="76" l="1"/>
  <c r="Z31" i="76"/>
  <c r="Z36" i="76"/>
  <c r="Z45" i="76"/>
  <c r="Z43" i="76"/>
  <c r="Z26" i="76"/>
  <c r="Z33" i="76"/>
  <c r="Z23" i="76"/>
  <c r="Z27" i="76"/>
  <c r="Z38" i="76"/>
  <c r="Z32" i="76"/>
  <c r="Z25" i="76"/>
  <c r="Z6" i="76"/>
  <c r="Z41" i="76"/>
  <c r="Z40" i="76"/>
  <c r="Z39" i="76"/>
  <c r="Z28" i="76"/>
  <c r="Z44" i="76"/>
  <c r="Z29" i="76"/>
  <c r="Z21" i="76"/>
  <c r="Z22" i="76"/>
  <c r="Z10" i="76"/>
  <c r="Z42" i="76"/>
  <c r="Z37" i="76"/>
  <c r="Z35" i="76"/>
  <c r="Z34" i="76"/>
  <c r="Z18" i="76"/>
  <c r="Z19" i="76"/>
  <c r="Z20" i="76"/>
  <c r="Z5" i="76"/>
  <c r="Z24" i="76"/>
  <c r="Z14" i="76"/>
  <c r="Z9" i="76"/>
  <c r="Z8" i="76"/>
  <c r="Z7" i="76"/>
  <c r="Z17" i="76"/>
  <c r="Z13" i="76"/>
  <c r="Z12" i="76"/>
  <c r="Z11" i="76"/>
  <c r="Z16" i="76"/>
  <c r="Z15" i="76"/>
  <c r="Z30" i="76"/>
  <c r="AB4" i="76" l="1"/>
  <c r="AA43" i="76"/>
  <c r="AA38" i="76"/>
  <c r="AA36" i="76"/>
  <c r="AA37" i="76"/>
  <c r="AA25" i="76"/>
  <c r="AA41" i="76"/>
  <c r="AA34" i="76"/>
  <c r="AA18" i="76"/>
  <c r="AA19" i="76"/>
  <c r="AA35" i="76"/>
  <c r="AA39" i="76"/>
  <c r="AA32" i="76"/>
  <c r="AA45" i="76"/>
  <c r="AA26" i="76"/>
  <c r="AA24" i="76"/>
  <c r="AA28" i="76"/>
  <c r="AA33" i="76"/>
  <c r="AA42" i="76"/>
  <c r="AA40" i="76"/>
  <c r="AA31" i="76"/>
  <c r="AA15" i="76"/>
  <c r="AA29" i="76"/>
  <c r="AA44" i="76"/>
  <c r="AA22" i="76"/>
  <c r="AA23" i="76"/>
  <c r="AA30" i="76"/>
  <c r="AA20" i="76"/>
  <c r="AA11" i="76"/>
  <c r="AA14" i="76"/>
  <c r="AA9" i="76"/>
  <c r="AA21" i="76"/>
  <c r="AA6" i="76"/>
  <c r="AA17" i="76"/>
  <c r="AA10" i="76"/>
  <c r="AA27" i="76"/>
  <c r="AA7" i="76"/>
  <c r="AA12" i="76"/>
  <c r="AA16" i="76"/>
  <c r="AA5" i="76"/>
  <c r="AA8" i="76"/>
  <c r="AA13" i="76"/>
  <c r="AC4" i="76" l="1"/>
  <c r="AB37" i="76"/>
  <c r="AB29" i="76"/>
  <c r="AB34" i="76"/>
  <c r="AB39" i="76"/>
  <c r="AB36" i="76"/>
  <c r="AB21" i="76"/>
  <c r="AB38" i="76"/>
  <c r="AB30" i="76"/>
  <c r="AB43" i="76"/>
  <c r="AB23" i="76"/>
  <c r="AB28" i="76"/>
  <c r="AB24" i="76"/>
  <c r="AB41" i="76"/>
  <c r="AB35" i="76"/>
  <c r="AB44" i="76"/>
  <c r="AB45" i="76"/>
  <c r="AB26" i="76"/>
  <c r="AB19" i="76"/>
  <c r="AB20" i="76"/>
  <c r="AB27" i="76"/>
  <c r="AB22" i="76"/>
  <c r="AB8" i="76"/>
  <c r="AB18" i="76"/>
  <c r="AB40" i="76"/>
  <c r="AB33" i="76"/>
  <c r="AB42" i="76"/>
  <c r="AB31" i="76"/>
  <c r="AB16" i="76"/>
  <c r="AB32" i="76"/>
  <c r="AB25" i="76"/>
  <c r="AB10" i="76"/>
  <c r="AB15" i="76"/>
  <c r="AB7" i="76"/>
  <c r="AB11" i="76"/>
  <c r="AB5" i="76"/>
  <c r="AB17" i="76"/>
  <c r="AB13" i="76"/>
  <c r="AB6" i="76"/>
  <c r="AB12" i="76"/>
  <c r="AB9" i="76"/>
  <c r="AB14" i="76"/>
  <c r="AD4" i="76" l="1"/>
  <c r="AC5" i="76"/>
  <c r="AC45" i="76"/>
  <c r="AC27" i="76"/>
  <c r="AC20" i="76"/>
  <c r="AC33" i="76"/>
  <c r="AC21" i="76"/>
  <c r="AC18" i="76"/>
  <c r="AC37" i="76"/>
  <c r="AC41" i="76"/>
  <c r="AC34" i="76"/>
  <c r="AC17" i="76"/>
  <c r="AC32" i="76"/>
  <c r="AC44" i="76"/>
  <c r="AC43" i="76"/>
  <c r="AC42" i="76"/>
  <c r="AC30" i="76"/>
  <c r="AC35" i="76"/>
  <c r="AC36" i="76"/>
  <c r="AC40" i="76"/>
  <c r="AC39" i="76"/>
  <c r="AC38" i="76"/>
  <c r="AC19" i="76"/>
  <c r="AC26" i="76"/>
  <c r="AC31" i="76"/>
  <c r="AC28" i="76"/>
  <c r="AC24" i="76"/>
  <c r="AC29" i="76"/>
  <c r="AC13" i="76"/>
  <c r="AC22" i="76"/>
  <c r="AC9" i="76"/>
  <c r="AC15" i="76"/>
  <c r="AC14" i="76"/>
  <c r="AC16" i="76"/>
  <c r="AC12" i="76"/>
  <c r="AC11" i="76"/>
  <c r="AC10" i="76"/>
  <c r="AC25" i="76"/>
  <c r="AC8" i="76"/>
  <c r="AC7" i="76"/>
  <c r="AC6" i="76"/>
  <c r="AC23" i="76"/>
  <c r="AE4" i="76" l="1"/>
  <c r="AD6" i="76"/>
  <c r="AD27" i="76"/>
  <c r="AD32" i="76"/>
  <c r="AD19" i="76"/>
  <c r="AD24" i="76"/>
  <c r="AD45" i="76"/>
  <c r="AD44" i="76"/>
  <c r="AD43" i="76"/>
  <c r="AD28" i="76"/>
  <c r="AD33" i="76"/>
  <c r="AD21" i="76"/>
  <c r="AD22" i="76"/>
  <c r="AD42" i="76"/>
  <c r="AD41" i="76"/>
  <c r="AD40" i="76"/>
  <c r="AD39" i="76"/>
  <c r="AD37" i="76"/>
  <c r="AD35" i="76"/>
  <c r="AD18" i="76"/>
  <c r="AD23" i="76"/>
  <c r="AD17" i="76"/>
  <c r="AD31" i="76"/>
  <c r="AD36" i="76"/>
  <c r="AD30" i="76"/>
  <c r="AD25" i="76"/>
  <c r="AD34" i="76"/>
  <c r="AD38" i="76"/>
  <c r="AD26" i="76"/>
  <c r="AD14" i="76"/>
  <c r="AD13" i="76"/>
  <c r="AD12" i="76"/>
  <c r="AD11" i="76"/>
  <c r="AD29" i="76"/>
  <c r="AD10" i="76"/>
  <c r="AD15" i="76"/>
  <c r="AD16" i="76"/>
  <c r="AD9" i="76"/>
  <c r="AD8" i="76"/>
  <c r="AD7" i="76"/>
  <c r="AD5" i="76"/>
  <c r="AD20" i="76"/>
  <c r="AF4" i="76" l="1"/>
  <c r="AE39" i="76"/>
  <c r="AE32" i="76"/>
  <c r="AE30" i="76"/>
  <c r="AE42" i="76"/>
  <c r="AE41" i="76"/>
  <c r="AE40" i="76"/>
  <c r="AE28" i="76"/>
  <c r="AE33" i="76"/>
  <c r="AE35" i="76"/>
  <c r="AE34" i="76"/>
  <c r="AE20" i="76"/>
  <c r="AE37" i="76"/>
  <c r="AE45" i="76"/>
  <c r="AE44" i="76"/>
  <c r="AE29" i="76"/>
  <c r="AE22" i="76"/>
  <c r="AE27" i="76"/>
  <c r="AE23" i="76"/>
  <c r="AE24" i="76"/>
  <c r="AE11" i="76"/>
  <c r="AE43" i="76"/>
  <c r="AE38" i="76"/>
  <c r="AE36" i="76"/>
  <c r="AE25" i="76"/>
  <c r="AE18" i="76"/>
  <c r="AE19" i="76"/>
  <c r="AE21" i="76"/>
  <c r="AE7" i="76"/>
  <c r="AE6" i="76"/>
  <c r="AE10" i="76"/>
  <c r="AE9" i="76"/>
  <c r="AE8" i="76"/>
  <c r="AE26" i="76"/>
  <c r="AE17" i="76"/>
  <c r="AE15" i="76"/>
  <c r="AE14" i="76"/>
  <c r="AE13" i="76"/>
  <c r="AE12" i="76"/>
  <c r="AE31" i="76"/>
  <c r="AE16" i="76"/>
  <c r="AE5" i="76"/>
  <c r="AG4" i="76" l="1"/>
  <c r="AF41" i="76"/>
  <c r="AF38" i="76"/>
  <c r="AF30" i="76"/>
  <c r="AF27" i="76"/>
  <c r="AF25" i="76"/>
  <c r="AF23" i="76"/>
  <c r="AF24" i="76"/>
  <c r="AF44" i="76"/>
  <c r="AF39" i="76"/>
  <c r="AF42" i="76"/>
  <c r="AF26" i="76"/>
  <c r="AF19" i="76"/>
  <c r="AF32" i="76"/>
  <c r="AF20" i="76"/>
  <c r="AF31" i="76"/>
  <c r="AF40" i="76"/>
  <c r="AF33" i="76"/>
  <c r="AF43" i="76"/>
  <c r="AF16" i="76"/>
  <c r="AF21" i="76"/>
  <c r="AF36" i="76"/>
  <c r="AF22" i="76"/>
  <c r="AF45" i="76"/>
  <c r="AF29" i="76"/>
  <c r="AF37" i="76"/>
  <c r="AF34" i="76"/>
  <c r="AF35" i="76"/>
  <c r="AF18" i="76"/>
  <c r="AF10" i="76"/>
  <c r="AF7" i="76"/>
  <c r="AF5" i="76"/>
  <c r="AF17" i="76"/>
  <c r="AF11" i="76"/>
  <c r="AF12" i="76"/>
  <c r="AF15" i="76"/>
  <c r="AF13" i="76"/>
  <c r="AF8" i="76"/>
  <c r="AF14" i="76"/>
  <c r="AF9" i="76"/>
  <c r="AF28" i="76"/>
  <c r="AF6" i="76"/>
  <c r="AH4" i="76" l="1"/>
  <c r="AG5" i="76"/>
  <c r="AG41" i="76"/>
  <c r="AG42" i="76"/>
  <c r="AG38" i="76"/>
  <c r="AG34" i="76"/>
  <c r="AG29" i="76"/>
  <c r="AG17" i="76"/>
  <c r="AG28" i="76"/>
  <c r="AG7" i="76"/>
  <c r="AG43" i="76"/>
  <c r="AG30" i="76"/>
  <c r="AG35" i="76"/>
  <c r="AG44" i="76"/>
  <c r="AG26" i="76"/>
  <c r="AG39" i="76"/>
  <c r="AG31" i="76"/>
  <c r="AG32" i="76"/>
  <c r="AG24" i="76"/>
  <c r="AG13" i="76"/>
  <c r="AG25" i="76"/>
  <c r="AG8" i="76"/>
  <c r="AG45" i="76"/>
  <c r="AG37" i="76"/>
  <c r="AG40" i="76"/>
  <c r="AG27" i="76"/>
  <c r="AG20" i="76"/>
  <c r="AG21" i="76"/>
  <c r="AG22" i="76"/>
  <c r="AG36" i="76"/>
  <c r="AG9" i="76"/>
  <c r="AG11" i="76"/>
  <c r="AG16" i="76"/>
  <c r="AG12" i="76"/>
  <c r="AG33" i="76"/>
  <c r="AG23" i="76"/>
  <c r="AG6" i="76"/>
  <c r="AG18" i="76"/>
  <c r="AG14" i="76"/>
  <c r="AG19" i="76"/>
  <c r="AG10" i="76"/>
  <c r="AG15" i="76"/>
  <c r="AI4" i="76" l="1"/>
  <c r="AH6" i="76"/>
  <c r="AH28" i="76"/>
  <c r="AH21" i="76"/>
  <c r="AH22" i="76"/>
  <c r="AH25" i="76"/>
  <c r="AH30" i="76"/>
  <c r="AH42" i="76"/>
  <c r="AH45" i="76"/>
  <c r="AH44" i="76"/>
  <c r="AH43" i="76"/>
  <c r="AH37" i="76"/>
  <c r="AH35" i="76"/>
  <c r="AH29" i="76"/>
  <c r="AH18" i="76"/>
  <c r="AH31" i="76"/>
  <c r="AH36" i="76"/>
  <c r="AH34" i="76"/>
  <c r="AH19" i="76"/>
  <c r="AH33" i="76"/>
  <c r="AH41" i="76"/>
  <c r="AH40" i="76"/>
  <c r="AH39" i="76"/>
  <c r="AH27" i="76"/>
  <c r="AH32" i="76"/>
  <c r="AH38" i="76"/>
  <c r="AH26" i="76"/>
  <c r="AH23" i="76"/>
  <c r="AH14" i="76"/>
  <c r="AH10" i="76"/>
  <c r="AH24" i="76"/>
  <c r="AH16" i="76"/>
  <c r="AH13" i="76"/>
  <c r="AH12" i="76"/>
  <c r="AH11" i="76"/>
  <c r="AH9" i="76"/>
  <c r="AH8" i="76"/>
  <c r="AH7" i="76"/>
  <c r="AH5" i="76"/>
  <c r="AH20" i="76"/>
  <c r="AH17" i="76"/>
  <c r="AH15" i="76"/>
  <c r="AJ4" i="76" l="1"/>
  <c r="AI45" i="76"/>
  <c r="AI44" i="76"/>
  <c r="AI28" i="76"/>
  <c r="AI33" i="76"/>
  <c r="AI26" i="76"/>
  <c r="AI24" i="76"/>
  <c r="AI35" i="76"/>
  <c r="AI27" i="76"/>
  <c r="AI42" i="76"/>
  <c r="AI41" i="76"/>
  <c r="AI40" i="76"/>
  <c r="AI29" i="76"/>
  <c r="AI22" i="76"/>
  <c r="AI31" i="76"/>
  <c r="AI23" i="76"/>
  <c r="AI17" i="76"/>
  <c r="AI43" i="76"/>
  <c r="AI38" i="76"/>
  <c r="AI36" i="76"/>
  <c r="AI25" i="76"/>
  <c r="AI18" i="76"/>
  <c r="AI19" i="76"/>
  <c r="AI30" i="76"/>
  <c r="AI20" i="76"/>
  <c r="AI7" i="76"/>
  <c r="AI39" i="76"/>
  <c r="AI32" i="76"/>
  <c r="AI34" i="76"/>
  <c r="AI37" i="76"/>
  <c r="AI15" i="76"/>
  <c r="AI16" i="76"/>
  <c r="AI10" i="76"/>
  <c r="AI9" i="76"/>
  <c r="AI8" i="76"/>
  <c r="AI11" i="76"/>
  <c r="AI21" i="76"/>
  <c r="AI5" i="76"/>
  <c r="AI6" i="76"/>
  <c r="AI14" i="76"/>
  <c r="AI13" i="76"/>
  <c r="AI12" i="76"/>
  <c r="AK4" i="76" l="1"/>
  <c r="AJ44" i="76"/>
  <c r="AJ43" i="76"/>
  <c r="AJ42" i="76"/>
  <c r="AJ41" i="76"/>
  <c r="AJ26" i="76"/>
  <c r="AJ19" i="76"/>
  <c r="AJ45" i="76"/>
  <c r="AJ28" i="76"/>
  <c r="AJ20" i="76"/>
  <c r="AJ40" i="76"/>
  <c r="AJ39" i="76"/>
  <c r="AJ33" i="76"/>
  <c r="AJ38" i="76"/>
  <c r="AJ37" i="76"/>
  <c r="AJ16" i="76"/>
  <c r="AJ29" i="76"/>
  <c r="AJ34" i="76"/>
  <c r="AJ31" i="76"/>
  <c r="AJ25" i="76"/>
  <c r="AJ35" i="76"/>
  <c r="AJ27" i="76"/>
  <c r="AJ30" i="76"/>
  <c r="AJ23" i="76"/>
  <c r="AJ36" i="76"/>
  <c r="AJ24" i="76"/>
  <c r="AJ21" i="76"/>
  <c r="AJ17" i="76"/>
  <c r="AJ12" i="76"/>
  <c r="AJ15" i="76"/>
  <c r="AJ14" i="76"/>
  <c r="AJ13" i="76"/>
  <c r="AJ18" i="76"/>
  <c r="AJ22" i="76"/>
  <c r="AJ7" i="76"/>
  <c r="AJ8" i="76"/>
  <c r="AJ6" i="76"/>
  <c r="AJ32" i="76"/>
  <c r="AJ11" i="76"/>
  <c r="AJ10" i="76"/>
  <c r="AJ9" i="76"/>
  <c r="AJ5" i="76"/>
  <c r="AL4" i="76" l="1"/>
  <c r="AK40" i="76"/>
  <c r="AK39" i="76"/>
  <c r="AK30" i="76"/>
  <c r="AK35" i="76"/>
  <c r="AK43" i="76"/>
  <c r="AK22" i="76"/>
  <c r="AK26" i="76"/>
  <c r="AK31" i="76"/>
  <c r="AK36" i="76"/>
  <c r="AK24" i="76"/>
  <c r="AK45" i="76"/>
  <c r="AK37" i="76"/>
  <c r="AK27" i="76"/>
  <c r="AK28" i="76"/>
  <c r="AK20" i="76"/>
  <c r="AK44" i="76"/>
  <c r="AK42" i="76"/>
  <c r="AK21" i="76"/>
  <c r="AK32" i="76"/>
  <c r="AK9" i="76"/>
  <c r="AK14" i="76"/>
  <c r="AK41" i="76"/>
  <c r="AK34" i="76"/>
  <c r="AK38" i="76"/>
  <c r="AK25" i="76"/>
  <c r="AK33" i="76"/>
  <c r="AK17" i="76"/>
  <c r="AK18" i="76"/>
  <c r="AK16" i="76"/>
  <c r="AK29" i="76"/>
  <c r="AK12" i="76"/>
  <c r="AK11" i="76"/>
  <c r="AK15" i="76"/>
  <c r="AK23" i="76"/>
  <c r="AK6" i="76"/>
  <c r="AK19" i="76"/>
  <c r="AK13" i="76"/>
  <c r="AK10" i="76"/>
  <c r="AK8" i="76"/>
  <c r="AK7" i="76"/>
  <c r="AK5" i="76"/>
  <c r="AM4" i="76" l="1"/>
  <c r="AL42" i="76"/>
  <c r="AL37" i="76"/>
  <c r="AL35" i="76"/>
  <c r="AL44" i="76"/>
  <c r="AL33" i="76"/>
  <c r="AL41" i="76"/>
  <c r="AL39" i="76"/>
  <c r="AL18" i="76"/>
  <c r="AL31" i="76"/>
  <c r="AL36" i="76"/>
  <c r="AL29" i="76"/>
  <c r="AL23" i="76"/>
  <c r="AL8" i="76"/>
  <c r="AL27" i="76"/>
  <c r="AL32" i="76"/>
  <c r="AL45" i="76"/>
  <c r="AL43" i="76"/>
  <c r="AL40" i="76"/>
  <c r="AL30" i="76"/>
  <c r="AL34" i="76"/>
  <c r="AL25" i="76"/>
  <c r="AL14" i="76"/>
  <c r="AL7" i="76"/>
  <c r="AL38" i="76"/>
  <c r="AL28" i="76"/>
  <c r="AL21" i="76"/>
  <c r="AL22" i="76"/>
  <c r="AL19" i="76"/>
  <c r="AL24" i="76"/>
  <c r="AL10" i="76"/>
  <c r="AL12" i="76"/>
  <c r="AL17" i="76"/>
  <c r="AL16" i="76"/>
  <c r="AL13" i="76"/>
  <c r="AL5" i="76"/>
  <c r="AL20" i="76"/>
  <c r="AL26" i="76"/>
  <c r="AL9" i="76"/>
  <c r="AL15" i="76"/>
  <c r="AL6" i="76"/>
  <c r="AL11" i="76"/>
  <c r="AN4" i="76" l="1"/>
  <c r="AM45" i="76"/>
  <c r="AM44" i="76"/>
  <c r="AM29" i="76"/>
  <c r="AM42" i="76"/>
  <c r="AM40" i="76"/>
  <c r="AM22" i="76"/>
  <c r="AM35" i="76"/>
  <c r="AM23" i="76"/>
  <c r="AM26" i="76"/>
  <c r="AM20" i="76"/>
  <c r="AM43" i="76"/>
  <c r="AM38" i="76"/>
  <c r="AM36" i="76"/>
  <c r="AM25" i="76"/>
  <c r="AM18" i="76"/>
  <c r="AM27" i="76"/>
  <c r="AM19" i="76"/>
  <c r="AM39" i="76"/>
  <c r="AM37" i="76"/>
  <c r="AM32" i="76"/>
  <c r="AM41" i="76"/>
  <c r="AM21" i="76"/>
  <c r="AM28" i="76"/>
  <c r="AM33" i="76"/>
  <c r="AM30" i="76"/>
  <c r="AM34" i="76"/>
  <c r="AM15" i="76"/>
  <c r="AM11" i="76"/>
  <c r="AM31" i="76"/>
  <c r="AM7" i="76"/>
  <c r="AM17" i="76"/>
  <c r="AM9" i="76"/>
  <c r="AM8" i="76"/>
  <c r="AM14" i="76"/>
  <c r="AM24" i="76"/>
  <c r="AM10" i="76"/>
  <c r="AM6" i="76"/>
  <c r="AM12" i="76"/>
  <c r="AM16" i="76"/>
  <c r="AM5" i="76"/>
  <c r="AM13" i="76"/>
  <c r="AO4" i="76" l="1"/>
  <c r="AN40" i="76"/>
  <c r="AN43" i="76"/>
  <c r="AN42" i="76"/>
  <c r="AN41" i="76"/>
  <c r="AN33" i="76"/>
  <c r="AN32" i="76"/>
  <c r="AN16" i="76"/>
  <c r="AN17" i="76"/>
  <c r="AN25" i="76"/>
  <c r="AN29" i="76"/>
  <c r="AN34" i="76"/>
  <c r="AN38" i="76"/>
  <c r="AN36" i="76"/>
  <c r="AN30" i="76"/>
  <c r="AN39" i="76"/>
  <c r="AN35" i="76"/>
  <c r="AN23" i="76"/>
  <c r="AN24" i="76"/>
  <c r="AN18" i="76"/>
  <c r="AN12" i="76"/>
  <c r="AN44" i="76"/>
  <c r="AN45" i="76"/>
  <c r="AN26" i="76"/>
  <c r="AN27" i="76"/>
  <c r="AN19" i="76"/>
  <c r="AN20" i="76"/>
  <c r="AN37" i="76"/>
  <c r="AN31" i="76"/>
  <c r="AN8" i="76"/>
  <c r="AN22" i="76"/>
  <c r="AN7" i="76"/>
  <c r="AN28" i="76"/>
  <c r="AN15" i="76"/>
  <c r="AN14" i="76"/>
  <c r="AN13" i="76"/>
  <c r="AN5" i="76"/>
  <c r="AN11" i="76"/>
  <c r="AN10" i="76"/>
  <c r="AN9" i="76"/>
  <c r="AN6" i="76"/>
  <c r="AN21" i="76"/>
  <c r="AP4" i="76" l="1"/>
  <c r="AO5" i="76"/>
  <c r="AO40" i="76"/>
  <c r="AO39" i="76"/>
  <c r="AO26" i="76"/>
  <c r="AO31" i="76"/>
  <c r="AO24" i="76"/>
  <c r="AO45" i="76"/>
  <c r="AO27" i="76"/>
  <c r="AO32" i="76"/>
  <c r="AO20" i="76"/>
  <c r="AO25" i="76"/>
  <c r="AO21" i="76"/>
  <c r="AO37" i="76"/>
  <c r="AO41" i="76"/>
  <c r="AO36" i="76"/>
  <c r="AO34" i="76"/>
  <c r="AO17" i="76"/>
  <c r="AO22" i="76"/>
  <c r="AO44" i="76"/>
  <c r="AO43" i="76"/>
  <c r="AO42" i="76"/>
  <c r="AO30" i="76"/>
  <c r="AO35" i="76"/>
  <c r="AO29" i="76"/>
  <c r="AO38" i="76"/>
  <c r="AO28" i="76"/>
  <c r="AO16" i="76"/>
  <c r="AO6" i="76"/>
  <c r="AO19" i="76"/>
  <c r="AO23" i="76"/>
  <c r="AO18" i="76"/>
  <c r="AO13" i="76"/>
  <c r="AO12" i="76"/>
  <c r="AO11" i="76"/>
  <c r="AO10" i="76"/>
  <c r="AO8" i="76"/>
  <c r="AO7" i="76"/>
  <c r="AO9" i="76"/>
  <c r="AO33" i="76"/>
  <c r="AO15" i="76"/>
  <c r="AO14" i="76"/>
  <c r="AP31" i="76" l="1"/>
  <c r="AP29" i="76"/>
  <c r="AP27" i="76"/>
  <c r="AP45" i="76"/>
  <c r="AP44" i="76"/>
  <c r="AP43" i="76"/>
  <c r="AP32" i="76"/>
  <c r="AP34" i="76"/>
  <c r="AP19" i="76"/>
  <c r="AP38" i="76"/>
  <c r="AP28" i="76"/>
  <c r="AP25" i="76"/>
  <c r="AP21" i="76"/>
  <c r="AP26" i="76"/>
  <c r="AP22" i="76"/>
  <c r="AP23" i="76"/>
  <c r="AP16" i="76"/>
  <c r="AP10" i="76"/>
  <c r="AP15" i="76"/>
  <c r="AP6" i="76"/>
  <c r="AP42" i="76"/>
  <c r="AP41" i="76"/>
  <c r="AP40" i="76"/>
  <c r="AP39" i="76"/>
  <c r="AP37" i="76"/>
  <c r="AP35" i="76"/>
  <c r="AP17" i="76"/>
  <c r="AP18" i="76"/>
  <c r="AP36" i="76"/>
  <c r="AP33" i="76"/>
  <c r="AP20" i="76"/>
  <c r="AP24" i="76"/>
  <c r="AP5" i="76"/>
  <c r="AP30" i="76"/>
  <c r="AP9" i="76"/>
  <c r="AP8" i="76"/>
  <c r="AP7" i="76"/>
  <c r="AP14" i="76"/>
  <c r="AP13" i="76"/>
  <c r="AP12" i="76"/>
  <c r="AP11" i="76"/>
  <c r="B47" i="76" l="1"/>
  <c r="AN48" i="76" l="1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AJ48" i="76"/>
  <c r="AB48" i="76"/>
  <c r="T48" i="76"/>
  <c r="L48" i="76"/>
  <c r="D48" i="76"/>
  <c r="AG48" i="76"/>
  <c r="Y48" i="76"/>
  <c r="Q48" i="76"/>
  <c r="I48" i="76"/>
  <c r="AR38" i="76"/>
  <c r="AF48" i="76"/>
  <c r="P48" i="76"/>
  <c r="AR45" i="76"/>
  <c r="AR44" i="76"/>
  <c r="AR32" i="76"/>
  <c r="AR28" i="76"/>
  <c r="AC48" i="76"/>
  <c r="M48" i="76"/>
  <c r="AR42" i="76"/>
  <c r="AR41" i="76"/>
  <c r="AR40" i="76"/>
  <c r="AR37" i="76"/>
  <c r="AR36" i="76"/>
  <c r="AR33" i="76"/>
  <c r="AR29" i="76"/>
  <c r="AR25" i="76"/>
  <c r="H48" i="76"/>
  <c r="AK48" i="76"/>
  <c r="E48" i="76"/>
  <c r="X48" i="76"/>
  <c r="AR34" i="76"/>
  <c r="AR26" i="76"/>
  <c r="AR22" i="76"/>
  <c r="AR18" i="76"/>
  <c r="U48" i="76"/>
  <c r="AR31" i="76"/>
  <c r="AR23" i="76"/>
  <c r="AR19" i="76"/>
  <c r="AR30" i="76"/>
  <c r="AR24" i="76"/>
  <c r="AR20" i="76"/>
  <c r="AR35" i="76"/>
  <c r="AR17" i="76"/>
  <c r="AR15" i="76"/>
  <c r="AR11" i="76"/>
  <c r="AR7" i="76"/>
  <c r="AR21" i="76"/>
  <c r="AR16" i="76"/>
  <c r="AR14" i="76"/>
  <c r="AR13" i="76"/>
  <c r="AR12" i="76"/>
  <c r="AR6" i="76"/>
  <c r="AR27" i="76"/>
  <c r="AR10" i="76"/>
  <c r="AR9" i="76"/>
  <c r="AR5" i="76"/>
  <c r="AR8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<sst xmlns="http://schemas.openxmlformats.org/spreadsheetml/2006/main" count="2460" uniqueCount="405">
  <si>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</si>
  <si>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</si>
  <si>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</si>
  <si>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</si>
  <si>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</si>
  <si>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</si>
  <si>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</si>
  <si>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</si>
  <si>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</si>
  <si>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</si>
  <si>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</si>
  <si>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</si>
  <si>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</si>
  <si>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</si>
  <si>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</si>
  <si>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</si>
  <si>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</si>
  <si>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</si>
  <si>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</si>
  <si>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</si>
  <si>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</si>
  <si>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</si>
  <si>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</si>
  <si>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</si>
  <si>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</si>
  <si>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</si>
  <si>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</si>
  <si>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</si>
  <si>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</si>
  <si>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</si>
  <si>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</si>
  <si>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</si>
  <si>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</si>
  <si>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</si>
  <si>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</si>
  <si>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</si>
  <si>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</si>
  <si>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</si>
  <si>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</si>
  <si>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</si>
  <si>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</si>
  <si>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</si>
  <si>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</si>
  <si>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</si>
  <si>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</si>
  <si>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</si>
  <si>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</si>
  <si>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</si>
  <si>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</si>
  <si>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</si>
  <si>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</si>
  <si>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</si>
  <si>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</si>
  <si>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</si>
  <si>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</si>
  <si>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</si>
  <si>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</si>
  <si>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</si>
  <si>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</si>
  <si>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</si>
  <si>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</si>
  <si>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</si>
  <si>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</si>
  <si>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</si>
  <si>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</si>
  <si>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</si>
  <si>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</si>
  <si>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</si>
  <si>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</si>
  <si>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</si>
  <si>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</si>
  <si>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</si>
  <si>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</si>
  <si>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</si>
  <si>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</si>
  <si>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</si>
  <si>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</si>
  <si>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</si>
  <si>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</si>
  <si>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</si>
  <si>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</si>
  <si>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</si>
  <si>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</si>
  <si>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</si>
  <si>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</si>
  <si>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</si>
  <si>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</si>
  <si>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</si>
  <si>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</si>
  <si>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</si>
  <si>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</si>
  <si>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</si>
  <si>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</si>
  <si>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</si>
  <si>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</si>
  <si>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</si>
  <si>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</si>
  <si>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</si>
  <si>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</si>
  <si>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</si>
  <si>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</si>
  <si>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</si>
  <si>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</si>
  <si>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</si>
  <si>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</si>
  <si>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</si>
  <si>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</si>
  <si>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</si>
  <si>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</si>
  <si>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</si>
  <si>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</si>
  <si>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</si>
  <si>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</si>
  <si>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</si>
  <si>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</si>
  <si>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</si>
  <si>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</si>
  <si>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</si>
  <si>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</si>
  <si>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</si>
  <si>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</si>
  <si>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</si>
  <si>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</si>
  <si>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</si>
  <si>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</si>
  <si>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</si>
  <si>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</si>
  <si>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</si>
  <si>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</si>
  <si>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</si>
  <si>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</si>
  <si>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</si>
  <si>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</si>
  <si>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</si>
  <si>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</si>
  <si>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</si>
  <si>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</si>
  <si>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</si>
  <si>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</si>
  <si>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</si>
  <si>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</si>
  <si>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</si>
  <si>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</si>
  <si>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</si>
  <si>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</si>
  <si>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</si>
  <si>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</si>
  <si>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</si>
  <si>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</si>
  <si>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</si>
  <si>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</si>
  <si>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</si>
  <si>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</si>
  <si>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</si>
  <si>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</si>
  <si>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</si>
  <si>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</si>
  <si>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</si>
  <si>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</si>
  <si>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</si>
  <si>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</si>
  <si>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</si>
  <si>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</si>
  <si>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</si>
  <si>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</si>
  <si>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</si>
  <si>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</si>
  <si>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</si>
  <si>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</si>
  <si>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</si>
  <si>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</si>
  <si>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</si>
  <si>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</si>
  <si>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</si>
  <si>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</si>
  <si>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</si>
  <si>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</si>
  <si>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</si>
  <si>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</si>
  <si>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</si>
  <si>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</si>
  <si>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</si>
  <si>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</si>
  <si>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</si>
  <si>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</si>
  <si>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</si>
  <si>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</si>
  <si>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</si>
  <si>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</si>
  <si>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</si>
  <si>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</si>
  <si>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</si>
  <si>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</si>
  <si>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</si>
  <si>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</si>
  <si>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</si>
  <si>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</si>
  <si>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</si>
  <si>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</si>
  <si>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</si>
  <si>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</si>
  <si>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</si>
  <si>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</si>
  <si>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</si>
  <si>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</si>
  <si>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</si>
  <si>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</si>
  <si>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</si>
  <si>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</si>
  <si>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</si>
  <si>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</si>
  <si>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</si>
  <si>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</si>
  <si>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</si>
  <si>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</si>
  <si>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</si>
  <si>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</si>
  <si>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</si>
  <si>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</si>
  <si>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</si>
  <si>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</si>
  <si>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</si>
  <si>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</si>
  <si>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</si>
  <si>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</si>
  <si>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</si>
  <si>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</si>
  <si>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</si>
  <si>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</si>
  <si>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</si>
  <si>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</si>
  <si>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</si>
  <si>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</si>
  <si>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</si>
  <si>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</si>
  <si>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</si>
  <si>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</si>
  <si>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</si>
  <si>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</si>
  <si>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</si>
  <si>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</si>
  <si>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</si>
  <si>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</si>
  <si>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</si>
  <si>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</si>
  <si>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</si>
  <si>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</si>
  <si>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</si>
  <si>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</si>
  <si>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</si>
  <si>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</si>
  <si>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</si>
  <si>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</si>
  <si>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</si>
  <si>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</si>
  <si>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</si>
  <si>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</si>
  <si>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</si>
  <si>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</si>
  <si>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</si>
  <si>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</si>
  <si>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</si>
  <si>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</si>
  <si>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</si>
  <si>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</si>
  <si>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</si>
  <si>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</si>
  <si>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</si>
  <si>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</si>
  <si>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</si>
  <si>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</si>
  <si>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</si>
  <si>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</si>
  <si>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</si>
  <si>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</si>
  <si>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</si>
  <si>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</si>
  <si>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</si>
  <si>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</si>
  <si>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</si>
  <si>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</si>
  <si>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</si>
  <si>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</si>
  <si>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</si>
  <si>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</si>
  <si>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</si>
  <si>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</si>
  <si>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</si>
  <si>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</si>
  <si>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</si>
  <si>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</si>
  <si>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</si>
  <si>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</si>
  <si>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</si>
  <si>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</si>
  <si>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</si>
  <si>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</si>
  <si>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G14</t>
  </si>
  <si>
    <t>H14</t>
  </si>
  <si>
    <t>G15</t>
  </si>
  <si>
    <t>H15</t>
  </si>
  <si>
    <t>G16</t>
  </si>
  <si>
    <t>H16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</si>
  <si>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</si>
  <si>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</si>
  <si>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</si>
  <si>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</si>
  <si>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</si>
  <si>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</si>
  <si>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</si>
  <si>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</si>
  <si>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</si>
  <si>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</si>
  <si>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</si>
  <si>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</si>
  <si>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</si>
  <si>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</si>
  <si>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</si>
  <si>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</si>
  <si>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</si>
  <si>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</si>
  <si>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</si>
  <si>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</si>
  <si>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</si>
  <si>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</si>
  <si>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</si>
  <si>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</si>
  <si>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</si>
  <si>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</si>
  <si>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</si>
  <si>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</si>
  <si>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</si>
  <si>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</si>
  <si>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</si>
  <si>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</si>
  <si>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</si>
  <si>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</si>
  <si>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</si>
  <si>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</si>
  <si>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</si>
  <si>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</si>
  <si>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</si>
  <si>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</si>
  <si>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</si>
  <si>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</si>
  <si>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</si>
  <si>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</si>
  <si>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</si>
  <si>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</si>
  <si>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</si>
  <si>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</si>
  <si>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</si>
  <si>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</si>
  <si>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</si>
  <si>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</si>
  <si>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</si>
  <si>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</si>
  <si>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</si>
  <si>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</si>
  <si>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</si>
  <si>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</si>
  <si>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</si>
  <si>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</si>
  <si>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</si>
  <si>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</si>
  <si>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</si>
  <si>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</si>
  <si>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</si>
  <si>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</si>
  <si>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</si>
  <si>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</si>
  <si>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</si>
  <si>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</si>
  <si>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</si>
  <si>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</si>
  <si>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</si>
  <si>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</si>
  <si>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</si>
  <si>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</si>
  <si>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</si>
  <si>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</si>
  <si>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</si>
  <si>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</si>
  <si>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</si>
  <si>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</si>
  <si>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</si>
  <si>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</si>
  <si>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</si>
  <si>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</si>
  <si>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</si>
  <si>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</si>
  <si>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</si>
  <si>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</si>
  <si>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</si>
  <si>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</si>
  <si>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FAIL*</t>
  </si>
  <si>
    <t>PASS*</t>
  </si>
  <si>
    <t>NA</t>
  </si>
  <si>
    <t>FAIL</t>
  </si>
  <si>
    <t>This is an unused variable cell</t>
  </si>
  <si>
    <t>It tests what happens with sensitivity analysis and duals for missing vars</t>
  </si>
  <si>
    <t>OpenSolver Sensitivity Report - Gurobi</t>
  </si>
  <si>
    <t>Report Created: 15/02/2015 11:16:25 a.m.</t>
  </si>
  <si>
    <t>Report Created: 15/02/2015 11:16:31 a.m.</t>
  </si>
  <si>
    <t>Report Created: 15/02/2015 11:16:34 a.m.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</si>
</sst>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5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5" fillId="13" borderId="19" xfId="11" applyFill="1" applyBorder="1" applyAlignment="1"/>
    <xf numFmtId="0" fontId="25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99042912"/>
        <c:axId val="399035856"/>
        <c:axId val="371008120"/>
      </c:surface3DChart>
      <c:catAx>
        <c:axId val="39904291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03585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9903585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042912"/>
        <c:crosses val="min"/>
        <c:crossBetween val="between"/>
        <c:majorUnit val="0.1"/>
      </c:valAx>
      <c:serAx>
        <c:axId val="371008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03585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0</c:v>
                </c:pt>
                <c:pt idx="4">
                  <c:v>10</c:v>
                </c:pt>
                <c:pt idx="6">
                  <c:v>2</c:v>
                </c:pt>
                <c:pt idx="7">
                  <c:v>10</c:v>
                </c:pt>
                <c:pt idx="9">
                  <c:v>2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1</c:v>
                </c:pt>
                <c:pt idx="4">
                  <c:v>10</c:v>
                </c:pt>
                <c:pt idx="6">
                  <c:v>1</c:v>
                </c:pt>
                <c:pt idx="7">
                  <c:v>10</c:v>
                </c:pt>
                <c:pt idx="9">
                  <c:v>0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039776"/>
        <c:axId val="399042128"/>
      </c:scatterChart>
      <c:valAx>
        <c:axId val="39903977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042128"/>
        <c:crosses val="autoZero"/>
        <c:crossBetween val="midCat"/>
        <c:majorUnit val="0.5"/>
      </c:valAx>
      <c:valAx>
        <c:axId val="39904212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03977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2.9544232590366239</c:v>
                </c:pt>
                <c:pt idx="2">
                  <c:v>7.8784620240976633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0.52094453300079102</c:v>
                </c:pt>
                <c:pt idx="2">
                  <c:v>1.3891854213354426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059192"/>
        <c:axId val="248063896"/>
      </c:scatterChart>
      <c:valAx>
        <c:axId val="24805919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063896"/>
        <c:crosses val="autoZero"/>
        <c:crossBetween val="midCat"/>
        <c:majorUnit val="1"/>
      </c:valAx>
      <c:valAx>
        <c:axId val="24806389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05919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5924550" y="117157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4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5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7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9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0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1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12" name="OpenSolver 11"/>
        <xdr:cNvCxnSpPr>
          <a:stCxn id="10" idx="2"/>
          <a:endCxn id="11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4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352</v>
      </c>
    </row>
    <row r="5" spans="1:12" x14ac:dyDescent="0.25">
      <c r="A5" s="62" t="s">
        <v>202</v>
      </c>
      <c r="B5" s="62">
        <v>4</v>
      </c>
      <c r="L5" s="62" t="s">
        <v>358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69"/>
  <sheetViews>
    <sheetView tabSelected="1" zoomScale="85" zoomScaleNormal="85" zoomScalePageLayoutView="85" workbookViewId="0"/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9" s="167" customFormat="1" ht="63" customHeight="1" thickBot="1" x14ac:dyDescent="0.3">
      <c r="A1" s="169"/>
      <c r="C1" s="178" t="s">
        <v>374</v>
      </c>
      <c r="D1" s="178"/>
      <c r="E1" s="178"/>
      <c r="F1" s="178"/>
    </row>
    <row r="2" spans="1:9" s="166" customFormat="1" ht="15.75" thickBot="1" x14ac:dyDescent="0.3">
      <c r="A2" s="170" t="s">
        <v>194</v>
      </c>
      <c r="B2" s="165" t="s">
        <v>195</v>
      </c>
      <c r="C2" s="166" t="s">
        <v>196</v>
      </c>
      <c r="D2" s="166" t="s">
        <v>215</v>
      </c>
      <c r="E2" s="166" t="s">
        <v>244</v>
      </c>
      <c r="F2" s="166" t="s">
        <v>245</v>
      </c>
      <c r="G2" s="166" t="s">
        <v>197</v>
      </c>
      <c r="H2" s="166" t="s">
        <v>352</v>
      </c>
      <c r="I2" s="166" t="s">
        <v>358</v>
      </c>
    </row>
    <row r="3" spans="1:9" x14ac:dyDescent="0.25">
      <c r="A3" s="172" t="str">
        <f>HYPERLINK("[OpenSolver Tester.xlsm]Test1!A1", "Test1")</f>
        <v>Test1</v>
      </c>
      <c r="B3" s="60" t="s">
        <v>393</v>
      </c>
      <c r="C3" s="60" t="s">
        <v>393</v>
      </c>
      <c r="D3" s="60" t="s">
        <v>393</v>
      </c>
      <c r="E3" s="60" t="s">
        <v>393</v>
      </c>
      <c r="F3" s="60" t="s">
        <v>393</v>
      </c>
      <c r="G3" s="60" t="s">
        <v>393</v>
      </c>
      <c r="H3" s="60" t="s">
        <v>393</v>
      </c>
      <c r="I3" s="60" t="s">
        <v>393</v>
      </c>
    </row>
    <row r="4" spans="1:9" x14ac:dyDescent="0.25">
      <c r="A4" s="172" t="str">
        <f>HYPERLINK("[OpenSolver Tester.xlsm]Test1b!A1", "Test1b")</f>
        <v>Test1b</v>
      </c>
      <c r="B4" s="60" t="s">
        <v>393</v>
      </c>
      <c r="C4" s="60" t="s">
        <v>393</v>
      </c>
      <c r="D4" s="60" t="s">
        <v>393</v>
      </c>
      <c r="E4" s="60" t="s">
        <v>393</v>
      </c>
      <c r="F4" s="60" t="s">
        <v>393</v>
      </c>
      <c r="G4" s="60" t="s">
        <v>397</v>
      </c>
      <c r="H4" s="60" t="s">
        <v>393</v>
      </c>
      <c r="I4" s="60" t="s">
        <v>393</v>
      </c>
    </row>
    <row r="5" spans="1:9" x14ac:dyDescent="0.25">
      <c r="A5" s="172" t="str">
        <f>HYPERLINK("[OpenSolver Tester.xlsm]Test1c!A1", "Test1c")</f>
        <v>Test1c</v>
      </c>
      <c r="B5" s="60" t="s">
        <v>393</v>
      </c>
      <c r="C5" s="60" t="s">
        <v>393</v>
      </c>
      <c r="D5" s="60" t="s">
        <v>393</v>
      </c>
      <c r="E5" s="60" t="s">
        <v>393</v>
      </c>
      <c r="F5" s="60" t="s">
        <v>393</v>
      </c>
      <c r="G5" s="60" t="s">
        <v>397</v>
      </c>
      <c r="H5" s="60" t="s">
        <v>393</v>
      </c>
      <c r="I5" s="60" t="s">
        <v>393</v>
      </c>
    </row>
    <row r="6" spans="1:9" x14ac:dyDescent="0.25">
      <c r="A6" s="172" t="str">
        <f>HYPERLINK("[OpenSolver Tester.xlsm]Test1c2!A1", "Test1c2")</f>
        <v>Test1c2</v>
      </c>
      <c r="B6" s="60" t="s">
        <v>393</v>
      </c>
      <c r="C6" s="60" t="s">
        <v>393</v>
      </c>
      <c r="D6" s="60" t="s">
        <v>393</v>
      </c>
      <c r="E6" s="60" t="s">
        <v>393</v>
      </c>
      <c r="F6" s="60" t="s">
        <v>393</v>
      </c>
      <c r="G6" s="60" t="s">
        <v>397</v>
      </c>
      <c r="H6" s="60" t="s">
        <v>393</v>
      </c>
      <c r="I6" s="60" t="s">
        <v>393</v>
      </c>
    </row>
    <row r="7" spans="1:9" x14ac:dyDescent="0.25">
      <c r="A7" s="172" t="str">
        <f>HYPERLINK("[OpenSolver Tester.xlsm]Test1d!A1", "Test1d")</f>
        <v>Test1d</v>
      </c>
      <c r="B7" s="60" t="s">
        <v>393</v>
      </c>
      <c r="C7" s="60" t="s">
        <v>393</v>
      </c>
      <c r="D7" s="60" t="s">
        <v>393</v>
      </c>
      <c r="E7" s="60" t="s">
        <v>393</v>
      </c>
      <c r="F7" s="60" t="s">
        <v>393</v>
      </c>
      <c r="G7" s="60" t="s">
        <v>397</v>
      </c>
      <c r="H7" s="60" t="s">
        <v>393</v>
      </c>
      <c r="I7" s="60" t="s">
        <v>393</v>
      </c>
    </row>
    <row r="8" spans="1:9" x14ac:dyDescent="0.25">
      <c r="A8" s="172" t="str">
        <f>HYPERLINK("[OpenSolver Tester.xlsm]Test1e!A1", "Test1e")</f>
        <v>Test1e</v>
      </c>
      <c r="B8" s="60" t="s">
        <v>393</v>
      </c>
      <c r="C8" s="60" t="s">
        <v>393</v>
      </c>
      <c r="D8" s="60" t="s">
        <v>393</v>
      </c>
      <c r="E8" s="60" t="s">
        <v>393</v>
      </c>
      <c r="F8" s="60" t="s">
        <v>393</v>
      </c>
      <c r="G8" s="60" t="s">
        <v>397</v>
      </c>
      <c r="H8" s="60" t="s">
        <v>393</v>
      </c>
      <c r="I8" s="60" t="s">
        <v>393</v>
      </c>
    </row>
    <row r="9" spans="1:9" x14ac:dyDescent="0.25">
      <c r="A9" s="172" t="str">
        <f>HYPERLINK("[OpenSolver Tester.xlsm]Test1f!A1", "Test1f")</f>
        <v>Test1f</v>
      </c>
      <c r="B9" s="60" t="s">
        <v>393</v>
      </c>
      <c r="C9" s="60" t="s">
        <v>393</v>
      </c>
      <c r="D9" s="60" t="s">
        <v>393</v>
      </c>
      <c r="E9" s="60" t="s">
        <v>393</v>
      </c>
      <c r="F9" s="60" t="s">
        <v>393</v>
      </c>
      <c r="G9" s="60" t="s">
        <v>397</v>
      </c>
      <c r="H9" s="60" t="s">
        <v>393</v>
      </c>
      <c r="I9" s="60" t="s">
        <v>393</v>
      </c>
    </row>
    <row r="10" spans="1:9" x14ac:dyDescent="0.25">
      <c r="A10" s="172" t="str">
        <f>HYPERLINK("[OpenSolver Tester.xlsm]Test1g!A1", "Test1g")</f>
        <v>Test1g</v>
      </c>
      <c r="B10" s="60" t="s">
        <v>393</v>
      </c>
      <c r="C10" s="60" t="s">
        <v>393</v>
      </c>
      <c r="D10" s="60" t="s">
        <v>393</v>
      </c>
      <c r="E10" s="60" t="s">
        <v>393</v>
      </c>
      <c r="F10" s="60" t="s">
        <v>393</v>
      </c>
      <c r="G10" s="60" t="s">
        <v>397</v>
      </c>
      <c r="H10" s="60" t="s">
        <v>393</v>
      </c>
      <c r="I10" s="60" t="s">
        <v>393</v>
      </c>
    </row>
    <row r="11" spans="1:9" x14ac:dyDescent="0.25">
      <c r="A11" s="172" t="str">
        <f>HYPERLINK("[OpenSolver Tester.xlsm]Test1h!A1", "Test1h")</f>
        <v>Test1h</v>
      </c>
      <c r="B11" s="60" t="s">
        <v>393</v>
      </c>
      <c r="C11" s="60" t="s">
        <v>393</v>
      </c>
      <c r="D11" s="60" t="s">
        <v>393</v>
      </c>
      <c r="E11" s="60" t="s">
        <v>393</v>
      </c>
      <c r="F11" s="60" t="s">
        <v>393</v>
      </c>
      <c r="G11" s="60" t="s">
        <v>397</v>
      </c>
      <c r="H11" s="60" t="s">
        <v>393</v>
      </c>
      <c r="I11" s="60" t="s">
        <v>393</v>
      </c>
    </row>
    <row r="12" spans="1:9" x14ac:dyDescent="0.25">
      <c r="A12" s="172" t="str">
        <f>HYPERLINK("[OpenSolver Tester.xlsm]Test1i!A1", "Test1i")</f>
        <v>Test1i</v>
      </c>
      <c r="B12" s="60" t="s">
        <v>393</v>
      </c>
      <c r="C12" s="60" t="s">
        <v>393</v>
      </c>
      <c r="D12" s="60" t="s">
        <v>393</v>
      </c>
      <c r="E12" s="60" t="s">
        <v>393</v>
      </c>
      <c r="F12" s="60" t="s">
        <v>393</v>
      </c>
      <c r="G12" s="60" t="s">
        <v>397</v>
      </c>
      <c r="H12" s="60" t="s">
        <v>393</v>
      </c>
      <c r="I12" s="60" t="s">
        <v>393</v>
      </c>
    </row>
    <row r="13" spans="1:9" x14ac:dyDescent="0.25">
      <c r="A13" s="172" t="str">
        <f>HYPERLINK("[OpenSolver Tester.xlsm]Test1j!A1", "Test1j")</f>
        <v>Test1j</v>
      </c>
      <c r="B13" s="60" t="s">
        <v>393</v>
      </c>
      <c r="C13" s="60" t="s">
        <v>393</v>
      </c>
      <c r="D13" s="60" t="s">
        <v>393</v>
      </c>
      <c r="E13" s="60" t="s">
        <v>393</v>
      </c>
      <c r="F13" s="60" t="s">
        <v>393</v>
      </c>
      <c r="G13" s="60" t="s">
        <v>397</v>
      </c>
      <c r="H13" s="60" t="s">
        <v>393</v>
      </c>
      <c r="I13" s="60" t="s">
        <v>393</v>
      </c>
    </row>
    <row r="14" spans="1:9" x14ac:dyDescent="0.25">
      <c r="A14" s="172" t="str">
        <f>HYPERLINK("[OpenSolver Tester.xlsm]Test1j2!A1", "Test1j2")</f>
        <v>Test1j2</v>
      </c>
      <c r="B14" s="60" t="s">
        <v>393</v>
      </c>
      <c r="C14" s="60" t="s">
        <v>393</v>
      </c>
      <c r="D14" s="60" t="s">
        <v>393</v>
      </c>
      <c r="E14" s="60" t="s">
        <v>393</v>
      </c>
      <c r="F14" s="60" t="s">
        <v>393</v>
      </c>
      <c r="G14" s="60" t="s">
        <v>397</v>
      </c>
      <c r="H14" s="60" t="s">
        <v>393</v>
      </c>
      <c r="I14" s="60" t="s">
        <v>393</v>
      </c>
    </row>
    <row r="15" spans="1:9" x14ac:dyDescent="0.25">
      <c r="A15" s="172" t="str">
        <f>HYPERLINK("[OpenSolver Tester.xlsm]Test1k!A1", "Test1k")</f>
        <v>Test1k</v>
      </c>
      <c r="B15" s="60" t="s">
        <v>393</v>
      </c>
      <c r="C15" s="60" t="s">
        <v>393</v>
      </c>
      <c r="D15" s="60" t="s">
        <v>393</v>
      </c>
      <c r="E15" s="60" t="s">
        <v>393</v>
      </c>
      <c r="F15" s="60" t="s">
        <v>393</v>
      </c>
      <c r="G15" s="60" t="s">
        <v>397</v>
      </c>
      <c r="H15" s="60" t="s">
        <v>393</v>
      </c>
      <c r="I15" s="60" t="s">
        <v>393</v>
      </c>
    </row>
    <row r="16" spans="1:9" x14ac:dyDescent="0.25">
      <c r="A16" s="172" t="str">
        <f>HYPERLINK("[OpenSolver Tester.xlsm]Test1l!A1", "Test1l")</f>
        <v>Test1l</v>
      </c>
      <c r="B16" s="60" t="s">
        <v>393</v>
      </c>
      <c r="C16" s="60" t="s">
        <v>393</v>
      </c>
      <c r="D16" s="60" t="s">
        <v>393</v>
      </c>
      <c r="E16" s="60" t="s">
        <v>393</v>
      </c>
      <c r="F16" s="60" t="s">
        <v>393</v>
      </c>
      <c r="G16" s="60" t="s">
        <v>397</v>
      </c>
      <c r="H16" s="60" t="s">
        <v>393</v>
      </c>
      <c r="I16" s="60" t="s">
        <v>393</v>
      </c>
    </row>
    <row r="17" spans="1:9" x14ac:dyDescent="0.25">
      <c r="A17" s="172" t="str">
        <f>HYPERLINK("[OpenSolver Tester.xlsm]Test1m!A1", "Test1m")</f>
        <v>Test1m</v>
      </c>
      <c r="B17" s="60" t="s">
        <v>393</v>
      </c>
      <c r="C17" s="60" t="s">
        <v>393</v>
      </c>
      <c r="D17" s="60" t="s">
        <v>393</v>
      </c>
      <c r="E17" s="60" t="s">
        <v>393</v>
      </c>
      <c r="F17" s="60" t="s">
        <v>393</v>
      </c>
      <c r="G17" s="60" t="s">
        <v>397</v>
      </c>
      <c r="H17" s="60" t="s">
        <v>393</v>
      </c>
      <c r="I17" s="60" t="s">
        <v>393</v>
      </c>
    </row>
    <row r="18" spans="1:9" x14ac:dyDescent="0.25">
      <c r="A18" s="172" t="str">
        <f>HYPERLINK("[OpenSolver Tester.xlsm]Test2!A1", "Test2")</f>
        <v>Test2</v>
      </c>
      <c r="B18" s="60" t="s">
        <v>393</v>
      </c>
      <c r="C18" s="60" t="s">
        <v>393</v>
      </c>
      <c r="D18" s="60" t="s">
        <v>393</v>
      </c>
      <c r="E18" s="60" t="s">
        <v>393</v>
      </c>
      <c r="F18" s="60" t="s">
        <v>393</v>
      </c>
      <c r="G18" s="60" t="s">
        <v>397</v>
      </c>
      <c r="H18" s="60" t="s">
        <v>393</v>
      </c>
      <c r="I18" s="60" t="s">
        <v>393</v>
      </c>
    </row>
    <row r="19" spans="1:9" x14ac:dyDescent="0.25">
      <c r="A19" s="172" t="str">
        <f>HYPERLINK("[OpenSolver Tester.xlsm]Test3!A1", "Test3")</f>
        <v>Test3</v>
      </c>
      <c r="B19" s="60" t="s">
        <v>393</v>
      </c>
      <c r="C19" s="60" t="s">
        <v>393</v>
      </c>
      <c r="D19" s="60" t="s">
        <v>393</v>
      </c>
      <c r="E19" s="60" t="s">
        <v>393</v>
      </c>
      <c r="F19" s="60" t="s">
        <v>393</v>
      </c>
      <c r="G19" s="60" t="s">
        <v>397</v>
      </c>
      <c r="H19" s="60" t="s">
        <v>393</v>
      </c>
      <c r="I19" s="60" t="s">
        <v>393</v>
      </c>
    </row>
    <row r="20" spans="1:9" x14ac:dyDescent="0.25">
      <c r="A20" s="172" t="str">
        <f>HYPERLINK("[OpenSolver Tester.xlsm]Test4!A1", "Test4")</f>
        <v>Test4</v>
      </c>
      <c r="B20" s="60" t="s">
        <v>393</v>
      </c>
      <c r="C20" s="60" t="s">
        <v>393</v>
      </c>
      <c r="D20" s="60" t="s">
        <v>393</v>
      </c>
      <c r="E20" s="60" t="s">
        <v>393</v>
      </c>
      <c r="F20" s="60" t="s">
        <v>393</v>
      </c>
      <c r="G20" s="60" t="s">
        <v>397</v>
      </c>
      <c r="H20" s="60" t="s">
        <v>393</v>
      </c>
      <c r="I20" s="60" t="s">
        <v>393</v>
      </c>
    </row>
    <row r="21" spans="1:9" x14ac:dyDescent="0.25">
      <c r="A21" s="172" t="str">
        <f>HYPERLINK("[OpenSolver Tester.xlsm]Test5!A1", "Test5")</f>
        <v>Test5</v>
      </c>
      <c r="B21" s="60" t="s">
        <v>393</v>
      </c>
      <c r="C21" s="60" t="s">
        <v>393</v>
      </c>
      <c r="D21" s="60" t="s">
        <v>393</v>
      </c>
      <c r="E21" s="60" t="s">
        <v>393</v>
      </c>
      <c r="F21" s="60" t="s">
        <v>393</v>
      </c>
      <c r="G21" s="60" t="s">
        <v>397</v>
      </c>
      <c r="H21" s="60" t="s">
        <v>393</v>
      </c>
      <c r="I21" s="60" t="s">
        <v>393</v>
      </c>
    </row>
    <row r="22" spans="1:9" x14ac:dyDescent="0.25">
      <c r="A22" s="172" t="str">
        <f>HYPERLINK("[OpenSolver Tester.xlsm]Test!6!A1", "Test!6")</f>
        <v>Test!6</v>
      </c>
      <c r="B22" s="60" t="s">
        <v>393</v>
      </c>
      <c r="C22" s="60" t="s">
        <v>393</v>
      </c>
      <c r="D22" s="60" t="s">
        <v>393</v>
      </c>
      <c r="E22" s="60" t="s">
        <v>393</v>
      </c>
      <c r="F22" s="60" t="s">
        <v>393</v>
      </c>
      <c r="G22" s="60" t="s">
        <v>397</v>
      </c>
      <c r="H22" s="60" t="s">
        <v>393</v>
      </c>
      <c r="I22" s="60" t="s">
        <v>393</v>
      </c>
    </row>
    <row r="23" spans="1:9" x14ac:dyDescent="0.25">
      <c r="A23" s="172" t="str">
        <f>HYPERLINK("[OpenSolver Tester.xlsm]Test7!A1", "Test7")</f>
        <v>Test7</v>
      </c>
      <c r="B23" s="60" t="s">
        <v>393</v>
      </c>
      <c r="C23" s="60" t="s">
        <v>393</v>
      </c>
      <c r="D23" s="60" t="s">
        <v>393</v>
      </c>
      <c r="E23" s="60" t="s">
        <v>393</v>
      </c>
      <c r="F23" s="60" t="s">
        <v>393</v>
      </c>
      <c r="G23" s="60" t="s">
        <v>397</v>
      </c>
      <c r="H23" s="60" t="s">
        <v>393</v>
      </c>
      <c r="I23" s="60" t="s">
        <v>393</v>
      </c>
    </row>
    <row r="24" spans="1:9" x14ac:dyDescent="0.25">
      <c r="A24" s="172" t="str">
        <f>HYPERLINK("[OpenSolver Tester.xlsm]Test8!A1", "Test8")</f>
        <v>Test8</v>
      </c>
      <c r="B24" s="60" t="s">
        <v>393</v>
      </c>
      <c r="C24" s="60" t="s">
        <v>393</v>
      </c>
      <c r="D24" s="60" t="s">
        <v>393</v>
      </c>
      <c r="E24" s="60" t="s">
        <v>393</v>
      </c>
      <c r="F24" s="60" t="s">
        <v>393</v>
      </c>
      <c r="G24" s="60" t="s">
        <v>397</v>
      </c>
      <c r="H24" s="60" t="s">
        <v>393</v>
      </c>
      <c r="I24" s="60" t="s">
        <v>393</v>
      </c>
    </row>
    <row r="25" spans="1:9" x14ac:dyDescent="0.25">
      <c r="A25" s="172" t="str">
        <f>HYPERLINK("[OpenSolver Tester.xlsm]Test8B!A1", "Test8B")</f>
        <v>Test8B</v>
      </c>
      <c r="B25" s="60" t="s">
        <v>393</v>
      </c>
      <c r="C25" s="60" t="s">
        <v>393</v>
      </c>
      <c r="D25" s="60" t="s">
        <v>393</v>
      </c>
      <c r="E25" s="60" t="s">
        <v>393</v>
      </c>
      <c r="F25" s="60" t="s">
        <v>393</v>
      </c>
      <c r="G25" s="60" t="s">
        <v>397</v>
      </c>
      <c r="H25" s="60" t="s">
        <v>393</v>
      </c>
      <c r="I25" s="60" t="s">
        <v>393</v>
      </c>
    </row>
    <row r="26" spans="1:9" x14ac:dyDescent="0.25">
      <c r="A26" s="172" t="str">
        <f>HYPERLINK("[OpenSolver Tester.xlsm]Test9A!A1", "Test9A")</f>
        <v>Test9A</v>
      </c>
      <c r="B26" s="60" t="s">
        <v>393</v>
      </c>
      <c r="C26" s="60" t="s">
        <v>393</v>
      </c>
      <c r="D26" s="60" t="s">
        <v>393</v>
      </c>
      <c r="E26" s="60" t="s">
        <v>393</v>
      </c>
      <c r="F26" s="60" t="s">
        <v>393</v>
      </c>
      <c r="G26" s="60" t="s">
        <v>397</v>
      </c>
      <c r="H26" s="60" t="s">
        <v>395</v>
      </c>
      <c r="I26" s="60" t="s">
        <v>393</v>
      </c>
    </row>
    <row r="27" spans="1:9" x14ac:dyDescent="0.25">
      <c r="A27" s="172" t="str">
        <f>HYPERLINK("[OpenSolver Tester.xlsm]Test9B!A1", "Test9B")</f>
        <v>Test9B</v>
      </c>
      <c r="B27" s="60" t="s">
        <v>393</v>
      </c>
      <c r="C27" s="60" t="s">
        <v>393</v>
      </c>
      <c r="D27" s="60" t="s">
        <v>393</v>
      </c>
      <c r="E27" s="60" t="s">
        <v>393</v>
      </c>
      <c r="F27" s="60" t="s">
        <v>393</v>
      </c>
      <c r="G27" s="60" t="s">
        <v>397</v>
      </c>
      <c r="H27" s="60" t="s">
        <v>393</v>
      </c>
      <c r="I27" s="60" t="s">
        <v>393</v>
      </c>
    </row>
    <row r="28" spans="1:9" x14ac:dyDescent="0.25">
      <c r="A28" s="172" t="str">
        <f>HYPERLINK("[OpenSolver Tester.xlsm]Test10!A1", "Test10")</f>
        <v>Test10</v>
      </c>
      <c r="B28" s="60" t="s">
        <v>393</v>
      </c>
      <c r="C28" s="60" t="s">
        <v>393</v>
      </c>
      <c r="D28" s="60" t="s">
        <v>393</v>
      </c>
      <c r="E28" s="60" t="s">
        <v>393</v>
      </c>
      <c r="F28" s="60" t="s">
        <v>393</v>
      </c>
      <c r="G28" s="60" t="s">
        <v>397</v>
      </c>
      <c r="H28" s="60" t="s">
        <v>393</v>
      </c>
      <c r="I28" s="60" t="s">
        <v>393</v>
      </c>
    </row>
    <row r="29" spans="1:9" x14ac:dyDescent="0.25">
      <c r="A29" s="172" t="str">
        <f>HYPERLINK("[OpenSolver Tester.xlsm]Test11!A1", "Test11")</f>
        <v>Test11</v>
      </c>
      <c r="B29" s="60" t="s">
        <v>393</v>
      </c>
      <c r="C29" s="60" t="s">
        <v>393</v>
      </c>
      <c r="D29" s="60" t="s">
        <v>393</v>
      </c>
      <c r="E29" s="60" t="s">
        <v>393</v>
      </c>
      <c r="F29" s="60" t="s">
        <v>393</v>
      </c>
      <c r="G29" s="60" t="s">
        <v>396</v>
      </c>
      <c r="H29" s="60" t="s">
        <v>393</v>
      </c>
      <c r="I29" s="60" t="s">
        <v>393</v>
      </c>
    </row>
    <row r="30" spans="1:9" x14ac:dyDescent="0.25">
      <c r="A30" s="172" t="str">
        <f>HYPERLINK("[OpenSolver Tester.xlsm]Test12!A1", "Test12")</f>
        <v>Test12</v>
      </c>
      <c r="B30" s="60" t="s">
        <v>393</v>
      </c>
      <c r="C30" s="60" t="s">
        <v>393</v>
      </c>
      <c r="D30" s="60" t="s">
        <v>393</v>
      </c>
      <c r="E30" s="60" t="s">
        <v>393</v>
      </c>
      <c r="F30" s="60" t="s">
        <v>393</v>
      </c>
      <c r="G30" s="60" t="s">
        <v>397</v>
      </c>
      <c r="H30" s="60" t="s">
        <v>393</v>
      </c>
      <c r="I30" s="60" t="s">
        <v>393</v>
      </c>
    </row>
    <row r="31" spans="1:9" x14ac:dyDescent="0.25">
      <c r="A31" s="172" t="str">
        <f>HYPERLINK("[OpenSolver Tester.xlsm]Test13!A1", "Test13")</f>
        <v>Test13</v>
      </c>
      <c r="B31" s="60" t="s">
        <v>393</v>
      </c>
      <c r="C31" s="60" t="s">
        <v>393</v>
      </c>
      <c r="D31" s="60" t="s">
        <v>393</v>
      </c>
      <c r="E31" s="60" t="s">
        <v>393</v>
      </c>
      <c r="F31" s="60" t="s">
        <v>393</v>
      </c>
      <c r="G31" s="60" t="s">
        <v>397</v>
      </c>
      <c r="H31" s="60" t="s">
        <v>393</v>
      </c>
      <c r="I31" s="60" t="s">
        <v>393</v>
      </c>
    </row>
    <row r="32" spans="1:9" x14ac:dyDescent="0.25">
      <c r="A32" s="172" t="str">
        <f>HYPERLINK("[OpenSolver Tester.xlsm]Test13b!A1", "Test13b")</f>
        <v>Test13b</v>
      </c>
      <c r="B32" s="60" t="s">
        <v>393</v>
      </c>
      <c r="C32" s="60" t="s">
        <v>393</v>
      </c>
      <c r="D32" s="60" t="s">
        <v>393</v>
      </c>
      <c r="E32" s="60" t="s">
        <v>393</v>
      </c>
      <c r="F32" s="60" t="s">
        <v>393</v>
      </c>
      <c r="G32" s="60" t="s">
        <v>397</v>
      </c>
      <c r="H32" s="60" t="s">
        <v>393</v>
      </c>
      <c r="I32" s="60" t="s">
        <v>393</v>
      </c>
    </row>
    <row r="33" spans="1:9" x14ac:dyDescent="0.25">
      <c r="A33" s="172" t="str">
        <f>HYPERLINK("[OpenSolver Tester.xlsm]Test14!A1", "Test14")</f>
        <v>Test14</v>
      </c>
      <c r="B33" s="60" t="s">
        <v>393</v>
      </c>
      <c r="C33" s="60" t="s">
        <v>393</v>
      </c>
      <c r="D33" s="60" t="s">
        <v>393</v>
      </c>
      <c r="E33" s="60" t="s">
        <v>393</v>
      </c>
      <c r="F33" s="60" t="s">
        <v>393</v>
      </c>
      <c r="G33" s="60" t="s">
        <v>397</v>
      </c>
      <c r="H33" s="60" t="s">
        <v>393</v>
      </c>
      <c r="I33" s="60" t="s">
        <v>393</v>
      </c>
    </row>
    <row r="34" spans="1:9" x14ac:dyDescent="0.25">
      <c r="A34" s="172" t="str">
        <f>HYPERLINK("[OpenSolver Tester.xlsm]Test15!A1", "Test15")</f>
        <v>Test15</v>
      </c>
      <c r="B34" s="60" t="s">
        <v>393</v>
      </c>
      <c r="C34" s="60" t="s">
        <v>393</v>
      </c>
      <c r="D34" s="60" t="s">
        <v>393</v>
      </c>
      <c r="E34" s="60" t="s">
        <v>393</v>
      </c>
      <c r="F34" s="60" t="s">
        <v>393</v>
      </c>
      <c r="G34" s="60" t="s">
        <v>397</v>
      </c>
      <c r="H34" s="60" t="s">
        <v>393</v>
      </c>
      <c r="I34" s="60" t="s">
        <v>393</v>
      </c>
    </row>
    <row r="35" spans="1:9" x14ac:dyDescent="0.25">
      <c r="A35" s="172" t="str">
        <f>HYPERLINK("[OpenSolver Tester.xlsm]Test15b!A1", "Test15b")</f>
        <v>Test15b</v>
      </c>
      <c r="B35" s="60" t="s">
        <v>393</v>
      </c>
      <c r="C35" s="60" t="s">
        <v>393</v>
      </c>
      <c r="D35" s="60" t="s">
        <v>393</v>
      </c>
      <c r="E35" s="60" t="s">
        <v>393</v>
      </c>
      <c r="F35" s="60" t="s">
        <v>393</v>
      </c>
      <c r="G35" s="60" t="s">
        <v>397</v>
      </c>
      <c r="H35" s="60" t="s">
        <v>393</v>
      </c>
      <c r="I35" s="60" t="s">
        <v>393</v>
      </c>
    </row>
    <row r="36" spans="1:9" x14ac:dyDescent="0.25">
      <c r="A36" s="172" t="str">
        <f>HYPERLINK("[OpenSolver Tester.xlsm]Test15c!A1", "Test15c")</f>
        <v>Test15c</v>
      </c>
      <c r="B36" s="60" t="s">
        <v>393</v>
      </c>
      <c r="C36" s="60" t="s">
        <v>393</v>
      </c>
      <c r="D36" s="60" t="s">
        <v>393</v>
      </c>
      <c r="E36" s="60" t="s">
        <v>393</v>
      </c>
      <c r="F36" s="60" t="s">
        <v>393</v>
      </c>
      <c r="G36" s="60" t="s">
        <v>397</v>
      </c>
      <c r="H36" s="60" t="s">
        <v>395</v>
      </c>
      <c r="I36" s="60" t="s">
        <v>393</v>
      </c>
    </row>
    <row r="37" spans="1:9" x14ac:dyDescent="0.25">
      <c r="A37" s="172" t="str">
        <f>HYPERLINK("[OpenSolver Tester.xlsm]Test15d!A1", "Test15d")</f>
        <v>Test15d</v>
      </c>
      <c r="B37" s="60" t="s">
        <v>393</v>
      </c>
      <c r="C37" s="60" t="s">
        <v>393</v>
      </c>
      <c r="D37" s="60" t="s">
        <v>393</v>
      </c>
      <c r="E37" s="60" t="s">
        <v>393</v>
      </c>
      <c r="F37" s="60" t="s">
        <v>393</v>
      </c>
      <c r="G37" s="60" t="s">
        <v>397</v>
      </c>
      <c r="H37" s="60" t="s">
        <v>395</v>
      </c>
      <c r="I37" s="60" t="s">
        <v>393</v>
      </c>
    </row>
    <row r="38" spans="1:9" x14ac:dyDescent="0.25">
      <c r="A38" s="172" t="str">
        <f>HYPERLINK("[OpenSolver Tester.xlsm]Test16!A1", "Test16")</f>
        <v>Test16</v>
      </c>
      <c r="B38" s="60" t="s">
        <v>393</v>
      </c>
      <c r="C38" s="60" t="s">
        <v>393</v>
      </c>
      <c r="D38" s="60" t="s">
        <v>393</v>
      </c>
      <c r="E38" s="60" t="s">
        <v>393</v>
      </c>
      <c r="F38" s="60" t="s">
        <v>393</v>
      </c>
      <c r="G38" s="60" t="s">
        <v>397</v>
      </c>
      <c r="H38" s="60" t="s">
        <v>393</v>
      </c>
      <c r="I38" s="60" t="s">
        <v>393</v>
      </c>
    </row>
    <row r="39" spans="1:9" x14ac:dyDescent="0.25">
      <c r="A39" s="172" t="str">
        <f>HYPERLINK("[OpenSolver Tester.xlsm]Test16b!A1", "Test16b")</f>
        <v>Test16b</v>
      </c>
      <c r="B39" s="60" t="s">
        <v>393</v>
      </c>
      <c r="C39" s="60" t="s">
        <v>393</v>
      </c>
      <c r="D39" s="60" t="s">
        <v>393</v>
      </c>
      <c r="E39" s="60" t="s">
        <v>393</v>
      </c>
      <c r="F39" s="60" t="s">
        <v>393</v>
      </c>
      <c r="G39" s="60" t="s">
        <v>397</v>
      </c>
      <c r="H39" s="60" t="s">
        <v>393</v>
      </c>
      <c r="I39" s="60" t="s">
        <v>393</v>
      </c>
    </row>
    <row r="40" spans="1:9" x14ac:dyDescent="0.25">
      <c r="A40" s="172" t="str">
        <f>HYPERLINK("[OpenSolver Tester.xlsm]Test17!A1", "Test17")</f>
        <v>Test17</v>
      </c>
      <c r="B40" s="60" t="s">
        <v>393</v>
      </c>
      <c r="C40" s="60" t="s">
        <v>393</v>
      </c>
      <c r="D40" s="60" t="s">
        <v>393</v>
      </c>
      <c r="E40" s="60" t="s">
        <v>393</v>
      </c>
      <c r="F40" s="60" t="s">
        <v>393</v>
      </c>
      <c r="G40" s="60" t="s">
        <v>397</v>
      </c>
      <c r="H40" s="60" t="s">
        <v>393</v>
      </c>
      <c r="I40" s="60" t="s">
        <v>393</v>
      </c>
    </row>
    <row r="41" spans="1:9" x14ac:dyDescent="0.25">
      <c r="A41" s="172" t="str">
        <f>HYPERLINK("[OpenSolver Tester.xlsm]Test18!A1", "Test18")</f>
        <v>Test18</v>
      </c>
      <c r="B41" s="60" t="s">
        <v>393</v>
      </c>
      <c r="C41" s="60" t="s">
        <v>393</v>
      </c>
      <c r="D41" s="60" t="s">
        <v>393</v>
      </c>
      <c r="E41" s="60" t="s">
        <v>393</v>
      </c>
      <c r="F41" s="60" t="s">
        <v>393</v>
      </c>
      <c r="G41" s="60" t="s">
        <v>397</v>
      </c>
      <c r="H41" s="60" t="s">
        <v>393</v>
      </c>
      <c r="I41" s="60" t="s">
        <v>393</v>
      </c>
    </row>
    <row r="42" spans="1:9" x14ac:dyDescent="0.25">
      <c r="A42" s="172" t="str">
        <f>HYPERLINK("[OpenSolver Tester.xlsm]Test19!A1", "Test19")</f>
        <v>Test19</v>
      </c>
      <c r="B42" s="60" t="s">
        <v>393</v>
      </c>
      <c r="C42" s="60" t="s">
        <v>393</v>
      </c>
      <c r="D42" s="60" t="s">
        <v>393</v>
      </c>
      <c r="E42" s="60" t="s">
        <v>393</v>
      </c>
      <c r="F42" s="60" t="s">
        <v>393</v>
      </c>
      <c r="G42" s="60" t="s">
        <v>397</v>
      </c>
      <c r="H42" s="60" t="s">
        <v>393</v>
      </c>
      <c r="I42" s="60" t="s">
        <v>393</v>
      </c>
    </row>
    <row r="43" spans="1:9" x14ac:dyDescent="0.25">
      <c r="A43" s="172" t="str">
        <f>HYPERLINK("[OpenSolver Tester.xlsm]Test20!A1", "Test20")</f>
        <v>Test20</v>
      </c>
      <c r="B43" s="60" t="s">
        <v>393</v>
      </c>
      <c r="C43" s="60" t="s">
        <v>393</v>
      </c>
      <c r="D43" s="60" t="s">
        <v>393</v>
      </c>
      <c r="E43" s="60" t="s">
        <v>393</v>
      </c>
      <c r="F43" s="60" t="s">
        <v>393</v>
      </c>
      <c r="G43" s="60" t="s">
        <v>397</v>
      </c>
      <c r="H43" s="60" t="s">
        <v>393</v>
      </c>
      <c r="I43" s="60" t="s">
        <v>393</v>
      </c>
    </row>
    <row r="44" spans="1:9" x14ac:dyDescent="0.25">
      <c r="A44" s="172" t="str">
        <f>HYPERLINK("[OpenSolver Tester.xlsm]Test21!A1", "Test21")</f>
        <v>Test21</v>
      </c>
      <c r="B44" s="60" t="s">
        <v>393</v>
      </c>
      <c r="C44" s="60" t="s">
        <v>393</v>
      </c>
      <c r="D44" s="60" t="s">
        <v>393</v>
      </c>
      <c r="E44" s="60" t="s">
        <v>393</v>
      </c>
      <c r="F44" s="60" t="s">
        <v>393</v>
      </c>
      <c r="G44" s="60" t="s">
        <v>397</v>
      </c>
      <c r="H44" s="60" t="s">
        <v>393</v>
      </c>
      <c r="I44" s="60" t="s">
        <v>393</v>
      </c>
    </row>
    <row r="45" spans="1:9" x14ac:dyDescent="0.25">
      <c r="A45" s="172" t="str">
        <f>HYPERLINK("[OpenSolver Tester.xlsm]Test22!A1", "Test22")</f>
        <v>Test22</v>
      </c>
      <c r="B45" s="60" t="s">
        <v>393</v>
      </c>
      <c r="C45" s="60" t="s">
        <v>393</v>
      </c>
      <c r="D45" s="60" t="s">
        <v>393</v>
      </c>
      <c r="E45" s="60" t="s">
        <v>393</v>
      </c>
      <c r="F45" s="60" t="s">
        <v>393</v>
      </c>
      <c r="G45" s="60" t="s">
        <v>397</v>
      </c>
      <c r="H45" s="60" t="s">
        <v>395</v>
      </c>
      <c r="I45" s="60" t="s">
        <v>393</v>
      </c>
    </row>
    <row r="46" spans="1:9" x14ac:dyDescent="0.25">
      <c r="A46" s="172" t="str">
        <f>HYPERLINK("[OpenSolver Tester.xlsm]Test23!A1", "Test23")</f>
        <v>Test23</v>
      </c>
      <c r="B46" s="60" t="s">
        <v>393</v>
      </c>
      <c r="C46" s="60" t="s">
        <v>393</v>
      </c>
      <c r="D46" s="60" t="s">
        <v>393</v>
      </c>
      <c r="E46" s="60" t="s">
        <v>393</v>
      </c>
      <c r="F46" s="60" t="s">
        <v>393</v>
      </c>
      <c r="G46" s="60" t="s">
        <v>397</v>
      </c>
      <c r="H46" s="60" t="s">
        <v>395</v>
      </c>
      <c r="I46" s="60" t="s">
        <v>393</v>
      </c>
    </row>
    <row r="47" spans="1:9" x14ac:dyDescent="0.25">
      <c r="A47" s="172" t="str">
        <f>HYPERLINK("[OpenSolver Tester.xlsm]Test24_IterativeCalc!A1", "Test24_IterativeCalc")</f>
        <v>Test24_IterativeCalc</v>
      </c>
      <c r="B47" s="60" t="s">
        <v>393</v>
      </c>
      <c r="C47" s="60" t="s">
        <v>393</v>
      </c>
      <c r="D47" s="60" t="s">
        <v>393</v>
      </c>
      <c r="E47" s="60" t="s">
        <v>393</v>
      </c>
      <c r="F47" s="60" t="s">
        <v>393</v>
      </c>
      <c r="G47" s="60" t="s">
        <v>397</v>
      </c>
      <c r="H47" s="60" t="s">
        <v>393</v>
      </c>
      <c r="I47" s="60" t="s">
        <v>393</v>
      </c>
    </row>
    <row r="48" spans="1:9" x14ac:dyDescent="0.25">
      <c r="A48" s="172" t="str">
        <f>HYPERLINK("[OpenSolver Tester.xlsm]Test25!A1", "Test25")</f>
        <v>Test25</v>
      </c>
      <c r="B48" s="60" t="s">
        <v>393</v>
      </c>
      <c r="C48" s="60" t="s">
        <v>393</v>
      </c>
      <c r="D48" s="60" t="s">
        <v>393</v>
      </c>
      <c r="E48" s="60" t="s">
        <v>393</v>
      </c>
      <c r="F48" s="60" t="s">
        <v>393</v>
      </c>
      <c r="G48" s="60" t="s">
        <v>397</v>
      </c>
      <c r="H48" s="60" t="s">
        <v>393</v>
      </c>
      <c r="I48" s="60" t="s">
        <v>393</v>
      </c>
    </row>
    <row r="49" spans="1:9" x14ac:dyDescent="0.25">
      <c r="A49" s="172" t="str">
        <f>HYPERLINK("[OpenSolver Tester.xlsm]Test26!A1", "Test26")</f>
        <v>Test26</v>
      </c>
      <c r="B49" s="60" t="s">
        <v>393</v>
      </c>
      <c r="C49" s="60" t="s">
        <v>393</v>
      </c>
      <c r="D49" s="60" t="s">
        <v>393</v>
      </c>
      <c r="E49" s="60" t="s">
        <v>393</v>
      </c>
      <c r="F49" s="60" t="s">
        <v>393</v>
      </c>
      <c r="G49" s="60" t="s">
        <v>397</v>
      </c>
      <c r="H49" s="60" t="s">
        <v>393</v>
      </c>
      <c r="I49" s="60" t="s">
        <v>393</v>
      </c>
    </row>
    <row r="50" spans="1:9" x14ac:dyDescent="0.25">
      <c r="A50" s="172" t="str">
        <f>HYPERLINK("[OpenSolver Tester.xlsm]Test27_Parameters!A1", "Test27_Parameters")</f>
        <v>Test27_Parameters</v>
      </c>
      <c r="B50" s="60" t="s">
        <v>393</v>
      </c>
      <c r="C50" s="60" t="s">
        <v>393</v>
      </c>
      <c r="D50" s="60" t="s">
        <v>393</v>
      </c>
      <c r="E50" s="60" t="s">
        <v>397</v>
      </c>
      <c r="F50" s="60" t="s">
        <v>397</v>
      </c>
      <c r="G50" s="60" t="s">
        <v>397</v>
      </c>
      <c r="H50" s="60" t="s">
        <v>397</v>
      </c>
      <c r="I50" s="60" t="s">
        <v>397</v>
      </c>
    </row>
    <row r="51" spans="1:9" x14ac:dyDescent="0.25">
      <c r="A51" s="172" t="str">
        <f>HYPERLINK("[OpenSolver Tester.xlsm]Test28_CBCOptions!A1", "Test28_CBCOptions")</f>
        <v>Test28_CBCOptions</v>
      </c>
      <c r="B51" s="60" t="s">
        <v>393</v>
      </c>
      <c r="C51" s="60" t="s">
        <v>393</v>
      </c>
      <c r="D51" s="60" t="s">
        <v>393</v>
      </c>
      <c r="E51" s="60" t="s">
        <v>395</v>
      </c>
      <c r="F51" s="60" t="s">
        <v>393</v>
      </c>
      <c r="G51" s="60" t="s">
        <v>397</v>
      </c>
      <c r="H51" s="60" t="s">
        <v>395</v>
      </c>
      <c r="I51" s="60" t="s">
        <v>398</v>
      </c>
    </row>
    <row r="52" spans="1:9" x14ac:dyDescent="0.25">
      <c r="A52" s="172" t="str">
        <f>HYPERLINK("[OpenSolver Tester.xlsm]Test29!A1", "Test29")</f>
        <v>Test29</v>
      </c>
      <c r="B52" s="60" t="s">
        <v>393</v>
      </c>
      <c r="C52" s="60" t="s">
        <v>393</v>
      </c>
      <c r="D52" s="60" t="s">
        <v>393</v>
      </c>
      <c r="E52" s="60" t="s">
        <v>393</v>
      </c>
      <c r="F52" s="60" t="s">
        <v>393</v>
      </c>
      <c r="G52" s="60" t="s">
        <v>397</v>
      </c>
      <c r="H52" s="60" t="s">
        <v>393</v>
      </c>
      <c r="I52" s="60" t="s">
        <v>393</v>
      </c>
    </row>
    <row r="53" spans="1:9" x14ac:dyDescent="0.25">
      <c r="A53" s="172" t="str">
        <f>HYPERLINK("[OpenSolver Tester.xlsm]Test30!A1", "Test30")</f>
        <v>Test30</v>
      </c>
      <c r="B53" s="60" t="s">
        <v>393</v>
      </c>
      <c r="C53" s="60" t="s">
        <v>393</v>
      </c>
      <c r="D53" s="60" t="s">
        <v>393</v>
      </c>
      <c r="E53" s="60" t="s">
        <v>393</v>
      </c>
      <c r="F53" s="60" t="s">
        <v>393</v>
      </c>
      <c r="G53" s="60" t="s">
        <v>397</v>
      </c>
      <c r="H53" s="60" t="s">
        <v>393</v>
      </c>
      <c r="I53" s="60" t="s">
        <v>393</v>
      </c>
    </row>
    <row r="54" spans="1:9" x14ac:dyDescent="0.25">
      <c r="A54" s="172" t="str">
        <f>HYPERLINK("[OpenSolver Tester.xlsm]Test31!A1", "Test31")</f>
        <v>Test31</v>
      </c>
      <c r="B54" s="60" t="s">
        <v>393</v>
      </c>
      <c r="C54" s="60" t="s">
        <v>393</v>
      </c>
      <c r="D54" s="60" t="s">
        <v>393</v>
      </c>
      <c r="E54" s="60" t="s">
        <v>393</v>
      </c>
      <c r="F54" s="60" t="s">
        <v>393</v>
      </c>
      <c r="G54" s="60" t="s">
        <v>397</v>
      </c>
      <c r="H54" s="60" t="s">
        <v>393</v>
      </c>
      <c r="I54" s="60" t="s">
        <v>393</v>
      </c>
    </row>
    <row r="55" spans="1:9" x14ac:dyDescent="0.25">
      <c r="A55" s="172" t="str">
        <f>HYPERLINK("[OpenSolver Tester.xlsm]Test32!A1", "Test32")</f>
        <v>Test32</v>
      </c>
      <c r="B55" s="60" t="s">
        <v>393</v>
      </c>
      <c r="C55" s="60" t="s">
        <v>393</v>
      </c>
      <c r="D55" s="60" t="s">
        <v>393</v>
      </c>
      <c r="E55" s="60" t="s">
        <v>393</v>
      </c>
      <c r="F55" s="60" t="s">
        <v>393</v>
      </c>
      <c r="G55" s="60" t="s">
        <v>397</v>
      </c>
      <c r="H55" s="60" t="s">
        <v>393</v>
      </c>
      <c r="I55" s="60" t="s">
        <v>393</v>
      </c>
    </row>
    <row r="56" spans="1:9" x14ac:dyDescent="0.25">
      <c r="A56" s="172" t="str">
        <f>HYPERLINK("[OpenSolver Tester.xlsm]Test33!A1", "Test33")</f>
        <v>Test33</v>
      </c>
      <c r="B56" s="60" t="s">
        <v>393</v>
      </c>
      <c r="C56" s="60" t="s">
        <v>393</v>
      </c>
      <c r="D56" s="60" t="s">
        <v>393</v>
      </c>
      <c r="E56" s="60" t="s">
        <v>393</v>
      </c>
      <c r="F56" s="60" t="s">
        <v>393</v>
      </c>
      <c r="G56" s="60" t="s">
        <v>397</v>
      </c>
      <c r="H56" s="60" t="s">
        <v>393</v>
      </c>
      <c r="I56" s="60" t="s">
        <v>393</v>
      </c>
    </row>
    <row r="57" spans="1:9" x14ac:dyDescent="0.25">
      <c r="A57" s="172" t="str">
        <f>HYPERLINK("[OpenSolver Tester.xlsm]Test34!A1", "Test34")</f>
        <v>Test34</v>
      </c>
      <c r="B57" s="60" t="s">
        <v>393</v>
      </c>
      <c r="C57" s="60" t="s">
        <v>393</v>
      </c>
      <c r="D57" s="60" t="s">
        <v>393</v>
      </c>
      <c r="E57" s="60" t="s">
        <v>393</v>
      </c>
      <c r="F57" s="60" t="s">
        <v>393</v>
      </c>
      <c r="G57" s="60" t="s">
        <v>397</v>
      </c>
      <c r="H57" s="60" t="s">
        <v>393</v>
      </c>
      <c r="I57" s="60" t="s">
        <v>393</v>
      </c>
    </row>
    <row r="58" spans="1:9" x14ac:dyDescent="0.25">
      <c r="A58" s="172" t="str">
        <f>HYPERLINK("[OpenSolver Tester.xlsm]Test35!A1", "Test35")</f>
        <v>Test35</v>
      </c>
      <c r="B58" s="60" t="s">
        <v>393</v>
      </c>
      <c r="C58" s="60" t="s">
        <v>393</v>
      </c>
      <c r="D58" s="60" t="s">
        <v>393</v>
      </c>
      <c r="E58" s="60" t="s">
        <v>393</v>
      </c>
      <c r="F58" s="60" t="s">
        <v>393</v>
      </c>
      <c r="G58" s="60" t="s">
        <v>397</v>
      </c>
      <c r="H58" s="60" t="s">
        <v>393</v>
      </c>
      <c r="I58" s="60" t="s">
        <v>393</v>
      </c>
    </row>
    <row r="59" spans="1:9" x14ac:dyDescent="0.25">
      <c r="A59" s="172" t="str">
        <f>HYPERLINK("[OpenSolver Tester.xlsm]Test36!A1", "Test36")</f>
        <v>Test36</v>
      </c>
      <c r="B59" s="60" t="s">
        <v>393</v>
      </c>
      <c r="C59" s="60" t="s">
        <v>393</v>
      </c>
      <c r="D59" s="60" t="s">
        <v>393</v>
      </c>
      <c r="E59" s="60" t="s">
        <v>395</v>
      </c>
      <c r="F59" s="60" t="s">
        <v>393</v>
      </c>
      <c r="G59" s="60" t="s">
        <v>397</v>
      </c>
      <c r="H59" s="60" t="s">
        <v>395</v>
      </c>
      <c r="I59" s="60" t="s">
        <v>393</v>
      </c>
    </row>
    <row r="60" spans="1:9" x14ac:dyDescent="0.25">
      <c r="A60" s="172" t="str">
        <f>HYPERLINK("[OpenSolver Tester.xlsm]Test37!A1", "Test37")</f>
        <v>Test37</v>
      </c>
      <c r="B60" s="60" t="s">
        <v>393</v>
      </c>
      <c r="C60" s="60" t="s">
        <v>393</v>
      </c>
      <c r="D60" s="60" t="s">
        <v>393</v>
      </c>
      <c r="E60" s="60" t="s">
        <v>393</v>
      </c>
      <c r="F60" s="60" t="s">
        <v>393</v>
      </c>
      <c r="G60" s="60" t="s">
        <v>397</v>
      </c>
      <c r="H60" s="60" t="s">
        <v>393</v>
      </c>
      <c r="I60" s="60" t="s">
        <v>393</v>
      </c>
    </row>
    <row r="61" spans="1:9" x14ac:dyDescent="0.25">
      <c r="A61" s="172" t="str">
        <f>HYPERLINK("[OpenSolver Tester.xlsm]Test38!A1", "Test38")</f>
        <v>Test38</v>
      </c>
      <c r="B61" s="60" t="s">
        <v>393</v>
      </c>
      <c r="C61" s="60" t="s">
        <v>393</v>
      </c>
      <c r="D61" s="60" t="s">
        <v>393</v>
      </c>
      <c r="E61" s="60" t="s">
        <v>393</v>
      </c>
      <c r="F61" s="60" t="s">
        <v>393</v>
      </c>
      <c r="G61" s="60" t="s">
        <v>397</v>
      </c>
      <c r="H61" s="60" t="s">
        <v>393</v>
      </c>
      <c r="I61" s="60" t="s">
        <v>393</v>
      </c>
    </row>
    <row r="62" spans="1:9" x14ac:dyDescent="0.25">
      <c r="A62" s="172" t="str">
        <f>HYPERLINK("[OpenSolver Tester.xlsm]Test39_SensNames!A1", "Test39_SensNames")</f>
        <v>Test39_SensNames</v>
      </c>
      <c r="B62" s="60" t="s">
        <v>398</v>
      </c>
      <c r="C62" s="60" t="s">
        <v>398</v>
      </c>
      <c r="D62" s="60" t="s">
        <v>393</v>
      </c>
      <c r="E62" s="60" t="s">
        <v>393</v>
      </c>
      <c r="F62" s="60" t="s">
        <v>393</v>
      </c>
      <c r="G62" s="60" t="s">
        <v>397</v>
      </c>
      <c r="H62" s="60" t="s">
        <v>393</v>
      </c>
      <c r="I62" s="60" t="s">
        <v>393</v>
      </c>
    </row>
    <row r="63" spans="1:9" x14ac:dyDescent="0.25">
      <c r="A63" s="172" t="str">
        <f>HYPERLINK("[OpenSolver Tester.xlsm]Test40!A1", "Test40")</f>
        <v>Test40</v>
      </c>
      <c r="B63" s="60" t="s">
        <v>393</v>
      </c>
      <c r="C63" s="60" t="s">
        <v>393</v>
      </c>
      <c r="D63" s="60" t="s">
        <v>393</v>
      </c>
      <c r="E63" s="60" t="s">
        <v>393</v>
      </c>
      <c r="F63" s="60" t="s">
        <v>396</v>
      </c>
      <c r="G63" s="60" t="s">
        <v>397</v>
      </c>
      <c r="H63" s="60" t="s">
        <v>393</v>
      </c>
      <c r="I63" s="60" t="s">
        <v>393</v>
      </c>
    </row>
    <row r="64" spans="1:9" x14ac:dyDescent="0.25">
      <c r="A64" s="172" t="str">
        <f>HYPERLINK("[OpenSolver Tester.xlsm]Test41!A1", "Test41")</f>
        <v>Test41</v>
      </c>
      <c r="B64" s="60" t="s">
        <v>393</v>
      </c>
      <c r="C64" s="60" t="s">
        <v>393</v>
      </c>
      <c r="D64" s="60" t="s">
        <v>393</v>
      </c>
      <c r="E64" s="60" t="s">
        <v>393</v>
      </c>
      <c r="F64" s="60" t="s">
        <v>395</v>
      </c>
      <c r="G64" s="60" t="s">
        <v>397</v>
      </c>
      <c r="H64" s="60" t="s">
        <v>393</v>
      </c>
      <c r="I64" s="60" t="s">
        <v>395</v>
      </c>
    </row>
    <row r="65" spans="1:9" x14ac:dyDescent="0.25">
      <c r="A65" s="172" t="str">
        <f>HYPERLINK("[OpenSolver Tester.xlsm]Test42!A1", "Test42")</f>
        <v>Test42</v>
      </c>
      <c r="B65" s="60" t="s">
        <v>393</v>
      </c>
      <c r="C65" s="60" t="s">
        <v>393</v>
      </c>
      <c r="D65" s="60" t="s">
        <v>393</v>
      </c>
      <c r="E65" s="60" t="s">
        <v>393</v>
      </c>
      <c r="F65" s="60" t="s">
        <v>393</v>
      </c>
      <c r="G65" s="60" t="s">
        <v>397</v>
      </c>
      <c r="H65" s="60" t="s">
        <v>393</v>
      </c>
      <c r="I65" s="60" t="s">
        <v>393</v>
      </c>
    </row>
    <row r="66" spans="1:9" x14ac:dyDescent="0.25">
      <c r="A66" s="172" t="str">
        <f>HYPERLINK("[OpenSolver Tester.xlsm]Test43!A1", "Test43")</f>
        <v>Test43</v>
      </c>
      <c r="B66" s="60" t="s">
        <v>393</v>
      </c>
      <c r="C66" s="60" t="s">
        <v>393</v>
      </c>
      <c r="D66" s="60" t="s">
        <v>393</v>
      </c>
      <c r="E66" s="60" t="s">
        <v>393</v>
      </c>
      <c r="F66" s="60" t="s">
        <v>393</v>
      </c>
      <c r="G66" s="60" t="s">
        <v>397</v>
      </c>
      <c r="H66" s="60" t="s">
        <v>393</v>
      </c>
      <c r="I66" s="60" t="s">
        <v>393</v>
      </c>
    </row>
    <row r="67" spans="1:9" x14ac:dyDescent="0.25">
      <c r="A67" s="172" t="str">
        <f>HYPERLINK("[OpenSolver Tester.xlsm]Test44_Seek!A1", "Test44_Seek")</f>
        <v>Test44_Seek</v>
      </c>
      <c r="B67" s="60" t="s">
        <v>393</v>
      </c>
      <c r="C67" s="60" t="s">
        <v>393</v>
      </c>
      <c r="D67" s="60" t="s">
        <v>393</v>
      </c>
      <c r="E67" s="60" t="s">
        <v>393</v>
      </c>
      <c r="F67" s="60" t="s">
        <v>393</v>
      </c>
      <c r="G67" s="60" t="s">
        <v>397</v>
      </c>
      <c r="H67" s="60" t="s">
        <v>393</v>
      </c>
      <c r="I67" s="60" t="s">
        <v>393</v>
      </c>
    </row>
    <row r="68" spans="1:9" x14ac:dyDescent="0.25">
      <c r="A68" s="172" t="str">
        <f>HYPERLINK("[OpenSolver Tester.xlsm]Test45_SheetName(1)+2-1!A1", "Test45_SheetName(1)+2-1")</f>
        <v>Test45_SheetName(1)+2-1</v>
      </c>
      <c r="B68" s="60" t="s">
        <v>393</v>
      </c>
      <c r="C68" s="60" t="s">
        <v>393</v>
      </c>
      <c r="D68" s="60" t="s">
        <v>393</v>
      </c>
      <c r="E68" s="60" t="s">
        <v>393</v>
      </c>
      <c r="F68" s="60" t="s">
        <v>393</v>
      </c>
      <c r="G68" s="60" t="s">
        <v>397</v>
      </c>
      <c r="H68" s="60" t="s">
        <v>393</v>
      </c>
      <c r="I68" s="60" t="s">
        <v>393</v>
      </c>
    </row>
    <row r="69" spans="1:9" x14ac:dyDescent="0.25">
      <c r="A69" s="172" t="str">
        <f>HYPERLINK("[OpenSolver Tester.xlsm]Test46_NonLinBinary!A1", "Test46_NonLinBinary")</f>
        <v>Test46_NonLinBinary</v>
      </c>
      <c r="B69" s="60" t="s">
        <v>393</v>
      </c>
      <c r="C69" s="60" t="s">
        <v>393</v>
      </c>
      <c r="D69" s="60" t="s">
        <v>393</v>
      </c>
      <c r="E69" s="60" t="s">
        <v>393</v>
      </c>
      <c r="F69" s="60" t="s">
        <v>398</v>
      </c>
      <c r="G69" s="60" t="s">
        <v>397</v>
      </c>
      <c r="H69" s="60" t="s">
        <v>393</v>
      </c>
      <c r="I69" s="60" t="s">
        <v>393</v>
      </c>
    </row>
  </sheetData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J10" sqref="J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5.2941176470588198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9">
        <v>5.2941175999999999</v>
      </c>
      <c r="F5" s="179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9">
        <v>5.2941176470588198</v>
      </c>
      <c r="F5" s="179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9">
        <v>2</v>
      </c>
      <c r="D5" s="179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9">
        <v>150</v>
      </c>
      <c r="K10" s="17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9">
        <f>SUMPRODUCT($D$5:$F$5,D10:F10)</f>
        <v>116.47058823529403</v>
      </c>
      <c r="H10" s="179"/>
      <c r="I10" s="1" t="s">
        <v>8</v>
      </c>
      <c r="J10" s="1">
        <v>200</v>
      </c>
      <c r="K10" s="1"/>
      <c r="L10" t="s">
        <v>360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0">
        <v>5</v>
      </c>
      <c r="H10" s="18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0"/>
      <c r="H11" s="18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8.3970688204158801</v>
      </c>
      <c r="Q4" s="162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721.43095279773149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14.547826086956519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J11" sqref="J11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10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0</v>
      </c>
    </row>
    <row r="4" spans="1:15" ht="15.75" thickBot="1" x14ac:dyDescent="0.3">
      <c r="A4" s="64" t="s">
        <v>208</v>
      </c>
      <c r="C4" s="21" t="s">
        <v>45</v>
      </c>
      <c r="D4" s="22">
        <v>10</v>
      </c>
      <c r="E4" s="27">
        <f>289*D4</f>
        <v>2890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0</v>
      </c>
    </row>
    <row r="5" spans="1:15" x14ac:dyDescent="0.25">
      <c r="A5" s="63" t="s">
        <v>210</v>
      </c>
      <c r="C5" s="21" t="s">
        <v>46</v>
      </c>
      <c r="D5" s="22">
        <v>10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0</v>
      </c>
      <c r="C6" s="21" t="s">
        <v>47</v>
      </c>
      <c r="D6" s="22">
        <v>10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0</v>
      </c>
    </row>
    <row r="7" spans="1:15" x14ac:dyDescent="0.25">
      <c r="A7" s="63" t="s">
        <v>211</v>
      </c>
      <c r="C7" s="21" t="s">
        <v>48</v>
      </c>
      <c r="D7" s="22">
        <v>10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0</v>
      </c>
    </row>
    <row r="8" spans="1:15" x14ac:dyDescent="0.25">
      <c r="A8" s="65" t="s">
        <v>201</v>
      </c>
      <c r="C8" s="21" t="s">
        <v>49</v>
      </c>
      <c r="D8" s="22">
        <v>10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0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10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0</v>
      </c>
    </row>
    <row r="10" spans="1:15" ht="15" customHeight="1" thickBot="1" x14ac:dyDescent="0.3">
      <c r="A10" s="173" t="str">
        <f>HYPERLINK("[OpenSolver Tester.xlsm]Results!A1", "&lt;- Results")</f>
        <v>&lt;- Results</v>
      </c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10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0</v>
      </c>
    </row>
    <row r="12" spans="1:15" x14ac:dyDescent="0.25">
      <c r="C12" s="21" t="s">
        <v>52</v>
      </c>
      <c r="D12" s="22">
        <v>10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0</v>
      </c>
    </row>
    <row r="13" spans="1:15" x14ac:dyDescent="0.25">
      <c r="C13" s="21" t="s">
        <v>53</v>
      </c>
      <c r="D13" s="22">
        <v>10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0</v>
      </c>
    </row>
    <row r="14" spans="1:15" x14ac:dyDescent="0.25">
      <c r="C14" s="21" t="s">
        <v>54</v>
      </c>
      <c r="D14" s="22">
        <v>10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0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10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0</v>
      </c>
    </row>
    <row r="17" spans="3:15" x14ac:dyDescent="0.25">
      <c r="C17" s="21" t="s">
        <v>56</v>
      </c>
      <c r="D17" s="22">
        <v>10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10</v>
      </c>
      <c r="E18" s="28">
        <f>46*D18</f>
        <v>460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10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0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10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0</v>
      </c>
    </row>
    <row r="22" spans="3:15" x14ac:dyDescent="0.25">
      <c r="C22" s="21" t="s">
        <v>60</v>
      </c>
      <c r="D22" s="22">
        <v>10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0</v>
      </c>
    </row>
    <row r="23" spans="3:15" x14ac:dyDescent="0.25">
      <c r="C23" s="21" t="s">
        <v>61</v>
      </c>
      <c r="D23" s="22">
        <v>10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0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10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0</v>
      </c>
    </row>
    <row r="26" spans="3:15" x14ac:dyDescent="0.25">
      <c r="C26" s="21" t="s">
        <v>63</v>
      </c>
      <c r="D26" s="22">
        <v>10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0</v>
      </c>
    </row>
    <row r="27" spans="3:15" x14ac:dyDescent="0.25">
      <c r="C27" s="21" t="s">
        <v>64</v>
      </c>
      <c r="D27" s="22">
        <v>10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0</v>
      </c>
    </row>
    <row r="28" spans="3:15" x14ac:dyDescent="0.25">
      <c r="C28" s="21" t="s">
        <v>65</v>
      </c>
      <c r="D28" s="22">
        <v>10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0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10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0</v>
      </c>
    </row>
    <row r="31" spans="3:15" x14ac:dyDescent="0.25">
      <c r="C31" s="21" t="s">
        <v>67</v>
      </c>
      <c r="D31" s="22">
        <v>10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0</v>
      </c>
    </row>
    <row r="32" spans="3:15" x14ac:dyDescent="0.25">
      <c r="C32" s="21" t="s">
        <v>68</v>
      </c>
      <c r="D32" s="22">
        <v>10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0</v>
      </c>
    </row>
    <row r="33" spans="3:17" x14ac:dyDescent="0.25">
      <c r="C33" s="21" t="s">
        <v>69</v>
      </c>
      <c r="D33" s="22">
        <v>10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10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97010</v>
      </c>
      <c r="F39">
        <f>SUMPRODUCT($D$3:$D$35,F3:F35)</f>
        <v>2570</v>
      </c>
      <c r="G39">
        <f>SUMPRODUCT($D$3:$D$35,G3:G35)</f>
        <v>3090</v>
      </c>
      <c r="H39">
        <f>SUMPRODUCT($D$3:$D$35,H3:H35)</f>
        <v>111590</v>
      </c>
      <c r="I39">
        <f>SUMPRODUCT($D$3:$D$35,I3:I35)</f>
        <v>508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97010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97010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-10823.5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3090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111590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0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660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2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6600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357</v>
      </c>
      <c r="I1" s="153" t="s">
        <v>1</v>
      </c>
      <c r="J1" s="154" t="s">
        <v>2</v>
      </c>
      <c r="K1" s="154" t="s">
        <v>3</v>
      </c>
      <c r="L1" s="155" t="s">
        <v>356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10</v>
      </c>
      <c r="E3" s="31">
        <v>10</v>
      </c>
      <c r="F3" s="31">
        <v>10</v>
      </c>
      <c r="G3" s="31"/>
      <c r="I3" s="158" t="b">
        <f>ABS(D3-I2)/(1+ABS(I2))&lt;=0.000001</f>
        <v>0</v>
      </c>
      <c r="J3" s="159" t="b">
        <f>ABS(E3-J2)/(1+ABS(J2))&lt;=0.000001</f>
        <v>0</v>
      </c>
      <c r="K3" s="159" t="b">
        <f>ABS(F3-K2)/(1+ABS(K2))&lt;=0.000001</f>
        <v>0</v>
      </c>
      <c r="L3" s="160" t="b">
        <f>ABS(L2-H5)/(1+ABS(L2))&lt;=0.000001</f>
        <v>0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8100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330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6600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2200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2200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2200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2200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2200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2200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2200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2200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2200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2200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2200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2200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2200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2200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2200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2200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2200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2200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2200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2200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2200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2200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2200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2200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2200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2200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2200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2200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2200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2200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2200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2200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2200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2200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2200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2200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2200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2200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2200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2200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2200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2200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2200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2200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2200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2200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2200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2200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2200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2200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2200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2200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2200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2200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2200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2200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2200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2200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2200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2200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2200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2200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2200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2200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2310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-15180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2200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2200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2200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2200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2200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2200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2200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2200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2200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2200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2200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2200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2200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2200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2200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2200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2200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2200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2200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2200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2200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2200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2200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2200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2200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2200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2200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2200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2200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2200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2200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2200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2200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2200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2200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2200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2200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2200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2200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2200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2200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2200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2200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2200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2200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2200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2200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2200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2200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2200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2200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2200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2200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2200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2200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2200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2200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2200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2200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2200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2200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2200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2200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2200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2310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</v>
      </c>
      <c r="E4" s="150">
        <v>-2</v>
      </c>
      <c r="F4" s="54">
        <v>-2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359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372</v>
      </c>
    </row>
    <row r="2" spans="1:13" ht="15.75" thickBot="1" x14ac:dyDescent="0.3">
      <c r="A2" s="64" t="s">
        <v>205</v>
      </c>
      <c r="D2" s="18" t="s">
        <v>373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340199</v>
      </c>
      <c r="N9" s="58">
        <f ca="1">M9+1</f>
        <v>340200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1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5</v>
      </c>
      <c r="F4">
        <v>4</v>
      </c>
      <c r="G4">
        <v>5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401</v>
      </c>
    </row>
    <row r="2" spans="1:8" x14ac:dyDescent="0.25">
      <c r="A2" s="17" t="s">
        <v>243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402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361</v>
      </c>
      <c r="C7" s="75" t="s">
        <v>362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363</v>
      </c>
      <c r="C8" s="75" t="s">
        <v>364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365</v>
      </c>
      <c r="C9" s="111" t="s">
        <v>366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367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368</v>
      </c>
      <c r="C14" s="75" t="s">
        <v>392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369</v>
      </c>
      <c r="C15" s="75" t="s">
        <v>370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371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pageSetup paperSize="9" orientation="portrait" horizontalDpi="0" verticalDpi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4</v>
      </c>
      <c r="F4">
        <v>3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O15" sqref="O15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10</v>
      </c>
      <c r="D4" s="81">
        <v>10</v>
      </c>
      <c r="F4">
        <f>100*(D4-C4^2)^2+(1-C4)^2</f>
        <v>810081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10</v>
      </c>
      <c r="E5">
        <v>10</v>
      </c>
    </row>
    <row r="6" spans="1:15" ht="15.75" thickBot="1" x14ac:dyDescent="0.3">
      <c r="A6" s="64" t="b">
        <f>AND(F22)</f>
        <v>0</v>
      </c>
      <c r="F6">
        <f>D5^2*E5^2</f>
        <v>10000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100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20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10</v>
      </c>
      <c r="G10" t="s">
        <v>9</v>
      </c>
      <c r="H10">
        <v>0</v>
      </c>
    </row>
    <row r="11" spans="1:15" x14ac:dyDescent="0.25">
      <c r="F11">
        <f>E5</f>
        <v>10</v>
      </c>
      <c r="H11">
        <v>0</v>
      </c>
    </row>
    <row r="12" spans="1:15" x14ac:dyDescent="0.25">
      <c r="F12">
        <f>E5*D5+E5+D5</f>
        <v>120</v>
      </c>
      <c r="G12" t="s">
        <v>8</v>
      </c>
      <c r="H12">
        <v>60</v>
      </c>
      <c r="I12" t="s">
        <v>353</v>
      </c>
    </row>
    <row r="13" spans="1:15" x14ac:dyDescent="0.25">
      <c r="F13">
        <f>E5+D5*E5+D5</f>
        <v>120</v>
      </c>
      <c r="G13" t="s">
        <v>8</v>
      </c>
      <c r="H13">
        <v>60</v>
      </c>
      <c r="I13" t="s">
        <v>354</v>
      </c>
    </row>
    <row r="14" spans="1:15" x14ac:dyDescent="0.25">
      <c r="F14">
        <f>E5+D5+E5*D5</f>
        <v>120</v>
      </c>
      <c r="G14" t="s">
        <v>8</v>
      </c>
      <c r="H14">
        <v>60</v>
      </c>
      <c r="I14" t="s">
        <v>355</v>
      </c>
    </row>
    <row r="15" spans="1:15" ht="15.75" customHeight="1" x14ac:dyDescent="0.25">
      <c r="F15">
        <f>E5*D5-E5-D5</f>
        <v>80</v>
      </c>
      <c r="G15" t="s">
        <v>8</v>
      </c>
      <c r="H15">
        <v>0</v>
      </c>
      <c r="O15" s="83"/>
    </row>
    <row r="16" spans="1:15" x14ac:dyDescent="0.25">
      <c r="F16">
        <f>E5-D5*E5+D5</f>
        <v>-80</v>
      </c>
      <c r="G16" t="s">
        <v>8</v>
      </c>
      <c r="H16">
        <v>60</v>
      </c>
      <c r="O16" s="83"/>
    </row>
    <row r="17" spans="6:15" x14ac:dyDescent="0.25">
      <c r="F17">
        <f>E5-D5+E5*D5</f>
        <v>100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391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0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10</v>
      </c>
      <c r="E4">
        <v>10</v>
      </c>
      <c r="F4">
        <v>10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170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400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0</v>
      </c>
      <c r="E12" s="8" t="b">
        <f>ABS(E4-E11)/(1+ABS(E11))&lt;=0.0001</f>
        <v>0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10</v>
      </c>
      <c r="E5">
        <v>10</v>
      </c>
      <c r="F5">
        <v>10</v>
      </c>
      <c r="G5">
        <v>10</v>
      </c>
      <c r="H5">
        <v>10</v>
      </c>
    </row>
    <row r="6" spans="1:11" ht="15.75" thickBot="1" x14ac:dyDescent="0.3">
      <c r="A6" s="64" t="b">
        <f>AND(I16)</f>
        <v>0</v>
      </c>
      <c r="C6" t="s">
        <v>0</v>
      </c>
      <c r="I6">
        <f>H5</f>
        <v>10</v>
      </c>
    </row>
    <row r="7" spans="1:11" x14ac:dyDescent="0.25">
      <c r="A7" s="63" t="s">
        <v>211</v>
      </c>
      <c r="I7">
        <f>(D5-1)^2+(E5-1)^2+(F5-1)^2+(G5-1)^2+(H5-1)^2-25</f>
        <v>380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-580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-530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0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0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0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0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-10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-10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70.543421592812308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topLeftCell="A4"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21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8.85546875" style="17"/>
  </cols>
  <sheetData>
    <row r="1" spans="1:8" x14ac:dyDescent="0.25">
      <c r="A1" s="17" t="s">
        <v>401</v>
      </c>
    </row>
    <row r="2" spans="1:8" x14ac:dyDescent="0.25">
      <c r="A2" s="17" t="s">
        <v>281</v>
      </c>
    </row>
    <row r="3" spans="1:8" x14ac:dyDescent="0.25">
      <c r="A3" s="17" t="s">
        <v>403</v>
      </c>
    </row>
    <row r="5" spans="1:8" x14ac:dyDescent="0.25">
      <c r="A5" s="17" t="s">
        <v>228</v>
      </c>
    </row>
    <row r="6" spans="1:8" x14ac:dyDescent="0.25">
      <c r="B6" t="s">
        <v>229</v>
      </c>
      <c r="C6" t="s">
        <v>230</v>
      </c>
      <c r="D6" t="s">
        <v>231</v>
      </c>
      <c r="E6" t="s">
        <v>232</v>
      </c>
      <c r="F6" t="s">
        <v>233</v>
      </c>
      <c r="G6" t="s">
        <v>234</v>
      </c>
      <c r="H6" t="s">
        <v>235</v>
      </c>
    </row>
    <row r="7" spans="1:8" x14ac:dyDescent="0.25">
      <c r="B7" t="s">
        <v>270</v>
      </c>
      <c r="C7" t="s">
        <v>282</v>
      </c>
      <c r="D7">
        <v>100</v>
      </c>
      <c r="E7">
        <v>0</v>
      </c>
      <c r="F7">
        <v>10</v>
      </c>
      <c r="G7">
        <v>40</v>
      </c>
      <c r="H7" s="81">
        <v>1E+100</v>
      </c>
    </row>
    <row r="8" spans="1:8" x14ac:dyDescent="0.25">
      <c r="B8" t="s">
        <v>271</v>
      </c>
      <c r="C8" t="s">
        <v>283</v>
      </c>
      <c r="D8">
        <v>100</v>
      </c>
      <c r="E8">
        <v>0</v>
      </c>
      <c r="F8">
        <v>30</v>
      </c>
      <c r="G8">
        <v>5</v>
      </c>
      <c r="H8">
        <v>15</v>
      </c>
    </row>
    <row r="9" spans="1:8" x14ac:dyDescent="0.25">
      <c r="B9" t="s">
        <v>272</v>
      </c>
      <c r="C9" t="s">
        <v>284</v>
      </c>
      <c r="D9">
        <v>0</v>
      </c>
      <c r="E9">
        <v>10</v>
      </c>
      <c r="F9">
        <v>40</v>
      </c>
      <c r="G9" s="81">
        <v>1E+100</v>
      </c>
      <c r="H9">
        <v>10</v>
      </c>
    </row>
    <row r="10" spans="1:8" x14ac:dyDescent="0.25">
      <c r="B10" t="s">
        <v>297</v>
      </c>
      <c r="C10" t="s">
        <v>285</v>
      </c>
      <c r="D10">
        <v>0</v>
      </c>
      <c r="E10">
        <v>5</v>
      </c>
      <c r="F10">
        <v>40</v>
      </c>
      <c r="G10" s="81">
        <v>1E+100</v>
      </c>
      <c r="H10">
        <v>5</v>
      </c>
    </row>
    <row r="11" spans="1:8" x14ac:dyDescent="0.25">
      <c r="B11" t="s">
        <v>298</v>
      </c>
      <c r="C11" t="s">
        <v>286</v>
      </c>
      <c r="D11">
        <v>0</v>
      </c>
      <c r="E11">
        <v>25</v>
      </c>
      <c r="F11">
        <v>60</v>
      </c>
      <c r="G11" s="81">
        <v>1E+100</v>
      </c>
      <c r="H11">
        <v>25</v>
      </c>
    </row>
    <row r="12" spans="1:8" x14ac:dyDescent="0.25">
      <c r="B12" t="s">
        <v>273</v>
      </c>
      <c r="C12" t="s">
        <v>287</v>
      </c>
      <c r="D12">
        <v>0</v>
      </c>
      <c r="E12">
        <v>40</v>
      </c>
      <c r="F12">
        <v>35</v>
      </c>
      <c r="G12" s="81">
        <v>1E+100</v>
      </c>
      <c r="H12">
        <v>40</v>
      </c>
    </row>
    <row r="13" spans="1:8" x14ac:dyDescent="0.25">
      <c r="B13" t="s">
        <v>274</v>
      </c>
      <c r="C13" t="s">
        <v>288</v>
      </c>
      <c r="D13">
        <v>0</v>
      </c>
      <c r="E13">
        <v>5</v>
      </c>
      <c r="F13">
        <v>20</v>
      </c>
      <c r="G13" s="81">
        <v>1E+100</v>
      </c>
      <c r="H13">
        <v>5</v>
      </c>
    </row>
    <row r="14" spans="1:8" x14ac:dyDescent="0.25">
      <c r="B14" t="s">
        <v>275</v>
      </c>
      <c r="C14" t="s">
        <v>289</v>
      </c>
      <c r="D14">
        <v>200</v>
      </c>
      <c r="E14">
        <v>0</v>
      </c>
      <c r="F14">
        <v>15</v>
      </c>
      <c r="G14">
        <v>5</v>
      </c>
      <c r="H14">
        <v>0</v>
      </c>
    </row>
    <row r="15" spans="1:8" x14ac:dyDescent="0.25">
      <c r="B15" t="s">
        <v>299</v>
      </c>
      <c r="C15" t="s">
        <v>290</v>
      </c>
      <c r="D15">
        <v>100</v>
      </c>
      <c r="E15">
        <v>0</v>
      </c>
      <c r="F15">
        <v>20</v>
      </c>
      <c r="G15">
        <v>0</v>
      </c>
      <c r="H15" s="81">
        <v>1E+100</v>
      </c>
    </row>
    <row r="16" spans="1:8" x14ac:dyDescent="0.25">
      <c r="B16" t="s">
        <v>300</v>
      </c>
      <c r="C16" t="s">
        <v>291</v>
      </c>
      <c r="D16">
        <v>0</v>
      </c>
      <c r="E16">
        <v>10</v>
      </c>
      <c r="F16">
        <v>30</v>
      </c>
      <c r="G16" s="81">
        <v>1E+100</v>
      </c>
      <c r="H16">
        <v>10</v>
      </c>
    </row>
    <row r="17" spans="2:8" x14ac:dyDescent="0.25">
      <c r="B17" t="s">
        <v>276</v>
      </c>
      <c r="C17" t="s">
        <v>292</v>
      </c>
      <c r="D17">
        <v>0</v>
      </c>
      <c r="E17">
        <v>55</v>
      </c>
      <c r="F17">
        <v>45</v>
      </c>
      <c r="G17" s="81">
        <v>1E+100</v>
      </c>
      <c r="H17">
        <v>55</v>
      </c>
    </row>
    <row r="18" spans="2:8" x14ac:dyDescent="0.25">
      <c r="B18" t="s">
        <v>277</v>
      </c>
      <c r="C18" t="s">
        <v>293</v>
      </c>
      <c r="D18">
        <v>200</v>
      </c>
      <c r="E18">
        <v>0</v>
      </c>
      <c r="F18">
        <v>10</v>
      </c>
      <c r="G18">
        <v>5</v>
      </c>
      <c r="H18">
        <v>5</v>
      </c>
    </row>
    <row r="19" spans="2:8" x14ac:dyDescent="0.25">
      <c r="B19" t="s">
        <v>278</v>
      </c>
      <c r="C19" t="s">
        <v>294</v>
      </c>
      <c r="D19">
        <v>0</v>
      </c>
      <c r="E19">
        <v>0</v>
      </c>
      <c r="F19">
        <v>10</v>
      </c>
      <c r="G19">
        <v>0</v>
      </c>
      <c r="H19">
        <v>5</v>
      </c>
    </row>
    <row r="20" spans="2:8" x14ac:dyDescent="0.25">
      <c r="B20" t="s">
        <v>301</v>
      </c>
      <c r="C20" t="s">
        <v>295</v>
      </c>
      <c r="D20">
        <v>0</v>
      </c>
      <c r="E20">
        <v>0</v>
      </c>
      <c r="F20">
        <v>15</v>
      </c>
      <c r="G20" s="81">
        <v>1E+100</v>
      </c>
      <c r="H20">
        <v>0</v>
      </c>
    </row>
    <row r="21" spans="2:8" x14ac:dyDescent="0.25">
      <c r="B21" t="s">
        <v>302</v>
      </c>
      <c r="C21" t="s">
        <v>296</v>
      </c>
      <c r="D21">
        <v>150</v>
      </c>
      <c r="E21">
        <v>0</v>
      </c>
      <c r="F21">
        <v>15</v>
      </c>
      <c r="G21">
        <v>10</v>
      </c>
      <c r="H21" s="81">
        <v>1E+100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1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1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1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1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1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  <c r="K5" t="s">
        <v>399</v>
      </c>
    </row>
    <row r="6" spans="1:11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  <c r="K6" t="s">
        <v>400</v>
      </c>
    </row>
    <row r="7" spans="1:11" x14ac:dyDescent="0.25">
      <c r="A7" s="63" t="s">
        <v>211</v>
      </c>
      <c r="K7">
        <v>0</v>
      </c>
    </row>
    <row r="8" spans="1:11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1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1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1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1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1" x14ac:dyDescent="0.25">
      <c r="C14" t="s">
        <v>262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1" x14ac:dyDescent="0.25">
      <c r="C15" t="s">
        <v>263</v>
      </c>
      <c r="D15">
        <v>0</v>
      </c>
      <c r="E15" s="81">
        <v>0</v>
      </c>
      <c r="F15">
        <v>200</v>
      </c>
      <c r="G15" s="81">
        <v>100</v>
      </c>
      <c r="H15">
        <v>0</v>
      </c>
      <c r="I15">
        <f>SUM(D15:H15)</f>
        <v>300</v>
      </c>
      <c r="J15">
        <v>300</v>
      </c>
    </row>
    <row r="16" spans="1:11" x14ac:dyDescent="0.25">
      <c r="C16" t="s">
        <v>264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303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348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305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306</v>
      </c>
      <c r="D4" s="122">
        <v>5</v>
      </c>
      <c r="E4" s="123"/>
    </row>
    <row r="5" spans="1:5" x14ac:dyDescent="0.25">
      <c r="A5" s="63" t="s">
        <v>210</v>
      </c>
      <c r="C5" s="121" t="s">
        <v>307</v>
      </c>
      <c r="D5" s="124">
        <v>10</v>
      </c>
      <c r="E5" s="123"/>
    </row>
    <row r="6" spans="1:5" ht="15.75" thickBot="1" x14ac:dyDescent="0.3">
      <c r="A6" s="64" t="e">
        <f>AND(D17)</f>
        <v>#DIV/0!</v>
      </c>
      <c r="C6" s="121" t="s">
        <v>308</v>
      </c>
      <c r="D6" s="124">
        <v>20</v>
      </c>
      <c r="E6" s="123"/>
    </row>
    <row r="7" spans="1:5" x14ac:dyDescent="0.25">
      <c r="A7" s="63" t="s">
        <v>211</v>
      </c>
      <c r="C7" s="121" t="s">
        <v>309</v>
      </c>
      <c r="D7" s="122">
        <v>0.1</v>
      </c>
      <c r="E7" s="123"/>
    </row>
    <row r="8" spans="1:5" x14ac:dyDescent="0.25">
      <c r="A8" s="65" t="s">
        <v>201</v>
      </c>
      <c r="C8" s="121" t="s">
        <v>310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311</v>
      </c>
      <c r="D11" s="125">
        <v>0</v>
      </c>
      <c r="E11" s="123"/>
    </row>
    <row r="12" spans="1:5" x14ac:dyDescent="0.25">
      <c r="C12" s="121" t="s">
        <v>312</v>
      </c>
      <c r="D12" s="122">
        <f>D11/D4</f>
        <v>0</v>
      </c>
      <c r="E12" s="123"/>
    </row>
    <row r="13" spans="1:5" x14ac:dyDescent="0.25">
      <c r="C13" s="121" t="s">
        <v>313</v>
      </c>
      <c r="D13" s="124">
        <f>D8*D11/2</f>
        <v>0</v>
      </c>
      <c r="E13" s="123"/>
    </row>
    <row r="14" spans="1:5" x14ac:dyDescent="0.25">
      <c r="C14" s="121" t="s">
        <v>314</v>
      </c>
      <c r="D14" s="126" t="e">
        <f>D5/D12</f>
        <v>#DIV/0!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315</v>
      </c>
      <c r="D16" s="127" t="e">
        <f>D13+D14</f>
        <v>#DIV/0!</v>
      </c>
      <c r="E16" s="123"/>
    </row>
    <row r="17" spans="3:4" x14ac:dyDescent="0.25">
      <c r="D17" s="87" t="e">
        <f>D16&lt;0.75</f>
        <v>#DIV/0!</v>
      </c>
    </row>
    <row r="25" spans="3:4" x14ac:dyDescent="0.25">
      <c r="C25" s="87" t="s">
        <v>316</v>
      </c>
    </row>
    <row r="26" spans="3:4" x14ac:dyDescent="0.25">
      <c r="C26" s="87" t="s">
        <v>317</v>
      </c>
    </row>
    <row r="27" spans="3:4" x14ac:dyDescent="0.25">
      <c r="C27" s="87" t="s">
        <v>318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348</v>
      </c>
      <c r="B1" s="87"/>
      <c r="C1" s="122"/>
      <c r="D1" s="122" t="s">
        <v>319</v>
      </c>
      <c r="E1" s="122" t="s">
        <v>320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321</v>
      </c>
      <c r="K1" s="131"/>
      <c r="N1" s="132" t="s">
        <v>322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323</v>
      </c>
      <c r="D2" s="122">
        <v>0</v>
      </c>
      <c r="E2" s="122">
        <v>0</v>
      </c>
      <c r="F2" s="130">
        <v>10</v>
      </c>
      <c r="G2" s="130">
        <v>10</v>
      </c>
      <c r="H2" s="130">
        <v>10</v>
      </c>
      <c r="I2" s="130">
        <v>10</v>
      </c>
      <c r="J2" s="128">
        <f>SQRT(($F$2-D2)^2+($G$2-E2)^2)</f>
        <v>14.142135623730951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324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13.45362404707371</v>
      </c>
      <c r="K3" s="100"/>
      <c r="N3" s="90" t="s">
        <v>327</v>
      </c>
      <c r="O3" s="90">
        <f>$F$2</f>
        <v>10</v>
      </c>
      <c r="P3" s="90">
        <f>$G$2</f>
        <v>10</v>
      </c>
    </row>
    <row r="4" spans="1:16" s="129" customFormat="1" ht="15.75" thickBot="1" x14ac:dyDescent="0.3">
      <c r="A4" s="64" t="s">
        <v>208</v>
      </c>
      <c r="B4" s="87"/>
      <c r="C4" s="122" t="s">
        <v>325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12.041594578792296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326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12.806248474865697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328</v>
      </c>
      <c r="D6" s="134"/>
      <c r="E6" s="135"/>
      <c r="F6" s="135"/>
      <c r="G6" s="135"/>
      <c r="H6" s="135"/>
      <c r="I6" s="136"/>
      <c r="J6" s="128">
        <f>SQRT((H2-F2)^2+(I2-G2)^2)</f>
        <v>0</v>
      </c>
      <c r="K6" s="100"/>
      <c r="N6" s="90" t="s">
        <v>327</v>
      </c>
      <c r="O6" s="90">
        <f>$F$2</f>
        <v>10</v>
      </c>
      <c r="P6" s="90">
        <f>$G$2</f>
        <v>10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52.44360272446265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329</v>
      </c>
      <c r="O9" s="90">
        <f>$H$2</f>
        <v>10</v>
      </c>
      <c r="P9" s="90">
        <f>$I$2</f>
        <v>10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330</v>
      </c>
      <c r="O12" s="90">
        <f>$H$2</f>
        <v>10</v>
      </c>
      <c r="P12" s="90">
        <f>$I$2</f>
        <v>10</v>
      </c>
    </row>
    <row r="14" spans="1:16" x14ac:dyDescent="0.25">
      <c r="N14" s="90" t="s">
        <v>327</v>
      </c>
      <c r="O14" s="90">
        <f>$F$2</f>
        <v>10</v>
      </c>
      <c r="P14" s="90">
        <f>$G$2</f>
        <v>10</v>
      </c>
    </row>
    <row r="15" spans="1:16" x14ac:dyDescent="0.25">
      <c r="N15" s="90" t="s">
        <v>329</v>
      </c>
      <c r="O15" s="90">
        <f>$H$2</f>
        <v>10</v>
      </c>
      <c r="P15" s="90">
        <f>$I$2</f>
        <v>10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348</v>
      </c>
      <c r="C1" s="181" t="s">
        <v>331</v>
      </c>
      <c r="D1" s="181"/>
      <c r="E1" s="181"/>
    </row>
    <row r="2" spans="1:9" ht="16.5" thickBot="1" x14ac:dyDescent="0.35">
      <c r="A2" s="64" t="s">
        <v>205</v>
      </c>
      <c r="C2" s="142" t="s">
        <v>332</v>
      </c>
      <c r="D2" s="141">
        <v>3</v>
      </c>
      <c r="H2" s="141" t="s">
        <v>333</v>
      </c>
    </row>
    <row r="3" spans="1:9" ht="15.75" x14ac:dyDescent="0.3">
      <c r="A3" s="63" t="s">
        <v>209</v>
      </c>
      <c r="C3" s="142" t="s">
        <v>334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335</v>
      </c>
      <c r="D4" s="141">
        <v>7</v>
      </c>
      <c r="H4" s="141">
        <f>COS(RADIANS(D7))*D2</f>
        <v>2.9544232590366239</v>
      </c>
      <c r="I4" s="141">
        <f>SIN(RADIANS(D7))*D2</f>
        <v>0.52094453300079102</v>
      </c>
    </row>
    <row r="5" spans="1:9" x14ac:dyDescent="0.25">
      <c r="A5" s="63" t="s">
        <v>210</v>
      </c>
      <c r="H5" s="141">
        <f>H4+COS(RADIANS(D8))*D3</f>
        <v>7.8784620240976633</v>
      </c>
      <c r="I5" s="141">
        <f>I4+SIN(RADIANS(D8))*D3</f>
        <v>1.3891854213354426</v>
      </c>
    </row>
    <row r="6" spans="1:9" ht="15.75" thickBot="1" x14ac:dyDescent="0.3">
      <c r="A6" s="64" t="b">
        <f>AND(F16)</f>
        <v>0</v>
      </c>
      <c r="C6" s="181" t="s">
        <v>228</v>
      </c>
      <c r="D6" s="181"/>
      <c r="E6" s="181"/>
    </row>
    <row r="7" spans="1:9" x14ac:dyDescent="0.25">
      <c r="A7" s="63" t="s">
        <v>211</v>
      </c>
      <c r="C7" s="143" t="s">
        <v>336</v>
      </c>
      <c r="D7" s="144">
        <v>10</v>
      </c>
      <c r="E7" s="141" t="s">
        <v>337</v>
      </c>
    </row>
    <row r="8" spans="1:9" x14ac:dyDescent="0.25">
      <c r="A8" s="65" t="s">
        <v>201</v>
      </c>
      <c r="C8" s="143" t="s">
        <v>338</v>
      </c>
      <c r="D8" s="144">
        <v>10</v>
      </c>
      <c r="E8" s="141" t="s">
        <v>337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81" t="s">
        <v>339</v>
      </c>
      <c r="D10" s="181"/>
      <c r="E10" s="181"/>
    </row>
    <row r="11" spans="1:9" x14ac:dyDescent="0.25">
      <c r="C11" s="145" t="s">
        <v>340</v>
      </c>
      <c r="D11" s="145" t="s">
        <v>341</v>
      </c>
      <c r="E11" s="146" t="s">
        <v>342</v>
      </c>
      <c r="F11" s="146" t="s">
        <v>343</v>
      </c>
    </row>
    <row r="12" spans="1:9" x14ac:dyDescent="0.25">
      <c r="C12" s="146">
        <f>D2*COS(RADIANS(D7))+D3*COS(RADIANS(D8))</f>
        <v>7.8784620240976633</v>
      </c>
      <c r="D12" s="146">
        <f>D4</f>
        <v>7</v>
      </c>
      <c r="E12" s="146">
        <f>D12-C12</f>
        <v>-0.87846202409766327</v>
      </c>
      <c r="F12" s="146">
        <f>E12^2</f>
        <v>0.77169552778176354</v>
      </c>
    </row>
    <row r="13" spans="1:9" x14ac:dyDescent="0.25">
      <c r="C13" s="146">
        <f>D2*SIN(RADIANS(D7))+D3*SIN(RADIANS(D8))</f>
        <v>1.3891854213354426</v>
      </c>
      <c r="D13" s="146">
        <v>0</v>
      </c>
      <c r="E13" s="146">
        <f>C13-D13</f>
        <v>1.3891854213354426</v>
      </c>
      <c r="F13" s="146">
        <f>E13^2</f>
        <v>1.9298361348509314</v>
      </c>
    </row>
    <row r="15" spans="1:9" x14ac:dyDescent="0.25">
      <c r="C15" s="181" t="s">
        <v>344</v>
      </c>
      <c r="D15" s="181"/>
      <c r="E15" s="181"/>
      <c r="F15" s="147">
        <f>SUM(F12:F13)</f>
        <v>2.7015316626326951</v>
      </c>
    </row>
    <row r="16" spans="1:9" x14ac:dyDescent="0.25">
      <c r="C16" s="148"/>
      <c r="F16" s="141" t="b">
        <f>ABS(F15)&lt;=0.000001</f>
        <v>0</v>
      </c>
    </row>
    <row r="27" spans="3:4" x14ac:dyDescent="0.25">
      <c r="C27" s="141" t="s">
        <v>345</v>
      </c>
      <c r="D27" s="144">
        <v>-30</v>
      </c>
    </row>
    <row r="28" spans="3:4" x14ac:dyDescent="0.25">
      <c r="C28" s="141" t="s">
        <v>346</v>
      </c>
      <c r="D28" s="144">
        <v>50</v>
      </c>
    </row>
    <row r="30" spans="3:4" x14ac:dyDescent="0.25">
      <c r="C30" s="141" t="s">
        <v>347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348</v>
      </c>
      <c r="D1" t="s">
        <v>351</v>
      </c>
      <c r="E1" t="s">
        <v>350</v>
      </c>
      <c r="F1" t="s">
        <v>349</v>
      </c>
    </row>
    <row r="2" spans="1:9" ht="15.75" thickBot="1" x14ac:dyDescent="0.3">
      <c r="A2" s="64" t="s">
        <v>205</v>
      </c>
      <c r="D2">
        <v>250</v>
      </c>
      <c r="E2">
        <v>100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401</v>
      </c>
    </row>
    <row r="2" spans="1:8" x14ac:dyDescent="0.25">
      <c r="A2" s="17" t="s">
        <v>387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404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384</v>
      </c>
      <c r="C7" s="75" t="s">
        <v>388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385</v>
      </c>
      <c r="C8" s="75" t="s">
        <v>389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386</v>
      </c>
      <c r="C9" s="111" t="s">
        <v>390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379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380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367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381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348</v>
      </c>
      <c r="D1" t="s">
        <v>351</v>
      </c>
      <c r="E1" t="s">
        <v>350</v>
      </c>
      <c r="F1" t="s">
        <v>349</v>
      </c>
      <c r="L1" t="s">
        <v>375</v>
      </c>
      <c r="M1" t="s">
        <v>376</v>
      </c>
      <c r="N1" t="s">
        <v>377</v>
      </c>
      <c r="O1" t="s">
        <v>378</v>
      </c>
    </row>
    <row r="2" spans="1:15" ht="15.75" thickBot="1" x14ac:dyDescent="0.3">
      <c r="A2" s="64" t="s">
        <v>205</v>
      </c>
      <c r="D2">
        <v>250</v>
      </c>
      <c r="E2">
        <v>100</v>
      </c>
      <c r="F2" s="81">
        <v>0</v>
      </c>
      <c r="L2" t="s">
        <v>379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380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367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381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382</v>
      </c>
      <c r="M7" t="s">
        <v>383</v>
      </c>
      <c r="N7" t="s">
        <v>377</v>
      </c>
      <c r="O7" t="s">
        <v>378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384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385</v>
      </c>
      <c r="M9">
        <v>0</v>
      </c>
      <c r="N9" s="81">
        <v>1E+100</v>
      </c>
      <c r="O9" s="81">
        <v>0.25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386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C15" sqref="C15:F2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5.2941176470588198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58.235294117647015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116.47058823529403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116.47058823529403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179.99999999999989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74"/>
      <c r="G3" s="174"/>
      <c r="H3" t="s">
        <v>394</v>
      </c>
    </row>
    <row r="4" spans="1:8" ht="15.75" thickBot="1" x14ac:dyDescent="0.3">
      <c r="A4" s="64" t="s">
        <v>208</v>
      </c>
      <c r="C4" s="36">
        <v>0</v>
      </c>
      <c r="D4" s="175">
        <v>1</v>
      </c>
      <c r="E4" s="174"/>
      <c r="G4" s="174"/>
    </row>
    <row r="5" spans="1:8" x14ac:dyDescent="0.25">
      <c r="A5" s="63" t="s">
        <v>210</v>
      </c>
      <c r="C5" s="35"/>
      <c r="D5" s="35"/>
      <c r="E5" s="174"/>
      <c r="F5" s="35"/>
      <c r="G5" s="174"/>
    </row>
    <row r="6" spans="1:8" ht="15.75" thickBot="1" x14ac:dyDescent="0.3">
      <c r="A6" s="64" t="b">
        <f>AND(C20,D20,E20,C24)</f>
        <v>1</v>
      </c>
      <c r="C6" s="176">
        <f>100*(D4-(0.5+C4)^2)^2+(1-C4)^2</f>
        <v>57.25</v>
      </c>
      <c r="E6" s="174"/>
      <c r="F6" s="35"/>
      <c r="G6" s="174"/>
    </row>
    <row r="7" spans="1:8" x14ac:dyDescent="0.25">
      <c r="A7" s="63" t="s">
        <v>211</v>
      </c>
      <c r="E7" s="174"/>
      <c r="F7" s="35"/>
      <c r="G7" s="174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5">
        <v>1</v>
      </c>
      <c r="E9" s="36">
        <f>SUMPRODUCT(C9:D9,$C$4:$D$4,C8:D8)</f>
        <v>0</v>
      </c>
      <c r="F9" s="37" t="s">
        <v>9</v>
      </c>
      <c r="G9" s="175">
        <v>0</v>
      </c>
    </row>
    <row r="10" spans="1:8" ht="15.75" thickBot="1" x14ac:dyDescent="0.3">
      <c r="A10" s="173" t="str">
        <f>HYPERLINK("[OpenSolver Tester.xlsm]Results!A1", "&lt;- Results")</f>
        <v>&lt;- Results</v>
      </c>
    </row>
    <row r="15" spans="1:8" x14ac:dyDescent="0.25">
      <c r="C15" s="17" t="s">
        <v>15</v>
      </c>
      <c r="D15" s="174"/>
      <c r="E15" s="174"/>
      <c r="F15" s="174"/>
    </row>
    <row r="16" spans="1:8" x14ac:dyDescent="0.25">
      <c r="D16" s="174">
        <v>0</v>
      </c>
      <c r="E16" s="174">
        <v>0</v>
      </c>
      <c r="F16" s="174"/>
    </row>
    <row r="17" spans="3:6" x14ac:dyDescent="0.25">
      <c r="C17" t="s">
        <v>17</v>
      </c>
      <c r="D17" s="8" t="b">
        <f>ABS(D4-D16)/(1+ABS(D16))&lt;=0.000001</f>
        <v>0</v>
      </c>
      <c r="E17" s="8" t="b">
        <f>ABS(E4-E16)/(1+ABS(E16))&lt;=0.000001</f>
        <v>1</v>
      </c>
      <c r="F17" s="8"/>
    </row>
    <row r="18" spans="3:6" x14ac:dyDescent="0.25">
      <c r="D18" s="174"/>
      <c r="E18" s="174"/>
      <c r="F18" s="174"/>
    </row>
    <row r="19" spans="3:6" x14ac:dyDescent="0.25">
      <c r="C19" s="17" t="s">
        <v>16</v>
      </c>
      <c r="D19" s="174"/>
      <c r="E19" s="174"/>
      <c r="F19" s="174"/>
    </row>
    <row r="20" spans="3:6" x14ac:dyDescent="0.25">
      <c r="D20" s="174">
        <v>7.25</v>
      </c>
      <c r="E20" s="174"/>
      <c r="F20" s="174"/>
    </row>
    <row r="21" spans="3:6" x14ac:dyDescent="0.25">
      <c r="C21" t="s">
        <v>17</v>
      </c>
      <c r="D21" s="8" t="b">
        <f>ABS(D20-C6)/(1+ABS(D20))&lt;=0.000001</f>
        <v>0</v>
      </c>
      <c r="E21" s="174"/>
      <c r="F21" s="174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>
      <selection activeCell="O10" sqref="O10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2" t="s">
        <v>157</v>
      </c>
      <c r="C33" s="18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</vt:i4>
      </vt:variant>
      <vt:variant>
        <vt:lpstr>Named Ranges</vt:lpstr>
      </vt:variant>
      <vt:variant>
        <vt:i4>162</vt:i4>
      </vt:variant>
    </vt:vector>
  </HeadingPairs>
  <TitlesOfParts>
    <vt:vector size="237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2015-02-15T16:17:02Z</dcterms:modified>
</cp:coreProperties>
</file>