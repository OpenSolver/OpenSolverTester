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Test46_NonLinBinary" sheetId="95" r:id="rId73"/>
    <sheet name="HighlightingExample" sheetId="5" r:id="rId74"/>
    <sheet name="TestNewAutomodel" sheetId="40" r:id="rId75"/>
  </sheets>
  <functionGroups builtInGroupCount="18"/>
  <externalReferences>
    <externalReference r:id="rId76"/>
  </externalReferences>
  <definedNames>
    <definedName name="anscount" hidden="1">1</definedName>
    <definedName name="asdsad">#REF!</definedName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localSheetId="72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 localSheetId="72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3" hidden="1">CBC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Couenne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70" hidden="1">Bonmin</definedName>
    <definedName name="OpenSolver_ChosenSolver" localSheetId="71" hidden="1">Bonmin</definedName>
    <definedName name="OpenSolver_ChosenSolver" localSheetId="72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4" hidden="1">Gurobi</definedName>
    <definedName name="OpenSolver_ConstraintList">#REF!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72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4" hidden="1">FALSE</definedName>
    <definedName name="OpenSolver_ModelParameters" localSheetId="73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72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2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3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72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>#REF!</definedName>
    <definedName name="sencount" hidden="1">1</definedName>
    <definedName name="Sheet1OpenSolverModelParameters" localSheetId="73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72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localSheetId="72" hidden="1">CBC (default)</definedName>
    <definedName name="Solver" hidden="1">CBC (default)</definedName>
    <definedName name="solver_adj" localSheetId="73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72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4" hidden="1">TestNewAutomodel!$B$28:$D$28,TestNewAutomodel!$C$3:$C$5</definedName>
    <definedName name="solver_cvg" localSheetId="73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72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4" hidden="1">0.0001</definedName>
    <definedName name="solver_drv" localSheetId="73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72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4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4" hidden="1">2</definedName>
    <definedName name="solver_est" localSheetId="73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72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4" hidden="1">1</definedName>
    <definedName name="solver_itr" localSheetId="73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20000</definedName>
    <definedName name="solver_itr" localSheetId="59" hidden="1">100</definedName>
    <definedName name="solver_itr" localSheetId="60" hidden="1">1000</definedName>
    <definedName name="solver_itr" localSheetId="61" hidden="1">100000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72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4" hidden="1">100</definedName>
    <definedName name="solver_lhs1" localSheetId="73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72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4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3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72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4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3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4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3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4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3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4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3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4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3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4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3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3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3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72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4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3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4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3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72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4" hidden="1">7</definedName>
    <definedName name="solver_nwt" localSheetId="73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72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4" hidden="1">1</definedName>
    <definedName name="solver_opt" localSheetId="73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72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4" hidden="1">TestNewAutomodel!$C$9</definedName>
    <definedName name="solver_pre" localSheetId="73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72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4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3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72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4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3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72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4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3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4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3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4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3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4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3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4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3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4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3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3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3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72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4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3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72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4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3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4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3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4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3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4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3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4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3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4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3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3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3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72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4" hidden="1">2</definedName>
    <definedName name="solver_sho" localSheetId="73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1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1</definedName>
    <definedName name="solver_sho" localSheetId="66" hidden="1">1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72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4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3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100000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2000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72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4" hidden="1">100</definedName>
    <definedName name="solver_tol" localSheetId="73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0.01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0.0001</definedName>
    <definedName name="solver_tol" localSheetId="59" hidden="1">0.05</definedName>
    <definedName name="solver_tol" localSheetId="60" hidden="1">0.05</definedName>
    <definedName name="solver_tol" localSheetId="61" hidden="1">0.0001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0.0001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4" hidden="1">0.05</definedName>
    <definedName name="solver_typ" localSheetId="73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72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4" hidden="1">2</definedName>
    <definedName name="solver_val" localSheetId="73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72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4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C6" i="95" l="1"/>
  <c r="A69" i="60"/>
  <c r="H6" i="94"/>
  <c r="A68" i="60"/>
  <c r="G4" i="92"/>
  <c r="A67" i="60"/>
  <c r="G4" i="90"/>
  <c r="A66" i="60"/>
  <c r="A65" i="60"/>
  <c r="J7" i="87"/>
  <c r="A64" i="60"/>
  <c r="A63" i="60"/>
  <c r="D20" i="77"/>
  <c r="A62" i="60"/>
  <c r="S13" i="75"/>
  <c r="A61" i="60"/>
  <c r="I6" i="71"/>
  <c r="A60" i="60"/>
  <c r="G6" i="70"/>
  <c r="A59" i="60"/>
  <c r="F6" i="69"/>
  <c r="A58" i="60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H6" i="18"/>
  <c r="A28" i="60"/>
  <c r="J6" i="41"/>
  <c r="A27" i="60"/>
  <c r="J6" i="14"/>
  <c r="A26" i="60"/>
  <c r="A25" i="60"/>
  <c r="H7" i="12"/>
  <c r="A24" i="60"/>
  <c r="H7" i="11"/>
  <c r="A23" i="60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H6" i="4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24" i="87" l="1"/>
  <c r="D16" i="85"/>
  <c r="D17" i="85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Q38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Q26" i="76"/>
  <c r="F26" i="76"/>
  <c r="K25" i="76"/>
  <c r="C25" i="76"/>
  <c r="N24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N20" i="76"/>
  <c r="I18" i="76"/>
  <c r="F17" i="76"/>
  <c r="N16" i="76"/>
  <c r="I16" i="76"/>
  <c r="C16" i="76"/>
  <c r="I15" i="76"/>
  <c r="D15" i="76"/>
  <c r="I14" i="76"/>
  <c r="D14" i="76"/>
  <c r="J13" i="76"/>
  <c r="D13" i="76"/>
  <c r="O12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O9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Q18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N9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F16" i="88"/>
  <c r="A6" i="88" s="1"/>
  <c r="A6" i="52"/>
  <c r="A6" i="46"/>
  <c r="A6" i="38"/>
  <c r="J44" i="3"/>
  <c r="O44" i="3" s="1"/>
  <c r="J40" i="3" l="1"/>
  <c r="O40" i="3" s="1"/>
  <c r="Q14" i="76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<sst xmlns="http://schemas.openxmlformats.org/spreadsheetml/2006/main" count="2482" uniqueCount="419">
  <si>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</si>
  <si>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</si>
  <si>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</si>
  <si>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</si>
  <si>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</si>
  <si>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</si>
  <si>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</si>
  <si>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</si>
  <si>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</si>
  <si>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</si>
  <si>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</si>
  <si>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</si>
  <si>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</si>
  <si>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</si>
  <si>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</si>
  <si>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</si>
  <si>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</si>
  <si>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</si>
  <si>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</si>
  <si>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</si>
  <si>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</si>
  <si>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</si>
  <si>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</si>
  <si>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</si>
  <si>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</si>
  <si>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</si>
  <si>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</si>
  <si>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</si>
  <si>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</si>
  <si>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</si>
  <si>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</si>
  <si>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</si>
  <si>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</si>
  <si>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</si>
  <si>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</si>
  <si>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</si>
  <si>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</si>
  <si>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</si>
  <si>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</si>
  <si>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</si>
  <si>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</si>
  <si>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</si>
  <si>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</si>
  <si>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</si>
  <si>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</si>
  <si>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</si>
  <si>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</si>
  <si>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</si>
  <si>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</si>
  <si>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</si>
  <si>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</si>
  <si>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</si>
  <si>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</si>
  <si>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</si>
  <si>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</si>
  <si>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</si>
  <si>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</si>
  <si>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</si>
  <si>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</si>
  <si>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</si>
  <si>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</si>
  <si>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</si>
  <si>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</si>
  <si>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</si>
  <si>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</si>
  <si>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</si>
  <si>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</si>
  <si>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</si>
  <si>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</si>
  <si>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</si>
  <si>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</si>
  <si>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</si>
  <si>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</si>
  <si>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</si>
  <si>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</si>
  <si>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</si>
  <si>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</si>
  <si>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</si>
  <si>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</si>
  <si>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</si>
  <si>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</si>
  <si>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</si>
  <si>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</si>
  <si>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</si>
  <si>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</si>
  <si>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</si>
  <si>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</si>
  <si>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</si>
  <si>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</si>
  <si>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</si>
  <si>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</si>
  <si>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</si>
  <si>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</si>
  <si>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</si>
  <si>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</si>
  <si>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</si>
  <si>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</si>
  <si>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</si>
  <si>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</si>
  <si>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</si>
  <si>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</si>
  <si>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</si>
  <si>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</si>
  <si>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</si>
  <si>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</si>
  <si>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</si>
  <si>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</si>
  <si>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</si>
  <si>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</si>
  <si>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</si>
  <si>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</si>
  <si>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</si>
  <si>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</si>
  <si>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</si>
  <si>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</si>
  <si>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</si>
  <si>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</si>
  <si>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</si>
  <si>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</si>
  <si>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</si>
  <si>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</si>
  <si>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</si>
  <si>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</si>
  <si>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</si>
  <si>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</si>
  <si>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</si>
  <si>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</si>
  <si>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</si>
  <si>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</si>
  <si>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</si>
  <si>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</si>
  <si>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</si>
  <si>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</si>
  <si>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</si>
  <si>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</si>
  <si>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</si>
  <si>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</si>
  <si>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</si>
  <si>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</si>
  <si>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</si>
  <si>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</si>
  <si>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</si>
  <si>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</si>
  <si>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</si>
  <si>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</si>
  <si>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</si>
  <si>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</si>
  <si>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</si>
  <si>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</si>
  <si>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</si>
  <si>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</si>
  <si>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</si>
  <si>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</si>
  <si>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</si>
  <si>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</si>
  <si>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</si>
  <si>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</si>
  <si>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</si>
  <si>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</si>
  <si>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</si>
  <si>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</si>
  <si>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</si>
  <si>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</si>
  <si>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</si>
  <si>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</si>
  <si>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</si>
  <si>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</si>
  <si>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</si>
  <si>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</si>
  <si>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</si>
  <si>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</si>
  <si>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</si>
  <si>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</si>
  <si>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</si>
  <si>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</si>
  <si>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</si>
  <si>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</si>
  <si>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</si>
  <si>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</si>
  <si>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</si>
  <si>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</si>
  <si>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</si>
  <si>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</si>
  <si>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</si>
  <si>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</si>
  <si>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</si>
  <si>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</si>
  <si>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</si>
  <si>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</si>
  <si>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</si>
  <si>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</si>
  <si>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</si>
  <si>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</si>
  <si>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</si>
  <si>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</si>
  <si>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</si>
  <si>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</si>
  <si>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</si>
  <si>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</si>
  <si>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</si>
  <si>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</si>
  <si>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</si>
  <si>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</si>
  <si>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</si>
  <si>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</si>
  <si>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</si>
  <si>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</si>
  <si>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</si>
  <si>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</si>
  <si>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</si>
  <si>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</si>
  <si>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</si>
  <si>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</si>
  <si>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</si>
  <si>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</si>
  <si>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</si>
  <si>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</si>
  <si>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</si>
  <si>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</si>
  <si>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</si>
  <si>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</si>
  <si>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</si>
  <si>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</si>
  <si>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</si>
  <si>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</si>
  <si>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</si>
  <si>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</si>
  <si>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</si>
  <si>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</si>
  <si>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</si>
  <si>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</si>
  <si>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</si>
  <si>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</si>
  <si>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</si>
  <si>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</si>
  <si>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</si>
  <si>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</si>
  <si>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</si>
  <si>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</si>
  <si>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</si>
  <si>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</si>
  <si>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</si>
  <si>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</si>
  <si>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</si>
  <si>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</si>
  <si>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</si>
  <si>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</si>
  <si>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</si>
  <si>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</si>
  <si>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</si>
  <si>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</si>
  <si>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</si>
  <si>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</si>
  <si>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</si>
  <si>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</si>
  <si>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</si>
  <si>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</si>
  <si>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</si>
  <si>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</si>
  <si>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</si>
  <si>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</si>
  <si>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</si>
  <si>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</si>
  <si>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</si>
  <si>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</si>
  <si>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</si>
  <si>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</si>
  <si>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</si>
  <si>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</si>
  <si>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</si>
  <si>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</si>
  <si>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</si>
  <si>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</si>
  <si>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</si>
  <si>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</si>
  <si>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</si>
  <si>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</si>
  <si>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</si>
  <si>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</si>
  <si>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</si>
  <si>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</si>
  <si>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</si>
  <si>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</si>
  <si>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</si>
  <si>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</si>
  <si>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</si>
  <si>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</si>
  <si>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</si>
  <si>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</si>
  <si>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</si>
  <si>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</si>
  <si>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</si>
  <si>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</si>
  <si>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</si>
  <si>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</si>
  <si>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</si>
  <si>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</si>
  <si>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</si>
  <si>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</si>
  <si>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</si>
  <si>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</si>
  <si>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</si>
  <si>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</si>
  <si>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</si>
  <si>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</si>
  <si>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</si>
  <si>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</si>
  <si>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</si>
  <si>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</si>
  <si>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</si>
  <si>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</si>
  <si>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</si>
  <si>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</si>
  <si>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</si>
  <si>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</si>
  <si>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</si>
  <si>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</si>
  <si>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</si>
  <si>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</si>
  <si>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</si>
  <si>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</si>
  <si>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</si>
  <si>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</si>
  <si>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</si>
  <si>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</si>
  <si>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</si>
  <si>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</si>
  <si>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</si>
  <si>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</si>
  <si>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</si>
  <si>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</si>
  <si>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</si>
  <si>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</si>
  <si>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</si>
  <si>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</si>
  <si>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</si>
  <si>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</si>
  <si>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</si>
  <si>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</si>
  <si>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</si>
  <si>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</si>
  <si>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</si>
  <si>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</si>
  <si>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</si>
  <si>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</si>
  <si>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</si>
  <si>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</si>
  <si>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</si>
  <si>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</si>
  <si>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</si>
  <si>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</si>
  <si>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</si>
  <si>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</si>
  <si>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</si>
  <si>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</si>
  <si>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</si>
  <si>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</si>
  <si>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</si>
  <si>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</si>
  <si>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</si>
  <si>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</si>
  <si>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</si>
  <si>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</si>
  <si>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</si>
  <si>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</si>
  <si>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</si>
  <si>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</si>
  <si>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</si>
  <si>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</si>
  <si>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</si>
  <si>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</si>
  <si>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</si>
  <si>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</si>
  <si>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</si>
  <si>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</si>
  <si>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</si>
  <si>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</si>
  <si>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</si>
  <si>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</si>
  <si>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</si>
  <si>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</si>
  <si>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</si>
  <si>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</si>
  <si>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</si>
  <si>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</si>
  <si>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</si>
  <si>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</si>
  <si>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</si>
  <si>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</si>
  <si>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</si>
  <si>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</si>
  <si>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</si>
  <si>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</si>
  <si>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</si>
  <si>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</si>
  <si>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</si>
  <si>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</si>
  <si>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</si>
  <si>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</si>
  <si>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</si>
  <si>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</si>
  <si>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</si>
  <si>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</si>
  <si>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</si>
  <si>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</si>
  <si>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</si>
  <si>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</si>
  <si>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</si>
  <si>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</si>
  <si>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</si>
  <si>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</si>
  <si>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FAIL*</t>
  </si>
  <si>
    <t>PASS*</t>
  </si>
  <si>
    <t>NA</t>
  </si>
  <si>
    <t>FAIL</t>
  </si>
  <si>
    <t>OpenSolver Sensitivity Report - CBC</t>
  </si>
  <si>
    <t>Report Created: 14/02/2015 9:54:29 p.m.</t>
  </si>
  <si>
    <t>Report Created: 14/02/2015 9:54:30 p.m.</t>
  </si>
  <si>
    <t>Report Created: 14/02/2015 9:54:31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</si>
</sst>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99042912"/>
        <c:axId val="399035856"/>
        <c:axId val="371008120"/>
      </c:surface3DChart>
      <c:catAx>
        <c:axId val="39904291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3585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9903585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42912"/>
        <c:crosses val="min"/>
        <c:crossBetween val="between"/>
        <c:majorUnit val="0.1"/>
      </c:valAx>
      <c:serAx>
        <c:axId val="371008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3585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039776"/>
        <c:axId val="399042128"/>
      </c:scatterChart>
      <c:valAx>
        <c:axId val="39903977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42128"/>
        <c:crosses val="autoZero"/>
        <c:crossBetween val="midCat"/>
        <c:majorUnit val="0.5"/>
      </c:valAx>
      <c:valAx>
        <c:axId val="39904212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3977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2.3571428571397148</c:v>
                </c:pt>
                <c:pt idx="2">
                  <c:v>6.9999999999971134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1.8557687223992168</c:v>
                </c:pt>
                <c:pt idx="2">
                  <c:v>4.6322945479460031E-12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059192"/>
        <c:axId val="248063896"/>
      </c:scatterChart>
      <c:valAx>
        <c:axId val="24805919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063896"/>
        <c:crosses val="autoZero"/>
        <c:crossBetween val="midCat"/>
        <c:majorUnit val="1"/>
      </c:valAx>
      <c:valAx>
        <c:axId val="24806389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05919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69"/>
  <sheetViews>
    <sheetView tabSelected="1" zoomScale="85" zoomScaleNormal="85" zoomScalePageLayoutView="85" workbookViewId="0">
      <selection activeCell="H9" sqref="H9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9" s="167" customFormat="1" ht="63" customHeight="1" thickBot="1" x14ac:dyDescent="0.3">
      <c r="A1" s="169"/>
      <c r="C1" s="178" t="s">
        <v>390</v>
      </c>
      <c r="D1" s="178"/>
      <c r="E1" s="178"/>
      <c r="F1" s="178"/>
    </row>
    <row r="2" spans="1:9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368</v>
      </c>
      <c r="I2" s="166" t="s">
        <v>374</v>
      </c>
    </row>
    <row r="3" spans="1:9" x14ac:dyDescent="0.25">
      <c r="A3" s="172" t="str">
        <f>HYPERLINK("[OpenSolver Tester.xlsm]Test1!A1", "Test1")</f>
        <v>Test1</v>
      </c>
      <c r="B3" s="60" t="s">
        <v>409</v>
      </c>
      <c r="C3" s="60" t="s">
        <v>409</v>
      </c>
      <c r="D3" s="60" t="s">
        <v>409</v>
      </c>
      <c r="E3" s="60" t="s">
        <v>409</v>
      </c>
      <c r="F3" s="60" t="s">
        <v>409</v>
      </c>
      <c r="G3" s="60" t="s">
        <v>409</v>
      </c>
      <c r="H3" s="60" t="s">
        <v>409</v>
      </c>
      <c r="I3" s="60" t="s">
        <v>409</v>
      </c>
    </row>
    <row r="4" spans="1:9" x14ac:dyDescent="0.25">
      <c r="A4" s="172" t="str">
        <f>HYPERLINK("[OpenSolver Tester.xlsm]Test1b!A1", "Test1b")</f>
        <v>Test1b</v>
      </c>
      <c r="B4" s="60" t="s">
        <v>409</v>
      </c>
      <c r="C4" s="60" t="s">
        <v>409</v>
      </c>
      <c r="D4" s="60" t="s">
        <v>409</v>
      </c>
      <c r="E4" s="60" t="s">
        <v>409</v>
      </c>
      <c r="F4" s="60" t="s">
        <v>409</v>
      </c>
      <c r="G4" s="60" t="s">
        <v>413</v>
      </c>
      <c r="H4" s="60" t="s">
        <v>409</v>
      </c>
      <c r="I4" s="60" t="s">
        <v>409</v>
      </c>
    </row>
    <row r="5" spans="1:9" x14ac:dyDescent="0.25">
      <c r="A5" s="172" t="str">
        <f>HYPERLINK("[OpenSolver Tester.xlsm]Test1c!A1", "Test1c")</f>
        <v>Test1c</v>
      </c>
      <c r="B5" s="60" t="s">
        <v>409</v>
      </c>
      <c r="C5" s="60" t="s">
        <v>409</v>
      </c>
      <c r="D5" s="60" t="s">
        <v>409</v>
      </c>
      <c r="E5" s="60" t="s">
        <v>409</v>
      </c>
      <c r="F5" s="60" t="s">
        <v>409</v>
      </c>
      <c r="G5" s="60" t="s">
        <v>413</v>
      </c>
      <c r="H5" s="60" t="s">
        <v>409</v>
      </c>
      <c r="I5" s="60" t="s">
        <v>409</v>
      </c>
    </row>
    <row r="6" spans="1:9" x14ac:dyDescent="0.25">
      <c r="A6" s="172" t="str">
        <f>HYPERLINK("[OpenSolver Tester.xlsm]Test1c2!A1", "Test1c2")</f>
        <v>Test1c2</v>
      </c>
      <c r="B6" s="60" t="s">
        <v>409</v>
      </c>
      <c r="C6" s="60" t="s">
        <v>409</v>
      </c>
      <c r="D6" s="60" t="s">
        <v>409</v>
      </c>
      <c r="E6" s="60" t="s">
        <v>409</v>
      </c>
      <c r="F6" s="60" t="s">
        <v>409</v>
      </c>
      <c r="G6" s="60" t="s">
        <v>413</v>
      </c>
      <c r="H6" s="60" t="s">
        <v>409</v>
      </c>
      <c r="I6" s="60" t="s">
        <v>409</v>
      </c>
    </row>
    <row r="7" spans="1:9" x14ac:dyDescent="0.25">
      <c r="A7" s="172" t="str">
        <f>HYPERLINK("[OpenSolver Tester.xlsm]Test1d!A1", "Test1d")</f>
        <v>Test1d</v>
      </c>
      <c r="B7" s="60" t="s">
        <v>409</v>
      </c>
      <c r="C7" s="60" t="s">
        <v>409</v>
      </c>
      <c r="D7" s="60" t="s">
        <v>409</v>
      </c>
      <c r="E7" s="60" t="s">
        <v>409</v>
      </c>
      <c r="F7" s="60" t="s">
        <v>409</v>
      </c>
      <c r="G7" s="60" t="s">
        <v>413</v>
      </c>
      <c r="H7" s="60" t="s">
        <v>409</v>
      </c>
      <c r="I7" s="60" t="s">
        <v>409</v>
      </c>
    </row>
    <row r="8" spans="1:9" x14ac:dyDescent="0.25">
      <c r="A8" s="172" t="str">
        <f>HYPERLINK("[OpenSolver Tester.xlsm]Test1e!A1", "Test1e")</f>
        <v>Test1e</v>
      </c>
      <c r="B8" s="60" t="s">
        <v>409</v>
      </c>
      <c r="C8" s="60" t="s">
        <v>409</v>
      </c>
      <c r="D8" s="60" t="s">
        <v>409</v>
      </c>
      <c r="E8" s="60" t="s">
        <v>409</v>
      </c>
      <c r="F8" s="60" t="s">
        <v>409</v>
      </c>
      <c r="G8" s="60" t="s">
        <v>413</v>
      </c>
      <c r="H8" s="60" t="s">
        <v>409</v>
      </c>
      <c r="I8" s="60" t="s">
        <v>409</v>
      </c>
    </row>
    <row r="9" spans="1:9" x14ac:dyDescent="0.25">
      <c r="A9" s="172" t="str">
        <f>HYPERLINK("[OpenSolver Tester.xlsm]Test1f!A1", "Test1f")</f>
        <v>Test1f</v>
      </c>
      <c r="B9" s="60" t="s">
        <v>409</v>
      </c>
      <c r="C9" s="60" t="s">
        <v>409</v>
      </c>
      <c r="D9" s="60" t="s">
        <v>409</v>
      </c>
      <c r="E9" s="60" t="s">
        <v>409</v>
      </c>
      <c r="F9" s="60" t="s">
        <v>409</v>
      </c>
      <c r="G9" s="60" t="s">
        <v>413</v>
      </c>
      <c r="H9" s="60" t="s">
        <v>409</v>
      </c>
      <c r="I9" s="60" t="s">
        <v>409</v>
      </c>
    </row>
    <row r="10" spans="1:9" x14ac:dyDescent="0.25">
      <c r="A10" s="172" t="str">
        <f>HYPERLINK("[OpenSolver Tester.xlsm]Test1g!A1", "Test1g")</f>
        <v>Test1g</v>
      </c>
      <c r="B10" s="60" t="s">
        <v>409</v>
      </c>
      <c r="C10" s="60" t="s">
        <v>409</v>
      </c>
      <c r="D10" s="60" t="s">
        <v>409</v>
      </c>
      <c r="E10" s="60" t="s">
        <v>409</v>
      </c>
      <c r="F10" s="60" t="s">
        <v>409</v>
      </c>
      <c r="G10" s="60" t="s">
        <v>413</v>
      </c>
      <c r="H10" s="60" t="s">
        <v>409</v>
      </c>
      <c r="I10" s="60" t="s">
        <v>409</v>
      </c>
    </row>
    <row r="11" spans="1:9" x14ac:dyDescent="0.25">
      <c r="A11" s="172" t="str">
        <f>HYPERLINK("[OpenSolver Tester.xlsm]Test1h!A1", "Test1h")</f>
        <v>Test1h</v>
      </c>
      <c r="B11" s="60" t="s">
        <v>409</v>
      </c>
      <c r="C11" s="60" t="s">
        <v>409</v>
      </c>
      <c r="D11" s="60" t="s">
        <v>409</v>
      </c>
      <c r="E11" s="60" t="s">
        <v>409</v>
      </c>
      <c r="F11" s="60" t="s">
        <v>409</v>
      </c>
      <c r="G11" s="60" t="s">
        <v>413</v>
      </c>
      <c r="H11" s="60" t="s">
        <v>409</v>
      </c>
      <c r="I11" s="60" t="s">
        <v>409</v>
      </c>
    </row>
    <row r="12" spans="1:9" x14ac:dyDescent="0.25">
      <c r="A12" s="172" t="str">
        <f>HYPERLINK("[OpenSolver Tester.xlsm]Test1i!A1", "Test1i")</f>
        <v>Test1i</v>
      </c>
      <c r="B12" s="60" t="s">
        <v>409</v>
      </c>
      <c r="C12" s="60" t="s">
        <v>409</v>
      </c>
      <c r="D12" s="60" t="s">
        <v>409</v>
      </c>
      <c r="E12" s="60" t="s">
        <v>409</v>
      </c>
      <c r="F12" s="60" t="s">
        <v>409</v>
      </c>
      <c r="G12" s="60" t="s">
        <v>413</v>
      </c>
      <c r="H12" s="60" t="s">
        <v>409</v>
      </c>
      <c r="I12" s="60" t="s">
        <v>409</v>
      </c>
    </row>
    <row r="13" spans="1:9" x14ac:dyDescent="0.25">
      <c r="A13" s="172" t="str">
        <f>HYPERLINK("[OpenSolver Tester.xlsm]Test1j!A1", "Test1j")</f>
        <v>Test1j</v>
      </c>
      <c r="B13" s="60" t="s">
        <v>409</v>
      </c>
      <c r="C13" s="60" t="s">
        <v>409</v>
      </c>
      <c r="D13" s="60" t="s">
        <v>409</v>
      </c>
      <c r="E13" s="60" t="s">
        <v>409</v>
      </c>
      <c r="F13" s="60" t="s">
        <v>409</v>
      </c>
      <c r="G13" s="60" t="s">
        <v>413</v>
      </c>
      <c r="H13" s="60" t="s">
        <v>409</v>
      </c>
      <c r="I13" s="60" t="s">
        <v>409</v>
      </c>
    </row>
    <row r="14" spans="1:9" x14ac:dyDescent="0.25">
      <c r="A14" s="172" t="str">
        <f>HYPERLINK("[OpenSolver Tester.xlsm]Test1j2!A1", "Test1j2")</f>
        <v>Test1j2</v>
      </c>
      <c r="B14" s="60" t="s">
        <v>409</v>
      </c>
      <c r="C14" s="60" t="s">
        <v>409</v>
      </c>
      <c r="D14" s="60" t="s">
        <v>409</v>
      </c>
      <c r="E14" s="60" t="s">
        <v>409</v>
      </c>
      <c r="F14" s="60" t="s">
        <v>409</v>
      </c>
      <c r="G14" s="60" t="s">
        <v>413</v>
      </c>
      <c r="H14" s="60" t="s">
        <v>409</v>
      </c>
      <c r="I14" s="60" t="s">
        <v>409</v>
      </c>
    </row>
    <row r="15" spans="1:9" x14ac:dyDescent="0.25">
      <c r="A15" s="172" t="str">
        <f>HYPERLINK("[OpenSolver Tester.xlsm]Test1k!A1", "Test1k")</f>
        <v>Test1k</v>
      </c>
      <c r="B15" s="60" t="s">
        <v>409</v>
      </c>
      <c r="C15" s="60" t="s">
        <v>409</v>
      </c>
      <c r="D15" s="60" t="s">
        <v>409</v>
      </c>
      <c r="E15" s="60" t="s">
        <v>409</v>
      </c>
      <c r="F15" s="60" t="s">
        <v>409</v>
      </c>
      <c r="G15" s="60" t="s">
        <v>413</v>
      </c>
      <c r="H15" s="60" t="s">
        <v>409</v>
      </c>
      <c r="I15" s="60" t="s">
        <v>409</v>
      </c>
    </row>
    <row r="16" spans="1:9" x14ac:dyDescent="0.25">
      <c r="A16" s="172" t="str">
        <f>HYPERLINK("[OpenSolver Tester.xlsm]Test1l!A1", "Test1l")</f>
        <v>Test1l</v>
      </c>
      <c r="B16" s="60" t="s">
        <v>409</v>
      </c>
      <c r="C16" s="60" t="s">
        <v>409</v>
      </c>
      <c r="D16" s="60" t="s">
        <v>409</v>
      </c>
      <c r="E16" s="60" t="s">
        <v>409</v>
      </c>
      <c r="F16" s="60" t="s">
        <v>409</v>
      </c>
      <c r="G16" s="60" t="s">
        <v>413</v>
      </c>
      <c r="H16" s="60" t="s">
        <v>409</v>
      </c>
      <c r="I16" s="60" t="s">
        <v>409</v>
      </c>
    </row>
    <row r="17" spans="1:9" x14ac:dyDescent="0.25">
      <c r="A17" s="172" t="str">
        <f>HYPERLINK("[OpenSolver Tester.xlsm]Test1m!A1", "Test1m")</f>
        <v>Test1m</v>
      </c>
      <c r="B17" s="60" t="s">
        <v>409</v>
      </c>
      <c r="C17" s="60" t="s">
        <v>409</v>
      </c>
      <c r="D17" s="60" t="s">
        <v>409</v>
      </c>
      <c r="E17" s="60" t="s">
        <v>409</v>
      </c>
      <c r="F17" s="60" t="s">
        <v>409</v>
      </c>
      <c r="G17" s="60" t="s">
        <v>413</v>
      </c>
      <c r="H17" s="60" t="s">
        <v>409</v>
      </c>
      <c r="I17" s="60" t="s">
        <v>409</v>
      </c>
    </row>
    <row r="18" spans="1:9" x14ac:dyDescent="0.25">
      <c r="A18" s="172" t="str">
        <f>HYPERLINK("[OpenSolver Tester.xlsm]Test2!A1", "Test2")</f>
        <v>Test2</v>
      </c>
      <c r="B18" s="60" t="s">
        <v>409</v>
      </c>
      <c r="C18" s="60" t="s">
        <v>409</v>
      </c>
      <c r="D18" s="60" t="s">
        <v>409</v>
      </c>
      <c r="E18" s="60" t="s">
        <v>409</v>
      </c>
      <c r="F18" s="60" t="s">
        <v>409</v>
      </c>
      <c r="G18" s="60" t="s">
        <v>413</v>
      </c>
      <c r="H18" s="60" t="s">
        <v>409</v>
      </c>
      <c r="I18" s="60" t="s">
        <v>409</v>
      </c>
    </row>
    <row r="19" spans="1:9" x14ac:dyDescent="0.25">
      <c r="A19" s="172" t="str">
        <f>HYPERLINK("[OpenSolver Tester.xlsm]Test3!A1", "Test3")</f>
        <v>Test3</v>
      </c>
      <c r="B19" s="60" t="s">
        <v>409</v>
      </c>
      <c r="C19" s="60" t="s">
        <v>409</v>
      </c>
      <c r="D19" s="60" t="s">
        <v>409</v>
      </c>
      <c r="E19" s="60" t="s">
        <v>409</v>
      </c>
      <c r="F19" s="60" t="s">
        <v>409</v>
      </c>
      <c r="G19" s="60" t="s">
        <v>413</v>
      </c>
      <c r="H19" s="60" t="s">
        <v>409</v>
      </c>
      <c r="I19" s="60" t="s">
        <v>409</v>
      </c>
    </row>
    <row r="20" spans="1:9" x14ac:dyDescent="0.25">
      <c r="A20" s="172" t="str">
        <f>HYPERLINK("[OpenSolver Tester.xlsm]Test4!A1", "Test4")</f>
        <v>Test4</v>
      </c>
      <c r="B20" s="60" t="s">
        <v>409</v>
      </c>
      <c r="C20" s="60" t="s">
        <v>409</v>
      </c>
      <c r="D20" s="60" t="s">
        <v>409</v>
      </c>
      <c r="E20" s="60" t="s">
        <v>409</v>
      </c>
      <c r="F20" s="60" t="s">
        <v>409</v>
      </c>
      <c r="G20" s="60" t="s">
        <v>413</v>
      </c>
      <c r="H20" s="60" t="s">
        <v>409</v>
      </c>
      <c r="I20" s="60" t="s">
        <v>409</v>
      </c>
    </row>
    <row r="21" spans="1:9" x14ac:dyDescent="0.25">
      <c r="A21" s="172" t="str">
        <f>HYPERLINK("[OpenSolver Tester.xlsm]Test5!A1", "Test5")</f>
        <v>Test5</v>
      </c>
      <c r="B21" s="60" t="s">
        <v>409</v>
      </c>
      <c r="C21" s="60" t="s">
        <v>409</v>
      </c>
      <c r="D21" s="60" t="s">
        <v>409</v>
      </c>
      <c r="E21" s="60" t="s">
        <v>409</v>
      </c>
      <c r="F21" s="60" t="s">
        <v>409</v>
      </c>
      <c r="G21" s="60" t="s">
        <v>413</v>
      </c>
      <c r="H21" s="60" t="s">
        <v>409</v>
      </c>
      <c r="I21" s="60" t="s">
        <v>409</v>
      </c>
    </row>
    <row r="22" spans="1:9" x14ac:dyDescent="0.25">
      <c r="A22" s="172" t="str">
        <f>HYPERLINK("[OpenSolver Tester.xlsm]Test!6!A1", "Test!6")</f>
        <v>Test!6</v>
      </c>
      <c r="B22" s="60" t="s">
        <v>409</v>
      </c>
      <c r="C22" s="60" t="s">
        <v>409</v>
      </c>
      <c r="D22" s="60" t="s">
        <v>409</v>
      </c>
      <c r="E22" s="60" t="s">
        <v>409</v>
      </c>
      <c r="F22" s="60" t="s">
        <v>409</v>
      </c>
      <c r="G22" s="60" t="s">
        <v>413</v>
      </c>
      <c r="H22" s="60" t="s">
        <v>409</v>
      </c>
      <c r="I22" s="60" t="s">
        <v>409</v>
      </c>
    </row>
    <row r="23" spans="1:9" x14ac:dyDescent="0.25">
      <c r="A23" s="172" t="str">
        <f>HYPERLINK("[OpenSolver Tester.xlsm]Test7!A1", "Test7")</f>
        <v>Test7</v>
      </c>
      <c r="B23" s="60" t="s">
        <v>409</v>
      </c>
      <c r="C23" s="60" t="s">
        <v>409</v>
      </c>
      <c r="D23" s="60" t="s">
        <v>409</v>
      </c>
      <c r="E23" s="60" t="s">
        <v>409</v>
      </c>
      <c r="F23" s="60" t="s">
        <v>409</v>
      </c>
      <c r="G23" s="60" t="s">
        <v>413</v>
      </c>
      <c r="H23" s="60" t="s">
        <v>409</v>
      </c>
      <c r="I23" s="60" t="s">
        <v>409</v>
      </c>
    </row>
    <row r="24" spans="1:9" x14ac:dyDescent="0.25">
      <c r="A24" s="172" t="str">
        <f>HYPERLINK("[OpenSolver Tester.xlsm]Test8!A1", "Test8")</f>
        <v>Test8</v>
      </c>
      <c r="B24" s="60" t="s">
        <v>409</v>
      </c>
      <c r="C24" s="60" t="s">
        <v>409</v>
      </c>
      <c r="D24" s="60" t="s">
        <v>409</v>
      </c>
      <c r="E24" s="60" t="s">
        <v>409</v>
      </c>
      <c r="F24" s="60" t="s">
        <v>409</v>
      </c>
      <c r="G24" s="60" t="s">
        <v>413</v>
      </c>
      <c r="H24" s="60" t="s">
        <v>409</v>
      </c>
      <c r="I24" s="60" t="s">
        <v>409</v>
      </c>
    </row>
    <row r="25" spans="1:9" x14ac:dyDescent="0.25">
      <c r="A25" s="172" t="str">
        <f>HYPERLINK("[OpenSolver Tester.xlsm]Test8B!A1", "Test8B")</f>
        <v>Test8B</v>
      </c>
      <c r="B25" s="60" t="s">
        <v>409</v>
      </c>
      <c r="C25" s="60" t="s">
        <v>409</v>
      </c>
      <c r="D25" s="60" t="s">
        <v>409</v>
      </c>
      <c r="E25" s="60" t="s">
        <v>409</v>
      </c>
      <c r="F25" s="60" t="s">
        <v>409</v>
      </c>
      <c r="G25" s="60" t="s">
        <v>413</v>
      </c>
      <c r="H25" s="60" t="s">
        <v>409</v>
      </c>
      <c r="I25" s="60" t="s">
        <v>409</v>
      </c>
    </row>
    <row r="26" spans="1:9" x14ac:dyDescent="0.25">
      <c r="A26" s="172" t="str">
        <f>HYPERLINK("[OpenSolver Tester.xlsm]Test9A!A1", "Test9A")</f>
        <v>Test9A</v>
      </c>
      <c r="B26" s="60" t="s">
        <v>409</v>
      </c>
      <c r="C26" s="60" t="s">
        <v>409</v>
      </c>
      <c r="D26" s="60" t="s">
        <v>409</v>
      </c>
      <c r="E26" s="60" t="s">
        <v>409</v>
      </c>
      <c r="F26" s="60" t="s">
        <v>409</v>
      </c>
      <c r="G26" s="60" t="s">
        <v>413</v>
      </c>
      <c r="H26" s="60" t="s">
        <v>411</v>
      </c>
      <c r="I26" s="60" t="s">
        <v>409</v>
      </c>
    </row>
    <row r="27" spans="1:9" x14ac:dyDescent="0.25">
      <c r="A27" s="172" t="str">
        <f>HYPERLINK("[OpenSolver Tester.xlsm]Test9B!A1", "Test9B")</f>
        <v>Test9B</v>
      </c>
      <c r="B27" s="60" t="s">
        <v>409</v>
      </c>
      <c r="C27" s="60" t="s">
        <v>409</v>
      </c>
      <c r="D27" s="60" t="s">
        <v>409</v>
      </c>
      <c r="E27" s="60" t="s">
        <v>409</v>
      </c>
      <c r="F27" s="60" t="s">
        <v>409</v>
      </c>
      <c r="G27" s="60" t="s">
        <v>413</v>
      </c>
      <c r="H27" s="60" t="s">
        <v>409</v>
      </c>
      <c r="I27" s="60" t="s">
        <v>409</v>
      </c>
    </row>
    <row r="28" spans="1:9" x14ac:dyDescent="0.25">
      <c r="A28" s="172" t="str">
        <f>HYPERLINK("[OpenSolver Tester.xlsm]Test10!A1", "Test10")</f>
        <v>Test10</v>
      </c>
      <c r="B28" s="60" t="s">
        <v>409</v>
      </c>
      <c r="C28" s="60" t="s">
        <v>409</v>
      </c>
      <c r="D28" s="60" t="s">
        <v>409</v>
      </c>
      <c r="E28" s="60" t="s">
        <v>409</v>
      </c>
      <c r="F28" s="60" t="s">
        <v>409</v>
      </c>
      <c r="G28" s="60" t="s">
        <v>413</v>
      </c>
      <c r="H28" s="60" t="s">
        <v>409</v>
      </c>
      <c r="I28" s="60" t="s">
        <v>409</v>
      </c>
    </row>
    <row r="29" spans="1:9" x14ac:dyDescent="0.25">
      <c r="A29" s="172" t="str">
        <f>HYPERLINK("[OpenSolver Tester.xlsm]Test11!A1", "Test11")</f>
        <v>Test11</v>
      </c>
      <c r="B29" s="60" t="s">
        <v>409</v>
      </c>
      <c r="C29" s="60" t="s">
        <v>409</v>
      </c>
      <c r="D29" s="60" t="s">
        <v>409</v>
      </c>
      <c r="E29" s="60" t="s">
        <v>409</v>
      </c>
      <c r="F29" s="60" t="s">
        <v>409</v>
      </c>
      <c r="G29" s="60" t="s">
        <v>413</v>
      </c>
      <c r="H29" s="60" t="s">
        <v>409</v>
      </c>
      <c r="I29" s="60" t="s">
        <v>409</v>
      </c>
    </row>
    <row r="30" spans="1:9" x14ac:dyDescent="0.25">
      <c r="A30" s="172" t="str">
        <f>HYPERLINK("[OpenSolver Tester.xlsm]Test12!A1", "Test12")</f>
        <v>Test12</v>
      </c>
      <c r="B30" s="60" t="s">
        <v>409</v>
      </c>
      <c r="C30" s="60" t="s">
        <v>409</v>
      </c>
      <c r="D30" s="60" t="s">
        <v>409</v>
      </c>
      <c r="E30" s="60" t="s">
        <v>409</v>
      </c>
      <c r="F30" s="60" t="s">
        <v>409</v>
      </c>
      <c r="G30" s="60" t="s">
        <v>413</v>
      </c>
      <c r="H30" s="60" t="s">
        <v>409</v>
      </c>
      <c r="I30" s="60" t="s">
        <v>409</v>
      </c>
    </row>
    <row r="31" spans="1:9" x14ac:dyDescent="0.25">
      <c r="A31" s="172" t="str">
        <f>HYPERLINK("[OpenSolver Tester.xlsm]Test13!A1", "Test13")</f>
        <v>Test13</v>
      </c>
      <c r="B31" s="60" t="s">
        <v>409</v>
      </c>
      <c r="C31" s="60" t="s">
        <v>409</v>
      </c>
      <c r="D31" s="60" t="s">
        <v>409</v>
      </c>
      <c r="E31" s="60" t="s">
        <v>409</v>
      </c>
      <c r="F31" s="60" t="s">
        <v>409</v>
      </c>
      <c r="G31" s="60" t="s">
        <v>413</v>
      </c>
      <c r="H31" s="60" t="s">
        <v>409</v>
      </c>
      <c r="I31" s="60" t="s">
        <v>409</v>
      </c>
    </row>
    <row r="32" spans="1:9" x14ac:dyDescent="0.25">
      <c r="A32" s="172" t="str">
        <f>HYPERLINK("[OpenSolver Tester.xlsm]Test13b!A1", "Test13b")</f>
        <v>Test13b</v>
      </c>
      <c r="B32" s="60" t="s">
        <v>409</v>
      </c>
      <c r="C32" s="60" t="s">
        <v>409</v>
      </c>
      <c r="D32" s="60" t="s">
        <v>409</v>
      </c>
      <c r="E32" s="60" t="s">
        <v>409</v>
      </c>
      <c r="F32" s="60" t="s">
        <v>409</v>
      </c>
      <c r="G32" s="60" t="s">
        <v>413</v>
      </c>
      <c r="H32" s="60" t="s">
        <v>409</v>
      </c>
      <c r="I32" s="60" t="s">
        <v>409</v>
      </c>
    </row>
    <row r="33" spans="1:9" x14ac:dyDescent="0.25">
      <c r="A33" s="172" t="str">
        <f>HYPERLINK("[OpenSolver Tester.xlsm]Test14!A1", "Test14")</f>
        <v>Test14</v>
      </c>
      <c r="B33" s="60" t="s">
        <v>409</v>
      </c>
      <c r="C33" s="60" t="s">
        <v>409</v>
      </c>
      <c r="D33" s="60" t="s">
        <v>409</v>
      </c>
      <c r="E33" s="60" t="s">
        <v>409</v>
      </c>
      <c r="F33" s="60" t="s">
        <v>409</v>
      </c>
      <c r="G33" s="60" t="s">
        <v>413</v>
      </c>
      <c r="H33" s="60" t="s">
        <v>409</v>
      </c>
      <c r="I33" s="60" t="s">
        <v>409</v>
      </c>
    </row>
    <row r="34" spans="1:9" x14ac:dyDescent="0.25">
      <c r="A34" s="172" t="str">
        <f>HYPERLINK("[OpenSolver Tester.xlsm]Test15!A1", "Test15")</f>
        <v>Test15</v>
      </c>
      <c r="B34" s="60" t="s">
        <v>409</v>
      </c>
      <c r="C34" s="60" t="s">
        <v>409</v>
      </c>
      <c r="D34" s="60" t="s">
        <v>409</v>
      </c>
      <c r="E34" s="60" t="s">
        <v>409</v>
      </c>
      <c r="F34" s="60" t="s">
        <v>409</v>
      </c>
      <c r="G34" s="60" t="s">
        <v>413</v>
      </c>
      <c r="H34" s="60" t="s">
        <v>409</v>
      </c>
      <c r="I34" s="60" t="s">
        <v>409</v>
      </c>
    </row>
    <row r="35" spans="1:9" x14ac:dyDescent="0.25">
      <c r="A35" s="172" t="str">
        <f>HYPERLINK("[OpenSolver Tester.xlsm]Test15b!A1", "Test15b")</f>
        <v>Test15b</v>
      </c>
      <c r="B35" s="60" t="s">
        <v>409</v>
      </c>
      <c r="C35" s="60" t="s">
        <v>409</v>
      </c>
      <c r="D35" s="60" t="s">
        <v>409</v>
      </c>
      <c r="E35" s="60" t="s">
        <v>409</v>
      </c>
      <c r="F35" s="60" t="s">
        <v>409</v>
      </c>
      <c r="G35" s="60" t="s">
        <v>413</v>
      </c>
      <c r="H35" s="60" t="s">
        <v>409</v>
      </c>
      <c r="I35" s="60" t="s">
        <v>409</v>
      </c>
    </row>
    <row r="36" spans="1:9" x14ac:dyDescent="0.25">
      <c r="A36" s="172" t="str">
        <f>HYPERLINK("[OpenSolver Tester.xlsm]Test15c!A1", "Test15c")</f>
        <v>Test15c</v>
      </c>
      <c r="B36" s="60" t="s">
        <v>409</v>
      </c>
      <c r="C36" s="60" t="s">
        <v>409</v>
      </c>
      <c r="D36" s="60" t="s">
        <v>409</v>
      </c>
      <c r="E36" s="60" t="s">
        <v>409</v>
      </c>
      <c r="F36" s="60" t="s">
        <v>409</v>
      </c>
      <c r="G36" s="60" t="s">
        <v>413</v>
      </c>
      <c r="H36" s="60" t="s">
        <v>411</v>
      </c>
      <c r="I36" s="60" t="s">
        <v>409</v>
      </c>
    </row>
    <row r="37" spans="1:9" x14ac:dyDescent="0.25">
      <c r="A37" s="172" t="str">
        <f>HYPERLINK("[OpenSolver Tester.xlsm]Test15d!A1", "Test15d")</f>
        <v>Test15d</v>
      </c>
      <c r="B37" s="60" t="s">
        <v>409</v>
      </c>
      <c r="C37" s="60" t="s">
        <v>409</v>
      </c>
      <c r="D37" s="60" t="s">
        <v>409</v>
      </c>
      <c r="E37" s="60" t="s">
        <v>409</v>
      </c>
      <c r="F37" s="60" t="s">
        <v>409</v>
      </c>
      <c r="G37" s="60" t="s">
        <v>413</v>
      </c>
      <c r="H37" s="60" t="s">
        <v>411</v>
      </c>
      <c r="I37" s="60" t="s">
        <v>409</v>
      </c>
    </row>
    <row r="38" spans="1:9" x14ac:dyDescent="0.25">
      <c r="A38" s="172" t="str">
        <f>HYPERLINK("[OpenSolver Tester.xlsm]Test16!A1", "Test16")</f>
        <v>Test16</v>
      </c>
      <c r="B38" s="60" t="s">
        <v>409</v>
      </c>
      <c r="C38" s="60" t="s">
        <v>409</v>
      </c>
      <c r="D38" s="60" t="s">
        <v>409</v>
      </c>
      <c r="E38" s="60" t="s">
        <v>409</v>
      </c>
      <c r="F38" s="60" t="s">
        <v>409</v>
      </c>
      <c r="G38" s="60" t="s">
        <v>413</v>
      </c>
      <c r="H38" s="60" t="s">
        <v>409</v>
      </c>
      <c r="I38" s="60" t="s">
        <v>409</v>
      </c>
    </row>
    <row r="39" spans="1:9" x14ac:dyDescent="0.25">
      <c r="A39" s="172" t="str">
        <f>HYPERLINK("[OpenSolver Tester.xlsm]Test16b!A1", "Test16b")</f>
        <v>Test16b</v>
      </c>
      <c r="B39" s="60" t="s">
        <v>409</v>
      </c>
      <c r="C39" s="60" t="s">
        <v>409</v>
      </c>
      <c r="D39" s="60" t="s">
        <v>409</v>
      </c>
      <c r="E39" s="60" t="s">
        <v>409</v>
      </c>
      <c r="F39" s="60" t="s">
        <v>409</v>
      </c>
      <c r="G39" s="60" t="s">
        <v>413</v>
      </c>
      <c r="H39" s="60" t="s">
        <v>409</v>
      </c>
      <c r="I39" s="60" t="s">
        <v>409</v>
      </c>
    </row>
    <row r="40" spans="1:9" x14ac:dyDescent="0.25">
      <c r="A40" s="172" t="str">
        <f>HYPERLINK("[OpenSolver Tester.xlsm]Test17!A1", "Test17")</f>
        <v>Test17</v>
      </c>
      <c r="B40" s="60" t="s">
        <v>409</v>
      </c>
      <c r="C40" s="60" t="s">
        <v>409</v>
      </c>
      <c r="D40" s="60" t="s">
        <v>409</v>
      </c>
      <c r="E40" s="60" t="s">
        <v>409</v>
      </c>
      <c r="F40" s="60" t="s">
        <v>409</v>
      </c>
      <c r="G40" s="60" t="s">
        <v>413</v>
      </c>
      <c r="H40" s="60" t="s">
        <v>409</v>
      </c>
      <c r="I40" s="60" t="s">
        <v>409</v>
      </c>
    </row>
    <row r="41" spans="1:9" x14ac:dyDescent="0.25">
      <c r="A41" s="172" t="str">
        <f>HYPERLINK("[OpenSolver Tester.xlsm]Test18!A1", "Test18")</f>
        <v>Test18</v>
      </c>
      <c r="B41" s="60" t="s">
        <v>409</v>
      </c>
      <c r="C41" s="60" t="s">
        <v>409</v>
      </c>
      <c r="D41" s="60" t="s">
        <v>409</v>
      </c>
      <c r="E41" s="60" t="s">
        <v>409</v>
      </c>
      <c r="F41" s="60" t="s">
        <v>409</v>
      </c>
      <c r="G41" s="60" t="s">
        <v>413</v>
      </c>
      <c r="H41" s="60" t="s">
        <v>409</v>
      </c>
      <c r="I41" s="60" t="s">
        <v>409</v>
      </c>
    </row>
    <row r="42" spans="1:9" x14ac:dyDescent="0.25">
      <c r="A42" s="172" t="str">
        <f>HYPERLINK("[OpenSolver Tester.xlsm]Test19!A1", "Test19")</f>
        <v>Test19</v>
      </c>
      <c r="B42" s="60" t="s">
        <v>409</v>
      </c>
      <c r="C42" s="60" t="s">
        <v>409</v>
      </c>
      <c r="D42" s="60" t="s">
        <v>409</v>
      </c>
      <c r="E42" s="60" t="s">
        <v>409</v>
      </c>
      <c r="F42" s="60" t="s">
        <v>409</v>
      </c>
      <c r="G42" s="60" t="s">
        <v>413</v>
      </c>
      <c r="H42" s="60" t="s">
        <v>409</v>
      </c>
      <c r="I42" s="60" t="s">
        <v>409</v>
      </c>
    </row>
    <row r="43" spans="1:9" x14ac:dyDescent="0.25">
      <c r="A43" s="172" t="str">
        <f>HYPERLINK("[OpenSolver Tester.xlsm]Test20!A1", "Test20")</f>
        <v>Test20</v>
      </c>
      <c r="B43" s="60" t="s">
        <v>409</v>
      </c>
      <c r="C43" s="60" t="s">
        <v>409</v>
      </c>
      <c r="D43" s="60" t="s">
        <v>409</v>
      </c>
      <c r="E43" s="60" t="s">
        <v>409</v>
      </c>
      <c r="F43" s="60" t="s">
        <v>409</v>
      </c>
      <c r="G43" s="60" t="s">
        <v>413</v>
      </c>
      <c r="H43" s="60" t="s">
        <v>409</v>
      </c>
      <c r="I43" s="60" t="s">
        <v>409</v>
      </c>
    </row>
    <row r="44" spans="1:9" x14ac:dyDescent="0.25">
      <c r="A44" s="172" t="str">
        <f>HYPERLINK("[OpenSolver Tester.xlsm]Test21!A1", "Test21")</f>
        <v>Test21</v>
      </c>
      <c r="B44" s="60" t="s">
        <v>409</v>
      </c>
      <c r="C44" s="60" t="s">
        <v>409</v>
      </c>
      <c r="D44" s="60" t="s">
        <v>409</v>
      </c>
      <c r="E44" s="60" t="s">
        <v>409</v>
      </c>
      <c r="F44" s="60" t="s">
        <v>409</v>
      </c>
      <c r="G44" s="60" t="s">
        <v>413</v>
      </c>
      <c r="H44" s="60" t="s">
        <v>409</v>
      </c>
      <c r="I44" s="60" t="s">
        <v>409</v>
      </c>
    </row>
    <row r="45" spans="1:9" x14ac:dyDescent="0.25">
      <c r="A45" s="172" t="str">
        <f>HYPERLINK("[OpenSolver Tester.xlsm]Test22!A1", "Test22")</f>
        <v>Test22</v>
      </c>
      <c r="B45" s="60" t="s">
        <v>409</v>
      </c>
      <c r="C45" s="60" t="s">
        <v>409</v>
      </c>
      <c r="D45" s="60" t="s">
        <v>409</v>
      </c>
      <c r="E45" s="60" t="s">
        <v>409</v>
      </c>
      <c r="F45" s="60" t="s">
        <v>409</v>
      </c>
      <c r="G45" s="60" t="s">
        <v>413</v>
      </c>
      <c r="H45" s="60" t="s">
        <v>411</v>
      </c>
      <c r="I45" s="60" t="s">
        <v>409</v>
      </c>
    </row>
    <row r="46" spans="1:9" x14ac:dyDescent="0.25">
      <c r="A46" s="172" t="str">
        <f>HYPERLINK("[OpenSolver Tester.xlsm]Test23!A1", "Test23")</f>
        <v>Test23</v>
      </c>
      <c r="B46" s="60" t="s">
        <v>409</v>
      </c>
      <c r="C46" s="60" t="s">
        <v>409</v>
      </c>
      <c r="D46" s="60" t="s">
        <v>409</v>
      </c>
      <c r="E46" s="60" t="s">
        <v>409</v>
      </c>
      <c r="F46" s="60" t="s">
        <v>409</v>
      </c>
      <c r="G46" s="60" t="s">
        <v>413</v>
      </c>
      <c r="H46" s="60" t="s">
        <v>411</v>
      </c>
      <c r="I46" s="60" t="s">
        <v>409</v>
      </c>
    </row>
    <row r="47" spans="1:9" x14ac:dyDescent="0.25">
      <c r="A47" s="172" t="str">
        <f>HYPERLINK("[OpenSolver Tester.xlsm]Test24_IterativeCalc!A1", "Test24_IterativeCalc")</f>
        <v>Test24_IterativeCalc</v>
      </c>
      <c r="B47" s="60" t="s">
        <v>409</v>
      </c>
      <c r="C47" s="60" t="s">
        <v>409</v>
      </c>
      <c r="D47" s="60" t="s">
        <v>409</v>
      </c>
      <c r="E47" s="60" t="s">
        <v>409</v>
      </c>
      <c r="F47" s="60" t="s">
        <v>409</v>
      </c>
      <c r="G47" s="60" t="s">
        <v>413</v>
      </c>
      <c r="H47" s="60" t="s">
        <v>409</v>
      </c>
      <c r="I47" s="60" t="s">
        <v>409</v>
      </c>
    </row>
    <row r="48" spans="1:9" x14ac:dyDescent="0.25">
      <c r="A48" s="172" t="str">
        <f>HYPERLINK("[OpenSolver Tester.xlsm]Test25!A1", "Test25")</f>
        <v>Test25</v>
      </c>
      <c r="B48" s="60" t="s">
        <v>409</v>
      </c>
      <c r="C48" s="60" t="s">
        <v>409</v>
      </c>
      <c r="D48" s="60" t="s">
        <v>409</v>
      </c>
      <c r="E48" s="60" t="s">
        <v>409</v>
      </c>
      <c r="F48" s="60" t="s">
        <v>409</v>
      </c>
      <c r="G48" s="60" t="s">
        <v>413</v>
      </c>
      <c r="H48" s="60" t="s">
        <v>409</v>
      </c>
      <c r="I48" s="60" t="s">
        <v>409</v>
      </c>
    </row>
    <row r="49" spans="1:9" x14ac:dyDescent="0.25">
      <c r="A49" s="172" t="str">
        <f>HYPERLINK("[OpenSolver Tester.xlsm]Test26!A1", "Test26")</f>
        <v>Test26</v>
      </c>
      <c r="B49" s="60" t="s">
        <v>409</v>
      </c>
      <c r="C49" s="60" t="s">
        <v>409</v>
      </c>
      <c r="D49" s="60" t="s">
        <v>409</v>
      </c>
      <c r="E49" s="60" t="s">
        <v>409</v>
      </c>
      <c r="F49" s="60" t="s">
        <v>409</v>
      </c>
      <c r="G49" s="60" t="s">
        <v>413</v>
      </c>
      <c r="H49" s="60" t="s">
        <v>409</v>
      </c>
      <c r="I49" s="60" t="s">
        <v>409</v>
      </c>
    </row>
    <row r="50" spans="1:9" x14ac:dyDescent="0.25">
      <c r="A50" s="172" t="str">
        <f>HYPERLINK("[OpenSolver Tester.xlsm]Test27_Parameters!A1", "Test27_Parameters")</f>
        <v>Test27_Parameters</v>
      </c>
      <c r="B50" s="60" t="s">
        <v>409</v>
      </c>
      <c r="C50" s="60" t="s">
        <v>409</v>
      </c>
      <c r="D50" s="60" t="s">
        <v>409</v>
      </c>
      <c r="E50" s="60" t="s">
        <v>413</v>
      </c>
      <c r="F50" s="60" t="s">
        <v>413</v>
      </c>
      <c r="G50" s="60" t="s">
        <v>413</v>
      </c>
      <c r="H50" s="60" t="s">
        <v>413</v>
      </c>
      <c r="I50" s="60" t="s">
        <v>413</v>
      </c>
    </row>
    <row r="51" spans="1:9" x14ac:dyDescent="0.25">
      <c r="A51" s="172" t="str">
        <f>HYPERLINK("[OpenSolver Tester.xlsm]Test28_CBCOptions!A1", "Test28_CBCOptions")</f>
        <v>Test28_CBCOptions</v>
      </c>
      <c r="B51" s="60" t="s">
        <v>409</v>
      </c>
      <c r="C51" s="60" t="s">
        <v>409</v>
      </c>
      <c r="D51" s="60" t="s">
        <v>409</v>
      </c>
      <c r="E51" s="60" t="s">
        <v>411</v>
      </c>
      <c r="F51" s="60" t="s">
        <v>409</v>
      </c>
      <c r="G51" s="60" t="s">
        <v>413</v>
      </c>
      <c r="H51" s="60" t="s">
        <v>411</v>
      </c>
      <c r="I51" s="60" t="s">
        <v>414</v>
      </c>
    </row>
    <row r="52" spans="1:9" x14ac:dyDescent="0.25">
      <c r="A52" s="172" t="str">
        <f>HYPERLINK("[OpenSolver Tester.xlsm]Test29!A1", "Test29")</f>
        <v>Test29</v>
      </c>
      <c r="B52" s="60" t="s">
        <v>409</v>
      </c>
      <c r="C52" s="60" t="s">
        <v>409</v>
      </c>
      <c r="D52" s="60" t="s">
        <v>409</v>
      </c>
      <c r="E52" s="60" t="s">
        <v>409</v>
      </c>
      <c r="F52" s="60" t="s">
        <v>409</v>
      </c>
      <c r="G52" s="60" t="s">
        <v>413</v>
      </c>
      <c r="H52" s="60" t="s">
        <v>409</v>
      </c>
      <c r="I52" s="60" t="s">
        <v>409</v>
      </c>
    </row>
    <row r="53" spans="1:9" x14ac:dyDescent="0.25">
      <c r="A53" s="172" t="str">
        <f>HYPERLINK("[OpenSolver Tester.xlsm]Test30!A1", "Test30")</f>
        <v>Test30</v>
      </c>
      <c r="B53" s="60" t="s">
        <v>409</v>
      </c>
      <c r="C53" s="60" t="s">
        <v>409</v>
      </c>
      <c r="D53" s="60" t="s">
        <v>409</v>
      </c>
      <c r="E53" s="60" t="s">
        <v>409</v>
      </c>
      <c r="F53" s="60" t="s">
        <v>409</v>
      </c>
      <c r="G53" s="60" t="s">
        <v>413</v>
      </c>
      <c r="H53" s="60" t="s">
        <v>409</v>
      </c>
      <c r="I53" s="60" t="s">
        <v>409</v>
      </c>
    </row>
    <row r="54" spans="1:9" x14ac:dyDescent="0.25">
      <c r="A54" s="172" t="str">
        <f>HYPERLINK("[OpenSolver Tester.xlsm]Test31!A1", "Test31")</f>
        <v>Test31</v>
      </c>
      <c r="B54" s="60" t="s">
        <v>409</v>
      </c>
      <c r="C54" s="60" t="s">
        <v>409</v>
      </c>
      <c r="D54" s="60" t="s">
        <v>409</v>
      </c>
      <c r="E54" s="60" t="s">
        <v>409</v>
      </c>
      <c r="F54" s="60" t="s">
        <v>409</v>
      </c>
      <c r="G54" s="60" t="s">
        <v>413</v>
      </c>
      <c r="H54" s="60" t="s">
        <v>409</v>
      </c>
      <c r="I54" s="60" t="s">
        <v>409</v>
      </c>
    </row>
    <row r="55" spans="1:9" x14ac:dyDescent="0.25">
      <c r="A55" s="172" t="str">
        <f>HYPERLINK("[OpenSolver Tester.xlsm]Test32!A1", "Test32")</f>
        <v>Test32</v>
      </c>
      <c r="B55" s="60" t="s">
        <v>409</v>
      </c>
      <c r="C55" s="60" t="s">
        <v>409</v>
      </c>
      <c r="D55" s="60" t="s">
        <v>409</v>
      </c>
      <c r="E55" s="60" t="s">
        <v>409</v>
      </c>
      <c r="F55" s="60" t="s">
        <v>409</v>
      </c>
      <c r="G55" s="60" t="s">
        <v>413</v>
      </c>
      <c r="H55" s="60" t="s">
        <v>409</v>
      </c>
      <c r="I55" s="60" t="s">
        <v>409</v>
      </c>
    </row>
    <row r="56" spans="1:9" x14ac:dyDescent="0.25">
      <c r="A56" s="172" t="str">
        <f>HYPERLINK("[OpenSolver Tester.xlsm]Test33!A1", "Test33")</f>
        <v>Test33</v>
      </c>
      <c r="B56" s="60" t="s">
        <v>409</v>
      </c>
      <c r="C56" s="60" t="s">
        <v>409</v>
      </c>
      <c r="D56" s="60" t="s">
        <v>409</v>
      </c>
      <c r="E56" s="60" t="s">
        <v>409</v>
      </c>
      <c r="F56" s="60" t="s">
        <v>409</v>
      </c>
      <c r="G56" s="60" t="s">
        <v>413</v>
      </c>
      <c r="H56" s="60" t="s">
        <v>409</v>
      </c>
      <c r="I56" s="60" t="s">
        <v>409</v>
      </c>
    </row>
    <row r="57" spans="1:9" x14ac:dyDescent="0.25">
      <c r="A57" s="172" t="str">
        <f>HYPERLINK("[OpenSolver Tester.xlsm]Test34!A1", "Test34")</f>
        <v>Test34</v>
      </c>
      <c r="B57" s="60" t="s">
        <v>409</v>
      </c>
      <c r="C57" s="60" t="s">
        <v>409</v>
      </c>
      <c r="D57" s="60" t="s">
        <v>409</v>
      </c>
      <c r="E57" s="60" t="s">
        <v>409</v>
      </c>
      <c r="F57" s="60" t="s">
        <v>409</v>
      </c>
      <c r="G57" s="60" t="s">
        <v>413</v>
      </c>
      <c r="H57" s="60" t="s">
        <v>409</v>
      </c>
      <c r="I57" s="60" t="s">
        <v>409</v>
      </c>
    </row>
    <row r="58" spans="1:9" x14ac:dyDescent="0.25">
      <c r="A58" s="172" t="str">
        <f>HYPERLINK("[OpenSolver Tester.xlsm]Test35!A1", "Test35")</f>
        <v>Test35</v>
      </c>
      <c r="B58" s="60" t="s">
        <v>409</v>
      </c>
      <c r="C58" s="60" t="s">
        <v>409</v>
      </c>
      <c r="D58" s="60" t="s">
        <v>409</v>
      </c>
      <c r="E58" s="60" t="s">
        <v>409</v>
      </c>
      <c r="F58" s="60" t="s">
        <v>409</v>
      </c>
      <c r="G58" s="60" t="s">
        <v>413</v>
      </c>
      <c r="H58" s="60" t="s">
        <v>409</v>
      </c>
      <c r="I58" s="60" t="s">
        <v>409</v>
      </c>
    </row>
    <row r="59" spans="1:9" x14ac:dyDescent="0.25">
      <c r="A59" s="172" t="str">
        <f>HYPERLINK("[OpenSolver Tester.xlsm]Test36!A1", "Test36")</f>
        <v>Test36</v>
      </c>
      <c r="B59" s="60" t="s">
        <v>409</v>
      </c>
      <c r="C59" s="60" t="s">
        <v>409</v>
      </c>
      <c r="D59" s="60" t="s">
        <v>409</v>
      </c>
      <c r="E59" s="60" t="s">
        <v>411</v>
      </c>
      <c r="F59" s="60" t="s">
        <v>409</v>
      </c>
      <c r="G59" s="60" t="s">
        <v>413</v>
      </c>
      <c r="H59" s="60" t="s">
        <v>411</v>
      </c>
      <c r="I59" s="60" t="s">
        <v>409</v>
      </c>
    </row>
    <row r="60" spans="1:9" x14ac:dyDescent="0.25">
      <c r="A60" s="172" t="str">
        <f>HYPERLINK("[OpenSolver Tester.xlsm]Test37!A1", "Test37")</f>
        <v>Test37</v>
      </c>
      <c r="B60" s="60" t="s">
        <v>409</v>
      </c>
      <c r="C60" s="60" t="s">
        <v>409</v>
      </c>
      <c r="D60" s="60" t="s">
        <v>409</v>
      </c>
      <c r="E60" s="60" t="s">
        <v>409</v>
      </c>
      <c r="F60" s="60" t="s">
        <v>409</v>
      </c>
      <c r="G60" s="60" t="s">
        <v>413</v>
      </c>
      <c r="H60" s="60" t="s">
        <v>409</v>
      </c>
      <c r="I60" s="60" t="s">
        <v>409</v>
      </c>
    </row>
    <row r="61" spans="1:9" x14ac:dyDescent="0.25">
      <c r="A61" s="172" t="str">
        <f>HYPERLINK("[OpenSolver Tester.xlsm]Test38!A1", "Test38")</f>
        <v>Test38</v>
      </c>
      <c r="B61" s="60" t="s">
        <v>409</v>
      </c>
      <c r="C61" s="60" t="s">
        <v>409</v>
      </c>
      <c r="D61" s="60" t="s">
        <v>409</v>
      </c>
      <c r="E61" s="60" t="s">
        <v>409</v>
      </c>
      <c r="F61" s="60" t="s">
        <v>409</v>
      </c>
      <c r="G61" s="60" t="s">
        <v>413</v>
      </c>
      <c r="H61" s="60" t="s">
        <v>409</v>
      </c>
      <c r="I61" s="60" t="s">
        <v>409</v>
      </c>
    </row>
    <row r="62" spans="1:9" x14ac:dyDescent="0.25">
      <c r="A62" s="172" t="str">
        <f>HYPERLINK("[OpenSolver Tester.xlsm]Test39_SensNames!A1", "Test39_SensNames")</f>
        <v>Test39_SensNames</v>
      </c>
      <c r="B62" s="60" t="s">
        <v>409</v>
      </c>
      <c r="C62" s="60" t="s">
        <v>409</v>
      </c>
      <c r="D62" s="60" t="s">
        <v>409</v>
      </c>
      <c r="E62" s="60" t="s">
        <v>409</v>
      </c>
      <c r="F62" s="60" t="s">
        <v>409</v>
      </c>
      <c r="G62" s="60" t="s">
        <v>413</v>
      </c>
      <c r="H62" s="60" t="s">
        <v>409</v>
      </c>
      <c r="I62" s="60" t="s">
        <v>409</v>
      </c>
    </row>
    <row r="63" spans="1:9" x14ac:dyDescent="0.25">
      <c r="A63" s="172" t="str">
        <f>HYPERLINK("[OpenSolver Tester.xlsm]Test40!A1", "Test40")</f>
        <v>Test40</v>
      </c>
      <c r="B63" s="60" t="s">
        <v>409</v>
      </c>
      <c r="C63" s="60" t="s">
        <v>409</v>
      </c>
      <c r="D63" s="60" t="s">
        <v>409</v>
      </c>
      <c r="E63" s="60" t="s">
        <v>409</v>
      </c>
      <c r="F63" s="60" t="s">
        <v>412</v>
      </c>
      <c r="G63" s="60" t="s">
        <v>413</v>
      </c>
      <c r="H63" s="60" t="s">
        <v>409</v>
      </c>
      <c r="I63" s="60" t="s">
        <v>409</v>
      </c>
    </row>
    <row r="64" spans="1:9" x14ac:dyDescent="0.25">
      <c r="A64" s="172" t="str">
        <f>HYPERLINK("[OpenSolver Tester.xlsm]Test41!A1", "Test41")</f>
        <v>Test41</v>
      </c>
      <c r="B64" s="60" t="s">
        <v>409</v>
      </c>
      <c r="C64" s="60" t="s">
        <v>409</v>
      </c>
      <c r="D64" s="60" t="s">
        <v>409</v>
      </c>
      <c r="E64" s="60" t="s">
        <v>409</v>
      </c>
      <c r="F64" s="60" t="s">
        <v>411</v>
      </c>
      <c r="G64" s="60" t="s">
        <v>413</v>
      </c>
      <c r="H64" s="60" t="s">
        <v>409</v>
      </c>
      <c r="I64" s="60" t="s">
        <v>411</v>
      </c>
    </row>
    <row r="65" spans="1:9" x14ac:dyDescent="0.25">
      <c r="A65" s="172" t="str">
        <f>HYPERLINK("[OpenSolver Tester.xlsm]Test42!A1", "Test42")</f>
        <v>Test42</v>
      </c>
      <c r="B65" s="60" t="s">
        <v>409</v>
      </c>
      <c r="C65" s="60" t="s">
        <v>409</v>
      </c>
      <c r="D65" s="60" t="s">
        <v>409</v>
      </c>
      <c r="E65" s="60" t="s">
        <v>409</v>
      </c>
      <c r="F65" s="60" t="s">
        <v>409</v>
      </c>
      <c r="G65" s="60" t="s">
        <v>413</v>
      </c>
      <c r="H65" s="60" t="s">
        <v>409</v>
      </c>
      <c r="I65" s="60" t="s">
        <v>409</v>
      </c>
    </row>
    <row r="66" spans="1:9" x14ac:dyDescent="0.25">
      <c r="A66" s="172" t="str">
        <f>HYPERLINK("[OpenSolver Tester.xlsm]Test43!A1", "Test43")</f>
        <v>Test43</v>
      </c>
      <c r="B66" s="60" t="s">
        <v>409</v>
      </c>
      <c r="C66" s="60" t="s">
        <v>409</v>
      </c>
      <c r="D66" s="60" t="s">
        <v>409</v>
      </c>
      <c r="E66" s="60" t="s">
        <v>409</v>
      </c>
      <c r="F66" s="60" t="s">
        <v>409</v>
      </c>
      <c r="G66" s="60" t="s">
        <v>413</v>
      </c>
      <c r="H66" s="60" t="s">
        <v>409</v>
      </c>
      <c r="I66" s="60" t="s">
        <v>409</v>
      </c>
    </row>
    <row r="67" spans="1:9" x14ac:dyDescent="0.25">
      <c r="A67" s="172" t="str">
        <f>HYPERLINK("[OpenSolver Tester.xlsm]Test44_Seek!A1", "Test44_Seek")</f>
        <v>Test44_Seek</v>
      </c>
      <c r="B67" s="60" t="s">
        <v>409</v>
      </c>
      <c r="C67" s="60" t="s">
        <v>409</v>
      </c>
      <c r="D67" s="60" t="s">
        <v>409</v>
      </c>
      <c r="E67" s="60" t="s">
        <v>409</v>
      </c>
      <c r="F67" s="60" t="s">
        <v>409</v>
      </c>
      <c r="G67" s="60" t="s">
        <v>413</v>
      </c>
      <c r="H67" s="60" t="s">
        <v>409</v>
      </c>
      <c r="I67" s="60" t="s">
        <v>409</v>
      </c>
    </row>
    <row r="68" spans="1:9" x14ac:dyDescent="0.25">
      <c r="A68" s="172" t="str">
        <f>HYPERLINK("[OpenSolver Tester.xlsm]Test45_SheetName(1)+2-1!A1", "Test45_SheetName(1)+2-1")</f>
        <v>Test45_SheetName(1)+2-1</v>
      </c>
      <c r="B68" s="60" t="s">
        <v>409</v>
      </c>
      <c r="C68" s="60" t="s">
        <v>409</v>
      </c>
      <c r="D68" s="60" t="s">
        <v>409</v>
      </c>
      <c r="E68" s="60" t="s">
        <v>409</v>
      </c>
      <c r="F68" s="60" t="s">
        <v>409</v>
      </c>
      <c r="G68" s="60" t="s">
        <v>413</v>
      </c>
      <c r="H68" s="60" t="s">
        <v>409</v>
      </c>
      <c r="I68" s="60" t="s">
        <v>409</v>
      </c>
    </row>
    <row r="69" spans="1:9" x14ac:dyDescent="0.25">
      <c r="A69" s="172" t="str">
        <f>HYPERLINK("[OpenSolver Tester.xlsm]Test46_NonLinBinary!A1", "Test46_NonLinBinary")</f>
        <v>Test46_NonLinBinary</v>
      </c>
      <c r="B69" s="60" t="s">
        <v>409</v>
      </c>
      <c r="C69" s="60" t="s">
        <v>409</v>
      </c>
      <c r="D69" s="60" t="s">
        <v>409</v>
      </c>
      <c r="E69" s="60" t="s">
        <v>409</v>
      </c>
      <c r="F69" s="60" t="s">
        <v>414</v>
      </c>
      <c r="G69" s="60" t="s">
        <v>413</v>
      </c>
      <c r="H69" s="60" t="s">
        <v>409</v>
      </c>
      <c r="I69" s="60" t="s">
        <v>409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P8" sqref="P8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5.2941176432133004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9">
        <v>5.2941176526297902</v>
      </c>
      <c r="F5" s="179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9">
        <v>150</v>
      </c>
      <c r="K10" s="17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116.47058835785538</v>
      </c>
      <c r="H10" s="179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2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2</v>
      </c>
      <c r="E5" s="1">
        <v>7.1818182000000004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25.545454599999999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99.000000200000002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200.0000004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200.0000004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282.18181879999997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J11" sqref="J11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73" t="str">
        <f>HYPERLINK("[OpenSolver Tester.xlsm]Results!A1", "&lt;- Results")</f>
        <v>&lt;- Results</v>
      </c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2.6182822537944399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-4.0000000399690903</v>
      </c>
      <c r="E5" s="1">
        <v>7.5294117776311698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14.588235252955331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42.823529154251958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81.647058268534835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179.99999968004704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-1.0000000099949999</v>
      </c>
      <c r="E4" s="54">
        <v>-2.0000000199966701</v>
      </c>
      <c r="F4" s="150">
        <v>-9.9975000000010297E-9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-9.9975000000010297E-9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-2.0000000199966701</v>
      </c>
      <c r="F6" s="150">
        <v>-9.9975000000010198E-9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-2.0000000099949999</v>
      </c>
      <c r="E4" s="150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-2.0000000099101101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335999</v>
      </c>
      <c r="N9" s="58">
        <f ca="1">M9+1</f>
        <v>336000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9.5238095000000005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19.047619000000001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95.238095000000001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199.9999995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199.9999995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180.9523805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0.16635210088357899</v>
      </c>
      <c r="E5" s="59">
        <v>5.2243680338732998</v>
      </c>
      <c r="F5" s="59">
        <v>2.46625958900074E-2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59.427520532122173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118.99673056923793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117.86225115829758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179.99999999999994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-381036674817.96399</v>
      </c>
      <c r="E13" s="30">
        <v>-1147995110020.54</v>
      </c>
      <c r="F13" s="30">
        <v>-1445985330075.6101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-9989999999999.9883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-33790136919312.902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-66515325183368.156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109.90625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179.8515625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1.03681926200733E-2</v>
      </c>
      <c r="E4">
        <v>4.0403257563419297</v>
      </c>
      <c r="F4">
        <v>1.03681926200733E-2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1.03681926200733E-2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4.0403257563419297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1.03681926200733E-2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4.0610621415820765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415</v>
      </c>
    </row>
    <row r="2" spans="1:8" x14ac:dyDescent="0.25">
      <c r="A2" s="17" t="s">
        <v>243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416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1.0000001000000001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1.0000001000000001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 t="s">
        <v>408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pageSetup paperSize="9" orientation="portrait" horizontalDpi="0" verticalDpi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8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8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8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8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8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1.00000000004005</v>
      </c>
      <c r="F4">
        <f>100*(D4-C4^2)^2+(1-C4)^2</f>
        <v>4.0024966671309212E-22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21.333089364111999</v>
      </c>
      <c r="E5">
        <v>0.93751073080137803</v>
      </c>
    </row>
    <row r="6" spans="1:15" ht="15.75" thickBot="1" x14ac:dyDescent="0.3">
      <c r="A6" s="64" t="b">
        <f>AND(F22)</f>
        <v>1</v>
      </c>
      <c r="F6">
        <f>D5^2*E5^2</f>
        <v>400.0000079999898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20.000000199999743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22.270600094913377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21.333089364111999</v>
      </c>
      <c r="G10" t="s">
        <v>9</v>
      </c>
      <c r="H10">
        <v>0</v>
      </c>
    </row>
    <row r="11" spans="1:15" x14ac:dyDescent="0.25">
      <c r="F11">
        <f>E5</f>
        <v>0.93751073080137803</v>
      </c>
      <c r="H11">
        <v>0</v>
      </c>
    </row>
    <row r="12" spans="1:15" x14ac:dyDescent="0.25">
      <c r="F12">
        <f>E5*D5+E5+D5</f>
        <v>42.270600294913123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42.270600294913123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42.270600294913123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-2.2705998949136337</v>
      </c>
      <c r="G15" t="s">
        <v>8</v>
      </c>
      <c r="H15">
        <v>0</v>
      </c>
      <c r="O15" s="83"/>
    </row>
    <row r="16" spans="1:15" x14ac:dyDescent="0.25">
      <c r="F16">
        <f>E5-D5*E5+D5</f>
        <v>2.2705998949136337</v>
      </c>
      <c r="G16" t="s">
        <v>8</v>
      </c>
      <c r="H16">
        <v>60</v>
      </c>
      <c r="O16" s="83"/>
    </row>
    <row r="17" spans="6:15" x14ac:dyDescent="0.25">
      <c r="F17">
        <f>E5-D5+E5*D5</f>
        <v>-0.39557843331087739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407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100000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3.0154278048443501</v>
      </c>
      <c r="E5">
        <v>3.0154278048443501</v>
      </c>
      <c r="F5">
        <v>3.0154278048443501</v>
      </c>
      <c r="G5">
        <v>3.0154278048443501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-7.7522030538411357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-40.494641823668459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-28.432930604291059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S11" sqref="S11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0.94240514092658001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0.41277404754643199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415</v>
      </c>
    </row>
    <row r="2" spans="1:8" x14ac:dyDescent="0.25">
      <c r="A2" s="17" t="s">
        <v>284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417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35.000000100000001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10.000000099999999</v>
      </c>
      <c r="H8" s="108">
        <v>10.000000099999999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15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10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35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0</v>
      </c>
      <c r="F13" s="75">
        <v>20</v>
      </c>
      <c r="G13" s="75">
        <v>5.0000001000000003</v>
      </c>
      <c r="H13" s="108">
        <v>5.0000001000000003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5.0000001000000003</v>
      </c>
      <c r="H14" s="107">
        <v>1E+100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5.0000001000000003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5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5.0000001000000003</v>
      </c>
      <c r="H18" s="108">
        <v>5.0000001000000003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5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5</v>
      </c>
      <c r="F20" s="75">
        <v>15</v>
      </c>
      <c r="G20" s="109">
        <v>1E+100</v>
      </c>
      <c r="H20" s="108">
        <v>5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5.0000001000000003</v>
      </c>
      <c r="H21" s="112">
        <v>1E+100</v>
      </c>
    </row>
    <row r="22" spans="1:8" x14ac:dyDescent="0.25">
      <c r="B22" s="177"/>
      <c r="C22" s="177"/>
      <c r="D22" s="177"/>
      <c r="E22" s="177"/>
      <c r="F22" s="177"/>
      <c r="G22" s="177"/>
      <c r="H22" s="177"/>
    </row>
    <row r="23" spans="1:8" ht="15.75" thickBot="1" x14ac:dyDescent="0.3">
      <c r="A23" s="17" t="s">
        <v>134</v>
      </c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-10</v>
      </c>
      <c r="F26" s="75">
        <v>300</v>
      </c>
      <c r="G26" s="75">
        <v>100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25</v>
      </c>
      <c r="F30" s="75">
        <v>200</v>
      </c>
      <c r="G30" s="75">
        <v>0</v>
      </c>
      <c r="H30" s="108">
        <v>100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30</v>
      </c>
      <c r="F31" s="75">
        <v>100</v>
      </c>
      <c r="G31" s="75">
        <v>0</v>
      </c>
      <c r="H31" s="108">
        <v>100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77"/>
      <c r="C33" s="177"/>
      <c r="D33" s="177"/>
      <c r="E33" s="177"/>
      <c r="F33" s="177"/>
      <c r="G33" s="177"/>
      <c r="H33" s="177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100.00000002</v>
      </c>
      <c r="E14">
        <v>99.999993509999996</v>
      </c>
      <c r="F14">
        <v>0</v>
      </c>
      <c r="G14">
        <v>0</v>
      </c>
      <c r="H14">
        <v>0</v>
      </c>
      <c r="I14">
        <f>SUM(D14:H14)</f>
        <v>199.99999352999998</v>
      </c>
      <c r="J14">
        <v>200</v>
      </c>
    </row>
    <row r="15" spans="1:10" x14ac:dyDescent="0.25">
      <c r="C15" t="s">
        <v>263</v>
      </c>
      <c r="D15">
        <v>0</v>
      </c>
      <c r="E15" s="81">
        <v>2.9800023581351099E-6</v>
      </c>
      <c r="F15">
        <v>200.000000019997</v>
      </c>
      <c r="G15" s="81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264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13249.999901199892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327</v>
      </c>
      <c r="D11" s="125">
        <v>135.09256086288099</v>
      </c>
      <c r="E11" s="123"/>
    </row>
    <row r="12" spans="1:5" x14ac:dyDescent="0.25">
      <c r="C12" s="121" t="s">
        <v>328</v>
      </c>
      <c r="D12" s="122">
        <f>D11/D4</f>
        <v>27.018512172576198</v>
      </c>
      <c r="E12" s="123"/>
    </row>
    <row r="13" spans="1:5" x14ac:dyDescent="0.25">
      <c r="C13" s="121" t="s">
        <v>329</v>
      </c>
      <c r="D13" s="124">
        <f>D8*D11/2</f>
        <v>0.37011660510378352</v>
      </c>
      <c r="E13" s="123"/>
    </row>
    <row r="14" spans="1:5" x14ac:dyDescent="0.25">
      <c r="C14" s="121" t="s">
        <v>330</v>
      </c>
      <c r="D14" s="126">
        <f>D5/D12</f>
        <v>0.37011660509382172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>
        <f>D13+D14</f>
        <v>0.74023321019760524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</v>
      </c>
      <c r="G2" s="130">
        <v>2</v>
      </c>
      <c r="H2" s="130">
        <v>3</v>
      </c>
      <c r="I2" s="130">
        <v>4</v>
      </c>
      <c r="J2" s="128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1.4142135623730951</v>
      </c>
      <c r="K3" s="100"/>
      <c r="N3" s="90" t="s">
        <v>343</v>
      </c>
      <c r="O3" s="90">
        <f>$F$2</f>
        <v>1</v>
      </c>
      <c r="P3" s="90">
        <f>$G$2</f>
        <v>2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3.1622776601683795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2.8284271247461903</v>
      </c>
      <c r="K6" s="100"/>
      <c r="N6" s="90" t="s">
        <v>343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13.764091950405115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3</v>
      </c>
      <c r="P9" s="90">
        <f>$I$2</f>
        <v>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3</v>
      </c>
      <c r="P12" s="90">
        <f>$I$2</f>
        <v>4</v>
      </c>
    </row>
    <row r="14" spans="1:16" x14ac:dyDescent="0.25">
      <c r="N14" s="90" t="s">
        <v>343</v>
      </c>
      <c r="O14" s="90">
        <f>$F$2</f>
        <v>1</v>
      </c>
      <c r="P14" s="90">
        <f>$G$2</f>
        <v>2</v>
      </c>
    </row>
    <row r="15" spans="1:16" x14ac:dyDescent="0.25">
      <c r="N15" s="90" t="s">
        <v>345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81" t="s">
        <v>347</v>
      </c>
      <c r="D1" s="181"/>
      <c r="E1" s="181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2.3571428571397148</v>
      </c>
      <c r="I4" s="141">
        <f>SIN(RADIANS(D7))*D2</f>
        <v>1.8557687223992168</v>
      </c>
    </row>
    <row r="5" spans="1:9" x14ac:dyDescent="0.25">
      <c r="A5" s="63" t="s">
        <v>210</v>
      </c>
      <c r="H5" s="141">
        <f>H4+COS(RADIANS(D8))*D3</f>
        <v>6.9999999999971134</v>
      </c>
      <c r="I5" s="141">
        <f>I4+SIN(RADIANS(D8))*D3</f>
        <v>4.6322945479460031E-12</v>
      </c>
    </row>
    <row r="6" spans="1:9" ht="15.75" thickBot="1" x14ac:dyDescent="0.3">
      <c r="A6" s="64" t="b">
        <f>AND(F16)</f>
        <v>1</v>
      </c>
      <c r="C6" s="181" t="s">
        <v>228</v>
      </c>
      <c r="D6" s="181"/>
      <c r="E6" s="181"/>
    </row>
    <row r="7" spans="1:9" x14ac:dyDescent="0.25">
      <c r="A7" s="63" t="s">
        <v>211</v>
      </c>
      <c r="C7" s="143" t="s">
        <v>352</v>
      </c>
      <c r="D7" s="144">
        <v>38.213210701835202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-21.7867892982539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81" t="s">
        <v>355</v>
      </c>
      <c r="D10" s="181"/>
      <c r="E10" s="181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6.9999999999971134</v>
      </c>
      <c r="D12" s="146">
        <f>D4</f>
        <v>7</v>
      </c>
      <c r="E12" s="146">
        <f>D12-C12</f>
        <v>2.886579864025407E-12</v>
      </c>
      <c r="F12" s="146">
        <f>E12^2</f>
        <v>8.3323433113969372E-24</v>
      </c>
    </row>
    <row r="13" spans="1:9" x14ac:dyDescent="0.25">
      <c r="C13" s="146">
        <f>D2*SIN(RADIANS(D7))+D3*SIN(RADIANS(D8))</f>
        <v>4.6322945479460031E-12</v>
      </c>
      <c r="D13" s="146">
        <v>0</v>
      </c>
      <c r="E13" s="146">
        <f>C13-D13</f>
        <v>4.6322945479460031E-12</v>
      </c>
      <c r="F13" s="146">
        <f>E13^2</f>
        <v>2.1458152778930266E-23</v>
      </c>
    </row>
    <row r="15" spans="1:9" x14ac:dyDescent="0.25">
      <c r="C15" s="181" t="s">
        <v>360</v>
      </c>
      <c r="D15" s="181"/>
      <c r="E15" s="181"/>
      <c r="F15" s="147">
        <f>SUM(F12:F13)</f>
        <v>2.9790496090327203E-23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415</v>
      </c>
    </row>
    <row r="2" spans="1:8" x14ac:dyDescent="0.25">
      <c r="A2" s="17" t="s">
        <v>403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418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400</v>
      </c>
      <c r="C7" s="75" t="s">
        <v>404</v>
      </c>
      <c r="D7" s="75">
        <v>250</v>
      </c>
      <c r="E7" s="75">
        <v>0</v>
      </c>
      <c r="F7" s="75">
        <v>0.1</v>
      </c>
      <c r="G7" s="109">
        <v>1.9999999999999999E-7</v>
      </c>
      <c r="H7" s="107">
        <v>1E+100</v>
      </c>
    </row>
    <row r="8" spans="1:8" x14ac:dyDescent="0.25">
      <c r="B8" s="106" t="s">
        <v>401</v>
      </c>
      <c r="C8" s="75" t="s">
        <v>405</v>
      </c>
      <c r="D8" s="75">
        <v>100</v>
      </c>
      <c r="E8" s="75">
        <v>0</v>
      </c>
      <c r="F8" s="75">
        <v>0.25</v>
      </c>
      <c r="G8" s="109">
        <v>1E+100</v>
      </c>
      <c r="H8" s="108">
        <v>0</v>
      </c>
    </row>
    <row r="9" spans="1:8" ht="15.75" thickBot="1" x14ac:dyDescent="0.3">
      <c r="B9" s="110" t="s">
        <v>402</v>
      </c>
      <c r="C9" s="111" t="s">
        <v>406</v>
      </c>
      <c r="D9" s="111">
        <v>0</v>
      </c>
      <c r="E9" s="111">
        <v>0</v>
      </c>
      <c r="F9" s="111">
        <v>0.4</v>
      </c>
      <c r="G9" s="161">
        <v>1.9999999999999999E-7</v>
      </c>
      <c r="H9" s="112">
        <v>1E+100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395</v>
      </c>
      <c r="C13" s="75" t="s">
        <v>4</v>
      </c>
      <c r="D13" s="75">
        <v>350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396</v>
      </c>
      <c r="C14" s="75" t="s">
        <v>211</v>
      </c>
      <c r="D14" s="75">
        <v>100</v>
      </c>
      <c r="E14" s="75">
        <v>0</v>
      </c>
      <c r="F14" s="75">
        <v>100</v>
      </c>
      <c r="G14" s="75">
        <v>0</v>
      </c>
      <c r="H14" s="108">
        <v>166.66666670000001</v>
      </c>
    </row>
    <row r="15" spans="1:8" x14ac:dyDescent="0.25">
      <c r="B15" s="106" t="s">
        <v>383</v>
      </c>
      <c r="C15" s="75" t="s">
        <v>201</v>
      </c>
      <c r="D15" s="75">
        <v>-500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397</v>
      </c>
      <c r="C16" s="111">
        <v>0</v>
      </c>
      <c r="D16" s="111">
        <v>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391</v>
      </c>
      <c r="M1" t="s">
        <v>392</v>
      </c>
      <c r="N1" t="s">
        <v>393</v>
      </c>
      <c r="O1" t="s">
        <v>394</v>
      </c>
    </row>
    <row r="2" spans="1:15" ht="15.75" thickBot="1" x14ac:dyDescent="0.3">
      <c r="A2" s="64" t="s">
        <v>205</v>
      </c>
      <c r="D2">
        <v>249.99999999014099</v>
      </c>
      <c r="E2">
        <v>100.000000019719</v>
      </c>
      <c r="F2" s="81">
        <v>0</v>
      </c>
      <c r="L2" t="s">
        <v>395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396</v>
      </c>
      <c r="M3">
        <v>0</v>
      </c>
      <c r="N3">
        <v>0</v>
      </c>
      <c r="O3">
        <v>166.66666670000001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397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398</v>
      </c>
      <c r="M7" t="s">
        <v>399</v>
      </c>
      <c r="N7" t="s">
        <v>393</v>
      </c>
      <c r="O7" t="s">
        <v>394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400</v>
      </c>
      <c r="M8">
        <v>0</v>
      </c>
      <c r="N8" s="81">
        <v>1.9999999999999999E-7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401</v>
      </c>
      <c r="M9">
        <v>0</v>
      </c>
      <c r="N9" s="81">
        <v>1E+100</v>
      </c>
      <c r="O9" s="81">
        <v>0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402</v>
      </c>
      <c r="M10">
        <v>0</v>
      </c>
      <c r="N10" s="81">
        <v>1.9999999999999999E-7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C15" sqref="C15:F2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5.2941176432133004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58.235294075346303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116.47058815069261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116.47058815069261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179.99999986925221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74"/>
      <c r="G3" s="174"/>
      <c r="H3" t="s">
        <v>410</v>
      </c>
    </row>
    <row r="4" spans="1:8" ht="15.75" thickBot="1" x14ac:dyDescent="0.3">
      <c r="A4" s="64" t="s">
        <v>208</v>
      </c>
      <c r="C4" s="36">
        <v>0</v>
      </c>
      <c r="D4" s="175">
        <v>0</v>
      </c>
      <c r="E4" s="174"/>
      <c r="G4" s="174"/>
    </row>
    <row r="5" spans="1:8" x14ac:dyDescent="0.25">
      <c r="A5" s="63" t="s">
        <v>210</v>
      </c>
      <c r="C5" s="35"/>
      <c r="D5" s="35"/>
      <c r="E5" s="174"/>
      <c r="F5" s="35"/>
      <c r="G5" s="174"/>
    </row>
    <row r="6" spans="1:8" ht="15.75" thickBot="1" x14ac:dyDescent="0.3">
      <c r="A6" s="64" t="b">
        <f>AND(C20,D20,E20,C24)</f>
        <v>1</v>
      </c>
      <c r="C6" s="176">
        <f>100*(D4-(0.5+C4)^2)^2+(1-C4)^2</f>
        <v>7.25</v>
      </c>
      <c r="E6" s="174"/>
      <c r="F6" s="35"/>
      <c r="G6" s="174"/>
    </row>
    <row r="7" spans="1:8" x14ac:dyDescent="0.25">
      <c r="A7" s="63" t="s">
        <v>211</v>
      </c>
      <c r="E7" s="174"/>
      <c r="F7" s="35"/>
      <c r="G7" s="174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5">
        <v>1</v>
      </c>
      <c r="E9" s="36">
        <f>SUMPRODUCT(C9:D9,$C$4:$D$4,C8:D8)</f>
        <v>0</v>
      </c>
      <c r="F9" s="37" t="s">
        <v>9</v>
      </c>
      <c r="G9" s="175">
        <v>0</v>
      </c>
    </row>
    <row r="10" spans="1:8" ht="15.75" thickBot="1" x14ac:dyDescent="0.3">
      <c r="A10" s="173" t="str">
        <f>HYPERLINK("[OpenSolver Tester.xlsm]Results!A1", "&lt;- Results")</f>
        <v>&lt;- Results</v>
      </c>
    </row>
    <row r="15" spans="1:8" x14ac:dyDescent="0.25">
      <c r="C15" s="17" t="s">
        <v>15</v>
      </c>
      <c r="D15" s="174"/>
      <c r="E15" s="174"/>
      <c r="F15" s="174"/>
    </row>
    <row r="16" spans="1:8" x14ac:dyDescent="0.25">
      <c r="D16" s="174">
        <v>0</v>
      </c>
      <c r="E16" s="174">
        <v>0</v>
      </c>
      <c r="F16" s="174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74"/>
      <c r="E18" s="174"/>
      <c r="F18" s="174"/>
    </row>
    <row r="19" spans="3:6" x14ac:dyDescent="0.25">
      <c r="C19" s="17" t="s">
        <v>16</v>
      </c>
      <c r="D19" s="174"/>
      <c r="E19" s="174"/>
      <c r="F19" s="174"/>
    </row>
    <row r="20" spans="3:6" x14ac:dyDescent="0.25">
      <c r="D20" s="174">
        <v>7.25</v>
      </c>
      <c r="E20" s="174"/>
      <c r="F20" s="174"/>
    </row>
    <row r="21" spans="3:6" x14ac:dyDescent="0.25">
      <c r="C21" t="s">
        <v>17</v>
      </c>
      <c r="D21" s="8" t="b">
        <f>ABS(D20-C6)/(1+ABS(D20))&lt;=0.000001</f>
        <v>1</v>
      </c>
      <c r="E21" s="174"/>
      <c r="F21" s="174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2" t="s">
        <v>157</v>
      </c>
      <c r="C33" s="18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162</vt:i4>
      </vt:variant>
    </vt:vector>
  </HeadingPairs>
  <TitlesOfParts>
    <vt:vector size="237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2015-02-15T15:39:32Z</dcterms:modified>
</cp:coreProperties>
</file>