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\\psf\Dropbox\Scratch\OpenSolver\OpenSolverTester\"/>
    </mc:Choice>
  </mc:AlternateContent>
  <bookViews>
    <workbookView xWindow="7680" yWindow="1800" windowWidth="14040" windowHeight="11415" firstSheet="48" activeTab="58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HighlightingExample" sheetId="5" r:id="rId73"/>
    <sheet name="TestNewAutomodel" sheetId="40" r:id="rId74"/>
  </sheets>
  <functionGroups builtInGroupCount="18"/>
  <externalReferences>
    <externalReference r:id="rId75"/>
  </externalReferences>
  <definedNames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Gurobi</definedName>
    <definedName name="OpenSolver_ChosenSolver" localSheetId="2" hidden="1">CBC</definedName>
    <definedName name="OpenSolver_ChosenSolver" localSheetId="27" hidden="1">Gurobi</definedName>
    <definedName name="OpenSolver_ChosenSolver" localSheetId="28" hidden="1">Gurobi</definedName>
    <definedName name="OpenSolver_ChosenSolver" localSheetId="29" hidden="1">Gurobi</definedName>
    <definedName name="OpenSolver_ChosenSolver" localSheetId="30" hidden="1">Gurobi</definedName>
    <definedName name="OpenSolver_ChosenSolver" localSheetId="31" hidden="1">Gurobi</definedName>
    <definedName name="OpenSolver_ChosenSolver" localSheetId="32" hidden="1">Gurobi</definedName>
    <definedName name="OpenSolver_ChosenSolver" localSheetId="33" hidden="1">Gurobi</definedName>
    <definedName name="OpenSolver_ChosenSolver" localSheetId="34" hidden="1">Gurobi</definedName>
    <definedName name="OpenSolver_ChosenSolver" localSheetId="35" hidden="1">Gurobi</definedName>
    <definedName name="OpenSolver_ChosenSolver" localSheetId="36" hidden="1">Gurobi</definedName>
    <definedName name="OpenSolver_ChosenSolver" localSheetId="37" hidden="1">Gurobi</definedName>
    <definedName name="OpenSolver_ChosenSolver" localSheetId="38" hidden="1">Gurobi</definedName>
    <definedName name="OpenSolver_ChosenSolver" localSheetId="39" hidden="1">Gurobi</definedName>
    <definedName name="OpenSolver_ChosenSolver" localSheetId="40" hidden="1">Gurobi</definedName>
    <definedName name="OpenSolver_ChosenSolver" localSheetId="41" hidden="1">Gurobi</definedName>
    <definedName name="OpenSolver_ChosenSolver" localSheetId="3" hidden="1">CBC</definedName>
    <definedName name="OpenSolver_ChosenSolver" localSheetId="4" hidden="1">Gurobi</definedName>
    <definedName name="OpenSolver_ChosenSolver" localSheetId="5" hidden="1">Gurobi</definedName>
    <definedName name="OpenSolver_ChosenSolver" localSheetId="6" hidden="1">Gurobi</definedName>
    <definedName name="OpenSolver_ChosenSolver" localSheetId="7" hidden="1">Gurobi</definedName>
    <definedName name="OpenSolver_ChosenSolver" localSheetId="8" hidden="1">Gurobi</definedName>
    <definedName name="OpenSolver_ChosenSolver" localSheetId="9" hidden="1">Gurobi</definedName>
    <definedName name="OpenSolver_ChosenSolver" localSheetId="10" hidden="1">Gurobi</definedName>
    <definedName name="OpenSolver_ChosenSolver" localSheetId="11" hidden="1">Gurobi</definedName>
    <definedName name="OpenSolver_ChosenSolver" localSheetId="12" hidden="1">Gurobi</definedName>
    <definedName name="OpenSolver_ChosenSolver" localSheetId="13" hidden="1">Gurobi</definedName>
    <definedName name="OpenSolver_ChosenSolver" localSheetId="14" hidden="1">Gurobi</definedName>
    <definedName name="OpenSolver_ChosenSolver" localSheetId="15" hidden="1">Gurobi</definedName>
    <definedName name="OpenSolver_ChosenSolver" localSheetId="16" hidden="1">Gurobi</definedName>
    <definedName name="OpenSolver_ChosenSolver" localSheetId="17" hidden="1">Gurobi</definedName>
    <definedName name="OpenSolver_ChosenSolver" localSheetId="42" hidden="1">Gurobi</definedName>
    <definedName name="OpenSolver_ChosenSolver" localSheetId="43" hidden="1">Gurobi</definedName>
    <definedName name="OpenSolver_ChosenSolver" localSheetId="44" hidden="1">Gurobi</definedName>
    <definedName name="OpenSolver_ChosenSolver" localSheetId="45" hidden="1">Gurobi</definedName>
    <definedName name="OpenSolver_ChosenSolver" localSheetId="46" hidden="1">Gurobi</definedName>
    <definedName name="OpenSolver_ChosenSolver" localSheetId="47" hidden="1">Gurobi</definedName>
    <definedName name="OpenSolver_ChosenSolver" localSheetId="48" hidden="1">Gurobi</definedName>
    <definedName name="OpenSolver_ChosenSolver" localSheetId="49" hidden="1">Gurobi</definedName>
    <definedName name="OpenSolver_ChosenSolver" localSheetId="50" hidden="1">Gurobi</definedName>
    <definedName name="OpenSolver_ChosenSolver" localSheetId="51" hidden="1">Gurobi</definedName>
    <definedName name="OpenSolver_ChosenSolver" localSheetId="18" hidden="1">Gurobi</definedName>
    <definedName name="OpenSolver_ChosenSolver" localSheetId="52" hidden="1">Gurobi</definedName>
    <definedName name="OpenSolver_ChosenSolver" localSheetId="54" hidden="1">Gurobi</definedName>
    <definedName name="OpenSolver_ChosenSolver" localSheetId="53" hidden="1">CBC</definedName>
    <definedName name="OpenSolver_ChosenSolver" localSheetId="55" hidden="1">Gurobi</definedName>
    <definedName name="OpenSolver_ChosenSolver" localSheetId="56" hidden="1">Gurobi</definedName>
    <definedName name="OpenSolver_ChosenSolver" localSheetId="57" hidden="1">Gurobi</definedName>
    <definedName name="OpenSolver_ChosenSolver" localSheetId="58" hidden="1">Bonmin</definedName>
    <definedName name="OpenSolver_ChosenSolver" localSheetId="59" hidden="1">Gurobi</definedName>
    <definedName name="OpenSolver_ChosenSolver" localSheetId="60" hidden="1">Gurobi</definedName>
    <definedName name="OpenSolver_ChosenSolver" localSheetId="61" hidden="1">Gurobi</definedName>
    <definedName name="OpenSolver_ChosenSolver" localSheetId="62" hidden="1">CBC</definedName>
    <definedName name="OpenSolver_ChosenSolver" localSheetId="64" hidden="1">Gurobi</definedName>
    <definedName name="OpenSolver_ChosenSolver" localSheetId="19" hidden="1">Gurobi</definedName>
    <definedName name="OpenSolver_ChosenSolver" localSheetId="65" hidden="1">Gurobi</definedName>
    <definedName name="OpenSolver_ChosenSolver" localSheetId="66" hidden="1">Gurobi</definedName>
    <definedName name="OpenSolver_ChosenSolver" localSheetId="67" hidden="1">Gurobi</definedName>
    <definedName name="OpenSolver_ChosenSolver" localSheetId="68" hidden="1">Gurobi</definedName>
    <definedName name="OpenSolver_ChosenSolver" localSheetId="70" hidden="1">Gurobi</definedName>
    <definedName name="OpenSolver_ChosenSolver" localSheetId="71" hidden="1">Gurobi</definedName>
    <definedName name="OpenSolver_ChosenSolver" localSheetId="20" hidden="1">Gurobi</definedName>
    <definedName name="OpenSolver_ChosenSolver" localSheetId="22" hidden="1">Gurobi</definedName>
    <definedName name="OpenSolver_ChosenSolver" localSheetId="23" hidden="1">Gurobi</definedName>
    <definedName name="OpenSolver_ChosenSolver" localSheetId="24" hidden="1">Gurobi</definedName>
    <definedName name="OpenSolver_ChosenSolver" localSheetId="25" hidden="1">Gurobi</definedName>
    <definedName name="OpenSolver_ChosenSolver" localSheetId="26" hidden="1">Gurobi</definedName>
    <definedName name="OpenSolver_ChosenSolver" localSheetId="73" hidden="1">Gurobi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3" hidden="1">FALSE</definedName>
    <definedName name="OpenSolver_ModelParameters" localSheetId="72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2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heet1OpenSolverModelParameters" localSheetId="72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hidden="1">CBC (default)</definedName>
    <definedName name="solver_adj" localSheetId="72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3" hidden="1">TestNewAutomodel!$B$28:$D$28,TestNewAutomodel!$C$3:$C$5</definedName>
    <definedName name="solver_cvg" localSheetId="72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3" hidden="1">0.0001</definedName>
    <definedName name="solver_drv" localSheetId="72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3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>2</definedName>
    <definedName name="solver_eng" localSheetId="36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3" hidden="1">2</definedName>
    <definedName name="solver_est" localSheetId="72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3" hidden="1">1</definedName>
    <definedName name="solver_itr" localSheetId="72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3" hidden="1">100</definedName>
    <definedName name="solver_lhs1" localSheetId="72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Test15c!$H$11</definedName>
    <definedName name="solver_lhs1" localSheetId="36" hidden="1">Test15d!$H$11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3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2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Test15c!$H$12</definedName>
    <definedName name="solver_lhs2" localSheetId="36" hidden="1">Test15d!$H$12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3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2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Test15c!$H$13</definedName>
    <definedName name="solver_lhs3" localSheetId="36" hidden="1">Test15d!$H$13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3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2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Test15c!$D$5:$F$5</definedName>
    <definedName name="solver_lhs4" localSheetId="36" hidden="1">Test15d!$D$5:$F$5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3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2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Test15c!$F$5</definedName>
    <definedName name="solver_lhs5" localSheetId="36" hidden="1">Test15d!$F$5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3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2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Test15d!$E$5:$F$5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3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2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3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2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2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2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3" hidden="1">1</definedName>
    <definedName name="solver_mip" localSheetId="34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2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3" hidden="1">1</definedName>
    <definedName name="solver_nod" localSheetId="34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2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3" hidden="1">7</definedName>
    <definedName name="solver_nwt" localSheetId="72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3" hidden="1">1</definedName>
    <definedName name="solver_opt" localSheetId="72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3" hidden="1">TestNewAutomodel!$C$9</definedName>
    <definedName name="solver_pre" localSheetId="72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3" hidden="1">0.000001</definedName>
    <definedName name="solver_rbv" localSheetId="34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2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3</definedName>
    <definedName name="solver_rel1" localSheetId="36" hidden="1">3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3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2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3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3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2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3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2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3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2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5</definedName>
    <definedName name="solver_rel5" localSheetId="36" hidden="1">5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3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2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4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3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2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3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2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2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2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Test15c!$J$11</definedName>
    <definedName name="solver_rhs1" localSheetId="36" hidden="1">Test15d!$J$11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3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2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Test15c!$J$12</definedName>
    <definedName name="solver_rhs2" localSheetId="36" hidden="1">Test15d!$J$12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3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2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Test15c!$J$13</definedName>
    <definedName name="solver_rhs3" localSheetId="36" hidden="1">Test15d!$J$13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3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2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Test15c!$E$7</definedName>
    <definedName name="solver_rhs4" localSheetId="36" hidden="1">Test15d!$E$7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3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2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binary</definedName>
    <definedName name="solver_rhs5" localSheetId="36" hidden="1">binary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3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2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integer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3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2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3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2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2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1</definedName>
    <definedName name="solver_rlx" localSheetId="37" hidden="1">2</definedName>
    <definedName name="solver_rlx" localSheetId="38" hidden="1">1</definedName>
    <definedName name="solver_rlx" localSheetId="39" hidden="1">1</definedName>
    <definedName name="solver_rlx" localSheetId="40" hidden="1">1</definedName>
    <definedName name="solver_rlx" localSheetId="41" hidden="1">1</definedName>
    <definedName name="solver_rlx" localSheetId="43" hidden="1">1</definedName>
    <definedName name="solver_rlx" localSheetId="44" hidden="1">1</definedName>
    <definedName name="solver_rlx" localSheetId="45" hidden="1">1</definedName>
    <definedName name="solver_rlx" localSheetId="58" hidden="1">2</definedName>
    <definedName name="solver_rlx" localSheetId="65" hidden="1">1</definedName>
    <definedName name="solver_rlx" localSheetId="66" hidden="1">1</definedName>
    <definedName name="solver_rsd" localSheetId="34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2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3" hidden="1">2</definedName>
    <definedName name="solver_sho" localSheetId="72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2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2</definedName>
    <definedName name="solver_sho" localSheetId="66" hidden="1">2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3" hidden="1">2</definedName>
    <definedName name="solver_ssz" localSheetId="34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2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3" hidden="1">100</definedName>
    <definedName name="solver_tol" localSheetId="72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3" hidden="1">0.05</definedName>
    <definedName name="solver_typ" localSheetId="72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3" hidden="1">2</definedName>
    <definedName name="solver_val" localSheetId="72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3" hidden="1">0</definedName>
    <definedName name="solver_ver" localSheetId="34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6" i="69" l="1"/>
  <c r="A3" i="60"/>
  <c r="F18" i="69"/>
  <c r="H6" i="22"/>
  <c r="H6" i="1"/>
  <c r="H6" i="94" l="1"/>
  <c r="G4" i="92"/>
  <c r="G4" i="90"/>
  <c r="D20" i="77"/>
  <c r="S13" i="75"/>
  <c r="I6" i="71"/>
  <c r="G6" i="70"/>
  <c r="F4" i="68"/>
  <c r="H6" i="67"/>
  <c r="I6" i="66"/>
  <c r="G6" i="65"/>
  <c r="K6" i="63"/>
  <c r="H6" i="62"/>
  <c r="H15" i="2"/>
  <c r="H6" i="4"/>
  <c r="H9" i="58"/>
  <c r="H7" i="57"/>
  <c r="H9" i="54"/>
  <c r="H9" i="53"/>
  <c r="H9" i="52"/>
  <c r="H9" i="51"/>
  <c r="H9" i="50"/>
  <c r="H8" i="49"/>
  <c r="H10" i="48"/>
  <c r="H10" i="47"/>
  <c r="H10" i="46"/>
  <c r="H9" i="45"/>
  <c r="H9" i="44"/>
  <c r="H8" i="43"/>
  <c r="H8" i="42"/>
  <c r="H8" i="23"/>
  <c r="H5" i="38"/>
  <c r="H5" i="20"/>
  <c r="H5" i="19"/>
  <c r="I39" i="3"/>
  <c r="J6" i="41"/>
  <c r="J6" i="14"/>
  <c r="H7" i="12"/>
  <c r="H7" i="11"/>
  <c r="I6" i="6"/>
  <c r="H7" i="35"/>
  <c r="H7" i="34"/>
  <c r="H7" i="33"/>
  <c r="H7" i="31"/>
  <c r="H6" i="27"/>
  <c r="H6" i="26"/>
  <c r="H6" i="25"/>
  <c r="H6" i="32"/>
  <c r="H6" i="24"/>
  <c r="D21" i="94" l="1"/>
  <c r="F17" i="94"/>
  <c r="E17" i="94"/>
  <c r="D17" i="94"/>
  <c r="H11" i="94"/>
  <c r="H10" i="94"/>
  <c r="H9" i="94"/>
  <c r="A9" i="94"/>
  <c r="H8" i="94"/>
  <c r="A6" i="94"/>
  <c r="G13" i="92"/>
  <c r="G13" i="90"/>
  <c r="C12" i="88"/>
  <c r="C13" i="88"/>
  <c r="E13" i="88" s="1"/>
  <c r="F13" i="88" s="1"/>
  <c r="J2" i="87"/>
  <c r="J3" i="87"/>
  <c r="J6" i="87"/>
  <c r="J4" i="87"/>
  <c r="J5" i="87"/>
  <c r="D24" i="77"/>
  <c r="A6" i="77" s="1"/>
  <c r="I16" i="71"/>
  <c r="A6" i="71" s="1"/>
  <c r="G12" i="70"/>
  <c r="I16" i="66"/>
  <c r="G15" i="65"/>
  <c r="K16" i="63"/>
  <c r="A6" i="63" s="1"/>
  <c r="H16" i="62"/>
  <c r="H24" i="2"/>
  <c r="D23" i="54"/>
  <c r="D24" i="47"/>
  <c r="D23" i="44"/>
  <c r="L3" i="38"/>
  <c r="S4" i="9"/>
  <c r="S4" i="8"/>
  <c r="S3" i="7"/>
  <c r="D22" i="35"/>
  <c r="D22" i="33"/>
  <c r="D12" i="88"/>
  <c r="E12" i="88" s="1"/>
  <c r="F12" i="88" s="1"/>
  <c r="F15" i="88" s="1"/>
  <c r="P3" i="75"/>
  <c r="P4" i="75"/>
  <c r="H6" i="18"/>
  <c r="D8" i="85"/>
  <c r="D13" i="85" s="1"/>
  <c r="D12" i="85"/>
  <c r="D14" i="85" s="1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 s="1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 s="1"/>
  <c r="H4" i="88"/>
  <c r="H5" i="88" s="1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 s="1"/>
  <c r="A7" i="76"/>
  <c r="C4" i="76"/>
  <c r="D4" i="76"/>
  <c r="D6" i="76" s="1"/>
  <c r="B7" i="76"/>
  <c r="C6" i="76"/>
  <c r="G8" i="70"/>
  <c r="I7" i="71"/>
  <c r="F9" i="69"/>
  <c r="F22" i="69"/>
  <c r="A6" i="69" s="1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 s="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 s="1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 s="1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I11" i="8"/>
  <c r="I14" i="8" s="1"/>
  <c r="I10" i="8"/>
  <c r="I9" i="8"/>
  <c r="A9" i="8"/>
  <c r="R6" i="8"/>
  <c r="Q6" i="8"/>
  <c r="S5" i="8"/>
  <c r="K9" i="8" s="1"/>
  <c r="N37" i="7"/>
  <c r="N38" i="7" s="1"/>
  <c r="K33" i="7"/>
  <c r="K34" i="7"/>
  <c r="K35" i="7" s="1"/>
  <c r="L30" i="7"/>
  <c r="L33" i="7" s="1"/>
  <c r="L34" i="7" s="1"/>
  <c r="L35" i="7" s="1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 s="1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 s="1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 s="1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 s="1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E39" i="3"/>
  <c r="A6" i="90" l="1"/>
  <c r="J7" i="87"/>
  <c r="J24" i="87" s="1"/>
  <c r="A6" i="66"/>
  <c r="A6" i="2"/>
  <c r="H20" i="4"/>
  <c r="H16" i="4"/>
  <c r="K36" i="7"/>
  <c r="K38" i="7"/>
  <c r="A6" i="62"/>
  <c r="A6" i="19"/>
  <c r="A6" i="65"/>
  <c r="E4" i="76"/>
  <c r="E5" i="76" s="1"/>
  <c r="D5" i="76"/>
  <c r="A6" i="70"/>
  <c r="A6" i="92"/>
  <c r="A6" i="68"/>
  <c r="C5" i="76"/>
  <c r="A6" i="57"/>
  <c r="L38" i="7"/>
  <c r="D16" i="85"/>
  <c r="D17" i="85" s="1"/>
  <c r="A6" i="85" s="1"/>
  <c r="F16" i="88"/>
  <c r="A6" i="88" s="1"/>
  <c r="C7" i="76"/>
  <c r="E7" i="76"/>
  <c r="A8" i="76"/>
  <c r="D7" i="76"/>
  <c r="E6" i="76"/>
  <c r="F4" i="76"/>
  <c r="E8" i="76"/>
  <c r="C8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 s="1"/>
  <c r="J43" i="3"/>
  <c r="O43" i="3" s="1"/>
  <c r="J44" i="3"/>
  <c r="O44" i="3" s="1"/>
  <c r="J42" i="3"/>
  <c r="O42" i="3" s="1"/>
  <c r="J40" i="3"/>
  <c r="O40" i="3" s="1"/>
  <c r="A6" i="41"/>
  <c r="I7" i="9"/>
  <c r="D22" i="9" s="1"/>
  <c r="F16" i="9"/>
  <c r="I7" i="8"/>
  <c r="D22" i="8" s="1"/>
  <c r="A6" i="8" s="1"/>
  <c r="F16" i="8"/>
  <c r="I6" i="7"/>
  <c r="D21" i="7" s="1"/>
  <c r="A6" i="7" s="1"/>
  <c r="F15" i="7"/>
  <c r="A6" i="6"/>
  <c r="A6" i="34"/>
  <c r="A6" i="33"/>
  <c r="A6" i="31"/>
  <c r="A6" i="22"/>
  <c r="A9" i="76" l="1"/>
  <c r="D8" i="76"/>
  <c r="B8" i="76"/>
  <c r="F8" i="76"/>
  <c r="F6" i="76"/>
  <c r="G4" i="76"/>
  <c r="F7" i="76"/>
  <c r="F5" i="76"/>
  <c r="G5" i="76" l="1"/>
  <c r="G8" i="76"/>
  <c r="G9" i="76"/>
  <c r="G7" i="76"/>
  <c r="G6" i="76"/>
  <c r="H4" i="76"/>
  <c r="C9" i="76"/>
  <c r="D9" i="76"/>
  <c r="A10" i="76"/>
  <c r="E9" i="76"/>
  <c r="B9" i="76"/>
  <c r="F9" i="76"/>
  <c r="A11" i="76" l="1"/>
  <c r="C10" i="76"/>
  <c r="D10" i="76"/>
  <c r="E10" i="76"/>
  <c r="B10" i="76"/>
  <c r="F10" i="76"/>
  <c r="H10" i="76"/>
  <c r="H9" i="76"/>
  <c r="I4" i="76"/>
  <c r="H7" i="76"/>
  <c r="H8" i="76"/>
  <c r="H6" i="76"/>
  <c r="H5" i="76"/>
  <c r="H11" i="76"/>
  <c r="G10" i="76"/>
  <c r="I11" i="76" l="1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 l="1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 l="1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 s="1"/>
  <c r="B13" i="76"/>
  <c r="F13" i="76"/>
  <c r="G13" i="76"/>
  <c r="H13" i="76"/>
  <c r="I13" i="76"/>
  <c r="J13" i="76"/>
  <c r="L10" i="76" l="1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 l="1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 l="1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 s="1"/>
  <c r="B16" i="76"/>
  <c r="D16" i="76"/>
  <c r="E16" i="76"/>
  <c r="C16" i="76"/>
  <c r="F16" i="76"/>
  <c r="G16" i="76"/>
  <c r="H16" i="76"/>
  <c r="I16" i="76"/>
  <c r="J16" i="76"/>
  <c r="K16" i="76"/>
  <c r="L16" i="76"/>
  <c r="O9" i="76" l="1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 s="1"/>
  <c r="E17" i="76"/>
  <c r="F17" i="76"/>
  <c r="G17" i="76"/>
  <c r="H17" i="76"/>
  <c r="I17" i="76"/>
  <c r="J17" i="76"/>
  <c r="K17" i="76"/>
  <c r="L17" i="76"/>
  <c r="M17" i="76"/>
  <c r="Q4" i="76" l="1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 l="1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 l="1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 l="1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 l="1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 l="1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 l="1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 l="1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 s="1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 l="1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 l="1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 l="1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 s="1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 l="1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 l="1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 l="1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 l="1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 l="1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 l="1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 l="1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 l="1"/>
  <c r="B36" i="76"/>
  <c r="D36" i="76"/>
  <c r="A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 l="1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 l="1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 l="1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 l="1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 l="1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 l="1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 l="1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 s="1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 l="1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 l="1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 l="1"/>
  <c r="AB48" i="76" s="1"/>
  <c r="W48" i="76"/>
  <c r="I48" i="76"/>
  <c r="AR20" i="76"/>
  <c r="AR19" i="76"/>
  <c r="AK48" i="76"/>
  <c r="P48" i="76"/>
  <c r="R48" i="76"/>
  <c r="AC48" i="76"/>
  <c r="AR5" i="76"/>
  <c r="AR9" i="76"/>
  <c r="AH48" i="76"/>
  <c r="AR39" i="76"/>
  <c r="AR16" i="76"/>
  <c r="X48" i="76"/>
  <c r="AG48" i="76"/>
  <c r="AR24" i="76"/>
  <c r="D48" i="76" l="1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B51" i="76" s="1"/>
  <c r="L2" i="75" s="1"/>
  <c r="M2" i="75" s="1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 s="1"/>
  <c r="M3" i="75" s="1"/>
  <c r="A6" i="75" l="1"/>
  <c r="N9" i="57"/>
  <c r="M9" i="57"/>
</calcChain>
</file>

<file path=xl/sharedStrings.xml><?xml version="1.0" encoding="utf-8"?>
<sst xmlns="http://schemas.openxmlformats.org/spreadsheetml/2006/main" count="1937" uniqueCount="414">
  <si>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</si>
  <si>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</si>
  <si>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</si>
  <si>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</si>
  <si>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</si>
  <si>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</si>
  <si>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</si>
  <si>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</si>
  <si>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</si>
  <si>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</si>
  <si>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</si>
  <si>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</si>
  <si>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</si>
  <si>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</si>
  <si>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</si>
  <si>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</si>
  <si>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</si>
  <si>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</si>
  <si>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</si>
  <si>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</si>
  <si>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</si>
  <si>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</si>
  <si>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</si>
  <si>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</si>
  <si>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</si>
  <si>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</si>
  <si>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</si>
  <si>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</si>
  <si>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</si>
  <si>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</si>
  <si>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</si>
  <si>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</si>
  <si>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</si>
  <si>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</si>
  <si>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</si>
  <si>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</si>
  <si>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</si>
  <si>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</si>
  <si>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</si>
  <si>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</si>
  <si>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</si>
  <si>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</si>
  <si>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</si>
  <si>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</si>
  <si>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</si>
  <si>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</si>
  <si>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</si>
  <si>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</si>
  <si>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</si>
  <si>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</si>
  <si>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</si>
  <si>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</si>
  <si>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</si>
  <si>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</si>
  <si>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</si>
  <si>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</si>
  <si>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</si>
  <si>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</si>
  <si>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</si>
  <si>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</si>
  <si>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</si>
  <si>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</si>
  <si>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</si>
  <si>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</si>
  <si>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</si>
  <si>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</si>
  <si>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</si>
  <si>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</si>
  <si>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</si>
  <si>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</si>
  <si>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</si>
  <si>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</si>
  <si>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</si>
  <si>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</si>
  <si>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</si>
  <si>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</si>
  <si>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</si>
  <si>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</si>
  <si>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</si>
  <si>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</si>
  <si>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</si>
  <si>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</si>
  <si>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</si>
  <si>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</si>
  <si>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</si>
  <si>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</si>
  <si>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</si>
  <si>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</si>
  <si>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</si>
  <si>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</si>
  <si>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</si>
  <si>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</si>
  <si>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</si>
  <si>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</si>
  <si>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</si>
  <si>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</si>
  <si>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</si>
  <si>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</si>
  <si>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</si>
  <si>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</si>
  <si>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</si>
  <si>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</si>
  <si>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</si>
  <si>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</si>
  <si>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</si>
  <si>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</si>
  <si>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</si>
  <si>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</si>
  <si>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</si>
  <si>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</si>
  <si>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</si>
  <si>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</si>
  <si>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</si>
  <si>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</si>
  <si>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</si>
  <si>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</si>
  <si>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</si>
  <si>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</si>
  <si>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</si>
  <si>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</si>
  <si>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</si>
  <si>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</si>
  <si>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</si>
  <si>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</si>
  <si>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</si>
  <si>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</si>
  <si>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</si>
  <si>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</si>
  <si>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</si>
  <si>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</si>
  <si>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</si>
  <si>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</si>
  <si>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</si>
  <si>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</si>
  <si>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</si>
  <si>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</si>
  <si>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</si>
  <si>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</si>
  <si>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</si>
  <si>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</si>
  <si>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</si>
  <si>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</si>
  <si>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</si>
  <si>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</si>
  <si>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</si>
  <si>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</si>
  <si>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</si>
  <si>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</si>
  <si>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</si>
  <si>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</si>
  <si>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</si>
  <si>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</si>
  <si>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</si>
  <si>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</si>
  <si>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</si>
  <si>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</si>
  <si>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</si>
  <si>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</si>
  <si>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</si>
  <si>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</si>
  <si>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</si>
  <si>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</si>
  <si>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</si>
  <si>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</si>
  <si>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</si>
  <si>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</si>
  <si>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</si>
  <si>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</si>
  <si>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</si>
  <si>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</si>
  <si>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</si>
  <si>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</si>
  <si>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</si>
  <si>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</si>
  <si>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</si>
  <si>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</si>
  <si>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</si>
  <si>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</si>
  <si>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</si>
  <si>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</si>
  <si>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</si>
  <si>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</si>
  <si>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</si>
  <si>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</si>
  <si>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</si>
  <si>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</si>
  <si>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</si>
  <si>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</si>
  <si>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</si>
  <si>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</si>
  <si>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</si>
  <si>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</si>
  <si>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</si>
  <si>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</si>
  <si>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</si>
  <si>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</si>
  <si>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</si>
  <si>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</si>
  <si>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</si>
  <si>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</si>
  <si>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</si>
  <si>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</si>
  <si>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</si>
  <si>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</si>
  <si>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</si>
  <si>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</si>
  <si>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</si>
  <si>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</si>
  <si>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</si>
  <si>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</si>
  <si>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</si>
  <si>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</si>
  <si>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</si>
  <si>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</si>
  <si>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</si>
  <si>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</si>
  <si>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</si>
  <si>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</si>
  <si>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</si>
  <si>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</si>
  <si>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</si>
  <si>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</si>
  <si>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</si>
  <si>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</si>
  <si>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</si>
  <si>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</si>
  <si>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</si>
  <si>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</si>
  <si>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</si>
  <si>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</si>
  <si>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</si>
  <si>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</si>
  <si>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</si>
  <si>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</si>
  <si>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</si>
  <si>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</si>
  <si>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</si>
  <si>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</si>
  <si>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</si>
  <si>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</si>
  <si>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</si>
  <si>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</si>
  <si>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</si>
  <si>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</si>
  <si>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</si>
  <si>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</si>
  <si>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</si>
  <si>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</si>
  <si>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</si>
  <si>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</si>
  <si>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</si>
  <si>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</si>
  <si>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</si>
  <si>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</si>
  <si>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</si>
  <si>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</si>
  <si>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</si>
  <si>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</si>
  <si>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</si>
  <si>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</si>
  <si>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</si>
  <si>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</si>
  <si>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</si>
  <si>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</si>
  <si>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</si>
  <si>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</si>
  <si>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</si>
  <si>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</si>
  <si>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</si>
  <si>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</si>
  <si>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</si>
  <si>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</si>
  <si>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</si>
  <si>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</si>
  <si>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</si>
  <si>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</si>
  <si>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</si>
  <si>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</si>
  <si>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</si>
  <si>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</si>
  <si>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</si>
  <si>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</si>
  <si>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</si>
  <si>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</si>
  <si>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</si>
  <si>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</si>
  <si>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</si>
  <si>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</si>
  <si>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</si>
  <si>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</si>
  <si>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</si>
  <si>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</si>
  <si>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</si>
  <si>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</si>
  <si>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</si>
  <si>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</si>
  <si>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</si>
  <si>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</si>
  <si>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</si>
  <si>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</si>
  <si>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</si>
  <si>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</si>
  <si>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</si>
  <si>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</si>
  <si>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</si>
  <si>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</si>
  <si>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</si>
  <si>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</si>
  <si>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</si>
  <si>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</si>
  <si>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</si>
  <si>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</si>
  <si>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</si>
  <si>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</si>
  <si>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</si>
  <si>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</si>
  <si>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</si>
  <si>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</si>
  <si>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</si>
  <si>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</si>
  <si>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</si>
  <si>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</si>
  <si>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</si>
  <si>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</si>
  <si>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</si>
  <si>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</si>
  <si>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</si>
  <si>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</si>
  <si>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</si>
  <si>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</si>
  <si>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</si>
  <si>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</si>
  <si>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</si>
  <si>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</si>
  <si>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</si>
  <si>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</si>
  <si>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</si>
  <si>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</si>
  <si>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</si>
  <si>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</si>
  <si>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</si>
  <si>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</si>
  <si>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</si>
  <si>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</si>
  <si>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</si>
  <si>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</si>
  <si>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</si>
  <si>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</si>
  <si>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</si>
  <si>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</si>
  <si>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</si>
  <si>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</si>
  <si>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</si>
  <si>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</si>
  <si>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</si>
  <si>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</si>
  <si>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</si>
  <si>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</si>
  <si>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</si>
  <si>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</si>
  <si>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</si>
  <si>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</si>
  <si>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</si>
  <si>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</si>
  <si>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</si>
  <si>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</si>
  <si>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</si>
  <si>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</si>
  <si>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</si>
  <si>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</si>
  <si>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</si>
  <si>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</si>
  <si>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</si>
  <si>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</si>
  <si>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</si>
  <si>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</si>
  <si>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</si>
  <si>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</si>
  <si>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</si>
  <si>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</si>
  <si>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</si>
  <si>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</si>
  <si>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</si>
  <si>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</si>
  <si>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</si>
  <si>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</si>
  <si>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</si>
  <si>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</si>
  <si>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</si>
  <si>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</si>
  <si>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PASS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</si>
  <si>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</si>
  <si>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</si>
  <si>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</si>
  <si>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</si>
  <si>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</si>
  <si>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</si>
  <si>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</si>
  <si>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</si>
  <si>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</si>
  <si>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</si>
  <si>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</si>
  <si>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</si>
  <si>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</si>
  <si>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OpenSolver Sensitivity Report - Gurobi</t>
  </si>
  <si>
    <t>Worksheet: [OpenSolver Tester.xlsm] Test44_Seek</t>
  </si>
  <si>
    <t>Normal A</t>
  </si>
  <si>
    <t>Normal B</t>
  </si>
  <si>
    <t>Normal C</t>
  </si>
  <si>
    <t>Report Created: 2/12/2014 11:42:40 a.m.</t>
  </si>
  <si>
    <t>Report Created: 2/12/2014 11:42:43 a.m.</t>
  </si>
  <si>
    <t>Report Created: 2/12/2014 11:42:44 a.m.</t>
  </si>
  <si>
    <t>FAIL</t>
  </si>
  <si>
    <t>This block of constraints tests the parser on certain formulae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</si>
</sst>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  <xf numFmtId="0" fontId="26" fillId="13" borderId="19" xfId="11" applyFill="1" applyBorder="1" applyAlignment="1"/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55809552"/>
        <c:axId val="355805632"/>
        <c:axId val="360491144"/>
      </c:surface3DChart>
      <c:catAx>
        <c:axId val="355809552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563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5580563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9552"/>
        <c:crosses val="min"/>
        <c:crossBetween val="between"/>
        <c:majorUnit val="0.1"/>
      </c:valAx>
      <c:serAx>
        <c:axId val="360491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563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0</c:v>
                </c:pt>
                <c:pt idx="4">
                  <c:v>10</c:v>
                </c:pt>
                <c:pt idx="6">
                  <c:v>2</c:v>
                </c:pt>
                <c:pt idx="7">
                  <c:v>10</c:v>
                </c:pt>
                <c:pt idx="9">
                  <c:v>2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10</c:v>
                </c:pt>
                <c:pt idx="3">
                  <c:v>1</c:v>
                </c:pt>
                <c:pt idx="4">
                  <c:v>10</c:v>
                </c:pt>
                <c:pt idx="6">
                  <c:v>1</c:v>
                </c:pt>
                <c:pt idx="7">
                  <c:v>10</c:v>
                </c:pt>
                <c:pt idx="9">
                  <c:v>0</c:v>
                </c:pt>
                <c:pt idx="10">
                  <c:v>10</c:v>
                </c:pt>
                <c:pt idx="12">
                  <c:v>10</c:v>
                </c:pt>
                <c:pt idx="13">
                  <c:v>10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812688"/>
        <c:axId val="355806024"/>
      </c:scatterChart>
      <c:valAx>
        <c:axId val="35581268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6024"/>
        <c:crosses val="autoZero"/>
        <c:crossBetween val="midCat"/>
        <c:majorUnit val="0.5"/>
      </c:valAx>
      <c:valAx>
        <c:axId val="35580602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1268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2.9544232590366239</c:v>
                </c:pt>
                <c:pt idx="2">
                  <c:v>7.8784620240976633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0.52094453300079102</c:v>
                </c:pt>
                <c:pt idx="2">
                  <c:v>1.3891854213354426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5809944"/>
        <c:axId val="355807592"/>
      </c:scatterChart>
      <c:valAx>
        <c:axId val="35580994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7592"/>
        <c:crosses val="autoZero"/>
        <c:crossBetween val="midCat"/>
        <c:majorUnit val="1"/>
      </c:valAx>
      <c:valAx>
        <c:axId val="355807592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580994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628650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25400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25400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19050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19050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139700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139700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139700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139700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104775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104775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104775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104775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57525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"/>
      <sheetName val="InventoryStep"/>
      <sheetName val="Local Minimum"/>
      <sheetName val="Stockpile Location"/>
      <sheetName val="Path Intro"/>
      <sheetName val="Path Opt"/>
      <sheetName val="Path Step"/>
      <sheetName val="Arm"/>
    </sheetNames>
    <sheetDataSet>
      <sheetData sheetId="0"/>
      <sheetData sheetId="1">
        <row r="4">
          <cell r="B4">
            <v>5</v>
          </cell>
        </row>
        <row r="5">
          <cell r="B5">
            <v>10</v>
          </cell>
        </row>
        <row r="8">
          <cell r="B8">
            <v>5.4794520547945206E-3</v>
          </cell>
        </row>
      </sheetData>
      <sheetData sheetId="2" refreshError="1"/>
      <sheetData sheetId="3">
        <row r="1">
          <cell r="C1" t="str">
            <v>yi</v>
          </cell>
        </row>
      </sheetData>
      <sheetData sheetId="4">
        <row r="1">
          <cell r="C1" t="str">
            <v>yi</v>
          </cell>
        </row>
      </sheetData>
      <sheetData sheetId="5" refreshError="1"/>
      <sheetData sheetId="6" refreshError="1"/>
      <sheetData sheetId="7">
        <row r="3">
          <cell r="F3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6328125" defaultRowHeight="14.25" x14ac:dyDescent="0.45"/>
  <cols>
    <col min="1" max="2" width="8.86328125" style="62"/>
    <col min="4" max="5" width="8.86328125" style="62"/>
    <col min="7" max="8" width="8.86328125" style="62"/>
    <col min="10" max="10" width="8.86328125" style="62"/>
    <col min="12" max="12" width="8.86328125" style="62"/>
  </cols>
  <sheetData>
    <row r="1" spans="1:12" x14ac:dyDescent="0.4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4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4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45">
      <c r="A4" s="62" t="s">
        <v>201</v>
      </c>
      <c r="B4" s="62">
        <v>0</v>
      </c>
      <c r="L4" s="62" t="s">
        <v>368</v>
      </c>
    </row>
    <row r="5" spans="1:12" x14ac:dyDescent="0.45">
      <c r="A5" s="62" t="s">
        <v>202</v>
      </c>
      <c r="B5" s="62">
        <v>4</v>
      </c>
      <c r="L5" s="62" t="s">
        <v>374</v>
      </c>
    </row>
    <row r="6" spans="1:12" x14ac:dyDescent="0.45">
      <c r="A6" s="62" t="s">
        <v>27</v>
      </c>
      <c r="B6" s="62">
        <v>5</v>
      </c>
    </row>
    <row r="7" spans="1:12" x14ac:dyDescent="0.4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I4"/>
  <sheetViews>
    <sheetView zoomScale="85" zoomScaleNormal="85" zoomScalePageLayoutView="85" workbookViewId="0">
      <selection activeCell="A3" sqref="A3"/>
    </sheetView>
  </sheetViews>
  <sheetFormatPr defaultColWidth="9.1328125" defaultRowHeight="14.25" x14ac:dyDescent="0.45"/>
  <cols>
    <col min="1" max="1" width="26.73046875" style="172" customWidth="1"/>
    <col min="2" max="16384" width="9.1328125" style="60"/>
  </cols>
  <sheetData>
    <row r="1" spans="1:9" s="167" customFormat="1" ht="63" customHeight="1" thickBot="1" x14ac:dyDescent="0.5">
      <c r="A1" s="170"/>
      <c r="C1" s="173" t="s">
        <v>391</v>
      </c>
      <c r="D1" s="173"/>
      <c r="E1" s="173"/>
      <c r="F1" s="173"/>
    </row>
    <row r="2" spans="1:9" s="166" customFormat="1" ht="14.65" thickBot="1" x14ac:dyDescent="0.5">
      <c r="A2" s="171" t="s">
        <v>194</v>
      </c>
      <c r="B2" s="165" t="s">
        <v>195</v>
      </c>
      <c r="C2" s="166" t="s">
        <v>196</v>
      </c>
      <c r="D2" s="166" t="s">
        <v>215</v>
      </c>
      <c r="E2" s="166" t="s">
        <v>244</v>
      </c>
      <c r="F2" s="166" t="s">
        <v>245</v>
      </c>
      <c r="G2" s="166" t="s">
        <v>197</v>
      </c>
      <c r="H2" s="166" t="s">
        <v>368</v>
      </c>
      <c r="I2" s="166" t="s">
        <v>374</v>
      </c>
    </row>
    <row r="3" spans="1:9" x14ac:dyDescent="0.45">
      <c r="A3" s="179" t="str">
        <f>HYPERLINK("[OpenSolver Tester.xlsm]Test35!A1", "Test35")</f>
        <v>Test35</v>
      </c>
      <c r="B3" s="60" t="s">
        <v>390</v>
      </c>
      <c r="C3" s="60" t="s">
        <v>412</v>
      </c>
      <c r="D3" s="60" t="s">
        <v>390</v>
      </c>
      <c r="E3" s="60" t="s">
        <v>390</v>
      </c>
      <c r="F3" s="60" t="s">
        <v>390</v>
      </c>
      <c r="G3" s="60" t="s">
        <v>390</v>
      </c>
      <c r="H3" s="60" t="s">
        <v>390</v>
      </c>
      <c r="I3" s="60" t="s">
        <v>390</v>
      </c>
    </row>
    <row r="4" spans="1:9" x14ac:dyDescent="0.45">
      <c r="A4" s="179"/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133350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3.26562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D1" s="18" t="s">
        <v>31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0" ht="14.65" thickBot="1" x14ac:dyDescent="0.5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45">
      <c r="A7" s="63" t="s">
        <v>211</v>
      </c>
    </row>
    <row r="8" spans="1:10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4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4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45">
      <c r="I12" s="38"/>
    </row>
    <row r="13" spans="1:10" x14ac:dyDescent="0.45">
      <c r="I13" s="38"/>
    </row>
    <row r="15" spans="1:10" x14ac:dyDescent="0.45">
      <c r="C15" s="17" t="s">
        <v>15</v>
      </c>
    </row>
    <row r="16" spans="1:10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3.26562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D1" s="18" t="s">
        <v>84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0" ht="14.65" thickBot="1" x14ac:dyDescent="0.5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45">
      <c r="A7" s="63" t="s">
        <v>211</v>
      </c>
    </row>
    <row r="8" spans="1:10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x14ac:dyDescent="0.45"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4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45">
      <c r="C15" s="17" t="s">
        <v>15</v>
      </c>
    </row>
    <row r="16" spans="1:10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O21" sqref="O2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212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45">
      <c r="A7" s="63" t="s">
        <v>211</v>
      </c>
    </row>
    <row r="8" spans="1:12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L10" t="s">
        <v>90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213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45">
      <c r="A7" s="63" t="s">
        <v>211</v>
      </c>
    </row>
    <row r="8" spans="1:12" x14ac:dyDescent="0.4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93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D4" sqref="D4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95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105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97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97</v>
      </c>
    </row>
    <row r="2" spans="1:12" ht="14.65" thickBot="1" x14ac:dyDescent="0.5">
      <c r="A2" s="64" t="s">
        <v>205</v>
      </c>
    </row>
    <row r="3" spans="1:12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2" ht="14.65" thickBot="1" x14ac:dyDescent="0.5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45">
      <c r="A5" s="63" t="s">
        <v>210</v>
      </c>
    </row>
    <row r="6" spans="1:12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45">
      <c r="A7" s="63" t="s">
        <v>211</v>
      </c>
    </row>
    <row r="8" spans="1:12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x14ac:dyDescent="0.45"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4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45">
      <c r="C15" s="17" t="s">
        <v>15</v>
      </c>
    </row>
    <row r="16" spans="1:12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100</v>
      </c>
    </row>
    <row r="2" spans="1:12" ht="14.65" thickBot="1" x14ac:dyDescent="0.5">
      <c r="A2" s="64" t="s">
        <v>205</v>
      </c>
      <c r="D2" s="18" t="s">
        <v>102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45">
      <c r="A5" s="63" t="s">
        <v>210</v>
      </c>
      <c r="D5" s="1">
        <v>0</v>
      </c>
      <c r="E5" s="174">
        <v>5.2941175999999999</v>
      </c>
      <c r="F5" s="174"/>
      <c r="H5"/>
      <c r="I5"/>
      <c r="J5"/>
      <c r="L5" t="s">
        <v>103</v>
      </c>
    </row>
    <row r="6" spans="1:12" ht="14.65" thickBot="1" x14ac:dyDescent="0.5">
      <c r="A6" s="64" t="b"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45">
      <c r="A8" s="65" t="s">
        <v>200</v>
      </c>
    </row>
    <row r="9" spans="1:12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4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101</v>
      </c>
    </row>
    <row r="2" spans="1:12" ht="14.65" thickBot="1" x14ac:dyDescent="0.5">
      <c r="A2" s="64" t="s">
        <v>205</v>
      </c>
      <c r="D2" s="18" t="s">
        <v>111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50">
        <v>0</v>
      </c>
      <c r="E5" s="174">
        <v>5.2941176470588198</v>
      </c>
      <c r="F5" s="174"/>
      <c r="H5"/>
      <c r="I5"/>
      <c r="J5"/>
      <c r="L5" t="s">
        <v>109</v>
      </c>
    </row>
    <row r="6" spans="1:12" ht="14.65" thickBot="1" x14ac:dyDescent="0.5">
      <c r="A6" s="64" t="b">
        <f>AND(D18,E18,F18,D22)</f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45">
      <c r="A8" s="65" t="s">
        <v>201</v>
      </c>
    </row>
    <row r="9" spans="1:12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4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101</v>
      </c>
    </row>
    <row r="2" spans="1:12" ht="14.65" thickBot="1" x14ac:dyDescent="0.5">
      <c r="A2" s="64" t="s">
        <v>205</v>
      </c>
      <c r="D2" s="18" t="s">
        <v>102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C5" s="174">
        <v>2</v>
      </c>
      <c r="D5" s="174"/>
      <c r="E5" s="1">
        <v>0</v>
      </c>
      <c r="H5"/>
      <c r="I5"/>
      <c r="J5"/>
      <c r="L5" t="s">
        <v>110</v>
      </c>
    </row>
    <row r="6" spans="1:12" ht="14.65" thickBot="1" x14ac:dyDescent="0.5">
      <c r="A6" s="64" t="b"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45">
      <c r="A8" s="65" t="s">
        <v>200</v>
      </c>
    </row>
    <row r="9" spans="1:12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4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4" max="14" width="7.73046875" customWidth="1"/>
  </cols>
  <sheetData>
    <row r="1" spans="1:12" x14ac:dyDescent="0.45">
      <c r="A1" s="63" t="s">
        <v>204</v>
      </c>
      <c r="D1" s="18" t="s">
        <v>107</v>
      </c>
    </row>
    <row r="2" spans="1:12" ht="14.65" thickBot="1" x14ac:dyDescent="0.5">
      <c r="A2" s="64" t="s">
        <v>205</v>
      </c>
      <c r="D2" s="18"/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4.65" thickBot="1" x14ac:dyDescent="0.5">
      <c r="A6" s="64" t="b">
        <f>AND(D18,E18,F18,D22)</f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45">
      <c r="A8" s="65" t="s">
        <v>201</v>
      </c>
    </row>
    <row r="9" spans="1:12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4">
        <v>150</v>
      </c>
      <c r="K10" s="174"/>
      <c r="L10" t="s">
        <v>106</v>
      </c>
    </row>
    <row r="11" spans="1:12" x14ac:dyDescent="0.4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2" max="12" width="13.73046875" bestFit="1" customWidth="1"/>
    <col min="14" max="14" width="7.73046875" customWidth="1"/>
  </cols>
  <sheetData>
    <row r="1" spans="1:12" x14ac:dyDescent="0.45">
      <c r="A1" s="63" t="s">
        <v>204</v>
      </c>
      <c r="D1" s="18" t="s">
        <v>108</v>
      </c>
    </row>
    <row r="2" spans="1:12" ht="14.65" thickBot="1" x14ac:dyDescent="0.5">
      <c r="A2" s="64" t="s">
        <v>205</v>
      </c>
      <c r="D2" s="18"/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4.65" thickBot="1" x14ac:dyDescent="0.5">
      <c r="A6" s="64" t="b">
        <f>AND(D18,E18,F18,D22)</f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45">
      <c r="A8" s="65" t="s">
        <v>201</v>
      </c>
    </row>
    <row r="9" spans="1:12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G10" s="174">
        <f>SUMPRODUCT($D$5:$F$5,D10:F10)</f>
        <v>116.47058823529403</v>
      </c>
      <c r="H10" s="174"/>
      <c r="I10" s="1" t="s">
        <v>8</v>
      </c>
      <c r="J10" s="1">
        <v>200</v>
      </c>
      <c r="K10" s="1"/>
      <c r="L10" t="s">
        <v>376</v>
      </c>
    </row>
    <row r="11" spans="1:12" x14ac:dyDescent="0.4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4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7.73046875" style="1" bestFit="1" customWidth="1"/>
    <col min="12" max="12" width="13.73046875" bestFit="1" customWidth="1"/>
    <col min="14" max="14" width="7.73046875" customWidth="1"/>
  </cols>
  <sheetData>
    <row r="1" spans="1:12" x14ac:dyDescent="0.45">
      <c r="A1" s="63" t="s">
        <v>204</v>
      </c>
      <c r="D1" s="18" t="s">
        <v>108</v>
      </c>
    </row>
    <row r="2" spans="1:12" ht="14.65" thickBot="1" x14ac:dyDescent="0.5">
      <c r="A2" s="64" t="s">
        <v>205</v>
      </c>
      <c r="D2" s="18" t="s">
        <v>184</v>
      </c>
    </row>
    <row r="3" spans="1:12" x14ac:dyDescent="0.45">
      <c r="A3" s="63" t="s">
        <v>209</v>
      </c>
      <c r="D3" s="18"/>
    </row>
    <row r="4" spans="1:12" ht="14.65" thickBot="1" x14ac:dyDescent="0.5">
      <c r="A4" s="64" t="s">
        <v>207</v>
      </c>
      <c r="D4" s="1" t="s">
        <v>1</v>
      </c>
      <c r="E4" s="1" t="s">
        <v>2</v>
      </c>
    </row>
    <row r="5" spans="1:12" x14ac:dyDescent="0.45">
      <c r="A5" s="63" t="s">
        <v>210</v>
      </c>
      <c r="D5" s="1">
        <v>0</v>
      </c>
      <c r="E5" s="1">
        <v>0</v>
      </c>
      <c r="H5"/>
      <c r="I5"/>
      <c r="J5"/>
    </row>
    <row r="6" spans="1:12" ht="14.65" thickBot="1" x14ac:dyDescent="0.5">
      <c r="A6" s="64" t="b">
        <v>1</v>
      </c>
    </row>
    <row r="7" spans="1:12" x14ac:dyDescent="0.4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45">
      <c r="A8" s="65" t="s">
        <v>27</v>
      </c>
    </row>
    <row r="9" spans="1:12" ht="14.65" thickBot="1" x14ac:dyDescent="0.5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x14ac:dyDescent="0.45">
      <c r="D10" s="1">
        <v>21</v>
      </c>
      <c r="E10" s="1">
        <v>22</v>
      </c>
      <c r="G10" s="175">
        <v>5</v>
      </c>
      <c r="H10" s="175"/>
      <c r="I10" s="1" t="s">
        <v>8</v>
      </c>
      <c r="J10" s="1">
        <v>100</v>
      </c>
      <c r="K10" s="1"/>
      <c r="L10" t="s">
        <v>185</v>
      </c>
    </row>
    <row r="11" spans="1:12" x14ac:dyDescent="0.45">
      <c r="D11" s="1">
        <v>21</v>
      </c>
      <c r="E11" s="1">
        <v>22</v>
      </c>
      <c r="G11" s="175"/>
      <c r="H11" s="175"/>
      <c r="I11" s="1" t="s">
        <v>9</v>
      </c>
      <c r="J11" s="1">
        <v>5</v>
      </c>
    </row>
    <row r="12" spans="1:12" x14ac:dyDescent="0.4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45">
      <c r="C16" s="17" t="s">
        <v>15</v>
      </c>
    </row>
    <row r="17" spans="1:12" x14ac:dyDescent="0.45">
      <c r="D17" s="1">
        <v>0</v>
      </c>
      <c r="E17" s="1">
        <v>5.294117647058874</v>
      </c>
      <c r="F17" s="1">
        <v>0</v>
      </c>
    </row>
    <row r="18" spans="1:12" s="1" customFormat="1" x14ac:dyDescent="0.4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45">
      <c r="A20" s="61"/>
      <c r="C20" s="17" t="s">
        <v>16</v>
      </c>
      <c r="K20"/>
      <c r="L20"/>
    </row>
    <row r="21" spans="1:12" s="1" customFormat="1" x14ac:dyDescent="0.45">
      <c r="A21" s="61"/>
      <c r="C21"/>
      <c r="D21" s="1">
        <v>15.882352941176622</v>
      </c>
      <c r="K21"/>
      <c r="L21"/>
    </row>
    <row r="22" spans="1:12" s="1" customFormat="1" x14ac:dyDescent="0.4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I26" sqref="I2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10.1328125" style="1" customWidth="1"/>
    <col min="5" max="6" width="5.1328125" style="1" customWidth="1"/>
    <col min="7" max="7" width="8.3984375" style="1" customWidth="1"/>
    <col min="8" max="8" width="3.1328125" style="1" customWidth="1"/>
    <col min="9" max="9" width="8.3984375" style="1" customWidth="1"/>
    <col min="10" max="10" width="3" style="1" bestFit="1" customWidth="1"/>
    <col min="11" max="11" width="17.86328125" style="1" customWidth="1"/>
    <col min="15" max="15" width="7.73046875" customWidth="1"/>
  </cols>
  <sheetData>
    <row r="1" spans="1:11" x14ac:dyDescent="0.45">
      <c r="A1" s="63" t="s">
        <v>204</v>
      </c>
      <c r="D1" s="18" t="s">
        <v>25</v>
      </c>
    </row>
    <row r="2" spans="1:11" ht="14.65" thickBot="1" x14ac:dyDescent="0.5">
      <c r="A2" s="64" t="s">
        <v>205</v>
      </c>
    </row>
    <row r="3" spans="1:11" x14ac:dyDescent="0.4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4.65" thickBot="1" x14ac:dyDescent="0.5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45">
      <c r="A5" s="63" t="s">
        <v>210</v>
      </c>
    </row>
    <row r="6" spans="1:11" ht="14.65" thickBot="1" x14ac:dyDescent="0.5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45">
      <c r="A7" s="63" t="s">
        <v>211</v>
      </c>
    </row>
    <row r="8" spans="1:11" x14ac:dyDescent="0.4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4.65" thickBot="1" x14ac:dyDescent="0.5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x14ac:dyDescent="0.4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4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45">
      <c r="C15" s="17" t="s">
        <v>15</v>
      </c>
    </row>
    <row r="16" spans="1:11" x14ac:dyDescent="0.45">
      <c r="D16" s="1">
        <v>0</v>
      </c>
      <c r="E16" s="1">
        <v>1</v>
      </c>
      <c r="F16" s="1">
        <v>1</v>
      </c>
      <c r="G16" s="1">
        <v>0</v>
      </c>
    </row>
    <row r="17" spans="3:7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45">
      <c r="C19" t="s">
        <v>16</v>
      </c>
    </row>
    <row r="20" spans="3:7" x14ac:dyDescent="0.45">
      <c r="D20" s="1">
        <v>10.123000000000001</v>
      </c>
    </row>
    <row r="21" spans="3:7" x14ac:dyDescent="0.4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E23" sqref="E23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9.3984375" style="1" customWidth="1"/>
    <col min="5" max="5" width="5.1328125" style="1" customWidth="1"/>
    <col min="6" max="6" width="7.3984375" style="1" customWidth="1"/>
    <col min="7" max="7" width="10.3984375" style="1" customWidth="1"/>
    <col min="8" max="8" width="3.1328125" style="1" customWidth="1"/>
    <col min="9" max="9" width="6.86328125" style="1" customWidth="1"/>
    <col min="10" max="10" width="3" style="1" bestFit="1" customWidth="1"/>
    <col min="11" max="11" width="6" style="1" customWidth="1"/>
    <col min="13" max="13" width="3.1328125" bestFit="1" customWidth="1"/>
    <col min="14" max="14" width="7.73046875" customWidth="1"/>
    <col min="17" max="17" width="6.1328125" bestFit="1" customWidth="1"/>
    <col min="18" max="19" width="4" bestFit="1" customWidth="1"/>
    <col min="20" max="21" width="3" bestFit="1" customWidth="1"/>
  </cols>
  <sheetData>
    <row r="1" spans="1:23" x14ac:dyDescent="0.45">
      <c r="A1" s="63" t="s">
        <v>204</v>
      </c>
      <c r="D1" s="18" t="s">
        <v>30</v>
      </c>
    </row>
    <row r="2" spans="1:23" ht="14.65" thickBot="1" x14ac:dyDescent="0.5">
      <c r="A2" s="64" t="s">
        <v>205</v>
      </c>
      <c r="Q2" t="s">
        <v>21</v>
      </c>
    </row>
    <row r="3" spans="1:23" x14ac:dyDescent="0.4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4.65" thickBot="1" x14ac:dyDescent="0.5">
      <c r="A4" s="64" t="s">
        <v>207</v>
      </c>
      <c r="D4" s="150">
        <v>0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4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4.65" thickBot="1" x14ac:dyDescent="0.5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45">
      <c r="A7" s="63" t="s">
        <v>211</v>
      </c>
      <c r="Q7" s="4">
        <v>44</v>
      </c>
      <c r="R7" s="5">
        <v>33</v>
      </c>
    </row>
    <row r="8" spans="1:23" x14ac:dyDescent="0.4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4.65" thickBot="1" x14ac:dyDescent="0.5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x14ac:dyDescent="0.45"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4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45">
      <c r="Q12">
        <v>6</v>
      </c>
      <c r="R12">
        <v>9.92</v>
      </c>
    </row>
    <row r="15" spans="1:23" x14ac:dyDescent="0.45">
      <c r="C15" t="s">
        <v>15</v>
      </c>
      <c r="F15" s="1" t="b">
        <f>AND(D17:G17,O16:O17,V16:W17)</f>
        <v>1</v>
      </c>
    </row>
    <row r="16" spans="1:23" x14ac:dyDescent="0.4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4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4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4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45">
      <c r="K30" s="1">
        <v>194</v>
      </c>
      <c r="L30">
        <f>42*4+39*4+21*4</f>
        <v>408</v>
      </c>
    </row>
    <row r="31" spans="1:23" x14ac:dyDescent="0.45">
      <c r="K31" s="1">
        <v>183</v>
      </c>
    </row>
    <row r="32" spans="1:23" x14ac:dyDescent="0.45">
      <c r="K32" s="1">
        <v>96</v>
      </c>
    </row>
    <row r="33" spans="11:14" x14ac:dyDescent="0.45">
      <c r="K33" s="1">
        <f>SUM(K30:K32)</f>
        <v>473</v>
      </c>
      <c r="L33" s="1">
        <f>L30</f>
        <v>408</v>
      </c>
    </row>
    <row r="34" spans="11:14" x14ac:dyDescent="0.45">
      <c r="K34" s="1">
        <f>K33*0.95</f>
        <v>449.34999999999997</v>
      </c>
      <c r="L34" s="1">
        <f>L33*0.95</f>
        <v>387.59999999999997</v>
      </c>
    </row>
    <row r="35" spans="11:14" x14ac:dyDescent="0.4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4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45">
      <c r="N37">
        <f>N36-N35</f>
        <v>49</v>
      </c>
    </row>
    <row r="38" spans="11:14" x14ac:dyDescent="0.4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7" width="5.1328125" style="1" customWidth="1"/>
    <col min="8" max="8" width="3.1328125" style="1" customWidth="1"/>
    <col min="9" max="9" width="23.86328125" style="16" customWidth="1"/>
    <col min="10" max="10" width="3" style="1" bestFit="1" customWidth="1"/>
    <col min="11" max="11" width="6" style="1" customWidth="1"/>
    <col min="13" max="13" width="3.1328125" bestFit="1" customWidth="1"/>
    <col min="14" max="14" width="7.73046875" customWidth="1"/>
    <col min="17" max="17" width="6.1328125" bestFit="1" customWidth="1"/>
    <col min="18" max="19" width="4" bestFit="1" customWidth="1"/>
    <col min="20" max="21" width="3" bestFit="1" customWidth="1"/>
  </cols>
  <sheetData>
    <row r="1" spans="1:21" x14ac:dyDescent="0.45">
      <c r="A1" s="63" t="s">
        <v>204</v>
      </c>
      <c r="C1" t="s">
        <v>23</v>
      </c>
    </row>
    <row r="2" spans="1:21" ht="14.65" thickBot="1" x14ac:dyDescent="0.5">
      <c r="A2" s="64" t="s">
        <v>205</v>
      </c>
      <c r="C2" t="s">
        <v>24</v>
      </c>
      <c r="Q2" t="s">
        <v>21</v>
      </c>
    </row>
    <row r="3" spans="1:21" x14ac:dyDescent="0.45">
      <c r="A3" s="63" t="s">
        <v>209</v>
      </c>
    </row>
    <row r="4" spans="1:21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8.3970688204158801</v>
      </c>
      <c r="Q4" s="162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45">
      <c r="A5" s="63" t="s">
        <v>210</v>
      </c>
      <c r="D5" s="150">
        <v>0</v>
      </c>
      <c r="E5" s="1">
        <v>1</v>
      </c>
      <c r="F5" s="1">
        <v>1</v>
      </c>
      <c r="G5" s="1">
        <v>0.29565217391304299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4.65" thickBot="1" x14ac:dyDescent="0.5">
      <c r="A6" s="64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4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45">
      <c r="A8" s="65" t="s">
        <v>201</v>
      </c>
      <c r="Q8" s="4">
        <v>44</v>
      </c>
      <c r="R8" s="5">
        <v>33</v>
      </c>
    </row>
    <row r="9" spans="1:21" ht="14.65" thickBot="1" x14ac:dyDescent="0.5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14.547826086956515</v>
      </c>
      <c r="J9" s="1" t="s">
        <v>8</v>
      </c>
      <c r="K9" s="1">
        <f>61.2345678+2.3*N4-S5</f>
        <v>14.547826086956519</v>
      </c>
    </row>
    <row r="10" spans="1:21" x14ac:dyDescent="0.45">
      <c r="D10" s="1">
        <v>21</v>
      </c>
      <c r="E10" s="1">
        <v>22</v>
      </c>
      <c r="G10" s="1">
        <v>23</v>
      </c>
      <c r="I10" s="16">
        <f>SUMPRODUCT($D$5:$G$5,D10:G10)</f>
        <v>28.79999999999999</v>
      </c>
      <c r="J10" s="1" t="s">
        <v>8</v>
      </c>
      <c r="K10" s="1">
        <v>150</v>
      </c>
    </row>
    <row r="11" spans="1:21" x14ac:dyDescent="0.4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45">
      <c r="G12" s="1">
        <v>-32</v>
      </c>
      <c r="I12" s="16">
        <f>SUMPRODUCT($D$5:$G$5,D12:G12)</f>
        <v>-9.4608695652173758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45">
      <c r="Q13">
        <v>6</v>
      </c>
      <c r="R13">
        <v>9.92</v>
      </c>
    </row>
    <row r="14" spans="1:21" x14ac:dyDescent="0.45">
      <c r="H14" s="19" t="s">
        <v>26</v>
      </c>
      <c r="I14" s="16">
        <f>I11/4+B3</f>
        <v>28.800000000000004</v>
      </c>
    </row>
    <row r="16" spans="1:21" x14ac:dyDescent="0.45">
      <c r="C16" t="s">
        <v>15</v>
      </c>
      <c r="F16" s="1" t="b">
        <f>AND(D18:G18,O17:O18,V17:W18)</f>
        <v>1</v>
      </c>
    </row>
    <row r="17" spans="1:23" x14ac:dyDescent="0.4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4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4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4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7" width="5.1328125" style="1" customWidth="1"/>
    <col min="8" max="8" width="3.1328125" style="1" customWidth="1"/>
    <col min="9" max="9" width="17.3984375" style="16" customWidth="1"/>
    <col min="10" max="10" width="3" style="1" bestFit="1" customWidth="1"/>
    <col min="11" max="11" width="16.3984375" style="1" customWidth="1"/>
    <col min="13" max="13" width="3.1328125" bestFit="1" customWidth="1"/>
    <col min="14" max="14" width="7.73046875" customWidth="1"/>
    <col min="17" max="17" width="6.1328125" bestFit="1" customWidth="1"/>
    <col min="18" max="19" width="4" bestFit="1" customWidth="1"/>
    <col min="20" max="21" width="3" bestFit="1" customWidth="1"/>
  </cols>
  <sheetData>
    <row r="1" spans="1:21" x14ac:dyDescent="0.45">
      <c r="A1" s="63" t="s">
        <v>204</v>
      </c>
      <c r="C1" t="s">
        <v>158</v>
      </c>
    </row>
    <row r="2" spans="1:21" ht="14.65" thickBot="1" x14ac:dyDescent="0.5">
      <c r="A2" s="64" t="s">
        <v>205</v>
      </c>
      <c r="C2" t="s">
        <v>33</v>
      </c>
      <c r="Q2" t="s">
        <v>21</v>
      </c>
    </row>
    <row r="3" spans="1:21" x14ac:dyDescent="0.45">
      <c r="A3" s="63" t="s">
        <v>209</v>
      </c>
    </row>
    <row r="4" spans="1:21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4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4.65" thickBot="1" x14ac:dyDescent="0.5">
      <c r="A6" s="64" t="b">
        <v>1</v>
      </c>
      <c r="Q6" s="9">
        <f>SUM(Q4:Q5)</f>
        <v>0</v>
      </c>
      <c r="R6" s="10">
        <f>SUM(R4:R5)</f>
        <v>0</v>
      </c>
    </row>
    <row r="7" spans="1:21" x14ac:dyDescent="0.4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45">
      <c r="A8" s="65" t="s">
        <v>27</v>
      </c>
      <c r="Q8" s="4">
        <v>44</v>
      </c>
      <c r="R8" s="5">
        <v>33</v>
      </c>
    </row>
    <row r="9" spans="1:21" ht="14.65" thickBot="1" x14ac:dyDescent="0.5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x14ac:dyDescent="0.45"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4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4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45">
      <c r="Q13">
        <v>6</v>
      </c>
      <c r="R13">
        <v>9.92</v>
      </c>
    </row>
    <row r="14" spans="1:21" x14ac:dyDescent="0.45">
      <c r="I14" s="16">
        <v>22</v>
      </c>
    </row>
    <row r="15" spans="1:21" x14ac:dyDescent="0.45">
      <c r="I15" s="16">
        <v>1</v>
      </c>
    </row>
    <row r="16" spans="1:21" x14ac:dyDescent="0.45">
      <c r="C16" t="s">
        <v>15</v>
      </c>
      <c r="F16" s="1" t="b">
        <f>AND(D18:G18,O17:O18,V17:W18)</f>
        <v>0</v>
      </c>
    </row>
    <row r="17" spans="1:23" x14ac:dyDescent="0.4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4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4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4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C1" t="s">
        <v>32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4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45">
      <c r="A8" s="65" t="s">
        <v>200</v>
      </c>
    </row>
    <row r="9" spans="1:10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x14ac:dyDescent="0.45"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4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4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45">
      <c r="C16" s="17" t="s">
        <v>15</v>
      </c>
    </row>
    <row r="17" spans="1:6" x14ac:dyDescent="0.45">
      <c r="D17" s="1">
        <v>0</v>
      </c>
      <c r="E17" s="1">
        <v>5.294117647058874</v>
      </c>
      <c r="F17" s="1">
        <v>0</v>
      </c>
    </row>
    <row r="18" spans="1:6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45">
      <c r="A20" s="61"/>
      <c r="C20" s="17" t="s">
        <v>16</v>
      </c>
    </row>
    <row r="21" spans="1:6" s="1" customFormat="1" x14ac:dyDescent="0.45">
      <c r="A21" s="61"/>
      <c r="C21"/>
      <c r="D21" s="1">
        <v>15.882352941176622</v>
      </c>
    </row>
    <row r="22" spans="1:6" s="1" customFormat="1" x14ac:dyDescent="0.4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25" sqref="P25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C1" t="s">
        <v>27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4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45">
      <c r="A8" s="65" t="s">
        <v>27</v>
      </c>
    </row>
    <row r="9" spans="1:10" ht="14.65" thickBot="1" x14ac:dyDescent="0.5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x14ac:dyDescent="0.4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4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4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45">
      <c r="C16" s="17" t="s">
        <v>15</v>
      </c>
    </row>
    <row r="17" spans="1:4" x14ac:dyDescent="0.45">
      <c r="C17" t="s">
        <v>28</v>
      </c>
    </row>
    <row r="19" spans="1:4" s="1" customFormat="1" x14ac:dyDescent="0.45">
      <c r="A19" s="61"/>
      <c r="C19" s="17" t="s">
        <v>16</v>
      </c>
    </row>
    <row r="20" spans="1:4" s="1" customFormat="1" x14ac:dyDescent="0.45">
      <c r="A20" s="61"/>
      <c r="C20" t="s">
        <v>28</v>
      </c>
    </row>
    <row r="21" spans="1:4" s="1" customFormat="1" x14ac:dyDescent="0.4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16.8632812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C1" t="s">
        <v>29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4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45">
      <c r="A8" s="65" t="s">
        <v>200</v>
      </c>
    </row>
    <row r="9" spans="1:10" ht="14.65" thickBot="1" x14ac:dyDescent="0.5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x14ac:dyDescent="0.45"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4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4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45">
      <c r="C16" s="17" t="s">
        <v>15</v>
      </c>
    </row>
    <row r="17" spans="1:4" x14ac:dyDescent="0.45">
      <c r="C17" t="s">
        <v>28</v>
      </c>
    </row>
    <row r="19" spans="1:4" s="1" customFormat="1" x14ac:dyDescent="0.45">
      <c r="A19" s="61"/>
      <c r="C19" s="17" t="s">
        <v>16</v>
      </c>
    </row>
    <row r="20" spans="1:4" s="1" customFormat="1" x14ac:dyDescent="0.45">
      <c r="A20" s="61"/>
      <c r="C20" t="s">
        <v>28</v>
      </c>
    </row>
    <row r="21" spans="1:4" s="1" customFormat="1" x14ac:dyDescent="0.4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16.8632812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C1" t="s">
        <v>183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4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45">
      <c r="A8" s="65" t="s">
        <v>200</v>
      </c>
    </row>
    <row r="9" spans="1:10" ht="14.65" thickBot="1" x14ac:dyDescent="0.5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x14ac:dyDescent="0.45"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4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4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45">
      <c r="C16" s="17" t="s">
        <v>15</v>
      </c>
    </row>
    <row r="17" spans="1:4" x14ac:dyDescent="0.45">
      <c r="C17" t="s">
        <v>28</v>
      </c>
    </row>
    <row r="19" spans="1:4" s="54" customFormat="1" x14ac:dyDescent="0.45">
      <c r="A19" s="61"/>
      <c r="C19" s="17" t="s">
        <v>16</v>
      </c>
    </row>
    <row r="20" spans="1:4" s="54" customFormat="1" x14ac:dyDescent="0.45">
      <c r="A20" s="61"/>
      <c r="C20" t="s">
        <v>28</v>
      </c>
    </row>
    <row r="21" spans="1:4" s="54" customFormat="1" x14ac:dyDescent="0.4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G11" sqref="G1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8" width="5.1328125" style="1" customWidth="1"/>
    <col min="9" max="9" width="3.1328125" style="1" customWidth="1"/>
    <col min="10" max="10" width="8.3984375" style="1" customWidth="1"/>
    <col min="11" max="11" width="3" style="1" bestFit="1" customWidth="1"/>
    <col min="12" max="12" width="6" style="1" customWidth="1"/>
    <col min="16" max="16" width="7.73046875" customWidth="1"/>
  </cols>
  <sheetData>
    <row r="1" spans="1:14" x14ac:dyDescent="0.45">
      <c r="A1" s="63" t="s">
        <v>204</v>
      </c>
      <c r="D1" t="s">
        <v>159</v>
      </c>
    </row>
    <row r="2" spans="1:14" ht="14.65" thickBot="1" x14ac:dyDescent="0.5">
      <c r="A2" s="64" t="s">
        <v>205</v>
      </c>
    </row>
    <row r="3" spans="1:14" x14ac:dyDescent="0.4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4.65" thickBot="1" x14ac:dyDescent="0.5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45">
      <c r="A5" s="63" t="s">
        <v>210</v>
      </c>
    </row>
    <row r="6" spans="1:14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45">
      <c r="A7" s="63" t="s">
        <v>211</v>
      </c>
    </row>
    <row r="8" spans="1:14" x14ac:dyDescent="0.4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4.65" thickBot="1" x14ac:dyDescent="0.5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x14ac:dyDescent="0.45"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4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45">
      <c r="C15" s="17" t="s">
        <v>15</v>
      </c>
    </row>
    <row r="16" spans="1:14" x14ac:dyDescent="0.45">
      <c r="D16" s="1" t="s">
        <v>28</v>
      </c>
    </row>
    <row r="17" spans="3:8" x14ac:dyDescent="0.45">
      <c r="D17" s="8"/>
      <c r="E17" s="8"/>
      <c r="F17" s="8"/>
      <c r="G17" s="8"/>
      <c r="H17" s="8"/>
    </row>
    <row r="19" spans="3:8" x14ac:dyDescent="0.45">
      <c r="C19" s="17" t="s">
        <v>16</v>
      </c>
    </row>
    <row r="20" spans="3:8" x14ac:dyDescent="0.45">
      <c r="D20" s="1" t="s">
        <v>28</v>
      </c>
    </row>
    <row r="21" spans="3:8" x14ac:dyDescent="0.4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54" customWidth="1"/>
    <col min="5" max="8" width="5.1328125" style="54" customWidth="1"/>
    <col min="9" max="9" width="3.1328125" style="54" customWidth="1"/>
    <col min="10" max="10" width="8.3984375" style="54" customWidth="1"/>
    <col min="11" max="11" width="3" style="54" bestFit="1" customWidth="1"/>
    <col min="12" max="12" width="6" style="54" customWidth="1"/>
    <col min="16" max="16" width="7.73046875" customWidth="1"/>
  </cols>
  <sheetData>
    <row r="1" spans="1:14" x14ac:dyDescent="0.45">
      <c r="A1" s="63" t="s">
        <v>204</v>
      </c>
      <c r="D1" t="s">
        <v>214</v>
      </c>
    </row>
    <row r="2" spans="1:14" ht="14.65" thickBot="1" x14ac:dyDescent="0.5">
      <c r="A2" s="64" t="s">
        <v>205</v>
      </c>
    </row>
    <row r="3" spans="1:14" x14ac:dyDescent="0.4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4.65" thickBot="1" x14ac:dyDescent="0.5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45">
      <c r="A5" s="63" t="s">
        <v>210</v>
      </c>
    </row>
    <row r="6" spans="1:14" ht="14.65" thickBot="1" x14ac:dyDescent="0.5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45">
      <c r="A7" s="63" t="s">
        <v>211</v>
      </c>
    </row>
    <row r="8" spans="1:14" x14ac:dyDescent="0.4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4.65" thickBot="1" x14ac:dyDescent="0.5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x14ac:dyDescent="0.45"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4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45">
      <c r="C15" s="17" t="s">
        <v>15</v>
      </c>
    </row>
    <row r="16" spans="1:14" x14ac:dyDescent="0.45">
      <c r="D16" s="54">
        <v>0</v>
      </c>
      <c r="E16" s="54">
        <v>0</v>
      </c>
      <c r="F16" s="54">
        <v>0</v>
      </c>
    </row>
    <row r="17" spans="3:8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45">
      <c r="C19" s="17" t="s">
        <v>16</v>
      </c>
    </row>
    <row r="20" spans="3:8" x14ac:dyDescent="0.45">
      <c r="D20" s="54">
        <v>20</v>
      </c>
    </row>
    <row r="21" spans="3:8" x14ac:dyDescent="0.4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0" x14ac:dyDescent="0.45">
      <c r="A1" s="63" t="s">
        <v>204</v>
      </c>
      <c r="D1" s="18" t="s">
        <v>36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10" ht="14.65" thickBot="1" x14ac:dyDescent="0.5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45">
      <c r="A7" s="63" t="s">
        <v>211</v>
      </c>
    </row>
    <row r="8" spans="1:10" x14ac:dyDescent="0.4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4.65" thickBot="1" x14ac:dyDescent="0.5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x14ac:dyDescent="0.45"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4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45">
      <c r="C15" s="17" t="s">
        <v>15</v>
      </c>
    </row>
    <row r="16" spans="1:10" x14ac:dyDescent="0.45">
      <c r="D16" s="1">
        <v>0</v>
      </c>
      <c r="E16" s="1">
        <v>5.294117647058874</v>
      </c>
      <c r="F16" s="1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6328125" defaultRowHeight="14.25" x14ac:dyDescent="0.45"/>
  <cols>
    <col min="1" max="1" width="15" style="61" bestFit="1" customWidth="1"/>
    <col min="2" max="2" width="2.86328125" customWidth="1"/>
    <col min="3" max="3" width="26.1328125" customWidth="1"/>
  </cols>
  <sheetData>
    <row r="1" spans="1:15" x14ac:dyDescent="0.45">
      <c r="A1" s="63" t="s">
        <v>204</v>
      </c>
      <c r="C1" t="s">
        <v>37</v>
      </c>
    </row>
    <row r="2" spans="1:15" ht="40.9" thickBot="1" x14ac:dyDescent="0.5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45">
      <c r="A3" s="63" t="s">
        <v>209</v>
      </c>
      <c r="C3" s="21" t="s">
        <v>44</v>
      </c>
      <c r="D3" s="22">
        <v>10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0</v>
      </c>
    </row>
    <row r="4" spans="1:15" ht="14.65" thickBot="1" x14ac:dyDescent="0.5">
      <c r="A4" s="64" t="s">
        <v>208</v>
      </c>
      <c r="C4" s="21" t="s">
        <v>45</v>
      </c>
      <c r="D4" s="22">
        <v>10</v>
      </c>
      <c r="E4" s="27">
        <f>289*D4</f>
        <v>2890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0</v>
      </c>
    </row>
    <row r="5" spans="1:15" x14ac:dyDescent="0.45">
      <c r="A5" s="63" t="s">
        <v>210</v>
      </c>
      <c r="C5" s="21" t="s">
        <v>46</v>
      </c>
      <c r="D5" s="22">
        <v>10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4.65" thickBot="1" x14ac:dyDescent="0.5">
      <c r="A6" s="64" t="b">
        <f>AND(K37)</f>
        <v>0</v>
      </c>
      <c r="C6" s="21" t="s">
        <v>47</v>
      </c>
      <c r="D6" s="22">
        <v>10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0</v>
      </c>
    </row>
    <row r="7" spans="1:15" x14ac:dyDescent="0.45">
      <c r="A7" s="63" t="s">
        <v>211</v>
      </c>
      <c r="C7" s="21" t="s">
        <v>48</v>
      </c>
      <c r="D7" s="22">
        <v>10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0</v>
      </c>
    </row>
    <row r="8" spans="1:15" x14ac:dyDescent="0.45">
      <c r="A8" s="65" t="s">
        <v>201</v>
      </c>
      <c r="C8" s="21" t="s">
        <v>49</v>
      </c>
      <c r="D8" s="22">
        <v>10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0</v>
      </c>
    </row>
    <row r="9" spans="1:15" ht="14.65" thickBot="1" x14ac:dyDescent="0.5">
      <c r="A9" s="64">
        <f>VLOOKUP(A8,OpenSolverResultCodes,2,FALSE)</f>
        <v>0</v>
      </c>
      <c r="C9" s="21" t="s">
        <v>50</v>
      </c>
      <c r="D9" s="22">
        <v>10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0</v>
      </c>
    </row>
    <row r="10" spans="1:15" hidden="1" x14ac:dyDescent="0.45"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45">
      <c r="C11" s="21" t="s">
        <v>51</v>
      </c>
      <c r="D11" s="22">
        <v>10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0</v>
      </c>
    </row>
    <row r="12" spans="1:15" x14ac:dyDescent="0.45">
      <c r="C12" s="21" t="s">
        <v>52</v>
      </c>
      <c r="D12" s="22">
        <v>10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0</v>
      </c>
    </row>
    <row r="13" spans="1:15" x14ac:dyDescent="0.45">
      <c r="C13" s="21" t="s">
        <v>53</v>
      </c>
      <c r="D13" s="22">
        <v>10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0</v>
      </c>
    </row>
    <row r="14" spans="1:15" x14ac:dyDescent="0.45">
      <c r="C14" s="21" t="s">
        <v>54</v>
      </c>
      <c r="D14" s="22">
        <v>10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0</v>
      </c>
    </row>
    <row r="15" spans="1:15" hidden="1" x14ac:dyDescent="0.4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45">
      <c r="C16" s="21" t="s">
        <v>55</v>
      </c>
      <c r="D16" s="22">
        <v>10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0</v>
      </c>
    </row>
    <row r="17" spans="3:15" x14ac:dyDescent="0.45">
      <c r="C17" s="21" t="s">
        <v>56</v>
      </c>
      <c r="D17" s="22">
        <v>10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45">
      <c r="C18" s="21" t="s">
        <v>57</v>
      </c>
      <c r="D18" s="22">
        <v>10</v>
      </c>
      <c r="E18" s="28">
        <f>46*D18</f>
        <v>460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45">
      <c r="C19" s="21" t="s">
        <v>58</v>
      </c>
      <c r="D19" s="22">
        <v>10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0</v>
      </c>
    </row>
    <row r="20" spans="3:15" hidden="1" x14ac:dyDescent="0.4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45">
      <c r="C21" s="21" t="s">
        <v>59</v>
      </c>
      <c r="D21" s="22">
        <v>10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0</v>
      </c>
    </row>
    <row r="22" spans="3:15" x14ac:dyDescent="0.45">
      <c r="C22" s="21" t="s">
        <v>60</v>
      </c>
      <c r="D22" s="22">
        <v>10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0</v>
      </c>
    </row>
    <row r="23" spans="3:15" x14ac:dyDescent="0.45">
      <c r="C23" s="21" t="s">
        <v>61</v>
      </c>
      <c r="D23" s="22">
        <v>10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0</v>
      </c>
    </row>
    <row r="24" spans="3:15" hidden="1" x14ac:dyDescent="0.4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45">
      <c r="C25" s="21" t="s">
        <v>62</v>
      </c>
      <c r="D25" s="22">
        <v>10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0</v>
      </c>
    </row>
    <row r="26" spans="3:15" x14ac:dyDescent="0.45">
      <c r="C26" s="21" t="s">
        <v>63</v>
      </c>
      <c r="D26" s="22">
        <v>10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0</v>
      </c>
    </row>
    <row r="27" spans="3:15" x14ac:dyDescent="0.45">
      <c r="C27" s="21" t="s">
        <v>64</v>
      </c>
      <c r="D27" s="22">
        <v>10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0</v>
      </c>
    </row>
    <row r="28" spans="3:15" x14ac:dyDescent="0.45">
      <c r="C28" s="21" t="s">
        <v>65</v>
      </c>
      <c r="D28" s="22">
        <v>10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0</v>
      </c>
    </row>
    <row r="29" spans="3:15" hidden="1" x14ac:dyDescent="0.4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45">
      <c r="C30" s="21" t="s">
        <v>66</v>
      </c>
      <c r="D30" s="22">
        <v>10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0</v>
      </c>
    </row>
    <row r="31" spans="3:15" x14ac:dyDescent="0.45">
      <c r="C31" s="21" t="s">
        <v>67</v>
      </c>
      <c r="D31" s="22">
        <v>10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0</v>
      </c>
    </row>
    <row r="32" spans="3:15" x14ac:dyDescent="0.45">
      <c r="C32" s="21" t="s">
        <v>68</v>
      </c>
      <c r="D32" s="22">
        <v>10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0</v>
      </c>
    </row>
    <row r="33" spans="3:17" x14ac:dyDescent="0.45">
      <c r="C33" s="21" t="s">
        <v>69</v>
      </c>
      <c r="D33" s="22">
        <v>10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4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45">
      <c r="C35" s="24" t="s">
        <v>70</v>
      </c>
      <c r="D35" s="152">
        <v>10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45">
      <c r="K36">
        <v>4.3499999999999996</v>
      </c>
    </row>
    <row r="37" spans="3:17" x14ac:dyDescent="0.4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4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45">
      <c r="E39">
        <f>SUMPRODUCT($D$3:$D$35,E3:E35)</f>
        <v>97010</v>
      </c>
      <c r="F39">
        <f>SUMPRODUCT($D$3:$D$35,F3:F35)</f>
        <v>2570</v>
      </c>
      <c r="G39">
        <f>SUMPRODUCT($D$3:$D$35,G3:G35)</f>
        <v>3090</v>
      </c>
      <c r="H39">
        <f>SUMPRODUCT($D$3:$D$35,H3:H35)</f>
        <v>111590</v>
      </c>
      <c r="I39">
        <f>SUMPRODUCT($D$3:$D$35,I3:I35)</f>
        <v>508</v>
      </c>
      <c r="N39" t="s">
        <v>78</v>
      </c>
      <c r="Q39" t="s">
        <v>79</v>
      </c>
    </row>
    <row r="40" spans="3:17" x14ac:dyDescent="0.45">
      <c r="D40" s="16" t="s">
        <v>72</v>
      </c>
      <c r="E40">
        <v>1</v>
      </c>
      <c r="J40">
        <f>SUMPRODUCT(E40:H40,E39:H39)</f>
        <v>97010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45">
      <c r="D41" s="16" t="s">
        <v>73</v>
      </c>
      <c r="E41">
        <v>1</v>
      </c>
      <c r="J41">
        <f>SUMPRODUCT(E41:H41,E39:H39)</f>
        <v>97010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45">
      <c r="D42" s="16" t="s">
        <v>74</v>
      </c>
      <c r="E42">
        <v>-0.35</v>
      </c>
      <c r="F42">
        <v>9</v>
      </c>
      <c r="J42">
        <f>SUMPRODUCT(E42:H42,E39:H39)</f>
        <v>-10823.5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45">
      <c r="D43" s="16" t="s">
        <v>75</v>
      </c>
      <c r="G43">
        <v>1</v>
      </c>
      <c r="J43">
        <f>SUMPRODUCT(E43:H43,E39:H39)</f>
        <v>3090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45">
      <c r="D44" s="16" t="s">
        <v>76</v>
      </c>
      <c r="H44">
        <v>1</v>
      </c>
      <c r="J44">
        <f>SUMPRODUCT(E44:H44,E39:H39)</f>
        <v>111590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6328125" defaultRowHeight="14.25" x14ac:dyDescent="0.45"/>
  <cols>
    <col min="1" max="1" width="15" style="61" bestFit="1" customWidth="1"/>
    <col min="2" max="2" width="3.3984375" style="66" customWidth="1"/>
  </cols>
  <sheetData>
    <row r="1" spans="1:10" x14ac:dyDescent="0.45">
      <c r="A1" s="63" t="s">
        <v>204</v>
      </c>
      <c r="C1" t="s">
        <v>80</v>
      </c>
    </row>
    <row r="2" spans="1:10" ht="14.65" thickBot="1" x14ac:dyDescent="0.5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4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0" ht="14.65" thickBot="1" x14ac:dyDescent="0.5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4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0" ht="14.65" thickBot="1" x14ac:dyDescent="0.5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0" x14ac:dyDescent="0.4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0" x14ac:dyDescent="0.4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660</v>
      </c>
      <c r="I8" s="1" t="s">
        <v>8</v>
      </c>
      <c r="J8" s="1">
        <v>150</v>
      </c>
    </row>
    <row r="9" spans="1:10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0" x14ac:dyDescent="0.4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0" x14ac:dyDescent="0.45">
      <c r="D11" s="1"/>
      <c r="E11" s="1"/>
      <c r="F11" s="1"/>
      <c r="G11" s="1"/>
      <c r="H11" s="1"/>
      <c r="I11" s="1"/>
      <c r="J11" s="1"/>
    </row>
    <row r="12" spans="1:10" x14ac:dyDescent="0.45">
      <c r="D12" s="1"/>
      <c r="E12" s="1"/>
      <c r="F12" s="1"/>
      <c r="G12" s="1"/>
      <c r="H12" s="1"/>
      <c r="I12" s="1"/>
      <c r="J12" s="1"/>
    </row>
    <row r="13" spans="1:10" x14ac:dyDescent="0.45">
      <c r="D13" s="1"/>
      <c r="E13" s="1"/>
      <c r="F13" s="1"/>
      <c r="G13" s="1"/>
      <c r="H13" s="1"/>
      <c r="I13" s="1"/>
      <c r="J13" s="1"/>
    </row>
    <row r="14" spans="1:10" x14ac:dyDescent="0.4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4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4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45">
      <c r="D17" s="1"/>
      <c r="E17" s="1"/>
      <c r="F17" s="1"/>
      <c r="G17" s="1"/>
      <c r="H17" s="1"/>
      <c r="I17" s="1"/>
      <c r="J17" s="1"/>
    </row>
    <row r="18" spans="3:10" x14ac:dyDescent="0.4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4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4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6328125" defaultRowHeight="14.25" x14ac:dyDescent="0.45"/>
  <cols>
    <col min="1" max="1" width="15" style="61" bestFit="1" customWidth="1"/>
    <col min="2" max="2" width="2.86328125" customWidth="1"/>
  </cols>
  <sheetData>
    <row r="1" spans="1:12" x14ac:dyDescent="0.45">
      <c r="A1" s="63" t="s">
        <v>204</v>
      </c>
      <c r="C1" t="s">
        <v>82</v>
      </c>
    </row>
    <row r="2" spans="1:12" ht="14.65" thickBot="1" x14ac:dyDescent="0.5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45">
      <c r="A3" s="63" t="s">
        <v>209</v>
      </c>
      <c r="D3" s="1">
        <v>10</v>
      </c>
      <c r="E3" s="1">
        <v>10</v>
      </c>
      <c r="F3" s="150">
        <v>10</v>
      </c>
      <c r="G3" s="1"/>
    </row>
    <row r="4" spans="1:12" ht="14.65" thickBot="1" x14ac:dyDescent="0.5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4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8100</v>
      </c>
      <c r="I5" s="1"/>
      <c r="J5" s="1"/>
    </row>
    <row r="6" spans="1:12" ht="14.65" thickBot="1" x14ac:dyDescent="0.5">
      <c r="A6" s="64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4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330</v>
      </c>
      <c r="I7" s="1" t="s">
        <v>8</v>
      </c>
      <c r="J7" s="1">
        <v>60</v>
      </c>
    </row>
    <row r="8" spans="1:12" x14ac:dyDescent="0.4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6600</v>
      </c>
      <c r="I8" s="1" t="s">
        <v>8</v>
      </c>
      <c r="J8" s="1">
        <v>150</v>
      </c>
      <c r="L8" t="s">
        <v>83</v>
      </c>
    </row>
    <row r="9" spans="1:12" ht="14.65" thickBot="1" x14ac:dyDescent="0.5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200</v>
      </c>
      <c r="I9" s="1" t="s">
        <v>9</v>
      </c>
      <c r="J9" s="1">
        <v>110</v>
      </c>
    </row>
    <row r="10" spans="1:12" x14ac:dyDescent="0.45">
      <c r="D10" s="1">
        <v>19</v>
      </c>
      <c r="E10" s="1">
        <v>34</v>
      </c>
      <c r="F10" s="1">
        <v>-32</v>
      </c>
      <c r="G10" s="1"/>
      <c r="H10" s="1">
        <f>SUMPRODUCT($D$3:$F$3,D10:F10)</f>
        <v>210</v>
      </c>
      <c r="I10" s="1" t="s">
        <v>10</v>
      </c>
      <c r="J10" s="1">
        <v>180</v>
      </c>
    </row>
    <row r="11" spans="1:12" x14ac:dyDescent="0.45">
      <c r="D11" s="1"/>
      <c r="E11" s="1"/>
      <c r="F11" s="1"/>
      <c r="G11" s="1"/>
      <c r="H11" s="1"/>
      <c r="I11" s="1"/>
      <c r="J11" s="1"/>
    </row>
    <row r="12" spans="1:12" x14ac:dyDescent="0.45">
      <c r="D12" s="1"/>
      <c r="E12" s="1"/>
      <c r="F12" s="1"/>
      <c r="G12" s="1"/>
      <c r="H12" s="1"/>
      <c r="I12" s="1"/>
      <c r="J12" s="1"/>
    </row>
    <row r="13" spans="1:12" x14ac:dyDescent="0.45">
      <c r="D13" s="1"/>
      <c r="E13" s="1"/>
      <c r="F13" s="1"/>
      <c r="G13" s="1"/>
      <c r="H13" s="1"/>
      <c r="I13" s="1"/>
      <c r="J13" s="1"/>
    </row>
    <row r="14" spans="1:12" x14ac:dyDescent="0.4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4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45">
      <c r="C16" t="s">
        <v>17</v>
      </c>
      <c r="D16" s="8" t="b">
        <f>ABS(D3-D15)/(1+ABS(D15))&lt;=0.000001</f>
        <v>0</v>
      </c>
      <c r="E16" s="8" t="b">
        <f>ABS(E3-E15)/(1+ABS(E15))&lt;=0.000001</f>
        <v>0</v>
      </c>
      <c r="F16" s="8" t="b">
        <f>ABS(F3-F15)/(1+ABS(F15))&lt;=0.000001</f>
        <v>0</v>
      </c>
      <c r="G16" s="1"/>
      <c r="H16" s="1"/>
      <c r="I16" s="1"/>
      <c r="J16" s="1"/>
    </row>
    <row r="17" spans="3:10" x14ac:dyDescent="0.45">
      <c r="D17" s="1"/>
      <c r="E17" s="1"/>
      <c r="F17" s="1"/>
      <c r="G17" s="1"/>
      <c r="H17" s="1"/>
      <c r="I17" s="1"/>
      <c r="J17" s="1"/>
    </row>
    <row r="18" spans="3:10" x14ac:dyDescent="0.4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4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4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6328125" defaultRowHeight="14.25" x14ac:dyDescent="0.45"/>
  <cols>
    <col min="1" max="1" width="15" style="61" bestFit="1" customWidth="1"/>
    <col min="2" max="2" width="3.3984375" style="66" customWidth="1"/>
  </cols>
  <sheetData>
    <row r="1" spans="1:15" x14ac:dyDescent="0.4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4.65" thickBot="1" x14ac:dyDescent="0.5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4.65" thickBot="1" x14ac:dyDescent="0.5">
      <c r="A3" s="63" t="s">
        <v>209</v>
      </c>
      <c r="D3" s="31">
        <v>10</v>
      </c>
      <c r="E3" s="31">
        <v>10</v>
      </c>
      <c r="F3" s="31">
        <v>10</v>
      </c>
      <c r="G3" s="31"/>
      <c r="I3" s="158" t="b">
        <f>ABS(D3-I2)/(1+ABS(I2))&lt;=0.000001</f>
        <v>0</v>
      </c>
      <c r="J3" s="159" t="b">
        <f>ABS(E3-J2)/(1+ABS(J2))&lt;=0.000001</f>
        <v>0</v>
      </c>
      <c r="K3" s="159" t="b">
        <f>ABS(F3-K2)/(1+ABS(K2))&lt;=0.000001</f>
        <v>0</v>
      </c>
      <c r="L3" s="160" t="b">
        <f>ABS(L2-H5)/(1+ABS(L2))&lt;=0.000001</f>
        <v>0</v>
      </c>
      <c r="O3" s="151"/>
    </row>
    <row r="4" spans="1:15" ht="14.65" thickBot="1" x14ac:dyDescent="0.5">
      <c r="A4" s="64" t="s">
        <v>208</v>
      </c>
      <c r="D4" s="31"/>
      <c r="E4" s="31"/>
      <c r="F4" s="31"/>
      <c r="G4" s="31"/>
      <c r="O4" s="8"/>
    </row>
    <row r="5" spans="1:15" x14ac:dyDescent="0.4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8100</v>
      </c>
      <c r="I5" s="31"/>
      <c r="J5" s="31"/>
      <c r="M5" s="151"/>
      <c r="N5" s="151"/>
      <c r="O5" s="151"/>
    </row>
    <row r="6" spans="1:15" ht="14.65" thickBot="1" x14ac:dyDescent="0.5">
      <c r="A6" s="64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4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330</v>
      </c>
      <c r="I7" s="31" t="s">
        <v>8</v>
      </c>
      <c r="J7" s="31">
        <v>60</v>
      </c>
      <c r="M7" s="151"/>
      <c r="N7" s="151"/>
      <c r="O7" s="151"/>
    </row>
    <row r="8" spans="1:15" x14ac:dyDescent="0.4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6600</v>
      </c>
      <c r="I8" s="31" t="s">
        <v>8</v>
      </c>
      <c r="J8" s="31">
        <v>150</v>
      </c>
      <c r="M8" s="8"/>
      <c r="N8" s="151"/>
      <c r="O8" s="151"/>
    </row>
    <row r="9" spans="1:15" ht="14.65" thickBot="1" x14ac:dyDescent="0.5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2200</v>
      </c>
      <c r="I9" s="31" t="s">
        <v>9</v>
      </c>
      <c r="J9" s="31">
        <v>110</v>
      </c>
    </row>
    <row r="10" spans="1:15" x14ac:dyDescent="0.45"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2200</v>
      </c>
      <c r="I10" s="31" t="s">
        <v>9</v>
      </c>
      <c r="J10" s="31">
        <v>110</v>
      </c>
    </row>
    <row r="11" spans="1:15" x14ac:dyDescent="0.45">
      <c r="D11" s="31">
        <v>21</v>
      </c>
      <c r="E11" s="31">
        <v>22</v>
      </c>
      <c r="F11" s="31">
        <v>-23</v>
      </c>
      <c r="G11" s="31"/>
      <c r="H11" s="31">
        <f t="shared" si="0"/>
        <v>2200</v>
      </c>
      <c r="I11" s="31" t="s">
        <v>9</v>
      </c>
      <c r="J11" s="31">
        <v>110</v>
      </c>
    </row>
    <row r="12" spans="1:15" x14ac:dyDescent="0.45">
      <c r="D12" s="31">
        <v>21</v>
      </c>
      <c r="E12" s="31">
        <v>22</v>
      </c>
      <c r="F12" s="31">
        <v>-23</v>
      </c>
      <c r="G12" s="31"/>
      <c r="H12" s="31">
        <f t="shared" si="0"/>
        <v>2200</v>
      </c>
      <c r="I12" s="31" t="s">
        <v>9</v>
      </c>
      <c r="J12" s="31">
        <v>110</v>
      </c>
    </row>
    <row r="13" spans="1:15" x14ac:dyDescent="0.45">
      <c r="D13" s="31">
        <v>21</v>
      </c>
      <c r="E13" s="31">
        <v>22</v>
      </c>
      <c r="F13" s="31">
        <v>-23</v>
      </c>
      <c r="G13" s="31"/>
      <c r="H13" s="31">
        <f t="shared" si="0"/>
        <v>2200</v>
      </c>
      <c r="I13" s="31" t="s">
        <v>9</v>
      </c>
      <c r="J13" s="31">
        <v>110</v>
      </c>
    </row>
    <row r="14" spans="1:15" x14ac:dyDescent="0.45">
      <c r="D14" s="31">
        <v>21</v>
      </c>
      <c r="E14" s="31">
        <v>22</v>
      </c>
      <c r="F14" s="31">
        <v>-23</v>
      </c>
      <c r="G14" s="31"/>
      <c r="H14" s="31">
        <f t="shared" si="0"/>
        <v>2200</v>
      </c>
      <c r="I14" s="31" t="s">
        <v>9</v>
      </c>
      <c r="J14" s="31">
        <v>110</v>
      </c>
    </row>
    <row r="15" spans="1:15" x14ac:dyDescent="0.45">
      <c r="D15" s="31">
        <v>21</v>
      </c>
      <c r="E15" s="31">
        <v>22</v>
      </c>
      <c r="F15" s="31">
        <v>-23</v>
      </c>
      <c r="G15" s="31"/>
      <c r="H15" s="31">
        <f t="shared" si="0"/>
        <v>2200</v>
      </c>
      <c r="I15" s="31" t="s">
        <v>9</v>
      </c>
      <c r="J15" s="31">
        <v>110</v>
      </c>
    </row>
    <row r="16" spans="1:15" x14ac:dyDescent="0.45">
      <c r="D16" s="31">
        <v>21</v>
      </c>
      <c r="E16" s="31">
        <v>22</v>
      </c>
      <c r="F16" s="31">
        <v>-23</v>
      </c>
      <c r="G16" s="31"/>
      <c r="H16" s="31">
        <f t="shared" si="0"/>
        <v>2200</v>
      </c>
      <c r="I16" s="31" t="s">
        <v>9</v>
      </c>
      <c r="J16" s="31">
        <v>110</v>
      </c>
      <c r="M16" s="151"/>
      <c r="N16" s="151"/>
      <c r="O16" s="151"/>
    </row>
    <row r="17" spans="4:15" x14ac:dyDescent="0.45">
      <c r="D17" s="31">
        <v>21</v>
      </c>
      <c r="E17" s="31">
        <v>22</v>
      </c>
      <c r="F17" s="31">
        <v>-23</v>
      </c>
      <c r="G17" s="31"/>
      <c r="H17" s="31">
        <f t="shared" si="0"/>
        <v>2200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45">
      <c r="D18" s="31">
        <v>21</v>
      </c>
      <c r="E18" s="31">
        <v>22</v>
      </c>
      <c r="F18" s="31">
        <v>-23</v>
      </c>
      <c r="G18" s="31"/>
      <c r="H18" s="31">
        <f t="shared" si="0"/>
        <v>2200</v>
      </c>
      <c r="I18" s="31" t="s">
        <v>9</v>
      </c>
      <c r="J18" s="31">
        <v>110</v>
      </c>
      <c r="N18" s="151"/>
      <c r="O18" s="151"/>
    </row>
    <row r="19" spans="4:15" x14ac:dyDescent="0.45">
      <c r="D19" s="31">
        <v>21</v>
      </c>
      <c r="E19" s="31">
        <v>22</v>
      </c>
      <c r="F19" s="31">
        <v>-23</v>
      </c>
      <c r="G19" s="31"/>
      <c r="H19" s="31">
        <f t="shared" si="0"/>
        <v>2200</v>
      </c>
      <c r="I19" s="31" t="s">
        <v>9</v>
      </c>
      <c r="J19" s="31">
        <v>110</v>
      </c>
      <c r="N19" s="151"/>
      <c r="O19" s="151"/>
    </row>
    <row r="20" spans="4:15" x14ac:dyDescent="0.45">
      <c r="D20" s="31">
        <v>21</v>
      </c>
      <c r="E20" s="31">
        <v>22</v>
      </c>
      <c r="F20" s="31">
        <v>-23</v>
      </c>
      <c r="G20" s="31"/>
      <c r="H20" s="31">
        <f t="shared" si="0"/>
        <v>2200</v>
      </c>
      <c r="I20" s="31" t="s">
        <v>9</v>
      </c>
      <c r="J20" s="31">
        <v>110</v>
      </c>
    </row>
    <row r="21" spans="4:15" x14ac:dyDescent="0.45">
      <c r="D21" s="31">
        <v>21</v>
      </c>
      <c r="E21" s="31">
        <v>22</v>
      </c>
      <c r="F21" s="31">
        <v>-23</v>
      </c>
      <c r="G21" s="31"/>
      <c r="H21" s="31">
        <f t="shared" si="0"/>
        <v>2200</v>
      </c>
      <c r="I21" s="31" t="s">
        <v>9</v>
      </c>
      <c r="J21" s="31">
        <v>110</v>
      </c>
    </row>
    <row r="22" spans="4:15" x14ac:dyDescent="0.45">
      <c r="D22" s="31">
        <v>21</v>
      </c>
      <c r="E22" s="31">
        <v>22</v>
      </c>
      <c r="F22" s="31">
        <v>-23</v>
      </c>
      <c r="G22" s="31"/>
      <c r="H22" s="31">
        <f t="shared" si="0"/>
        <v>2200</v>
      </c>
      <c r="I22" s="31" t="s">
        <v>9</v>
      </c>
      <c r="J22" s="31">
        <v>110</v>
      </c>
    </row>
    <row r="23" spans="4:15" x14ac:dyDescent="0.45">
      <c r="D23" s="31">
        <v>21</v>
      </c>
      <c r="E23" s="31">
        <v>22</v>
      </c>
      <c r="F23" s="31">
        <v>-23</v>
      </c>
      <c r="G23" s="31"/>
      <c r="H23" s="31">
        <f t="shared" si="0"/>
        <v>2200</v>
      </c>
      <c r="I23" s="31" t="s">
        <v>9</v>
      </c>
      <c r="J23" s="31">
        <v>110</v>
      </c>
    </row>
    <row r="24" spans="4:15" x14ac:dyDescent="0.45">
      <c r="D24" s="31">
        <v>21</v>
      </c>
      <c r="E24" s="31">
        <v>22</v>
      </c>
      <c r="F24" s="31">
        <v>-23</v>
      </c>
      <c r="G24" s="31"/>
      <c r="H24" s="31">
        <f t="shared" si="0"/>
        <v>2200</v>
      </c>
      <c r="I24" s="31" t="s">
        <v>9</v>
      </c>
      <c r="J24" s="31">
        <v>110</v>
      </c>
    </row>
    <row r="25" spans="4:15" x14ac:dyDescent="0.45">
      <c r="D25" s="31">
        <v>21</v>
      </c>
      <c r="E25" s="31">
        <v>22</v>
      </c>
      <c r="F25" s="31">
        <v>-23</v>
      </c>
      <c r="G25" s="31"/>
      <c r="H25" s="31">
        <f t="shared" si="0"/>
        <v>2200</v>
      </c>
      <c r="I25" s="31" t="s">
        <v>9</v>
      </c>
      <c r="J25" s="31">
        <v>110</v>
      </c>
    </row>
    <row r="26" spans="4:15" x14ac:dyDescent="0.45">
      <c r="D26" s="31">
        <v>21</v>
      </c>
      <c r="E26" s="31">
        <v>22</v>
      </c>
      <c r="F26" s="31">
        <v>-23</v>
      </c>
      <c r="G26" s="31"/>
      <c r="H26" s="31">
        <f t="shared" si="0"/>
        <v>2200</v>
      </c>
      <c r="I26" s="31" t="s">
        <v>9</v>
      </c>
      <c r="J26" s="31">
        <v>110</v>
      </c>
    </row>
    <row r="27" spans="4:15" x14ac:dyDescent="0.45">
      <c r="D27" s="31">
        <v>21</v>
      </c>
      <c r="E27" s="31">
        <v>22</v>
      </c>
      <c r="F27" s="31">
        <v>-23</v>
      </c>
      <c r="G27" s="31"/>
      <c r="H27" s="31">
        <f t="shared" si="0"/>
        <v>2200</v>
      </c>
      <c r="I27" s="31" t="s">
        <v>9</v>
      </c>
      <c r="J27" s="31">
        <v>110</v>
      </c>
    </row>
    <row r="28" spans="4:15" x14ac:dyDescent="0.45">
      <c r="D28" s="31">
        <v>21</v>
      </c>
      <c r="E28" s="31">
        <v>22</v>
      </c>
      <c r="F28" s="31">
        <v>-23</v>
      </c>
      <c r="G28" s="31"/>
      <c r="H28" s="31">
        <f t="shared" si="0"/>
        <v>2200</v>
      </c>
      <c r="I28" s="31" t="s">
        <v>9</v>
      </c>
      <c r="J28" s="31">
        <v>110</v>
      </c>
    </row>
    <row r="29" spans="4:15" x14ac:dyDescent="0.45">
      <c r="D29" s="31">
        <v>21</v>
      </c>
      <c r="E29" s="31">
        <v>22</v>
      </c>
      <c r="F29" s="31">
        <v>-23</v>
      </c>
      <c r="G29" s="31"/>
      <c r="H29" s="31">
        <f t="shared" si="0"/>
        <v>2200</v>
      </c>
      <c r="I29" s="31" t="s">
        <v>9</v>
      </c>
      <c r="J29" s="31">
        <v>110</v>
      </c>
    </row>
    <row r="30" spans="4:15" x14ac:dyDescent="0.45">
      <c r="D30" s="31">
        <v>21</v>
      </c>
      <c r="E30" s="31">
        <v>22</v>
      </c>
      <c r="F30" s="31">
        <v>-23</v>
      </c>
      <c r="G30" s="31"/>
      <c r="H30" s="31">
        <f t="shared" si="0"/>
        <v>2200</v>
      </c>
      <c r="I30" s="31" t="s">
        <v>9</v>
      </c>
      <c r="J30" s="31">
        <v>110</v>
      </c>
    </row>
    <row r="31" spans="4:15" x14ac:dyDescent="0.45">
      <c r="D31" s="31">
        <v>21</v>
      </c>
      <c r="E31" s="31">
        <v>22</v>
      </c>
      <c r="F31" s="31">
        <v>-23</v>
      </c>
      <c r="G31" s="31"/>
      <c r="H31" s="31">
        <f t="shared" si="0"/>
        <v>2200</v>
      </c>
      <c r="I31" s="31" t="s">
        <v>9</v>
      </c>
      <c r="J31" s="31">
        <v>110</v>
      </c>
    </row>
    <row r="32" spans="4:15" x14ac:dyDescent="0.45">
      <c r="D32" s="31">
        <v>21</v>
      </c>
      <c r="E32" s="31">
        <v>22</v>
      </c>
      <c r="F32" s="31">
        <v>-23</v>
      </c>
      <c r="G32" s="31"/>
      <c r="H32" s="31">
        <f t="shared" si="0"/>
        <v>2200</v>
      </c>
      <c r="I32" s="31" t="s">
        <v>9</v>
      </c>
      <c r="J32" s="31">
        <v>110</v>
      </c>
    </row>
    <row r="33" spans="4:10" x14ac:dyDescent="0.45">
      <c r="D33" s="31">
        <v>21</v>
      </c>
      <c r="E33" s="31">
        <v>22</v>
      </c>
      <c r="F33" s="31">
        <v>-23</v>
      </c>
      <c r="G33" s="31"/>
      <c r="H33" s="31">
        <f t="shared" si="0"/>
        <v>2200</v>
      </c>
      <c r="I33" s="31" t="s">
        <v>9</v>
      </c>
      <c r="J33" s="31">
        <v>110</v>
      </c>
    </row>
    <row r="34" spans="4:10" x14ac:dyDescent="0.45">
      <c r="D34" s="31">
        <v>21</v>
      </c>
      <c r="E34" s="31">
        <v>22</v>
      </c>
      <c r="F34" s="31">
        <v>-23</v>
      </c>
      <c r="G34" s="31"/>
      <c r="H34" s="31">
        <f t="shared" si="0"/>
        <v>2200</v>
      </c>
      <c r="I34" s="31" t="s">
        <v>9</v>
      </c>
      <c r="J34" s="31">
        <v>110</v>
      </c>
    </row>
    <row r="35" spans="4:10" x14ac:dyDescent="0.45">
      <c r="D35" s="31">
        <v>21</v>
      </c>
      <c r="E35" s="31">
        <v>22</v>
      </c>
      <c r="F35" s="31">
        <v>-23</v>
      </c>
      <c r="G35" s="31"/>
      <c r="H35" s="31">
        <f t="shared" si="0"/>
        <v>2200</v>
      </c>
      <c r="I35" s="31" t="s">
        <v>9</v>
      </c>
      <c r="J35" s="31">
        <v>110</v>
      </c>
    </row>
    <row r="36" spans="4:10" x14ac:dyDescent="0.45">
      <c r="D36" s="31">
        <v>21</v>
      </c>
      <c r="E36" s="31">
        <v>22</v>
      </c>
      <c r="F36" s="31">
        <v>-23</v>
      </c>
      <c r="G36" s="31"/>
      <c r="H36" s="31">
        <f t="shared" si="0"/>
        <v>2200</v>
      </c>
      <c r="I36" s="31" t="s">
        <v>9</v>
      </c>
      <c r="J36" s="31">
        <v>110</v>
      </c>
    </row>
    <row r="37" spans="4:10" x14ac:dyDescent="0.45">
      <c r="D37" s="31">
        <v>21</v>
      </c>
      <c r="E37" s="31">
        <v>22</v>
      </c>
      <c r="F37" s="31">
        <v>-23</v>
      </c>
      <c r="G37" s="31"/>
      <c r="H37" s="31">
        <f t="shared" si="0"/>
        <v>2200</v>
      </c>
      <c r="I37" s="31" t="s">
        <v>9</v>
      </c>
      <c r="J37" s="31">
        <v>110</v>
      </c>
    </row>
    <row r="38" spans="4:10" x14ac:dyDescent="0.45">
      <c r="D38" s="31">
        <v>21</v>
      </c>
      <c r="E38" s="31">
        <v>22</v>
      </c>
      <c r="F38" s="31">
        <v>-23</v>
      </c>
      <c r="G38" s="31"/>
      <c r="H38" s="31">
        <f t="shared" si="0"/>
        <v>2200</v>
      </c>
      <c r="I38" s="31" t="s">
        <v>9</v>
      </c>
      <c r="J38" s="31">
        <v>110</v>
      </c>
    </row>
    <row r="39" spans="4:10" x14ac:dyDescent="0.45">
      <c r="D39" s="31">
        <v>21</v>
      </c>
      <c r="E39" s="31">
        <v>22</v>
      </c>
      <c r="F39" s="31">
        <v>-23</v>
      </c>
      <c r="G39" s="31"/>
      <c r="H39" s="31">
        <f t="shared" si="0"/>
        <v>2200</v>
      </c>
      <c r="I39" s="31" t="s">
        <v>9</v>
      </c>
      <c r="J39" s="31">
        <v>110</v>
      </c>
    </row>
    <row r="40" spans="4:10" x14ac:dyDescent="0.45">
      <c r="D40" s="31">
        <v>21</v>
      </c>
      <c r="E40" s="31">
        <v>22</v>
      </c>
      <c r="F40" s="31">
        <v>-23</v>
      </c>
      <c r="G40" s="31"/>
      <c r="H40" s="31">
        <f t="shared" si="0"/>
        <v>2200</v>
      </c>
      <c r="I40" s="31" t="s">
        <v>9</v>
      </c>
      <c r="J40" s="31">
        <v>110</v>
      </c>
    </row>
    <row r="41" spans="4:10" x14ac:dyDescent="0.45">
      <c r="D41" s="31">
        <v>21</v>
      </c>
      <c r="E41" s="31">
        <v>22</v>
      </c>
      <c r="F41" s="31">
        <v>-23</v>
      </c>
      <c r="G41" s="31"/>
      <c r="H41" s="31">
        <f t="shared" si="0"/>
        <v>2200</v>
      </c>
      <c r="I41" s="31" t="s">
        <v>9</v>
      </c>
      <c r="J41" s="31">
        <v>110</v>
      </c>
    </row>
    <row r="42" spans="4:10" x14ac:dyDescent="0.45">
      <c r="D42" s="31">
        <v>21</v>
      </c>
      <c r="E42" s="31">
        <v>22</v>
      </c>
      <c r="F42" s="31">
        <v>-23</v>
      </c>
      <c r="G42" s="31"/>
      <c r="H42" s="31">
        <f t="shared" si="0"/>
        <v>2200</v>
      </c>
      <c r="I42" s="31" t="s">
        <v>9</v>
      </c>
      <c r="J42" s="31">
        <v>110</v>
      </c>
    </row>
    <row r="43" spans="4:10" x14ac:dyDescent="0.45">
      <c r="D43" s="31">
        <v>21</v>
      </c>
      <c r="E43" s="31">
        <v>22</v>
      </c>
      <c r="F43" s="31">
        <v>-23</v>
      </c>
      <c r="G43" s="31"/>
      <c r="H43" s="31">
        <f t="shared" si="0"/>
        <v>2200</v>
      </c>
      <c r="I43" s="31" t="s">
        <v>9</v>
      </c>
      <c r="J43" s="31">
        <v>110</v>
      </c>
    </row>
    <row r="44" spans="4:10" x14ac:dyDescent="0.45">
      <c r="D44" s="31">
        <v>21</v>
      </c>
      <c r="E44" s="31">
        <v>22</v>
      </c>
      <c r="F44" s="31">
        <v>-23</v>
      </c>
      <c r="G44" s="31"/>
      <c r="H44" s="31">
        <f t="shared" si="0"/>
        <v>2200</v>
      </c>
      <c r="I44" s="31" t="s">
        <v>9</v>
      </c>
      <c r="J44" s="31">
        <v>110</v>
      </c>
    </row>
    <row r="45" spans="4:10" x14ac:dyDescent="0.45">
      <c r="D45" s="31">
        <v>21</v>
      </c>
      <c r="E45" s="31">
        <v>22</v>
      </c>
      <c r="F45" s="31">
        <v>-23</v>
      </c>
      <c r="G45" s="31"/>
      <c r="H45" s="31">
        <f t="shared" si="0"/>
        <v>2200</v>
      </c>
      <c r="I45" s="31" t="s">
        <v>9</v>
      </c>
      <c r="J45" s="31">
        <v>110</v>
      </c>
    </row>
    <row r="46" spans="4:10" x14ac:dyDescent="0.45">
      <c r="D46" s="31">
        <v>21</v>
      </c>
      <c r="E46" s="31">
        <v>22</v>
      </c>
      <c r="F46" s="31">
        <v>-23</v>
      </c>
      <c r="G46" s="31"/>
      <c r="H46" s="31">
        <f t="shared" si="0"/>
        <v>2200</v>
      </c>
      <c r="I46" s="31" t="s">
        <v>9</v>
      </c>
      <c r="J46" s="31">
        <v>110</v>
      </c>
    </row>
    <row r="47" spans="4:10" x14ac:dyDescent="0.45">
      <c r="D47" s="31">
        <v>21</v>
      </c>
      <c r="E47" s="31">
        <v>22</v>
      </c>
      <c r="F47" s="31">
        <v>-23</v>
      </c>
      <c r="G47" s="31"/>
      <c r="H47" s="31">
        <f t="shared" si="0"/>
        <v>2200</v>
      </c>
      <c r="I47" s="31" t="s">
        <v>9</v>
      </c>
      <c r="J47" s="31">
        <v>110</v>
      </c>
    </row>
    <row r="48" spans="4:10" x14ac:dyDescent="0.45">
      <c r="D48" s="31">
        <v>21</v>
      </c>
      <c r="E48" s="31">
        <v>22</v>
      </c>
      <c r="F48" s="31">
        <v>-23</v>
      </c>
      <c r="G48" s="31"/>
      <c r="H48" s="31">
        <f t="shared" si="0"/>
        <v>2200</v>
      </c>
      <c r="I48" s="31" t="s">
        <v>9</v>
      </c>
      <c r="J48" s="31">
        <v>110</v>
      </c>
    </row>
    <row r="49" spans="4:10" x14ac:dyDescent="0.45">
      <c r="D49" s="31">
        <v>21</v>
      </c>
      <c r="E49" s="31">
        <v>22</v>
      </c>
      <c r="F49" s="31">
        <v>-23</v>
      </c>
      <c r="G49" s="31"/>
      <c r="H49" s="31">
        <f t="shared" si="0"/>
        <v>2200</v>
      </c>
      <c r="I49" s="31" t="s">
        <v>9</v>
      </c>
      <c r="J49" s="31">
        <v>110</v>
      </c>
    </row>
    <row r="50" spans="4:10" x14ac:dyDescent="0.45">
      <c r="D50" s="31">
        <v>21</v>
      </c>
      <c r="E50" s="31">
        <v>22</v>
      </c>
      <c r="F50" s="31">
        <v>-23</v>
      </c>
      <c r="G50" s="31"/>
      <c r="H50" s="31">
        <f t="shared" si="0"/>
        <v>2200</v>
      </c>
      <c r="I50" s="31" t="s">
        <v>9</v>
      </c>
      <c r="J50" s="31">
        <v>110</v>
      </c>
    </row>
    <row r="51" spans="4:10" x14ac:dyDescent="0.45">
      <c r="D51" s="31">
        <v>21</v>
      </c>
      <c r="E51" s="31">
        <v>22</v>
      </c>
      <c r="F51" s="31">
        <v>-23</v>
      </c>
      <c r="G51" s="31"/>
      <c r="H51" s="31">
        <f t="shared" si="0"/>
        <v>2200</v>
      </c>
      <c r="I51" s="31" t="s">
        <v>9</v>
      </c>
      <c r="J51" s="31">
        <v>110</v>
      </c>
    </row>
    <row r="52" spans="4:10" x14ac:dyDescent="0.45">
      <c r="D52" s="31">
        <v>21</v>
      </c>
      <c r="E52" s="31">
        <v>22</v>
      </c>
      <c r="F52" s="31">
        <v>-23</v>
      </c>
      <c r="G52" s="31"/>
      <c r="H52" s="31">
        <f t="shared" si="0"/>
        <v>2200</v>
      </c>
      <c r="I52" s="31" t="s">
        <v>9</v>
      </c>
      <c r="J52" s="31">
        <v>110</v>
      </c>
    </row>
    <row r="53" spans="4:10" x14ac:dyDescent="0.45">
      <c r="D53" s="31">
        <v>21</v>
      </c>
      <c r="E53" s="31">
        <v>22</v>
      </c>
      <c r="F53" s="31">
        <v>-23</v>
      </c>
      <c r="G53" s="31"/>
      <c r="H53" s="31">
        <f t="shared" si="0"/>
        <v>2200</v>
      </c>
      <c r="I53" s="31" t="s">
        <v>9</v>
      </c>
      <c r="J53" s="31">
        <v>110</v>
      </c>
    </row>
    <row r="54" spans="4:10" x14ac:dyDescent="0.45">
      <c r="D54" s="31">
        <v>21</v>
      </c>
      <c r="E54" s="31">
        <v>22</v>
      </c>
      <c r="F54" s="31">
        <v>-23</v>
      </c>
      <c r="G54" s="31"/>
      <c r="H54" s="31">
        <f t="shared" si="0"/>
        <v>2200</v>
      </c>
      <c r="I54" s="31" t="s">
        <v>9</v>
      </c>
      <c r="J54" s="31">
        <v>110</v>
      </c>
    </row>
    <row r="55" spans="4:10" x14ac:dyDescent="0.45">
      <c r="D55" s="31">
        <v>21</v>
      </c>
      <c r="E55" s="31">
        <v>22</v>
      </c>
      <c r="F55" s="31">
        <v>-23</v>
      </c>
      <c r="G55" s="31"/>
      <c r="H55" s="31">
        <f t="shared" si="0"/>
        <v>2200</v>
      </c>
      <c r="I55" s="31" t="s">
        <v>9</v>
      </c>
      <c r="J55" s="31">
        <v>110</v>
      </c>
    </row>
    <row r="56" spans="4:10" x14ac:dyDescent="0.45">
      <c r="D56" s="31">
        <v>21</v>
      </c>
      <c r="E56" s="31">
        <v>22</v>
      </c>
      <c r="F56" s="31">
        <v>-23</v>
      </c>
      <c r="G56" s="31"/>
      <c r="H56" s="31">
        <f t="shared" si="0"/>
        <v>2200</v>
      </c>
      <c r="I56" s="31" t="s">
        <v>9</v>
      </c>
      <c r="J56" s="31">
        <v>110</v>
      </c>
    </row>
    <row r="57" spans="4:10" x14ac:dyDescent="0.45">
      <c r="D57" s="31">
        <v>21</v>
      </c>
      <c r="E57" s="31">
        <v>22</v>
      </c>
      <c r="F57" s="31">
        <v>-23</v>
      </c>
      <c r="G57" s="31"/>
      <c r="H57" s="31">
        <f t="shared" si="0"/>
        <v>2200</v>
      </c>
      <c r="I57" s="31" t="s">
        <v>9</v>
      </c>
      <c r="J57" s="31">
        <v>110</v>
      </c>
    </row>
    <row r="58" spans="4:10" x14ac:dyDescent="0.45">
      <c r="D58" s="31">
        <v>21</v>
      </c>
      <c r="E58" s="31">
        <v>22</v>
      </c>
      <c r="F58" s="31">
        <v>-23</v>
      </c>
      <c r="G58" s="31"/>
      <c r="H58" s="31">
        <f t="shared" si="0"/>
        <v>2200</v>
      </c>
      <c r="I58" s="31" t="s">
        <v>9</v>
      </c>
      <c r="J58" s="31">
        <v>110</v>
      </c>
    </row>
    <row r="59" spans="4:10" x14ac:dyDescent="0.45">
      <c r="D59" s="31">
        <v>21</v>
      </c>
      <c r="E59" s="31">
        <v>22</v>
      </c>
      <c r="F59" s="31">
        <v>-23</v>
      </c>
      <c r="G59" s="31"/>
      <c r="H59" s="31">
        <f t="shared" si="0"/>
        <v>2200</v>
      </c>
      <c r="I59" s="31" t="s">
        <v>9</v>
      </c>
      <c r="J59" s="31">
        <v>110</v>
      </c>
    </row>
    <row r="60" spans="4:10" x14ac:dyDescent="0.45">
      <c r="D60" s="31">
        <v>21</v>
      </c>
      <c r="E60" s="31">
        <v>22</v>
      </c>
      <c r="F60" s="31">
        <v>-23</v>
      </c>
      <c r="G60" s="31"/>
      <c r="H60" s="31">
        <f t="shared" si="0"/>
        <v>2200</v>
      </c>
      <c r="I60" s="31" t="s">
        <v>9</v>
      </c>
      <c r="J60" s="31">
        <v>110</v>
      </c>
    </row>
    <row r="61" spans="4:10" x14ac:dyDescent="0.45">
      <c r="D61" s="31">
        <v>21</v>
      </c>
      <c r="E61" s="31">
        <v>22</v>
      </c>
      <c r="F61" s="31">
        <v>-23</v>
      </c>
      <c r="G61" s="31"/>
      <c r="H61" s="31">
        <f t="shared" si="0"/>
        <v>2200</v>
      </c>
      <c r="I61" s="31" t="s">
        <v>9</v>
      </c>
      <c r="J61" s="31">
        <v>110</v>
      </c>
    </row>
    <row r="62" spans="4:10" x14ac:dyDescent="0.45">
      <c r="D62" s="31">
        <v>21</v>
      </c>
      <c r="E62" s="31">
        <v>22</v>
      </c>
      <c r="F62" s="31">
        <v>-23</v>
      </c>
      <c r="G62" s="31"/>
      <c r="H62" s="31">
        <f t="shared" si="0"/>
        <v>2200</v>
      </c>
      <c r="I62" s="31" t="s">
        <v>9</v>
      </c>
      <c r="J62" s="31">
        <v>110</v>
      </c>
    </row>
    <row r="63" spans="4:10" x14ac:dyDescent="0.45">
      <c r="D63" s="31">
        <v>21</v>
      </c>
      <c r="E63" s="31">
        <v>22</v>
      </c>
      <c r="F63" s="31">
        <v>-23</v>
      </c>
      <c r="G63" s="31"/>
      <c r="H63" s="31">
        <f t="shared" si="0"/>
        <v>2200</v>
      </c>
      <c r="I63" s="31" t="s">
        <v>9</v>
      </c>
      <c r="J63" s="31">
        <v>110</v>
      </c>
    </row>
    <row r="64" spans="4:10" x14ac:dyDescent="0.45">
      <c r="D64" s="31">
        <v>21</v>
      </c>
      <c r="E64" s="31">
        <v>22</v>
      </c>
      <c r="F64" s="31">
        <v>-23</v>
      </c>
      <c r="G64" s="31"/>
      <c r="H64" s="31">
        <f t="shared" si="0"/>
        <v>2200</v>
      </c>
      <c r="I64" s="31" t="s">
        <v>9</v>
      </c>
      <c r="J64" s="31">
        <v>110</v>
      </c>
    </row>
    <row r="65" spans="4:10" x14ac:dyDescent="0.45">
      <c r="D65" s="31">
        <v>21</v>
      </c>
      <c r="E65" s="31">
        <v>22</v>
      </c>
      <c r="F65" s="31">
        <v>-23</v>
      </c>
      <c r="G65" s="31"/>
      <c r="H65" s="31">
        <f t="shared" si="0"/>
        <v>2200</v>
      </c>
      <c r="I65" s="31" t="s">
        <v>9</v>
      </c>
      <c r="J65" s="31">
        <v>110</v>
      </c>
    </row>
    <row r="66" spans="4:10" x14ac:dyDescent="0.45">
      <c r="D66" s="31">
        <v>21</v>
      </c>
      <c r="E66" s="31">
        <v>22</v>
      </c>
      <c r="F66" s="31">
        <v>-23</v>
      </c>
      <c r="G66" s="31"/>
      <c r="H66" s="31">
        <f t="shared" si="0"/>
        <v>2200</v>
      </c>
      <c r="I66" s="31" t="s">
        <v>9</v>
      </c>
      <c r="J66" s="31">
        <v>110</v>
      </c>
    </row>
    <row r="67" spans="4:10" x14ac:dyDescent="0.45">
      <c r="D67" s="31">
        <v>21</v>
      </c>
      <c r="E67" s="31">
        <v>22</v>
      </c>
      <c r="F67" s="31">
        <v>-23</v>
      </c>
      <c r="G67" s="31"/>
      <c r="H67" s="31">
        <f t="shared" si="0"/>
        <v>2200</v>
      </c>
      <c r="I67" s="31" t="s">
        <v>9</v>
      </c>
      <c r="J67" s="31">
        <v>110</v>
      </c>
    </row>
    <row r="68" spans="4:10" x14ac:dyDescent="0.45">
      <c r="D68" s="31">
        <v>21</v>
      </c>
      <c r="E68" s="31">
        <v>22</v>
      </c>
      <c r="F68" s="31">
        <v>-23</v>
      </c>
      <c r="G68" s="31"/>
      <c r="H68" s="31">
        <f t="shared" si="0"/>
        <v>2200</v>
      </c>
      <c r="I68" s="31" t="s">
        <v>9</v>
      </c>
      <c r="J68" s="31">
        <v>110</v>
      </c>
    </row>
    <row r="69" spans="4:10" x14ac:dyDescent="0.45">
      <c r="D69" s="31">
        <v>21</v>
      </c>
      <c r="E69" s="31">
        <v>22</v>
      </c>
      <c r="F69" s="31">
        <v>-23</v>
      </c>
      <c r="G69" s="31"/>
      <c r="H69" s="31">
        <f t="shared" si="0"/>
        <v>2200</v>
      </c>
      <c r="I69" s="31" t="s">
        <v>9</v>
      </c>
      <c r="J69" s="31">
        <v>110</v>
      </c>
    </row>
    <row r="70" spans="4:10" x14ac:dyDescent="0.45">
      <c r="D70" s="31">
        <v>21</v>
      </c>
      <c r="E70" s="31">
        <v>22</v>
      </c>
      <c r="F70" s="31">
        <v>-23</v>
      </c>
      <c r="G70" s="31"/>
      <c r="H70" s="31">
        <f t="shared" si="0"/>
        <v>2200</v>
      </c>
      <c r="I70" s="31" t="s">
        <v>9</v>
      </c>
      <c r="J70" s="31">
        <v>110</v>
      </c>
    </row>
    <row r="71" spans="4:10" x14ac:dyDescent="0.45">
      <c r="D71" s="31">
        <v>21</v>
      </c>
      <c r="E71" s="31">
        <v>22</v>
      </c>
      <c r="F71" s="31">
        <v>-23</v>
      </c>
      <c r="G71" s="31"/>
      <c r="H71" s="31">
        <f t="shared" si="0"/>
        <v>2200</v>
      </c>
      <c r="I71" s="31" t="s">
        <v>9</v>
      </c>
      <c r="J71" s="31">
        <v>110</v>
      </c>
    </row>
    <row r="72" spans="4:10" x14ac:dyDescent="0.45">
      <c r="D72" s="31">
        <v>21</v>
      </c>
      <c r="E72" s="31">
        <v>22</v>
      </c>
      <c r="F72" s="31">
        <v>-23</v>
      </c>
      <c r="G72" s="31"/>
      <c r="H72" s="31">
        <f t="shared" si="0"/>
        <v>2200</v>
      </c>
      <c r="I72" s="31" t="s">
        <v>9</v>
      </c>
      <c r="J72" s="31">
        <v>110</v>
      </c>
    </row>
    <row r="73" spans="4:10" x14ac:dyDescent="0.45">
      <c r="D73" s="31">
        <v>19</v>
      </c>
      <c r="E73" s="31">
        <v>34</v>
      </c>
      <c r="F73" s="31">
        <v>-32</v>
      </c>
      <c r="G73" s="31"/>
      <c r="H73" s="31">
        <f t="shared" si="0"/>
        <v>2310</v>
      </c>
      <c r="I73" s="31" t="s">
        <v>10</v>
      </c>
      <c r="J73" s="31">
        <v>180</v>
      </c>
    </row>
    <row r="74" spans="4:10" x14ac:dyDescent="0.45">
      <c r="D74" s="31">
        <v>21</v>
      </c>
      <c r="E74" s="31">
        <v>22</v>
      </c>
      <c r="F74" s="31">
        <v>23</v>
      </c>
      <c r="G74" s="31"/>
      <c r="H74" s="31">
        <f>SUMPRODUCT($D$3:$F$3,D74:F74)*F69</f>
        <v>-15180</v>
      </c>
      <c r="I74" s="31" t="s">
        <v>8</v>
      </c>
      <c r="J74" s="31">
        <v>150</v>
      </c>
    </row>
    <row r="75" spans="4:10" x14ac:dyDescent="0.4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2200</v>
      </c>
      <c r="I75" s="31" t="s">
        <v>9</v>
      </c>
      <c r="J75" s="31">
        <v>110</v>
      </c>
    </row>
    <row r="76" spans="4:10" x14ac:dyDescent="0.4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2200</v>
      </c>
      <c r="I76" s="31" t="s">
        <v>9</v>
      </c>
      <c r="J76" s="31">
        <v>110</v>
      </c>
    </row>
    <row r="77" spans="4:10" x14ac:dyDescent="0.45">
      <c r="D77" s="31">
        <v>21</v>
      </c>
      <c r="E77" s="31">
        <v>22</v>
      </c>
      <c r="F77" s="31">
        <v>-23</v>
      </c>
      <c r="G77" s="31"/>
      <c r="H77" s="31">
        <f t="shared" si="1"/>
        <v>2200</v>
      </c>
      <c r="I77" s="31" t="s">
        <v>9</v>
      </c>
      <c r="J77" s="31">
        <v>110</v>
      </c>
    </row>
    <row r="78" spans="4:10" x14ac:dyDescent="0.45">
      <c r="D78" s="31">
        <v>21</v>
      </c>
      <c r="E78" s="31">
        <v>22</v>
      </c>
      <c r="F78" s="31">
        <v>-23</v>
      </c>
      <c r="G78" s="31"/>
      <c r="H78" s="31">
        <f t="shared" si="1"/>
        <v>2200</v>
      </c>
      <c r="I78" s="31" t="s">
        <v>9</v>
      </c>
      <c r="J78" s="31">
        <v>110</v>
      </c>
    </row>
    <row r="79" spans="4:10" x14ac:dyDescent="0.45">
      <c r="D79" s="31">
        <v>21</v>
      </c>
      <c r="E79" s="31">
        <v>22</v>
      </c>
      <c r="F79" s="31">
        <v>-23</v>
      </c>
      <c r="G79" s="31"/>
      <c r="H79" s="31">
        <f t="shared" si="1"/>
        <v>2200</v>
      </c>
      <c r="I79" s="31" t="s">
        <v>9</v>
      </c>
      <c r="J79" s="31">
        <v>110</v>
      </c>
    </row>
    <row r="80" spans="4:10" x14ac:dyDescent="0.45">
      <c r="D80" s="31">
        <v>21</v>
      </c>
      <c r="E80" s="31">
        <v>22</v>
      </c>
      <c r="F80" s="31">
        <v>-23</v>
      </c>
      <c r="G80" s="31"/>
      <c r="H80" s="31">
        <f t="shared" si="1"/>
        <v>2200</v>
      </c>
      <c r="I80" s="31" t="s">
        <v>9</v>
      </c>
      <c r="J80" s="31">
        <v>110</v>
      </c>
    </row>
    <row r="81" spans="4:10" x14ac:dyDescent="0.45">
      <c r="D81" s="31">
        <v>21</v>
      </c>
      <c r="E81" s="31">
        <v>22</v>
      </c>
      <c r="F81" s="31">
        <v>-23</v>
      </c>
      <c r="G81" s="31"/>
      <c r="H81" s="31">
        <f t="shared" si="1"/>
        <v>2200</v>
      </c>
      <c r="I81" s="31" t="s">
        <v>9</v>
      </c>
      <c r="J81" s="31">
        <v>110</v>
      </c>
    </row>
    <row r="82" spans="4:10" x14ac:dyDescent="0.45">
      <c r="D82" s="31">
        <v>21</v>
      </c>
      <c r="E82" s="31">
        <v>22</v>
      </c>
      <c r="F82" s="31">
        <v>-23</v>
      </c>
      <c r="G82" s="31"/>
      <c r="H82" s="31">
        <f t="shared" si="1"/>
        <v>2200</v>
      </c>
      <c r="I82" s="31" t="s">
        <v>9</v>
      </c>
      <c r="J82" s="31">
        <v>110</v>
      </c>
    </row>
    <row r="83" spans="4:10" x14ac:dyDescent="0.45">
      <c r="D83" s="31">
        <v>21</v>
      </c>
      <c r="E83" s="31">
        <v>22</v>
      </c>
      <c r="F83" s="31">
        <v>-23</v>
      </c>
      <c r="G83" s="31"/>
      <c r="H83" s="31">
        <f t="shared" si="1"/>
        <v>2200</v>
      </c>
      <c r="I83" s="31" t="s">
        <v>9</v>
      </c>
      <c r="J83" s="31">
        <v>110</v>
      </c>
    </row>
    <row r="84" spans="4:10" x14ac:dyDescent="0.45">
      <c r="D84" s="31">
        <v>21</v>
      </c>
      <c r="E84" s="31">
        <v>22</v>
      </c>
      <c r="F84" s="31">
        <v>-23</v>
      </c>
      <c r="G84" s="31"/>
      <c r="H84" s="31">
        <f t="shared" si="1"/>
        <v>2200</v>
      </c>
      <c r="I84" s="31" t="s">
        <v>9</v>
      </c>
      <c r="J84" s="31">
        <v>110</v>
      </c>
    </row>
    <row r="85" spans="4:10" x14ac:dyDescent="0.45">
      <c r="D85" s="31">
        <v>21</v>
      </c>
      <c r="E85" s="31">
        <v>22</v>
      </c>
      <c r="F85" s="31">
        <v>-23</v>
      </c>
      <c r="G85" s="31"/>
      <c r="H85" s="31">
        <f t="shared" si="1"/>
        <v>2200</v>
      </c>
      <c r="I85" s="31" t="s">
        <v>9</v>
      </c>
      <c r="J85" s="31">
        <v>110</v>
      </c>
    </row>
    <row r="86" spans="4:10" x14ac:dyDescent="0.45">
      <c r="D86" s="31">
        <v>21</v>
      </c>
      <c r="E86" s="31">
        <v>22</v>
      </c>
      <c r="F86" s="31">
        <v>-23</v>
      </c>
      <c r="G86" s="31"/>
      <c r="H86" s="31">
        <f t="shared" si="1"/>
        <v>2200</v>
      </c>
      <c r="I86" s="31" t="s">
        <v>9</v>
      </c>
      <c r="J86" s="31">
        <v>110</v>
      </c>
    </row>
    <row r="87" spans="4:10" x14ac:dyDescent="0.45">
      <c r="D87" s="31">
        <v>21</v>
      </c>
      <c r="E87" s="31">
        <v>22</v>
      </c>
      <c r="F87" s="31">
        <v>-23</v>
      </c>
      <c r="G87" s="31"/>
      <c r="H87" s="31">
        <f t="shared" si="1"/>
        <v>2200</v>
      </c>
      <c r="I87" s="31" t="s">
        <v>9</v>
      </c>
      <c r="J87" s="31">
        <v>110</v>
      </c>
    </row>
    <row r="88" spans="4:10" x14ac:dyDescent="0.45">
      <c r="D88" s="31">
        <v>21</v>
      </c>
      <c r="E88" s="31">
        <v>22</v>
      </c>
      <c r="F88" s="31">
        <v>-23</v>
      </c>
      <c r="G88" s="31"/>
      <c r="H88" s="31">
        <f t="shared" si="1"/>
        <v>2200</v>
      </c>
      <c r="I88" s="31" t="s">
        <v>9</v>
      </c>
      <c r="J88" s="31">
        <v>110</v>
      </c>
    </row>
    <row r="89" spans="4:10" x14ac:dyDescent="0.45">
      <c r="D89" s="31">
        <v>21</v>
      </c>
      <c r="E89" s="31">
        <v>22</v>
      </c>
      <c r="F89" s="31">
        <v>-23</v>
      </c>
      <c r="G89" s="31"/>
      <c r="H89" s="31">
        <f t="shared" si="1"/>
        <v>2200</v>
      </c>
      <c r="I89" s="31" t="s">
        <v>9</v>
      </c>
      <c r="J89" s="31">
        <v>110</v>
      </c>
    </row>
    <row r="90" spans="4:10" x14ac:dyDescent="0.45">
      <c r="D90" s="31">
        <v>21</v>
      </c>
      <c r="E90" s="31">
        <v>22</v>
      </c>
      <c r="F90" s="31">
        <v>-23</v>
      </c>
      <c r="G90" s="31"/>
      <c r="H90" s="31">
        <f t="shared" si="1"/>
        <v>2200</v>
      </c>
      <c r="I90" s="31" t="s">
        <v>9</v>
      </c>
      <c r="J90" s="31">
        <v>110</v>
      </c>
    </row>
    <row r="91" spans="4:10" x14ac:dyDescent="0.45">
      <c r="D91" s="31">
        <v>21</v>
      </c>
      <c r="E91" s="31">
        <v>22</v>
      </c>
      <c r="F91" s="31">
        <v>-23</v>
      </c>
      <c r="G91" s="31"/>
      <c r="H91" s="31">
        <f t="shared" si="1"/>
        <v>2200</v>
      </c>
      <c r="I91" s="31" t="s">
        <v>9</v>
      </c>
      <c r="J91" s="31">
        <v>110</v>
      </c>
    </row>
    <row r="92" spans="4:10" x14ac:dyDescent="0.45">
      <c r="D92" s="31">
        <v>21</v>
      </c>
      <c r="E92" s="31">
        <v>22</v>
      </c>
      <c r="F92" s="31">
        <v>-23</v>
      </c>
      <c r="G92" s="31"/>
      <c r="H92" s="31">
        <f t="shared" si="1"/>
        <v>2200</v>
      </c>
      <c r="I92" s="31" t="s">
        <v>9</v>
      </c>
      <c r="J92" s="31">
        <v>110</v>
      </c>
    </row>
    <row r="93" spans="4:10" x14ac:dyDescent="0.45">
      <c r="D93" s="31">
        <v>21</v>
      </c>
      <c r="E93" s="31">
        <v>22</v>
      </c>
      <c r="F93" s="31">
        <v>-23</v>
      </c>
      <c r="G93" s="31"/>
      <c r="H93" s="31">
        <f t="shared" si="1"/>
        <v>2200</v>
      </c>
      <c r="I93" s="31" t="s">
        <v>9</v>
      </c>
      <c r="J93" s="31">
        <v>110</v>
      </c>
    </row>
    <row r="94" spans="4:10" x14ac:dyDescent="0.45">
      <c r="D94" s="31">
        <v>21</v>
      </c>
      <c r="E94" s="31">
        <v>22</v>
      </c>
      <c r="F94" s="31">
        <v>-23</v>
      </c>
      <c r="G94" s="31"/>
      <c r="H94" s="31">
        <f t="shared" si="1"/>
        <v>2200</v>
      </c>
      <c r="I94" s="31" t="s">
        <v>9</v>
      </c>
      <c r="J94" s="31">
        <v>110</v>
      </c>
    </row>
    <row r="95" spans="4:10" x14ac:dyDescent="0.45">
      <c r="D95" s="31">
        <v>21</v>
      </c>
      <c r="E95" s="31">
        <v>22</v>
      </c>
      <c r="F95" s="31">
        <v>-23</v>
      </c>
      <c r="G95" s="31"/>
      <c r="H95" s="31">
        <f t="shared" si="1"/>
        <v>2200</v>
      </c>
      <c r="I95" s="31" t="s">
        <v>9</v>
      </c>
      <c r="J95" s="31">
        <v>110</v>
      </c>
    </row>
    <row r="96" spans="4:10" x14ac:dyDescent="0.45">
      <c r="D96" s="31">
        <v>21</v>
      </c>
      <c r="E96" s="31">
        <v>22</v>
      </c>
      <c r="F96" s="31">
        <v>-23</v>
      </c>
      <c r="G96" s="31"/>
      <c r="H96" s="31">
        <f t="shared" si="1"/>
        <v>2200</v>
      </c>
      <c r="I96" s="31" t="s">
        <v>9</v>
      </c>
      <c r="J96" s="31">
        <v>110</v>
      </c>
    </row>
    <row r="97" spans="4:10" x14ac:dyDescent="0.45">
      <c r="D97" s="31">
        <v>21</v>
      </c>
      <c r="E97" s="31">
        <v>22</v>
      </c>
      <c r="F97" s="31">
        <v>-23</v>
      </c>
      <c r="G97" s="31"/>
      <c r="H97" s="31">
        <f t="shared" si="1"/>
        <v>2200</v>
      </c>
      <c r="I97" s="31" t="s">
        <v>9</v>
      </c>
      <c r="J97" s="31">
        <v>110</v>
      </c>
    </row>
    <row r="98" spans="4:10" x14ac:dyDescent="0.45">
      <c r="D98" s="31">
        <v>21</v>
      </c>
      <c r="E98" s="31">
        <v>22</v>
      </c>
      <c r="F98" s="31">
        <v>-23</v>
      </c>
      <c r="G98" s="31"/>
      <c r="H98" s="31">
        <f t="shared" si="1"/>
        <v>2200</v>
      </c>
      <c r="I98" s="31" t="s">
        <v>9</v>
      </c>
      <c r="J98" s="31">
        <v>110</v>
      </c>
    </row>
    <row r="99" spans="4:10" x14ac:dyDescent="0.45">
      <c r="D99" s="31">
        <v>21</v>
      </c>
      <c r="E99" s="31">
        <v>22</v>
      </c>
      <c r="F99" s="31">
        <v>-23</v>
      </c>
      <c r="G99" s="31"/>
      <c r="H99" s="31">
        <f t="shared" si="1"/>
        <v>2200</v>
      </c>
      <c r="I99" s="31" t="s">
        <v>9</v>
      </c>
      <c r="J99" s="31">
        <v>110</v>
      </c>
    </row>
    <row r="100" spans="4:10" x14ac:dyDescent="0.45">
      <c r="D100" s="31">
        <v>21</v>
      </c>
      <c r="E100" s="31">
        <v>22</v>
      </c>
      <c r="F100" s="31">
        <v>-23</v>
      </c>
      <c r="G100" s="31"/>
      <c r="H100" s="31">
        <f t="shared" si="1"/>
        <v>2200</v>
      </c>
      <c r="I100" s="31" t="s">
        <v>9</v>
      </c>
      <c r="J100" s="31">
        <v>110</v>
      </c>
    </row>
    <row r="101" spans="4:10" x14ac:dyDescent="0.45">
      <c r="D101" s="31">
        <v>21</v>
      </c>
      <c r="E101" s="31">
        <v>22</v>
      </c>
      <c r="F101" s="31">
        <v>-23</v>
      </c>
      <c r="G101" s="31"/>
      <c r="H101" s="31">
        <f t="shared" si="1"/>
        <v>2200</v>
      </c>
      <c r="I101" s="31" t="s">
        <v>9</v>
      </c>
      <c r="J101" s="31">
        <v>110</v>
      </c>
    </row>
    <row r="102" spans="4:10" x14ac:dyDescent="0.45">
      <c r="D102" s="31">
        <v>21</v>
      </c>
      <c r="E102" s="31">
        <v>22</v>
      </c>
      <c r="F102" s="31">
        <v>-23</v>
      </c>
      <c r="G102" s="31"/>
      <c r="H102" s="31">
        <f t="shared" si="1"/>
        <v>2200</v>
      </c>
      <c r="I102" s="31" t="s">
        <v>9</v>
      </c>
      <c r="J102" s="31">
        <v>110</v>
      </c>
    </row>
    <row r="103" spans="4:10" x14ac:dyDescent="0.45">
      <c r="D103" s="31">
        <v>21</v>
      </c>
      <c r="E103" s="31">
        <v>22</v>
      </c>
      <c r="F103" s="31">
        <v>-23</v>
      </c>
      <c r="G103" s="31"/>
      <c r="H103" s="31">
        <f t="shared" si="1"/>
        <v>2200</v>
      </c>
      <c r="I103" s="31" t="s">
        <v>9</v>
      </c>
      <c r="J103" s="31">
        <v>110</v>
      </c>
    </row>
    <row r="104" spans="4:10" x14ac:dyDescent="0.45">
      <c r="D104" s="31">
        <v>21</v>
      </c>
      <c r="E104" s="31">
        <v>22</v>
      </c>
      <c r="F104" s="31">
        <v>-23</v>
      </c>
      <c r="G104" s="31"/>
      <c r="H104" s="31">
        <f t="shared" si="1"/>
        <v>2200</v>
      </c>
      <c r="I104" s="31" t="s">
        <v>9</v>
      </c>
      <c r="J104" s="31">
        <v>110</v>
      </c>
    </row>
    <row r="105" spans="4:10" x14ac:dyDescent="0.45">
      <c r="D105" s="31">
        <v>21</v>
      </c>
      <c r="E105" s="31">
        <v>22</v>
      </c>
      <c r="F105" s="31">
        <v>-23</v>
      </c>
      <c r="G105" s="31"/>
      <c r="H105" s="31">
        <f t="shared" si="1"/>
        <v>2200</v>
      </c>
      <c r="I105" s="31" t="s">
        <v>9</v>
      </c>
      <c r="J105" s="31">
        <v>110</v>
      </c>
    </row>
    <row r="106" spans="4:10" x14ac:dyDescent="0.45">
      <c r="D106" s="31">
        <v>21</v>
      </c>
      <c r="E106" s="31">
        <v>22</v>
      </c>
      <c r="F106" s="31">
        <v>-23</v>
      </c>
      <c r="G106" s="31"/>
      <c r="H106" s="31">
        <f t="shared" si="1"/>
        <v>2200</v>
      </c>
      <c r="I106" s="31" t="s">
        <v>9</v>
      </c>
      <c r="J106" s="31">
        <v>110</v>
      </c>
    </row>
    <row r="107" spans="4:10" x14ac:dyDescent="0.45">
      <c r="D107" s="31">
        <v>21</v>
      </c>
      <c r="E107" s="31">
        <v>22</v>
      </c>
      <c r="F107" s="31">
        <v>-23</v>
      </c>
      <c r="G107" s="31"/>
      <c r="H107" s="31">
        <f t="shared" si="1"/>
        <v>2200</v>
      </c>
      <c r="I107" s="31" t="s">
        <v>9</v>
      </c>
      <c r="J107" s="31">
        <v>110</v>
      </c>
    </row>
    <row r="108" spans="4:10" x14ac:dyDescent="0.45">
      <c r="D108" s="31">
        <v>21</v>
      </c>
      <c r="E108" s="31">
        <v>22</v>
      </c>
      <c r="F108" s="31">
        <v>-23</v>
      </c>
      <c r="G108" s="31"/>
      <c r="H108" s="31">
        <f t="shared" si="1"/>
        <v>2200</v>
      </c>
      <c r="I108" s="31" t="s">
        <v>9</v>
      </c>
      <c r="J108" s="31">
        <v>110</v>
      </c>
    </row>
    <row r="109" spans="4:10" x14ac:dyDescent="0.45">
      <c r="D109" s="31">
        <v>21</v>
      </c>
      <c r="E109" s="31">
        <v>22</v>
      </c>
      <c r="F109" s="31">
        <v>-23</v>
      </c>
      <c r="G109" s="31"/>
      <c r="H109" s="31">
        <f t="shared" si="1"/>
        <v>2200</v>
      </c>
      <c r="I109" s="31" t="s">
        <v>9</v>
      </c>
      <c r="J109" s="31">
        <v>110</v>
      </c>
    </row>
    <row r="110" spans="4:10" x14ac:dyDescent="0.45">
      <c r="D110" s="31">
        <v>21</v>
      </c>
      <c r="E110" s="31">
        <v>22</v>
      </c>
      <c r="F110" s="31">
        <v>-23</v>
      </c>
      <c r="G110" s="31"/>
      <c r="H110" s="31">
        <f t="shared" si="1"/>
        <v>2200</v>
      </c>
      <c r="I110" s="31" t="s">
        <v>9</v>
      </c>
      <c r="J110" s="31">
        <v>110</v>
      </c>
    </row>
    <row r="111" spans="4:10" x14ac:dyDescent="0.45">
      <c r="D111" s="31">
        <v>21</v>
      </c>
      <c r="E111" s="31">
        <v>22</v>
      </c>
      <c r="F111" s="31">
        <v>-23</v>
      </c>
      <c r="G111" s="31"/>
      <c r="H111" s="31">
        <f t="shared" si="1"/>
        <v>2200</v>
      </c>
      <c r="I111" s="31" t="s">
        <v>9</v>
      </c>
      <c r="J111" s="31">
        <v>110</v>
      </c>
    </row>
    <row r="112" spans="4:10" x14ac:dyDescent="0.45">
      <c r="D112" s="31">
        <v>21</v>
      </c>
      <c r="E112" s="31">
        <v>22</v>
      </c>
      <c r="F112" s="31">
        <v>-23</v>
      </c>
      <c r="G112" s="31"/>
      <c r="H112" s="31">
        <f t="shared" si="1"/>
        <v>2200</v>
      </c>
      <c r="I112" s="31" t="s">
        <v>9</v>
      </c>
      <c r="J112" s="31">
        <v>110</v>
      </c>
    </row>
    <row r="113" spans="4:10" x14ac:dyDescent="0.45">
      <c r="D113" s="31">
        <v>21</v>
      </c>
      <c r="E113" s="31">
        <v>22</v>
      </c>
      <c r="F113" s="31">
        <v>-23</v>
      </c>
      <c r="G113" s="31"/>
      <c r="H113" s="31">
        <f t="shared" si="1"/>
        <v>2200</v>
      </c>
      <c r="I113" s="31" t="s">
        <v>9</v>
      </c>
      <c r="J113" s="31">
        <v>110</v>
      </c>
    </row>
    <row r="114" spans="4:10" x14ac:dyDescent="0.45">
      <c r="D114" s="31">
        <v>21</v>
      </c>
      <c r="E114" s="31">
        <v>22</v>
      </c>
      <c r="F114" s="31">
        <v>-23</v>
      </c>
      <c r="G114" s="31"/>
      <c r="H114" s="31">
        <f t="shared" si="1"/>
        <v>2200</v>
      </c>
      <c r="I114" s="31" t="s">
        <v>9</v>
      </c>
      <c r="J114" s="31">
        <v>110</v>
      </c>
    </row>
    <row r="115" spans="4:10" x14ac:dyDescent="0.45">
      <c r="D115" s="31">
        <v>21</v>
      </c>
      <c r="E115" s="31">
        <v>22</v>
      </c>
      <c r="F115" s="31">
        <v>-23</v>
      </c>
      <c r="G115" s="31"/>
      <c r="H115" s="31">
        <f t="shared" si="1"/>
        <v>2200</v>
      </c>
      <c r="I115" s="31" t="s">
        <v>9</v>
      </c>
      <c r="J115" s="31">
        <v>110</v>
      </c>
    </row>
    <row r="116" spans="4:10" x14ac:dyDescent="0.45">
      <c r="D116" s="31">
        <v>21</v>
      </c>
      <c r="E116" s="31">
        <v>22</v>
      </c>
      <c r="F116" s="31">
        <v>-23</v>
      </c>
      <c r="G116" s="31"/>
      <c r="H116" s="31">
        <f t="shared" si="1"/>
        <v>2200</v>
      </c>
      <c r="I116" s="31" t="s">
        <v>9</v>
      </c>
      <c r="J116" s="31">
        <v>110</v>
      </c>
    </row>
    <row r="117" spans="4:10" x14ac:dyDescent="0.45">
      <c r="D117" s="31">
        <v>21</v>
      </c>
      <c r="E117" s="31">
        <v>22</v>
      </c>
      <c r="F117" s="31">
        <v>-23</v>
      </c>
      <c r="G117" s="31"/>
      <c r="H117" s="31">
        <f t="shared" si="1"/>
        <v>2200</v>
      </c>
      <c r="I117" s="31" t="s">
        <v>9</v>
      </c>
      <c r="J117" s="31">
        <v>110</v>
      </c>
    </row>
    <row r="118" spans="4:10" x14ac:dyDescent="0.45">
      <c r="D118" s="31">
        <v>21</v>
      </c>
      <c r="E118" s="31">
        <v>22</v>
      </c>
      <c r="F118" s="31">
        <v>-23</v>
      </c>
      <c r="G118" s="31"/>
      <c r="H118" s="31">
        <f t="shared" si="1"/>
        <v>2200</v>
      </c>
      <c r="I118" s="31" t="s">
        <v>9</v>
      </c>
      <c r="J118" s="31">
        <v>110</v>
      </c>
    </row>
    <row r="119" spans="4:10" x14ac:dyDescent="0.45">
      <c r="D119" s="31">
        <v>21</v>
      </c>
      <c r="E119" s="31">
        <v>22</v>
      </c>
      <c r="F119" s="31">
        <v>-23</v>
      </c>
      <c r="G119" s="31"/>
      <c r="H119" s="31">
        <f t="shared" si="1"/>
        <v>2200</v>
      </c>
      <c r="I119" s="31" t="s">
        <v>9</v>
      </c>
      <c r="J119" s="31">
        <v>110</v>
      </c>
    </row>
    <row r="120" spans="4:10" x14ac:dyDescent="0.45">
      <c r="D120" s="31">
        <v>21</v>
      </c>
      <c r="E120" s="31">
        <v>22</v>
      </c>
      <c r="F120" s="31">
        <v>-23</v>
      </c>
      <c r="G120" s="31"/>
      <c r="H120" s="31">
        <f t="shared" si="1"/>
        <v>2200</v>
      </c>
      <c r="I120" s="31" t="s">
        <v>9</v>
      </c>
      <c r="J120" s="31">
        <v>110</v>
      </c>
    </row>
    <row r="121" spans="4:10" x14ac:dyDescent="0.45">
      <c r="D121" s="31">
        <v>21</v>
      </c>
      <c r="E121" s="31">
        <v>22</v>
      </c>
      <c r="F121" s="31">
        <v>-23</v>
      </c>
      <c r="G121" s="31"/>
      <c r="H121" s="31">
        <f t="shared" si="1"/>
        <v>2200</v>
      </c>
      <c r="I121" s="31" t="s">
        <v>9</v>
      </c>
      <c r="J121" s="31">
        <v>110</v>
      </c>
    </row>
    <row r="122" spans="4:10" x14ac:dyDescent="0.45">
      <c r="D122" s="31">
        <v>21</v>
      </c>
      <c r="E122" s="31">
        <v>22</v>
      </c>
      <c r="F122" s="31">
        <v>-23</v>
      </c>
      <c r="G122" s="31"/>
      <c r="H122" s="31">
        <f t="shared" si="1"/>
        <v>2200</v>
      </c>
      <c r="I122" s="31" t="s">
        <v>9</v>
      </c>
      <c r="J122" s="31">
        <v>110</v>
      </c>
    </row>
    <row r="123" spans="4:10" x14ac:dyDescent="0.45">
      <c r="D123" s="31">
        <v>21</v>
      </c>
      <c r="E123" s="31">
        <v>22</v>
      </c>
      <c r="F123" s="31">
        <v>-23</v>
      </c>
      <c r="G123" s="31"/>
      <c r="H123" s="31">
        <f t="shared" si="1"/>
        <v>2200</v>
      </c>
      <c r="I123" s="31" t="s">
        <v>9</v>
      </c>
      <c r="J123" s="31">
        <v>110</v>
      </c>
    </row>
    <row r="124" spans="4:10" x14ac:dyDescent="0.45">
      <c r="D124" s="31">
        <v>21</v>
      </c>
      <c r="E124" s="31">
        <v>22</v>
      </c>
      <c r="F124" s="31">
        <v>-23</v>
      </c>
      <c r="G124" s="31"/>
      <c r="H124" s="31">
        <f t="shared" si="1"/>
        <v>2200</v>
      </c>
      <c r="I124" s="31" t="s">
        <v>9</v>
      </c>
      <c r="J124" s="31">
        <v>110</v>
      </c>
    </row>
    <row r="125" spans="4:10" x14ac:dyDescent="0.45">
      <c r="D125" s="31">
        <v>21</v>
      </c>
      <c r="E125" s="31">
        <v>22</v>
      </c>
      <c r="F125" s="31">
        <v>-23</v>
      </c>
      <c r="G125" s="31"/>
      <c r="H125" s="31">
        <f t="shared" si="1"/>
        <v>2200</v>
      </c>
      <c r="I125" s="31" t="s">
        <v>9</v>
      </c>
      <c r="J125" s="31">
        <v>110</v>
      </c>
    </row>
    <row r="126" spans="4:10" x14ac:dyDescent="0.45">
      <c r="D126" s="31">
        <v>21</v>
      </c>
      <c r="E126" s="31">
        <v>22</v>
      </c>
      <c r="F126" s="31">
        <v>-23</v>
      </c>
      <c r="G126" s="31"/>
      <c r="H126" s="31">
        <f t="shared" si="1"/>
        <v>2200</v>
      </c>
      <c r="I126" s="31" t="s">
        <v>9</v>
      </c>
      <c r="J126" s="31">
        <v>110</v>
      </c>
    </row>
    <row r="127" spans="4:10" x14ac:dyDescent="0.45">
      <c r="D127" s="31">
        <v>21</v>
      </c>
      <c r="E127" s="31">
        <v>22</v>
      </c>
      <c r="F127" s="31">
        <v>-23</v>
      </c>
      <c r="G127" s="31"/>
      <c r="H127" s="31">
        <f t="shared" si="1"/>
        <v>2200</v>
      </c>
      <c r="I127" s="31" t="s">
        <v>9</v>
      </c>
      <c r="J127" s="31">
        <v>110</v>
      </c>
    </row>
    <row r="128" spans="4:10" x14ac:dyDescent="0.45">
      <c r="D128" s="31">
        <v>21</v>
      </c>
      <c r="E128" s="31">
        <v>22</v>
      </c>
      <c r="F128" s="31">
        <v>-23</v>
      </c>
      <c r="G128" s="31"/>
      <c r="H128" s="31">
        <f t="shared" si="1"/>
        <v>2200</v>
      </c>
      <c r="I128" s="31" t="s">
        <v>9</v>
      </c>
      <c r="J128" s="31">
        <v>110</v>
      </c>
    </row>
    <row r="129" spans="4:10" x14ac:dyDescent="0.45">
      <c r="D129" s="31">
        <v>21</v>
      </c>
      <c r="E129" s="31">
        <v>22</v>
      </c>
      <c r="F129" s="31">
        <v>-23</v>
      </c>
      <c r="G129" s="31"/>
      <c r="H129" s="31">
        <f t="shared" si="1"/>
        <v>2200</v>
      </c>
      <c r="I129" s="31" t="s">
        <v>9</v>
      </c>
      <c r="J129" s="31">
        <v>110</v>
      </c>
    </row>
    <row r="130" spans="4:10" x14ac:dyDescent="0.45">
      <c r="D130" s="31">
        <v>21</v>
      </c>
      <c r="E130" s="31">
        <v>22</v>
      </c>
      <c r="F130" s="31">
        <v>-23</v>
      </c>
      <c r="G130" s="31"/>
      <c r="H130" s="31">
        <f t="shared" si="1"/>
        <v>2200</v>
      </c>
      <c r="I130" s="31" t="s">
        <v>9</v>
      </c>
      <c r="J130" s="31">
        <v>110</v>
      </c>
    </row>
    <row r="131" spans="4:10" x14ac:dyDescent="0.45">
      <c r="D131" s="31">
        <v>21</v>
      </c>
      <c r="E131" s="31">
        <v>22</v>
      </c>
      <c r="F131" s="31">
        <v>-23</v>
      </c>
      <c r="G131" s="31"/>
      <c r="H131" s="31">
        <f t="shared" si="1"/>
        <v>2200</v>
      </c>
      <c r="I131" s="31" t="s">
        <v>9</v>
      </c>
      <c r="J131" s="31">
        <v>110</v>
      </c>
    </row>
    <row r="132" spans="4:10" x14ac:dyDescent="0.45">
      <c r="D132" s="31">
        <v>21</v>
      </c>
      <c r="E132" s="31">
        <v>22</v>
      </c>
      <c r="F132" s="31">
        <v>-23</v>
      </c>
      <c r="G132" s="31"/>
      <c r="H132" s="31">
        <f t="shared" si="1"/>
        <v>2200</v>
      </c>
      <c r="I132" s="31" t="s">
        <v>9</v>
      </c>
      <c r="J132" s="31">
        <v>110</v>
      </c>
    </row>
    <row r="133" spans="4:10" x14ac:dyDescent="0.45">
      <c r="D133" s="31">
        <v>21</v>
      </c>
      <c r="E133" s="31">
        <v>22</v>
      </c>
      <c r="F133" s="31">
        <v>-23</v>
      </c>
      <c r="G133" s="31"/>
      <c r="H133" s="31">
        <f t="shared" si="1"/>
        <v>2200</v>
      </c>
      <c r="I133" s="31" t="s">
        <v>9</v>
      </c>
      <c r="J133" s="31">
        <v>110</v>
      </c>
    </row>
    <row r="134" spans="4:10" x14ac:dyDescent="0.45">
      <c r="D134" s="31">
        <v>21</v>
      </c>
      <c r="E134" s="31">
        <v>22</v>
      </c>
      <c r="F134" s="31">
        <v>-23</v>
      </c>
      <c r="G134" s="31"/>
      <c r="H134" s="31">
        <f t="shared" si="1"/>
        <v>2200</v>
      </c>
      <c r="I134" s="31" t="s">
        <v>9</v>
      </c>
      <c r="J134" s="31">
        <v>110</v>
      </c>
    </row>
    <row r="135" spans="4:10" x14ac:dyDescent="0.45">
      <c r="D135" s="31">
        <v>21</v>
      </c>
      <c r="E135" s="31">
        <v>22</v>
      </c>
      <c r="F135" s="31">
        <v>-23</v>
      </c>
      <c r="G135" s="31"/>
      <c r="H135" s="31">
        <f t="shared" si="1"/>
        <v>2200</v>
      </c>
      <c r="I135" s="31" t="s">
        <v>9</v>
      </c>
      <c r="J135" s="31">
        <v>110</v>
      </c>
    </row>
    <row r="136" spans="4:10" x14ac:dyDescent="0.45">
      <c r="D136" s="31">
        <v>21</v>
      </c>
      <c r="E136" s="31">
        <v>22</v>
      </c>
      <c r="F136" s="31">
        <v>-23</v>
      </c>
      <c r="G136" s="31"/>
      <c r="H136" s="31">
        <f t="shared" si="1"/>
        <v>2200</v>
      </c>
      <c r="I136" s="31" t="s">
        <v>9</v>
      </c>
      <c r="J136" s="31">
        <v>110</v>
      </c>
    </row>
    <row r="137" spans="4:10" x14ac:dyDescent="0.45">
      <c r="D137" s="31">
        <v>21</v>
      </c>
      <c r="E137" s="31">
        <v>22</v>
      </c>
      <c r="F137" s="31">
        <v>-23</v>
      </c>
      <c r="G137" s="31"/>
      <c r="H137" s="31">
        <f t="shared" si="1"/>
        <v>2200</v>
      </c>
      <c r="I137" s="31" t="s">
        <v>9</v>
      </c>
      <c r="J137" s="31">
        <v>110</v>
      </c>
    </row>
    <row r="138" spans="4:10" x14ac:dyDescent="0.45">
      <c r="D138" s="31">
        <v>21</v>
      </c>
      <c r="E138" s="31">
        <v>22</v>
      </c>
      <c r="F138" s="31">
        <v>-23</v>
      </c>
      <c r="G138" s="31"/>
      <c r="H138" s="31">
        <f t="shared" si="1"/>
        <v>2200</v>
      </c>
      <c r="I138" s="31" t="s">
        <v>9</v>
      </c>
      <c r="J138" s="31">
        <v>110</v>
      </c>
    </row>
    <row r="139" spans="4:10" x14ac:dyDescent="0.45">
      <c r="D139" s="31">
        <v>19</v>
      </c>
      <c r="E139" s="31">
        <v>34</v>
      </c>
      <c r="F139" s="31">
        <v>-32</v>
      </c>
      <c r="G139" s="31"/>
      <c r="H139" s="31">
        <f t="shared" si="1"/>
        <v>2310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bestFit="1" customWidth="1"/>
    <col min="4" max="4" width="7.730468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  <col min="14" max="14" width="7.73046875" customWidth="1"/>
  </cols>
  <sheetData>
    <row r="1" spans="1:12" x14ac:dyDescent="0.45">
      <c r="A1" s="63" t="s">
        <v>204</v>
      </c>
      <c r="D1" s="18" t="s">
        <v>86</v>
      </c>
    </row>
    <row r="2" spans="1:12" ht="14.65" thickBot="1" x14ac:dyDescent="0.5">
      <c r="A2" s="64" t="s">
        <v>205</v>
      </c>
      <c r="D2" s="18" t="s">
        <v>88</v>
      </c>
    </row>
    <row r="3" spans="1:12" x14ac:dyDescent="0.45">
      <c r="A3" s="63" t="s">
        <v>209</v>
      </c>
    </row>
    <row r="4" spans="1:12" ht="14.65" thickBot="1" x14ac:dyDescent="0.5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45">
      <c r="A5" s="63" t="s">
        <v>210</v>
      </c>
      <c r="D5" s="1">
        <v>-4</v>
      </c>
      <c r="E5" s="1">
        <v>7.5294117647058796</v>
      </c>
      <c r="F5" s="1">
        <v>0</v>
      </c>
      <c r="H5"/>
      <c r="I5"/>
      <c r="J5"/>
    </row>
    <row r="6" spans="1:12" ht="14.65" thickBot="1" x14ac:dyDescent="0.5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45">
      <c r="A7" s="63" t="s">
        <v>211</v>
      </c>
    </row>
    <row r="8" spans="1:12" x14ac:dyDescent="0.4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14.588235294117638</v>
      </c>
    </row>
    <row r="9" spans="1:12" ht="14.65" thickBot="1" x14ac:dyDescent="0.5">
      <c r="A9" s="64">
        <f>VLOOKUP(A8,OpenSolverResultCodes,2,FALSE)</f>
        <v>0</v>
      </c>
    </row>
    <row r="10" spans="1:12" x14ac:dyDescent="0.45"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42.823529411764682</v>
      </c>
      <c r="I10" s="1" t="s">
        <v>8</v>
      </c>
      <c r="J10" s="1">
        <v>60</v>
      </c>
    </row>
    <row r="11" spans="1:12" x14ac:dyDescent="0.45">
      <c r="D11" s="1">
        <v>21</v>
      </c>
      <c r="E11" s="1">
        <v>22</v>
      </c>
      <c r="F11" s="1">
        <v>23</v>
      </c>
      <c r="H11" s="1">
        <f>SUMPRODUCT($D$5:$F$5,D11:F11)</f>
        <v>81.647058823529363</v>
      </c>
      <c r="I11" s="1" t="s">
        <v>8</v>
      </c>
      <c r="J11" s="1">
        <v>150</v>
      </c>
    </row>
    <row r="12" spans="1:12" x14ac:dyDescent="0.4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45">
      <c r="D13" s="1">
        <v>19</v>
      </c>
      <c r="E13" s="1">
        <v>34</v>
      </c>
      <c r="F13" s="1">
        <v>-32</v>
      </c>
      <c r="H13" s="1">
        <f>SUMPRODUCT($D$5:$F$5,D13:F13)</f>
        <v>179.99999999999991</v>
      </c>
      <c r="I13" s="1" t="s">
        <v>10</v>
      </c>
      <c r="J13" s="1">
        <v>180</v>
      </c>
    </row>
    <row r="17" spans="1:6" x14ac:dyDescent="0.45">
      <c r="C17" s="17" t="s">
        <v>15</v>
      </c>
    </row>
    <row r="18" spans="1:6" x14ac:dyDescent="0.45">
      <c r="D18" s="1">
        <v>-4</v>
      </c>
      <c r="E18" s="1">
        <v>7.5294117647058831</v>
      </c>
      <c r="F18" s="1">
        <v>0</v>
      </c>
    </row>
    <row r="19" spans="1:6" s="1" customFormat="1" x14ac:dyDescent="0.4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45">
      <c r="A21" s="61"/>
      <c r="C21" s="17" t="s">
        <v>16</v>
      </c>
    </row>
    <row r="22" spans="1:6" s="1" customFormat="1" x14ac:dyDescent="0.45">
      <c r="A22" s="61"/>
      <c r="C22"/>
      <c r="D22" s="1">
        <v>14.588235294117649</v>
      </c>
    </row>
    <row r="23" spans="1:6" s="1" customFormat="1" x14ac:dyDescent="0.4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161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4.65" thickBot="1" x14ac:dyDescent="0.5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4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4.65" thickBot="1" x14ac:dyDescent="0.5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45">
      <c r="A7" s="63" t="s">
        <v>211</v>
      </c>
    </row>
    <row r="8" spans="1:10" x14ac:dyDescent="0.4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4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4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45">
      <c r="C16" s="56" t="s">
        <v>15</v>
      </c>
    </row>
    <row r="17" spans="3:6" x14ac:dyDescent="0.45">
      <c r="D17" s="54">
        <v>-1</v>
      </c>
      <c r="E17" s="54">
        <v>-2</v>
      </c>
      <c r="F17" s="54">
        <v>0</v>
      </c>
    </row>
    <row r="18" spans="3:6" x14ac:dyDescent="0.4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45">
      <c r="C20" s="56" t="s">
        <v>16</v>
      </c>
    </row>
    <row r="21" spans="3:6" x14ac:dyDescent="0.45">
      <c r="D21" s="54">
        <v>-8</v>
      </c>
    </row>
    <row r="22" spans="3:6" x14ac:dyDescent="0.4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>
      <selection activeCell="M9" sqref="M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163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4.65" thickBot="1" x14ac:dyDescent="0.5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4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4.65" thickBot="1" x14ac:dyDescent="0.5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45">
      <c r="A7" s="63" t="s">
        <v>211</v>
      </c>
    </row>
    <row r="8" spans="1:10" x14ac:dyDescent="0.4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4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4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45">
      <c r="C16" s="56" t="s">
        <v>15</v>
      </c>
    </row>
    <row r="17" spans="3:6" x14ac:dyDescent="0.45">
      <c r="D17" s="54">
        <v>-2</v>
      </c>
      <c r="E17" s="54">
        <v>-2</v>
      </c>
      <c r="F17" s="54">
        <v>-2</v>
      </c>
    </row>
    <row r="18" spans="3:6" x14ac:dyDescent="0.4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45">
      <c r="C20" s="56" t="s">
        <v>16</v>
      </c>
    </row>
    <row r="21" spans="3:6" x14ac:dyDescent="0.45">
      <c r="D21" s="54">
        <v>-18</v>
      </c>
    </row>
    <row r="22" spans="3:6" x14ac:dyDescent="0.4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K18" sqref="K1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10.132812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163</v>
      </c>
    </row>
    <row r="2" spans="1:10" ht="14.65" thickBot="1" x14ac:dyDescent="0.5">
      <c r="A2" s="64" t="s">
        <v>205</v>
      </c>
      <c r="D2" s="18" t="s">
        <v>164</v>
      </c>
    </row>
    <row r="3" spans="1:10" x14ac:dyDescent="0.45">
      <c r="A3" s="63" t="s">
        <v>209</v>
      </c>
      <c r="D3" s="18"/>
    </row>
    <row r="4" spans="1:10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45">
      <c r="A5" s="63" t="s">
        <v>210</v>
      </c>
      <c r="D5" s="150">
        <v>-2</v>
      </c>
      <c r="E5" s="54">
        <v>-2</v>
      </c>
      <c r="F5" s="54">
        <v>0</v>
      </c>
      <c r="H5"/>
      <c r="I5"/>
      <c r="J5"/>
    </row>
    <row r="6" spans="1:10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4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45">
      <c r="A8" s="65" t="s">
        <v>201</v>
      </c>
    </row>
    <row r="9" spans="1:10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1" spans="1:10" x14ac:dyDescent="0.4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4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45">
      <c r="C17" s="56" t="s">
        <v>15</v>
      </c>
    </row>
    <row r="18" spans="1:6" s="54" customFormat="1" x14ac:dyDescent="0.4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45">
      <c r="A21" s="61"/>
      <c r="C21" s="56" t="s">
        <v>16</v>
      </c>
    </row>
    <row r="22" spans="1:6" s="54" customFormat="1" x14ac:dyDescent="0.45">
      <c r="A22" s="61"/>
      <c r="C22" s="16"/>
      <c r="D22" s="54">
        <v>-10</v>
      </c>
    </row>
    <row r="23" spans="1:6" s="54" customFormat="1" x14ac:dyDescent="0.4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L32" sqref="L32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5" width="7.265625" style="54" customWidth="1"/>
    <col min="6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163</v>
      </c>
    </row>
    <row r="2" spans="1:10" ht="14.65" thickBot="1" x14ac:dyDescent="0.5">
      <c r="A2" s="64" t="s">
        <v>205</v>
      </c>
      <c r="D2" s="18" t="s">
        <v>164</v>
      </c>
    </row>
    <row r="3" spans="1:10" x14ac:dyDescent="0.45">
      <c r="A3" s="63" t="s">
        <v>209</v>
      </c>
      <c r="D3" s="18" t="s">
        <v>165</v>
      </c>
    </row>
    <row r="4" spans="1:10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4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4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45">
      <c r="A8" s="65" t="s">
        <v>201</v>
      </c>
    </row>
    <row r="9" spans="1:10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1" spans="1:10" x14ac:dyDescent="0.4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4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45">
      <c r="C17" s="56" t="s">
        <v>15</v>
      </c>
    </row>
    <row r="18" spans="1:6" s="54" customFormat="1" x14ac:dyDescent="0.4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45">
      <c r="A21" s="61"/>
      <c r="C21" s="56" t="s">
        <v>16</v>
      </c>
    </row>
    <row r="22" spans="1:6" s="54" customFormat="1" x14ac:dyDescent="0.45">
      <c r="A22" s="61"/>
      <c r="C22" s="16"/>
      <c r="D22" s="54">
        <v>-6.8</v>
      </c>
    </row>
    <row r="23" spans="1:6" s="54" customFormat="1" x14ac:dyDescent="0.4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5.398437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166</v>
      </c>
    </row>
    <row r="2" spans="1:10" ht="14.65" thickBot="1" x14ac:dyDescent="0.5">
      <c r="A2" s="64" t="s">
        <v>205</v>
      </c>
      <c r="D2" s="18" t="s">
        <v>167</v>
      </c>
    </row>
    <row r="3" spans="1:10" x14ac:dyDescent="0.45">
      <c r="A3" s="63" t="s">
        <v>209</v>
      </c>
      <c r="D3" s="18" t="s">
        <v>168</v>
      </c>
    </row>
    <row r="4" spans="1:10" ht="14.65" thickBot="1" x14ac:dyDescent="0.5">
      <c r="A4" s="64" t="s">
        <v>207</v>
      </c>
    </row>
    <row r="5" spans="1:10" x14ac:dyDescent="0.4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4.65" thickBot="1" x14ac:dyDescent="0.5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4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4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4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4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4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45">
      <c r="C18" s="56" t="s">
        <v>15</v>
      </c>
    </row>
    <row r="19" spans="3:6" x14ac:dyDescent="0.45">
      <c r="D19" s="54">
        <v>-1</v>
      </c>
      <c r="E19" s="54">
        <v>-2</v>
      </c>
      <c r="F19" s="54">
        <v>0</v>
      </c>
    </row>
    <row r="20" spans="3:6" x14ac:dyDescent="0.4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45">
      <c r="C22" s="56" t="s">
        <v>16</v>
      </c>
    </row>
    <row r="23" spans="3:6" x14ac:dyDescent="0.45">
      <c r="D23" s="54">
        <v>-8</v>
      </c>
    </row>
    <row r="24" spans="3:6" x14ac:dyDescent="0.4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5.398437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170</v>
      </c>
    </row>
    <row r="2" spans="1:10" ht="14.65" thickBot="1" x14ac:dyDescent="0.5">
      <c r="A2" s="64" t="s">
        <v>205</v>
      </c>
      <c r="D2" s="18" t="s">
        <v>167</v>
      </c>
    </row>
    <row r="3" spans="1:10" x14ac:dyDescent="0.45">
      <c r="A3" s="63" t="s">
        <v>209</v>
      </c>
      <c r="D3" s="18" t="s">
        <v>168</v>
      </c>
    </row>
    <row r="4" spans="1:10" ht="14.65" thickBot="1" x14ac:dyDescent="0.5">
      <c r="A4" s="64" t="s">
        <v>207</v>
      </c>
    </row>
    <row r="5" spans="1:10" x14ac:dyDescent="0.4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4.65" thickBot="1" x14ac:dyDescent="0.5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4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4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4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4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4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45">
      <c r="C18" s="56" t="s">
        <v>15</v>
      </c>
    </row>
    <row r="19" spans="3:6" x14ac:dyDescent="0.45">
      <c r="D19" s="54">
        <v>0</v>
      </c>
      <c r="E19" s="54">
        <v>-2</v>
      </c>
      <c r="F19" s="54">
        <v>0</v>
      </c>
    </row>
    <row r="20" spans="3:6" x14ac:dyDescent="0.4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45">
      <c r="C22" s="56" t="s">
        <v>16</v>
      </c>
    </row>
    <row r="23" spans="3:6" x14ac:dyDescent="0.45">
      <c r="D23" s="54">
        <v>-6</v>
      </c>
    </row>
    <row r="24" spans="3:6" x14ac:dyDescent="0.4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5.398437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0" x14ac:dyDescent="0.45">
      <c r="A1" s="63" t="s">
        <v>204</v>
      </c>
      <c r="D1" s="18" t="s">
        <v>171</v>
      </c>
    </row>
    <row r="2" spans="1:10" ht="14.65" thickBot="1" x14ac:dyDescent="0.5">
      <c r="A2" s="64" t="s">
        <v>205</v>
      </c>
      <c r="D2" s="18" t="s">
        <v>167</v>
      </c>
    </row>
    <row r="3" spans="1:10" x14ac:dyDescent="0.45">
      <c r="A3" s="63" t="s">
        <v>209</v>
      </c>
      <c r="D3" s="18" t="s">
        <v>168</v>
      </c>
    </row>
    <row r="4" spans="1:10" ht="14.65" thickBot="1" x14ac:dyDescent="0.5">
      <c r="A4" s="64" t="s">
        <v>207</v>
      </c>
    </row>
    <row r="5" spans="1:10" x14ac:dyDescent="0.4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4.65" thickBot="1" x14ac:dyDescent="0.5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4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4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4.65" thickBot="1" x14ac:dyDescent="0.5">
      <c r="A9" s="64">
        <f>VLOOKUP(A8,OpenSolverResultCodes,2,FALSE)</f>
        <v>0</v>
      </c>
    </row>
    <row r="10" spans="1:10" x14ac:dyDescent="0.45"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4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4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4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45">
      <c r="C18" s="56" t="s">
        <v>15</v>
      </c>
    </row>
    <row r="19" spans="3:6" x14ac:dyDescent="0.45">
      <c r="D19" s="54">
        <v>-1</v>
      </c>
      <c r="E19" s="54">
        <v>-2</v>
      </c>
      <c r="F19" s="54">
        <v>0</v>
      </c>
    </row>
    <row r="20" spans="3:6" x14ac:dyDescent="0.4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45">
      <c r="C22" s="56" t="s">
        <v>16</v>
      </c>
    </row>
    <row r="23" spans="3:6" x14ac:dyDescent="0.45">
      <c r="D23" s="54">
        <v>-8</v>
      </c>
    </row>
    <row r="24" spans="3:6" x14ac:dyDescent="0.4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10.73046875" style="54" customWidth="1"/>
    <col min="5" max="5" width="9.1328125" style="54" customWidth="1"/>
    <col min="6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174</v>
      </c>
    </row>
    <row r="2" spans="1:13" ht="14.65" thickBot="1" x14ac:dyDescent="0.5">
      <c r="A2" s="64" t="s">
        <v>205</v>
      </c>
    </row>
    <row r="3" spans="1:13" x14ac:dyDescent="0.4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4.65" thickBot="1" x14ac:dyDescent="0.5">
      <c r="A4" s="64" t="s">
        <v>207</v>
      </c>
      <c r="D4" s="150">
        <v>-2</v>
      </c>
      <c r="E4" s="150">
        <v>-2</v>
      </c>
      <c r="F4" s="54">
        <v>-2</v>
      </c>
      <c r="H4"/>
      <c r="I4"/>
      <c r="J4"/>
    </row>
    <row r="5" spans="1:13" x14ac:dyDescent="0.4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4.65" thickBot="1" x14ac:dyDescent="0.5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45">
      <c r="A7" s="63" t="s">
        <v>211</v>
      </c>
    </row>
    <row r="8" spans="1:13" x14ac:dyDescent="0.4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4.65" thickBot="1" x14ac:dyDescent="0.5">
      <c r="A9" s="64">
        <f>VLOOKUP(A8,OpenSolverResultCodes,2,FALSE)</f>
        <v>0</v>
      </c>
    </row>
    <row r="10" spans="1:13" x14ac:dyDescent="0.45"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4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4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45">
      <c r="C16" s="56" t="s">
        <v>15</v>
      </c>
    </row>
    <row r="17" spans="3:6" x14ac:dyDescent="0.45">
      <c r="D17" s="54">
        <v>-2</v>
      </c>
      <c r="E17" s="54">
        <v>-2</v>
      </c>
      <c r="F17" s="54">
        <v>-2</v>
      </c>
    </row>
    <row r="18" spans="3:6" x14ac:dyDescent="0.4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45">
      <c r="C20" s="56" t="s">
        <v>16</v>
      </c>
    </row>
    <row r="21" spans="3:6" x14ac:dyDescent="0.45">
      <c r="D21" s="54">
        <v>-18</v>
      </c>
    </row>
    <row r="22" spans="3:6" x14ac:dyDescent="0.4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5" width="9.3984375" style="54" customWidth="1"/>
    <col min="6" max="6" width="8.398437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176</v>
      </c>
    </row>
    <row r="2" spans="1:13" ht="14.65" thickBot="1" x14ac:dyDescent="0.5">
      <c r="A2" s="64" t="s">
        <v>205</v>
      </c>
      <c r="D2" s="18" t="s">
        <v>177</v>
      </c>
    </row>
    <row r="3" spans="1:13" x14ac:dyDescent="0.45">
      <c r="A3" s="63" t="s">
        <v>209</v>
      </c>
      <c r="D3" s="18" t="s">
        <v>375</v>
      </c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54">
        <v>-2</v>
      </c>
      <c r="E5" s="150">
        <v>0</v>
      </c>
      <c r="F5" s="150">
        <v>0</v>
      </c>
      <c r="H5"/>
      <c r="I5"/>
      <c r="J5"/>
    </row>
    <row r="6" spans="1:13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45">
      <c r="A7" s="63" t="s">
        <v>211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1" spans="1:13" x14ac:dyDescent="0.4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-4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178</v>
      </c>
    </row>
    <row r="2" spans="1:13" ht="14.65" thickBot="1" x14ac:dyDescent="0.5">
      <c r="A2" s="64" t="s">
        <v>205</v>
      </c>
      <c r="D2" s="18" t="s">
        <v>177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H6"/>
      <c r="I6"/>
      <c r="J6"/>
    </row>
    <row r="7" spans="1:13" x14ac:dyDescent="0.45">
      <c r="A7" s="63" t="s">
        <v>211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L38" sqref="L38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25.132812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179</v>
      </c>
    </row>
    <row r="2" spans="1:13" ht="14.65" thickBot="1" x14ac:dyDescent="0.5">
      <c r="A2" s="64" t="s">
        <v>205</v>
      </c>
      <c r="D2" s="18" t="s">
        <v>180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H6"/>
      <c r="I6"/>
      <c r="J6"/>
    </row>
    <row r="7" spans="1:13" x14ac:dyDescent="0.45">
      <c r="A7" s="63" t="s">
        <v>211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-20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1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181</v>
      </c>
    </row>
    <row r="2" spans="1:13" ht="14.65" thickBot="1" x14ac:dyDescent="0.5">
      <c r="A2" s="64" t="s">
        <v>205</v>
      </c>
      <c r="D2" s="18" t="s">
        <v>182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150">
        <v>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H6"/>
      <c r="I6"/>
      <c r="J6"/>
    </row>
    <row r="7" spans="1:13" x14ac:dyDescent="0.45">
      <c r="A7" s="63" t="s">
        <v>211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N29" sqref="N2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6.265625" style="16" bestFit="1" customWidth="1"/>
    <col min="4" max="4" width="7.73046875" style="54" customWidth="1"/>
    <col min="5" max="6" width="5.1328125" style="54" customWidth="1"/>
    <col min="7" max="7" width="3.1328125" style="54" customWidth="1"/>
    <col min="8" max="8" width="8.3984375" style="54" customWidth="1"/>
    <col min="9" max="9" width="3" style="54" bestFit="1" customWidth="1"/>
    <col min="10" max="10" width="6" style="54" customWidth="1"/>
    <col min="14" max="14" width="7.73046875" customWidth="1"/>
  </cols>
  <sheetData>
    <row r="1" spans="1:13" x14ac:dyDescent="0.45">
      <c r="A1" s="63" t="s">
        <v>204</v>
      </c>
      <c r="D1" s="18" t="s">
        <v>388</v>
      </c>
    </row>
    <row r="2" spans="1:13" ht="14.65" thickBot="1" x14ac:dyDescent="0.5">
      <c r="A2" s="64" t="s">
        <v>205</v>
      </c>
      <c r="D2" s="18" t="s">
        <v>389</v>
      </c>
    </row>
    <row r="3" spans="1:13" x14ac:dyDescent="0.45">
      <c r="A3" s="63" t="s">
        <v>209</v>
      </c>
      <c r="D3" s="18"/>
    </row>
    <row r="4" spans="1:13" ht="14.65" thickBot="1" x14ac:dyDescent="0.5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4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4.65" thickBot="1" x14ac:dyDescent="0.5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4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45">
      <c r="A8" s="65" t="s">
        <v>201</v>
      </c>
    </row>
    <row r="9" spans="1:13" ht="14.65" thickBot="1" x14ac:dyDescent="0.5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1" spans="1:13" x14ac:dyDescent="0.4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4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4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45">
      <c r="C17" s="56" t="s">
        <v>15</v>
      </c>
    </row>
    <row r="18" spans="1:13" s="54" customFormat="1" x14ac:dyDescent="0.4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4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45">
      <c r="A21" s="61"/>
      <c r="C21" s="56" t="s">
        <v>16</v>
      </c>
      <c r="K21"/>
      <c r="L21"/>
      <c r="M21"/>
    </row>
    <row r="22" spans="1:13" s="54" customFormat="1" x14ac:dyDescent="0.45">
      <c r="A22" s="61"/>
      <c r="C22" s="16"/>
      <c r="D22" s="54">
        <v>0</v>
      </c>
      <c r="K22"/>
      <c r="L22"/>
      <c r="M22"/>
    </row>
    <row r="23" spans="1:13" s="54" customFormat="1" x14ac:dyDescent="0.4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55" customWidth="1"/>
    <col min="5" max="6" width="5.1328125" style="55" customWidth="1"/>
    <col min="7" max="7" width="3.1328125" style="55" customWidth="1"/>
    <col min="8" max="8" width="8.3984375" style="55" customWidth="1"/>
    <col min="9" max="9" width="3" style="55" bestFit="1" customWidth="1"/>
    <col min="10" max="10" width="6" style="55" customWidth="1"/>
    <col min="14" max="14" width="8.3984375" bestFit="1" customWidth="1"/>
  </cols>
  <sheetData>
    <row r="1" spans="1:14" x14ac:dyDescent="0.45">
      <c r="A1" s="63" t="s">
        <v>204</v>
      </c>
      <c r="C1" t="s">
        <v>187</v>
      </c>
    </row>
    <row r="2" spans="1:14" ht="14.65" thickBot="1" x14ac:dyDescent="0.5">
      <c r="A2" s="64" t="s">
        <v>206</v>
      </c>
      <c r="C2" t="s">
        <v>188</v>
      </c>
    </row>
    <row r="3" spans="1:14" x14ac:dyDescent="0.45">
      <c r="A3" s="63" t="s">
        <v>209</v>
      </c>
    </row>
    <row r="4" spans="1:14" ht="14.65" thickBot="1" x14ac:dyDescent="0.5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45">
      <c r="A5" s="63" t="s">
        <v>210</v>
      </c>
      <c r="D5" s="55">
        <v>0</v>
      </c>
      <c r="E5" s="55">
        <v>5.2941176470588198</v>
      </c>
      <c r="F5" s="55">
        <v>0</v>
      </c>
      <c r="H5"/>
      <c r="I5"/>
      <c r="J5"/>
    </row>
    <row r="6" spans="1:14" ht="14.65" thickBot="1" x14ac:dyDescent="0.5">
      <c r="A6" s="64" t="b">
        <f>AND(D18,E18,F18,D22)</f>
        <v>1</v>
      </c>
    </row>
    <row r="7" spans="1:14" x14ac:dyDescent="0.4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15.88235294117646</v>
      </c>
      <c r="M7" t="s">
        <v>189</v>
      </c>
    </row>
    <row r="8" spans="1:14" x14ac:dyDescent="0.45">
      <c r="A8" s="65" t="s">
        <v>201</v>
      </c>
      <c r="M8" s="58" t="s">
        <v>191</v>
      </c>
      <c r="N8" s="58" t="s">
        <v>190</v>
      </c>
    </row>
    <row r="9" spans="1:14" ht="14.65" thickBot="1" x14ac:dyDescent="0.5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58.235294117647015</v>
      </c>
      <c r="I9" s="55" t="s">
        <v>8</v>
      </c>
      <c r="J9" s="55">
        <v>60</v>
      </c>
      <c r="M9" s="58">
        <f ca="1">N9+1</f>
        <v>245399</v>
      </c>
      <c r="N9" s="58">
        <f ca="1">M9+1</f>
        <v>245400</v>
      </c>
    </row>
    <row r="10" spans="1:14" x14ac:dyDescent="0.45">
      <c r="D10" s="55">
        <v>21</v>
      </c>
      <c r="E10" s="55">
        <v>22</v>
      </c>
      <c r="F10" s="55">
        <v>23</v>
      </c>
      <c r="H10" s="55">
        <f>SUMPRODUCT($D$5:$F$5,D10:F10)</f>
        <v>116.47058823529403</v>
      </c>
      <c r="I10" s="55" t="s">
        <v>8</v>
      </c>
      <c r="J10" s="55">
        <v>150</v>
      </c>
    </row>
    <row r="11" spans="1:14" x14ac:dyDescent="0.45">
      <c r="D11" s="55">
        <v>21</v>
      </c>
      <c r="E11" s="55">
        <v>22</v>
      </c>
      <c r="F11" s="55">
        <v>-23</v>
      </c>
      <c r="H11" s="55">
        <f>SUMPRODUCT($D$5:$F$5,D11:F11)</f>
        <v>116.47058823529403</v>
      </c>
      <c r="I11" s="55" t="s">
        <v>9</v>
      </c>
      <c r="J11" s="55">
        <v>110</v>
      </c>
    </row>
    <row r="12" spans="1:14" x14ac:dyDescent="0.45">
      <c r="D12" s="55">
        <v>19</v>
      </c>
      <c r="E12" s="55">
        <v>34</v>
      </c>
      <c r="F12" s="55">
        <v>-32</v>
      </c>
      <c r="H12" s="55">
        <f>SUMPRODUCT($D$5:$F$5,D12:F12)</f>
        <v>179.99999999999989</v>
      </c>
      <c r="I12" s="55" t="s">
        <v>10</v>
      </c>
      <c r="J12" s="55">
        <v>180</v>
      </c>
    </row>
    <row r="16" spans="1:14" x14ac:dyDescent="0.45">
      <c r="C16" s="17" t="s">
        <v>15</v>
      </c>
    </row>
    <row r="17" spans="1:6" x14ac:dyDescent="0.45">
      <c r="D17" s="55">
        <v>0</v>
      </c>
      <c r="E17" s="55">
        <v>5.294117647058874</v>
      </c>
      <c r="F17" s="55">
        <v>0</v>
      </c>
    </row>
    <row r="18" spans="1:6" x14ac:dyDescent="0.4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45">
      <c r="A20" s="61"/>
      <c r="C20" s="17" t="s">
        <v>16</v>
      </c>
    </row>
    <row r="21" spans="1:6" s="55" customFormat="1" x14ac:dyDescent="0.45">
      <c r="A21" s="61"/>
      <c r="C21"/>
      <c r="D21" s="55">
        <v>15.882352941176622</v>
      </c>
    </row>
    <row r="22" spans="1:6" s="55" customFormat="1" x14ac:dyDescent="0.4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G32" sqref="G32"/>
    </sheetView>
  </sheetViews>
  <sheetFormatPr defaultColWidth="8.86328125" defaultRowHeight="14.25" x14ac:dyDescent="0.45"/>
  <cols>
    <col min="1" max="1" width="15" style="61" bestFit="1" customWidth="1"/>
    <col min="2" max="2" width="4.3984375" customWidth="1"/>
  </cols>
  <sheetData>
    <row r="1" spans="1:10" x14ac:dyDescent="0.45">
      <c r="A1" s="63" t="s">
        <v>204</v>
      </c>
      <c r="B1" t="s">
        <v>192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4.65" thickBot="1" x14ac:dyDescent="0.5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4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4.65" thickBot="1" x14ac:dyDescent="0.5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4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4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4.65" thickBot="1" x14ac:dyDescent="0.5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x14ac:dyDescent="0.45">
      <c r="D10" s="57"/>
      <c r="E10" s="57"/>
      <c r="F10" s="57"/>
      <c r="G10" s="57"/>
      <c r="H10" s="57"/>
      <c r="I10" s="57"/>
      <c r="J10" s="57"/>
    </row>
    <row r="11" spans="1:10" x14ac:dyDescent="0.4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4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4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4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45">
      <c r="D15" s="57"/>
      <c r="E15" s="57"/>
      <c r="F15" s="57"/>
      <c r="G15" s="57"/>
      <c r="H15" s="57"/>
      <c r="I15" s="57"/>
      <c r="J15" s="57"/>
    </row>
    <row r="16" spans="1:10" x14ac:dyDescent="0.45">
      <c r="D16" s="57"/>
      <c r="E16" s="57"/>
      <c r="F16" s="57"/>
      <c r="G16" s="57"/>
      <c r="H16" s="57"/>
      <c r="I16" s="57"/>
      <c r="J16" s="57"/>
    </row>
    <row r="17" spans="3:10" x14ac:dyDescent="0.45">
      <c r="D17" s="57"/>
      <c r="E17" s="57"/>
      <c r="F17" s="57"/>
      <c r="G17" s="57"/>
      <c r="H17" s="57"/>
      <c r="I17" s="57"/>
      <c r="J17" s="57"/>
    </row>
    <row r="18" spans="3:10" x14ac:dyDescent="0.4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4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45">
      <c r="D20" s="57"/>
      <c r="E20" s="57"/>
      <c r="F20" s="57"/>
      <c r="G20" s="57"/>
      <c r="H20" s="57"/>
      <c r="I20" s="57"/>
      <c r="J20" s="57"/>
    </row>
    <row r="21" spans="3:10" x14ac:dyDescent="0.4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4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4.86328125" customWidth="1"/>
    <col min="4" max="4" width="7.73046875" style="59" customWidth="1"/>
    <col min="5" max="6" width="5.1328125" style="59" customWidth="1"/>
    <col min="7" max="7" width="3.1328125" style="59" customWidth="1"/>
    <col min="8" max="8" width="8.3984375" style="59" customWidth="1"/>
    <col min="9" max="9" width="3" style="59" bestFit="1" customWidth="1"/>
    <col min="10" max="10" width="6" style="59" customWidth="1"/>
    <col min="14" max="14" width="8.3984375" bestFit="1" customWidth="1"/>
  </cols>
  <sheetData>
    <row r="1" spans="1:10" x14ac:dyDescent="0.45">
      <c r="A1" s="63" t="s">
        <v>204</v>
      </c>
      <c r="C1" t="s">
        <v>193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45">
      <c r="A5" s="63" t="s">
        <v>210</v>
      </c>
      <c r="D5" s="59">
        <v>0</v>
      </c>
      <c r="E5" s="59">
        <v>5.2941176470588198</v>
      </c>
      <c r="F5" s="59">
        <v>0</v>
      </c>
      <c r="H5"/>
      <c r="I5"/>
      <c r="J5"/>
    </row>
    <row r="6" spans="1:10" ht="14.65" thickBot="1" x14ac:dyDescent="0.5">
      <c r="A6" s="64" t="b">
        <v>1</v>
      </c>
    </row>
    <row r="7" spans="1:10" x14ac:dyDescent="0.4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45">
      <c r="A8" s="65" t="s">
        <v>201</v>
      </c>
    </row>
    <row r="9" spans="1:10" ht="14.65" thickBot="1" x14ac:dyDescent="0.5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58.235294117647015</v>
      </c>
      <c r="I9" s="59" t="s">
        <v>8</v>
      </c>
      <c r="J9" s="59">
        <v>60</v>
      </c>
    </row>
    <row r="10" spans="1:10" x14ac:dyDescent="0.45">
      <c r="D10" s="59">
        <v>21</v>
      </c>
      <c r="E10" s="59">
        <v>22</v>
      </c>
      <c r="F10" s="59">
        <v>23</v>
      </c>
      <c r="H10" s="59">
        <f>SUMPRODUCT($D$5:$F$5,D10:F10)</f>
        <v>116.47058823529403</v>
      </c>
      <c r="I10" s="59" t="s">
        <v>8</v>
      </c>
      <c r="J10" s="59">
        <v>150</v>
      </c>
    </row>
    <row r="11" spans="1:10" x14ac:dyDescent="0.45">
      <c r="D11" s="59">
        <v>21</v>
      </c>
      <c r="E11" s="59">
        <v>22</v>
      </c>
      <c r="F11" s="59">
        <v>-23</v>
      </c>
      <c r="H11" s="59">
        <f>SUMPRODUCT($D$5:$F$5,D11:F11)</f>
        <v>116.47058823529403</v>
      </c>
      <c r="I11" s="59" t="s">
        <v>9</v>
      </c>
      <c r="J11" s="59">
        <v>110</v>
      </c>
    </row>
    <row r="12" spans="1:10" x14ac:dyDescent="0.45">
      <c r="D12" s="59">
        <v>19</v>
      </c>
      <c r="E12" s="59">
        <v>34</v>
      </c>
      <c r="F12" s="59">
        <v>-32</v>
      </c>
      <c r="H12" s="59">
        <f>SUMPRODUCT($D$5:$F$5,D12:F12)</f>
        <v>179.99999999999989</v>
      </c>
      <c r="I12" s="59" t="s">
        <v>10</v>
      </c>
      <c r="J12" s="59">
        <v>180</v>
      </c>
    </row>
    <row r="16" spans="1:10" x14ac:dyDescent="0.45">
      <c r="C16" s="17"/>
    </row>
    <row r="18" spans="1:6" x14ac:dyDescent="0.45">
      <c r="D18" s="8"/>
      <c r="E18" s="8"/>
      <c r="F18" s="8"/>
    </row>
    <row r="20" spans="1:6" s="59" customFormat="1" x14ac:dyDescent="0.45">
      <c r="A20" s="61"/>
      <c r="C20" s="17"/>
    </row>
    <row r="21" spans="1:6" s="59" customFormat="1" x14ac:dyDescent="0.45">
      <c r="A21" s="61"/>
      <c r="C21"/>
    </row>
    <row r="22" spans="1:6" s="59" customFormat="1" x14ac:dyDescent="0.4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6328125" defaultRowHeight="14.25" x14ac:dyDescent="0.45"/>
  <cols>
    <col min="1" max="1" width="15" style="61" bestFit="1" customWidth="1"/>
    <col min="2" max="2" width="2.3984375" customWidth="1"/>
    <col min="3" max="3" width="12" customWidth="1"/>
    <col min="4" max="4" width="7.3984375" style="1" customWidth="1"/>
    <col min="5" max="6" width="5.1328125" style="1" customWidth="1"/>
    <col min="7" max="7" width="3.1328125" style="1" customWidth="1"/>
    <col min="8" max="8" width="8.3984375" style="1" customWidth="1"/>
    <col min="9" max="9" width="3" style="1" bestFit="1" customWidth="1"/>
    <col min="10" max="10" width="6" style="1" customWidth="1"/>
  </cols>
  <sheetData>
    <row r="1" spans="1:20" x14ac:dyDescent="0.4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4.65" thickBot="1" x14ac:dyDescent="0.5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45">
      <c r="A3" s="63" t="s">
        <v>209</v>
      </c>
      <c r="D3" s="1" t="s">
        <v>1</v>
      </c>
      <c r="E3" s="1" t="s">
        <v>2</v>
      </c>
      <c r="F3" s="1" t="s">
        <v>3</v>
      </c>
    </row>
    <row r="4" spans="1:20" ht="14.65" thickBot="1" x14ac:dyDescent="0.5">
      <c r="A4" s="64" t="s">
        <v>207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4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4.65" thickBot="1" x14ac:dyDescent="0.5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4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4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4.65" thickBot="1" x14ac:dyDescent="0.5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x14ac:dyDescent="0.45"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45">
      <c r="O11" t="s">
        <v>120</v>
      </c>
    </row>
    <row r="12" spans="1:20" x14ac:dyDescent="0.45">
      <c r="O12" t="s">
        <v>121</v>
      </c>
    </row>
    <row r="14" spans="1:20" x14ac:dyDescent="0.4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4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4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4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4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4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C29" sqref="C29"/>
    </sheetView>
  </sheetViews>
  <sheetFormatPr defaultColWidth="8.86328125" defaultRowHeight="14.25" x14ac:dyDescent="0.45"/>
  <cols>
    <col min="1" max="1" width="15" style="61" bestFit="1" customWidth="1"/>
    <col min="2" max="2" width="3" customWidth="1"/>
    <col min="3" max="3" width="13.73046875" bestFit="1" customWidth="1"/>
  </cols>
  <sheetData>
    <row r="1" spans="1:10" x14ac:dyDescent="0.45">
      <c r="A1" s="63" t="s">
        <v>204</v>
      </c>
      <c r="C1" t="s">
        <v>123</v>
      </c>
    </row>
    <row r="2" spans="1:10" ht="14.65" thickBot="1" x14ac:dyDescent="0.5">
      <c r="A2" s="64" t="s">
        <v>206</v>
      </c>
      <c r="C2" t="s">
        <v>124</v>
      </c>
    </row>
    <row r="3" spans="1:10" x14ac:dyDescent="0.45">
      <c r="A3" s="63" t="s">
        <v>209</v>
      </c>
    </row>
    <row r="4" spans="1:10" ht="14.65" thickBot="1" x14ac:dyDescent="0.5">
      <c r="A4" s="64" t="s">
        <v>207</v>
      </c>
      <c r="C4" s="6" t="s">
        <v>11</v>
      </c>
      <c r="D4" s="7"/>
    </row>
    <row r="5" spans="1:10" x14ac:dyDescent="0.45">
      <c r="A5" s="63" t="s">
        <v>210</v>
      </c>
      <c r="C5" s="2" t="s">
        <v>12</v>
      </c>
      <c r="D5" s="3">
        <v>0.21</v>
      </c>
    </row>
    <row r="6" spans="1:10" ht="14.65" thickBot="1" x14ac:dyDescent="0.5">
      <c r="A6" s="64" t="b">
        <f>AND(D24,E24,F24,H24)</f>
        <v>0</v>
      </c>
      <c r="C6" s="2" t="s">
        <v>13</v>
      </c>
      <c r="D6" s="3">
        <v>0.7</v>
      </c>
    </row>
    <row r="7" spans="1:10" x14ac:dyDescent="0.45">
      <c r="A7" s="63" t="s">
        <v>211</v>
      </c>
      <c r="C7" s="4" t="s">
        <v>14</v>
      </c>
      <c r="D7" s="5">
        <v>1</v>
      </c>
    </row>
    <row r="8" spans="1:10" x14ac:dyDescent="0.45">
      <c r="A8" s="65"/>
    </row>
    <row r="9" spans="1:10" ht="14.65" thickBot="1" x14ac:dyDescent="0.5">
      <c r="A9" s="64" t="e">
        <f>VLOOKUP(A8,OpenSolverResultCodes,2,FALSE)</f>
        <v>#N/A</v>
      </c>
    </row>
    <row r="10" spans="1:10" x14ac:dyDescent="0.45">
      <c r="D10" s="18" t="s">
        <v>217</v>
      </c>
      <c r="E10" s="30"/>
      <c r="F10" s="30"/>
      <c r="G10" s="30"/>
      <c r="H10" s="30"/>
      <c r="I10" s="30"/>
      <c r="J10" s="30"/>
    </row>
    <row r="11" spans="1:10" x14ac:dyDescent="0.45">
      <c r="D11" s="30"/>
      <c r="E11" s="30"/>
      <c r="F11" s="30"/>
      <c r="G11" s="30"/>
      <c r="H11" s="30"/>
      <c r="I11" s="30"/>
      <c r="J11" s="30"/>
    </row>
    <row r="12" spans="1:10" x14ac:dyDescent="0.4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45">
      <c r="D13" s="30">
        <v>0</v>
      </c>
      <c r="E13" s="30">
        <v>0</v>
      </c>
      <c r="F13" s="30">
        <v>0</v>
      </c>
      <c r="G13" s="30"/>
    </row>
    <row r="14" spans="1:10" x14ac:dyDescent="0.45">
      <c r="D14" s="30"/>
      <c r="E14" s="30"/>
      <c r="F14" s="30"/>
      <c r="G14" s="30"/>
      <c r="H14" s="30"/>
      <c r="I14" s="30"/>
      <c r="J14" s="30"/>
    </row>
    <row r="15" spans="1:10" x14ac:dyDescent="0.4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10" x14ac:dyDescent="0.45">
      <c r="D16" s="30"/>
      <c r="E16" s="30"/>
      <c r="F16" s="30"/>
      <c r="G16" s="30"/>
      <c r="H16" s="30"/>
      <c r="I16" s="30"/>
      <c r="J16" s="30"/>
    </row>
    <row r="17" spans="3:10" x14ac:dyDescent="0.4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4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4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4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45">
      <c r="D21" s="30"/>
      <c r="E21" s="30"/>
      <c r="F21" s="30"/>
      <c r="G21" s="30"/>
      <c r="H21" s="30"/>
      <c r="I21" s="30"/>
      <c r="J21" s="30"/>
    </row>
    <row r="22" spans="3:10" x14ac:dyDescent="0.4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4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4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1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6328125" defaultRowHeight="14.25" x14ac:dyDescent="0.45"/>
  <cols>
    <col min="1" max="1" width="15" style="61" bestFit="1" customWidth="1"/>
    <col min="2" max="2" width="3.3984375" customWidth="1"/>
    <col min="7" max="7" width="16.3984375" customWidth="1"/>
  </cols>
  <sheetData>
    <row r="1" spans="1:17" x14ac:dyDescent="0.45">
      <c r="A1" s="63" t="s">
        <v>204</v>
      </c>
      <c r="C1" t="s">
        <v>218</v>
      </c>
    </row>
    <row r="2" spans="1:17" ht="14.65" thickBot="1" x14ac:dyDescent="0.5">
      <c r="A2" s="64" t="s">
        <v>205</v>
      </c>
    </row>
    <row r="3" spans="1:17" x14ac:dyDescent="0.4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4.65" thickBot="1" x14ac:dyDescent="0.5">
      <c r="A4" s="64" t="s">
        <v>207</v>
      </c>
      <c r="C4">
        <v>0</v>
      </c>
      <c r="E4">
        <v>5</v>
      </c>
      <c r="F4">
        <v>4</v>
      </c>
      <c r="G4">
        <v>5</v>
      </c>
      <c r="P4" s="81"/>
    </row>
    <row r="5" spans="1:17" x14ac:dyDescent="0.45">
      <c r="A5" s="63" t="s">
        <v>210</v>
      </c>
      <c r="P5" s="81"/>
    </row>
    <row r="6" spans="1:17" ht="14.65" thickBot="1" x14ac:dyDescent="0.5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</v>
      </c>
    </row>
    <row r="7" spans="1:17" x14ac:dyDescent="0.45">
      <c r="A7" s="63" t="s">
        <v>211</v>
      </c>
      <c r="D7" t="s">
        <v>223</v>
      </c>
    </row>
    <row r="8" spans="1:17" x14ac:dyDescent="0.45">
      <c r="A8" s="65" t="s">
        <v>201</v>
      </c>
      <c r="E8">
        <v>1</v>
      </c>
      <c r="F8">
        <v>0</v>
      </c>
      <c r="G8">
        <v>0</v>
      </c>
      <c r="H8">
        <f>SUMPRODUCT($E$4:$G$4,E8:G8)</f>
        <v>5</v>
      </c>
      <c r="I8" t="s">
        <v>9</v>
      </c>
      <c r="J8">
        <v>5</v>
      </c>
      <c r="Q8" s="81"/>
    </row>
    <row r="9" spans="1:17" ht="14.65" thickBot="1" x14ac:dyDescent="0.5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4</v>
      </c>
      <c r="I9" t="s">
        <v>9</v>
      </c>
      <c r="J9">
        <v>4</v>
      </c>
      <c r="Q9" s="81"/>
    </row>
    <row r="10" spans="1:17" x14ac:dyDescent="0.45">
      <c r="E10">
        <v>0</v>
      </c>
      <c r="F10">
        <v>0</v>
      </c>
      <c r="G10">
        <v>1</v>
      </c>
      <c r="H10">
        <f>SUMPRODUCT($E$4:$G$4,E10:G10)</f>
        <v>5</v>
      </c>
      <c r="I10" t="s">
        <v>9</v>
      </c>
      <c r="J10">
        <v>3</v>
      </c>
      <c r="Q10" s="81"/>
    </row>
    <row r="11" spans="1:17" x14ac:dyDescent="0.4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</v>
      </c>
      <c r="I11" t="s">
        <v>8</v>
      </c>
      <c r="J11">
        <v>14</v>
      </c>
    </row>
    <row r="12" spans="1:17" x14ac:dyDescent="0.45">
      <c r="D12" s="81"/>
    </row>
    <row r="14" spans="1:17" x14ac:dyDescent="0.4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45">
      <c r="E15" s="80">
        <v>5</v>
      </c>
      <c r="F15" s="80">
        <v>4</v>
      </c>
      <c r="G15" s="80">
        <v>5</v>
      </c>
      <c r="H15" s="80">
        <v>19</v>
      </c>
    </row>
    <row r="16" spans="1:17" x14ac:dyDescent="0.4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45">
      <c r="D22" s="82"/>
    </row>
    <row r="23" spans="4:10" x14ac:dyDescent="0.45">
      <c r="D23" s="81"/>
    </row>
    <row r="25" spans="4:10" x14ac:dyDescent="0.45">
      <c r="D25" s="83"/>
      <c r="G25" s="83"/>
    </row>
    <row r="32" spans="4:10" x14ac:dyDescent="0.45">
      <c r="E32" s="81"/>
      <c r="J32" s="81"/>
    </row>
    <row r="33" spans="5:10" x14ac:dyDescent="0.45">
      <c r="E33" s="81"/>
      <c r="J33" s="81"/>
    </row>
    <row r="34" spans="5:10" x14ac:dyDescent="0.45">
      <c r="E34" s="81"/>
      <c r="J34" s="81"/>
    </row>
    <row r="37" spans="5:10" x14ac:dyDescent="0.45">
      <c r="E37" s="81"/>
      <c r="J37" s="81"/>
    </row>
    <row r="38" spans="5:10" x14ac:dyDescent="0.45">
      <c r="E38" s="81"/>
      <c r="J38" s="81"/>
    </row>
    <row r="39" spans="5:10" x14ac:dyDescent="0.4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6328125" defaultRowHeight="14.25" x14ac:dyDescent="0.45"/>
  <cols>
    <col min="1" max="1" width="15" style="61" bestFit="1" customWidth="1"/>
    <col min="2" max="2" width="3.1328125" customWidth="1"/>
  </cols>
  <sheetData>
    <row r="1" spans="1:13" x14ac:dyDescent="0.45">
      <c r="A1" s="63" t="s">
        <v>204</v>
      </c>
    </row>
    <row r="2" spans="1:13" ht="14.65" thickBot="1" x14ac:dyDescent="0.5">
      <c r="A2" s="64" t="s">
        <v>205</v>
      </c>
    </row>
    <row r="3" spans="1:13" x14ac:dyDescent="0.4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4.65" thickBot="1" x14ac:dyDescent="0.5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45">
      <c r="A5" s="63" t="s">
        <v>210</v>
      </c>
    </row>
    <row r="6" spans="1:13" ht="14.65" thickBot="1" x14ac:dyDescent="0.5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45">
      <c r="A7" s="63" t="s">
        <v>211</v>
      </c>
      <c r="C7" t="s">
        <v>223</v>
      </c>
    </row>
    <row r="8" spans="1:13" x14ac:dyDescent="0.4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4.65" thickBot="1" x14ac:dyDescent="0.5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x14ac:dyDescent="0.45"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4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45">
      <c r="D14" s="80"/>
      <c r="E14" s="80"/>
      <c r="F14" s="80"/>
      <c r="K14" s="80" t="s">
        <v>242</v>
      </c>
    </row>
    <row r="15" spans="1:13" x14ac:dyDescent="0.4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4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6328125" defaultRowHeight="14.25" x14ac:dyDescent="0.45"/>
  <cols>
    <col min="1" max="1" width="5.73046875" style="17" customWidth="1"/>
    <col min="3" max="3" width="8.1328125" bestFit="1" customWidth="1"/>
    <col min="4" max="4" width="10.86328125" bestFit="1" customWidth="1"/>
    <col min="5" max="5" width="14" bestFit="1" customWidth="1"/>
    <col min="6" max="6" width="15.265625" bestFit="1" customWidth="1"/>
    <col min="7" max="7" width="18.1328125" bestFit="1" customWidth="1"/>
    <col min="8" max="8" width="18.86328125" bestFit="1" customWidth="1"/>
  </cols>
  <sheetData>
    <row r="1" spans="1:8" x14ac:dyDescent="0.45">
      <c r="A1" s="17" t="s">
        <v>404</v>
      </c>
    </row>
    <row r="2" spans="1:8" x14ac:dyDescent="0.45">
      <c r="A2" s="17" t="s">
        <v>243</v>
      </c>
      <c r="B2" s="169"/>
      <c r="C2" s="169"/>
      <c r="D2" s="169"/>
      <c r="E2" s="169"/>
      <c r="F2" s="169"/>
      <c r="G2" s="169"/>
      <c r="H2" s="169"/>
    </row>
    <row r="3" spans="1:8" x14ac:dyDescent="0.45">
      <c r="A3" s="17" t="s">
        <v>409</v>
      </c>
      <c r="B3" s="169"/>
      <c r="C3" s="169"/>
      <c r="D3" s="169"/>
      <c r="E3" s="169"/>
      <c r="F3" s="169"/>
      <c r="G3" s="169"/>
      <c r="H3" s="169"/>
    </row>
    <row r="4" spans="1:8" x14ac:dyDescent="0.45">
      <c r="B4" s="169"/>
      <c r="C4" s="169"/>
      <c r="D4" s="169"/>
      <c r="E4" s="169"/>
      <c r="F4" s="169"/>
      <c r="G4" s="169"/>
      <c r="H4" s="169"/>
    </row>
    <row r="5" spans="1:8" ht="14.65" thickBot="1" x14ac:dyDescent="0.5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4.65" thickBot="1" x14ac:dyDescent="0.5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4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4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4.65" thickBot="1" x14ac:dyDescent="0.5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45">
      <c r="B10" s="169"/>
      <c r="C10" s="169"/>
      <c r="D10" s="169"/>
      <c r="E10" s="169"/>
      <c r="F10" s="169"/>
      <c r="G10" s="169"/>
      <c r="H10" s="169"/>
    </row>
    <row r="11" spans="1:8" ht="14.65" thickBot="1" x14ac:dyDescent="0.5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4.65" thickBot="1" x14ac:dyDescent="0.5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4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45">
      <c r="B14" s="106" t="s">
        <v>384</v>
      </c>
      <c r="C14" s="75"/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4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4.65" thickBot="1" x14ac:dyDescent="0.5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4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  <pageSetup paperSize="9" orientation="portrait" horizontalDpi="0" verticalDpi="0" r:id="rId1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6328125" defaultRowHeight="14.25" x14ac:dyDescent="0.45"/>
  <cols>
    <col min="1" max="1" width="15" style="61" bestFit="1" customWidth="1"/>
    <col min="2" max="2" width="3.3984375" customWidth="1"/>
  </cols>
  <sheetData>
    <row r="1" spans="1:16" x14ac:dyDescent="0.45">
      <c r="A1" s="63" t="s">
        <v>204</v>
      </c>
    </row>
    <row r="2" spans="1:16" ht="14.65" thickBot="1" x14ac:dyDescent="0.5">
      <c r="A2" s="64" t="s">
        <v>205</v>
      </c>
    </row>
    <row r="3" spans="1:16" x14ac:dyDescent="0.4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4.65" thickBot="1" x14ac:dyDescent="0.5">
      <c r="A4" s="64" t="s">
        <v>207</v>
      </c>
      <c r="D4">
        <v>0</v>
      </c>
      <c r="E4">
        <v>4</v>
      </c>
      <c r="F4">
        <v>3</v>
      </c>
      <c r="O4" s="81"/>
    </row>
    <row r="5" spans="1:16" x14ac:dyDescent="0.45">
      <c r="A5" s="63" t="s">
        <v>210</v>
      </c>
      <c r="O5" s="81"/>
    </row>
    <row r="6" spans="1:16" ht="14.65" thickBot="1" x14ac:dyDescent="0.5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</v>
      </c>
    </row>
    <row r="7" spans="1:16" x14ac:dyDescent="0.45">
      <c r="A7" s="63" t="s">
        <v>211</v>
      </c>
      <c r="C7" t="s">
        <v>223</v>
      </c>
    </row>
    <row r="8" spans="1:16" x14ac:dyDescent="0.4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4.65" thickBot="1" x14ac:dyDescent="0.5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P9" s="81"/>
    </row>
    <row r="10" spans="1:16" x14ac:dyDescent="0.45"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P10" s="81"/>
    </row>
    <row r="11" spans="1:16" x14ac:dyDescent="0.4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</row>
    <row r="13" spans="1:16" x14ac:dyDescent="0.4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45">
      <c r="D14" s="80">
        <v>0</v>
      </c>
      <c r="E14" s="80">
        <v>4</v>
      </c>
      <c r="F14" s="80">
        <v>3</v>
      </c>
      <c r="G14" s="80">
        <v>10</v>
      </c>
    </row>
    <row r="15" spans="1:16" x14ac:dyDescent="0.4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6328125" defaultRowHeight="14.25" x14ac:dyDescent="0.45"/>
  <cols>
    <col min="1" max="1" width="15" style="61" bestFit="1" customWidth="1"/>
    <col min="2" max="2" width="4.1328125" style="66" customWidth="1"/>
  </cols>
  <sheetData>
    <row r="1" spans="1:11" x14ac:dyDescent="0.45">
      <c r="A1" s="63" t="s">
        <v>204</v>
      </c>
    </row>
    <row r="2" spans="1:11" ht="14.65" thickBot="1" x14ac:dyDescent="0.5">
      <c r="A2" s="64" t="s">
        <v>205</v>
      </c>
    </row>
    <row r="3" spans="1:11" x14ac:dyDescent="0.45">
      <c r="A3" s="63" t="s">
        <v>209</v>
      </c>
      <c r="F3" t="s">
        <v>219</v>
      </c>
      <c r="G3" t="s">
        <v>220</v>
      </c>
      <c r="H3" t="s">
        <v>221</v>
      </c>
    </row>
    <row r="4" spans="1:11" ht="14.65" thickBot="1" x14ac:dyDescent="0.5">
      <c r="A4" s="64" t="s">
        <v>207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45">
      <c r="A5" s="63" t="s">
        <v>210</v>
      </c>
    </row>
    <row r="6" spans="1:11" ht="14.65" thickBot="1" x14ac:dyDescent="0.5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45">
      <c r="A7" s="63" t="s">
        <v>211</v>
      </c>
    </row>
    <row r="8" spans="1:11" x14ac:dyDescent="0.4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4.65" thickBot="1" x14ac:dyDescent="0.5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x14ac:dyDescent="0.45"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4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4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4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4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4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G13" sqref="G13"/>
    </sheetView>
  </sheetViews>
  <sheetFormatPr defaultColWidth="8.86328125" defaultRowHeight="14.25" x14ac:dyDescent="0.45"/>
  <cols>
    <col min="1" max="1" width="15" style="61" bestFit="1" customWidth="1"/>
    <col min="2" max="2" width="3.1328125" customWidth="1"/>
    <col min="5" max="5" width="10.3984375" customWidth="1"/>
    <col min="10" max="10" width="11" customWidth="1"/>
  </cols>
  <sheetData>
    <row r="1" spans="1:11" x14ac:dyDescent="0.45">
      <c r="A1" s="63" t="s">
        <v>204</v>
      </c>
      <c r="C1" t="s">
        <v>237</v>
      </c>
    </row>
    <row r="2" spans="1:11" ht="14.65" thickBot="1" x14ac:dyDescent="0.5">
      <c r="A2" s="64" t="s">
        <v>205</v>
      </c>
    </row>
    <row r="3" spans="1:11" ht="15" customHeight="1" x14ac:dyDescent="0.4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5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45">
      <c r="A5" s="63" t="s">
        <v>210</v>
      </c>
    </row>
    <row r="6" spans="1:11" ht="14.65" thickBot="1" x14ac:dyDescent="0.5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45">
      <c r="A7" s="63" t="s">
        <v>211</v>
      </c>
      <c r="D7" t="s">
        <v>223</v>
      </c>
    </row>
    <row r="8" spans="1:11" ht="15" customHeight="1" x14ac:dyDescent="0.4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4.65" thickBot="1" x14ac:dyDescent="0.5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x14ac:dyDescent="0.45"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4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4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4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6328125" defaultRowHeight="14.25" x14ac:dyDescent="0.45"/>
  <cols>
    <col min="1" max="1" width="15" style="61" bestFit="1" customWidth="1"/>
    <col min="2" max="2" width="3.3984375" customWidth="1"/>
    <col min="6" max="6" width="12" bestFit="1" customWidth="1"/>
  </cols>
  <sheetData>
    <row r="1" spans="1:8" x14ac:dyDescent="0.45">
      <c r="A1" s="63" t="s">
        <v>204</v>
      </c>
    </row>
    <row r="2" spans="1:8" ht="14.65" thickBot="1" x14ac:dyDescent="0.5">
      <c r="A2" s="64" t="s">
        <v>205</v>
      </c>
    </row>
    <row r="3" spans="1:8" x14ac:dyDescent="0.45">
      <c r="A3" s="63" t="s">
        <v>209</v>
      </c>
      <c r="C3" t="s">
        <v>126</v>
      </c>
      <c r="D3" t="s">
        <v>128</v>
      </c>
      <c r="F3" t="s">
        <v>238</v>
      </c>
    </row>
    <row r="4" spans="1:8" ht="14.65" thickBot="1" x14ac:dyDescent="0.5">
      <c r="A4" s="64" t="s">
        <v>208</v>
      </c>
      <c r="C4">
        <v>10</v>
      </c>
      <c r="D4" s="81">
        <v>10</v>
      </c>
      <c r="F4">
        <f>100*(D4-C4^2)^2+(1-C4)^2</f>
        <v>810081</v>
      </c>
    </row>
    <row r="5" spans="1:8" x14ac:dyDescent="0.45">
      <c r="A5" s="63" t="s">
        <v>210</v>
      </c>
    </row>
    <row r="6" spans="1:8" ht="14.65" thickBot="1" x14ac:dyDescent="0.5">
      <c r="A6" s="64" t="b">
        <f>AND(C11,D11,F11)</f>
        <v>0</v>
      </c>
      <c r="C6">
        <v>1</v>
      </c>
      <c r="D6">
        <v>0</v>
      </c>
      <c r="E6">
        <f>SUMPRODUCT(C6:D6,$C$4:$D$4)</f>
        <v>10</v>
      </c>
      <c r="F6" t="s">
        <v>9</v>
      </c>
      <c r="G6">
        <v>0</v>
      </c>
    </row>
    <row r="7" spans="1:8" x14ac:dyDescent="0.4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45">
      <c r="A8" s="65" t="s">
        <v>201</v>
      </c>
    </row>
    <row r="9" spans="1:8" ht="14.65" thickBot="1" x14ac:dyDescent="0.5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x14ac:dyDescent="0.45">
      <c r="C10" s="80">
        <v>1</v>
      </c>
      <c r="D10" s="80">
        <v>1</v>
      </c>
      <c r="E10" s="80"/>
      <c r="F10" s="80">
        <v>0</v>
      </c>
      <c r="G10" s="80"/>
    </row>
    <row r="11" spans="1:8" x14ac:dyDescent="0.4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tabSelected="1" workbookViewId="0">
      <selection activeCell="I19" sqref="I19"/>
    </sheetView>
  </sheetViews>
  <sheetFormatPr defaultColWidth="8.86328125" defaultRowHeight="14.25" x14ac:dyDescent="0.45"/>
  <cols>
    <col min="1" max="1" width="15" style="61" bestFit="1" customWidth="1"/>
    <col min="2" max="2" width="3.86328125" customWidth="1"/>
    <col min="15" max="15" width="9.265625" customWidth="1"/>
  </cols>
  <sheetData>
    <row r="1" spans="1:15" x14ac:dyDescent="0.45">
      <c r="A1" s="63" t="s">
        <v>204</v>
      </c>
      <c r="C1" t="s">
        <v>239</v>
      </c>
    </row>
    <row r="2" spans="1:15" ht="14.65" thickBot="1" x14ac:dyDescent="0.5">
      <c r="A2" s="64" t="s">
        <v>205</v>
      </c>
    </row>
    <row r="3" spans="1:15" x14ac:dyDescent="0.45">
      <c r="A3" s="63" t="s">
        <v>209</v>
      </c>
    </row>
    <row r="4" spans="1:15" ht="14.65" thickBot="1" x14ac:dyDescent="0.5">
      <c r="A4" s="64" t="s">
        <v>208</v>
      </c>
    </row>
    <row r="5" spans="1:15" x14ac:dyDescent="0.45">
      <c r="A5" s="63" t="s">
        <v>210</v>
      </c>
      <c r="D5">
        <v>34.0342341607235</v>
      </c>
      <c r="E5">
        <v>0.58764360924214198</v>
      </c>
    </row>
    <row r="6" spans="1:15" ht="14.65" thickBot="1" x14ac:dyDescent="0.5">
      <c r="A6" s="64" t="b">
        <f>AND(F22)</f>
        <v>1</v>
      </c>
      <c r="F6">
        <f>D5^2*E5^2</f>
        <v>400.00000799999049</v>
      </c>
    </row>
    <row r="7" spans="1:15" x14ac:dyDescent="0.45">
      <c r="A7" s="63" t="s">
        <v>211</v>
      </c>
    </row>
    <row r="8" spans="1:15" x14ac:dyDescent="0.45">
      <c r="A8" s="65" t="s">
        <v>201</v>
      </c>
      <c r="F8">
        <f>D5*E5</f>
        <v>20.000000199999761</v>
      </c>
      <c r="G8" t="s">
        <v>8</v>
      </c>
      <c r="H8">
        <v>20</v>
      </c>
    </row>
    <row r="9" spans="1:15" ht="14.65" thickBot="1" x14ac:dyDescent="0.5">
      <c r="A9" s="64">
        <f>VLOOKUP(A8,OpenSolverResultCodes,2,FALSE)</f>
        <v>0</v>
      </c>
      <c r="F9">
        <f>E5+D5</f>
        <v>34.621877769965643</v>
      </c>
      <c r="H9">
        <v>40</v>
      </c>
    </row>
    <row r="10" spans="1:15" x14ac:dyDescent="0.45">
      <c r="F10">
        <f>D5</f>
        <v>34.0342341607235</v>
      </c>
      <c r="G10" t="s">
        <v>9</v>
      </c>
      <c r="H10">
        <v>0</v>
      </c>
    </row>
    <row r="11" spans="1:15" x14ac:dyDescent="0.45">
      <c r="F11">
        <f>E5</f>
        <v>0.58764360924214198</v>
      </c>
      <c r="H11">
        <v>0</v>
      </c>
    </row>
    <row r="12" spans="1:15" x14ac:dyDescent="0.45">
      <c r="F12">
        <f>E5*D5+E5+D5</f>
        <v>54.621877969965404</v>
      </c>
      <c r="G12" t="s">
        <v>8</v>
      </c>
      <c r="H12">
        <v>60</v>
      </c>
      <c r="I12" t="s">
        <v>369</v>
      </c>
    </row>
    <row r="13" spans="1:15" x14ac:dyDescent="0.45">
      <c r="F13">
        <f>E5+D5*E5+D5</f>
        <v>54.621877969965404</v>
      </c>
      <c r="G13" t="s">
        <v>8</v>
      </c>
      <c r="H13">
        <v>60</v>
      </c>
      <c r="I13" t="s">
        <v>370</v>
      </c>
    </row>
    <row r="14" spans="1:15" x14ac:dyDescent="0.45">
      <c r="F14">
        <f>E5+D5+E5*D5</f>
        <v>54.621877969965404</v>
      </c>
      <c r="G14" t="s">
        <v>8</v>
      </c>
      <c r="H14">
        <v>60</v>
      </c>
      <c r="I14" t="s">
        <v>371</v>
      </c>
    </row>
    <row r="15" spans="1:15" ht="15.75" customHeight="1" x14ac:dyDescent="0.45">
      <c r="F15">
        <f>E5*D5-E5-D5</f>
        <v>-14.621877569965882</v>
      </c>
      <c r="G15" t="s">
        <v>8</v>
      </c>
      <c r="H15">
        <v>0</v>
      </c>
      <c r="O15" s="83"/>
    </row>
    <row r="16" spans="1:15" x14ac:dyDescent="0.45">
      <c r="F16">
        <f>E5-D5*E5+D5</f>
        <v>14.621877569965882</v>
      </c>
      <c r="G16" t="s">
        <v>8</v>
      </c>
      <c r="H16">
        <v>60</v>
      </c>
      <c r="O16" s="83"/>
    </row>
    <row r="17" spans="6:15" x14ac:dyDescent="0.45">
      <c r="F17">
        <f>E5-D5+E5*D5</f>
        <v>-13.446590351481596</v>
      </c>
      <c r="G17" t="s">
        <v>8</v>
      </c>
      <c r="H17">
        <v>0</v>
      </c>
      <c r="O17" s="83"/>
    </row>
    <row r="18" spans="6:15" x14ac:dyDescent="0.45">
      <c r="F18">
        <f>ROW()</f>
        <v>18</v>
      </c>
      <c r="G18" t="s">
        <v>8</v>
      </c>
      <c r="H18">
        <v>20</v>
      </c>
      <c r="I18" t="s">
        <v>413</v>
      </c>
      <c r="O18" s="83"/>
    </row>
    <row r="19" spans="6:15" x14ac:dyDescent="0.45">
      <c r="O19" s="83"/>
    </row>
    <row r="20" spans="6:15" x14ac:dyDescent="0.45">
      <c r="F20" t="s">
        <v>242</v>
      </c>
      <c r="O20" s="83"/>
    </row>
    <row r="21" spans="6:15" x14ac:dyDescent="0.45">
      <c r="F21" s="80">
        <v>400</v>
      </c>
      <c r="O21" s="83"/>
    </row>
    <row r="22" spans="6:15" x14ac:dyDescent="0.45">
      <c r="F22" s="8" t="b">
        <f>ABS(F6-F21)/(1+ABS(F21))&lt;=0.000001</f>
        <v>1</v>
      </c>
      <c r="O22" s="83"/>
    </row>
    <row r="23" spans="6:15" x14ac:dyDescent="0.45">
      <c r="O23" s="83"/>
    </row>
    <row r="24" spans="6:15" x14ac:dyDescent="0.45">
      <c r="O24" s="83"/>
    </row>
    <row r="25" spans="6:15" x14ac:dyDescent="0.45">
      <c r="O25" s="83"/>
    </row>
    <row r="26" spans="6:15" x14ac:dyDescent="0.45">
      <c r="O26" s="83"/>
    </row>
    <row r="27" spans="6:15" x14ac:dyDescent="0.45">
      <c r="O27" s="83"/>
    </row>
    <row r="28" spans="6:15" x14ac:dyDescent="0.45">
      <c r="O28" s="83"/>
    </row>
    <row r="29" spans="6:15" x14ac:dyDescent="0.45">
      <c r="O29" s="83"/>
    </row>
    <row r="30" spans="6:15" x14ac:dyDescent="0.45">
      <c r="O30" s="83"/>
    </row>
    <row r="31" spans="6:15" x14ac:dyDescent="0.45">
      <c r="O31" s="83"/>
    </row>
    <row r="32" spans="6:15" x14ac:dyDescent="0.45">
      <c r="O32" s="83"/>
    </row>
    <row r="33" spans="15:15" x14ac:dyDescent="0.45">
      <c r="O33" s="83"/>
    </row>
    <row r="34" spans="15:15" x14ac:dyDescent="0.45">
      <c r="O34" s="83"/>
    </row>
    <row r="35" spans="15:15" x14ac:dyDescent="0.45">
      <c r="O35" s="83"/>
    </row>
    <row r="36" spans="15:15" x14ac:dyDescent="0.45">
      <c r="O36" s="83"/>
    </row>
    <row r="37" spans="15:15" x14ac:dyDescent="0.45">
      <c r="O37" s="83"/>
    </row>
    <row r="38" spans="15:15" x14ac:dyDescent="0.45">
      <c r="O38" s="83"/>
    </row>
    <row r="39" spans="15:15" x14ac:dyDescent="0.45">
      <c r="O39" s="83"/>
    </row>
    <row r="40" spans="15:15" x14ac:dyDescent="0.45">
      <c r="O40" s="83"/>
    </row>
    <row r="41" spans="15:15" x14ac:dyDescent="0.45">
      <c r="O41" s="83"/>
    </row>
    <row r="42" spans="15:15" x14ac:dyDescent="0.45">
      <c r="O42" s="83"/>
    </row>
    <row r="43" spans="15:15" x14ac:dyDescent="0.45">
      <c r="O43" s="83"/>
    </row>
    <row r="44" spans="15:15" x14ac:dyDescent="0.45">
      <c r="O44" s="83"/>
    </row>
    <row r="45" spans="15:15" x14ac:dyDescent="0.45">
      <c r="O45" s="83"/>
    </row>
    <row r="46" spans="15:15" x14ac:dyDescent="0.45">
      <c r="O46" s="83"/>
    </row>
    <row r="47" spans="15:15" x14ac:dyDescent="0.45">
      <c r="O47" s="83"/>
    </row>
    <row r="48" spans="15:15" x14ac:dyDescent="0.45">
      <c r="O48" s="83"/>
    </row>
    <row r="49" spans="15:15" x14ac:dyDescent="0.45">
      <c r="O49" s="83"/>
    </row>
    <row r="50" spans="15:15" x14ac:dyDescent="0.45">
      <c r="O50" s="83"/>
    </row>
    <row r="51" spans="15:15" x14ac:dyDescent="0.45">
      <c r="O51" s="83"/>
    </row>
    <row r="52" spans="15:15" x14ac:dyDescent="0.45">
      <c r="O52" s="83"/>
    </row>
    <row r="53" spans="15:15" x14ac:dyDescent="0.45">
      <c r="O53" s="83"/>
    </row>
    <row r="54" spans="15:15" x14ac:dyDescent="0.45">
      <c r="O54" s="83"/>
    </row>
    <row r="55" spans="15:15" x14ac:dyDescent="0.45">
      <c r="O55" s="83"/>
    </row>
    <row r="56" spans="15:15" x14ac:dyDescent="0.45">
      <c r="O56" s="83"/>
    </row>
    <row r="57" spans="15:15" x14ac:dyDescent="0.45">
      <c r="O57" s="83"/>
    </row>
    <row r="58" spans="15:15" x14ac:dyDescent="0.45">
      <c r="O58" s="83"/>
    </row>
    <row r="59" spans="15:15" x14ac:dyDescent="0.45">
      <c r="O59" s="83"/>
    </row>
    <row r="60" spans="15:15" x14ac:dyDescent="0.45">
      <c r="O60" s="83"/>
    </row>
    <row r="61" spans="15:15" x14ac:dyDescent="0.45">
      <c r="O61" s="83"/>
    </row>
    <row r="62" spans="15:15" x14ac:dyDescent="0.45">
      <c r="O62" s="83"/>
    </row>
    <row r="63" spans="15:15" x14ac:dyDescent="0.45">
      <c r="O63" s="83"/>
    </row>
    <row r="64" spans="15:15" x14ac:dyDescent="0.45">
      <c r="O64" s="83"/>
    </row>
    <row r="65" spans="15:15" x14ac:dyDescent="0.45">
      <c r="O65" s="83"/>
    </row>
    <row r="66" spans="15:15" x14ac:dyDescent="0.45">
      <c r="O66" s="83"/>
    </row>
    <row r="67" spans="15:15" x14ac:dyDescent="0.45">
      <c r="O67" s="83"/>
    </row>
    <row r="68" spans="15:15" x14ac:dyDescent="0.45">
      <c r="O68" s="83"/>
    </row>
    <row r="69" spans="15:15" x14ac:dyDescent="0.45">
      <c r="O69" s="83"/>
    </row>
    <row r="70" spans="15:15" x14ac:dyDescent="0.45">
      <c r="O70" s="83"/>
    </row>
    <row r="71" spans="15:15" x14ac:dyDescent="0.45">
      <c r="O71" s="83"/>
    </row>
    <row r="72" spans="15:15" x14ac:dyDescent="0.45">
      <c r="O72" s="83"/>
    </row>
    <row r="73" spans="15:15" x14ac:dyDescent="0.45">
      <c r="O73" s="83"/>
    </row>
    <row r="74" spans="15:15" x14ac:dyDescent="0.45">
      <c r="O74" s="83"/>
    </row>
    <row r="75" spans="15:15" x14ac:dyDescent="0.45">
      <c r="O75" s="83"/>
    </row>
    <row r="76" spans="15:15" x14ac:dyDescent="0.45">
      <c r="O76" s="83"/>
    </row>
    <row r="77" spans="15:15" x14ac:dyDescent="0.45">
      <c r="O77" s="83"/>
    </row>
    <row r="78" spans="15:15" x14ac:dyDescent="0.45">
      <c r="O78" s="83"/>
    </row>
    <row r="79" spans="15:15" x14ac:dyDescent="0.45">
      <c r="O79" s="83"/>
    </row>
    <row r="80" spans="15:15" x14ac:dyDescent="0.45">
      <c r="O80" s="83"/>
    </row>
    <row r="81" spans="15:15" x14ac:dyDescent="0.45">
      <c r="O81" s="83"/>
    </row>
    <row r="82" spans="15:15" x14ac:dyDescent="0.45">
      <c r="O82" s="83"/>
    </row>
    <row r="83" spans="15:15" x14ac:dyDescent="0.45">
      <c r="O83" s="83"/>
    </row>
    <row r="84" spans="15:15" x14ac:dyDescent="0.45">
      <c r="O84" s="83"/>
    </row>
    <row r="85" spans="15:15" x14ac:dyDescent="0.45">
      <c r="O85" s="83"/>
    </row>
    <row r="86" spans="15:15" x14ac:dyDescent="0.45">
      <c r="O86" s="83"/>
    </row>
    <row r="87" spans="15:15" x14ac:dyDescent="0.4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C30" sqref="C30"/>
    </sheetView>
  </sheetViews>
  <sheetFormatPr defaultColWidth="8.86328125" defaultRowHeight="14.25" x14ac:dyDescent="0.45"/>
  <cols>
    <col min="1" max="1" width="15" style="61" bestFit="1" customWidth="1"/>
    <col min="2" max="2" width="3" customWidth="1"/>
  </cols>
  <sheetData>
    <row r="1" spans="1:9" x14ac:dyDescent="0.45">
      <c r="A1" s="63" t="s">
        <v>204</v>
      </c>
    </row>
    <row r="2" spans="1:9" ht="14.65" thickBot="1" x14ac:dyDescent="0.5">
      <c r="A2" s="64" t="s">
        <v>205</v>
      </c>
    </row>
    <row r="3" spans="1:9" x14ac:dyDescent="0.45">
      <c r="A3" s="63" t="s">
        <v>209</v>
      </c>
      <c r="D3" t="s">
        <v>219</v>
      </c>
      <c r="E3" t="s">
        <v>220</v>
      </c>
      <c r="F3" t="s">
        <v>221</v>
      </c>
    </row>
    <row r="4" spans="1:9" ht="14.65" thickBot="1" x14ac:dyDescent="0.5">
      <c r="A4" s="64" t="s">
        <v>208</v>
      </c>
      <c r="D4">
        <v>10</v>
      </c>
      <c r="E4">
        <v>10</v>
      </c>
      <c r="F4">
        <v>10</v>
      </c>
    </row>
    <row r="5" spans="1:9" x14ac:dyDescent="0.45">
      <c r="A5" s="63" t="s">
        <v>210</v>
      </c>
    </row>
    <row r="6" spans="1:9" ht="14.65" thickBot="1" x14ac:dyDescent="0.5">
      <c r="A6" s="64" t="b">
        <f>AND(D12,E12,G12)</f>
        <v>0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170</v>
      </c>
    </row>
    <row r="7" spans="1:9" x14ac:dyDescent="0.45">
      <c r="A7" s="63" t="s">
        <v>211</v>
      </c>
      <c r="C7" t="s">
        <v>223</v>
      </c>
    </row>
    <row r="8" spans="1:9" x14ac:dyDescent="0.45">
      <c r="A8" s="65" t="s">
        <v>201</v>
      </c>
      <c r="D8">
        <v>1</v>
      </c>
      <c r="E8">
        <v>1</v>
      </c>
      <c r="F8">
        <v>0</v>
      </c>
      <c r="G8">
        <f>SUMPRODUCT($D$4:$F$4,D8:F8)^2</f>
        <v>400</v>
      </c>
      <c r="H8" t="s">
        <v>8</v>
      </c>
      <c r="I8">
        <v>5</v>
      </c>
    </row>
    <row r="9" spans="1:9" ht="14.65" thickBot="1" x14ac:dyDescent="0.5">
      <c r="A9" s="64">
        <f>VLOOKUP(A8,OpenSolverResultCodes,2,FALSE)</f>
        <v>0</v>
      </c>
    </row>
    <row r="10" spans="1:9" x14ac:dyDescent="0.45">
      <c r="D10" s="163" t="s">
        <v>1</v>
      </c>
      <c r="E10" s="163" t="s">
        <v>2</v>
      </c>
      <c r="F10" s="163"/>
      <c r="G10" t="s">
        <v>242</v>
      </c>
    </row>
    <row r="11" spans="1:9" x14ac:dyDescent="0.45">
      <c r="D11" s="163">
        <v>2</v>
      </c>
      <c r="E11" s="163">
        <v>0</v>
      </c>
      <c r="F11" s="163"/>
      <c r="G11" s="163">
        <v>16</v>
      </c>
    </row>
    <row r="12" spans="1:9" x14ac:dyDescent="0.45">
      <c r="C12" s="81"/>
      <c r="D12" s="8" t="b">
        <f>ABS(D4-D11)/(1+ABS(D11))&lt;=0.0001</f>
        <v>0</v>
      </c>
      <c r="E12" s="8" t="b">
        <f>ABS(E4-E11)/(1+ABS(E11))&lt;=0.0001</f>
        <v>0</v>
      </c>
      <c r="F12" s="8"/>
      <c r="G12" s="8" t="b">
        <f>ABS(G6-G11)/(1+ABS(G11))&lt;=0.000001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6328125" defaultRowHeight="14.25" x14ac:dyDescent="0.45"/>
  <cols>
    <col min="1" max="1" width="15" style="61" bestFit="1" customWidth="1"/>
    <col min="2" max="2" width="3" style="66" customWidth="1"/>
  </cols>
  <sheetData>
    <row r="1" spans="1:11" x14ac:dyDescent="0.45">
      <c r="A1" s="63" t="s">
        <v>204</v>
      </c>
    </row>
    <row r="2" spans="1:11" ht="14.65" thickBot="1" x14ac:dyDescent="0.5">
      <c r="A2" s="64" t="s">
        <v>205</v>
      </c>
    </row>
    <row r="3" spans="1:11" x14ac:dyDescent="0.45">
      <c r="A3" s="63" t="s">
        <v>209</v>
      </c>
    </row>
    <row r="4" spans="1:11" ht="14.65" thickBot="1" x14ac:dyDescent="0.5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45">
      <c r="A5" s="63" t="s">
        <v>210</v>
      </c>
      <c r="D5">
        <v>10</v>
      </c>
      <c r="E5">
        <v>10</v>
      </c>
      <c r="F5">
        <v>10</v>
      </c>
      <c r="G5">
        <v>10</v>
      </c>
      <c r="H5">
        <v>10</v>
      </c>
    </row>
    <row r="6" spans="1:11" ht="14.65" thickBot="1" x14ac:dyDescent="0.5">
      <c r="A6" s="64" t="b">
        <f>AND(I16)</f>
        <v>0</v>
      </c>
      <c r="C6" t="s">
        <v>0</v>
      </c>
      <c r="I6">
        <f>H5</f>
        <v>10</v>
      </c>
    </row>
    <row r="7" spans="1:11" x14ac:dyDescent="0.45">
      <c r="A7" s="63" t="s">
        <v>211</v>
      </c>
      <c r="I7">
        <f>(D5-1)^2+(E5-1)^2+(F5-1)^2+(G5-1)^2+(H5-1)^2-25</f>
        <v>380</v>
      </c>
      <c r="J7" t="s">
        <v>8</v>
      </c>
      <c r="K7">
        <v>0</v>
      </c>
    </row>
    <row r="8" spans="1:11" x14ac:dyDescent="0.45">
      <c r="A8" s="65" t="s">
        <v>201</v>
      </c>
      <c r="I8">
        <f>25-((D5+1)^2+(E5+1)^2+(F5+1)^2+(G5+1)^2+(H5+1)^2)</f>
        <v>-580</v>
      </c>
      <c r="J8" t="s">
        <v>8</v>
      </c>
      <c r="K8">
        <v>0</v>
      </c>
    </row>
    <row r="9" spans="1:11" ht="14.65" thickBot="1" x14ac:dyDescent="0.5">
      <c r="A9" s="64">
        <f>VLOOKUP(A8,OpenSolverResultCodes,2,FALSE)</f>
        <v>0</v>
      </c>
      <c r="I9">
        <f>SUM(D5:H5)+I8</f>
        <v>-530</v>
      </c>
      <c r="J9" t="s">
        <v>8</v>
      </c>
      <c r="K9">
        <v>0</v>
      </c>
    </row>
    <row r="14" spans="1:11" x14ac:dyDescent="0.45">
      <c r="D14" s="80"/>
      <c r="E14" s="80"/>
      <c r="F14" s="80"/>
      <c r="I14" s="80" t="s">
        <v>242</v>
      </c>
    </row>
    <row r="15" spans="1:11" x14ac:dyDescent="0.45">
      <c r="D15" s="80"/>
      <c r="E15" s="80"/>
      <c r="F15" s="80"/>
      <c r="G15" s="80"/>
      <c r="H15" s="80"/>
      <c r="I15">
        <v>0</v>
      </c>
    </row>
    <row r="16" spans="1:11" x14ac:dyDescent="0.45">
      <c r="D16" s="8"/>
      <c r="E16" s="8"/>
      <c r="F16" s="8"/>
      <c r="G16" s="8"/>
      <c r="H16" s="8"/>
      <c r="I16" s="8" t="b">
        <f>ABS(I6-I15)/(1+ABS(I15))&lt;=0.000001</f>
        <v>0</v>
      </c>
    </row>
    <row r="30" spans="5:5" x14ac:dyDescent="0.4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topLeftCell="H1" workbookViewId="0">
      <selection activeCell="Q14" sqref="Q14"/>
    </sheetView>
  </sheetViews>
  <sheetFormatPr defaultColWidth="8.86328125" defaultRowHeight="14.25" x14ac:dyDescent="0.45"/>
  <cols>
    <col min="1" max="1" width="15" style="61" bestFit="1" customWidth="1"/>
    <col min="2" max="2" width="8.86328125" style="87"/>
    <col min="3" max="3" width="3.73046875" style="87" customWidth="1"/>
    <col min="4" max="4" width="4.265625" style="87" customWidth="1"/>
    <col min="5" max="5" width="1.3984375" style="87" customWidth="1"/>
    <col min="6" max="7" width="12.1328125" style="87" customWidth="1"/>
    <col min="8" max="8" width="1.265625" style="87" customWidth="1"/>
    <col min="9" max="13" width="8.86328125" style="87"/>
    <col min="14" max="15" width="5.86328125" style="87" customWidth="1"/>
    <col min="16" max="16" width="6.3984375" style="87" customWidth="1"/>
    <col min="17" max="258" width="8.86328125" style="87"/>
    <col min="259" max="259" width="3.73046875" style="87" customWidth="1"/>
    <col min="260" max="260" width="4.265625" style="87" customWidth="1"/>
    <col min="261" max="261" width="1.3984375" style="87" customWidth="1"/>
    <col min="262" max="263" width="12.1328125" style="87" customWidth="1"/>
    <col min="264" max="264" width="1.265625" style="87" customWidth="1"/>
    <col min="265" max="269" width="8.86328125" style="87"/>
    <col min="270" max="271" width="5.86328125" style="87" customWidth="1"/>
    <col min="272" max="272" width="6.3984375" style="87" customWidth="1"/>
    <col min="273" max="514" width="8.86328125" style="87"/>
    <col min="515" max="515" width="3.73046875" style="87" customWidth="1"/>
    <col min="516" max="516" width="4.265625" style="87" customWidth="1"/>
    <col min="517" max="517" width="1.3984375" style="87" customWidth="1"/>
    <col min="518" max="519" width="12.1328125" style="87" customWidth="1"/>
    <col min="520" max="520" width="1.265625" style="87" customWidth="1"/>
    <col min="521" max="525" width="8.86328125" style="87"/>
    <col min="526" max="527" width="5.86328125" style="87" customWidth="1"/>
    <col min="528" max="528" width="6.3984375" style="87" customWidth="1"/>
    <col min="529" max="770" width="8.86328125" style="87"/>
    <col min="771" max="771" width="3.73046875" style="87" customWidth="1"/>
    <col min="772" max="772" width="4.265625" style="87" customWidth="1"/>
    <col min="773" max="773" width="1.3984375" style="87" customWidth="1"/>
    <col min="774" max="775" width="12.1328125" style="87" customWidth="1"/>
    <col min="776" max="776" width="1.265625" style="87" customWidth="1"/>
    <col min="777" max="781" width="8.86328125" style="87"/>
    <col min="782" max="783" width="5.86328125" style="87" customWidth="1"/>
    <col min="784" max="784" width="6.3984375" style="87" customWidth="1"/>
    <col min="785" max="1026" width="8.86328125" style="87"/>
    <col min="1027" max="1027" width="3.73046875" style="87" customWidth="1"/>
    <col min="1028" max="1028" width="4.265625" style="87" customWidth="1"/>
    <col min="1029" max="1029" width="1.3984375" style="87" customWidth="1"/>
    <col min="1030" max="1031" width="12.1328125" style="87" customWidth="1"/>
    <col min="1032" max="1032" width="1.265625" style="87" customWidth="1"/>
    <col min="1033" max="1037" width="8.86328125" style="87"/>
    <col min="1038" max="1039" width="5.86328125" style="87" customWidth="1"/>
    <col min="1040" max="1040" width="6.3984375" style="87" customWidth="1"/>
    <col min="1041" max="1282" width="8.86328125" style="87"/>
    <col min="1283" max="1283" width="3.73046875" style="87" customWidth="1"/>
    <col min="1284" max="1284" width="4.265625" style="87" customWidth="1"/>
    <col min="1285" max="1285" width="1.3984375" style="87" customWidth="1"/>
    <col min="1286" max="1287" width="12.1328125" style="87" customWidth="1"/>
    <col min="1288" max="1288" width="1.265625" style="87" customWidth="1"/>
    <col min="1289" max="1293" width="8.86328125" style="87"/>
    <col min="1294" max="1295" width="5.86328125" style="87" customWidth="1"/>
    <col min="1296" max="1296" width="6.3984375" style="87" customWidth="1"/>
    <col min="1297" max="1538" width="8.86328125" style="87"/>
    <col min="1539" max="1539" width="3.73046875" style="87" customWidth="1"/>
    <col min="1540" max="1540" width="4.265625" style="87" customWidth="1"/>
    <col min="1541" max="1541" width="1.3984375" style="87" customWidth="1"/>
    <col min="1542" max="1543" width="12.1328125" style="87" customWidth="1"/>
    <col min="1544" max="1544" width="1.265625" style="87" customWidth="1"/>
    <col min="1545" max="1549" width="8.86328125" style="87"/>
    <col min="1550" max="1551" width="5.86328125" style="87" customWidth="1"/>
    <col min="1552" max="1552" width="6.3984375" style="87" customWidth="1"/>
    <col min="1553" max="1794" width="8.86328125" style="87"/>
    <col min="1795" max="1795" width="3.73046875" style="87" customWidth="1"/>
    <col min="1796" max="1796" width="4.265625" style="87" customWidth="1"/>
    <col min="1797" max="1797" width="1.3984375" style="87" customWidth="1"/>
    <col min="1798" max="1799" width="12.1328125" style="87" customWidth="1"/>
    <col min="1800" max="1800" width="1.265625" style="87" customWidth="1"/>
    <col min="1801" max="1805" width="8.86328125" style="87"/>
    <col min="1806" max="1807" width="5.86328125" style="87" customWidth="1"/>
    <col min="1808" max="1808" width="6.3984375" style="87" customWidth="1"/>
    <col min="1809" max="2050" width="8.86328125" style="87"/>
    <col min="2051" max="2051" width="3.73046875" style="87" customWidth="1"/>
    <col min="2052" max="2052" width="4.265625" style="87" customWidth="1"/>
    <col min="2053" max="2053" width="1.3984375" style="87" customWidth="1"/>
    <col min="2054" max="2055" width="12.1328125" style="87" customWidth="1"/>
    <col min="2056" max="2056" width="1.265625" style="87" customWidth="1"/>
    <col min="2057" max="2061" width="8.86328125" style="87"/>
    <col min="2062" max="2063" width="5.86328125" style="87" customWidth="1"/>
    <col min="2064" max="2064" width="6.3984375" style="87" customWidth="1"/>
    <col min="2065" max="2306" width="8.86328125" style="87"/>
    <col min="2307" max="2307" width="3.73046875" style="87" customWidth="1"/>
    <col min="2308" max="2308" width="4.265625" style="87" customWidth="1"/>
    <col min="2309" max="2309" width="1.3984375" style="87" customWidth="1"/>
    <col min="2310" max="2311" width="12.1328125" style="87" customWidth="1"/>
    <col min="2312" max="2312" width="1.265625" style="87" customWidth="1"/>
    <col min="2313" max="2317" width="8.86328125" style="87"/>
    <col min="2318" max="2319" width="5.86328125" style="87" customWidth="1"/>
    <col min="2320" max="2320" width="6.3984375" style="87" customWidth="1"/>
    <col min="2321" max="2562" width="8.86328125" style="87"/>
    <col min="2563" max="2563" width="3.73046875" style="87" customWidth="1"/>
    <col min="2564" max="2564" width="4.265625" style="87" customWidth="1"/>
    <col min="2565" max="2565" width="1.3984375" style="87" customWidth="1"/>
    <col min="2566" max="2567" width="12.1328125" style="87" customWidth="1"/>
    <col min="2568" max="2568" width="1.265625" style="87" customWidth="1"/>
    <col min="2569" max="2573" width="8.86328125" style="87"/>
    <col min="2574" max="2575" width="5.86328125" style="87" customWidth="1"/>
    <col min="2576" max="2576" width="6.3984375" style="87" customWidth="1"/>
    <col min="2577" max="2818" width="8.86328125" style="87"/>
    <col min="2819" max="2819" width="3.73046875" style="87" customWidth="1"/>
    <col min="2820" max="2820" width="4.265625" style="87" customWidth="1"/>
    <col min="2821" max="2821" width="1.3984375" style="87" customWidth="1"/>
    <col min="2822" max="2823" width="12.1328125" style="87" customWidth="1"/>
    <col min="2824" max="2824" width="1.265625" style="87" customWidth="1"/>
    <col min="2825" max="2829" width="8.86328125" style="87"/>
    <col min="2830" max="2831" width="5.86328125" style="87" customWidth="1"/>
    <col min="2832" max="2832" width="6.3984375" style="87" customWidth="1"/>
    <col min="2833" max="3074" width="8.86328125" style="87"/>
    <col min="3075" max="3075" width="3.73046875" style="87" customWidth="1"/>
    <col min="3076" max="3076" width="4.265625" style="87" customWidth="1"/>
    <col min="3077" max="3077" width="1.3984375" style="87" customWidth="1"/>
    <col min="3078" max="3079" width="12.1328125" style="87" customWidth="1"/>
    <col min="3080" max="3080" width="1.265625" style="87" customWidth="1"/>
    <col min="3081" max="3085" width="8.86328125" style="87"/>
    <col min="3086" max="3087" width="5.86328125" style="87" customWidth="1"/>
    <col min="3088" max="3088" width="6.3984375" style="87" customWidth="1"/>
    <col min="3089" max="3330" width="8.86328125" style="87"/>
    <col min="3331" max="3331" width="3.73046875" style="87" customWidth="1"/>
    <col min="3332" max="3332" width="4.265625" style="87" customWidth="1"/>
    <col min="3333" max="3333" width="1.3984375" style="87" customWidth="1"/>
    <col min="3334" max="3335" width="12.1328125" style="87" customWidth="1"/>
    <col min="3336" max="3336" width="1.265625" style="87" customWidth="1"/>
    <col min="3337" max="3341" width="8.86328125" style="87"/>
    <col min="3342" max="3343" width="5.86328125" style="87" customWidth="1"/>
    <col min="3344" max="3344" width="6.3984375" style="87" customWidth="1"/>
    <col min="3345" max="3586" width="8.86328125" style="87"/>
    <col min="3587" max="3587" width="3.73046875" style="87" customWidth="1"/>
    <col min="3588" max="3588" width="4.265625" style="87" customWidth="1"/>
    <col min="3589" max="3589" width="1.3984375" style="87" customWidth="1"/>
    <col min="3590" max="3591" width="12.1328125" style="87" customWidth="1"/>
    <col min="3592" max="3592" width="1.265625" style="87" customWidth="1"/>
    <col min="3593" max="3597" width="8.86328125" style="87"/>
    <col min="3598" max="3599" width="5.86328125" style="87" customWidth="1"/>
    <col min="3600" max="3600" width="6.3984375" style="87" customWidth="1"/>
    <col min="3601" max="3842" width="8.86328125" style="87"/>
    <col min="3843" max="3843" width="3.73046875" style="87" customWidth="1"/>
    <col min="3844" max="3844" width="4.265625" style="87" customWidth="1"/>
    <col min="3845" max="3845" width="1.3984375" style="87" customWidth="1"/>
    <col min="3846" max="3847" width="12.1328125" style="87" customWidth="1"/>
    <col min="3848" max="3848" width="1.265625" style="87" customWidth="1"/>
    <col min="3849" max="3853" width="8.86328125" style="87"/>
    <col min="3854" max="3855" width="5.86328125" style="87" customWidth="1"/>
    <col min="3856" max="3856" width="6.3984375" style="87" customWidth="1"/>
    <col min="3857" max="4098" width="8.86328125" style="87"/>
    <col min="4099" max="4099" width="3.73046875" style="87" customWidth="1"/>
    <col min="4100" max="4100" width="4.265625" style="87" customWidth="1"/>
    <col min="4101" max="4101" width="1.3984375" style="87" customWidth="1"/>
    <col min="4102" max="4103" width="12.1328125" style="87" customWidth="1"/>
    <col min="4104" max="4104" width="1.265625" style="87" customWidth="1"/>
    <col min="4105" max="4109" width="8.86328125" style="87"/>
    <col min="4110" max="4111" width="5.86328125" style="87" customWidth="1"/>
    <col min="4112" max="4112" width="6.3984375" style="87" customWidth="1"/>
    <col min="4113" max="4354" width="8.86328125" style="87"/>
    <col min="4355" max="4355" width="3.73046875" style="87" customWidth="1"/>
    <col min="4356" max="4356" width="4.265625" style="87" customWidth="1"/>
    <col min="4357" max="4357" width="1.3984375" style="87" customWidth="1"/>
    <col min="4358" max="4359" width="12.1328125" style="87" customWidth="1"/>
    <col min="4360" max="4360" width="1.265625" style="87" customWidth="1"/>
    <col min="4361" max="4365" width="8.86328125" style="87"/>
    <col min="4366" max="4367" width="5.86328125" style="87" customWidth="1"/>
    <col min="4368" max="4368" width="6.3984375" style="87" customWidth="1"/>
    <col min="4369" max="4610" width="8.86328125" style="87"/>
    <col min="4611" max="4611" width="3.73046875" style="87" customWidth="1"/>
    <col min="4612" max="4612" width="4.265625" style="87" customWidth="1"/>
    <col min="4613" max="4613" width="1.3984375" style="87" customWidth="1"/>
    <col min="4614" max="4615" width="12.1328125" style="87" customWidth="1"/>
    <col min="4616" max="4616" width="1.265625" style="87" customWidth="1"/>
    <col min="4617" max="4621" width="8.86328125" style="87"/>
    <col min="4622" max="4623" width="5.86328125" style="87" customWidth="1"/>
    <col min="4624" max="4624" width="6.3984375" style="87" customWidth="1"/>
    <col min="4625" max="4866" width="8.86328125" style="87"/>
    <col min="4867" max="4867" width="3.73046875" style="87" customWidth="1"/>
    <col min="4868" max="4868" width="4.265625" style="87" customWidth="1"/>
    <col min="4869" max="4869" width="1.3984375" style="87" customWidth="1"/>
    <col min="4870" max="4871" width="12.1328125" style="87" customWidth="1"/>
    <col min="4872" max="4872" width="1.265625" style="87" customWidth="1"/>
    <col min="4873" max="4877" width="8.86328125" style="87"/>
    <col min="4878" max="4879" width="5.86328125" style="87" customWidth="1"/>
    <col min="4880" max="4880" width="6.3984375" style="87" customWidth="1"/>
    <col min="4881" max="5122" width="8.86328125" style="87"/>
    <col min="5123" max="5123" width="3.73046875" style="87" customWidth="1"/>
    <col min="5124" max="5124" width="4.265625" style="87" customWidth="1"/>
    <col min="5125" max="5125" width="1.3984375" style="87" customWidth="1"/>
    <col min="5126" max="5127" width="12.1328125" style="87" customWidth="1"/>
    <col min="5128" max="5128" width="1.265625" style="87" customWidth="1"/>
    <col min="5129" max="5133" width="8.86328125" style="87"/>
    <col min="5134" max="5135" width="5.86328125" style="87" customWidth="1"/>
    <col min="5136" max="5136" width="6.3984375" style="87" customWidth="1"/>
    <col min="5137" max="5378" width="8.86328125" style="87"/>
    <col min="5379" max="5379" width="3.73046875" style="87" customWidth="1"/>
    <col min="5380" max="5380" width="4.265625" style="87" customWidth="1"/>
    <col min="5381" max="5381" width="1.3984375" style="87" customWidth="1"/>
    <col min="5382" max="5383" width="12.1328125" style="87" customWidth="1"/>
    <col min="5384" max="5384" width="1.265625" style="87" customWidth="1"/>
    <col min="5385" max="5389" width="8.86328125" style="87"/>
    <col min="5390" max="5391" width="5.86328125" style="87" customWidth="1"/>
    <col min="5392" max="5392" width="6.3984375" style="87" customWidth="1"/>
    <col min="5393" max="5634" width="8.86328125" style="87"/>
    <col min="5635" max="5635" width="3.73046875" style="87" customWidth="1"/>
    <col min="5636" max="5636" width="4.265625" style="87" customWidth="1"/>
    <col min="5637" max="5637" width="1.3984375" style="87" customWidth="1"/>
    <col min="5638" max="5639" width="12.1328125" style="87" customWidth="1"/>
    <col min="5640" max="5640" width="1.265625" style="87" customWidth="1"/>
    <col min="5641" max="5645" width="8.86328125" style="87"/>
    <col min="5646" max="5647" width="5.86328125" style="87" customWidth="1"/>
    <col min="5648" max="5648" width="6.3984375" style="87" customWidth="1"/>
    <col min="5649" max="5890" width="8.86328125" style="87"/>
    <col min="5891" max="5891" width="3.73046875" style="87" customWidth="1"/>
    <col min="5892" max="5892" width="4.265625" style="87" customWidth="1"/>
    <col min="5893" max="5893" width="1.3984375" style="87" customWidth="1"/>
    <col min="5894" max="5895" width="12.1328125" style="87" customWidth="1"/>
    <col min="5896" max="5896" width="1.265625" style="87" customWidth="1"/>
    <col min="5897" max="5901" width="8.86328125" style="87"/>
    <col min="5902" max="5903" width="5.86328125" style="87" customWidth="1"/>
    <col min="5904" max="5904" width="6.3984375" style="87" customWidth="1"/>
    <col min="5905" max="6146" width="8.86328125" style="87"/>
    <col min="6147" max="6147" width="3.73046875" style="87" customWidth="1"/>
    <col min="6148" max="6148" width="4.265625" style="87" customWidth="1"/>
    <col min="6149" max="6149" width="1.3984375" style="87" customWidth="1"/>
    <col min="6150" max="6151" width="12.1328125" style="87" customWidth="1"/>
    <col min="6152" max="6152" width="1.265625" style="87" customWidth="1"/>
    <col min="6153" max="6157" width="8.86328125" style="87"/>
    <col min="6158" max="6159" width="5.86328125" style="87" customWidth="1"/>
    <col min="6160" max="6160" width="6.3984375" style="87" customWidth="1"/>
    <col min="6161" max="6402" width="8.86328125" style="87"/>
    <col min="6403" max="6403" width="3.73046875" style="87" customWidth="1"/>
    <col min="6404" max="6404" width="4.265625" style="87" customWidth="1"/>
    <col min="6405" max="6405" width="1.3984375" style="87" customWidth="1"/>
    <col min="6406" max="6407" width="12.1328125" style="87" customWidth="1"/>
    <col min="6408" max="6408" width="1.265625" style="87" customWidth="1"/>
    <col min="6409" max="6413" width="8.86328125" style="87"/>
    <col min="6414" max="6415" width="5.86328125" style="87" customWidth="1"/>
    <col min="6416" max="6416" width="6.3984375" style="87" customWidth="1"/>
    <col min="6417" max="6658" width="8.86328125" style="87"/>
    <col min="6659" max="6659" width="3.73046875" style="87" customWidth="1"/>
    <col min="6660" max="6660" width="4.265625" style="87" customWidth="1"/>
    <col min="6661" max="6661" width="1.3984375" style="87" customWidth="1"/>
    <col min="6662" max="6663" width="12.1328125" style="87" customWidth="1"/>
    <col min="6664" max="6664" width="1.265625" style="87" customWidth="1"/>
    <col min="6665" max="6669" width="8.86328125" style="87"/>
    <col min="6670" max="6671" width="5.86328125" style="87" customWidth="1"/>
    <col min="6672" max="6672" width="6.3984375" style="87" customWidth="1"/>
    <col min="6673" max="6914" width="8.86328125" style="87"/>
    <col min="6915" max="6915" width="3.73046875" style="87" customWidth="1"/>
    <col min="6916" max="6916" width="4.265625" style="87" customWidth="1"/>
    <col min="6917" max="6917" width="1.3984375" style="87" customWidth="1"/>
    <col min="6918" max="6919" width="12.1328125" style="87" customWidth="1"/>
    <col min="6920" max="6920" width="1.265625" style="87" customWidth="1"/>
    <col min="6921" max="6925" width="8.86328125" style="87"/>
    <col min="6926" max="6927" width="5.86328125" style="87" customWidth="1"/>
    <col min="6928" max="6928" width="6.3984375" style="87" customWidth="1"/>
    <col min="6929" max="7170" width="8.86328125" style="87"/>
    <col min="7171" max="7171" width="3.73046875" style="87" customWidth="1"/>
    <col min="7172" max="7172" width="4.265625" style="87" customWidth="1"/>
    <col min="7173" max="7173" width="1.3984375" style="87" customWidth="1"/>
    <col min="7174" max="7175" width="12.1328125" style="87" customWidth="1"/>
    <col min="7176" max="7176" width="1.265625" style="87" customWidth="1"/>
    <col min="7177" max="7181" width="8.86328125" style="87"/>
    <col min="7182" max="7183" width="5.86328125" style="87" customWidth="1"/>
    <col min="7184" max="7184" width="6.3984375" style="87" customWidth="1"/>
    <col min="7185" max="7426" width="8.86328125" style="87"/>
    <col min="7427" max="7427" width="3.73046875" style="87" customWidth="1"/>
    <col min="7428" max="7428" width="4.265625" style="87" customWidth="1"/>
    <col min="7429" max="7429" width="1.3984375" style="87" customWidth="1"/>
    <col min="7430" max="7431" width="12.1328125" style="87" customWidth="1"/>
    <col min="7432" max="7432" width="1.265625" style="87" customWidth="1"/>
    <col min="7433" max="7437" width="8.86328125" style="87"/>
    <col min="7438" max="7439" width="5.86328125" style="87" customWidth="1"/>
    <col min="7440" max="7440" width="6.3984375" style="87" customWidth="1"/>
    <col min="7441" max="7682" width="8.86328125" style="87"/>
    <col min="7683" max="7683" width="3.73046875" style="87" customWidth="1"/>
    <col min="7684" max="7684" width="4.265625" style="87" customWidth="1"/>
    <col min="7685" max="7685" width="1.3984375" style="87" customWidth="1"/>
    <col min="7686" max="7687" width="12.1328125" style="87" customWidth="1"/>
    <col min="7688" max="7688" width="1.265625" style="87" customWidth="1"/>
    <col min="7689" max="7693" width="8.86328125" style="87"/>
    <col min="7694" max="7695" width="5.86328125" style="87" customWidth="1"/>
    <col min="7696" max="7696" width="6.3984375" style="87" customWidth="1"/>
    <col min="7697" max="7938" width="8.86328125" style="87"/>
    <col min="7939" max="7939" width="3.73046875" style="87" customWidth="1"/>
    <col min="7940" max="7940" width="4.265625" style="87" customWidth="1"/>
    <col min="7941" max="7941" width="1.3984375" style="87" customWidth="1"/>
    <col min="7942" max="7943" width="12.1328125" style="87" customWidth="1"/>
    <col min="7944" max="7944" width="1.265625" style="87" customWidth="1"/>
    <col min="7945" max="7949" width="8.86328125" style="87"/>
    <col min="7950" max="7951" width="5.86328125" style="87" customWidth="1"/>
    <col min="7952" max="7952" width="6.3984375" style="87" customWidth="1"/>
    <col min="7953" max="8194" width="8.86328125" style="87"/>
    <col min="8195" max="8195" width="3.73046875" style="87" customWidth="1"/>
    <col min="8196" max="8196" width="4.265625" style="87" customWidth="1"/>
    <col min="8197" max="8197" width="1.3984375" style="87" customWidth="1"/>
    <col min="8198" max="8199" width="12.1328125" style="87" customWidth="1"/>
    <col min="8200" max="8200" width="1.265625" style="87" customWidth="1"/>
    <col min="8201" max="8205" width="8.86328125" style="87"/>
    <col min="8206" max="8207" width="5.86328125" style="87" customWidth="1"/>
    <col min="8208" max="8208" width="6.3984375" style="87" customWidth="1"/>
    <col min="8209" max="8450" width="8.86328125" style="87"/>
    <col min="8451" max="8451" width="3.73046875" style="87" customWidth="1"/>
    <col min="8452" max="8452" width="4.265625" style="87" customWidth="1"/>
    <col min="8453" max="8453" width="1.3984375" style="87" customWidth="1"/>
    <col min="8454" max="8455" width="12.1328125" style="87" customWidth="1"/>
    <col min="8456" max="8456" width="1.265625" style="87" customWidth="1"/>
    <col min="8457" max="8461" width="8.86328125" style="87"/>
    <col min="8462" max="8463" width="5.86328125" style="87" customWidth="1"/>
    <col min="8464" max="8464" width="6.3984375" style="87" customWidth="1"/>
    <col min="8465" max="8706" width="8.86328125" style="87"/>
    <col min="8707" max="8707" width="3.73046875" style="87" customWidth="1"/>
    <col min="8708" max="8708" width="4.265625" style="87" customWidth="1"/>
    <col min="8709" max="8709" width="1.3984375" style="87" customWidth="1"/>
    <col min="8710" max="8711" width="12.1328125" style="87" customWidth="1"/>
    <col min="8712" max="8712" width="1.265625" style="87" customWidth="1"/>
    <col min="8713" max="8717" width="8.86328125" style="87"/>
    <col min="8718" max="8719" width="5.86328125" style="87" customWidth="1"/>
    <col min="8720" max="8720" width="6.3984375" style="87" customWidth="1"/>
    <col min="8721" max="8962" width="8.86328125" style="87"/>
    <col min="8963" max="8963" width="3.73046875" style="87" customWidth="1"/>
    <col min="8964" max="8964" width="4.265625" style="87" customWidth="1"/>
    <col min="8965" max="8965" width="1.3984375" style="87" customWidth="1"/>
    <col min="8966" max="8967" width="12.1328125" style="87" customWidth="1"/>
    <col min="8968" max="8968" width="1.265625" style="87" customWidth="1"/>
    <col min="8969" max="8973" width="8.86328125" style="87"/>
    <col min="8974" max="8975" width="5.86328125" style="87" customWidth="1"/>
    <col min="8976" max="8976" width="6.3984375" style="87" customWidth="1"/>
    <col min="8977" max="9218" width="8.86328125" style="87"/>
    <col min="9219" max="9219" width="3.73046875" style="87" customWidth="1"/>
    <col min="9220" max="9220" width="4.265625" style="87" customWidth="1"/>
    <col min="9221" max="9221" width="1.3984375" style="87" customWidth="1"/>
    <col min="9222" max="9223" width="12.1328125" style="87" customWidth="1"/>
    <col min="9224" max="9224" width="1.265625" style="87" customWidth="1"/>
    <col min="9225" max="9229" width="8.86328125" style="87"/>
    <col min="9230" max="9231" width="5.86328125" style="87" customWidth="1"/>
    <col min="9232" max="9232" width="6.3984375" style="87" customWidth="1"/>
    <col min="9233" max="9474" width="8.86328125" style="87"/>
    <col min="9475" max="9475" width="3.73046875" style="87" customWidth="1"/>
    <col min="9476" max="9476" width="4.265625" style="87" customWidth="1"/>
    <col min="9477" max="9477" width="1.3984375" style="87" customWidth="1"/>
    <col min="9478" max="9479" width="12.1328125" style="87" customWidth="1"/>
    <col min="9480" max="9480" width="1.265625" style="87" customWidth="1"/>
    <col min="9481" max="9485" width="8.86328125" style="87"/>
    <col min="9486" max="9487" width="5.86328125" style="87" customWidth="1"/>
    <col min="9488" max="9488" width="6.3984375" style="87" customWidth="1"/>
    <col min="9489" max="9730" width="8.86328125" style="87"/>
    <col min="9731" max="9731" width="3.73046875" style="87" customWidth="1"/>
    <col min="9732" max="9732" width="4.265625" style="87" customWidth="1"/>
    <col min="9733" max="9733" width="1.3984375" style="87" customWidth="1"/>
    <col min="9734" max="9735" width="12.1328125" style="87" customWidth="1"/>
    <col min="9736" max="9736" width="1.265625" style="87" customWidth="1"/>
    <col min="9737" max="9741" width="8.86328125" style="87"/>
    <col min="9742" max="9743" width="5.86328125" style="87" customWidth="1"/>
    <col min="9744" max="9744" width="6.3984375" style="87" customWidth="1"/>
    <col min="9745" max="9986" width="8.86328125" style="87"/>
    <col min="9987" max="9987" width="3.73046875" style="87" customWidth="1"/>
    <col min="9988" max="9988" width="4.265625" style="87" customWidth="1"/>
    <col min="9989" max="9989" width="1.3984375" style="87" customWidth="1"/>
    <col min="9990" max="9991" width="12.1328125" style="87" customWidth="1"/>
    <col min="9992" max="9992" width="1.265625" style="87" customWidth="1"/>
    <col min="9993" max="9997" width="8.86328125" style="87"/>
    <col min="9998" max="9999" width="5.86328125" style="87" customWidth="1"/>
    <col min="10000" max="10000" width="6.3984375" style="87" customWidth="1"/>
    <col min="10001" max="10242" width="8.86328125" style="87"/>
    <col min="10243" max="10243" width="3.73046875" style="87" customWidth="1"/>
    <col min="10244" max="10244" width="4.265625" style="87" customWidth="1"/>
    <col min="10245" max="10245" width="1.3984375" style="87" customWidth="1"/>
    <col min="10246" max="10247" width="12.1328125" style="87" customWidth="1"/>
    <col min="10248" max="10248" width="1.265625" style="87" customWidth="1"/>
    <col min="10249" max="10253" width="8.86328125" style="87"/>
    <col min="10254" max="10255" width="5.86328125" style="87" customWidth="1"/>
    <col min="10256" max="10256" width="6.3984375" style="87" customWidth="1"/>
    <col min="10257" max="10498" width="8.86328125" style="87"/>
    <col min="10499" max="10499" width="3.73046875" style="87" customWidth="1"/>
    <col min="10500" max="10500" width="4.265625" style="87" customWidth="1"/>
    <col min="10501" max="10501" width="1.3984375" style="87" customWidth="1"/>
    <col min="10502" max="10503" width="12.1328125" style="87" customWidth="1"/>
    <col min="10504" max="10504" width="1.265625" style="87" customWidth="1"/>
    <col min="10505" max="10509" width="8.86328125" style="87"/>
    <col min="10510" max="10511" width="5.86328125" style="87" customWidth="1"/>
    <col min="10512" max="10512" width="6.3984375" style="87" customWidth="1"/>
    <col min="10513" max="10754" width="8.86328125" style="87"/>
    <col min="10755" max="10755" width="3.73046875" style="87" customWidth="1"/>
    <col min="10756" max="10756" width="4.265625" style="87" customWidth="1"/>
    <col min="10757" max="10757" width="1.3984375" style="87" customWidth="1"/>
    <col min="10758" max="10759" width="12.1328125" style="87" customWidth="1"/>
    <col min="10760" max="10760" width="1.265625" style="87" customWidth="1"/>
    <col min="10761" max="10765" width="8.86328125" style="87"/>
    <col min="10766" max="10767" width="5.86328125" style="87" customWidth="1"/>
    <col min="10768" max="10768" width="6.3984375" style="87" customWidth="1"/>
    <col min="10769" max="11010" width="8.86328125" style="87"/>
    <col min="11011" max="11011" width="3.73046875" style="87" customWidth="1"/>
    <col min="11012" max="11012" width="4.265625" style="87" customWidth="1"/>
    <col min="11013" max="11013" width="1.3984375" style="87" customWidth="1"/>
    <col min="11014" max="11015" width="12.1328125" style="87" customWidth="1"/>
    <col min="11016" max="11016" width="1.265625" style="87" customWidth="1"/>
    <col min="11017" max="11021" width="8.86328125" style="87"/>
    <col min="11022" max="11023" width="5.86328125" style="87" customWidth="1"/>
    <col min="11024" max="11024" width="6.3984375" style="87" customWidth="1"/>
    <col min="11025" max="11266" width="8.86328125" style="87"/>
    <col min="11267" max="11267" width="3.73046875" style="87" customWidth="1"/>
    <col min="11268" max="11268" width="4.265625" style="87" customWidth="1"/>
    <col min="11269" max="11269" width="1.3984375" style="87" customWidth="1"/>
    <col min="11270" max="11271" width="12.1328125" style="87" customWidth="1"/>
    <col min="11272" max="11272" width="1.265625" style="87" customWidth="1"/>
    <col min="11273" max="11277" width="8.86328125" style="87"/>
    <col min="11278" max="11279" width="5.86328125" style="87" customWidth="1"/>
    <col min="11280" max="11280" width="6.3984375" style="87" customWidth="1"/>
    <col min="11281" max="11522" width="8.86328125" style="87"/>
    <col min="11523" max="11523" width="3.73046875" style="87" customWidth="1"/>
    <col min="11524" max="11524" width="4.265625" style="87" customWidth="1"/>
    <col min="11525" max="11525" width="1.3984375" style="87" customWidth="1"/>
    <col min="11526" max="11527" width="12.1328125" style="87" customWidth="1"/>
    <col min="11528" max="11528" width="1.265625" style="87" customWidth="1"/>
    <col min="11529" max="11533" width="8.86328125" style="87"/>
    <col min="11534" max="11535" width="5.86328125" style="87" customWidth="1"/>
    <col min="11536" max="11536" width="6.3984375" style="87" customWidth="1"/>
    <col min="11537" max="11778" width="8.86328125" style="87"/>
    <col min="11779" max="11779" width="3.73046875" style="87" customWidth="1"/>
    <col min="11780" max="11780" width="4.265625" style="87" customWidth="1"/>
    <col min="11781" max="11781" width="1.3984375" style="87" customWidth="1"/>
    <col min="11782" max="11783" width="12.1328125" style="87" customWidth="1"/>
    <col min="11784" max="11784" width="1.265625" style="87" customWidth="1"/>
    <col min="11785" max="11789" width="8.86328125" style="87"/>
    <col min="11790" max="11791" width="5.86328125" style="87" customWidth="1"/>
    <col min="11792" max="11792" width="6.3984375" style="87" customWidth="1"/>
    <col min="11793" max="12034" width="8.86328125" style="87"/>
    <col min="12035" max="12035" width="3.73046875" style="87" customWidth="1"/>
    <col min="12036" max="12036" width="4.265625" style="87" customWidth="1"/>
    <col min="12037" max="12037" width="1.3984375" style="87" customWidth="1"/>
    <col min="12038" max="12039" width="12.1328125" style="87" customWidth="1"/>
    <col min="12040" max="12040" width="1.265625" style="87" customWidth="1"/>
    <col min="12041" max="12045" width="8.86328125" style="87"/>
    <col min="12046" max="12047" width="5.86328125" style="87" customWidth="1"/>
    <col min="12048" max="12048" width="6.3984375" style="87" customWidth="1"/>
    <col min="12049" max="12290" width="8.86328125" style="87"/>
    <col min="12291" max="12291" width="3.73046875" style="87" customWidth="1"/>
    <col min="12292" max="12292" width="4.265625" style="87" customWidth="1"/>
    <col min="12293" max="12293" width="1.3984375" style="87" customWidth="1"/>
    <col min="12294" max="12295" width="12.1328125" style="87" customWidth="1"/>
    <col min="12296" max="12296" width="1.265625" style="87" customWidth="1"/>
    <col min="12297" max="12301" width="8.86328125" style="87"/>
    <col min="12302" max="12303" width="5.86328125" style="87" customWidth="1"/>
    <col min="12304" max="12304" width="6.3984375" style="87" customWidth="1"/>
    <col min="12305" max="12546" width="8.86328125" style="87"/>
    <col min="12547" max="12547" width="3.73046875" style="87" customWidth="1"/>
    <col min="12548" max="12548" width="4.265625" style="87" customWidth="1"/>
    <col min="12549" max="12549" width="1.3984375" style="87" customWidth="1"/>
    <col min="12550" max="12551" width="12.1328125" style="87" customWidth="1"/>
    <col min="12552" max="12552" width="1.265625" style="87" customWidth="1"/>
    <col min="12553" max="12557" width="8.86328125" style="87"/>
    <col min="12558" max="12559" width="5.86328125" style="87" customWidth="1"/>
    <col min="12560" max="12560" width="6.3984375" style="87" customWidth="1"/>
    <col min="12561" max="12802" width="8.86328125" style="87"/>
    <col min="12803" max="12803" width="3.73046875" style="87" customWidth="1"/>
    <col min="12804" max="12804" width="4.265625" style="87" customWidth="1"/>
    <col min="12805" max="12805" width="1.3984375" style="87" customWidth="1"/>
    <col min="12806" max="12807" width="12.1328125" style="87" customWidth="1"/>
    <col min="12808" max="12808" width="1.265625" style="87" customWidth="1"/>
    <col min="12809" max="12813" width="8.86328125" style="87"/>
    <col min="12814" max="12815" width="5.86328125" style="87" customWidth="1"/>
    <col min="12816" max="12816" width="6.3984375" style="87" customWidth="1"/>
    <col min="12817" max="13058" width="8.86328125" style="87"/>
    <col min="13059" max="13059" width="3.73046875" style="87" customWidth="1"/>
    <col min="13060" max="13060" width="4.265625" style="87" customWidth="1"/>
    <col min="13061" max="13061" width="1.3984375" style="87" customWidth="1"/>
    <col min="13062" max="13063" width="12.1328125" style="87" customWidth="1"/>
    <col min="13064" max="13064" width="1.265625" style="87" customWidth="1"/>
    <col min="13065" max="13069" width="8.86328125" style="87"/>
    <col min="13070" max="13071" width="5.86328125" style="87" customWidth="1"/>
    <col min="13072" max="13072" width="6.3984375" style="87" customWidth="1"/>
    <col min="13073" max="13314" width="8.86328125" style="87"/>
    <col min="13315" max="13315" width="3.73046875" style="87" customWidth="1"/>
    <col min="13316" max="13316" width="4.265625" style="87" customWidth="1"/>
    <col min="13317" max="13317" width="1.3984375" style="87" customWidth="1"/>
    <col min="13318" max="13319" width="12.1328125" style="87" customWidth="1"/>
    <col min="13320" max="13320" width="1.265625" style="87" customWidth="1"/>
    <col min="13321" max="13325" width="8.86328125" style="87"/>
    <col min="13326" max="13327" width="5.86328125" style="87" customWidth="1"/>
    <col min="13328" max="13328" width="6.3984375" style="87" customWidth="1"/>
    <col min="13329" max="13570" width="8.86328125" style="87"/>
    <col min="13571" max="13571" width="3.73046875" style="87" customWidth="1"/>
    <col min="13572" max="13572" width="4.265625" style="87" customWidth="1"/>
    <col min="13573" max="13573" width="1.3984375" style="87" customWidth="1"/>
    <col min="13574" max="13575" width="12.1328125" style="87" customWidth="1"/>
    <col min="13576" max="13576" width="1.265625" style="87" customWidth="1"/>
    <col min="13577" max="13581" width="8.86328125" style="87"/>
    <col min="13582" max="13583" width="5.86328125" style="87" customWidth="1"/>
    <col min="13584" max="13584" width="6.3984375" style="87" customWidth="1"/>
    <col min="13585" max="13826" width="8.86328125" style="87"/>
    <col min="13827" max="13827" width="3.73046875" style="87" customWidth="1"/>
    <col min="13828" max="13828" width="4.265625" style="87" customWidth="1"/>
    <col min="13829" max="13829" width="1.3984375" style="87" customWidth="1"/>
    <col min="13830" max="13831" width="12.1328125" style="87" customWidth="1"/>
    <col min="13832" max="13832" width="1.265625" style="87" customWidth="1"/>
    <col min="13833" max="13837" width="8.86328125" style="87"/>
    <col min="13838" max="13839" width="5.86328125" style="87" customWidth="1"/>
    <col min="13840" max="13840" width="6.3984375" style="87" customWidth="1"/>
    <col min="13841" max="14082" width="8.86328125" style="87"/>
    <col min="14083" max="14083" width="3.73046875" style="87" customWidth="1"/>
    <col min="14084" max="14084" width="4.265625" style="87" customWidth="1"/>
    <col min="14085" max="14085" width="1.3984375" style="87" customWidth="1"/>
    <col min="14086" max="14087" width="12.1328125" style="87" customWidth="1"/>
    <col min="14088" max="14088" width="1.265625" style="87" customWidth="1"/>
    <col min="14089" max="14093" width="8.86328125" style="87"/>
    <col min="14094" max="14095" width="5.86328125" style="87" customWidth="1"/>
    <col min="14096" max="14096" width="6.3984375" style="87" customWidth="1"/>
    <col min="14097" max="14338" width="8.86328125" style="87"/>
    <col min="14339" max="14339" width="3.73046875" style="87" customWidth="1"/>
    <col min="14340" max="14340" width="4.265625" style="87" customWidth="1"/>
    <col min="14341" max="14341" width="1.3984375" style="87" customWidth="1"/>
    <col min="14342" max="14343" width="12.1328125" style="87" customWidth="1"/>
    <col min="14344" max="14344" width="1.265625" style="87" customWidth="1"/>
    <col min="14345" max="14349" width="8.86328125" style="87"/>
    <col min="14350" max="14351" width="5.86328125" style="87" customWidth="1"/>
    <col min="14352" max="14352" width="6.3984375" style="87" customWidth="1"/>
    <col min="14353" max="14594" width="8.86328125" style="87"/>
    <col min="14595" max="14595" width="3.73046875" style="87" customWidth="1"/>
    <col min="14596" max="14596" width="4.265625" style="87" customWidth="1"/>
    <col min="14597" max="14597" width="1.3984375" style="87" customWidth="1"/>
    <col min="14598" max="14599" width="12.1328125" style="87" customWidth="1"/>
    <col min="14600" max="14600" width="1.265625" style="87" customWidth="1"/>
    <col min="14601" max="14605" width="8.86328125" style="87"/>
    <col min="14606" max="14607" width="5.86328125" style="87" customWidth="1"/>
    <col min="14608" max="14608" width="6.3984375" style="87" customWidth="1"/>
    <col min="14609" max="14850" width="8.86328125" style="87"/>
    <col min="14851" max="14851" width="3.73046875" style="87" customWidth="1"/>
    <col min="14852" max="14852" width="4.265625" style="87" customWidth="1"/>
    <col min="14853" max="14853" width="1.3984375" style="87" customWidth="1"/>
    <col min="14854" max="14855" width="12.1328125" style="87" customWidth="1"/>
    <col min="14856" max="14856" width="1.265625" style="87" customWidth="1"/>
    <col min="14857" max="14861" width="8.86328125" style="87"/>
    <col min="14862" max="14863" width="5.86328125" style="87" customWidth="1"/>
    <col min="14864" max="14864" width="6.3984375" style="87" customWidth="1"/>
    <col min="14865" max="15106" width="8.86328125" style="87"/>
    <col min="15107" max="15107" width="3.73046875" style="87" customWidth="1"/>
    <col min="15108" max="15108" width="4.265625" style="87" customWidth="1"/>
    <col min="15109" max="15109" width="1.3984375" style="87" customWidth="1"/>
    <col min="15110" max="15111" width="12.1328125" style="87" customWidth="1"/>
    <col min="15112" max="15112" width="1.265625" style="87" customWidth="1"/>
    <col min="15113" max="15117" width="8.86328125" style="87"/>
    <col min="15118" max="15119" width="5.86328125" style="87" customWidth="1"/>
    <col min="15120" max="15120" width="6.3984375" style="87" customWidth="1"/>
    <col min="15121" max="15362" width="8.86328125" style="87"/>
    <col min="15363" max="15363" width="3.73046875" style="87" customWidth="1"/>
    <col min="15364" max="15364" width="4.265625" style="87" customWidth="1"/>
    <col min="15365" max="15365" width="1.3984375" style="87" customWidth="1"/>
    <col min="15366" max="15367" width="12.1328125" style="87" customWidth="1"/>
    <col min="15368" max="15368" width="1.265625" style="87" customWidth="1"/>
    <col min="15369" max="15373" width="8.86328125" style="87"/>
    <col min="15374" max="15375" width="5.86328125" style="87" customWidth="1"/>
    <col min="15376" max="15376" width="6.3984375" style="87" customWidth="1"/>
    <col min="15377" max="15618" width="8.86328125" style="87"/>
    <col min="15619" max="15619" width="3.73046875" style="87" customWidth="1"/>
    <col min="15620" max="15620" width="4.265625" style="87" customWidth="1"/>
    <col min="15621" max="15621" width="1.3984375" style="87" customWidth="1"/>
    <col min="15622" max="15623" width="12.1328125" style="87" customWidth="1"/>
    <col min="15624" max="15624" width="1.265625" style="87" customWidth="1"/>
    <col min="15625" max="15629" width="8.86328125" style="87"/>
    <col min="15630" max="15631" width="5.86328125" style="87" customWidth="1"/>
    <col min="15632" max="15632" width="6.3984375" style="87" customWidth="1"/>
    <col min="15633" max="15874" width="8.86328125" style="87"/>
    <col min="15875" max="15875" width="3.73046875" style="87" customWidth="1"/>
    <col min="15876" max="15876" width="4.265625" style="87" customWidth="1"/>
    <col min="15877" max="15877" width="1.3984375" style="87" customWidth="1"/>
    <col min="15878" max="15879" width="12.1328125" style="87" customWidth="1"/>
    <col min="15880" max="15880" width="1.265625" style="87" customWidth="1"/>
    <col min="15881" max="15885" width="8.86328125" style="87"/>
    <col min="15886" max="15887" width="5.86328125" style="87" customWidth="1"/>
    <col min="15888" max="15888" width="6.3984375" style="87" customWidth="1"/>
    <col min="15889" max="16130" width="8.86328125" style="87"/>
    <col min="16131" max="16131" width="3.73046875" style="87" customWidth="1"/>
    <col min="16132" max="16132" width="4.265625" style="87" customWidth="1"/>
    <col min="16133" max="16133" width="1.3984375" style="87" customWidth="1"/>
    <col min="16134" max="16135" width="12.1328125" style="87" customWidth="1"/>
    <col min="16136" max="16136" width="1.265625" style="87" customWidth="1"/>
    <col min="16137" max="16141" width="8.86328125" style="87"/>
    <col min="16142" max="16143" width="5.86328125" style="87" customWidth="1"/>
    <col min="16144" max="16144" width="6.3984375" style="87" customWidth="1"/>
    <col min="16145" max="16384" width="8.86328125" style="87"/>
  </cols>
  <sheetData>
    <row r="1" spans="1:21" x14ac:dyDescent="0.45">
      <c r="A1" s="63" t="s">
        <v>204</v>
      </c>
      <c r="C1" s="87" t="s">
        <v>246</v>
      </c>
      <c r="K1" s="88" t="s">
        <v>247</v>
      </c>
      <c r="L1" s="89"/>
    </row>
    <row r="2" spans="1:21" ht="14.65" thickBot="1" x14ac:dyDescent="0.5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0</v>
      </c>
      <c r="N2" s="93" t="s">
        <v>251</v>
      </c>
      <c r="O2" s="94" t="s">
        <v>252</v>
      </c>
      <c r="P2" s="95" t="s">
        <v>253</v>
      </c>
    </row>
    <row r="3" spans="1:21" x14ac:dyDescent="0.4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0</v>
      </c>
      <c r="N3" s="91">
        <v>0</v>
      </c>
      <c r="O3" s="98">
        <v>0</v>
      </c>
      <c r="P3" s="99">
        <f>1+C4/20</f>
        <v>1.35</v>
      </c>
    </row>
    <row r="4" spans="1:21" ht="14.65" thickBot="1" x14ac:dyDescent="0.5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45">
      <c r="A5" s="63" t="s">
        <v>210</v>
      </c>
      <c r="N5" s="100">
        <v>0</v>
      </c>
      <c r="O5" s="101">
        <v>1</v>
      </c>
      <c r="P5" s="102">
        <v>1</v>
      </c>
    </row>
    <row r="6" spans="1:21" ht="14.65" thickBot="1" x14ac:dyDescent="0.5">
      <c r="A6" s="64" t="b">
        <f>AND(M2,M3)</f>
        <v>0</v>
      </c>
      <c r="N6" s="96">
        <v>2</v>
      </c>
      <c r="O6" s="103">
        <v>1</v>
      </c>
      <c r="P6" s="104">
        <v>1</v>
      </c>
    </row>
    <row r="7" spans="1:21" x14ac:dyDescent="0.45">
      <c r="A7" s="63" t="s">
        <v>211</v>
      </c>
      <c r="R7" s="105"/>
    </row>
    <row r="8" spans="1:21" x14ac:dyDescent="0.45">
      <c r="A8" s="65" t="s">
        <v>201</v>
      </c>
      <c r="R8" s="105"/>
    </row>
    <row r="9" spans="1:21" ht="14.65" thickBot="1" x14ac:dyDescent="0.5">
      <c r="A9" s="64">
        <f>VLOOKUP(A8,OpenSolverResultCodes,2,FALSE)</f>
        <v>0</v>
      </c>
    </row>
    <row r="10" spans="1:21" x14ac:dyDescent="0.45">
      <c r="P10" s="105" t="s">
        <v>255</v>
      </c>
      <c r="Q10" s="87">
        <v>0</v>
      </c>
      <c r="R10" s="105" t="s">
        <v>8</v>
      </c>
      <c r="S10" s="87">
        <v>-10</v>
      </c>
      <c r="T10" s="105" t="s">
        <v>8</v>
      </c>
      <c r="U10" s="87">
        <v>2</v>
      </c>
    </row>
    <row r="11" spans="1:21" x14ac:dyDescent="0.45">
      <c r="P11" s="105" t="s">
        <v>256</v>
      </c>
      <c r="Q11" s="87">
        <v>0</v>
      </c>
      <c r="R11" s="105" t="s">
        <v>8</v>
      </c>
      <c r="S11" s="87">
        <v>-10</v>
      </c>
      <c r="T11" s="105" t="s">
        <v>8</v>
      </c>
      <c r="U11" s="87">
        <v>1</v>
      </c>
    </row>
    <row r="13" spans="1:21" x14ac:dyDescent="0.45">
      <c r="R13" s="105" t="s">
        <v>257</v>
      </c>
      <c r="S13" s="87">
        <f>wa*SQRT((xa-S10)^2+(ya-S11)^2)+wb*SQRT((xb-S10)^2+(yb-S11)^2)+wc*SQRT((xc-S10)^2+(yc-S11)^2)+wd*SQRT((xd-S10)^2+(yd-S11)^2)</f>
        <v>70.543421592812308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6328125" defaultRowHeight="12.75" x14ac:dyDescent="0.35"/>
  <cols>
    <col min="1" max="4" width="8.86328125" style="87"/>
    <col min="5" max="5" width="1.3984375" style="87" customWidth="1"/>
    <col min="6" max="260" width="8.86328125" style="87"/>
    <col min="261" max="261" width="1.3984375" style="87" customWidth="1"/>
    <col min="262" max="516" width="8.86328125" style="87"/>
    <col min="517" max="517" width="1.3984375" style="87" customWidth="1"/>
    <col min="518" max="772" width="8.86328125" style="87"/>
    <col min="773" max="773" width="1.3984375" style="87" customWidth="1"/>
    <col min="774" max="1028" width="8.86328125" style="87"/>
    <col min="1029" max="1029" width="1.3984375" style="87" customWidth="1"/>
    <col min="1030" max="1284" width="8.86328125" style="87"/>
    <col min="1285" max="1285" width="1.3984375" style="87" customWidth="1"/>
    <col min="1286" max="1540" width="8.86328125" style="87"/>
    <col min="1541" max="1541" width="1.3984375" style="87" customWidth="1"/>
    <col min="1542" max="1796" width="8.86328125" style="87"/>
    <col min="1797" max="1797" width="1.3984375" style="87" customWidth="1"/>
    <col min="1798" max="2052" width="8.86328125" style="87"/>
    <col min="2053" max="2053" width="1.3984375" style="87" customWidth="1"/>
    <col min="2054" max="2308" width="8.86328125" style="87"/>
    <col min="2309" max="2309" width="1.3984375" style="87" customWidth="1"/>
    <col min="2310" max="2564" width="8.86328125" style="87"/>
    <col min="2565" max="2565" width="1.3984375" style="87" customWidth="1"/>
    <col min="2566" max="2820" width="8.86328125" style="87"/>
    <col min="2821" max="2821" width="1.3984375" style="87" customWidth="1"/>
    <col min="2822" max="3076" width="8.86328125" style="87"/>
    <col min="3077" max="3077" width="1.3984375" style="87" customWidth="1"/>
    <col min="3078" max="3332" width="8.86328125" style="87"/>
    <col min="3333" max="3333" width="1.3984375" style="87" customWidth="1"/>
    <col min="3334" max="3588" width="8.86328125" style="87"/>
    <col min="3589" max="3589" width="1.3984375" style="87" customWidth="1"/>
    <col min="3590" max="3844" width="8.86328125" style="87"/>
    <col min="3845" max="3845" width="1.3984375" style="87" customWidth="1"/>
    <col min="3846" max="4100" width="8.86328125" style="87"/>
    <col min="4101" max="4101" width="1.3984375" style="87" customWidth="1"/>
    <col min="4102" max="4356" width="8.86328125" style="87"/>
    <col min="4357" max="4357" width="1.3984375" style="87" customWidth="1"/>
    <col min="4358" max="4612" width="8.86328125" style="87"/>
    <col min="4613" max="4613" width="1.3984375" style="87" customWidth="1"/>
    <col min="4614" max="4868" width="8.86328125" style="87"/>
    <col min="4869" max="4869" width="1.3984375" style="87" customWidth="1"/>
    <col min="4870" max="5124" width="8.86328125" style="87"/>
    <col min="5125" max="5125" width="1.3984375" style="87" customWidth="1"/>
    <col min="5126" max="5380" width="8.86328125" style="87"/>
    <col min="5381" max="5381" width="1.3984375" style="87" customWidth="1"/>
    <col min="5382" max="5636" width="8.86328125" style="87"/>
    <col min="5637" max="5637" width="1.3984375" style="87" customWidth="1"/>
    <col min="5638" max="5892" width="8.86328125" style="87"/>
    <col min="5893" max="5893" width="1.3984375" style="87" customWidth="1"/>
    <col min="5894" max="6148" width="8.86328125" style="87"/>
    <col min="6149" max="6149" width="1.3984375" style="87" customWidth="1"/>
    <col min="6150" max="6404" width="8.86328125" style="87"/>
    <col min="6405" max="6405" width="1.3984375" style="87" customWidth="1"/>
    <col min="6406" max="6660" width="8.86328125" style="87"/>
    <col min="6661" max="6661" width="1.3984375" style="87" customWidth="1"/>
    <col min="6662" max="6916" width="8.86328125" style="87"/>
    <col min="6917" max="6917" width="1.3984375" style="87" customWidth="1"/>
    <col min="6918" max="7172" width="8.86328125" style="87"/>
    <col min="7173" max="7173" width="1.3984375" style="87" customWidth="1"/>
    <col min="7174" max="7428" width="8.86328125" style="87"/>
    <col min="7429" max="7429" width="1.3984375" style="87" customWidth="1"/>
    <col min="7430" max="7684" width="8.86328125" style="87"/>
    <col min="7685" max="7685" width="1.3984375" style="87" customWidth="1"/>
    <col min="7686" max="7940" width="8.86328125" style="87"/>
    <col min="7941" max="7941" width="1.3984375" style="87" customWidth="1"/>
    <col min="7942" max="8196" width="8.86328125" style="87"/>
    <col min="8197" max="8197" width="1.3984375" style="87" customWidth="1"/>
    <col min="8198" max="8452" width="8.86328125" style="87"/>
    <col min="8453" max="8453" width="1.3984375" style="87" customWidth="1"/>
    <col min="8454" max="8708" width="8.86328125" style="87"/>
    <col min="8709" max="8709" width="1.3984375" style="87" customWidth="1"/>
    <col min="8710" max="8964" width="8.86328125" style="87"/>
    <col min="8965" max="8965" width="1.3984375" style="87" customWidth="1"/>
    <col min="8966" max="9220" width="8.86328125" style="87"/>
    <col min="9221" max="9221" width="1.3984375" style="87" customWidth="1"/>
    <col min="9222" max="9476" width="8.86328125" style="87"/>
    <col min="9477" max="9477" width="1.3984375" style="87" customWidth="1"/>
    <col min="9478" max="9732" width="8.86328125" style="87"/>
    <col min="9733" max="9733" width="1.3984375" style="87" customWidth="1"/>
    <col min="9734" max="9988" width="8.86328125" style="87"/>
    <col min="9989" max="9989" width="1.3984375" style="87" customWidth="1"/>
    <col min="9990" max="10244" width="8.86328125" style="87"/>
    <col min="10245" max="10245" width="1.3984375" style="87" customWidth="1"/>
    <col min="10246" max="10500" width="8.86328125" style="87"/>
    <col min="10501" max="10501" width="1.3984375" style="87" customWidth="1"/>
    <col min="10502" max="10756" width="8.86328125" style="87"/>
    <col min="10757" max="10757" width="1.3984375" style="87" customWidth="1"/>
    <col min="10758" max="11012" width="8.86328125" style="87"/>
    <col min="11013" max="11013" width="1.3984375" style="87" customWidth="1"/>
    <col min="11014" max="11268" width="8.86328125" style="87"/>
    <col min="11269" max="11269" width="1.3984375" style="87" customWidth="1"/>
    <col min="11270" max="11524" width="8.86328125" style="87"/>
    <col min="11525" max="11525" width="1.3984375" style="87" customWidth="1"/>
    <col min="11526" max="11780" width="8.86328125" style="87"/>
    <col min="11781" max="11781" width="1.3984375" style="87" customWidth="1"/>
    <col min="11782" max="12036" width="8.86328125" style="87"/>
    <col min="12037" max="12037" width="1.3984375" style="87" customWidth="1"/>
    <col min="12038" max="12292" width="8.86328125" style="87"/>
    <col min="12293" max="12293" width="1.3984375" style="87" customWidth="1"/>
    <col min="12294" max="12548" width="8.86328125" style="87"/>
    <col min="12549" max="12549" width="1.3984375" style="87" customWidth="1"/>
    <col min="12550" max="12804" width="8.86328125" style="87"/>
    <col min="12805" max="12805" width="1.3984375" style="87" customWidth="1"/>
    <col min="12806" max="13060" width="8.86328125" style="87"/>
    <col min="13061" max="13061" width="1.3984375" style="87" customWidth="1"/>
    <col min="13062" max="13316" width="8.86328125" style="87"/>
    <col min="13317" max="13317" width="1.3984375" style="87" customWidth="1"/>
    <col min="13318" max="13572" width="8.86328125" style="87"/>
    <col min="13573" max="13573" width="1.3984375" style="87" customWidth="1"/>
    <col min="13574" max="13828" width="8.86328125" style="87"/>
    <col min="13829" max="13829" width="1.3984375" style="87" customWidth="1"/>
    <col min="13830" max="14084" width="8.86328125" style="87"/>
    <col min="14085" max="14085" width="1.3984375" style="87" customWidth="1"/>
    <col min="14086" max="14340" width="8.86328125" style="87"/>
    <col min="14341" max="14341" width="1.3984375" style="87" customWidth="1"/>
    <col min="14342" max="14596" width="8.86328125" style="87"/>
    <col min="14597" max="14597" width="1.3984375" style="87" customWidth="1"/>
    <col min="14598" max="14852" width="8.86328125" style="87"/>
    <col min="14853" max="14853" width="1.3984375" style="87" customWidth="1"/>
    <col min="14854" max="15108" width="8.86328125" style="87"/>
    <col min="15109" max="15109" width="1.3984375" style="87" customWidth="1"/>
    <col min="15110" max="15364" width="8.86328125" style="87"/>
    <col min="15365" max="15365" width="1.3984375" style="87" customWidth="1"/>
    <col min="15366" max="15620" width="8.86328125" style="87"/>
    <col min="15621" max="15621" width="1.3984375" style="87" customWidth="1"/>
    <col min="15622" max="15876" width="8.86328125" style="87"/>
    <col min="15877" max="15877" width="1.3984375" style="87" customWidth="1"/>
    <col min="15878" max="16132" width="8.86328125" style="87"/>
    <col min="16133" max="16133" width="1.3984375" style="87" customWidth="1"/>
    <col min="16134" max="16384" width="8.86328125" style="87"/>
  </cols>
  <sheetData>
    <row r="1" spans="1:44" x14ac:dyDescent="0.35">
      <c r="A1" s="87" t="s">
        <v>258</v>
      </c>
      <c r="B1" s="87" t="s">
        <v>259</v>
      </c>
    </row>
    <row r="2" spans="1:44" x14ac:dyDescent="0.35">
      <c r="A2" s="87">
        <v>2.5000000000000001E-2</v>
      </c>
      <c r="B2" s="87">
        <v>0.05</v>
      </c>
    </row>
    <row r="3" spans="1:44" x14ac:dyDescent="0.35">
      <c r="A3" s="87" t="s">
        <v>256</v>
      </c>
      <c r="B3" s="87" t="s">
        <v>255</v>
      </c>
    </row>
    <row r="4" spans="1:44" x14ac:dyDescent="0.35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35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35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35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35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35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35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35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35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35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35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35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35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35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35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35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35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35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35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35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35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35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35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35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35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35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35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35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35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35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35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35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35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35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35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35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35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35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35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35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35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35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35">
      <c r="A47" s="87" t="s">
        <v>261</v>
      </c>
      <c r="B47" s="87">
        <f>MIN(B5:AP45)</f>
        <v>5.1851594388177826</v>
      </c>
    </row>
    <row r="48" spans="1:44" x14ac:dyDescent="0.35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35">
      <c r="A50" s="87" t="s">
        <v>254</v>
      </c>
      <c r="B50" s="87">
        <f>SUMPRODUCT(y,AR5:AR45)</f>
        <v>0.4250000000000001</v>
      </c>
    </row>
    <row r="51" spans="1:2" x14ac:dyDescent="0.35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6328125" defaultRowHeight="14.25" x14ac:dyDescent="0.45"/>
  <cols>
    <col min="1" max="1" width="5.73046875" style="17" customWidth="1"/>
    <col min="2" max="2" width="8.59765625" bestFit="1" customWidth="1"/>
    <col min="3" max="3" width="10.73046875" bestFit="1" customWidth="1"/>
    <col min="4" max="4" width="10.86328125" bestFit="1" customWidth="1"/>
    <col min="5" max="5" width="14" bestFit="1" customWidth="1"/>
    <col min="6" max="6" width="15.265625" bestFit="1" customWidth="1"/>
    <col min="7" max="7" width="18.1328125" bestFit="1" customWidth="1"/>
    <col min="8" max="8" width="18.86328125" bestFit="1" customWidth="1"/>
  </cols>
  <sheetData>
    <row r="1" spans="1:8" x14ac:dyDescent="0.45">
      <c r="A1" s="17" t="s">
        <v>404</v>
      </c>
    </row>
    <row r="2" spans="1:8" x14ac:dyDescent="0.45">
      <c r="A2" s="17" t="s">
        <v>284</v>
      </c>
      <c r="B2" s="169"/>
      <c r="C2" s="169"/>
      <c r="D2" s="169"/>
      <c r="E2" s="169"/>
      <c r="F2" s="169"/>
      <c r="G2" s="169"/>
      <c r="H2" s="169"/>
    </row>
    <row r="3" spans="1:8" x14ac:dyDescent="0.45">
      <c r="A3" s="17" t="s">
        <v>410</v>
      </c>
      <c r="B3" s="169"/>
      <c r="C3" s="169"/>
      <c r="D3" s="169"/>
      <c r="E3" s="169"/>
      <c r="F3" s="169"/>
      <c r="G3" s="169"/>
      <c r="H3" s="169"/>
    </row>
    <row r="4" spans="1:8" x14ac:dyDescent="0.45">
      <c r="B4" s="169"/>
      <c r="C4" s="169"/>
      <c r="D4" s="169"/>
      <c r="E4" s="169"/>
      <c r="F4" s="169"/>
      <c r="G4" s="169"/>
      <c r="H4" s="169"/>
    </row>
    <row r="5" spans="1:8" ht="14.65" thickBot="1" x14ac:dyDescent="0.5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4.65" thickBot="1" x14ac:dyDescent="0.5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4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4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4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4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4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4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4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4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4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4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4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4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4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4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4.65" thickBot="1" x14ac:dyDescent="0.5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45">
      <c r="B22" s="169"/>
      <c r="C22" s="169"/>
      <c r="D22" s="169"/>
      <c r="E22" s="169"/>
      <c r="F22" s="169"/>
      <c r="G22" s="169"/>
      <c r="H22" s="169"/>
    </row>
    <row r="23" spans="1:8" ht="14.65" thickBot="1" x14ac:dyDescent="0.5">
      <c r="A23" s="17" t="s">
        <v>134</v>
      </c>
      <c r="B23" s="169"/>
      <c r="C23" s="169"/>
      <c r="D23" s="169"/>
      <c r="E23" s="169"/>
      <c r="F23" s="169"/>
      <c r="G23" s="169"/>
      <c r="H23" s="169"/>
    </row>
    <row r="24" spans="1:8" ht="14.65" thickBot="1" x14ac:dyDescent="0.5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4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4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4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4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4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4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4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4.65" thickBot="1" x14ac:dyDescent="0.5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45">
      <c r="B33" s="169"/>
      <c r="C33" s="169"/>
      <c r="D33" s="169"/>
      <c r="E33" s="169"/>
      <c r="F33" s="169"/>
      <c r="G33" s="169"/>
      <c r="H33" s="169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J24" sqref="J24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</cols>
  <sheetData>
    <row r="1" spans="1:10" x14ac:dyDescent="0.4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4.65" thickBot="1" x14ac:dyDescent="0.5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4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4.65" thickBot="1" x14ac:dyDescent="0.5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4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4.65" thickBot="1" x14ac:dyDescent="0.5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45">
      <c r="A7" s="63" t="s">
        <v>211</v>
      </c>
    </row>
    <row r="8" spans="1:10" x14ac:dyDescent="0.4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4.65" thickBot="1" x14ac:dyDescent="0.5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x14ac:dyDescent="0.45"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4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4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45">
      <c r="C14" t="s">
        <v>262</v>
      </c>
      <c r="D14">
        <v>100</v>
      </c>
      <c r="E14">
        <v>100</v>
      </c>
      <c r="F14">
        <v>0</v>
      </c>
      <c r="G14">
        <v>0</v>
      </c>
      <c r="H14">
        <v>0</v>
      </c>
      <c r="I14">
        <f>SUM(D14:H14)</f>
        <v>200</v>
      </c>
      <c r="J14">
        <v>200</v>
      </c>
    </row>
    <row r="15" spans="1:10" x14ac:dyDescent="0.45">
      <c r="C15" t="s">
        <v>263</v>
      </c>
      <c r="D15">
        <v>0</v>
      </c>
      <c r="E15" s="81">
        <v>0</v>
      </c>
      <c r="F15">
        <v>200</v>
      </c>
      <c r="G15" s="81">
        <v>100</v>
      </c>
      <c r="H15">
        <v>0</v>
      </c>
      <c r="I15">
        <f>SUM(D15:H15)</f>
        <v>300</v>
      </c>
      <c r="J15">
        <v>300</v>
      </c>
    </row>
    <row r="16" spans="1:10" x14ac:dyDescent="0.45">
      <c r="C16" t="s">
        <v>264</v>
      </c>
      <c r="D16">
        <v>0</v>
      </c>
      <c r="E16">
        <v>200</v>
      </c>
      <c r="F16">
        <v>0</v>
      </c>
      <c r="G16">
        <v>0</v>
      </c>
      <c r="H16">
        <v>150</v>
      </c>
      <c r="I16">
        <f>SUM(D16:H16)</f>
        <v>350</v>
      </c>
      <c r="J16">
        <v>350</v>
      </c>
    </row>
    <row r="17" spans="3:8" x14ac:dyDescent="0.4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4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45">
      <c r="C20" t="s">
        <v>0</v>
      </c>
      <c r="D20">
        <f>SUMPRODUCT(D9:H11,D14:H16)</f>
        <v>13250</v>
      </c>
    </row>
    <row r="22" spans="3:8" x14ac:dyDescent="0.45">
      <c r="D22" t="s">
        <v>319</v>
      </c>
    </row>
    <row r="23" spans="3:8" x14ac:dyDescent="0.45">
      <c r="D23">
        <v>13250</v>
      </c>
    </row>
    <row r="24" spans="3:8" x14ac:dyDescent="0.4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I28" sqref="I28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  <col min="3" max="3" width="25.265625" style="87" bestFit="1" customWidth="1"/>
    <col min="4" max="4" width="12" style="87" bestFit="1" customWidth="1"/>
    <col min="5" max="16384" width="8.86328125" style="87"/>
  </cols>
  <sheetData>
    <row r="1" spans="1:5" x14ac:dyDescent="0.45">
      <c r="A1" s="63" t="s">
        <v>364</v>
      </c>
      <c r="C1" s="117"/>
      <c r="D1" s="118"/>
      <c r="E1" s="117"/>
    </row>
    <row r="2" spans="1:5" ht="14.65" thickBot="1" x14ac:dyDescent="0.5">
      <c r="A2" s="64" t="s">
        <v>206</v>
      </c>
      <c r="C2" s="119"/>
      <c r="D2" s="120"/>
      <c r="E2" s="117"/>
    </row>
    <row r="3" spans="1:5" x14ac:dyDescent="0.45">
      <c r="A3" s="63" t="s">
        <v>209</v>
      </c>
      <c r="C3" s="121" t="s">
        <v>321</v>
      </c>
      <c r="D3" s="122">
        <v>365</v>
      </c>
      <c r="E3" s="123"/>
    </row>
    <row r="4" spans="1:5" ht="14.65" thickBot="1" x14ac:dyDescent="0.5">
      <c r="A4" s="64" t="s">
        <v>208</v>
      </c>
      <c r="C4" s="121" t="s">
        <v>322</v>
      </c>
      <c r="D4" s="122">
        <v>5</v>
      </c>
      <c r="E4" s="123"/>
    </row>
    <row r="5" spans="1:5" x14ac:dyDescent="0.45">
      <c r="A5" s="63" t="s">
        <v>210</v>
      </c>
      <c r="C5" s="121" t="s">
        <v>323</v>
      </c>
      <c r="D5" s="124">
        <v>10</v>
      </c>
      <c r="E5" s="123"/>
    </row>
    <row r="6" spans="1:5" ht="14.65" thickBot="1" x14ac:dyDescent="0.5">
      <c r="A6" s="64" t="e">
        <f>AND(D17)</f>
        <v>#DIV/0!</v>
      </c>
      <c r="C6" s="121" t="s">
        <v>324</v>
      </c>
      <c r="D6" s="124">
        <v>20</v>
      </c>
      <c r="E6" s="123"/>
    </row>
    <row r="7" spans="1:5" x14ac:dyDescent="0.45">
      <c r="A7" s="63" t="s">
        <v>211</v>
      </c>
      <c r="C7" s="121" t="s">
        <v>325</v>
      </c>
      <c r="D7" s="122">
        <v>0.1</v>
      </c>
      <c r="E7" s="123"/>
    </row>
    <row r="8" spans="1:5" x14ac:dyDescent="0.4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4.65" thickBot="1" x14ac:dyDescent="0.5">
      <c r="A9" s="64">
        <f>VLOOKUP(A8,OpenSolverResultCodes,2,FALSE)</f>
        <v>0</v>
      </c>
      <c r="C9" s="121"/>
      <c r="D9" s="122"/>
      <c r="E9" s="123"/>
    </row>
    <row r="10" spans="1:5" x14ac:dyDescent="0.45">
      <c r="C10" s="121"/>
      <c r="D10" s="122"/>
      <c r="E10" s="123"/>
    </row>
    <row r="11" spans="1:5" x14ac:dyDescent="0.45">
      <c r="C11" s="121" t="s">
        <v>327</v>
      </c>
      <c r="D11" s="125">
        <v>0</v>
      </c>
      <c r="E11" s="123"/>
    </row>
    <row r="12" spans="1:5" x14ac:dyDescent="0.45">
      <c r="C12" s="121" t="s">
        <v>328</v>
      </c>
      <c r="D12" s="122">
        <f>D11/D4</f>
        <v>0</v>
      </c>
      <c r="E12" s="123"/>
    </row>
    <row r="13" spans="1:5" x14ac:dyDescent="0.45">
      <c r="C13" s="121" t="s">
        <v>329</v>
      </c>
      <c r="D13" s="124">
        <f>D8*D11/2</f>
        <v>0</v>
      </c>
      <c r="E13" s="123"/>
    </row>
    <row r="14" spans="1:5" x14ac:dyDescent="0.45">
      <c r="C14" s="121" t="s">
        <v>330</v>
      </c>
      <c r="D14" s="126" t="e">
        <f>D5/D12</f>
        <v>#DIV/0!</v>
      </c>
      <c r="E14" s="123"/>
    </row>
    <row r="15" spans="1:5" x14ac:dyDescent="0.45">
      <c r="C15" s="121"/>
      <c r="D15" s="122"/>
      <c r="E15" s="123"/>
    </row>
    <row r="16" spans="1:5" x14ac:dyDescent="0.45">
      <c r="C16" s="121" t="s">
        <v>331</v>
      </c>
      <c r="D16" s="127" t="e">
        <f>D13+D14</f>
        <v>#DIV/0!</v>
      </c>
      <c r="E16" s="123"/>
    </row>
    <row r="17" spans="3:4" x14ac:dyDescent="0.45">
      <c r="D17" s="87" t="e">
        <f>D16&lt;0.75</f>
        <v>#DIV/0!</v>
      </c>
    </row>
    <row r="25" spans="3:4" x14ac:dyDescent="0.45">
      <c r="C25" s="87" t="s">
        <v>332</v>
      </c>
    </row>
    <row r="26" spans="3:4" x14ac:dyDescent="0.45">
      <c r="C26" s="87" t="s">
        <v>333</v>
      </c>
    </row>
    <row r="27" spans="3:4" x14ac:dyDescent="0.4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L39" sqref="L39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  <col min="3" max="3" width="9.86328125" style="87" customWidth="1"/>
    <col min="4" max="4" width="2.3984375" style="90" bestFit="1" customWidth="1"/>
    <col min="5" max="5" width="2.3984375" style="87" bestFit="1" customWidth="1"/>
    <col min="6" max="9" width="5.86328125" style="87" customWidth="1"/>
    <col min="10" max="10" width="15.1328125" style="140" bestFit="1" customWidth="1"/>
    <col min="11" max="11" width="3.3984375" style="87" bestFit="1" customWidth="1"/>
    <col min="12" max="13" width="8.86328125" style="87"/>
    <col min="14" max="14" width="10.86328125" style="90" customWidth="1"/>
    <col min="15" max="16" width="8.86328125" style="90"/>
    <col min="17" max="16384" width="8.86328125" style="87"/>
  </cols>
  <sheetData>
    <row r="1" spans="1:16" s="129" customFormat="1" x14ac:dyDescent="0.4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4.65" thickBot="1" x14ac:dyDescent="0.5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10</v>
      </c>
      <c r="G2" s="130">
        <v>10</v>
      </c>
      <c r="H2" s="130">
        <v>10</v>
      </c>
      <c r="I2" s="130">
        <v>10</v>
      </c>
      <c r="J2" s="128">
        <f>SQRT(($F$2-D2)^2+($G$2-E2)^2)</f>
        <v>14.142135623730951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4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13.45362404707371</v>
      </c>
      <c r="K3" s="100"/>
      <c r="N3" s="90" t="s">
        <v>343</v>
      </c>
      <c r="O3" s="90">
        <f>$F$2</f>
        <v>10</v>
      </c>
      <c r="P3" s="90">
        <f>$G$2</f>
        <v>10</v>
      </c>
    </row>
    <row r="4" spans="1:16" s="129" customFormat="1" ht="14.65" thickBot="1" x14ac:dyDescent="0.5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12.041594578792296</v>
      </c>
      <c r="K4" s="100"/>
      <c r="N4" s="90"/>
      <c r="O4" s="90"/>
      <c r="P4" s="90"/>
    </row>
    <row r="5" spans="1:16" s="129" customFormat="1" x14ac:dyDescent="0.4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12.806248474865697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4.65" thickBot="1" x14ac:dyDescent="0.5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0</v>
      </c>
      <c r="K6" s="100"/>
      <c r="N6" s="90" t="s">
        <v>343</v>
      </c>
      <c r="O6" s="90">
        <f>$F$2</f>
        <v>10</v>
      </c>
      <c r="P6" s="90">
        <f>$G$2</f>
        <v>10</v>
      </c>
    </row>
    <row r="7" spans="1:16" x14ac:dyDescent="0.4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52.44360272446265</v>
      </c>
      <c r="K7" s="123"/>
    </row>
    <row r="8" spans="1:16" x14ac:dyDescent="0.4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4.65" thickBot="1" x14ac:dyDescent="0.5">
      <c r="A9" s="64">
        <f>VLOOKUP(A8,OpenSolverResultCodes,2,FALSE)</f>
        <v>0</v>
      </c>
      <c r="N9" s="90" t="s">
        <v>345</v>
      </c>
      <c r="O9" s="90">
        <f>$H$2</f>
        <v>10</v>
      </c>
      <c r="P9" s="90">
        <f>$I$2</f>
        <v>10</v>
      </c>
    </row>
    <row r="11" spans="1:16" x14ac:dyDescent="0.4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45">
      <c r="N12" s="90" t="s">
        <v>346</v>
      </c>
      <c r="O12" s="90">
        <f>$H$2</f>
        <v>10</v>
      </c>
      <c r="P12" s="90">
        <f>$I$2</f>
        <v>10</v>
      </c>
    </row>
    <row r="14" spans="1:16" x14ac:dyDescent="0.45">
      <c r="N14" s="90" t="s">
        <v>343</v>
      </c>
      <c r="O14" s="90">
        <f>$F$2</f>
        <v>10</v>
      </c>
      <c r="P14" s="90">
        <f>$G$2</f>
        <v>10</v>
      </c>
    </row>
    <row r="15" spans="1:16" x14ac:dyDescent="0.45">
      <c r="N15" s="90" t="s">
        <v>345</v>
      </c>
      <c r="O15" s="90">
        <f>$H$2</f>
        <v>10</v>
      </c>
      <c r="P15" s="90">
        <f>$I$2</f>
        <v>10</v>
      </c>
    </row>
    <row r="18" spans="4:16" x14ac:dyDescent="0.45">
      <c r="N18" s="90" t="s">
        <v>126</v>
      </c>
      <c r="O18" s="90">
        <v>9</v>
      </c>
    </row>
    <row r="19" spans="4:16" x14ac:dyDescent="0.45">
      <c r="N19" s="90" t="s">
        <v>224</v>
      </c>
      <c r="O19" s="90">
        <v>15</v>
      </c>
    </row>
    <row r="20" spans="4:16" x14ac:dyDescent="0.45">
      <c r="N20" s="90" t="s">
        <v>128</v>
      </c>
      <c r="O20" s="90">
        <v>18</v>
      </c>
    </row>
    <row r="21" spans="4:16" x14ac:dyDescent="0.45">
      <c r="N21" s="90" t="s">
        <v>225</v>
      </c>
      <c r="O21" s="90">
        <v>15</v>
      </c>
    </row>
    <row r="23" spans="4:16" x14ac:dyDescent="0.4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4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45">
      <c r="D27" s="87"/>
      <c r="F27" s="90"/>
      <c r="G27" s="90"/>
      <c r="H27" s="90"/>
      <c r="J27" s="87"/>
      <c r="N27" s="87"/>
      <c r="O27" s="87"/>
      <c r="P27" s="87"/>
    </row>
    <row r="28" spans="4:16" x14ac:dyDescent="0.45">
      <c r="D28" s="87"/>
      <c r="F28" s="90"/>
      <c r="G28" s="90"/>
      <c r="H28" s="90"/>
      <c r="J28" s="87"/>
      <c r="N28" s="87"/>
      <c r="O28" s="87"/>
      <c r="P28" s="87"/>
    </row>
    <row r="29" spans="4:16" x14ac:dyDescent="0.45">
      <c r="D29" s="87"/>
      <c r="F29" s="90"/>
      <c r="G29" s="90"/>
      <c r="H29" s="90"/>
      <c r="J29" s="87"/>
      <c r="N29" s="87"/>
      <c r="O29" s="87"/>
      <c r="P29" s="87"/>
    </row>
    <row r="30" spans="4:16" x14ac:dyDescent="0.45">
      <c r="D30" s="87"/>
      <c r="F30" s="90"/>
      <c r="G30" s="90"/>
      <c r="H30" s="90"/>
      <c r="J30" s="87"/>
      <c r="N30" s="87"/>
      <c r="O30" s="87"/>
      <c r="P30" s="87"/>
    </row>
    <row r="31" spans="4:16" x14ac:dyDescent="0.45">
      <c r="D31" s="87"/>
      <c r="F31" s="90"/>
      <c r="G31" s="90"/>
      <c r="H31" s="90"/>
      <c r="J31" s="87"/>
      <c r="N31" s="87"/>
      <c r="O31" s="87"/>
      <c r="P31" s="87"/>
    </row>
    <row r="32" spans="4:16" x14ac:dyDescent="0.45">
      <c r="D32" s="87"/>
      <c r="F32" s="90"/>
      <c r="G32" s="90"/>
      <c r="H32" s="90"/>
      <c r="J32" s="87"/>
      <c r="N32" s="87"/>
      <c r="O32" s="87"/>
      <c r="P32" s="87"/>
    </row>
    <row r="33" spans="4:16" x14ac:dyDescent="0.45">
      <c r="D33" s="87"/>
      <c r="F33" s="90"/>
      <c r="G33" s="90"/>
      <c r="H33" s="90"/>
      <c r="J33" s="87"/>
      <c r="N33" s="87"/>
      <c r="O33" s="87"/>
      <c r="P33" s="87"/>
    </row>
    <row r="34" spans="4:16" x14ac:dyDescent="0.45">
      <c r="D34" s="87"/>
      <c r="F34" s="90"/>
      <c r="G34" s="90"/>
      <c r="H34" s="90"/>
      <c r="J34" s="87"/>
      <c r="N34" s="87"/>
      <c r="O34" s="87"/>
      <c r="P34" s="87"/>
    </row>
    <row r="35" spans="4:16" x14ac:dyDescent="0.45">
      <c r="D35" s="87"/>
      <c r="F35" s="90"/>
      <c r="G35" s="90"/>
      <c r="H35" s="90"/>
      <c r="J35" s="87"/>
      <c r="N35" s="87"/>
      <c r="O35" s="87"/>
      <c r="P35" s="87"/>
    </row>
    <row r="36" spans="4:16" x14ac:dyDescent="0.4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65625" defaultRowHeight="14.25" x14ac:dyDescent="0.45"/>
  <cols>
    <col min="1" max="1" width="15" style="61" bestFit="1" customWidth="1"/>
    <col min="2" max="2" width="3" style="87" customWidth="1"/>
    <col min="3" max="3" width="10.265625" style="141" customWidth="1"/>
    <col min="4" max="4" width="7" style="141" customWidth="1"/>
    <col min="5" max="16384" width="10.265625" style="141"/>
  </cols>
  <sheetData>
    <row r="1" spans="1:9" x14ac:dyDescent="0.45">
      <c r="A1" s="63" t="s">
        <v>364</v>
      </c>
      <c r="C1" s="176" t="s">
        <v>347</v>
      </c>
      <c r="D1" s="176"/>
      <c r="E1" s="176"/>
    </row>
    <row r="2" spans="1:9" ht="15.4" thickBot="1" x14ac:dyDescent="0.55000000000000004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" x14ac:dyDescent="0.5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4.65" thickBot="1" x14ac:dyDescent="0.5">
      <c r="A4" s="64" t="s">
        <v>208</v>
      </c>
      <c r="C4" s="142" t="s">
        <v>351</v>
      </c>
      <c r="D4" s="141">
        <v>7</v>
      </c>
      <c r="H4" s="141">
        <f>COS(RADIANS(D7))*D2</f>
        <v>2.9544232590366239</v>
      </c>
      <c r="I4" s="141">
        <f>SIN(RADIANS(D7))*D2</f>
        <v>0.52094453300079102</v>
      </c>
    </row>
    <row r="5" spans="1:9" x14ac:dyDescent="0.45">
      <c r="A5" s="63" t="s">
        <v>210</v>
      </c>
      <c r="H5" s="141">
        <f>H4+COS(RADIANS(D8))*D3</f>
        <v>7.8784620240976633</v>
      </c>
      <c r="I5" s="141">
        <f>I4+SIN(RADIANS(D8))*D3</f>
        <v>1.3891854213354426</v>
      </c>
    </row>
    <row r="6" spans="1:9" ht="14.65" thickBot="1" x14ac:dyDescent="0.5">
      <c r="A6" s="64" t="b">
        <f>AND(F16)</f>
        <v>0</v>
      </c>
      <c r="C6" s="176" t="s">
        <v>228</v>
      </c>
      <c r="D6" s="176"/>
      <c r="E6" s="176"/>
    </row>
    <row r="7" spans="1:9" ht="14.65" x14ac:dyDescent="0.5">
      <c r="A7" s="63" t="s">
        <v>211</v>
      </c>
      <c r="C7" s="143" t="s">
        <v>352</v>
      </c>
      <c r="D7" s="144">
        <v>10</v>
      </c>
      <c r="E7" s="141" t="s">
        <v>353</v>
      </c>
    </row>
    <row r="8" spans="1:9" ht="14.65" x14ac:dyDescent="0.5">
      <c r="A8" s="65" t="s">
        <v>201</v>
      </c>
      <c r="C8" s="143" t="s">
        <v>354</v>
      </c>
      <c r="D8" s="144">
        <v>10</v>
      </c>
      <c r="E8" s="141" t="s">
        <v>353</v>
      </c>
      <c r="H8" s="141">
        <f>D4</f>
        <v>7</v>
      </c>
      <c r="I8" s="141">
        <v>0</v>
      </c>
    </row>
    <row r="9" spans="1:9" ht="14.65" thickBot="1" x14ac:dyDescent="0.5">
      <c r="A9" s="64">
        <f>VLOOKUP(A8,OpenSolverResultCodes,2,FALSE)</f>
        <v>0</v>
      </c>
    </row>
    <row r="10" spans="1:9" x14ac:dyDescent="0.45">
      <c r="C10" s="176" t="s">
        <v>355</v>
      </c>
      <c r="D10" s="176"/>
      <c r="E10" s="176"/>
    </row>
    <row r="11" spans="1:9" ht="15" x14ac:dyDescent="0.4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45">
      <c r="C12" s="146">
        <f>D2*COS(RADIANS(D7))+D3*COS(RADIANS(D8))</f>
        <v>7.8784620240976633</v>
      </c>
      <c r="D12" s="146">
        <f>D4</f>
        <v>7</v>
      </c>
      <c r="E12" s="146">
        <f>D12-C12</f>
        <v>-0.87846202409766327</v>
      </c>
      <c r="F12" s="146">
        <f>E12^2</f>
        <v>0.77169552778176354</v>
      </c>
    </row>
    <row r="13" spans="1:9" x14ac:dyDescent="0.45">
      <c r="C13" s="146">
        <f>D2*SIN(RADIANS(D7))+D3*SIN(RADIANS(D8))</f>
        <v>1.3891854213354426</v>
      </c>
      <c r="D13" s="146">
        <v>0</v>
      </c>
      <c r="E13" s="146">
        <f>C13-D13</f>
        <v>1.3891854213354426</v>
      </c>
      <c r="F13" s="146">
        <f>E13^2</f>
        <v>1.9298361348509314</v>
      </c>
    </row>
    <row r="15" spans="1:9" x14ac:dyDescent="0.45">
      <c r="C15" s="176" t="s">
        <v>360</v>
      </c>
      <c r="D15" s="176"/>
      <c r="E15" s="176"/>
      <c r="F15" s="147">
        <f>SUM(F12:F13)</f>
        <v>2.7015316626326951</v>
      </c>
    </row>
    <row r="16" spans="1:9" x14ac:dyDescent="0.45">
      <c r="C16" s="148"/>
      <c r="F16" s="141" t="b">
        <f>ABS(F15)&lt;=0.000001</f>
        <v>0</v>
      </c>
    </row>
    <row r="27" spans="3:4" x14ac:dyDescent="0.45">
      <c r="C27" s="141" t="s">
        <v>361</v>
      </c>
      <c r="D27" s="144">
        <v>-30</v>
      </c>
    </row>
    <row r="28" spans="3:4" x14ac:dyDescent="0.45">
      <c r="C28" s="141" t="s">
        <v>362</v>
      </c>
      <c r="D28" s="144">
        <v>50</v>
      </c>
    </row>
    <row r="30" spans="3:4" x14ac:dyDescent="0.45">
      <c r="C30" s="141" t="s">
        <v>363</v>
      </c>
      <c r="D30" s="144">
        <v>30</v>
      </c>
    </row>
    <row r="31" spans="3:4" x14ac:dyDescent="0.4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</cols>
  <sheetData>
    <row r="1" spans="1:9" x14ac:dyDescent="0.45">
      <c r="A1" s="63" t="s">
        <v>364</v>
      </c>
      <c r="D1" t="s">
        <v>367</v>
      </c>
      <c r="E1" t="s">
        <v>366</v>
      </c>
      <c r="F1" t="s">
        <v>365</v>
      </c>
    </row>
    <row r="2" spans="1:9" ht="14.65" thickBot="1" x14ac:dyDescent="0.5">
      <c r="A2" s="64" t="s">
        <v>205</v>
      </c>
      <c r="D2">
        <v>250</v>
      </c>
      <c r="E2">
        <v>100</v>
      </c>
      <c r="F2">
        <v>0</v>
      </c>
    </row>
    <row r="3" spans="1:9" x14ac:dyDescent="0.45">
      <c r="A3" s="63" t="s">
        <v>209</v>
      </c>
    </row>
    <row r="4" spans="1:9" ht="14.65" thickBot="1" x14ac:dyDescent="0.5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45">
      <c r="A5" s="63" t="s">
        <v>210</v>
      </c>
    </row>
    <row r="6" spans="1:9" ht="14.65" thickBot="1" x14ac:dyDescent="0.5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4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4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4.65" thickBot="1" x14ac:dyDescent="0.5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1" spans="1:9" x14ac:dyDescent="0.4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4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4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RowHeight="14.25" x14ac:dyDescent="0.45"/>
  <cols>
    <col min="1" max="1" width="5.73046875" style="17" customWidth="1"/>
    <col min="2" max="2" width="6.86328125" bestFit="1" customWidth="1"/>
    <col min="3" max="3" width="15.265625" bestFit="1" customWidth="1"/>
    <col min="4" max="4" width="10.86328125" bestFit="1" customWidth="1"/>
    <col min="5" max="5" width="14" bestFit="1" customWidth="1"/>
    <col min="6" max="6" width="15.265625" bestFit="1" customWidth="1"/>
    <col min="7" max="7" width="18.1328125" bestFit="1" customWidth="1"/>
    <col min="8" max="8" width="18.86328125" bestFit="1" customWidth="1"/>
  </cols>
  <sheetData>
    <row r="1" spans="1:8" x14ac:dyDescent="0.45">
      <c r="A1" s="17" t="s">
        <v>404</v>
      </c>
    </row>
    <row r="2" spans="1:8" x14ac:dyDescent="0.45">
      <c r="A2" s="17" t="s">
        <v>405</v>
      </c>
      <c r="B2" s="169"/>
      <c r="C2" s="169"/>
      <c r="D2" s="169"/>
      <c r="E2" s="169"/>
      <c r="F2" s="169"/>
      <c r="G2" s="169"/>
      <c r="H2" s="169"/>
    </row>
    <row r="3" spans="1:8" x14ac:dyDescent="0.45">
      <c r="A3" s="17" t="s">
        <v>411</v>
      </c>
      <c r="B3" s="169"/>
      <c r="C3" s="169"/>
      <c r="D3" s="169"/>
      <c r="E3" s="169"/>
      <c r="F3" s="169"/>
      <c r="G3" s="169"/>
      <c r="H3" s="169"/>
    </row>
    <row r="4" spans="1:8" x14ac:dyDescent="0.45">
      <c r="B4" s="169"/>
      <c r="C4" s="169"/>
      <c r="D4" s="169"/>
      <c r="E4" s="169"/>
      <c r="F4" s="169"/>
      <c r="G4" s="169"/>
      <c r="H4" s="169"/>
    </row>
    <row r="5" spans="1:8" ht="14.65" thickBot="1" x14ac:dyDescent="0.5">
      <c r="A5" s="17" t="s">
        <v>228</v>
      </c>
      <c r="B5" s="169"/>
      <c r="C5" s="169"/>
      <c r="D5" s="169"/>
      <c r="E5" s="169"/>
      <c r="F5" s="169"/>
      <c r="G5" s="169"/>
      <c r="H5" s="169"/>
    </row>
    <row r="6" spans="1:8" ht="14.65" thickBot="1" x14ac:dyDescent="0.5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45">
      <c r="B7" s="106" t="s">
        <v>401</v>
      </c>
      <c r="C7" s="75" t="s">
        <v>406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45">
      <c r="B8" s="106" t="s">
        <v>402</v>
      </c>
      <c r="C8" s="75" t="s">
        <v>407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4.65" thickBot="1" x14ac:dyDescent="0.5">
      <c r="B9" s="110" t="s">
        <v>403</v>
      </c>
      <c r="C9" s="111" t="s">
        <v>408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45">
      <c r="B10" s="169"/>
      <c r="C10" s="169"/>
      <c r="D10" s="169"/>
      <c r="E10" s="169"/>
      <c r="F10" s="169"/>
      <c r="G10" s="169"/>
      <c r="H10" s="169"/>
    </row>
    <row r="11" spans="1:8" ht="14.65" thickBot="1" x14ac:dyDescent="0.5">
      <c r="A11" s="17" t="s">
        <v>134</v>
      </c>
      <c r="B11" s="169"/>
      <c r="C11" s="169"/>
      <c r="D11" s="169"/>
      <c r="E11" s="169"/>
      <c r="F11" s="169"/>
      <c r="G11" s="169"/>
      <c r="H11" s="169"/>
    </row>
    <row r="12" spans="1:8" ht="14.65" thickBot="1" x14ac:dyDescent="0.5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45">
      <c r="B13" s="106" t="s">
        <v>396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45">
      <c r="B14" s="106" t="s">
        <v>397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4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4.65" thickBot="1" x14ac:dyDescent="0.5">
      <c r="B16" s="110" t="s">
        <v>398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45">
      <c r="B17" s="169"/>
      <c r="C17" s="169"/>
      <c r="D17" s="169"/>
      <c r="E17" s="169"/>
      <c r="F17" s="169"/>
      <c r="G17" s="169"/>
      <c r="H17" s="169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6328125" defaultRowHeight="14.25" x14ac:dyDescent="0.45"/>
  <cols>
    <col min="1" max="1" width="15" style="61" bestFit="1" customWidth="1"/>
    <col min="2" max="2" width="3" style="87" customWidth="1"/>
    <col min="14" max="14" width="10.73046875" customWidth="1"/>
    <col min="15" max="15" width="11.59765625" customWidth="1"/>
  </cols>
  <sheetData>
    <row r="1" spans="1:15" x14ac:dyDescent="0.45">
      <c r="A1" s="63" t="s">
        <v>364</v>
      </c>
      <c r="D1" t="s">
        <v>367</v>
      </c>
      <c r="E1" t="s">
        <v>366</v>
      </c>
      <c r="F1" t="s">
        <v>365</v>
      </c>
      <c r="L1" t="s">
        <v>392</v>
      </c>
      <c r="M1" t="s">
        <v>393</v>
      </c>
      <c r="N1" t="s">
        <v>394</v>
      </c>
      <c r="O1" t="s">
        <v>395</v>
      </c>
    </row>
    <row r="2" spans="1:15" ht="14.65" thickBot="1" x14ac:dyDescent="0.5">
      <c r="A2" s="64" t="s">
        <v>205</v>
      </c>
      <c r="D2">
        <v>250</v>
      </c>
      <c r="E2">
        <v>100</v>
      </c>
      <c r="F2" s="81">
        <v>0</v>
      </c>
      <c r="L2" t="s">
        <v>396</v>
      </c>
      <c r="M2">
        <v>0</v>
      </c>
      <c r="N2">
        <v>21.6</v>
      </c>
      <c r="O2">
        <v>0</v>
      </c>
    </row>
    <row r="3" spans="1:15" x14ac:dyDescent="0.45">
      <c r="A3" s="63" t="s">
        <v>209</v>
      </c>
      <c r="L3" t="s">
        <v>397</v>
      </c>
      <c r="M3">
        <v>0</v>
      </c>
      <c r="N3">
        <v>0</v>
      </c>
      <c r="O3">
        <v>166.66666666699999</v>
      </c>
    </row>
    <row r="4" spans="1:15" ht="14.65" thickBot="1" x14ac:dyDescent="0.5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45">
      <c r="A5" s="63" t="s">
        <v>210</v>
      </c>
      <c r="L5" t="s">
        <v>398</v>
      </c>
      <c r="M5">
        <v>0</v>
      </c>
      <c r="N5" s="81">
        <v>1E+100</v>
      </c>
      <c r="O5">
        <v>500</v>
      </c>
    </row>
    <row r="6" spans="1:15" ht="14.65" thickBot="1" x14ac:dyDescent="0.5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45">
      <c r="A7" s="63" t="s">
        <v>211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399</v>
      </c>
      <c r="M7" t="s">
        <v>400</v>
      </c>
      <c r="N7" t="s">
        <v>394</v>
      </c>
      <c r="O7" t="s">
        <v>395</v>
      </c>
    </row>
    <row r="8" spans="1:15" x14ac:dyDescent="0.45">
      <c r="A8" s="65" t="s">
        <v>201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401</v>
      </c>
      <c r="M8">
        <v>0</v>
      </c>
      <c r="N8" s="81">
        <v>-0.1</v>
      </c>
      <c r="O8" s="81">
        <v>1E+100</v>
      </c>
    </row>
    <row r="9" spans="1:15" ht="14.65" thickBot="1" x14ac:dyDescent="0.5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402</v>
      </c>
      <c r="M9">
        <v>0</v>
      </c>
      <c r="N9" s="81">
        <v>1E+100</v>
      </c>
      <c r="O9">
        <v>0.25</v>
      </c>
    </row>
    <row r="10" spans="1:15" x14ac:dyDescent="0.45">
      <c r="L10" t="s">
        <v>403</v>
      </c>
      <c r="M10">
        <v>0</v>
      </c>
      <c r="N10" s="81">
        <v>-0.4</v>
      </c>
      <c r="O10" s="81">
        <v>1E+100</v>
      </c>
    </row>
    <row r="11" spans="1:15" x14ac:dyDescent="0.4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4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4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M13" sqref="M13"/>
    </sheetView>
  </sheetViews>
  <sheetFormatPr defaultColWidth="8.86328125" defaultRowHeight="14.25" x14ac:dyDescent="0.45"/>
  <cols>
    <col min="1" max="1" width="15" style="61" bestFit="1" customWidth="1"/>
    <col min="2" max="2" width="3.265625" customWidth="1"/>
    <col min="3" max="3" width="4.86328125" customWidth="1"/>
    <col min="4" max="4" width="7.73046875" style="168" customWidth="1"/>
    <col min="5" max="6" width="5.1328125" style="168" customWidth="1"/>
    <col min="7" max="7" width="3.1328125" style="168" customWidth="1"/>
    <col min="8" max="8" width="8.3984375" style="168" customWidth="1"/>
    <col min="9" max="9" width="3" style="168" bestFit="1" customWidth="1"/>
    <col min="10" max="10" width="6" style="168" customWidth="1"/>
    <col min="14" max="14" width="7.73046875" customWidth="1"/>
  </cols>
  <sheetData>
    <row r="1" spans="1:10" x14ac:dyDescent="0.45">
      <c r="A1" s="63" t="s">
        <v>204</v>
      </c>
      <c r="D1" s="18" t="s">
        <v>31</v>
      </c>
    </row>
    <row r="2" spans="1:10" ht="14.65" thickBot="1" x14ac:dyDescent="0.5">
      <c r="A2" s="64" t="s">
        <v>205</v>
      </c>
    </row>
    <row r="3" spans="1:10" x14ac:dyDescent="0.4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4.65" thickBot="1" x14ac:dyDescent="0.5">
      <c r="A4" s="64" t="s">
        <v>207</v>
      </c>
      <c r="D4" s="168">
        <v>0</v>
      </c>
      <c r="E4" s="168">
        <v>5.2941176470588198</v>
      </c>
      <c r="F4" s="168">
        <v>0</v>
      </c>
      <c r="H4"/>
      <c r="I4"/>
      <c r="J4"/>
    </row>
    <row r="5" spans="1:10" x14ac:dyDescent="0.45">
      <c r="A5" s="63" t="s">
        <v>210</v>
      </c>
    </row>
    <row r="6" spans="1:10" ht="14.65" thickBot="1" x14ac:dyDescent="0.5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15.88235294117646</v>
      </c>
    </row>
    <row r="7" spans="1:10" x14ac:dyDescent="0.45">
      <c r="A7" s="63" t="s">
        <v>211</v>
      </c>
    </row>
    <row r="8" spans="1:10" x14ac:dyDescent="0.4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58.235294117647015</v>
      </c>
      <c r="I8" s="168" t="s">
        <v>8</v>
      </c>
      <c r="J8" s="168">
        <v>60</v>
      </c>
    </row>
    <row r="9" spans="1:10" ht="14.65" thickBot="1" x14ac:dyDescent="0.5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116.47058823529403</v>
      </c>
      <c r="I9" s="168" t="s">
        <v>8</v>
      </c>
      <c r="J9" s="168">
        <v>150</v>
      </c>
    </row>
    <row r="10" spans="1:10" x14ac:dyDescent="0.45">
      <c r="D10" s="168">
        <v>21</v>
      </c>
      <c r="E10" s="168">
        <v>22</v>
      </c>
      <c r="F10" s="168">
        <v>-23</v>
      </c>
      <c r="H10" s="168">
        <f>SUMPRODUCT($D$4:$F$4,D10:F10)</f>
        <v>116.47058823529403</v>
      </c>
      <c r="I10" s="168" t="s">
        <v>9</v>
      </c>
      <c r="J10" s="168">
        <v>110</v>
      </c>
    </row>
    <row r="11" spans="1:10" x14ac:dyDescent="0.45">
      <c r="D11" s="168">
        <v>19</v>
      </c>
      <c r="E11" s="168">
        <v>34</v>
      </c>
      <c r="F11" s="168">
        <v>-32</v>
      </c>
      <c r="H11" s="168">
        <f>SUMPRODUCT($D$4:$F$4,D11:F11)</f>
        <v>179.99999999999989</v>
      </c>
      <c r="I11" s="168" t="s">
        <v>10</v>
      </c>
      <c r="J11" s="168">
        <v>180</v>
      </c>
    </row>
    <row r="15" spans="1:10" x14ac:dyDescent="0.45">
      <c r="C15" s="17" t="s">
        <v>15</v>
      </c>
    </row>
    <row r="16" spans="1:10" x14ac:dyDescent="0.45">
      <c r="D16" s="168">
        <v>0</v>
      </c>
      <c r="E16" s="168">
        <v>5.294117647058874</v>
      </c>
      <c r="F16" s="168">
        <v>0</v>
      </c>
    </row>
    <row r="17" spans="3:6" x14ac:dyDescent="0.4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45">
      <c r="C19" s="17" t="s">
        <v>16</v>
      </c>
    </row>
    <row r="20" spans="3:6" x14ac:dyDescent="0.45">
      <c r="D20" s="168">
        <v>15.882352941176622</v>
      </c>
    </row>
    <row r="21" spans="3:6" x14ac:dyDescent="0.4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6328125" defaultRowHeight="14.25" x14ac:dyDescent="0.45"/>
  <cols>
    <col min="1" max="1" width="2.3984375" customWidth="1"/>
    <col min="2" max="2" width="4.86328125" customWidth="1"/>
    <col min="3" max="5" width="5.1328125" style="1" customWidth="1"/>
    <col min="6" max="6" width="3.1328125" style="1" customWidth="1"/>
    <col min="7" max="7" width="8.3984375" style="1" customWidth="1"/>
    <col min="8" max="8" width="3" style="1" customWidth="1"/>
    <col min="9" max="10" width="6" style="1" customWidth="1"/>
    <col min="11" max="11" width="1.73046875" style="1" customWidth="1"/>
    <col min="12" max="14" width="7" customWidth="1"/>
    <col min="15" max="15" width="1.73046875" customWidth="1"/>
  </cols>
  <sheetData>
    <row r="1" spans="2:14" x14ac:dyDescent="0.45">
      <c r="B1" t="s">
        <v>122</v>
      </c>
    </row>
    <row r="2" spans="2:14" x14ac:dyDescent="0.45">
      <c r="G2"/>
      <c r="H2"/>
      <c r="I2"/>
      <c r="J2"/>
      <c r="K2"/>
    </row>
    <row r="3" spans="2:14" x14ac:dyDescent="0.45">
      <c r="G3"/>
      <c r="H3"/>
      <c r="I3"/>
      <c r="J3"/>
      <c r="K3"/>
    </row>
    <row r="5" spans="2:14" x14ac:dyDescent="0.4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4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4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4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4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45">
      <c r="L12" s="1">
        <v>20</v>
      </c>
      <c r="M12" s="1">
        <f>M9*2</f>
        <v>1.8460000000000001</v>
      </c>
      <c r="N12">
        <v>50</v>
      </c>
    </row>
    <row r="15" spans="2:14" x14ac:dyDescent="0.45">
      <c r="M15">
        <f>N9</f>
        <v>1</v>
      </c>
    </row>
    <row r="17" spans="13:13" x14ac:dyDescent="0.45">
      <c r="M17">
        <f>L9</f>
        <v>1</v>
      </c>
    </row>
    <row r="18" spans="13:13" x14ac:dyDescent="0.4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328125" defaultRowHeight="14.25" x14ac:dyDescent="0.45"/>
  <cols>
    <col min="1" max="1" width="3.3984375" style="42" customWidth="1"/>
    <col min="2" max="3" width="9.1328125" style="42"/>
    <col min="4" max="4" width="9.1328125" style="42" customWidth="1"/>
    <col min="5" max="5" width="18.265625" style="42" customWidth="1"/>
    <col min="6" max="6" width="4.73046875" style="42" customWidth="1"/>
    <col min="7" max="7" width="3.3984375" style="43" customWidth="1"/>
    <col min="8" max="8" width="23.1328125" style="42" bestFit="1" customWidth="1"/>
    <col min="9" max="16384" width="9.1328125" style="42"/>
  </cols>
  <sheetData>
    <row r="2" spans="2:8" x14ac:dyDescent="0.45">
      <c r="B2" s="48" t="s">
        <v>125</v>
      </c>
      <c r="C2" s="45"/>
      <c r="D2" s="45"/>
      <c r="E2" s="45"/>
      <c r="H2" s="39" t="s">
        <v>141</v>
      </c>
    </row>
    <row r="3" spans="2:8" x14ac:dyDescent="0.4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4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45">
      <c r="B5" s="46" t="s">
        <v>130</v>
      </c>
      <c r="C5" s="50">
        <v>2</v>
      </c>
      <c r="D5" s="45"/>
      <c r="E5" s="45" t="s">
        <v>131</v>
      </c>
    </row>
    <row r="6" spans="2:8" x14ac:dyDescent="0.45">
      <c r="H6" s="40" t="s">
        <v>145</v>
      </c>
    </row>
    <row r="7" spans="2:8" x14ac:dyDescent="0.45">
      <c r="B7" s="47" t="s">
        <v>132</v>
      </c>
      <c r="H7" s="40" t="s">
        <v>143</v>
      </c>
    </row>
    <row r="8" spans="2:8" x14ac:dyDescent="0.45">
      <c r="B8" s="42" t="s">
        <v>133</v>
      </c>
      <c r="C8" s="46" t="s">
        <v>0</v>
      </c>
      <c r="H8" s="40" t="s">
        <v>146</v>
      </c>
    </row>
    <row r="9" spans="2:8" x14ac:dyDescent="0.45">
      <c r="B9" s="42">
        <v>5</v>
      </c>
      <c r="C9" s="49">
        <f>B9*C3+SUMPRODUCT(B28:D28,B31:D31)</f>
        <v>5</v>
      </c>
    </row>
    <row r="10" spans="2:8" x14ac:dyDescent="0.45">
      <c r="C10" s="45"/>
      <c r="H10" s="41" t="s">
        <v>147</v>
      </c>
    </row>
    <row r="11" spans="2:8" x14ac:dyDescent="0.45">
      <c r="H11" s="41" t="s">
        <v>143</v>
      </c>
    </row>
    <row r="12" spans="2:8" x14ac:dyDescent="0.45">
      <c r="B12" s="47" t="s">
        <v>134</v>
      </c>
      <c r="H12" s="41" t="s">
        <v>146</v>
      </c>
    </row>
    <row r="13" spans="2:8" x14ac:dyDescent="0.45">
      <c r="B13" s="44"/>
      <c r="C13" s="44" t="s">
        <v>135</v>
      </c>
      <c r="D13" s="44"/>
      <c r="H13" s="41" t="s">
        <v>148</v>
      </c>
    </row>
    <row r="14" spans="2:8" x14ac:dyDescent="0.45">
      <c r="B14" s="49">
        <f>C3+C4</f>
        <v>2</v>
      </c>
      <c r="C14" s="44" t="s">
        <v>9</v>
      </c>
      <c r="D14" s="49">
        <v>2</v>
      </c>
    </row>
    <row r="15" spans="2:8" x14ac:dyDescent="0.45">
      <c r="B15" s="44"/>
      <c r="C15" s="44"/>
      <c r="D15" s="44"/>
    </row>
    <row r="16" spans="2:8" x14ac:dyDescent="0.45">
      <c r="B16" s="44"/>
      <c r="C16" s="44" t="s">
        <v>136</v>
      </c>
      <c r="D16" s="44"/>
    </row>
    <row r="17" spans="2:4" x14ac:dyDescent="0.45">
      <c r="B17" s="49">
        <f>C3+C5</f>
        <v>3</v>
      </c>
      <c r="C17" s="44" t="s">
        <v>9</v>
      </c>
      <c r="D17" s="49">
        <v>3</v>
      </c>
    </row>
    <row r="18" spans="2:4" x14ac:dyDescent="0.45">
      <c r="B18" s="44"/>
      <c r="C18" s="44"/>
      <c r="D18" s="44"/>
    </row>
    <row r="19" spans="2:4" x14ac:dyDescent="0.45">
      <c r="B19" s="44"/>
      <c r="C19" s="44" t="s">
        <v>142</v>
      </c>
      <c r="D19" s="44"/>
    </row>
    <row r="20" spans="2:4" x14ac:dyDescent="0.45">
      <c r="B20" s="49">
        <f>C4+C5</f>
        <v>3</v>
      </c>
      <c r="C20" s="44" t="s">
        <v>8</v>
      </c>
      <c r="D20" s="49">
        <v>3</v>
      </c>
    </row>
    <row r="22" spans="2:4" x14ac:dyDescent="0.45">
      <c r="B22" s="42" t="s">
        <v>137</v>
      </c>
    </row>
    <row r="23" spans="2:4" x14ac:dyDescent="0.45">
      <c r="B23" s="42" t="s">
        <v>138</v>
      </c>
      <c r="C23" s="51" t="s">
        <v>140</v>
      </c>
    </row>
    <row r="24" spans="2:4" x14ac:dyDescent="0.45">
      <c r="B24" s="42" t="s">
        <v>139</v>
      </c>
    </row>
    <row r="26" spans="2:4" x14ac:dyDescent="0.45">
      <c r="B26" s="47" t="s">
        <v>149</v>
      </c>
    </row>
    <row r="27" spans="2:4" x14ac:dyDescent="0.45">
      <c r="B27" s="44" t="s">
        <v>150</v>
      </c>
      <c r="C27" s="44" t="s">
        <v>151</v>
      </c>
      <c r="D27" s="44" t="s">
        <v>152</v>
      </c>
    </row>
    <row r="28" spans="2:4" x14ac:dyDescent="0.45">
      <c r="B28" s="50">
        <v>0</v>
      </c>
      <c r="C28" s="50">
        <v>0</v>
      </c>
      <c r="D28" s="50">
        <v>0</v>
      </c>
    </row>
    <row r="29" spans="2:4" x14ac:dyDescent="0.45">
      <c r="B29" s="53" t="s">
        <v>156</v>
      </c>
      <c r="C29" s="53" t="s">
        <v>156</v>
      </c>
      <c r="D29" s="53" t="s">
        <v>156</v>
      </c>
    </row>
    <row r="30" spans="2:4" x14ac:dyDescent="0.45">
      <c r="B30" s="44" t="s">
        <v>153</v>
      </c>
      <c r="C30" s="44" t="s">
        <v>154</v>
      </c>
      <c r="D30" s="44" t="s">
        <v>155</v>
      </c>
    </row>
    <row r="31" spans="2:4" x14ac:dyDescent="0.45">
      <c r="B31" s="52">
        <v>2</v>
      </c>
      <c r="C31" s="52">
        <v>3</v>
      </c>
      <c r="D31" s="52">
        <v>4</v>
      </c>
    </row>
    <row r="33" spans="2:4" x14ac:dyDescent="0.45">
      <c r="B33" s="177" t="s">
        <v>157</v>
      </c>
      <c r="C33" s="178"/>
      <c r="D33" s="49">
        <f>SUM(B28:D28)</f>
        <v>0</v>
      </c>
    </row>
    <row r="34" spans="2:4" x14ac:dyDescent="0.45">
      <c r="D34" s="44" t="s">
        <v>9</v>
      </c>
    </row>
    <row r="35" spans="2:4" x14ac:dyDescent="0.4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</vt:i4>
      </vt:variant>
      <vt:variant>
        <vt:lpstr>Named Ranges</vt:lpstr>
      </vt:variant>
      <vt:variant>
        <vt:i4>162</vt:i4>
      </vt:variant>
    </vt:vector>
  </HeadingPairs>
  <TitlesOfParts>
    <vt:vector size="236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2014-12-05T17:50:09Z</dcterms:modified>
</cp:coreProperties>
</file>