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8.xml" ContentType="application/vnd.openxmlformats-officedocument.drawing+xml"/>
  <Override PartName="/xl/charts/chart3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</definedName>
    <definedName name="solver_itr" localSheetId="18" hidden="1">100</definedName>
    <definedName name="solver_itr" localSheetId="52" hidden="1">100</definedName>
    <definedName name="solver_itr" localSheetId="54" hidden="1">100</definedName>
    <definedName name="solver_itr" localSheetId="55" hidden="1">100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</definedName>
    <definedName name="solver_itr" localSheetId="19" hidden="1">100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J6" i="14" l="1"/>
  <c r="J6" i="41"/>
  <c r="H7" i="11"/>
  <c r="H9" i="58"/>
  <c r="G4" i="90"/>
  <c r="J7" i="87"/>
  <c r="D20" i="77"/>
  <c r="S13" i="75"/>
  <c r="I6" i="71"/>
  <c r="G6" i="70"/>
  <c r="F6" i="69"/>
  <c r="F4" i="68"/>
  <c r="H6" i="67"/>
  <c r="I6" i="66"/>
  <c r="G6" i="65"/>
  <c r="K6" i="63"/>
  <c r="H6" i="62"/>
  <c r="H15" i="2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H7" i="12"/>
  <c r="I6" i="6"/>
  <c r="H7" i="35"/>
  <c r="H7" i="34"/>
  <c r="H7" i="33"/>
  <c r="H7" i="31"/>
  <c r="H6" i="27"/>
  <c r="H6" i="26"/>
  <c r="H6" i="25"/>
  <c r="H6" i="32"/>
  <c r="H6" i="24"/>
  <c r="H6" i="22"/>
  <c r="H6" i="1"/>
  <c r="C11" i="68" l="1"/>
  <c r="D11" i="68"/>
  <c r="H6" i="4"/>
  <c r="F24" i="87" l="1"/>
  <c r="G24" i="87"/>
  <c r="H24" i="87"/>
  <c r="I24" i="87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6" i="76"/>
  <c r="C7" i="76"/>
  <c r="C6" i="76"/>
  <c r="B9" i="76"/>
  <c r="G8" i="70"/>
  <c r="C9" i="76" l="1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F15" i="76" s="1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I18" i="76" s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 l="1"/>
  <c r="J42" i="3" s="1"/>
  <c r="O42" i="3" s="1"/>
  <c r="A6" i="20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 l="1"/>
  <c r="O44" i="3" s="1"/>
  <c r="J41" i="3"/>
  <c r="O41" i="3" s="1"/>
  <c r="J43" i="3"/>
  <c r="O43" i="3" s="1"/>
  <c r="J40" i="3"/>
  <c r="O40" i="3" s="1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P25" i="76" s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R27" i="76" s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V31" i="76" s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X33" i="76" s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AD39" i="76" s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<sst xmlns="http://schemas.openxmlformats.org/spreadsheetml/2006/main" count="1832" uniqueCount="395">
  <si>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</si>
  <si>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</si>
  <si>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</si>
  <si>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</si>
  <si>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</si>
  <si>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</si>
  <si>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</si>
  <si>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</si>
  <si>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</si>
  <si>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</si>
  <si>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</si>
  <si>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</si>
  <si>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</si>
  <si>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</si>
  <si>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</si>
  <si>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</si>
  <si>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</si>
  <si>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</si>
  <si>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</si>
  <si>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</si>
  <si>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</si>
  <si>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</si>
  <si>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</si>
  <si>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</si>
  <si>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</si>
  <si>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</si>
  <si>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</si>
  <si>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</si>
  <si>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</si>
  <si>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</si>
  <si>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</si>
  <si>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</si>
  <si>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</si>
  <si>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</si>
  <si>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</si>
  <si>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</si>
  <si>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</si>
  <si>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</si>
  <si>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</si>
  <si>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</si>
  <si>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</si>
  <si>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</si>
  <si>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</si>
  <si>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</si>
  <si>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</si>
  <si>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</si>
  <si>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</si>
  <si>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</si>
  <si>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</si>
  <si>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</si>
  <si>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</si>
  <si>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</si>
  <si>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</si>
  <si>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</si>
  <si>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</si>
  <si>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</si>
  <si>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</si>
  <si>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</si>
  <si>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</si>
  <si>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</si>
  <si>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</si>
  <si>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</si>
  <si>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</si>
  <si>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</si>
  <si>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</si>
  <si>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</si>
  <si>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</si>
  <si>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</si>
  <si>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</si>
  <si>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</si>
  <si>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</si>
  <si>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</si>
  <si>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</si>
  <si>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</si>
  <si>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</si>
  <si>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</si>
  <si>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</si>
  <si>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</si>
  <si>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</si>
  <si>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</si>
  <si>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</si>
  <si>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</si>
  <si>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</si>
  <si>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</si>
  <si>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</si>
  <si>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</si>
  <si>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</si>
  <si>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</si>
  <si>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</si>
  <si>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</si>
  <si>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</si>
  <si>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</si>
  <si>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</si>
  <si>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</si>
  <si>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</si>
  <si>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</si>
  <si>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</si>
  <si>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</si>
  <si>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</si>
  <si>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</si>
  <si>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</si>
  <si>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</si>
  <si>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</si>
  <si>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</si>
  <si>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</si>
  <si>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</si>
  <si>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</si>
  <si>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</si>
  <si>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</si>
  <si>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</si>
  <si>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</si>
  <si>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</si>
  <si>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</si>
  <si>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</si>
  <si>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</si>
  <si>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</si>
  <si>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</si>
  <si>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</si>
  <si>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</si>
  <si>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</si>
  <si>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</si>
  <si>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</si>
  <si>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</si>
  <si>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</si>
  <si>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</si>
  <si>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</si>
  <si>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</si>
  <si>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</si>
  <si>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</si>
  <si>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</si>
  <si>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</si>
  <si>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</si>
  <si>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</si>
  <si>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</si>
  <si>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</si>
  <si>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</si>
  <si>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</si>
  <si>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</si>
  <si>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</si>
  <si>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</si>
  <si>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</si>
  <si>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</si>
  <si>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</si>
  <si>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</si>
  <si>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</si>
  <si>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</si>
  <si>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</si>
  <si>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</si>
  <si>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</si>
  <si>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</si>
  <si>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</si>
  <si>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</si>
  <si>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</si>
  <si>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</si>
  <si>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</si>
  <si>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</si>
  <si>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</si>
  <si>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</si>
  <si>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</si>
  <si>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</si>
  <si>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</si>
  <si>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</si>
  <si>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</si>
  <si>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</si>
  <si>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</si>
  <si>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</si>
  <si>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</si>
  <si>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</si>
  <si>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</si>
  <si>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</si>
  <si>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</si>
  <si>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</si>
  <si>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</si>
  <si>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</si>
  <si>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</si>
  <si>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</si>
  <si>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</si>
  <si>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</si>
  <si>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</si>
  <si>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</si>
  <si>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</si>
  <si>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</si>
  <si>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</si>
  <si>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</si>
  <si>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</si>
  <si>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</si>
  <si>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</si>
  <si>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</si>
  <si>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</si>
  <si>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</si>
  <si>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</si>
  <si>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</si>
  <si>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</si>
  <si>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</si>
  <si>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</si>
  <si>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</si>
  <si>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</si>
  <si>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</si>
  <si>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</si>
  <si>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</si>
  <si>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</si>
  <si>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</si>
  <si>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</si>
  <si>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</si>
  <si>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</si>
  <si>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</si>
  <si>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</si>
  <si>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</si>
  <si>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</si>
  <si>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</si>
  <si>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</si>
  <si>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</si>
  <si>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</si>
  <si>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</si>
  <si>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</si>
  <si>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</si>
  <si>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</si>
  <si>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</si>
  <si>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</si>
  <si>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</si>
  <si>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</si>
  <si>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</si>
  <si>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</si>
  <si>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</si>
  <si>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</si>
  <si>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</si>
  <si>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</si>
  <si>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</si>
  <si>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</si>
  <si>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</si>
  <si>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</si>
  <si>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</si>
  <si>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</si>
  <si>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</si>
  <si>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</si>
  <si>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</si>
  <si>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</si>
  <si>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</si>
  <si>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</si>
  <si>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</si>
  <si>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</si>
  <si>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</si>
  <si>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</si>
  <si>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</si>
  <si>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</si>
  <si>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</si>
  <si>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</si>
  <si>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</si>
  <si>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</si>
  <si>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</si>
  <si>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</si>
  <si>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</si>
  <si>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</si>
  <si>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</si>
  <si>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</si>
  <si>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</si>
  <si>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</si>
  <si>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</si>
  <si>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</si>
  <si>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</si>
  <si>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</si>
  <si>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</si>
  <si>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</si>
  <si>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</si>
  <si>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</si>
  <si>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</si>
  <si>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</si>
  <si>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</si>
  <si>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</si>
  <si>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</si>
  <si>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</si>
  <si>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</si>
  <si>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</si>
  <si>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</si>
  <si>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</si>
  <si>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</si>
  <si>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</si>
  <si>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</si>
  <si>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</si>
  <si>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</si>
  <si>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</si>
  <si>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</si>
  <si>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</si>
  <si>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</si>
  <si>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</si>
  <si>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</si>
  <si>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</si>
  <si>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</si>
  <si>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</si>
  <si>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</si>
  <si>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</si>
  <si>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</si>
  <si>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</si>
  <si>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</si>
  <si>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</si>
  <si>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</si>
  <si>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</si>
  <si>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</si>
  <si>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</si>
  <si>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</si>
  <si>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</si>
  <si>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</si>
  <si>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</si>
  <si>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</si>
  <si>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</si>
  <si>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</si>
  <si>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</si>
  <si>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</si>
  <si>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</si>
  <si>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</si>
  <si>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</si>
  <si>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</si>
  <si>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</si>
  <si>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</si>
  <si>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</si>
  <si>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</si>
  <si>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</si>
  <si>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</si>
  <si>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</si>
  <si>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</si>
  <si>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</si>
  <si>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</si>
  <si>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</si>
  <si>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</si>
  <si>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</si>
  <si>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</si>
  <si>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</si>
  <si>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</si>
  <si>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</si>
  <si>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</si>
  <si>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</si>
  <si>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</si>
  <si>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</si>
  <si>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</si>
  <si>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</si>
  <si>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</si>
  <si>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</si>
  <si>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</si>
  <si>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</si>
  <si>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</si>
  <si>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</si>
  <si>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</si>
  <si>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</si>
  <si>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</si>
  <si>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</si>
  <si>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</si>
  <si>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</si>
  <si>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</si>
  <si>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</si>
  <si>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</si>
  <si>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</si>
  <si>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</si>
  <si>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</si>
  <si>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</si>
  <si>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</si>
  <si>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</si>
  <si>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</si>
  <si>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</si>
  <si>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</si>
  <si>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</si>
  <si>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</si>
  <si>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</si>
  <si>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</si>
  <si>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</si>
  <si>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</si>
  <si>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</si>
  <si>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</si>
  <si>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</si>
  <si>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</si>
  <si>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</si>
  <si>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</si>
  <si>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</si>
  <si>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</si>
  <si>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</si>
  <si>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</si>
  <si>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</si>
  <si>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</si>
  <si>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</si>
  <si>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</si>
  <si>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</si>
  <si>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</si>
  <si>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</si>
  <si>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</si>
  <si>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</si>
  <si>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</si>
  <si>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</si>
  <si>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</si>
  <si>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</si>
  <si>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</si>
  <si>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</si>
  <si>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</si>
  <si>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Test9A</t>
  </si>
  <si>
    <t>OpenSolver Sensitivity Report - Gurobi</t>
  </si>
  <si>
    <t>Report Created: 8/08/2014 5:13:43 p.m.</t>
  </si>
  <si>
    <t>Report Created: 8/08/2014 5:14:24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</si>
</sst>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-1358726080"/>
        <c:axId val="-1358723360"/>
        <c:axId val="-1398778032"/>
      </c:surface3DChart>
      <c:catAx>
        <c:axId val="-135872608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35872336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-135872336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358726080"/>
        <c:crosses val="min"/>
        <c:crossBetween val="between"/>
        <c:majorUnit val="0.1"/>
      </c:valAx>
      <c:serAx>
        <c:axId val="-139877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35872336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58722816"/>
        <c:axId val="-1358722272"/>
      </c:scatterChart>
      <c:valAx>
        <c:axId val="-135872281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358722272"/>
        <c:crosses val="autoZero"/>
        <c:crossBetween val="midCat"/>
        <c:majorUnit val="0.5"/>
      </c:valAx>
      <c:valAx>
        <c:axId val="-135872227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35872281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2.3571428571440802</c:v>
                </c:pt>
                <c:pt idx="2">
                  <c:v>7.0000000000000195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1.8557687223936723</c:v>
                </c:pt>
                <c:pt idx="2">
                  <c:v>-4.5630166312093934E-12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20852064"/>
        <c:axId val="-1320854240"/>
      </c:scatterChart>
      <c:valAx>
        <c:axId val="-132085206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320854240"/>
        <c:crosses val="autoZero"/>
        <c:crossBetween val="midCat"/>
        <c:majorUnit val="1"/>
      </c:valAx>
      <c:valAx>
        <c:axId val="-132085424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32085206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3</xdr:row>
          <xdr:rowOff>188819</xdr:rowOff>
        </xdr:from>
        <xdr:to>
          <xdr:col>0</xdr:col>
          <xdr:colOff>1939925</xdr:colOff>
          <xdr:row>7</xdr:row>
          <xdr:rowOff>188819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9</xdr:row>
          <xdr:rowOff>188819</xdr:rowOff>
        </xdr:from>
        <xdr:to>
          <xdr:col>0</xdr:col>
          <xdr:colOff>1939925</xdr:colOff>
          <xdr:row>15</xdr:row>
          <xdr:rowOff>61819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150719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50"/>
  <sheetViews>
    <sheetView tabSelected="1" zoomScale="85" zoomScaleNormal="85" workbookViewId="0">
      <selection activeCell="H57" sqref="H57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3" s="62" customFormat="1" ht="15.75" thickBot="1" x14ac:dyDescent="0.3">
      <c r="A1" s="83"/>
      <c r="B1" s="87" t="s">
        <v>194</v>
      </c>
      <c r="C1" s="86" t="s">
        <v>375</v>
      </c>
    </row>
    <row r="2" spans="1:3" x14ac:dyDescent="0.25">
      <c r="B2" s="82" t="s">
        <v>391</v>
      </c>
      <c r="C2" s="60" t="s">
        <v>216</v>
      </c>
    </row>
    <row r="3" spans="1:3" x14ac:dyDescent="0.25">
      <c r="B3" s="82"/>
    </row>
    <row r="4" spans="1:3" x14ac:dyDescent="0.25">
      <c r="B4" s="82"/>
    </row>
    <row r="5" spans="1:3" x14ac:dyDescent="0.25">
      <c r="B5" s="82"/>
    </row>
    <row r="6" spans="1:3" x14ac:dyDescent="0.25">
      <c r="B6" s="82"/>
    </row>
    <row r="7" spans="1:3" x14ac:dyDescent="0.25">
      <c r="B7" s="82"/>
    </row>
    <row r="8" spans="1:3" x14ac:dyDescent="0.25">
      <c r="B8" s="82"/>
    </row>
    <row r="9" spans="1:3" x14ac:dyDescent="0.25">
      <c r="B9" s="82"/>
    </row>
    <row r="10" spans="1:3" x14ac:dyDescent="0.25">
      <c r="B10" s="82"/>
    </row>
    <row r="11" spans="1:3" x14ac:dyDescent="0.25">
      <c r="B11" s="82"/>
    </row>
    <row r="12" spans="1:3" x14ac:dyDescent="0.25">
      <c r="B12" s="82"/>
    </row>
    <row r="13" spans="1:3" x14ac:dyDescent="0.25">
      <c r="B13" s="82"/>
    </row>
    <row r="14" spans="1:3" x14ac:dyDescent="0.25">
      <c r="B14" s="82"/>
    </row>
    <row r="15" spans="1:3" x14ac:dyDescent="0.25">
      <c r="B15" s="82"/>
    </row>
    <row r="16" spans="1:3" x14ac:dyDescent="0.25">
      <c r="B16" s="82"/>
    </row>
    <row r="17" spans="2:2" x14ac:dyDescent="0.25">
      <c r="B17" s="82"/>
    </row>
    <row r="18" spans="2:2" x14ac:dyDescent="0.25">
      <c r="B18" s="82"/>
    </row>
    <row r="19" spans="2:2" x14ac:dyDescent="0.25">
      <c r="B19" s="82"/>
    </row>
    <row r="20" spans="2:2" x14ac:dyDescent="0.25">
      <c r="B20" s="82"/>
    </row>
    <row r="21" spans="2:2" x14ac:dyDescent="0.25">
      <c r="B21" s="82"/>
    </row>
    <row r="22" spans="2:2" x14ac:dyDescent="0.25">
      <c r="B22" s="82"/>
    </row>
    <row r="23" spans="2:2" x14ac:dyDescent="0.25">
      <c r="B23" s="82"/>
    </row>
    <row r="24" spans="2:2" x14ac:dyDescent="0.25">
      <c r="B24" s="82"/>
    </row>
    <row r="25" spans="2:2" x14ac:dyDescent="0.25">
      <c r="B25" s="82"/>
    </row>
    <row r="26" spans="2:2" x14ac:dyDescent="0.25">
      <c r="B26" s="82"/>
    </row>
    <row r="27" spans="2:2" x14ac:dyDescent="0.25">
      <c r="B27" s="82"/>
    </row>
    <row r="28" spans="2:2" x14ac:dyDescent="0.25">
      <c r="B28" s="82"/>
    </row>
    <row r="29" spans="2:2" x14ac:dyDescent="0.25">
      <c r="B29" s="82"/>
    </row>
    <row r="30" spans="2:2" x14ac:dyDescent="0.25">
      <c r="B30" s="82"/>
    </row>
    <row r="31" spans="2:2" x14ac:dyDescent="0.25">
      <c r="B31" s="82"/>
    </row>
    <row r="32" spans="2:2" x14ac:dyDescent="0.25">
      <c r="B32" s="82"/>
    </row>
    <row r="33" spans="2:2" x14ac:dyDescent="0.25">
      <c r="B33" s="82"/>
    </row>
    <row r="34" spans="2:2" x14ac:dyDescent="0.25">
      <c r="B34" s="82"/>
    </row>
    <row r="35" spans="2:2" x14ac:dyDescent="0.25">
      <c r="B35" s="82"/>
    </row>
    <row r="36" spans="2:2" x14ac:dyDescent="0.25">
      <c r="B36" s="82"/>
    </row>
    <row r="37" spans="2:2" x14ac:dyDescent="0.25">
      <c r="B37" s="82"/>
    </row>
    <row r="38" spans="2:2" x14ac:dyDescent="0.25">
      <c r="B38" s="82"/>
    </row>
    <row r="39" spans="2:2" x14ac:dyDescent="0.25">
      <c r="B39" s="82"/>
    </row>
    <row r="40" spans="2:2" x14ac:dyDescent="0.25">
      <c r="B40" s="82"/>
    </row>
    <row r="41" spans="2:2" x14ac:dyDescent="0.25">
      <c r="B41" s="82"/>
    </row>
    <row r="42" spans="2:2" x14ac:dyDescent="0.25">
      <c r="B42" s="82"/>
    </row>
    <row r="43" spans="2:2" x14ac:dyDescent="0.25">
      <c r="B43" s="82"/>
    </row>
    <row r="44" spans="2:2" x14ac:dyDescent="0.25">
      <c r="B44" s="82"/>
    </row>
    <row r="45" spans="2:2" x14ac:dyDescent="0.25">
      <c r="B45" s="82"/>
    </row>
    <row r="46" spans="2:2" x14ac:dyDescent="0.25">
      <c r="B46" s="82"/>
    </row>
    <row r="47" spans="2:2" x14ac:dyDescent="0.25">
      <c r="B47" s="82"/>
    </row>
    <row r="48" spans="2:2" x14ac:dyDescent="0.25">
      <c r="B48" s="82"/>
    </row>
    <row r="49" spans="2:2" x14ac:dyDescent="0.25">
      <c r="B49" s="82"/>
    </row>
    <row r="50" spans="2:2" x14ac:dyDescent="0.25">
      <c r="B50" s="82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15</xdr:row>
                <xdr:rowOff>57150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autoLine="0" r:id="rId9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152400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I27" sqref="I27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Q15" sqref="Q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I20" sqref="I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1">
        <v>5.2941176526297902</v>
      </c>
      <c r="F5" s="171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f>SUMPRODUCT($D$5:$F$5,D10:F10)</f>
        <v>116.47058835785538</v>
      </c>
      <c r="H10" s="171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K36" sqref="K3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254.69876815259474</v>
      </c>
      <c r="E5" s="1">
        <v>393.53483037400662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1690.0020274272094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6875.8708156400207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18219.460827615527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20" sqref="I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2.0719273252468802</v>
      </c>
      <c r="Q4" s="169">
        <v>5.1031003362615797E-9</v>
      </c>
      <c r="R4" s="10">
        <v>10.9999985665608</v>
      </c>
      <c r="S4" s="9">
        <f>SUM(Q4:R4)</f>
        <v>10.9999985716639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2</v>
      </c>
      <c r="G5" s="1">
        <v>0</v>
      </c>
      <c r="J5"/>
      <c r="K5"/>
      <c r="M5" t="s">
        <v>20</v>
      </c>
      <c r="N5">
        <v>0</v>
      </c>
      <c r="Q5" s="4">
        <v>43.999999555269198</v>
      </c>
      <c r="R5" s="5">
        <v>22.0000011037252</v>
      </c>
      <c r="S5" s="4">
        <f>SUM(Q5:R5)</f>
        <v>66.000000658994395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43.999999560372302</v>
      </c>
      <c r="R6" s="10">
        <f>SUM(R4:R5)</f>
        <v>32.999999670286002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692.74562074955236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-1.0926569871116953E-8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200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7407.3394085161226</v>
      </c>
      <c r="E5" s="1">
        <v>7086.7827162146568</v>
      </c>
      <c r="F5" s="1">
        <v>6659.917062279419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62714.695214793894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231947.00871087547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464641.4397679877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158285.25490313442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168572.71512016328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J16" sqref="J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K30" sqref="K30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P17" sqref="P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-4.0000000399690903</v>
      </c>
      <c r="E5" s="1">
        <v>7.5294117776311698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14.588235252955331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42.823529154251958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81.647058268534835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179.99999968004704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-1.0000000099949999</v>
      </c>
      <c r="E4" s="54">
        <v>-2.0000000199966701</v>
      </c>
      <c r="F4" s="157">
        <v>-9.9975000000010297E-9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-9.9975000000010297E-9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-2.0000000199966701</v>
      </c>
      <c r="F6" s="157">
        <v>-9.9975000000010198E-9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M19" sqref="M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-2.0000000099949999</v>
      </c>
      <c r="E4" s="157">
        <v>-2.0000000099966702</v>
      </c>
      <c r="F4" s="54">
        <v>-2.0000000099975002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-2.0000000099101101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L23" sqref="L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389</v>
      </c>
    </row>
    <row r="2" spans="1:13" ht="15.75" thickBot="1" x14ac:dyDescent="0.3">
      <c r="A2" s="65" t="s">
        <v>205</v>
      </c>
      <c r="D2" s="18" t="s">
        <v>390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M23" sqref="M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148599</v>
      </c>
      <c r="N9" s="58">
        <f ca="1">M9+1</f>
        <v>148600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259.12427759067214</v>
      </c>
      <c r="F7" s="57">
        <v>370.78251580169308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2260.5028959787887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7299.7572431177105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14228.731970433728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-2827.2637564441538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-3054.8150675713259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P10" sqref="P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1782678.7370722741</v>
      </c>
      <c r="E13" s="30">
        <v>-172651.19822695851</v>
      </c>
      <c r="F13" s="30">
        <v>655198.16416781396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5668196.5361349285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23790002.160239965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48707484.89338439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18568369.341664948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7034414.0112865716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1.27265027790881E-2</v>
      </c>
      <c r="E4">
        <v>4.0426006491549904</v>
      </c>
      <c r="F4">
        <v>1.2726502779087901E-2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1.27265027790881E-2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4.0426006491549904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1.2726502779087901E-2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4.0680536547131663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244</v>
      </c>
      <c r="B2" s="170"/>
      <c r="C2" s="170"/>
      <c r="D2" s="170"/>
      <c r="E2" s="170"/>
      <c r="F2" s="170"/>
      <c r="G2" s="170"/>
      <c r="H2" s="170"/>
    </row>
    <row r="3" spans="1:8" x14ac:dyDescent="0.25">
      <c r="A3" s="17" t="s">
        <v>393</v>
      </c>
      <c r="B3" s="170"/>
      <c r="C3" s="170"/>
      <c r="D3" s="170"/>
      <c r="E3" s="170"/>
      <c r="F3" s="170"/>
      <c r="G3" s="170"/>
      <c r="H3" s="170"/>
    </row>
    <row r="4" spans="1:8" x14ac:dyDescent="0.25">
      <c r="B4" s="170"/>
      <c r="C4" s="170"/>
      <c r="D4" s="170"/>
      <c r="E4" s="170"/>
      <c r="F4" s="170"/>
      <c r="G4" s="170"/>
      <c r="H4" s="170"/>
    </row>
    <row r="5" spans="1:8" ht="15.75" thickBot="1" x14ac:dyDescent="0.3">
      <c r="A5" s="17" t="s">
        <v>229</v>
      </c>
      <c r="B5" s="170"/>
      <c r="C5" s="170"/>
      <c r="D5" s="170"/>
      <c r="E5" s="170"/>
      <c r="F5" s="170"/>
      <c r="G5" s="170"/>
      <c r="H5" s="170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70"/>
      <c r="C10" s="170"/>
      <c r="D10" s="170"/>
      <c r="E10" s="170"/>
      <c r="F10" s="170"/>
      <c r="G10" s="170"/>
      <c r="H10" s="170"/>
    </row>
    <row r="11" spans="1:8" ht="15.75" thickBot="1" x14ac:dyDescent="0.3">
      <c r="A11" s="17" t="s">
        <v>134</v>
      </c>
      <c r="B11" s="170"/>
      <c r="C11" s="170"/>
      <c r="D11" s="170"/>
      <c r="E11" s="170"/>
      <c r="F11" s="170"/>
      <c r="G11" s="170"/>
      <c r="H11" s="170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70"/>
      <c r="C17" s="170"/>
      <c r="D17" s="170"/>
      <c r="E17" s="170"/>
      <c r="F17" s="170"/>
      <c r="G17" s="170"/>
      <c r="H17" s="170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37723.502543940413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37723.502543940413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37723.502543940413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37723.502543940413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37723.502543940413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J8" sqref="J8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ABS(C4-C10)/(1+ABS(C10))&lt;=0.0001</f>
        <v>1</v>
      </c>
      <c r="D11" s="8" t="b">
        <f>ABS(D4-D10)/(1+ABS(D10))&lt;=0.0001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34.752527362080997</v>
      </c>
      <c r="E5">
        <v>0.57549771824140905</v>
      </c>
    </row>
    <row r="6" spans="1:15" ht="15.75" thickBot="1" x14ac:dyDescent="0.3">
      <c r="A6" s="65" t="b">
        <f>AND(F21)</f>
        <v>1</v>
      </c>
      <c r="F6">
        <f>D5^2*E5^2</f>
        <v>400.00000799998998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20.000000199999747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35.328025080322405</v>
      </c>
      <c r="H9">
        <v>40</v>
      </c>
    </row>
    <row r="10" spans="1:15" x14ac:dyDescent="0.25">
      <c r="F10">
        <f>D5</f>
        <v>34.752527362080997</v>
      </c>
      <c r="G10" t="s">
        <v>9</v>
      </c>
      <c r="H10">
        <v>0</v>
      </c>
    </row>
    <row r="11" spans="1:15" x14ac:dyDescent="0.25">
      <c r="F11">
        <f>E5</f>
        <v>0.57549771824140905</v>
      </c>
      <c r="H11">
        <v>0</v>
      </c>
    </row>
    <row r="12" spans="1:15" x14ac:dyDescent="0.25">
      <c r="F12">
        <f>E5*D5+E5+D5</f>
        <v>55.328025280322152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55.328025280322152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55.328025280322152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-15.328024880322658</v>
      </c>
      <c r="G15" t="s">
        <v>8</v>
      </c>
      <c r="H15">
        <v>0</v>
      </c>
      <c r="O15" s="90"/>
    </row>
    <row r="16" spans="1:15" x14ac:dyDescent="0.25">
      <c r="F16">
        <f>E5-D5*E5+D5</f>
        <v>15.328024880322658</v>
      </c>
      <c r="G16" t="s">
        <v>8</v>
      </c>
      <c r="H16">
        <v>60</v>
      </c>
      <c r="O16" s="90"/>
    </row>
    <row r="17" spans="6:15" x14ac:dyDescent="0.25">
      <c r="F17">
        <f>E5-D5+E5*D5</f>
        <v>-14.177029443839842</v>
      </c>
      <c r="G17" t="s">
        <v>8</v>
      </c>
      <c r="H17">
        <v>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H43" sqref="H43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22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0.97398643086723302</v>
      </c>
      <c r="E5">
        <v>5.3981853886696296</v>
      </c>
      <c r="F5">
        <v>1.2982733513693401</v>
      </c>
      <c r="G5">
        <v>1.0548146507757501E-2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-3.5873066185976228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-27.136666651058221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-19.45567333364426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0.94240514092658101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0.41277404754643199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5.1848876768566905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285</v>
      </c>
      <c r="B2" s="170"/>
      <c r="C2" s="170"/>
      <c r="D2" s="170"/>
      <c r="E2" s="170"/>
      <c r="F2" s="170"/>
      <c r="G2" s="170"/>
      <c r="H2" s="170"/>
    </row>
    <row r="3" spans="1:8" x14ac:dyDescent="0.25">
      <c r="A3" s="17" t="s">
        <v>394</v>
      </c>
      <c r="B3" s="170"/>
      <c r="C3" s="170"/>
      <c r="D3" s="170"/>
      <c r="E3" s="170"/>
      <c r="F3" s="170"/>
      <c r="G3" s="170"/>
      <c r="H3" s="170"/>
    </row>
    <row r="4" spans="1:8" x14ac:dyDescent="0.25">
      <c r="B4" s="170"/>
      <c r="C4" s="170"/>
      <c r="D4" s="170"/>
      <c r="E4" s="170"/>
      <c r="F4" s="170"/>
      <c r="G4" s="170"/>
      <c r="H4" s="170"/>
    </row>
    <row r="5" spans="1:8" ht="15.75" thickBot="1" x14ac:dyDescent="0.3">
      <c r="A5" s="17" t="s">
        <v>229</v>
      </c>
      <c r="B5" s="170"/>
      <c r="C5" s="170"/>
      <c r="D5" s="170"/>
      <c r="E5" s="170"/>
      <c r="F5" s="170"/>
      <c r="G5" s="170"/>
      <c r="H5" s="170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70"/>
      <c r="C22" s="170"/>
      <c r="D22" s="170"/>
      <c r="E22" s="170"/>
      <c r="F22" s="170"/>
      <c r="G22" s="170"/>
      <c r="H22" s="170"/>
    </row>
    <row r="23" spans="1:8" ht="15.75" thickBot="1" x14ac:dyDescent="0.3">
      <c r="A23" s="17" t="s">
        <v>134</v>
      </c>
      <c r="B23" s="170"/>
      <c r="C23" s="170"/>
      <c r="D23" s="170"/>
      <c r="E23" s="170"/>
      <c r="F23" s="170"/>
      <c r="G23" s="170"/>
      <c r="H23" s="170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70"/>
      <c r="C33" s="170"/>
      <c r="D33" s="170"/>
      <c r="E33" s="170"/>
      <c r="F33" s="170"/>
      <c r="G33" s="170"/>
      <c r="H33" s="170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264</v>
      </c>
      <c r="D15">
        <v>0</v>
      </c>
      <c r="E15" s="88">
        <v>2.9800023581351099E-6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265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E16" sqref="E16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135.09256086288099</v>
      </c>
      <c r="E11" s="130"/>
    </row>
    <row r="12" spans="1:5" x14ac:dyDescent="0.25">
      <c r="C12" s="128" t="s">
        <v>329</v>
      </c>
      <c r="D12" s="129">
        <f>D11/D4</f>
        <v>27.018512172576198</v>
      </c>
      <c r="E12" s="130"/>
    </row>
    <row r="13" spans="1:5" x14ac:dyDescent="0.25">
      <c r="C13" s="128" t="s">
        <v>330</v>
      </c>
      <c r="D13" s="131">
        <f>D8*D11/2</f>
        <v>0.37011660510378352</v>
      </c>
      <c r="E13" s="130"/>
    </row>
    <row r="14" spans="1:5" x14ac:dyDescent="0.25">
      <c r="C14" s="128" t="s">
        <v>331</v>
      </c>
      <c r="D14" s="133">
        <f>D5/D12</f>
        <v>0.37011660509382172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24" sqref="F24:I24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1</v>
      </c>
      <c r="G2" s="137">
        <v>2</v>
      </c>
      <c r="H2" s="137">
        <v>3</v>
      </c>
      <c r="I2" s="137">
        <v>4</v>
      </c>
      <c r="J2" s="135">
        <f>SQRT(($F$2-D2)^2+($G$2-E2)^2)</f>
        <v>2.2360679774997898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1.4142135623730951</v>
      </c>
      <c r="K3" s="107"/>
      <c r="N3" s="97" t="s">
        <v>344</v>
      </c>
      <c r="O3" s="97">
        <f>$F$2</f>
        <v>1</v>
      </c>
      <c r="P3" s="97">
        <f>$G$2</f>
        <v>2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3.1622776601683795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4.1231056256176606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2.8284271247461903</v>
      </c>
      <c r="K6" s="107"/>
      <c r="N6" s="97" t="s">
        <v>344</v>
      </c>
      <c r="O6" s="97">
        <f>$F$2</f>
        <v>1</v>
      </c>
      <c r="P6" s="97">
        <f>$G$2</f>
        <v>2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13.764091950405115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3</v>
      </c>
      <c r="P9" s="97">
        <f>$I$2</f>
        <v>4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3</v>
      </c>
      <c r="P12" s="97">
        <f>$I$2</f>
        <v>4</v>
      </c>
    </row>
    <row r="14" spans="1:16" x14ac:dyDescent="0.25">
      <c r="N14" s="97" t="s">
        <v>344</v>
      </c>
      <c r="O14" s="97">
        <f>$F$2</f>
        <v>1</v>
      </c>
      <c r="P14" s="97">
        <f>$G$2</f>
        <v>2</v>
      </c>
    </row>
    <row r="15" spans="1:16" x14ac:dyDescent="0.25">
      <c r="N15" s="97" t="s">
        <v>346</v>
      </c>
      <c r="O15" s="97">
        <f>$H$2</f>
        <v>3</v>
      </c>
      <c r="P15" s="97">
        <f>$I$2</f>
        <v>4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 t="shared" ref="F24:H24" si="0">ABS(F2-F23)/(1+ABS(F23))&lt;=0.001</f>
        <v>0</v>
      </c>
      <c r="G24" s="8" t="b">
        <f t="shared" si="0"/>
        <v>0</v>
      </c>
      <c r="H24" s="8" t="b">
        <f t="shared" si="0"/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3" t="s">
        <v>348</v>
      </c>
      <c r="D1" s="173"/>
      <c r="E1" s="173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2.3571428571440802</v>
      </c>
      <c r="I4" s="148">
        <f>SIN(RADIANS(D7))*D2</f>
        <v>1.8557687223936723</v>
      </c>
    </row>
    <row r="5" spans="1:9" x14ac:dyDescent="0.25">
      <c r="A5" s="64" t="s">
        <v>210</v>
      </c>
      <c r="H5" s="148">
        <f>H4+COS(RADIANS(D8))*D3</f>
        <v>7.0000000000000195</v>
      </c>
      <c r="I5" s="148">
        <f>I4+SIN(RADIANS(D8))*D3</f>
        <v>-4.5630166312093934E-12</v>
      </c>
    </row>
    <row r="6" spans="1:9" ht="15.75" thickBot="1" x14ac:dyDescent="0.3">
      <c r="A6" s="65" t="b">
        <f>AND(F16)</f>
        <v>1</v>
      </c>
      <c r="C6" s="173" t="s">
        <v>229</v>
      </c>
      <c r="D6" s="173"/>
      <c r="E6" s="173"/>
    </row>
    <row r="7" spans="1:9" x14ac:dyDescent="0.25">
      <c r="A7" s="64" t="s">
        <v>211</v>
      </c>
      <c r="C7" s="150" t="s">
        <v>353</v>
      </c>
      <c r="D7" s="151">
        <v>-13281.786789298299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56138.213210701702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3" t="s">
        <v>356</v>
      </c>
      <c r="D10" s="173"/>
      <c r="E10" s="173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7.0000000000000195</v>
      </c>
      <c r="D12" s="153">
        <f>D4</f>
        <v>7</v>
      </c>
      <c r="E12" s="153">
        <f>D12-C12</f>
        <v>-1.9539925233402755E-14</v>
      </c>
      <c r="F12" s="153">
        <f>E12^2</f>
        <v>3.8180867812696971E-28</v>
      </c>
    </row>
    <row r="13" spans="1:9" x14ac:dyDescent="0.25">
      <c r="C13" s="153">
        <f>D2*SIN(RADIANS(D7))+D3*SIN(RADIANS(D8))</f>
        <v>-4.5630166312093934E-12</v>
      </c>
      <c r="D13" s="153">
        <v>0</v>
      </c>
      <c r="E13" s="153">
        <f>C13-D13</f>
        <v>-4.5630166312093934E-12</v>
      </c>
      <c r="F13" s="153">
        <f>E13^2</f>
        <v>2.0821120776693521E-23</v>
      </c>
    </row>
    <row r="15" spans="1:9" x14ac:dyDescent="0.25">
      <c r="C15" s="173" t="s">
        <v>361</v>
      </c>
      <c r="D15" s="173"/>
      <c r="E15" s="173"/>
      <c r="F15" s="154">
        <f>SUM(F12:F13)</f>
        <v>2.0821502585371648E-23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2014-08-11T05:05:44Z</dcterms:modified>
</cp:coreProperties>
</file>