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100000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Test23!$D$5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(-2)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Test23!$D$7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6" i="4" l="1"/>
  <c r="H15" i="2"/>
  <c r="G4" i="90"/>
  <c r="D20" i="77"/>
  <c r="S13" i="75"/>
  <c r="I6" i="71"/>
  <c r="G6" i="70"/>
  <c r="F6" i="69"/>
  <c r="F4" i="68"/>
  <c r="H6" i="67"/>
  <c r="I6" i="66"/>
  <c r="G6" i="65"/>
  <c r="K6" i="63"/>
  <c r="H6" i="62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G13" i="90" l="1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7" i="87" l="1"/>
  <c r="J24" i="87" s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8" i="70"/>
  <c r="A13" i="76" l="1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<sst xmlns="http://schemas.openxmlformats.org/spreadsheetml/2006/main" count="1825" uniqueCount="384">
  <si>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</si>
  <si>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</si>
  <si>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</si>
  <si>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</si>
  <si>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</si>
  <si>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</si>
  <si>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</si>
  <si>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</si>
  <si>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</si>
  <si>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</si>
  <si>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</si>
  <si>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</si>
  <si>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</si>
  <si>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</si>
  <si>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</si>
  <si>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</si>
  <si>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</si>
  <si>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</si>
  <si>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</si>
  <si>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</si>
  <si>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</si>
  <si>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</si>
  <si>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</si>
  <si>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</si>
  <si>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</si>
  <si>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</si>
  <si>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</si>
  <si>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</si>
  <si>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</si>
  <si>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</si>
  <si>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</si>
  <si>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</si>
  <si>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</si>
  <si>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</si>
  <si>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</si>
  <si>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</si>
  <si>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</si>
  <si>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</si>
  <si>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</si>
  <si>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</si>
  <si>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</si>
  <si>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</si>
  <si>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</si>
  <si>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</si>
  <si>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</si>
  <si>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</si>
  <si>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</si>
  <si>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</si>
  <si>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</si>
  <si>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</si>
  <si>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</si>
  <si>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</si>
  <si>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</si>
  <si>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</si>
  <si>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</si>
  <si>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</si>
  <si>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</si>
  <si>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</si>
  <si>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</si>
  <si>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</si>
  <si>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</si>
  <si>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</si>
  <si>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</si>
  <si>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</si>
  <si>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</si>
  <si>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</si>
  <si>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</si>
  <si>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</si>
  <si>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</si>
  <si>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</si>
  <si>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</si>
  <si>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</si>
  <si>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</si>
  <si>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</si>
  <si>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</si>
  <si>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</si>
  <si>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</si>
  <si>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</si>
  <si>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</si>
  <si>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</si>
  <si>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</si>
  <si>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</si>
  <si>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</si>
  <si>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</si>
  <si>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</si>
  <si>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</si>
  <si>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</si>
  <si>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</si>
  <si>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</si>
  <si>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</si>
  <si>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</si>
  <si>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</si>
  <si>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</si>
  <si>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</si>
  <si>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</si>
  <si>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</si>
  <si>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</si>
  <si>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</si>
  <si>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</si>
  <si>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</si>
  <si>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</si>
  <si>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</si>
  <si>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</si>
  <si>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</si>
  <si>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</si>
  <si>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</si>
  <si>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</si>
  <si>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</si>
  <si>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</si>
  <si>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</si>
  <si>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</si>
  <si>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</si>
  <si>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</si>
  <si>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</si>
  <si>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</si>
  <si>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</si>
  <si>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</si>
  <si>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</si>
  <si>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</si>
  <si>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</si>
  <si>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</si>
  <si>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</si>
  <si>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</si>
  <si>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</si>
  <si>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</si>
  <si>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</si>
  <si>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</si>
  <si>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</si>
  <si>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</si>
  <si>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</si>
  <si>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</si>
  <si>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</si>
  <si>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</si>
  <si>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</si>
  <si>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</si>
  <si>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</si>
  <si>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</si>
  <si>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</si>
  <si>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</si>
  <si>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</si>
  <si>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</si>
  <si>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</si>
  <si>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</si>
  <si>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</si>
  <si>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</si>
  <si>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</si>
  <si>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</si>
  <si>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</si>
  <si>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</si>
  <si>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</si>
  <si>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</si>
  <si>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</si>
  <si>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</si>
  <si>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</si>
  <si>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</si>
  <si>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</si>
  <si>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</si>
  <si>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</si>
  <si>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</si>
  <si>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</si>
  <si>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</si>
  <si>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</si>
  <si>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</si>
  <si>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</si>
  <si>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</si>
  <si>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</si>
  <si>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</si>
  <si>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</si>
  <si>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</si>
  <si>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</si>
  <si>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</si>
  <si>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</si>
  <si>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</si>
  <si>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</si>
  <si>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</si>
  <si>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</si>
  <si>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</si>
  <si>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</si>
  <si>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</si>
  <si>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</si>
  <si>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</si>
  <si>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</si>
  <si>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</si>
  <si>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</si>
  <si>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</si>
  <si>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</si>
  <si>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</si>
  <si>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</si>
  <si>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</si>
  <si>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</si>
  <si>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</si>
  <si>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</si>
  <si>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</si>
  <si>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</si>
  <si>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</si>
  <si>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</si>
  <si>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</si>
  <si>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</si>
  <si>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</si>
  <si>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</si>
  <si>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</si>
  <si>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</si>
  <si>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</si>
  <si>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</si>
  <si>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</si>
  <si>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</si>
  <si>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</si>
  <si>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</si>
  <si>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</si>
  <si>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</si>
  <si>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</si>
  <si>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</si>
  <si>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</si>
  <si>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</si>
  <si>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</si>
  <si>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</si>
  <si>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</si>
  <si>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</si>
  <si>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</si>
  <si>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</si>
  <si>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</si>
  <si>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</si>
  <si>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</si>
  <si>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</si>
  <si>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</si>
  <si>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</si>
  <si>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</si>
  <si>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</si>
  <si>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</si>
  <si>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</si>
  <si>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</si>
  <si>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</si>
  <si>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</si>
  <si>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</si>
  <si>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</si>
  <si>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</si>
  <si>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</si>
  <si>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</si>
  <si>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</si>
  <si>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</si>
  <si>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</si>
  <si>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</si>
  <si>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</si>
  <si>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</si>
  <si>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</si>
  <si>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</si>
  <si>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</si>
  <si>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</si>
  <si>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</si>
  <si>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</si>
  <si>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</si>
  <si>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</si>
  <si>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</si>
  <si>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</si>
  <si>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</si>
  <si>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</si>
  <si>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</si>
  <si>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</si>
  <si>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</si>
  <si>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</si>
  <si>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</si>
  <si>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</si>
  <si>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</si>
  <si>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</si>
  <si>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</si>
  <si>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</si>
  <si>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</si>
  <si>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</si>
  <si>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</si>
  <si>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</si>
  <si>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</si>
  <si>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</si>
  <si>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</si>
  <si>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</si>
  <si>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</si>
  <si>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</si>
  <si>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</si>
  <si>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</si>
  <si>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</si>
  <si>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</si>
  <si>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</si>
  <si>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</si>
  <si>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</si>
  <si>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</si>
  <si>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</si>
  <si>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</si>
  <si>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</si>
  <si>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</si>
  <si>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</si>
  <si>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</si>
  <si>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</si>
  <si>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</si>
  <si>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</si>
  <si>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</si>
  <si>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</si>
  <si>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</si>
  <si>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</si>
  <si>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</si>
  <si>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</si>
  <si>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</si>
  <si>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</si>
  <si>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</si>
  <si>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</si>
  <si>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</si>
  <si>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</si>
  <si>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</si>
  <si>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</si>
  <si>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</si>
  <si>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</si>
  <si>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</si>
  <si>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</si>
  <si>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</si>
  <si>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</si>
  <si>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</si>
  <si>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</si>
  <si>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</si>
  <si>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</si>
  <si>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</si>
  <si>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</si>
  <si>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</si>
  <si>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</si>
  <si>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</si>
  <si>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</si>
  <si>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</si>
  <si>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</si>
  <si>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</si>
  <si>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</si>
  <si>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</si>
  <si>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</si>
  <si>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</si>
  <si>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</si>
  <si>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</si>
  <si>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</si>
  <si>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</si>
  <si>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</si>
  <si>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</si>
  <si>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</si>
  <si>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</si>
  <si>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</si>
  <si>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</si>
  <si>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</si>
  <si>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</si>
  <si>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</si>
  <si>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</si>
  <si>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</si>
  <si>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</si>
  <si>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</si>
  <si>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</si>
  <si>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</si>
  <si>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</si>
  <si>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</si>
  <si>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</si>
  <si>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</si>
  <si>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</si>
  <si>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</si>
  <si>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</si>
  <si>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</si>
  <si>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</si>
  <si>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</si>
  <si>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</si>
  <si>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</si>
  <si>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</si>
  <si>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</si>
  <si>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</si>
  <si>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</si>
  <si>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</si>
  <si>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</si>
  <si>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</si>
  <si>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</si>
  <si>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</si>
  <si>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</si>
  <si>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</si>
  <si>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</si>
  <si>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</si>
  <si>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</si>
  <si>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</si>
  <si>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</si>
  <si>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Test27_Parameters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</si>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</sst>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843687072"/>
        <c:axId val="1843687616"/>
        <c:axId val="1791536768"/>
      </c:surface3DChart>
      <c:catAx>
        <c:axId val="184368707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61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84368761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072"/>
        <c:crosses val="min"/>
        <c:crossBetween val="between"/>
        <c:majorUnit val="0.1"/>
      </c:valAx>
      <c:serAx>
        <c:axId val="179153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61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0.28867513459986799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0.50000000003406098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1.7113248653877899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0.50000000006777401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0.28867513459986799</c:v>
                </c:pt>
                <c:pt idx="3">
                  <c:v>0</c:v>
                </c:pt>
                <c:pt idx="4">
                  <c:v>0.28867513459986799</c:v>
                </c:pt>
                <c:pt idx="6">
                  <c:v>2</c:v>
                </c:pt>
                <c:pt idx="7">
                  <c:v>1.7113248653877899</c:v>
                </c:pt>
                <c:pt idx="9">
                  <c:v>2</c:v>
                </c:pt>
                <c:pt idx="10">
                  <c:v>1.7113248653877899</c:v>
                </c:pt>
                <c:pt idx="12">
                  <c:v>0.28867513459986799</c:v>
                </c:pt>
                <c:pt idx="13">
                  <c:v>1.7113248653877899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0.50000000003406098</c:v>
                </c:pt>
                <c:pt idx="3">
                  <c:v>1</c:v>
                </c:pt>
                <c:pt idx="4">
                  <c:v>0.50000000003406098</c:v>
                </c:pt>
                <c:pt idx="6">
                  <c:v>1</c:v>
                </c:pt>
                <c:pt idx="7">
                  <c:v>0.50000000006777401</c:v>
                </c:pt>
                <c:pt idx="9">
                  <c:v>0</c:v>
                </c:pt>
                <c:pt idx="10">
                  <c:v>0.50000000006777401</c:v>
                </c:pt>
                <c:pt idx="12">
                  <c:v>0.50000000003406098</c:v>
                </c:pt>
                <c:pt idx="13">
                  <c:v>0.50000000006777401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694144"/>
        <c:axId val="1843697408"/>
      </c:scatterChart>
      <c:valAx>
        <c:axId val="184369414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97408"/>
        <c:crosses val="autoZero"/>
        <c:crossBetween val="midCat"/>
        <c:majorUnit val="0.5"/>
      </c:valAx>
      <c:valAx>
        <c:axId val="184369740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9414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2.357142849289481</c:v>
                </c:pt>
                <c:pt idx="2">
                  <c:v>6.9999999883487796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-1.8557687323703531</c:v>
                </c:pt>
                <c:pt idx="2">
                  <c:v>-4.7348702736371706E-10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095120"/>
        <c:axId val="1850095664"/>
      </c:scatterChart>
      <c:valAx>
        <c:axId val="185009512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95664"/>
        <c:crosses val="autoZero"/>
        <c:crossBetween val="midCat"/>
        <c:majorUnit val="1"/>
      </c:valAx>
      <c:valAx>
        <c:axId val="185009566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951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0</xdr:rowOff>
        </xdr:from>
        <xdr:to>
          <xdr:col>0</xdr:col>
          <xdr:colOff>1943100</xdr:colOff>
          <xdr:row>32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6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7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8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0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52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3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4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5" name="OpenSolver 10"/>
        <xdr:cNvCxnSpPr>
          <a:stCxn id="53" idx="3"/>
          <a:endCxn id="54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56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7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8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9" name="OpenSolver 14"/>
        <xdr:cNvCxnSpPr>
          <a:stCxn id="57" idx="3"/>
          <a:endCxn id="58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60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61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62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63" name="OpenSolver 18"/>
        <xdr:cNvCxnSpPr>
          <a:stCxn id="61" idx="3"/>
          <a:endCxn id="62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64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65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66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67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56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57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8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9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0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61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62" name="OpenSolver 7"/>
        <xdr:cNvCxnSpPr>
          <a:stCxn id="60" idx="3"/>
          <a:endCxn id="61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63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4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5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66" name="OpenSolver 11"/>
        <xdr:cNvCxnSpPr>
          <a:stCxn id="64" idx="3"/>
          <a:endCxn id="65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67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68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69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70" name="OpenSolver 15"/>
        <xdr:cNvCxnSpPr>
          <a:stCxn id="68" idx="3"/>
          <a:endCxn id="69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71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73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74" name="OpenSolver 19"/>
        <xdr:cNvCxnSpPr>
          <a:stCxn id="72" idx="2"/>
          <a:endCxn id="73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75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6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7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78" name="OpenSolver 23"/>
        <xdr:cNvCxnSpPr>
          <a:stCxn id="76" idx="3"/>
          <a:endCxn id="77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79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80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81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82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10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1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1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113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(-2)≤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14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15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6" name="OpenSolver 7"/>
        <xdr:cNvCxnSpPr>
          <a:stCxn id="114" idx="3"/>
          <a:endCxn id="115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17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8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19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20" name="OpenSolver 11"/>
        <xdr:cNvCxnSpPr>
          <a:stCxn id="118" idx="3"/>
          <a:endCxn id="119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1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22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3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24" name="OpenSolver 15"/>
        <xdr:cNvCxnSpPr>
          <a:stCxn id="122" idx="3"/>
          <a:endCxn id="123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5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1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2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3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4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45" name="OpenSolver 6"/>
        <xdr:cNvCxnSpPr>
          <a:stCxn id="43" idx="2"/>
          <a:endCxn id="44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46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9" name="OpenSolver 10"/>
        <xdr:cNvCxnSpPr>
          <a:stCxn id="47" idx="3"/>
          <a:endCxn id="4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3" name="OpenSolver 14"/>
        <xdr:cNvCxnSpPr>
          <a:stCxn id="51" idx="3"/>
          <a:endCxn id="5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57" name="OpenSolver 18"/>
        <xdr:cNvCxnSpPr>
          <a:stCxn id="55" idx="3"/>
          <a:endCxn id="5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5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373</v>
      </c>
    </row>
    <row r="5" spans="1:12" x14ac:dyDescent="0.25">
      <c r="A5" s="63" t="s">
        <v>202</v>
      </c>
      <c r="B5" s="63">
        <v>4</v>
      </c>
      <c r="L5" s="63" t="s">
        <v>380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J50"/>
  <sheetViews>
    <sheetView tabSelected="1" workbookViewId="0">
      <selection activeCell="G13" sqref="G13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10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215</v>
      </c>
      <c r="F1" s="62" t="s">
        <v>197</v>
      </c>
      <c r="G1" s="62" t="s">
        <v>245</v>
      </c>
      <c r="H1" s="62" t="s">
        <v>246</v>
      </c>
      <c r="I1" s="62" t="s">
        <v>373</v>
      </c>
      <c r="J1" s="62" t="s">
        <v>380</v>
      </c>
    </row>
    <row r="2" spans="1:10" x14ac:dyDescent="0.25">
      <c r="B2" s="82" t="s">
        <v>377</v>
      </c>
      <c r="C2" s="60" t="s">
        <v>216</v>
      </c>
      <c r="D2" s="60" t="s">
        <v>216</v>
      </c>
      <c r="E2" s="60" t="s">
        <v>216</v>
      </c>
      <c r="F2" s="60" t="s">
        <v>383</v>
      </c>
      <c r="G2" s="60" t="s">
        <v>383</v>
      </c>
      <c r="H2" s="60" t="s">
        <v>383</v>
      </c>
      <c r="I2" s="60" t="s">
        <v>383</v>
      </c>
      <c r="J2" s="60" t="s">
        <v>383</v>
      </c>
    </row>
    <row r="3" spans="1:10" x14ac:dyDescent="0.25">
      <c r="B3" s="82"/>
    </row>
    <row r="4" spans="1:10" x14ac:dyDescent="0.25">
      <c r="B4" s="82"/>
    </row>
    <row r="5" spans="1:10" x14ac:dyDescent="0.25">
      <c r="B5" s="82"/>
    </row>
    <row r="6" spans="1:10" x14ac:dyDescent="0.25">
      <c r="B6" s="82"/>
    </row>
    <row r="7" spans="1:10" x14ac:dyDescent="0.25">
      <c r="B7" s="82"/>
    </row>
    <row r="8" spans="1:10" x14ac:dyDescent="0.25">
      <c r="B8" s="82"/>
    </row>
    <row r="9" spans="1:10" x14ac:dyDescent="0.25">
      <c r="B9" s="82"/>
    </row>
    <row r="10" spans="1:10" x14ac:dyDescent="0.25">
      <c r="B10" s="82"/>
    </row>
    <row r="11" spans="1:10" x14ac:dyDescent="0.25">
      <c r="B11" s="82"/>
    </row>
    <row r="12" spans="1:10" x14ac:dyDescent="0.25">
      <c r="B12" s="82"/>
    </row>
    <row r="13" spans="1:10" x14ac:dyDescent="0.25">
      <c r="B13" s="82"/>
    </row>
    <row r="14" spans="1:10" x14ac:dyDescent="0.25">
      <c r="B14" s="82"/>
    </row>
    <row r="15" spans="1:10" x14ac:dyDescent="0.25">
      <c r="B15" s="82"/>
    </row>
    <row r="16" spans="1:10" x14ac:dyDescent="0.25">
      <c r="B16" s="82"/>
    </row>
    <row r="17" spans="2:2" x14ac:dyDescent="0.25">
      <c r="B17" s="82"/>
    </row>
    <row r="18" spans="2:2" x14ac:dyDescent="0.25">
      <c r="B18" s="82"/>
    </row>
    <row r="19" spans="2:2" x14ac:dyDescent="0.25">
      <c r="B19" s="82"/>
    </row>
    <row r="20" spans="2:2" x14ac:dyDescent="0.25">
      <c r="B20" s="82"/>
    </row>
    <row r="21" spans="2:2" x14ac:dyDescent="0.25">
      <c r="B21" s="82"/>
    </row>
    <row r="22" spans="2:2" x14ac:dyDescent="0.25">
      <c r="B22" s="82"/>
    </row>
    <row r="23" spans="2:2" x14ac:dyDescent="0.25">
      <c r="B23" s="82"/>
    </row>
    <row r="24" spans="2:2" x14ac:dyDescent="0.25">
      <c r="B24" s="82"/>
    </row>
    <row r="25" spans="2:2" x14ac:dyDescent="0.25">
      <c r="B25" s="82"/>
    </row>
    <row r="26" spans="2:2" x14ac:dyDescent="0.25">
      <c r="B26" s="82"/>
    </row>
    <row r="27" spans="2:2" x14ac:dyDescent="0.25">
      <c r="B27" s="82"/>
    </row>
    <row r="28" spans="2:2" x14ac:dyDescent="0.25">
      <c r="B28" s="82"/>
    </row>
    <row r="29" spans="2:2" x14ac:dyDescent="0.25">
      <c r="B29" s="82"/>
    </row>
    <row r="30" spans="2:2" x14ac:dyDescent="0.25">
      <c r="B30" s="82"/>
    </row>
    <row r="31" spans="2:2" x14ac:dyDescent="0.25">
      <c r="B31" s="82"/>
    </row>
    <row r="32" spans="2:2" x14ac:dyDescent="0.25">
      <c r="B32" s="82"/>
    </row>
    <row r="33" spans="2:2" x14ac:dyDescent="0.25">
      <c r="B33" s="82"/>
    </row>
    <row r="34" spans="2:2" x14ac:dyDescent="0.25">
      <c r="B34" s="82"/>
    </row>
    <row r="35" spans="2:2" x14ac:dyDescent="0.25">
      <c r="B35" s="82"/>
    </row>
    <row r="36" spans="2:2" x14ac:dyDescent="0.25">
      <c r="B36" s="82"/>
    </row>
    <row r="37" spans="2:2" x14ac:dyDescent="0.25">
      <c r="B37" s="82"/>
    </row>
    <row r="38" spans="2:2" x14ac:dyDescent="0.25">
      <c r="B38" s="82"/>
    </row>
    <row r="39" spans="2:2" x14ac:dyDescent="0.25">
      <c r="B39" s="82"/>
    </row>
    <row r="40" spans="2:2" x14ac:dyDescent="0.25">
      <c r="B40" s="82"/>
    </row>
    <row r="41" spans="2:2" x14ac:dyDescent="0.25">
      <c r="B41" s="82"/>
    </row>
    <row r="42" spans="2:2" x14ac:dyDescent="0.25">
      <c r="B42" s="82"/>
    </row>
    <row r="43" spans="2:2" x14ac:dyDescent="0.25">
      <c r="B43" s="82"/>
    </row>
    <row r="44" spans="2:2" x14ac:dyDescent="0.25">
      <c r="B44" s="82"/>
    </row>
    <row r="45" spans="2:2" x14ac:dyDescent="0.25">
      <c r="B45" s="82"/>
    </row>
    <row r="46" spans="2:2" x14ac:dyDescent="0.25">
      <c r="B46" s="82"/>
    </row>
    <row r="47" spans="2:2" x14ac:dyDescent="0.25">
      <c r="B47" s="82"/>
    </row>
    <row r="48" spans="2:2" x14ac:dyDescent="0.25">
      <c r="B48" s="82"/>
    </row>
    <row r="49" spans="2:2" x14ac:dyDescent="0.25">
      <c r="B49" s="82"/>
    </row>
    <row r="50" spans="2:2" x14ac:dyDescent="0.25">
      <c r="B50" s="82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1943100</xdr:colOff>
                <xdr:row>32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7" sqref="M17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5.2941176432186499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15.88235292965595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58.23529407540515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116.4705881508103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179.99999986943411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8">
        <v>0</v>
      </c>
      <c r="E5" s="169">
        <v>5.2941176526297902</v>
      </c>
      <c r="F5" s="169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8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5.2941175999999999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9">
        <f>SUMPRODUCT($D$5:$F$5,D10:F10)</f>
        <v>116.4705872</v>
      </c>
      <c r="H10" s="169"/>
      <c r="I10" s="1" t="s">
        <v>8</v>
      </c>
      <c r="J10" s="1">
        <v>200</v>
      </c>
      <c r="K10" s="1"/>
      <c r="L10" t="s">
        <v>382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7" sqref="N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8">
        <v>0</v>
      </c>
      <c r="E4" s="1">
        <v>1</v>
      </c>
      <c r="F4" s="1">
        <v>1</v>
      </c>
      <c r="G4" s="158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8">
        <v>0</v>
      </c>
      <c r="E4" s="1">
        <v>1</v>
      </c>
      <c r="F4" s="1">
        <v>1</v>
      </c>
      <c r="G4" s="158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I28" sqref="I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8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0.2956521739130431</v>
      </c>
      <c r="E5" s="1">
        <v>8.3970688204158801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25.782510809073724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95.324278763705124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190.94420970132327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190.94420970132327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291.11773119848772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F1" workbookViewId="0">
      <selection activeCell="A6" sqref="A6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60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8">
        <v>0</v>
      </c>
      <c r="G3" s="1"/>
    </row>
    <row r="4" spans="1:10" ht="15.75" thickBot="1" x14ac:dyDescent="0.3">
      <c r="A4" s="65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C15" sqref="C15:F20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8">
        <v>0</v>
      </c>
      <c r="G3" s="1"/>
    </row>
    <row r="4" spans="1:12" ht="15.75" thickBot="1" x14ac:dyDescent="0.3">
      <c r="A4" s="65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L13" sqref="L13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379</v>
      </c>
      <c r="I1" s="161" t="s">
        <v>1</v>
      </c>
      <c r="J1" s="162" t="s">
        <v>2</v>
      </c>
      <c r="K1" s="162" t="s">
        <v>3</v>
      </c>
      <c r="L1" s="163" t="s">
        <v>378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4">
        <v>2.6182822537839598</v>
      </c>
      <c r="J2" s="35">
        <v>0</v>
      </c>
      <c r="K2" s="35">
        <v>0</v>
      </c>
      <c r="L2" s="165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6" t="b">
        <f>ABS(D3-I2)/(1+ABS(I2))&lt;=0.000001</f>
        <v>1</v>
      </c>
      <c r="J3" s="167" t="b">
        <f>ABS(E3-J2)/(1+ABS(J2))&lt;=0.000001</f>
        <v>1</v>
      </c>
      <c r="K3" s="167" t="b">
        <f>ABS(F3-K2)/(1+ABS(K2))&lt;=0.000001</f>
        <v>1</v>
      </c>
      <c r="L3" s="168" t="b">
        <f>ABS(L2-H5)/(1+ABS(L2))&lt;=0.000001</f>
        <v>1</v>
      </c>
      <c r="O3" s="159"/>
    </row>
    <row r="4" spans="1:15" ht="15.75" thickBot="1" x14ac:dyDescent="0.3">
      <c r="A4" s="65" t="s">
        <v>207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9"/>
      <c r="N5" s="159"/>
      <c r="O5" s="159"/>
    </row>
    <row r="6" spans="1:15" ht="15.75" thickBot="1" x14ac:dyDescent="0.3">
      <c r="A6" s="65" t="b">
        <v>0</v>
      </c>
      <c r="D6" s="31"/>
      <c r="E6" s="31"/>
      <c r="F6" s="31"/>
      <c r="G6" s="31"/>
      <c r="H6" s="31"/>
      <c r="I6" s="31"/>
      <c r="J6" s="31"/>
      <c r="L6" s="17"/>
      <c r="M6" s="159"/>
      <c r="N6" s="159"/>
      <c r="O6" s="159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9"/>
      <c r="N7" s="159"/>
      <c r="O7" s="159"/>
    </row>
    <row r="8" spans="1:15" x14ac:dyDescent="0.25">
      <c r="A8" s="66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9"/>
      <c r="O8" s="159"/>
    </row>
    <row r="9" spans="1:15" ht="15.75" thickBot="1" x14ac:dyDescent="0.3">
      <c r="A9" s="65">
        <f>VLOOKUP(A8,OpenSolverResultCodes,2,FALSE)</f>
        <v>-2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9"/>
      <c r="N16" s="159"/>
      <c r="O16" s="159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9"/>
      <c r="N17" s="159"/>
      <c r="O17" s="159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9"/>
      <c r="O18" s="159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9"/>
      <c r="O19" s="159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disablePrompts="1"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F12" sqref="F1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">
        <v>5.2941176432180903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0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15.882352929654271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58.235294075398997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116.47058815079799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179.99999986941506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H19" sqref="H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0</v>
      </c>
      <c r="E4" s="54">
        <v>0</v>
      </c>
      <c r="F4" s="158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0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8">
        <v>0</v>
      </c>
      <c r="E4" s="54">
        <v>0</v>
      </c>
      <c r="F4" s="54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0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H22" sqref="H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0</v>
      </c>
      <c r="D6" s="54">
        <v>0</v>
      </c>
      <c r="E6" s="54">
        <v>0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0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0</v>
      </c>
      <c r="D6" s="54">
        <v>0</v>
      </c>
      <c r="E6" s="54">
        <v>0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L11" sqref="L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0</v>
      </c>
      <c r="D6" s="54">
        <v>0</v>
      </c>
      <c r="E6" s="54">
        <v>0</v>
      </c>
      <c r="F6" s="54">
        <v>0</v>
      </c>
      <c r="G6" s="54">
        <v>0</v>
      </c>
      <c r="H6">
        <f>SUM(D6:F6)</f>
        <v>0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0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D6" sqref="D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8">
        <v>0</v>
      </c>
      <c r="E4" s="158">
        <v>0</v>
      </c>
      <c r="F4" s="54">
        <v>0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0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D7" sqref="D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381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158">
        <v>0</v>
      </c>
      <c r="F5" s="158">
        <v>0</v>
      </c>
      <c r="H5"/>
      <c r="I5"/>
      <c r="J5"/>
    </row>
    <row r="6" spans="1:13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0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0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D5" sqref="D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62999</v>
      </c>
      <c r="N9" s="58">
        <f ca="1">M9+1</f>
        <v>63000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5.2941176432194004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15.8823529296582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58.235294075413407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116.47058815082681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116.47058815082681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179.9999998694596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O16" sqref="O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E26" sqref="E2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247</v>
      </c>
    </row>
    <row r="2" spans="1:8" x14ac:dyDescent="0.25">
      <c r="A2" s="17" t="s">
        <v>244</v>
      </c>
    </row>
    <row r="3" spans="1:8" x14ac:dyDescent="0.25">
      <c r="A3" s="17" t="s">
        <v>248</v>
      </c>
    </row>
    <row r="5" spans="1:8" x14ac:dyDescent="0.25">
      <c r="A5" s="17" t="s">
        <v>229</v>
      </c>
    </row>
    <row r="6" spans="1:8" x14ac:dyDescent="0.25">
      <c r="B6" t="s">
        <v>230</v>
      </c>
      <c r="C6" t="s">
        <v>231</v>
      </c>
      <c r="D6" t="s">
        <v>232</v>
      </c>
      <c r="E6" t="s">
        <v>233</v>
      </c>
      <c r="F6" t="s">
        <v>234</v>
      </c>
      <c r="G6" t="s">
        <v>235</v>
      </c>
      <c r="H6" t="s">
        <v>236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5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5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5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5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5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L31" sqref="L31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32.257617922388199</v>
      </c>
      <c r="E5">
        <v>0.62000858985060003</v>
      </c>
    </row>
    <row r="6" spans="1:15" ht="15.75" thickBot="1" x14ac:dyDescent="0.3">
      <c r="A6" s="65" t="b">
        <f>AND(F21)</f>
        <v>1</v>
      </c>
      <c r="F6">
        <f>D5^2*E5^2</f>
        <v>400.00000799997406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20.000000199999349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32.877626512238798</v>
      </c>
      <c r="H9">
        <v>40</v>
      </c>
    </row>
    <row r="10" spans="1:15" x14ac:dyDescent="0.25">
      <c r="F10">
        <f>D5</f>
        <v>32.257617922388199</v>
      </c>
      <c r="G10" t="s">
        <v>9</v>
      </c>
      <c r="H10">
        <v>0</v>
      </c>
    </row>
    <row r="11" spans="1:15" x14ac:dyDescent="0.25">
      <c r="F11">
        <f>E5</f>
        <v>0.62000858985060003</v>
      </c>
      <c r="H11">
        <v>0</v>
      </c>
    </row>
    <row r="12" spans="1:15" x14ac:dyDescent="0.25">
      <c r="F12">
        <f>E5*D5+E5+D5</f>
        <v>52.877626712238147</v>
      </c>
      <c r="G12" t="s">
        <v>8</v>
      </c>
      <c r="H12">
        <v>60</v>
      </c>
      <c r="I12" t="s">
        <v>374</v>
      </c>
    </row>
    <row r="13" spans="1:15" x14ac:dyDescent="0.25">
      <c r="F13">
        <f>E5+D5*E5+D5</f>
        <v>52.877626712238147</v>
      </c>
      <c r="G13" t="s">
        <v>8</v>
      </c>
      <c r="H13">
        <v>60</v>
      </c>
      <c r="I13" t="s">
        <v>375</v>
      </c>
    </row>
    <row r="14" spans="1:15" x14ac:dyDescent="0.25">
      <c r="F14">
        <f>E5+D5+E5*D5</f>
        <v>52.877626712238147</v>
      </c>
      <c r="G14" t="s">
        <v>8</v>
      </c>
      <c r="H14">
        <v>60</v>
      </c>
      <c r="I14" t="s">
        <v>376</v>
      </c>
    </row>
    <row r="15" spans="1:15" ht="15.75" customHeight="1" x14ac:dyDescent="0.25">
      <c r="F15">
        <f>E5*D5-E5-D5</f>
        <v>-12.87762631223945</v>
      </c>
      <c r="G15" t="s">
        <v>8</v>
      </c>
      <c r="H15">
        <v>-10</v>
      </c>
      <c r="O15" s="90"/>
    </row>
    <row r="16" spans="1:15" x14ac:dyDescent="0.25">
      <c r="F16">
        <f>E5-D5*E5+D5</f>
        <v>12.87762631223945</v>
      </c>
      <c r="G16" t="s">
        <v>8</v>
      </c>
      <c r="H16">
        <v>13</v>
      </c>
      <c r="O16" s="90"/>
    </row>
    <row r="17" spans="6:15" x14ac:dyDescent="0.25">
      <c r="F17">
        <f>E5-D5+E5*D5</f>
        <v>-11.637609132538252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0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2.6167388271693302</v>
      </c>
      <c r="E5">
        <v>2.6167388271693302</v>
      </c>
      <c r="F5">
        <v>2.6167388271693302</v>
      </c>
      <c r="G5">
        <v>2.6167388271693302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-13.544622258892556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-28.32319897581673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-17.85624366713941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5"/>
    <col min="3" max="3" width="3.7109375" style="95" customWidth="1"/>
    <col min="4" max="4" width="4.28515625" style="95" customWidth="1"/>
    <col min="5" max="5" width="1.42578125" style="95" customWidth="1"/>
    <col min="6" max="7" width="12.140625" style="95" customWidth="1"/>
    <col min="8" max="8" width="1.28515625" style="95" customWidth="1"/>
    <col min="9" max="13" width="9.140625" style="95"/>
    <col min="14" max="15" width="5.85546875" style="95" customWidth="1"/>
    <col min="16" max="16" width="6.42578125" style="95" customWidth="1"/>
    <col min="17" max="258" width="9.140625" style="95"/>
    <col min="259" max="259" width="3.7109375" style="95" customWidth="1"/>
    <col min="260" max="260" width="4.28515625" style="95" customWidth="1"/>
    <col min="261" max="261" width="1.42578125" style="95" customWidth="1"/>
    <col min="262" max="263" width="12.140625" style="95" customWidth="1"/>
    <col min="264" max="264" width="1.28515625" style="95" customWidth="1"/>
    <col min="265" max="269" width="9.140625" style="95"/>
    <col min="270" max="271" width="5.85546875" style="95" customWidth="1"/>
    <col min="272" max="272" width="6.42578125" style="95" customWidth="1"/>
    <col min="273" max="514" width="9.140625" style="95"/>
    <col min="515" max="515" width="3.7109375" style="95" customWidth="1"/>
    <col min="516" max="516" width="4.28515625" style="95" customWidth="1"/>
    <col min="517" max="517" width="1.42578125" style="95" customWidth="1"/>
    <col min="518" max="519" width="12.140625" style="95" customWidth="1"/>
    <col min="520" max="520" width="1.28515625" style="95" customWidth="1"/>
    <col min="521" max="525" width="9.140625" style="95"/>
    <col min="526" max="527" width="5.85546875" style="95" customWidth="1"/>
    <col min="528" max="528" width="6.42578125" style="95" customWidth="1"/>
    <col min="529" max="770" width="9.140625" style="95"/>
    <col min="771" max="771" width="3.7109375" style="95" customWidth="1"/>
    <col min="772" max="772" width="4.28515625" style="95" customWidth="1"/>
    <col min="773" max="773" width="1.42578125" style="95" customWidth="1"/>
    <col min="774" max="775" width="12.140625" style="95" customWidth="1"/>
    <col min="776" max="776" width="1.28515625" style="95" customWidth="1"/>
    <col min="777" max="781" width="9.140625" style="95"/>
    <col min="782" max="783" width="5.85546875" style="95" customWidth="1"/>
    <col min="784" max="784" width="6.42578125" style="95" customWidth="1"/>
    <col min="785" max="1026" width="9.140625" style="95"/>
    <col min="1027" max="1027" width="3.7109375" style="95" customWidth="1"/>
    <col min="1028" max="1028" width="4.28515625" style="95" customWidth="1"/>
    <col min="1029" max="1029" width="1.42578125" style="95" customWidth="1"/>
    <col min="1030" max="1031" width="12.140625" style="95" customWidth="1"/>
    <col min="1032" max="1032" width="1.28515625" style="95" customWidth="1"/>
    <col min="1033" max="1037" width="9.140625" style="95"/>
    <col min="1038" max="1039" width="5.85546875" style="95" customWidth="1"/>
    <col min="1040" max="1040" width="6.42578125" style="95" customWidth="1"/>
    <col min="1041" max="1282" width="9.140625" style="95"/>
    <col min="1283" max="1283" width="3.7109375" style="95" customWidth="1"/>
    <col min="1284" max="1284" width="4.28515625" style="95" customWidth="1"/>
    <col min="1285" max="1285" width="1.42578125" style="95" customWidth="1"/>
    <col min="1286" max="1287" width="12.140625" style="95" customWidth="1"/>
    <col min="1288" max="1288" width="1.28515625" style="95" customWidth="1"/>
    <col min="1289" max="1293" width="9.140625" style="95"/>
    <col min="1294" max="1295" width="5.85546875" style="95" customWidth="1"/>
    <col min="1296" max="1296" width="6.42578125" style="95" customWidth="1"/>
    <col min="1297" max="1538" width="9.140625" style="95"/>
    <col min="1539" max="1539" width="3.7109375" style="95" customWidth="1"/>
    <col min="1540" max="1540" width="4.28515625" style="95" customWidth="1"/>
    <col min="1541" max="1541" width="1.42578125" style="95" customWidth="1"/>
    <col min="1542" max="1543" width="12.140625" style="95" customWidth="1"/>
    <col min="1544" max="1544" width="1.28515625" style="95" customWidth="1"/>
    <col min="1545" max="1549" width="9.140625" style="95"/>
    <col min="1550" max="1551" width="5.85546875" style="95" customWidth="1"/>
    <col min="1552" max="1552" width="6.42578125" style="95" customWidth="1"/>
    <col min="1553" max="1794" width="9.140625" style="95"/>
    <col min="1795" max="1795" width="3.7109375" style="95" customWidth="1"/>
    <col min="1796" max="1796" width="4.28515625" style="95" customWidth="1"/>
    <col min="1797" max="1797" width="1.42578125" style="95" customWidth="1"/>
    <col min="1798" max="1799" width="12.140625" style="95" customWidth="1"/>
    <col min="1800" max="1800" width="1.28515625" style="95" customWidth="1"/>
    <col min="1801" max="1805" width="9.140625" style="95"/>
    <col min="1806" max="1807" width="5.85546875" style="95" customWidth="1"/>
    <col min="1808" max="1808" width="6.42578125" style="95" customWidth="1"/>
    <col min="1809" max="2050" width="9.140625" style="95"/>
    <col min="2051" max="2051" width="3.7109375" style="95" customWidth="1"/>
    <col min="2052" max="2052" width="4.28515625" style="95" customWidth="1"/>
    <col min="2053" max="2053" width="1.42578125" style="95" customWidth="1"/>
    <col min="2054" max="2055" width="12.140625" style="95" customWidth="1"/>
    <col min="2056" max="2056" width="1.28515625" style="95" customWidth="1"/>
    <col min="2057" max="2061" width="9.140625" style="95"/>
    <col min="2062" max="2063" width="5.85546875" style="95" customWidth="1"/>
    <col min="2064" max="2064" width="6.42578125" style="95" customWidth="1"/>
    <col min="2065" max="2306" width="9.140625" style="95"/>
    <col min="2307" max="2307" width="3.7109375" style="95" customWidth="1"/>
    <col min="2308" max="2308" width="4.28515625" style="95" customWidth="1"/>
    <col min="2309" max="2309" width="1.42578125" style="95" customWidth="1"/>
    <col min="2310" max="2311" width="12.140625" style="95" customWidth="1"/>
    <col min="2312" max="2312" width="1.28515625" style="95" customWidth="1"/>
    <col min="2313" max="2317" width="9.140625" style="95"/>
    <col min="2318" max="2319" width="5.85546875" style="95" customWidth="1"/>
    <col min="2320" max="2320" width="6.42578125" style="95" customWidth="1"/>
    <col min="2321" max="2562" width="9.140625" style="95"/>
    <col min="2563" max="2563" width="3.7109375" style="95" customWidth="1"/>
    <col min="2564" max="2564" width="4.28515625" style="95" customWidth="1"/>
    <col min="2565" max="2565" width="1.42578125" style="95" customWidth="1"/>
    <col min="2566" max="2567" width="12.140625" style="95" customWidth="1"/>
    <col min="2568" max="2568" width="1.28515625" style="95" customWidth="1"/>
    <col min="2569" max="2573" width="9.140625" style="95"/>
    <col min="2574" max="2575" width="5.85546875" style="95" customWidth="1"/>
    <col min="2576" max="2576" width="6.42578125" style="95" customWidth="1"/>
    <col min="2577" max="2818" width="9.140625" style="95"/>
    <col min="2819" max="2819" width="3.7109375" style="95" customWidth="1"/>
    <col min="2820" max="2820" width="4.28515625" style="95" customWidth="1"/>
    <col min="2821" max="2821" width="1.42578125" style="95" customWidth="1"/>
    <col min="2822" max="2823" width="12.140625" style="95" customWidth="1"/>
    <col min="2824" max="2824" width="1.28515625" style="95" customWidth="1"/>
    <col min="2825" max="2829" width="9.140625" style="95"/>
    <col min="2830" max="2831" width="5.85546875" style="95" customWidth="1"/>
    <col min="2832" max="2832" width="6.42578125" style="95" customWidth="1"/>
    <col min="2833" max="3074" width="9.140625" style="95"/>
    <col min="3075" max="3075" width="3.7109375" style="95" customWidth="1"/>
    <col min="3076" max="3076" width="4.28515625" style="95" customWidth="1"/>
    <col min="3077" max="3077" width="1.42578125" style="95" customWidth="1"/>
    <col min="3078" max="3079" width="12.140625" style="95" customWidth="1"/>
    <col min="3080" max="3080" width="1.28515625" style="95" customWidth="1"/>
    <col min="3081" max="3085" width="9.140625" style="95"/>
    <col min="3086" max="3087" width="5.85546875" style="95" customWidth="1"/>
    <col min="3088" max="3088" width="6.42578125" style="95" customWidth="1"/>
    <col min="3089" max="3330" width="9.140625" style="95"/>
    <col min="3331" max="3331" width="3.7109375" style="95" customWidth="1"/>
    <col min="3332" max="3332" width="4.28515625" style="95" customWidth="1"/>
    <col min="3333" max="3333" width="1.42578125" style="95" customWidth="1"/>
    <col min="3334" max="3335" width="12.140625" style="95" customWidth="1"/>
    <col min="3336" max="3336" width="1.28515625" style="95" customWidth="1"/>
    <col min="3337" max="3341" width="9.140625" style="95"/>
    <col min="3342" max="3343" width="5.85546875" style="95" customWidth="1"/>
    <col min="3344" max="3344" width="6.42578125" style="95" customWidth="1"/>
    <col min="3345" max="3586" width="9.140625" style="95"/>
    <col min="3587" max="3587" width="3.7109375" style="95" customWidth="1"/>
    <col min="3588" max="3588" width="4.28515625" style="95" customWidth="1"/>
    <col min="3589" max="3589" width="1.42578125" style="95" customWidth="1"/>
    <col min="3590" max="3591" width="12.140625" style="95" customWidth="1"/>
    <col min="3592" max="3592" width="1.28515625" style="95" customWidth="1"/>
    <col min="3593" max="3597" width="9.140625" style="95"/>
    <col min="3598" max="3599" width="5.85546875" style="95" customWidth="1"/>
    <col min="3600" max="3600" width="6.42578125" style="95" customWidth="1"/>
    <col min="3601" max="3842" width="9.140625" style="95"/>
    <col min="3843" max="3843" width="3.7109375" style="95" customWidth="1"/>
    <col min="3844" max="3844" width="4.28515625" style="95" customWidth="1"/>
    <col min="3845" max="3845" width="1.42578125" style="95" customWidth="1"/>
    <col min="3846" max="3847" width="12.140625" style="95" customWidth="1"/>
    <col min="3848" max="3848" width="1.28515625" style="95" customWidth="1"/>
    <col min="3849" max="3853" width="9.140625" style="95"/>
    <col min="3854" max="3855" width="5.85546875" style="95" customWidth="1"/>
    <col min="3856" max="3856" width="6.42578125" style="95" customWidth="1"/>
    <col min="3857" max="4098" width="9.140625" style="95"/>
    <col min="4099" max="4099" width="3.7109375" style="95" customWidth="1"/>
    <col min="4100" max="4100" width="4.28515625" style="95" customWidth="1"/>
    <col min="4101" max="4101" width="1.42578125" style="95" customWidth="1"/>
    <col min="4102" max="4103" width="12.140625" style="95" customWidth="1"/>
    <col min="4104" max="4104" width="1.28515625" style="95" customWidth="1"/>
    <col min="4105" max="4109" width="9.140625" style="95"/>
    <col min="4110" max="4111" width="5.85546875" style="95" customWidth="1"/>
    <col min="4112" max="4112" width="6.42578125" style="95" customWidth="1"/>
    <col min="4113" max="4354" width="9.140625" style="95"/>
    <col min="4355" max="4355" width="3.7109375" style="95" customWidth="1"/>
    <col min="4356" max="4356" width="4.28515625" style="95" customWidth="1"/>
    <col min="4357" max="4357" width="1.42578125" style="95" customWidth="1"/>
    <col min="4358" max="4359" width="12.140625" style="95" customWidth="1"/>
    <col min="4360" max="4360" width="1.28515625" style="95" customWidth="1"/>
    <col min="4361" max="4365" width="9.140625" style="95"/>
    <col min="4366" max="4367" width="5.85546875" style="95" customWidth="1"/>
    <col min="4368" max="4368" width="6.42578125" style="95" customWidth="1"/>
    <col min="4369" max="4610" width="9.140625" style="95"/>
    <col min="4611" max="4611" width="3.7109375" style="95" customWidth="1"/>
    <col min="4612" max="4612" width="4.28515625" style="95" customWidth="1"/>
    <col min="4613" max="4613" width="1.42578125" style="95" customWidth="1"/>
    <col min="4614" max="4615" width="12.140625" style="95" customWidth="1"/>
    <col min="4616" max="4616" width="1.28515625" style="95" customWidth="1"/>
    <col min="4617" max="4621" width="9.140625" style="95"/>
    <col min="4622" max="4623" width="5.85546875" style="95" customWidth="1"/>
    <col min="4624" max="4624" width="6.42578125" style="95" customWidth="1"/>
    <col min="4625" max="4866" width="9.140625" style="95"/>
    <col min="4867" max="4867" width="3.7109375" style="95" customWidth="1"/>
    <col min="4868" max="4868" width="4.28515625" style="95" customWidth="1"/>
    <col min="4869" max="4869" width="1.42578125" style="95" customWidth="1"/>
    <col min="4870" max="4871" width="12.140625" style="95" customWidth="1"/>
    <col min="4872" max="4872" width="1.28515625" style="95" customWidth="1"/>
    <col min="4873" max="4877" width="9.140625" style="95"/>
    <col min="4878" max="4879" width="5.85546875" style="95" customWidth="1"/>
    <col min="4880" max="4880" width="6.42578125" style="95" customWidth="1"/>
    <col min="4881" max="5122" width="9.140625" style="95"/>
    <col min="5123" max="5123" width="3.7109375" style="95" customWidth="1"/>
    <col min="5124" max="5124" width="4.28515625" style="95" customWidth="1"/>
    <col min="5125" max="5125" width="1.42578125" style="95" customWidth="1"/>
    <col min="5126" max="5127" width="12.140625" style="95" customWidth="1"/>
    <col min="5128" max="5128" width="1.28515625" style="95" customWidth="1"/>
    <col min="5129" max="5133" width="9.140625" style="95"/>
    <col min="5134" max="5135" width="5.85546875" style="95" customWidth="1"/>
    <col min="5136" max="5136" width="6.42578125" style="95" customWidth="1"/>
    <col min="5137" max="5378" width="9.140625" style="95"/>
    <col min="5379" max="5379" width="3.7109375" style="95" customWidth="1"/>
    <col min="5380" max="5380" width="4.28515625" style="95" customWidth="1"/>
    <col min="5381" max="5381" width="1.42578125" style="95" customWidth="1"/>
    <col min="5382" max="5383" width="12.140625" style="95" customWidth="1"/>
    <col min="5384" max="5384" width="1.28515625" style="95" customWidth="1"/>
    <col min="5385" max="5389" width="9.140625" style="95"/>
    <col min="5390" max="5391" width="5.85546875" style="95" customWidth="1"/>
    <col min="5392" max="5392" width="6.42578125" style="95" customWidth="1"/>
    <col min="5393" max="5634" width="9.140625" style="95"/>
    <col min="5635" max="5635" width="3.7109375" style="95" customWidth="1"/>
    <col min="5636" max="5636" width="4.28515625" style="95" customWidth="1"/>
    <col min="5637" max="5637" width="1.42578125" style="95" customWidth="1"/>
    <col min="5638" max="5639" width="12.140625" style="95" customWidth="1"/>
    <col min="5640" max="5640" width="1.28515625" style="95" customWidth="1"/>
    <col min="5641" max="5645" width="9.140625" style="95"/>
    <col min="5646" max="5647" width="5.85546875" style="95" customWidth="1"/>
    <col min="5648" max="5648" width="6.42578125" style="95" customWidth="1"/>
    <col min="5649" max="5890" width="9.140625" style="95"/>
    <col min="5891" max="5891" width="3.7109375" style="95" customWidth="1"/>
    <col min="5892" max="5892" width="4.28515625" style="95" customWidth="1"/>
    <col min="5893" max="5893" width="1.42578125" style="95" customWidth="1"/>
    <col min="5894" max="5895" width="12.140625" style="95" customWidth="1"/>
    <col min="5896" max="5896" width="1.28515625" style="95" customWidth="1"/>
    <col min="5897" max="5901" width="9.140625" style="95"/>
    <col min="5902" max="5903" width="5.85546875" style="95" customWidth="1"/>
    <col min="5904" max="5904" width="6.42578125" style="95" customWidth="1"/>
    <col min="5905" max="6146" width="9.140625" style="95"/>
    <col min="6147" max="6147" width="3.7109375" style="95" customWidth="1"/>
    <col min="6148" max="6148" width="4.28515625" style="95" customWidth="1"/>
    <col min="6149" max="6149" width="1.42578125" style="95" customWidth="1"/>
    <col min="6150" max="6151" width="12.140625" style="95" customWidth="1"/>
    <col min="6152" max="6152" width="1.28515625" style="95" customWidth="1"/>
    <col min="6153" max="6157" width="9.140625" style="95"/>
    <col min="6158" max="6159" width="5.85546875" style="95" customWidth="1"/>
    <col min="6160" max="6160" width="6.42578125" style="95" customWidth="1"/>
    <col min="6161" max="6402" width="9.140625" style="95"/>
    <col min="6403" max="6403" width="3.7109375" style="95" customWidth="1"/>
    <col min="6404" max="6404" width="4.28515625" style="95" customWidth="1"/>
    <col min="6405" max="6405" width="1.42578125" style="95" customWidth="1"/>
    <col min="6406" max="6407" width="12.140625" style="95" customWidth="1"/>
    <col min="6408" max="6408" width="1.28515625" style="95" customWidth="1"/>
    <col min="6409" max="6413" width="9.140625" style="95"/>
    <col min="6414" max="6415" width="5.85546875" style="95" customWidth="1"/>
    <col min="6416" max="6416" width="6.42578125" style="95" customWidth="1"/>
    <col min="6417" max="6658" width="9.140625" style="95"/>
    <col min="6659" max="6659" width="3.7109375" style="95" customWidth="1"/>
    <col min="6660" max="6660" width="4.28515625" style="95" customWidth="1"/>
    <col min="6661" max="6661" width="1.42578125" style="95" customWidth="1"/>
    <col min="6662" max="6663" width="12.140625" style="95" customWidth="1"/>
    <col min="6664" max="6664" width="1.28515625" style="95" customWidth="1"/>
    <col min="6665" max="6669" width="9.140625" style="95"/>
    <col min="6670" max="6671" width="5.85546875" style="95" customWidth="1"/>
    <col min="6672" max="6672" width="6.42578125" style="95" customWidth="1"/>
    <col min="6673" max="6914" width="9.140625" style="95"/>
    <col min="6915" max="6915" width="3.7109375" style="95" customWidth="1"/>
    <col min="6916" max="6916" width="4.28515625" style="95" customWidth="1"/>
    <col min="6917" max="6917" width="1.42578125" style="95" customWidth="1"/>
    <col min="6918" max="6919" width="12.140625" style="95" customWidth="1"/>
    <col min="6920" max="6920" width="1.28515625" style="95" customWidth="1"/>
    <col min="6921" max="6925" width="9.140625" style="95"/>
    <col min="6926" max="6927" width="5.85546875" style="95" customWidth="1"/>
    <col min="6928" max="6928" width="6.42578125" style="95" customWidth="1"/>
    <col min="6929" max="7170" width="9.140625" style="95"/>
    <col min="7171" max="7171" width="3.7109375" style="95" customWidth="1"/>
    <col min="7172" max="7172" width="4.28515625" style="95" customWidth="1"/>
    <col min="7173" max="7173" width="1.42578125" style="95" customWidth="1"/>
    <col min="7174" max="7175" width="12.140625" style="95" customWidth="1"/>
    <col min="7176" max="7176" width="1.28515625" style="95" customWidth="1"/>
    <col min="7177" max="7181" width="9.140625" style="95"/>
    <col min="7182" max="7183" width="5.85546875" style="95" customWidth="1"/>
    <col min="7184" max="7184" width="6.42578125" style="95" customWidth="1"/>
    <col min="7185" max="7426" width="9.140625" style="95"/>
    <col min="7427" max="7427" width="3.7109375" style="95" customWidth="1"/>
    <col min="7428" max="7428" width="4.28515625" style="95" customWidth="1"/>
    <col min="7429" max="7429" width="1.42578125" style="95" customWidth="1"/>
    <col min="7430" max="7431" width="12.140625" style="95" customWidth="1"/>
    <col min="7432" max="7432" width="1.28515625" style="95" customWidth="1"/>
    <col min="7433" max="7437" width="9.140625" style="95"/>
    <col min="7438" max="7439" width="5.85546875" style="95" customWidth="1"/>
    <col min="7440" max="7440" width="6.42578125" style="95" customWidth="1"/>
    <col min="7441" max="7682" width="9.140625" style="95"/>
    <col min="7683" max="7683" width="3.7109375" style="95" customWidth="1"/>
    <col min="7684" max="7684" width="4.28515625" style="95" customWidth="1"/>
    <col min="7685" max="7685" width="1.42578125" style="95" customWidth="1"/>
    <col min="7686" max="7687" width="12.140625" style="95" customWidth="1"/>
    <col min="7688" max="7688" width="1.28515625" style="95" customWidth="1"/>
    <col min="7689" max="7693" width="9.140625" style="95"/>
    <col min="7694" max="7695" width="5.85546875" style="95" customWidth="1"/>
    <col min="7696" max="7696" width="6.42578125" style="95" customWidth="1"/>
    <col min="7697" max="7938" width="9.140625" style="95"/>
    <col min="7939" max="7939" width="3.7109375" style="95" customWidth="1"/>
    <col min="7940" max="7940" width="4.28515625" style="95" customWidth="1"/>
    <col min="7941" max="7941" width="1.42578125" style="95" customWidth="1"/>
    <col min="7942" max="7943" width="12.140625" style="95" customWidth="1"/>
    <col min="7944" max="7944" width="1.28515625" style="95" customWidth="1"/>
    <col min="7945" max="7949" width="9.140625" style="95"/>
    <col min="7950" max="7951" width="5.85546875" style="95" customWidth="1"/>
    <col min="7952" max="7952" width="6.42578125" style="95" customWidth="1"/>
    <col min="7953" max="8194" width="9.140625" style="95"/>
    <col min="8195" max="8195" width="3.7109375" style="95" customWidth="1"/>
    <col min="8196" max="8196" width="4.28515625" style="95" customWidth="1"/>
    <col min="8197" max="8197" width="1.42578125" style="95" customWidth="1"/>
    <col min="8198" max="8199" width="12.140625" style="95" customWidth="1"/>
    <col min="8200" max="8200" width="1.28515625" style="95" customWidth="1"/>
    <col min="8201" max="8205" width="9.140625" style="95"/>
    <col min="8206" max="8207" width="5.85546875" style="95" customWidth="1"/>
    <col min="8208" max="8208" width="6.42578125" style="95" customWidth="1"/>
    <col min="8209" max="8450" width="9.140625" style="95"/>
    <col min="8451" max="8451" width="3.7109375" style="95" customWidth="1"/>
    <col min="8452" max="8452" width="4.28515625" style="95" customWidth="1"/>
    <col min="8453" max="8453" width="1.42578125" style="95" customWidth="1"/>
    <col min="8454" max="8455" width="12.140625" style="95" customWidth="1"/>
    <col min="8456" max="8456" width="1.28515625" style="95" customWidth="1"/>
    <col min="8457" max="8461" width="9.140625" style="95"/>
    <col min="8462" max="8463" width="5.85546875" style="95" customWidth="1"/>
    <col min="8464" max="8464" width="6.42578125" style="95" customWidth="1"/>
    <col min="8465" max="8706" width="9.140625" style="95"/>
    <col min="8707" max="8707" width="3.7109375" style="95" customWidth="1"/>
    <col min="8708" max="8708" width="4.28515625" style="95" customWidth="1"/>
    <col min="8709" max="8709" width="1.42578125" style="95" customWidth="1"/>
    <col min="8710" max="8711" width="12.140625" style="95" customWidth="1"/>
    <col min="8712" max="8712" width="1.28515625" style="95" customWidth="1"/>
    <col min="8713" max="8717" width="9.140625" style="95"/>
    <col min="8718" max="8719" width="5.85546875" style="95" customWidth="1"/>
    <col min="8720" max="8720" width="6.42578125" style="95" customWidth="1"/>
    <col min="8721" max="8962" width="9.140625" style="95"/>
    <col min="8963" max="8963" width="3.7109375" style="95" customWidth="1"/>
    <col min="8964" max="8964" width="4.28515625" style="95" customWidth="1"/>
    <col min="8965" max="8965" width="1.42578125" style="95" customWidth="1"/>
    <col min="8966" max="8967" width="12.140625" style="95" customWidth="1"/>
    <col min="8968" max="8968" width="1.28515625" style="95" customWidth="1"/>
    <col min="8969" max="8973" width="9.140625" style="95"/>
    <col min="8974" max="8975" width="5.85546875" style="95" customWidth="1"/>
    <col min="8976" max="8976" width="6.42578125" style="95" customWidth="1"/>
    <col min="8977" max="9218" width="9.140625" style="95"/>
    <col min="9219" max="9219" width="3.7109375" style="95" customWidth="1"/>
    <col min="9220" max="9220" width="4.28515625" style="95" customWidth="1"/>
    <col min="9221" max="9221" width="1.42578125" style="95" customWidth="1"/>
    <col min="9222" max="9223" width="12.140625" style="95" customWidth="1"/>
    <col min="9224" max="9224" width="1.28515625" style="95" customWidth="1"/>
    <col min="9225" max="9229" width="9.140625" style="95"/>
    <col min="9230" max="9231" width="5.85546875" style="95" customWidth="1"/>
    <col min="9232" max="9232" width="6.42578125" style="95" customWidth="1"/>
    <col min="9233" max="9474" width="9.140625" style="95"/>
    <col min="9475" max="9475" width="3.7109375" style="95" customWidth="1"/>
    <col min="9476" max="9476" width="4.28515625" style="95" customWidth="1"/>
    <col min="9477" max="9477" width="1.42578125" style="95" customWidth="1"/>
    <col min="9478" max="9479" width="12.140625" style="95" customWidth="1"/>
    <col min="9480" max="9480" width="1.28515625" style="95" customWidth="1"/>
    <col min="9481" max="9485" width="9.140625" style="95"/>
    <col min="9486" max="9487" width="5.85546875" style="95" customWidth="1"/>
    <col min="9488" max="9488" width="6.42578125" style="95" customWidth="1"/>
    <col min="9489" max="9730" width="9.140625" style="95"/>
    <col min="9731" max="9731" width="3.7109375" style="95" customWidth="1"/>
    <col min="9732" max="9732" width="4.28515625" style="95" customWidth="1"/>
    <col min="9733" max="9733" width="1.42578125" style="95" customWidth="1"/>
    <col min="9734" max="9735" width="12.140625" style="95" customWidth="1"/>
    <col min="9736" max="9736" width="1.28515625" style="95" customWidth="1"/>
    <col min="9737" max="9741" width="9.140625" style="95"/>
    <col min="9742" max="9743" width="5.85546875" style="95" customWidth="1"/>
    <col min="9744" max="9744" width="6.42578125" style="95" customWidth="1"/>
    <col min="9745" max="9986" width="9.140625" style="95"/>
    <col min="9987" max="9987" width="3.7109375" style="95" customWidth="1"/>
    <col min="9988" max="9988" width="4.28515625" style="95" customWidth="1"/>
    <col min="9989" max="9989" width="1.42578125" style="95" customWidth="1"/>
    <col min="9990" max="9991" width="12.140625" style="95" customWidth="1"/>
    <col min="9992" max="9992" width="1.28515625" style="95" customWidth="1"/>
    <col min="9993" max="9997" width="9.140625" style="95"/>
    <col min="9998" max="9999" width="5.85546875" style="95" customWidth="1"/>
    <col min="10000" max="10000" width="6.42578125" style="95" customWidth="1"/>
    <col min="10001" max="10242" width="9.140625" style="95"/>
    <col min="10243" max="10243" width="3.7109375" style="95" customWidth="1"/>
    <col min="10244" max="10244" width="4.28515625" style="95" customWidth="1"/>
    <col min="10245" max="10245" width="1.42578125" style="95" customWidth="1"/>
    <col min="10246" max="10247" width="12.140625" style="95" customWidth="1"/>
    <col min="10248" max="10248" width="1.28515625" style="95" customWidth="1"/>
    <col min="10249" max="10253" width="9.140625" style="95"/>
    <col min="10254" max="10255" width="5.85546875" style="95" customWidth="1"/>
    <col min="10256" max="10256" width="6.42578125" style="95" customWidth="1"/>
    <col min="10257" max="10498" width="9.140625" style="95"/>
    <col min="10499" max="10499" width="3.7109375" style="95" customWidth="1"/>
    <col min="10500" max="10500" width="4.28515625" style="95" customWidth="1"/>
    <col min="10501" max="10501" width="1.42578125" style="95" customWidth="1"/>
    <col min="10502" max="10503" width="12.140625" style="95" customWidth="1"/>
    <col min="10504" max="10504" width="1.28515625" style="95" customWidth="1"/>
    <col min="10505" max="10509" width="9.140625" style="95"/>
    <col min="10510" max="10511" width="5.85546875" style="95" customWidth="1"/>
    <col min="10512" max="10512" width="6.42578125" style="95" customWidth="1"/>
    <col min="10513" max="10754" width="9.140625" style="95"/>
    <col min="10755" max="10755" width="3.7109375" style="95" customWidth="1"/>
    <col min="10756" max="10756" width="4.28515625" style="95" customWidth="1"/>
    <col min="10757" max="10757" width="1.42578125" style="95" customWidth="1"/>
    <col min="10758" max="10759" width="12.140625" style="95" customWidth="1"/>
    <col min="10760" max="10760" width="1.28515625" style="95" customWidth="1"/>
    <col min="10761" max="10765" width="9.140625" style="95"/>
    <col min="10766" max="10767" width="5.85546875" style="95" customWidth="1"/>
    <col min="10768" max="10768" width="6.42578125" style="95" customWidth="1"/>
    <col min="10769" max="11010" width="9.140625" style="95"/>
    <col min="11011" max="11011" width="3.7109375" style="95" customWidth="1"/>
    <col min="11012" max="11012" width="4.28515625" style="95" customWidth="1"/>
    <col min="11013" max="11013" width="1.42578125" style="95" customWidth="1"/>
    <col min="11014" max="11015" width="12.140625" style="95" customWidth="1"/>
    <col min="11016" max="11016" width="1.28515625" style="95" customWidth="1"/>
    <col min="11017" max="11021" width="9.140625" style="95"/>
    <col min="11022" max="11023" width="5.85546875" style="95" customWidth="1"/>
    <col min="11024" max="11024" width="6.42578125" style="95" customWidth="1"/>
    <col min="11025" max="11266" width="9.140625" style="95"/>
    <col min="11267" max="11267" width="3.7109375" style="95" customWidth="1"/>
    <col min="11268" max="11268" width="4.28515625" style="95" customWidth="1"/>
    <col min="11269" max="11269" width="1.42578125" style="95" customWidth="1"/>
    <col min="11270" max="11271" width="12.140625" style="95" customWidth="1"/>
    <col min="11272" max="11272" width="1.28515625" style="95" customWidth="1"/>
    <col min="11273" max="11277" width="9.140625" style="95"/>
    <col min="11278" max="11279" width="5.85546875" style="95" customWidth="1"/>
    <col min="11280" max="11280" width="6.42578125" style="95" customWidth="1"/>
    <col min="11281" max="11522" width="9.140625" style="95"/>
    <col min="11523" max="11523" width="3.7109375" style="95" customWidth="1"/>
    <col min="11524" max="11524" width="4.28515625" style="95" customWidth="1"/>
    <col min="11525" max="11525" width="1.42578125" style="95" customWidth="1"/>
    <col min="11526" max="11527" width="12.140625" style="95" customWidth="1"/>
    <col min="11528" max="11528" width="1.28515625" style="95" customWidth="1"/>
    <col min="11529" max="11533" width="9.140625" style="95"/>
    <col min="11534" max="11535" width="5.85546875" style="95" customWidth="1"/>
    <col min="11536" max="11536" width="6.42578125" style="95" customWidth="1"/>
    <col min="11537" max="11778" width="9.140625" style="95"/>
    <col min="11779" max="11779" width="3.7109375" style="95" customWidth="1"/>
    <col min="11780" max="11780" width="4.28515625" style="95" customWidth="1"/>
    <col min="11781" max="11781" width="1.42578125" style="95" customWidth="1"/>
    <col min="11782" max="11783" width="12.140625" style="95" customWidth="1"/>
    <col min="11784" max="11784" width="1.28515625" style="95" customWidth="1"/>
    <col min="11785" max="11789" width="9.140625" style="95"/>
    <col min="11790" max="11791" width="5.85546875" style="95" customWidth="1"/>
    <col min="11792" max="11792" width="6.42578125" style="95" customWidth="1"/>
    <col min="11793" max="12034" width="9.140625" style="95"/>
    <col min="12035" max="12035" width="3.7109375" style="95" customWidth="1"/>
    <col min="12036" max="12036" width="4.28515625" style="95" customWidth="1"/>
    <col min="12037" max="12037" width="1.42578125" style="95" customWidth="1"/>
    <col min="12038" max="12039" width="12.140625" style="95" customWidth="1"/>
    <col min="12040" max="12040" width="1.28515625" style="95" customWidth="1"/>
    <col min="12041" max="12045" width="9.140625" style="95"/>
    <col min="12046" max="12047" width="5.85546875" style="95" customWidth="1"/>
    <col min="12048" max="12048" width="6.42578125" style="95" customWidth="1"/>
    <col min="12049" max="12290" width="9.140625" style="95"/>
    <col min="12291" max="12291" width="3.7109375" style="95" customWidth="1"/>
    <col min="12292" max="12292" width="4.28515625" style="95" customWidth="1"/>
    <col min="12293" max="12293" width="1.42578125" style="95" customWidth="1"/>
    <col min="12294" max="12295" width="12.140625" style="95" customWidth="1"/>
    <col min="12296" max="12296" width="1.28515625" style="95" customWidth="1"/>
    <col min="12297" max="12301" width="9.140625" style="95"/>
    <col min="12302" max="12303" width="5.85546875" style="95" customWidth="1"/>
    <col min="12304" max="12304" width="6.42578125" style="95" customWidth="1"/>
    <col min="12305" max="12546" width="9.140625" style="95"/>
    <col min="12547" max="12547" width="3.7109375" style="95" customWidth="1"/>
    <col min="12548" max="12548" width="4.28515625" style="95" customWidth="1"/>
    <col min="12549" max="12549" width="1.42578125" style="95" customWidth="1"/>
    <col min="12550" max="12551" width="12.140625" style="95" customWidth="1"/>
    <col min="12552" max="12552" width="1.28515625" style="95" customWidth="1"/>
    <col min="12553" max="12557" width="9.140625" style="95"/>
    <col min="12558" max="12559" width="5.85546875" style="95" customWidth="1"/>
    <col min="12560" max="12560" width="6.42578125" style="95" customWidth="1"/>
    <col min="12561" max="12802" width="9.140625" style="95"/>
    <col min="12803" max="12803" width="3.7109375" style="95" customWidth="1"/>
    <col min="12804" max="12804" width="4.28515625" style="95" customWidth="1"/>
    <col min="12805" max="12805" width="1.42578125" style="95" customWidth="1"/>
    <col min="12806" max="12807" width="12.140625" style="95" customWidth="1"/>
    <col min="12808" max="12808" width="1.28515625" style="95" customWidth="1"/>
    <col min="12809" max="12813" width="9.140625" style="95"/>
    <col min="12814" max="12815" width="5.85546875" style="95" customWidth="1"/>
    <col min="12816" max="12816" width="6.42578125" style="95" customWidth="1"/>
    <col min="12817" max="13058" width="9.140625" style="95"/>
    <col min="13059" max="13059" width="3.7109375" style="95" customWidth="1"/>
    <col min="13060" max="13060" width="4.28515625" style="95" customWidth="1"/>
    <col min="13061" max="13061" width="1.42578125" style="95" customWidth="1"/>
    <col min="13062" max="13063" width="12.140625" style="95" customWidth="1"/>
    <col min="13064" max="13064" width="1.28515625" style="95" customWidth="1"/>
    <col min="13065" max="13069" width="9.140625" style="95"/>
    <col min="13070" max="13071" width="5.85546875" style="95" customWidth="1"/>
    <col min="13072" max="13072" width="6.42578125" style="95" customWidth="1"/>
    <col min="13073" max="13314" width="9.140625" style="95"/>
    <col min="13315" max="13315" width="3.7109375" style="95" customWidth="1"/>
    <col min="13316" max="13316" width="4.28515625" style="95" customWidth="1"/>
    <col min="13317" max="13317" width="1.42578125" style="95" customWidth="1"/>
    <col min="13318" max="13319" width="12.140625" style="95" customWidth="1"/>
    <col min="13320" max="13320" width="1.28515625" style="95" customWidth="1"/>
    <col min="13321" max="13325" width="9.140625" style="95"/>
    <col min="13326" max="13327" width="5.85546875" style="95" customWidth="1"/>
    <col min="13328" max="13328" width="6.42578125" style="95" customWidth="1"/>
    <col min="13329" max="13570" width="9.140625" style="95"/>
    <col min="13571" max="13571" width="3.7109375" style="95" customWidth="1"/>
    <col min="13572" max="13572" width="4.28515625" style="95" customWidth="1"/>
    <col min="13573" max="13573" width="1.42578125" style="95" customWidth="1"/>
    <col min="13574" max="13575" width="12.140625" style="95" customWidth="1"/>
    <col min="13576" max="13576" width="1.28515625" style="95" customWidth="1"/>
    <col min="13577" max="13581" width="9.140625" style="95"/>
    <col min="13582" max="13583" width="5.85546875" style="95" customWidth="1"/>
    <col min="13584" max="13584" width="6.42578125" style="95" customWidth="1"/>
    <col min="13585" max="13826" width="9.140625" style="95"/>
    <col min="13827" max="13827" width="3.7109375" style="95" customWidth="1"/>
    <col min="13828" max="13828" width="4.28515625" style="95" customWidth="1"/>
    <col min="13829" max="13829" width="1.42578125" style="95" customWidth="1"/>
    <col min="13830" max="13831" width="12.140625" style="95" customWidth="1"/>
    <col min="13832" max="13832" width="1.28515625" style="95" customWidth="1"/>
    <col min="13833" max="13837" width="9.140625" style="95"/>
    <col min="13838" max="13839" width="5.85546875" style="95" customWidth="1"/>
    <col min="13840" max="13840" width="6.42578125" style="95" customWidth="1"/>
    <col min="13841" max="14082" width="9.140625" style="95"/>
    <col min="14083" max="14083" width="3.7109375" style="95" customWidth="1"/>
    <col min="14084" max="14084" width="4.28515625" style="95" customWidth="1"/>
    <col min="14085" max="14085" width="1.42578125" style="95" customWidth="1"/>
    <col min="14086" max="14087" width="12.140625" style="95" customWidth="1"/>
    <col min="14088" max="14088" width="1.28515625" style="95" customWidth="1"/>
    <col min="14089" max="14093" width="9.140625" style="95"/>
    <col min="14094" max="14095" width="5.85546875" style="95" customWidth="1"/>
    <col min="14096" max="14096" width="6.42578125" style="95" customWidth="1"/>
    <col min="14097" max="14338" width="9.140625" style="95"/>
    <col min="14339" max="14339" width="3.7109375" style="95" customWidth="1"/>
    <col min="14340" max="14340" width="4.28515625" style="95" customWidth="1"/>
    <col min="14341" max="14341" width="1.42578125" style="95" customWidth="1"/>
    <col min="14342" max="14343" width="12.140625" style="95" customWidth="1"/>
    <col min="14344" max="14344" width="1.28515625" style="95" customWidth="1"/>
    <col min="14345" max="14349" width="9.140625" style="95"/>
    <col min="14350" max="14351" width="5.85546875" style="95" customWidth="1"/>
    <col min="14352" max="14352" width="6.42578125" style="95" customWidth="1"/>
    <col min="14353" max="14594" width="9.140625" style="95"/>
    <col min="14595" max="14595" width="3.7109375" style="95" customWidth="1"/>
    <col min="14596" max="14596" width="4.28515625" style="95" customWidth="1"/>
    <col min="14597" max="14597" width="1.42578125" style="95" customWidth="1"/>
    <col min="14598" max="14599" width="12.140625" style="95" customWidth="1"/>
    <col min="14600" max="14600" width="1.28515625" style="95" customWidth="1"/>
    <col min="14601" max="14605" width="9.140625" style="95"/>
    <col min="14606" max="14607" width="5.85546875" style="95" customWidth="1"/>
    <col min="14608" max="14608" width="6.42578125" style="95" customWidth="1"/>
    <col min="14609" max="14850" width="9.140625" style="95"/>
    <col min="14851" max="14851" width="3.7109375" style="95" customWidth="1"/>
    <col min="14852" max="14852" width="4.28515625" style="95" customWidth="1"/>
    <col min="14853" max="14853" width="1.42578125" style="95" customWidth="1"/>
    <col min="14854" max="14855" width="12.140625" style="95" customWidth="1"/>
    <col min="14856" max="14856" width="1.28515625" style="95" customWidth="1"/>
    <col min="14857" max="14861" width="9.140625" style="95"/>
    <col min="14862" max="14863" width="5.85546875" style="95" customWidth="1"/>
    <col min="14864" max="14864" width="6.42578125" style="95" customWidth="1"/>
    <col min="14865" max="15106" width="9.140625" style="95"/>
    <col min="15107" max="15107" width="3.7109375" style="95" customWidth="1"/>
    <col min="15108" max="15108" width="4.28515625" style="95" customWidth="1"/>
    <col min="15109" max="15109" width="1.42578125" style="95" customWidth="1"/>
    <col min="15110" max="15111" width="12.140625" style="95" customWidth="1"/>
    <col min="15112" max="15112" width="1.28515625" style="95" customWidth="1"/>
    <col min="15113" max="15117" width="9.140625" style="95"/>
    <col min="15118" max="15119" width="5.85546875" style="95" customWidth="1"/>
    <col min="15120" max="15120" width="6.42578125" style="95" customWidth="1"/>
    <col min="15121" max="15362" width="9.140625" style="95"/>
    <col min="15363" max="15363" width="3.7109375" style="95" customWidth="1"/>
    <col min="15364" max="15364" width="4.28515625" style="95" customWidth="1"/>
    <col min="15365" max="15365" width="1.42578125" style="95" customWidth="1"/>
    <col min="15366" max="15367" width="12.140625" style="95" customWidth="1"/>
    <col min="15368" max="15368" width="1.28515625" style="95" customWidth="1"/>
    <col min="15369" max="15373" width="9.140625" style="95"/>
    <col min="15374" max="15375" width="5.85546875" style="95" customWidth="1"/>
    <col min="15376" max="15376" width="6.42578125" style="95" customWidth="1"/>
    <col min="15377" max="15618" width="9.140625" style="95"/>
    <col min="15619" max="15619" width="3.7109375" style="95" customWidth="1"/>
    <col min="15620" max="15620" width="4.28515625" style="95" customWidth="1"/>
    <col min="15621" max="15621" width="1.42578125" style="95" customWidth="1"/>
    <col min="15622" max="15623" width="12.140625" style="95" customWidth="1"/>
    <col min="15624" max="15624" width="1.28515625" style="95" customWidth="1"/>
    <col min="15625" max="15629" width="9.140625" style="95"/>
    <col min="15630" max="15631" width="5.85546875" style="95" customWidth="1"/>
    <col min="15632" max="15632" width="6.42578125" style="95" customWidth="1"/>
    <col min="15633" max="15874" width="9.140625" style="95"/>
    <col min="15875" max="15875" width="3.7109375" style="95" customWidth="1"/>
    <col min="15876" max="15876" width="4.28515625" style="95" customWidth="1"/>
    <col min="15877" max="15877" width="1.42578125" style="95" customWidth="1"/>
    <col min="15878" max="15879" width="12.140625" style="95" customWidth="1"/>
    <col min="15880" max="15880" width="1.28515625" style="95" customWidth="1"/>
    <col min="15881" max="15885" width="9.140625" style="95"/>
    <col min="15886" max="15887" width="5.85546875" style="95" customWidth="1"/>
    <col min="15888" max="15888" width="6.42578125" style="95" customWidth="1"/>
    <col min="15889" max="16130" width="9.140625" style="95"/>
    <col min="16131" max="16131" width="3.7109375" style="95" customWidth="1"/>
    <col min="16132" max="16132" width="4.28515625" style="95" customWidth="1"/>
    <col min="16133" max="16133" width="1.42578125" style="95" customWidth="1"/>
    <col min="16134" max="16135" width="12.140625" style="95" customWidth="1"/>
    <col min="16136" max="16136" width="1.28515625" style="95" customWidth="1"/>
    <col min="16137" max="16141" width="9.140625" style="95"/>
    <col min="16142" max="16143" width="5.85546875" style="95" customWidth="1"/>
    <col min="16144" max="16144" width="6.42578125" style="95" customWidth="1"/>
    <col min="16145" max="16384" width="9.140625" style="95"/>
  </cols>
  <sheetData>
    <row r="1" spans="1:21" x14ac:dyDescent="0.25">
      <c r="A1" s="64" t="s">
        <v>204</v>
      </c>
      <c r="C1" s="95" t="s">
        <v>249</v>
      </c>
      <c r="K1" s="96" t="s">
        <v>250</v>
      </c>
      <c r="L1" s="97"/>
    </row>
    <row r="2" spans="1:21" ht="15.75" thickBot="1" x14ac:dyDescent="0.3">
      <c r="A2" s="65" t="s">
        <v>205</v>
      </c>
      <c r="C2" s="98" t="s">
        <v>251</v>
      </c>
      <c r="D2" s="98" t="s">
        <v>252</v>
      </c>
      <c r="K2" s="99" t="s">
        <v>253</v>
      </c>
      <c r="L2" s="100">
        <f>'Test38_(Data)'!B51</f>
        <v>0.95000000000000029</v>
      </c>
      <c r="M2" s="95" t="b">
        <f>ABS(L2-S10)&lt;'Test38_(Data)'!B2</f>
        <v>1</v>
      </c>
      <c r="N2" s="101" t="s">
        <v>254</v>
      </c>
      <c r="O2" s="102" t="s">
        <v>255</v>
      </c>
      <c r="P2" s="103" t="s">
        <v>256</v>
      </c>
    </row>
    <row r="3" spans="1:21" x14ac:dyDescent="0.25">
      <c r="A3" s="64" t="s">
        <v>209</v>
      </c>
      <c r="K3" s="104" t="s">
        <v>257</v>
      </c>
      <c r="L3" s="105">
        <f>'Test38_(Data)'!B50</f>
        <v>0.4250000000000001</v>
      </c>
      <c r="M3" s="95" t="b">
        <f>ABS(L3-S11)&lt;'Test38_(Data)'!A2</f>
        <v>1</v>
      </c>
      <c r="N3" s="99">
        <v>0</v>
      </c>
      <c r="O3" s="106">
        <v>0</v>
      </c>
      <c r="P3" s="107">
        <f>1+C4/20</f>
        <v>1.35</v>
      </c>
    </row>
    <row r="4" spans="1:21" ht="15.75" thickBot="1" x14ac:dyDescent="0.3">
      <c r="A4" s="65" t="s">
        <v>208</v>
      </c>
      <c r="C4" s="95">
        <v>7</v>
      </c>
      <c r="D4" s="95">
        <v>6</v>
      </c>
      <c r="N4" s="108">
        <v>2</v>
      </c>
      <c r="O4" s="109">
        <v>0</v>
      </c>
      <c r="P4" s="110">
        <f>1+D4/20</f>
        <v>1.3</v>
      </c>
    </row>
    <row r="5" spans="1:21" x14ac:dyDescent="0.25">
      <c r="A5" s="64" t="s">
        <v>210</v>
      </c>
      <c r="N5" s="108">
        <v>0</v>
      </c>
      <c r="O5" s="109">
        <v>1</v>
      </c>
      <c r="P5" s="110">
        <v>1</v>
      </c>
    </row>
    <row r="6" spans="1:21" ht="15.75" thickBot="1" x14ac:dyDescent="0.3">
      <c r="A6" s="65" t="b">
        <f>AND(M2,M3)</f>
        <v>1</v>
      </c>
      <c r="N6" s="104">
        <v>2</v>
      </c>
      <c r="O6" s="111">
        <v>1</v>
      </c>
      <c r="P6" s="112">
        <v>1</v>
      </c>
    </row>
    <row r="7" spans="1:21" x14ac:dyDescent="0.25">
      <c r="A7" s="64" t="s">
        <v>211</v>
      </c>
      <c r="R7" s="113"/>
    </row>
    <row r="8" spans="1:21" x14ac:dyDescent="0.25">
      <c r="A8" s="66" t="s">
        <v>201</v>
      </c>
      <c r="R8" s="113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3" t="s">
        <v>258</v>
      </c>
      <c r="Q10" s="95">
        <v>0</v>
      </c>
      <c r="R10" s="113" t="s">
        <v>8</v>
      </c>
      <c r="S10" s="95">
        <v>0.94240514092647998</v>
      </c>
      <c r="T10" s="113" t="s">
        <v>8</v>
      </c>
      <c r="U10" s="95">
        <v>2</v>
      </c>
    </row>
    <row r="11" spans="1:21" x14ac:dyDescent="0.25">
      <c r="P11" s="113" t="s">
        <v>259</v>
      </c>
      <c r="Q11" s="95">
        <v>0</v>
      </c>
      <c r="R11" s="113" t="s">
        <v>8</v>
      </c>
      <c r="S11" s="95">
        <v>0.41277404754628999</v>
      </c>
      <c r="T11" s="113" t="s">
        <v>8</v>
      </c>
      <c r="U11" s="95">
        <v>1</v>
      </c>
    </row>
    <row r="13" spans="1:21" x14ac:dyDescent="0.25">
      <c r="R13" s="113" t="s">
        <v>260</v>
      </c>
      <c r="S13" s="95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5"/>
    <col min="5" max="5" width="1.5703125" style="95" customWidth="1"/>
    <col min="6" max="260" width="9.140625" style="95"/>
    <col min="261" max="261" width="1.5703125" style="95" customWidth="1"/>
    <col min="262" max="516" width="9.140625" style="95"/>
    <col min="517" max="517" width="1.5703125" style="95" customWidth="1"/>
    <col min="518" max="772" width="9.140625" style="95"/>
    <col min="773" max="773" width="1.5703125" style="95" customWidth="1"/>
    <col min="774" max="1028" width="9.140625" style="95"/>
    <col min="1029" max="1029" width="1.5703125" style="95" customWidth="1"/>
    <col min="1030" max="1284" width="9.140625" style="95"/>
    <col min="1285" max="1285" width="1.5703125" style="95" customWidth="1"/>
    <col min="1286" max="1540" width="9.140625" style="95"/>
    <col min="1541" max="1541" width="1.5703125" style="95" customWidth="1"/>
    <col min="1542" max="1796" width="9.140625" style="95"/>
    <col min="1797" max="1797" width="1.5703125" style="95" customWidth="1"/>
    <col min="1798" max="2052" width="9.140625" style="95"/>
    <col min="2053" max="2053" width="1.5703125" style="95" customWidth="1"/>
    <col min="2054" max="2308" width="9.140625" style="95"/>
    <col min="2309" max="2309" width="1.5703125" style="95" customWidth="1"/>
    <col min="2310" max="2564" width="9.140625" style="95"/>
    <col min="2565" max="2565" width="1.5703125" style="95" customWidth="1"/>
    <col min="2566" max="2820" width="9.140625" style="95"/>
    <col min="2821" max="2821" width="1.5703125" style="95" customWidth="1"/>
    <col min="2822" max="3076" width="9.140625" style="95"/>
    <col min="3077" max="3077" width="1.5703125" style="95" customWidth="1"/>
    <col min="3078" max="3332" width="9.140625" style="95"/>
    <col min="3333" max="3333" width="1.5703125" style="95" customWidth="1"/>
    <col min="3334" max="3588" width="9.140625" style="95"/>
    <col min="3589" max="3589" width="1.5703125" style="95" customWidth="1"/>
    <col min="3590" max="3844" width="9.140625" style="95"/>
    <col min="3845" max="3845" width="1.5703125" style="95" customWidth="1"/>
    <col min="3846" max="4100" width="9.140625" style="95"/>
    <col min="4101" max="4101" width="1.5703125" style="95" customWidth="1"/>
    <col min="4102" max="4356" width="9.140625" style="95"/>
    <col min="4357" max="4357" width="1.5703125" style="95" customWidth="1"/>
    <col min="4358" max="4612" width="9.140625" style="95"/>
    <col min="4613" max="4613" width="1.5703125" style="95" customWidth="1"/>
    <col min="4614" max="4868" width="9.140625" style="95"/>
    <col min="4869" max="4869" width="1.5703125" style="95" customWidth="1"/>
    <col min="4870" max="5124" width="9.140625" style="95"/>
    <col min="5125" max="5125" width="1.5703125" style="95" customWidth="1"/>
    <col min="5126" max="5380" width="9.140625" style="95"/>
    <col min="5381" max="5381" width="1.5703125" style="95" customWidth="1"/>
    <col min="5382" max="5636" width="9.140625" style="95"/>
    <col min="5637" max="5637" width="1.5703125" style="95" customWidth="1"/>
    <col min="5638" max="5892" width="9.140625" style="95"/>
    <col min="5893" max="5893" width="1.5703125" style="95" customWidth="1"/>
    <col min="5894" max="6148" width="9.140625" style="95"/>
    <col min="6149" max="6149" width="1.5703125" style="95" customWidth="1"/>
    <col min="6150" max="6404" width="9.140625" style="95"/>
    <col min="6405" max="6405" width="1.5703125" style="95" customWidth="1"/>
    <col min="6406" max="6660" width="9.140625" style="95"/>
    <col min="6661" max="6661" width="1.5703125" style="95" customWidth="1"/>
    <col min="6662" max="6916" width="9.140625" style="95"/>
    <col min="6917" max="6917" width="1.5703125" style="95" customWidth="1"/>
    <col min="6918" max="7172" width="9.140625" style="95"/>
    <col min="7173" max="7173" width="1.5703125" style="95" customWidth="1"/>
    <col min="7174" max="7428" width="9.140625" style="95"/>
    <col min="7429" max="7429" width="1.5703125" style="95" customWidth="1"/>
    <col min="7430" max="7684" width="9.140625" style="95"/>
    <col min="7685" max="7685" width="1.5703125" style="95" customWidth="1"/>
    <col min="7686" max="7940" width="9.140625" style="95"/>
    <col min="7941" max="7941" width="1.5703125" style="95" customWidth="1"/>
    <col min="7942" max="8196" width="9.140625" style="95"/>
    <col min="8197" max="8197" width="1.5703125" style="95" customWidth="1"/>
    <col min="8198" max="8452" width="9.140625" style="95"/>
    <col min="8453" max="8453" width="1.5703125" style="95" customWidth="1"/>
    <col min="8454" max="8708" width="9.140625" style="95"/>
    <col min="8709" max="8709" width="1.5703125" style="95" customWidth="1"/>
    <col min="8710" max="8964" width="9.140625" style="95"/>
    <col min="8965" max="8965" width="1.5703125" style="95" customWidth="1"/>
    <col min="8966" max="9220" width="9.140625" style="95"/>
    <col min="9221" max="9221" width="1.5703125" style="95" customWidth="1"/>
    <col min="9222" max="9476" width="9.140625" style="95"/>
    <col min="9477" max="9477" width="1.5703125" style="95" customWidth="1"/>
    <col min="9478" max="9732" width="9.140625" style="95"/>
    <col min="9733" max="9733" width="1.5703125" style="95" customWidth="1"/>
    <col min="9734" max="9988" width="9.140625" style="95"/>
    <col min="9989" max="9989" width="1.5703125" style="95" customWidth="1"/>
    <col min="9990" max="10244" width="9.140625" style="95"/>
    <col min="10245" max="10245" width="1.5703125" style="95" customWidth="1"/>
    <col min="10246" max="10500" width="9.140625" style="95"/>
    <col min="10501" max="10501" width="1.5703125" style="95" customWidth="1"/>
    <col min="10502" max="10756" width="9.140625" style="95"/>
    <col min="10757" max="10757" width="1.5703125" style="95" customWidth="1"/>
    <col min="10758" max="11012" width="9.140625" style="95"/>
    <col min="11013" max="11013" width="1.5703125" style="95" customWidth="1"/>
    <col min="11014" max="11268" width="9.140625" style="95"/>
    <col min="11269" max="11269" width="1.5703125" style="95" customWidth="1"/>
    <col min="11270" max="11524" width="9.140625" style="95"/>
    <col min="11525" max="11525" width="1.5703125" style="95" customWidth="1"/>
    <col min="11526" max="11780" width="9.140625" style="95"/>
    <col min="11781" max="11781" width="1.5703125" style="95" customWidth="1"/>
    <col min="11782" max="12036" width="9.140625" style="95"/>
    <col min="12037" max="12037" width="1.5703125" style="95" customWidth="1"/>
    <col min="12038" max="12292" width="9.140625" style="95"/>
    <col min="12293" max="12293" width="1.5703125" style="95" customWidth="1"/>
    <col min="12294" max="12548" width="9.140625" style="95"/>
    <col min="12549" max="12549" width="1.5703125" style="95" customWidth="1"/>
    <col min="12550" max="12804" width="9.140625" style="95"/>
    <col min="12805" max="12805" width="1.5703125" style="95" customWidth="1"/>
    <col min="12806" max="13060" width="9.140625" style="95"/>
    <col min="13061" max="13061" width="1.5703125" style="95" customWidth="1"/>
    <col min="13062" max="13316" width="9.140625" style="95"/>
    <col min="13317" max="13317" width="1.5703125" style="95" customWidth="1"/>
    <col min="13318" max="13572" width="9.140625" style="95"/>
    <col min="13573" max="13573" width="1.5703125" style="95" customWidth="1"/>
    <col min="13574" max="13828" width="9.140625" style="95"/>
    <col min="13829" max="13829" width="1.5703125" style="95" customWidth="1"/>
    <col min="13830" max="14084" width="9.140625" style="95"/>
    <col min="14085" max="14085" width="1.5703125" style="95" customWidth="1"/>
    <col min="14086" max="14340" width="9.140625" style="95"/>
    <col min="14341" max="14341" width="1.5703125" style="95" customWidth="1"/>
    <col min="14342" max="14596" width="9.140625" style="95"/>
    <col min="14597" max="14597" width="1.5703125" style="95" customWidth="1"/>
    <col min="14598" max="14852" width="9.140625" style="95"/>
    <col min="14853" max="14853" width="1.5703125" style="95" customWidth="1"/>
    <col min="14854" max="15108" width="9.140625" style="95"/>
    <col min="15109" max="15109" width="1.5703125" style="95" customWidth="1"/>
    <col min="15110" max="15364" width="9.140625" style="95"/>
    <col min="15365" max="15365" width="1.5703125" style="95" customWidth="1"/>
    <col min="15366" max="15620" width="9.140625" style="95"/>
    <col min="15621" max="15621" width="1.5703125" style="95" customWidth="1"/>
    <col min="15622" max="15876" width="9.140625" style="95"/>
    <col min="15877" max="15877" width="1.5703125" style="95" customWidth="1"/>
    <col min="15878" max="16132" width="9.140625" style="95"/>
    <col min="16133" max="16133" width="1.5703125" style="95" customWidth="1"/>
    <col min="16134" max="16384" width="9.140625" style="95"/>
  </cols>
  <sheetData>
    <row r="1" spans="1:44" x14ac:dyDescent="0.2">
      <c r="A1" s="95" t="s">
        <v>261</v>
      </c>
      <c r="B1" s="95" t="s">
        <v>262</v>
      </c>
    </row>
    <row r="2" spans="1:44" x14ac:dyDescent="0.2">
      <c r="A2" s="95">
        <v>2.5000000000000001E-2</v>
      </c>
      <c r="B2" s="95">
        <v>0.05</v>
      </c>
    </row>
    <row r="3" spans="1:44" x14ac:dyDescent="0.2">
      <c r="A3" s="95" t="s">
        <v>259</v>
      </c>
      <c r="B3" s="95" t="s">
        <v>258</v>
      </c>
    </row>
    <row r="4" spans="1:44" x14ac:dyDescent="0.2">
      <c r="B4" s="95">
        <v>0</v>
      </c>
      <c r="C4" s="95">
        <f t="shared" ref="C4:AP4" si="0">B4+$B2</f>
        <v>0.05</v>
      </c>
      <c r="D4" s="95">
        <f t="shared" si="0"/>
        <v>0.1</v>
      </c>
      <c r="E4" s="95">
        <f t="shared" si="0"/>
        <v>0.15000000000000002</v>
      </c>
      <c r="F4" s="95">
        <f t="shared" si="0"/>
        <v>0.2</v>
      </c>
      <c r="G4" s="95">
        <f t="shared" si="0"/>
        <v>0.25</v>
      </c>
      <c r="H4" s="95">
        <f t="shared" si="0"/>
        <v>0.3</v>
      </c>
      <c r="I4" s="95">
        <f t="shared" si="0"/>
        <v>0.35</v>
      </c>
      <c r="J4" s="95">
        <f t="shared" si="0"/>
        <v>0.39999999999999997</v>
      </c>
      <c r="K4" s="95">
        <f t="shared" si="0"/>
        <v>0.44999999999999996</v>
      </c>
      <c r="L4" s="95">
        <f t="shared" si="0"/>
        <v>0.49999999999999994</v>
      </c>
      <c r="M4" s="95">
        <f t="shared" si="0"/>
        <v>0.54999999999999993</v>
      </c>
      <c r="N4" s="95">
        <f t="shared" si="0"/>
        <v>0.6</v>
      </c>
      <c r="O4" s="95">
        <f t="shared" si="0"/>
        <v>0.65</v>
      </c>
      <c r="P4" s="95">
        <f t="shared" si="0"/>
        <v>0.70000000000000007</v>
      </c>
      <c r="Q4" s="95">
        <f t="shared" si="0"/>
        <v>0.75000000000000011</v>
      </c>
      <c r="R4" s="95">
        <f t="shared" si="0"/>
        <v>0.80000000000000016</v>
      </c>
      <c r="S4" s="95">
        <f t="shared" si="0"/>
        <v>0.8500000000000002</v>
      </c>
      <c r="T4" s="95">
        <f t="shared" si="0"/>
        <v>0.90000000000000024</v>
      </c>
      <c r="U4" s="95">
        <f t="shared" si="0"/>
        <v>0.95000000000000029</v>
      </c>
      <c r="V4" s="95">
        <f t="shared" si="0"/>
        <v>1.0000000000000002</v>
      </c>
      <c r="W4" s="95">
        <f t="shared" si="0"/>
        <v>1.0500000000000003</v>
      </c>
      <c r="X4" s="95">
        <f t="shared" si="0"/>
        <v>1.1000000000000003</v>
      </c>
      <c r="Y4" s="95">
        <f t="shared" si="0"/>
        <v>1.1500000000000004</v>
      </c>
      <c r="Z4" s="95">
        <f t="shared" si="0"/>
        <v>1.2000000000000004</v>
      </c>
      <c r="AA4" s="95">
        <f t="shared" si="0"/>
        <v>1.2500000000000004</v>
      </c>
      <c r="AB4" s="95">
        <f t="shared" si="0"/>
        <v>1.3000000000000005</v>
      </c>
      <c r="AC4" s="95">
        <f t="shared" si="0"/>
        <v>1.3500000000000005</v>
      </c>
      <c r="AD4" s="95">
        <f t="shared" si="0"/>
        <v>1.4000000000000006</v>
      </c>
      <c r="AE4" s="95">
        <f t="shared" si="0"/>
        <v>1.4500000000000006</v>
      </c>
      <c r="AF4" s="95">
        <f t="shared" si="0"/>
        <v>1.5000000000000007</v>
      </c>
      <c r="AG4" s="95">
        <f t="shared" si="0"/>
        <v>1.5500000000000007</v>
      </c>
      <c r="AH4" s="95">
        <f t="shared" si="0"/>
        <v>1.6000000000000008</v>
      </c>
      <c r="AI4" s="95">
        <f t="shared" si="0"/>
        <v>1.6500000000000008</v>
      </c>
      <c r="AJ4" s="95">
        <f t="shared" si="0"/>
        <v>1.7000000000000008</v>
      </c>
      <c r="AK4" s="95">
        <f t="shared" si="0"/>
        <v>1.7500000000000009</v>
      </c>
      <c r="AL4" s="95">
        <f t="shared" si="0"/>
        <v>1.8000000000000009</v>
      </c>
      <c r="AM4" s="95">
        <f t="shared" si="0"/>
        <v>1.850000000000001</v>
      </c>
      <c r="AN4" s="95">
        <f t="shared" si="0"/>
        <v>1.900000000000001</v>
      </c>
      <c r="AO4" s="95">
        <f t="shared" si="0"/>
        <v>1.9500000000000011</v>
      </c>
      <c r="AP4" s="95">
        <f t="shared" si="0"/>
        <v>2.0000000000000009</v>
      </c>
      <c r="AR4" s="95" t="s">
        <v>263</v>
      </c>
    </row>
    <row r="5" spans="1:44" x14ac:dyDescent="0.2">
      <c r="A5" s="95">
        <v>0</v>
      </c>
      <c r="C5" s="95">
        <f t="shared" ref="C5:R20" si="1">wa*SQRT((xa-x)^2+(ya-y)^2)+wb*SQRT((xb-x)^2+(yb-y)^2)+wc*SQRT((xc-x)^2+(yc-y)^2)+wd*SQRT((xd-x)^2+(yd-y)^2)</f>
        <v>5.7952099198061529</v>
      </c>
      <c r="D5" s="95">
        <f t="shared" si="1"/>
        <v>5.7570786174704773</v>
      </c>
      <c r="E5" s="95">
        <f t="shared" si="1"/>
        <v>5.7216615052891431</v>
      </c>
      <c r="F5" s="95">
        <f t="shared" si="1"/>
        <v>5.6889299309159576</v>
      </c>
      <c r="G5" s="95">
        <f t="shared" si="1"/>
        <v>5.6588408434790525</v>
      </c>
      <c r="H5" s="95">
        <f t="shared" si="1"/>
        <v>5.6313389432226568</v>
      </c>
      <c r="I5" s="95">
        <f t="shared" si="1"/>
        <v>5.6063591431783282</v>
      </c>
      <c r="J5" s="95">
        <f t="shared" si="1"/>
        <v>5.583829187838222</v>
      </c>
      <c r="K5" s="95">
        <f t="shared" si="1"/>
        <v>5.5636722845427373</v>
      </c>
      <c r="L5" s="95">
        <f t="shared" si="1"/>
        <v>5.5458096264818897</v>
      </c>
      <c r="M5" s="95">
        <f t="shared" si="1"/>
        <v>5.5301627164321872</v>
      </c>
      <c r="N5" s="95">
        <f t="shared" si="1"/>
        <v>5.5166554323775854</v>
      </c>
      <c r="O5" s="95">
        <f t="shared" si="1"/>
        <v>5.5052158058288008</v>
      </c>
      <c r="P5" s="95">
        <f t="shared" si="1"/>
        <v>5.4957775082590423</v>
      </c>
      <c r="Q5" s="95">
        <f t="shared" si="1"/>
        <v>5.4882810593582123</v>
      </c>
      <c r="R5" s="95">
        <f t="shared" si="1"/>
        <v>5.4826747826678996</v>
      </c>
      <c r="S5" s="95">
        <f t="shared" ref="S5:AH20" si="2">wa*SQRT((xa-x)^2+(ya-y)^2)+wb*SQRT((xb-x)^2+(yb-y)^2)+wc*SQRT((xc-x)^2+(yc-y)^2)+wd*SQRT((xd-x)^2+(yd-y)^2)</f>
        <v>5.4789155402534853</v>
      </c>
      <c r="T5" s="95">
        <f t="shared" si="2"/>
        <v>5.4769692794392206</v>
      </c>
      <c r="U5" s="95">
        <f t="shared" si="2"/>
        <v>5.4768114224133724</v>
      </c>
      <c r="V5" s="95">
        <f t="shared" si="2"/>
        <v>5.4784271247461902</v>
      </c>
      <c r="W5" s="95">
        <f t="shared" si="2"/>
        <v>5.4818114224133723</v>
      </c>
      <c r="X5" s="95">
        <f t="shared" si="2"/>
        <v>5.4869692794392222</v>
      </c>
      <c r="Y5" s="95">
        <f t="shared" si="2"/>
        <v>5.4939155402534858</v>
      </c>
      <c r="Z5" s="95">
        <f t="shared" si="2"/>
        <v>5.502674782667901</v>
      </c>
      <c r="AA5" s="95">
        <f t="shared" si="2"/>
        <v>5.5132810593582127</v>
      </c>
      <c r="AB5" s="95">
        <f t="shared" si="2"/>
        <v>5.5257775082590426</v>
      </c>
      <c r="AC5" s="95">
        <f t="shared" si="2"/>
        <v>5.5402158058288018</v>
      </c>
      <c r="AD5" s="95">
        <f t="shared" si="2"/>
        <v>5.5566554323775863</v>
      </c>
      <c r="AE5" s="95">
        <f t="shared" si="2"/>
        <v>5.5751627164321871</v>
      </c>
      <c r="AF5" s="95">
        <f t="shared" si="2"/>
        <v>5.5958096264818895</v>
      </c>
      <c r="AG5" s="95">
        <f t="shared" si="2"/>
        <v>5.6186722845427379</v>
      </c>
      <c r="AH5" s="95">
        <f t="shared" si="2"/>
        <v>5.6438291878382225</v>
      </c>
      <c r="AI5" s="95">
        <f t="shared" ref="AI5:AP20" si="3">wa*SQRT((xa-x)^2+(ya-y)^2)+wb*SQRT((xb-x)^2+(yb-y)^2)+wc*SQRT((xc-x)^2+(yc-y)^2)+wd*SQRT((xd-x)^2+(yd-y)^2)</f>
        <v>5.6713591431783286</v>
      </c>
      <c r="AJ5" s="95">
        <f t="shared" si="3"/>
        <v>5.701338943222658</v>
      </c>
      <c r="AK5" s="95">
        <f t="shared" si="3"/>
        <v>5.7338408434790527</v>
      </c>
      <c r="AL5" s="95">
        <f t="shared" si="3"/>
        <v>5.7689299309159576</v>
      </c>
      <c r="AM5" s="95">
        <f t="shared" si="3"/>
        <v>5.8066615052891439</v>
      </c>
      <c r="AN5" s="95">
        <f t="shared" si="3"/>
        <v>5.847078617470479</v>
      </c>
      <c r="AO5" s="95">
        <f t="shared" si="3"/>
        <v>5.8902099198061535</v>
      </c>
      <c r="AP5" s="95">
        <f t="shared" si="3"/>
        <v>5.9360679774997935</v>
      </c>
      <c r="AR5" s="95">
        <f>1*(MIN(B5:AP5)=MinValue)</f>
        <v>0</v>
      </c>
    </row>
    <row r="6" spans="1:44" x14ac:dyDescent="0.2">
      <c r="A6" s="95">
        <f t="shared" ref="A6:A45" si="4">A5+A$2</f>
        <v>2.5000000000000001E-2</v>
      </c>
      <c r="B6" s="95">
        <f t="shared" ref="B6:B21" si="5">wa*SQRT((xa-x)^2+(ya-y)^2)+wb*SQRT((xb-x)^2+(yb-y)^2)+wc*SQRT((xc-x)^2+(yc-y)^2)+wd*SQRT((xd-x)^2+(yd-y)^2)</f>
        <v>5.8339531170660504</v>
      </c>
      <c r="C6" s="95">
        <f t="shared" si="1"/>
        <v>5.7671231065645756</v>
      </c>
      <c r="D6" s="95">
        <f t="shared" si="1"/>
        <v>5.7250453975212334</v>
      </c>
      <c r="E6" s="95">
        <f t="shared" si="1"/>
        <v>5.6881856103890156</v>
      </c>
      <c r="F6" s="95">
        <f t="shared" si="1"/>
        <v>5.6547299540295324</v>
      </c>
      <c r="G6" s="95">
        <f t="shared" si="1"/>
        <v>5.6242351029435902</v>
      </c>
      <c r="H6" s="95">
        <f t="shared" si="1"/>
        <v>5.5965043225855089</v>
      </c>
      <c r="I6" s="95">
        <f t="shared" si="1"/>
        <v>5.5714073402314455</v>
      </c>
      <c r="J6" s="95">
        <f t="shared" si="1"/>
        <v>5.548835687966255</v>
      </c>
      <c r="K6" s="95">
        <f t="shared" si="1"/>
        <v>5.528689444933848</v>
      </c>
      <c r="L6" s="95">
        <f t="shared" si="1"/>
        <v>5.5108734541645168</v>
      </c>
      <c r="M6" s="95">
        <f t="shared" si="1"/>
        <v>5.4952968356202252</v>
      </c>
      <c r="N6" s="95">
        <f t="shared" si="1"/>
        <v>5.4818736815489117</v>
      </c>
      <c r="O6" s="95">
        <f t="shared" si="1"/>
        <v>5.4705241116045809</v>
      </c>
      <c r="P6" s="95">
        <f t="shared" si="1"/>
        <v>5.4611753460419683</v>
      </c>
      <c r="Q6" s="95">
        <f t="shared" si="1"/>
        <v>5.4537626576062674</v>
      </c>
      <c r="R6" s="95">
        <f t="shared" si="1"/>
        <v>5.4482301551768737</v>
      </c>
      <c r="S6" s="95">
        <f t="shared" si="2"/>
        <v>5.4445313957410768</v>
      </c>
      <c r="T6" s="95">
        <f t="shared" si="2"/>
        <v>5.4426298406961342</v>
      </c>
      <c r="U6" s="95">
        <f t="shared" si="2"/>
        <v>5.4424991791314135</v>
      </c>
      <c r="V6" s="95">
        <f t="shared" si="2"/>
        <v>5.4441235403385742</v>
      </c>
      <c r="W6" s="95">
        <f t="shared" si="2"/>
        <v>5.4474976134535424</v>
      </c>
      <c r="X6" s="95">
        <f t="shared" si="2"/>
        <v>5.4526266856443755</v>
      </c>
      <c r="Y6" s="95">
        <f t="shared" si="2"/>
        <v>5.4595266027134759</v>
      </c>
      <c r="Z6" s="95">
        <f t="shared" si="2"/>
        <v>5.4682236481137085</v>
      </c>
      <c r="AA6" s="95">
        <f t="shared" si="2"/>
        <v>5.4787543288070077</v>
      </c>
      <c r="AB6" s="95">
        <f t="shared" si="2"/>
        <v>5.4911650498463924</v>
      </c>
      <c r="AC6" s="95">
        <f t="shared" si="2"/>
        <v>5.50551165510839</v>
      </c>
      <c r="AD6" s="95">
        <f t="shared" si="2"/>
        <v>5.5218588109999542</v>
      </c>
      <c r="AE6" s="95">
        <f t="shared" si="2"/>
        <v>5.5402792162496599</v>
      </c>
      <c r="AF6" s="95">
        <f t="shared" si="2"/>
        <v>5.5608526396147795</v>
      </c>
      <c r="AG6" s="95">
        <f t="shared" si="2"/>
        <v>5.583664829451835</v>
      </c>
      <c r="AH6" s="95">
        <f t="shared" si="2"/>
        <v>5.6088064285679282</v>
      </c>
      <c r="AI6" s="95">
        <f t="shared" si="3"/>
        <v>5.6363722233254698</v>
      </c>
      <c r="AJ6" s="95">
        <f t="shared" si="3"/>
        <v>5.666461520041616</v>
      </c>
      <c r="AK6" s="95">
        <f t="shared" si="3"/>
        <v>5.6991816865331257</v>
      </c>
      <c r="AL6" s="95">
        <f t="shared" si="3"/>
        <v>5.7346608119811329</v>
      </c>
      <c r="AM6" s="95">
        <f t="shared" si="3"/>
        <v>5.7730906027865352</v>
      </c>
      <c r="AN6" s="95">
        <f t="shared" si="3"/>
        <v>5.8148997388175117</v>
      </c>
      <c r="AO6" s="95">
        <f t="shared" si="3"/>
        <v>5.8618360340839848</v>
      </c>
      <c r="AP6" s="95">
        <f t="shared" si="3"/>
        <v>5.9327109292608995</v>
      </c>
      <c r="AR6" s="95">
        <f t="shared" ref="AR6:AR45" si="6">1*(MIN(B6:AP6)=MinValue)</f>
        <v>0</v>
      </c>
    </row>
    <row r="7" spans="1:44" x14ac:dyDescent="0.2">
      <c r="A7" s="95">
        <f t="shared" si="4"/>
        <v>0.05</v>
      </c>
      <c r="B7" s="95">
        <f t="shared" si="5"/>
        <v>5.8324713556349854</v>
      </c>
      <c r="C7" s="95">
        <f t="shared" si="1"/>
        <v>5.7517086877376435</v>
      </c>
      <c r="D7" s="95">
        <f t="shared" si="1"/>
        <v>5.7013029409704439</v>
      </c>
      <c r="E7" s="95">
        <f t="shared" si="1"/>
        <v>5.6607645974853025</v>
      </c>
      <c r="F7" s="95">
        <f t="shared" si="1"/>
        <v>5.6253498690793178</v>
      </c>
      <c r="G7" s="95">
        <f t="shared" si="1"/>
        <v>5.593687109562433</v>
      </c>
      <c r="H7" s="95">
        <f t="shared" si="1"/>
        <v>5.5652192981890813</v>
      </c>
      <c r="I7" s="95">
        <f t="shared" si="1"/>
        <v>5.5396478128312188</v>
      </c>
      <c r="J7" s="95">
        <f t="shared" si="1"/>
        <v>5.5167735881730833</v>
      </c>
      <c r="K7" s="95">
        <f t="shared" si="1"/>
        <v>5.4964423096806989</v>
      </c>
      <c r="L7" s="95">
        <f t="shared" si="1"/>
        <v>5.478523255135797</v>
      </c>
      <c r="M7" s="95">
        <f t="shared" si="1"/>
        <v>5.4629007277122179</v>
      </c>
      <c r="N7" s="95">
        <f t="shared" si="1"/>
        <v>5.4494706627454015</v>
      </c>
      <c r="O7" s="95">
        <f t="shared" si="1"/>
        <v>5.4381394611402278</v>
      </c>
      <c r="P7" s="95">
        <f t="shared" si="1"/>
        <v>5.4288237762087839</v>
      </c>
      <c r="Q7" s="95">
        <f t="shared" si="1"/>
        <v>5.4214506764575354</v>
      </c>
      <c r="R7" s="95">
        <f t="shared" si="1"/>
        <v>5.415957919846174</v>
      </c>
      <c r="S7" s="95">
        <f t="shared" si="2"/>
        <v>5.4122942234346327</v>
      </c>
      <c r="T7" s="95">
        <f t="shared" si="2"/>
        <v>5.4104194841346409</v>
      </c>
      <c r="U7" s="95">
        <f t="shared" si="2"/>
        <v>5.4103049401656618</v>
      </c>
      <c r="V7" s="95">
        <f t="shared" si="2"/>
        <v>5.4119332770980986</v>
      </c>
      <c r="W7" s="95">
        <f t="shared" si="2"/>
        <v>5.4152986862936325</v>
      </c>
      <c r="X7" s="95">
        <f t="shared" si="2"/>
        <v>5.4204068820552038</v>
      </c>
      <c r="Y7" s="95">
        <f t="shared" si="2"/>
        <v>5.4272750796859226</v>
      </c>
      <c r="Z7" s="95">
        <f t="shared" si="2"/>
        <v>5.4359319317387929</v>
      </c>
      <c r="AA7" s="95">
        <f t="shared" si="2"/>
        <v>5.4464174155275868</v>
      </c>
      <c r="AB7" s="95">
        <f t="shared" si="2"/>
        <v>5.4587826632460272</v>
      </c>
      <c r="AC7" s="95">
        <f t="shared" si="2"/>
        <v>5.4730897295447463</v>
      </c>
      <c r="AD7" s="95">
        <f t="shared" si="2"/>
        <v>5.489411304929031</v>
      </c>
      <c r="AE7" s="95">
        <f t="shared" si="2"/>
        <v>5.5078304158119842</v>
      </c>
      <c r="AF7" s="95">
        <f t="shared" si="2"/>
        <v>5.5284402211820129</v>
      </c>
      <c r="AG7" s="95">
        <f t="shared" si="2"/>
        <v>5.5513441589317098</v>
      </c>
      <c r="AH7" s="95">
        <f t="shared" si="2"/>
        <v>5.5766569967702466</v>
      </c>
      <c r="AI7" s="95">
        <f t="shared" si="3"/>
        <v>5.6045080133976519</v>
      </c>
      <c r="AJ7" s="95">
        <f t="shared" si="3"/>
        <v>5.6350491486218113</v>
      </c>
      <c r="AK7" s="95">
        <f t="shared" si="3"/>
        <v>5.6684752677785095</v>
      </c>
      <c r="AL7" s="95">
        <f t="shared" si="3"/>
        <v>5.7050768205421196</v>
      </c>
      <c r="AM7" s="95">
        <f t="shared" si="3"/>
        <v>5.7453926809514906</v>
      </c>
      <c r="AN7" s="95">
        <f t="shared" si="3"/>
        <v>5.7907456600704359</v>
      </c>
      <c r="AO7" s="95">
        <f t="shared" si="3"/>
        <v>5.8457051998473677</v>
      </c>
      <c r="AP7" s="95">
        <f t="shared" si="3"/>
        <v>5.9300026007537001</v>
      </c>
      <c r="AR7" s="95">
        <f t="shared" si="6"/>
        <v>0</v>
      </c>
    </row>
    <row r="8" spans="1:44" x14ac:dyDescent="0.2">
      <c r="A8" s="95">
        <f t="shared" si="4"/>
        <v>7.5000000000000011E-2</v>
      </c>
      <c r="B8" s="95">
        <f t="shared" si="5"/>
        <v>5.8316257576933381</v>
      </c>
      <c r="C8" s="95">
        <f t="shared" si="1"/>
        <v>5.7431810106342702</v>
      </c>
      <c r="D8" s="95">
        <f t="shared" si="1"/>
        <v>5.684265842271671</v>
      </c>
      <c r="E8" s="95">
        <f t="shared" si="1"/>
        <v>5.6388235425758433</v>
      </c>
      <c r="F8" s="95">
        <f t="shared" si="1"/>
        <v>5.6005302126212619</v>
      </c>
      <c r="G8" s="95">
        <f t="shared" si="1"/>
        <v>5.5670624884227644</v>
      </c>
      <c r="H8" s="95">
        <f t="shared" si="1"/>
        <v>5.5374083746102274</v>
      </c>
      <c r="I8" s="95">
        <f t="shared" si="1"/>
        <v>5.5110364926215567</v>
      </c>
      <c r="J8" s="95">
        <f t="shared" si="1"/>
        <v>5.4876172738366815</v>
      </c>
      <c r="K8" s="95">
        <f t="shared" si="1"/>
        <v>5.4669169292522186</v>
      </c>
      <c r="L8" s="95">
        <f t="shared" si="1"/>
        <v>5.4487528846074804</v>
      </c>
      <c r="M8" s="95">
        <f t="shared" si="1"/>
        <v>5.4329736979804801</v>
      </c>
      <c r="N8" s="95">
        <f t="shared" si="1"/>
        <v>5.4194496060955029</v>
      </c>
      <c r="O8" s="95">
        <f t="shared" si="1"/>
        <v>5.4080679693139233</v>
      </c>
      <c r="P8" s="95">
        <f t="shared" si="1"/>
        <v>5.3987310571987956</v>
      </c>
      <c r="Q8" s="95">
        <f t="shared" si="1"/>
        <v>5.3913549692562093</v>
      </c>
      <c r="R8" s="95">
        <f t="shared" si="1"/>
        <v>5.3858691045463161</v>
      </c>
      <c r="S8" s="95">
        <f t="shared" si="2"/>
        <v>5.3822158924613808</v>
      </c>
      <c r="T8" s="95">
        <f t="shared" si="2"/>
        <v>5.3803506458252279</v>
      </c>
      <c r="U8" s="95">
        <f t="shared" si="2"/>
        <v>5.3802414724728891</v>
      </c>
      <c r="V8" s="95">
        <f t="shared" si="2"/>
        <v>5.3818692185824899</v>
      </c>
      <c r="W8" s="95">
        <f t="shared" si="2"/>
        <v>5.3852274342700923</v>
      </c>
      <c r="X8" s="95">
        <f t="shared" si="2"/>
        <v>5.3903223588327567</v>
      </c>
      <c r="Y8" s="95">
        <f t="shared" si="2"/>
        <v>5.3971729249047717</v>
      </c>
      <c r="Z8" s="95">
        <f t="shared" si="2"/>
        <v>5.4058107811284017</v>
      </c>
      <c r="AA8" s="95">
        <f t="shared" si="2"/>
        <v>5.4162803346088468</v>
      </c>
      <c r="AB8" s="95">
        <f t="shared" si="2"/>
        <v>5.4286388208135019</v>
      </c>
      <c r="AC8" s="95">
        <f t="shared" si="2"/>
        <v>5.4429564249081164</v>
      </c>
      <c r="AD8" s="95">
        <f t="shared" si="2"/>
        <v>5.4593165140034339</v>
      </c>
      <c r="AE8" s="95">
        <f t="shared" si="2"/>
        <v>5.4778161118201698</v>
      </c>
      <c r="AF8" s="95">
        <f t="shared" si="2"/>
        <v>5.4985668905666634</v>
      </c>
      <c r="AG8" s="95">
        <f t="shared" si="2"/>
        <v>5.521697242527793</v>
      </c>
      <c r="AH8" s="95">
        <f t="shared" si="2"/>
        <v>5.5473565904897635</v>
      </c>
      <c r="AI8" s="95">
        <f t="shared" si="3"/>
        <v>5.5757243995882559</v>
      </c>
      <c r="AJ8" s="95">
        <f t="shared" si="3"/>
        <v>5.6070294088903703</v>
      </c>
      <c r="AK8" s="95">
        <f t="shared" si="3"/>
        <v>5.6415924255646432</v>
      </c>
      <c r="AL8" s="95">
        <f t="shared" si="3"/>
        <v>5.6799282990605979</v>
      </c>
      <c r="AM8" s="95">
        <f t="shared" si="3"/>
        <v>5.7230142699666482</v>
      </c>
      <c r="AN8" s="95">
        <f t="shared" si="3"/>
        <v>5.7730898266207031</v>
      </c>
      <c r="AO8" s="95">
        <f t="shared" si="3"/>
        <v>5.8362461602743743</v>
      </c>
      <c r="AP8" s="95">
        <f t="shared" si="3"/>
        <v>5.9279460454914661</v>
      </c>
      <c r="AR8" s="95">
        <f t="shared" si="6"/>
        <v>0</v>
      </c>
    </row>
    <row r="9" spans="1:44" x14ac:dyDescent="0.2">
      <c r="A9" s="95">
        <f t="shared" si="4"/>
        <v>0.1</v>
      </c>
      <c r="B9" s="95">
        <f t="shared" si="5"/>
        <v>5.8314191912312339</v>
      </c>
      <c r="C9" s="95">
        <f t="shared" si="1"/>
        <v>5.7383267115083489</v>
      </c>
      <c r="D9" s="95">
        <f t="shared" si="1"/>
        <v>5.6722556356542313</v>
      </c>
      <c r="E9" s="95">
        <f t="shared" si="1"/>
        <v>5.6216041025570078</v>
      </c>
      <c r="F9" s="95">
        <f t="shared" si="1"/>
        <v>5.579893131493165</v>
      </c>
      <c r="G9" s="95">
        <f t="shared" si="1"/>
        <v>5.5441538330950451</v>
      </c>
      <c r="H9" s="95">
        <f t="shared" si="1"/>
        <v>5.5129494159108114</v>
      </c>
      <c r="I9" s="95">
        <f t="shared" si="1"/>
        <v>5.4854982093652334</v>
      </c>
      <c r="J9" s="95">
        <f t="shared" si="1"/>
        <v>5.4613195551511584</v>
      </c>
      <c r="K9" s="95">
        <f t="shared" si="1"/>
        <v>5.4400838673468463</v>
      </c>
      <c r="L9" s="95">
        <f t="shared" si="1"/>
        <v>5.421544746075794</v>
      </c>
      <c r="M9" s="95">
        <f t="shared" si="1"/>
        <v>5.4055063554675522</v>
      </c>
      <c r="N9" s="95">
        <f t="shared" si="1"/>
        <v>5.3918069721291459</v>
      </c>
      <c r="O9" s="95">
        <f t="shared" si="1"/>
        <v>5.3803103522687348</v>
      </c>
      <c r="P9" s="95">
        <f t="shared" si="1"/>
        <v>5.3709010351378552</v>
      </c>
      <c r="Q9" s="95">
        <f t="shared" si="1"/>
        <v>5.3634816896323692</v>
      </c>
      <c r="R9" s="95">
        <f t="shared" si="1"/>
        <v>5.3579715491425324</v>
      </c>
      <c r="S9" s="95">
        <f t="shared" si="2"/>
        <v>5.3543054433270925</v>
      </c>
      <c r="T9" s="95">
        <f t="shared" si="2"/>
        <v>5.3524331723738703</v>
      </c>
      <c r="U9" s="95">
        <f t="shared" si="2"/>
        <v>5.3523190928381972</v>
      </c>
      <c r="V9" s="95">
        <f t="shared" si="2"/>
        <v>5.3539418490117772</v>
      </c>
      <c r="W9" s="95">
        <f t="shared" si="2"/>
        <v>5.3572942176761611</v>
      </c>
      <c r="X9" s="95">
        <f t="shared" si="2"/>
        <v>5.36238305176912</v>
      </c>
      <c r="Y9" s="95">
        <f t="shared" si="2"/>
        <v>5.3692293183086104</v>
      </c>
      <c r="Z9" s="95">
        <f t="shared" si="2"/>
        <v>5.3778682332950014</v>
      </c>
      <c r="AA9" s="95">
        <f t="shared" si="2"/>
        <v>5.3883495057762367</v>
      </c>
      <c r="AB9" s="95">
        <f t="shared" si="2"/>
        <v>5.4007377201305546</v>
      </c>
      <c r="AC9" s="95">
        <f t="shared" si="2"/>
        <v>5.4151129180272246</v>
      </c>
      <c r="AD9" s="95">
        <f t="shared" si="2"/>
        <v>5.4315715037157473</v>
      </c>
      <c r="AE9" s="95">
        <f t="shared" si="2"/>
        <v>5.4502277150175482</v>
      </c>
      <c r="AF9" s="95">
        <f t="shared" si="2"/>
        <v>5.4712161303996947</v>
      </c>
      <c r="AG9" s="95">
        <f t="shared" si="2"/>
        <v>5.4946961290386591</v>
      </c>
      <c r="AH9" s="95">
        <f t="shared" si="2"/>
        <v>5.5208601247324776</v>
      </c>
      <c r="AI9" s="95">
        <f t="shared" si="3"/>
        <v>5.5499493109161158</v>
      </c>
      <c r="AJ9" s="95">
        <f t="shared" si="3"/>
        <v>5.5822849594396029</v>
      </c>
      <c r="AK9" s="95">
        <f t="shared" si="3"/>
        <v>5.6183336617920006</v>
      </c>
      <c r="AL9" s="95">
        <f t="shared" si="3"/>
        <v>5.6588515734922655</v>
      </c>
      <c r="AM9" s="95">
        <f t="shared" si="3"/>
        <v>5.7052252609365937</v>
      </c>
      <c r="AN9" s="95">
        <f t="shared" si="3"/>
        <v>5.7603160557945703</v>
      </c>
      <c r="AO9" s="95">
        <f t="shared" si="3"/>
        <v>5.8303646625134338</v>
      </c>
      <c r="AP9" s="95">
        <f t="shared" si="3"/>
        <v>5.9265441132037395</v>
      </c>
      <c r="AR9" s="95">
        <f t="shared" si="6"/>
        <v>0</v>
      </c>
    </row>
    <row r="10" spans="1:44" x14ac:dyDescent="0.2">
      <c r="A10" s="95">
        <f t="shared" si="4"/>
        <v>0.125</v>
      </c>
      <c r="B10" s="95">
        <f t="shared" si="5"/>
        <v>5.8318543251273498</v>
      </c>
      <c r="C10" s="95">
        <f t="shared" si="1"/>
        <v>5.7356969568948326</v>
      </c>
      <c r="D10" s="95">
        <f t="shared" si="1"/>
        <v>5.6639402784425297</v>
      </c>
      <c r="E10" s="95">
        <f t="shared" si="1"/>
        <v>5.6083344841683918</v>
      </c>
      <c r="F10" s="95">
        <f t="shared" si="1"/>
        <v>5.563004347569863</v>
      </c>
      <c r="G10" s="95">
        <f t="shared" si="1"/>
        <v>5.5247058754134279</v>
      </c>
      <c r="H10" s="95">
        <f t="shared" si="1"/>
        <v>5.4916850918848912</v>
      </c>
      <c r="I10" s="95">
        <f t="shared" si="1"/>
        <v>5.4629324276709923</v>
      </c>
      <c r="J10" s="95">
        <f t="shared" si="1"/>
        <v>5.437814785900513</v>
      </c>
      <c r="K10" s="95">
        <f t="shared" si="1"/>
        <v>5.4159000161654882</v>
      </c>
      <c r="L10" s="95">
        <f t="shared" si="1"/>
        <v>5.3968709105952719</v>
      </c>
      <c r="M10" s="95">
        <f t="shared" si="1"/>
        <v>5.3804813376471365</v>
      </c>
      <c r="N10" s="95">
        <f t="shared" si="1"/>
        <v>5.3665329407680904</v>
      </c>
      <c r="O10" s="95">
        <f t="shared" si="1"/>
        <v>5.3548622692374881</v>
      </c>
      <c r="P10" s="95">
        <f t="shared" si="1"/>
        <v>5.3453333903310298</v>
      </c>
      <c r="Q10" s="95">
        <f t="shared" si="1"/>
        <v>5.3378334745482938</v>
      </c>
      <c r="R10" s="95">
        <f t="shared" si="1"/>
        <v>5.3322700457249876</v>
      </c>
      <c r="S10" s="95">
        <f t="shared" si="2"/>
        <v>5.3285691994283058</v>
      </c>
      <c r="T10" s="95">
        <f t="shared" si="2"/>
        <v>5.3266744139704452</v>
      </c>
      <c r="U10" s="95">
        <f t="shared" si="2"/>
        <v>5.3265457504885276</v>
      </c>
      <c r="V10" s="95">
        <f t="shared" si="2"/>
        <v>5.3281593323075569</v>
      </c>
      <c r="W10" s="95">
        <f t="shared" si="2"/>
        <v>5.3315070457030771</v>
      </c>
      <c r="X10" s="95">
        <f t="shared" si="2"/>
        <v>5.3365964339206915</v>
      </c>
      <c r="Y10" s="95">
        <f t="shared" si="2"/>
        <v>5.3434507752410028</v>
      </c>
      <c r="Z10" s="95">
        <f t="shared" si="2"/>
        <v>5.3521093514333025</v>
      </c>
      <c r="AA10" s="95">
        <f t="shared" si="2"/>
        <v>5.3626279313659353</v>
      </c>
      <c r="AB10" s="95">
        <f t="shared" si="2"/>
        <v>5.3750795231307551</v>
      </c>
      <c r="AC10" s="95">
        <f t="shared" si="2"/>
        <v>5.3895554978150848</v>
      </c>
      <c r="AD10" s="95">
        <f t="shared" si="2"/>
        <v>5.4061672780721164</v>
      </c>
      <c r="AE10" s="95">
        <f t="shared" si="2"/>
        <v>5.4250489501045802</v>
      </c>
      <c r="AF10" s="95">
        <f t="shared" si="2"/>
        <v>5.4463614665526148</v>
      </c>
      <c r="AG10" s="95">
        <f t="shared" si="2"/>
        <v>5.4702996967505717</v>
      </c>
      <c r="AH10" s="95">
        <f t="shared" si="2"/>
        <v>5.4971047368612327</v>
      </c>
      <c r="AI10" s="95">
        <f t="shared" si="3"/>
        <v>5.5270862454537095</v>
      </c>
      <c r="AJ10" s="95">
        <f t="shared" si="3"/>
        <v>5.5606645615535459</v>
      </c>
      <c r="AK10" s="95">
        <f t="shared" si="3"/>
        <v>5.5984533808516685</v>
      </c>
      <c r="AL10" s="95">
        <f t="shared" si="3"/>
        <v>5.6414286240336233</v>
      </c>
      <c r="AM10" s="95">
        <f t="shared" si="3"/>
        <v>5.6912825802774529</v>
      </c>
      <c r="AN10" s="95">
        <f t="shared" si="3"/>
        <v>5.7511417432673877</v>
      </c>
      <c r="AO10" s="95">
        <f t="shared" si="3"/>
        <v>5.8266656160342611</v>
      </c>
      <c r="AP10" s="95">
        <f t="shared" si="3"/>
        <v>5.9257994472641107</v>
      </c>
      <c r="AR10" s="95">
        <f t="shared" si="6"/>
        <v>0</v>
      </c>
    </row>
    <row r="11" spans="1:44" x14ac:dyDescent="0.2">
      <c r="A11" s="95">
        <f t="shared" si="4"/>
        <v>0.15</v>
      </c>
      <c r="B11" s="95">
        <f t="shared" si="5"/>
        <v>5.8329336268271783</v>
      </c>
      <c r="C11" s="95">
        <f t="shared" si="1"/>
        <v>5.7346167370049841</v>
      </c>
      <c r="D11" s="95">
        <f t="shared" si="1"/>
        <v>5.6583880910058379</v>
      </c>
      <c r="E11" s="95">
        <f t="shared" si="1"/>
        <v>5.5983318337375652</v>
      </c>
      <c r="F11" s="95">
        <f t="shared" si="1"/>
        <v>5.5494263264325854</v>
      </c>
      <c r="G11" s="95">
        <f t="shared" si="1"/>
        <v>5.5084410052024362</v>
      </c>
      <c r="H11" s="95">
        <f t="shared" si="1"/>
        <v>5.4734356267484072</v>
      </c>
      <c r="I11" s="95">
        <f t="shared" si="1"/>
        <v>5.4432200178668992</v>
      </c>
      <c r="J11" s="95">
        <f t="shared" si="1"/>
        <v>5.4170226858095401</v>
      </c>
      <c r="K11" s="95">
        <f t="shared" si="1"/>
        <v>5.3943108775457</v>
      </c>
      <c r="L11" s="95">
        <f t="shared" si="1"/>
        <v>5.3746945465925045</v>
      </c>
      <c r="M11" s="95">
        <f t="shared" si="1"/>
        <v>5.3578742457296311</v>
      </c>
      <c r="N11" s="95">
        <f t="shared" si="1"/>
        <v>5.3436120461804713</v>
      </c>
      <c r="O11" s="95">
        <f t="shared" si="1"/>
        <v>5.3317147675713397</v>
      </c>
      <c r="P11" s="95">
        <f t="shared" si="1"/>
        <v>5.322023958428634</v>
      </c>
      <c r="Q11" s="95">
        <f t="shared" si="1"/>
        <v>5.3144096827229426</v>
      </c>
      <c r="R11" s="95">
        <f t="shared" si="1"/>
        <v>5.308766521133097</v>
      </c>
      <c r="S11" s="95">
        <f t="shared" si="2"/>
        <v>5.3050109121014213</v>
      </c>
      <c r="T11" s="95">
        <f t="shared" si="2"/>
        <v>5.3030793453715113</v>
      </c>
      <c r="U11" s="95">
        <f t="shared" si="2"/>
        <v>5.3029271344854099</v>
      </c>
      <c r="V11" s="95">
        <f t="shared" si="2"/>
        <v>5.3045276148220983</v>
      </c>
      <c r="W11" s="95">
        <f t="shared" si="2"/>
        <v>5.3078716829202222</v>
      </c>
      <c r="X11" s="95">
        <f t="shared" si="2"/>
        <v>5.3129676346722121</v>
      </c>
      <c r="Y11" s="95">
        <f t="shared" si="2"/>
        <v>5.3198412883710571</v>
      </c>
      <c r="Z11" s="95">
        <f t="shared" si="2"/>
        <v>5.3285364027550877</v>
      </c>
      <c r="AA11" s="95">
        <f t="shared" si="2"/>
        <v>5.3391154279310671</v>
      </c>
      <c r="AB11" s="95">
        <f t="shared" si="2"/>
        <v>5.3516606674119558</v>
      </c>
      <c r="AC11" s="95">
        <f t="shared" si="2"/>
        <v>5.3662759959470554</v>
      </c>
      <c r="AD11" s="95">
        <f t="shared" si="2"/>
        <v>5.3830893931899819</v>
      </c>
      <c r="AE11" s="95">
        <f t="shared" si="2"/>
        <v>5.4022567587877193</v>
      </c>
      <c r="AF11" s="95">
        <f t="shared" si="2"/>
        <v>5.4239678474786341</v>
      </c>
      <c r="AG11" s="95">
        <f t="shared" si="2"/>
        <v>5.4484558526064246</v>
      </c>
      <c r="AH11" s="95">
        <f t="shared" si="2"/>
        <v>5.4760134698461878</v>
      </c>
      <c r="AI11" s="95">
        <f t="shared" si="3"/>
        <v>5.5070207927311454</v>
      </c>
      <c r="AJ11" s="95">
        <f t="shared" si="3"/>
        <v>5.54199535774654</v>
      </c>
      <c r="AK11" s="95">
        <f t="shared" si="3"/>
        <v>5.5816844658165747</v>
      </c>
      <c r="AL11" s="95">
        <f t="shared" si="3"/>
        <v>5.6272382857735277</v>
      </c>
      <c r="AM11" s="95">
        <f t="shared" si="3"/>
        <v>5.6805287879861206</v>
      </c>
      <c r="AN11" s="95">
        <f t="shared" si="3"/>
        <v>5.7446698055799095</v>
      </c>
      <c r="AO11" s="95">
        <f t="shared" si="3"/>
        <v>5.8244990789326039</v>
      </c>
      <c r="AP11" s="95">
        <f t="shared" si="3"/>
        <v>5.9257144824278374</v>
      </c>
      <c r="AR11" s="95">
        <f t="shared" si="6"/>
        <v>0</v>
      </c>
    </row>
    <row r="12" spans="1:44" x14ac:dyDescent="0.2">
      <c r="A12" s="95">
        <f t="shared" si="4"/>
        <v>0.17499999999999999</v>
      </c>
      <c r="B12" s="95">
        <f t="shared" si="5"/>
        <v>5.8346593603107948</v>
      </c>
      <c r="C12" s="95">
        <f t="shared" si="1"/>
        <v>5.7347444649637822</v>
      </c>
      <c r="D12" s="95">
        <f t="shared" si="1"/>
        <v>5.654976941984529</v>
      </c>
      <c r="E12" s="95">
        <f t="shared" si="1"/>
        <v>5.5910384783307787</v>
      </c>
      <c r="F12" s="95">
        <f t="shared" si="1"/>
        <v>5.5387535984967773</v>
      </c>
      <c r="G12" s="95">
        <f t="shared" si="1"/>
        <v>5.4950806797089333</v>
      </c>
      <c r="H12" s="95">
        <f t="shared" si="1"/>
        <v>5.4580109269102319</v>
      </c>
      <c r="I12" s="95">
        <f t="shared" si="1"/>
        <v>5.4262302133542626</v>
      </c>
      <c r="J12" s="95">
        <f t="shared" si="1"/>
        <v>5.3988524725350029</v>
      </c>
      <c r="K12" s="95">
        <f t="shared" si="1"/>
        <v>5.3752531160599517</v>
      </c>
      <c r="L12" s="95">
        <f t="shared" si="1"/>
        <v>5.3549715594148779</v>
      </c>
      <c r="M12" s="95">
        <f t="shared" si="1"/>
        <v>5.3376547354816193</v>
      </c>
      <c r="N12" s="95">
        <f t="shared" si="1"/>
        <v>5.3230239258930778</v>
      </c>
      <c r="O12" s="95">
        <f t="shared" si="1"/>
        <v>5.3108548120216792</v>
      </c>
      <c r="P12" s="95">
        <f t="shared" si="1"/>
        <v>5.3009651143924126</v>
      </c>
      <c r="Q12" s="95">
        <f t="shared" si="1"/>
        <v>5.2932066806518492</v>
      </c>
      <c r="R12" s="95">
        <f t="shared" si="1"/>
        <v>5.2874602564154731</v>
      </c>
      <c r="S12" s="95">
        <f t="shared" si="2"/>
        <v>5.2836319353025791</v>
      </c>
      <c r="T12" s="95">
        <f t="shared" si="2"/>
        <v>5.2816507117641596</v>
      </c>
      <c r="U12" s="95">
        <f t="shared" si="2"/>
        <v>5.2814668032957837</v>
      </c>
      <c r="V12" s="95">
        <f t="shared" si="2"/>
        <v>5.283050549305556</v>
      </c>
      <c r="W12" s="95">
        <f t="shared" si="2"/>
        <v>5.286391777719988</v>
      </c>
      <c r="X12" s="95">
        <f t="shared" si="2"/>
        <v>5.2914995832367921</v>
      </c>
      <c r="Y12" s="95">
        <f t="shared" si="2"/>
        <v>5.2984024985289633</v>
      </c>
      <c r="Z12" s="95">
        <f t="shared" si="2"/>
        <v>5.3071490722082508</v>
      </c>
      <c r="AA12" s="95">
        <f t="shared" si="2"/>
        <v>5.3178089039567986</v>
      </c>
      <c r="AB12" s="95">
        <f t="shared" si="2"/>
        <v>5.3304742382799821</v>
      </c>
      <c r="AC12" s="95">
        <f t="shared" si="2"/>
        <v>5.3452622989273983</v>
      </c>
      <c r="AD12" s="95">
        <f t="shared" si="2"/>
        <v>5.3623186811906898</v>
      </c>
      <c r="AE12" s="95">
        <f t="shared" si="2"/>
        <v>5.3818223528749733</v>
      </c>
      <c r="AF12" s="95">
        <f t="shared" si="2"/>
        <v>5.4039932258420507</v>
      </c>
      <c r="AG12" s="95">
        <f t="shared" si="2"/>
        <v>5.4291039936141985</v>
      </c>
      <c r="AH12" s="95">
        <f t="shared" si="2"/>
        <v>5.4574992540533867</v>
      </c>
      <c r="AI12" s="95">
        <f t="shared" si="3"/>
        <v>5.4896273360813659</v>
      </c>
      <c r="AJ12" s="95">
        <f t="shared" si="3"/>
        <v>5.5260945527269829</v>
      </c>
      <c r="AK12" s="95">
        <f t="shared" si="3"/>
        <v>5.567758896874075</v>
      </c>
      <c r="AL12" s="95">
        <f t="shared" si="3"/>
        <v>5.6158902630628935</v>
      </c>
      <c r="AM12" s="95">
        <f t="shared" si="3"/>
        <v>5.672426977429903</v>
      </c>
      <c r="AN12" s="95">
        <f t="shared" si="3"/>
        <v>5.7403012293146194</v>
      </c>
      <c r="AO12" s="95">
        <f t="shared" si="3"/>
        <v>5.8235361684266369</v>
      </c>
      <c r="AP12" s="95">
        <f t="shared" si="3"/>
        <v>5.9262914428753666</v>
      </c>
      <c r="AR12" s="95">
        <f t="shared" si="6"/>
        <v>0</v>
      </c>
    </row>
    <row r="13" spans="1:44" x14ac:dyDescent="0.2">
      <c r="A13" s="95">
        <f t="shared" si="4"/>
        <v>0.19999999999999998</v>
      </c>
      <c r="B13" s="95">
        <f t="shared" si="5"/>
        <v>5.8370335843452335</v>
      </c>
      <c r="C13" s="95">
        <f t="shared" si="1"/>
        <v>5.7358929495677069</v>
      </c>
      <c r="D13" s="95">
        <f t="shared" si="1"/>
        <v>5.653294277291721</v>
      </c>
      <c r="E13" s="95">
        <f t="shared" si="1"/>
        <v>5.5860186954503135</v>
      </c>
      <c r="F13" s="95">
        <f t="shared" si="1"/>
        <v>5.530630483239217</v>
      </c>
      <c r="G13" s="95">
        <f t="shared" si="1"/>
        <v>5.4843607012232232</v>
      </c>
      <c r="H13" s="95">
        <f t="shared" si="1"/>
        <v>5.445220779446065</v>
      </c>
      <c r="I13" s="95">
        <f t="shared" si="1"/>
        <v>5.4118270579453318</v>
      </c>
      <c r="J13" s="95">
        <f t="shared" si="1"/>
        <v>5.3832069414823138</v>
      </c>
      <c r="K13" s="95">
        <f t="shared" si="1"/>
        <v>5.3586571924581818</v>
      </c>
      <c r="L13" s="95">
        <f t="shared" si="1"/>
        <v>5.3376523357236207</v>
      </c>
      <c r="M13" s="95">
        <f t="shared" si="1"/>
        <v>5.3197877039684522</v>
      </c>
      <c r="N13" s="95">
        <f t="shared" si="1"/>
        <v>5.3047441489901956</v>
      </c>
      <c r="O13" s="95">
        <f t="shared" si="1"/>
        <v>5.2922658767058834</v>
      </c>
      <c r="P13" s="95">
        <f t="shared" si="1"/>
        <v>5.2821462055092772</v>
      </c>
      <c r="Q13" s="95">
        <f t="shared" si="1"/>
        <v>5.2742181670885815</v>
      </c>
      <c r="R13" s="95">
        <f t="shared" si="1"/>
        <v>5.2683481368783767</v>
      </c>
      <c r="S13" s="95">
        <f t="shared" si="2"/>
        <v>5.2644314252644797</v>
      </c>
      <c r="T13" s="95">
        <f t="shared" si="2"/>
        <v>5.2623891958621769</v>
      </c>
      <c r="U13" s="95">
        <f t="shared" si="2"/>
        <v>5.2621663334288709</v>
      </c>
      <c r="V13" s="95">
        <f t="shared" si="2"/>
        <v>5.2637300371773161</v>
      </c>
      <c r="W13" s="95">
        <f t="shared" si="2"/>
        <v>5.2670690096475816</v>
      </c>
      <c r="X13" s="95">
        <f t="shared" si="2"/>
        <v>5.2721931730132079</v>
      </c>
      <c r="Y13" s="95">
        <f t="shared" si="2"/>
        <v>5.2791338899226909</v>
      </c>
      <c r="Z13" s="95">
        <f t="shared" si="2"/>
        <v>5.2879447059251827</v>
      </c>
      <c r="AA13" s="95">
        <f t="shared" si="2"/>
        <v>5.298702674853792</v>
      </c>
      <c r="AB13" s="95">
        <f t="shared" si="2"/>
        <v>5.3115103882527048</v>
      </c>
      <c r="AC13" s="95">
        <f t="shared" si="2"/>
        <v>5.326498920753826</v>
      </c>
      <c r="AD13" s="95">
        <f t="shared" si="2"/>
        <v>5.3438320505071673</v>
      </c>
      <c r="AE13" s="95">
        <f t="shared" si="2"/>
        <v>5.3637123600331762</v>
      </c>
      <c r="AF13" s="95">
        <f t="shared" si="2"/>
        <v>5.386390241440056</v>
      </c>
      <c r="AG13" s="95">
        <f t="shared" si="2"/>
        <v>5.4121775459941297</v>
      </c>
      <c r="AH13" s="95">
        <f t="shared" si="2"/>
        <v>5.4414688391903026</v>
      </c>
      <c r="AI13" s="95">
        <f t="shared" si="3"/>
        <v>5.47477526426756</v>
      </c>
      <c r="AJ13" s="95">
        <f t="shared" si="3"/>
        <v>5.5127792369118644</v>
      </c>
      <c r="AK13" s="95">
        <f t="shared" si="3"/>
        <v>5.5564224653986853</v>
      </c>
      <c r="AL13" s="95">
        <f t="shared" si="3"/>
        <v>5.6070421989968615</v>
      </c>
      <c r="AM13" s="95">
        <f t="shared" si="3"/>
        <v>5.6665576657799566</v>
      </c>
      <c r="AN13" s="95">
        <f t="shared" si="3"/>
        <v>5.737638803276937</v>
      </c>
      <c r="AO13" s="95">
        <f t="shared" si="3"/>
        <v>5.8235966644232278</v>
      </c>
      <c r="AP13" s="95">
        <f t="shared" si="3"/>
        <v>5.9275323405564437</v>
      </c>
      <c r="AR13" s="95">
        <f t="shared" si="6"/>
        <v>0</v>
      </c>
    </row>
    <row r="14" spans="1:44" x14ac:dyDescent="0.2">
      <c r="A14" s="95">
        <f t="shared" si="4"/>
        <v>0.22499999999999998</v>
      </c>
      <c r="B14" s="95">
        <f t="shared" si="5"/>
        <v>5.8400581510154002</v>
      </c>
      <c r="C14" s="95">
        <f t="shared" si="1"/>
        <v>5.7379525145773869</v>
      </c>
      <c r="D14" s="95">
        <f t="shared" si="1"/>
        <v>5.6530634638862214</v>
      </c>
      <c r="E14" s="95">
        <f t="shared" si="1"/>
        <v>5.5829395232514223</v>
      </c>
      <c r="F14" s="95">
        <f t="shared" si="1"/>
        <v>5.5247559978172731</v>
      </c>
      <c r="G14" s="95">
        <f t="shared" si="1"/>
        <v>5.4760403883933808</v>
      </c>
      <c r="H14" s="95">
        <f t="shared" si="1"/>
        <v>5.4348825292365985</v>
      </c>
      <c r="I14" s="95">
        <f t="shared" si="1"/>
        <v>5.3998748858145742</v>
      </c>
      <c r="J14" s="95">
        <f t="shared" si="1"/>
        <v>5.3699862106347185</v>
      </c>
      <c r="K14" s="95">
        <f t="shared" si="1"/>
        <v>5.3444499111726653</v>
      </c>
      <c r="L14" s="95">
        <f t="shared" si="1"/>
        <v>5.3226834950822361</v>
      </c>
      <c r="M14" s="95">
        <f t="shared" si="1"/>
        <v>5.3042345138612621</v>
      </c>
      <c r="N14" s="95">
        <f t="shared" si="1"/>
        <v>5.2887450876128996</v>
      </c>
      <c r="O14" s="95">
        <f t="shared" si="1"/>
        <v>5.2759285771485729</v>
      </c>
      <c r="P14" s="95">
        <f t="shared" si="1"/>
        <v>5.2655540186965011</v>
      </c>
      <c r="Q14" s="95">
        <f t="shared" si="1"/>
        <v>5.2574355260060859</v>
      </c>
      <c r="R14" s="95">
        <f t="shared" si="1"/>
        <v>5.2514249256882994</v>
      </c>
      <c r="S14" s="95">
        <f t="shared" si="2"/>
        <v>5.2474065599192921</v>
      </c>
      <c r="T14" s="95">
        <f t="shared" si="2"/>
        <v>5.2452936021206886</v>
      </c>
      <c r="U14" s="95">
        <f t="shared" si="2"/>
        <v>5.2450254836164341</v>
      </c>
      <c r="V14" s="95">
        <f t="shared" si="2"/>
        <v>5.2465661857759986</v>
      </c>
      <c r="W14" s="95">
        <f t="shared" si="2"/>
        <v>5.2499032521293039</v>
      </c>
      <c r="X14" s="95">
        <f t="shared" si="2"/>
        <v>5.2550474427647043</v>
      </c>
      <c r="Y14" s="95">
        <f t="shared" si="2"/>
        <v>5.2620330046579094</v>
      </c>
      <c r="Z14" s="95">
        <f t="shared" si="2"/>
        <v>5.2709185775771861</v>
      </c>
      <c r="AA14" s="95">
        <f t="shared" si="2"/>
        <v>5.2817888055770741</v>
      </c>
      <c r="AB14" s="95">
        <f t="shared" si="2"/>
        <v>5.2947567897816636</v>
      </c>
      <c r="AC14" s="95">
        <f t="shared" si="2"/>
        <v>5.3099676143839343</v>
      </c>
      <c r="AD14" s="95">
        <f t="shared" si="2"/>
        <v>5.3276033281303947</v>
      </c>
      <c r="AE14" s="95">
        <f t="shared" si="2"/>
        <v>5.3478900060053949</v>
      </c>
      <c r="AF14" s="95">
        <f t="shared" si="2"/>
        <v>5.3711079113934979</v>
      </c>
      <c r="AG14" s="95">
        <f t="shared" si="2"/>
        <v>5.3976064219641779</v>
      </c>
      <c r="AH14" s="95">
        <f t="shared" si="2"/>
        <v>5.4278264041066429</v>
      </c>
      <c r="AI14" s="95">
        <f t="shared" si="3"/>
        <v>5.4623342520101126</v>
      </c>
      <c r="AJ14" s="95">
        <f t="shared" si="3"/>
        <v>5.5018737824348118</v>
      </c>
      <c r="AK14" s="95">
        <f t="shared" si="3"/>
        <v>5.5474436082775087</v>
      </c>
      <c r="AL14" s="95">
        <f t="shared" si="3"/>
        <v>5.600404404262143</v>
      </c>
      <c r="AM14" s="95">
        <f t="shared" si="3"/>
        <v>5.6626003162786231</v>
      </c>
      <c r="AN14" s="95">
        <f t="shared" si="3"/>
        <v>5.7364161909522151</v>
      </c>
      <c r="AO14" s="95">
        <f t="shared" si="3"/>
        <v>5.8245749764680399</v>
      </c>
      <c r="AP14" s="95">
        <f t="shared" si="3"/>
        <v>5.9294389738282955</v>
      </c>
      <c r="AR14" s="95">
        <f t="shared" si="6"/>
        <v>0</v>
      </c>
    </row>
    <row r="15" spans="1:44" x14ac:dyDescent="0.2">
      <c r="A15" s="95">
        <f t="shared" si="4"/>
        <v>0.24999999999999997</v>
      </c>
      <c r="B15" s="95">
        <f t="shared" si="5"/>
        <v>5.843734704526411</v>
      </c>
      <c r="C15" s="95">
        <f t="shared" si="1"/>
        <v>5.7408553003376515</v>
      </c>
      <c r="D15" s="95">
        <f t="shared" si="1"/>
        <v>5.6540955701599911</v>
      </c>
      <c r="E15" s="95">
        <f t="shared" si="1"/>
        <v>5.5815487690459697</v>
      </c>
      <c r="F15" s="95">
        <f t="shared" si="1"/>
        <v>5.5208812607399302</v>
      </c>
      <c r="G15" s="95">
        <f t="shared" si="1"/>
        <v>5.4699068076652715</v>
      </c>
      <c r="H15" s="95">
        <f t="shared" si="1"/>
        <v>5.4268262278672248</v>
      </c>
      <c r="I15" s="95">
        <f t="shared" si="1"/>
        <v>5.3902426243031281</v>
      </c>
      <c r="J15" s="95">
        <f t="shared" si="1"/>
        <v>5.3590909474122652</v>
      </c>
      <c r="K15" s="95">
        <f t="shared" si="1"/>
        <v>5.3325567553696596</v>
      </c>
      <c r="L15" s="95">
        <f t="shared" si="1"/>
        <v>5.3100095667439398</v>
      </c>
      <c r="M15" s="95">
        <f t="shared" si="1"/>
        <v>5.290954202879079</v>
      </c>
      <c r="N15" s="95">
        <f t="shared" si="1"/>
        <v>5.2749967979744126</v>
      </c>
      <c r="O15" s="95">
        <f t="shared" si="1"/>
        <v>5.2618213202289166</v>
      </c>
      <c r="P15" s="95">
        <f t="shared" si="1"/>
        <v>5.2511732671921063</v>
      </c>
      <c r="Q15" s="95">
        <f t="shared" si="1"/>
        <v>5.24284819771563</v>
      </c>
      <c r="R15" s="95">
        <f t="shared" si="1"/>
        <v>5.2366835536198346</v>
      </c>
      <c r="S15" s="95">
        <f t="shared" si="2"/>
        <v>5.2325527725224195</v>
      </c>
      <c r="T15" s="95">
        <f t="shared" si="2"/>
        <v>5.2303610536318201</v>
      </c>
      <c r="U15" s="95">
        <f t="shared" si="2"/>
        <v>5.2300423707136279</v>
      </c>
      <c r="V15" s="95">
        <f t="shared" si="2"/>
        <v>5.2315574769717008</v>
      </c>
      <c r="W15" s="95">
        <f t="shared" si="2"/>
        <v>5.2348927468149631</v>
      </c>
      <c r="X15" s="95">
        <f t="shared" si="2"/>
        <v>5.240059770264538</v>
      </c>
      <c r="Y15" s="95">
        <f t="shared" si="2"/>
        <v>5.2470956711354448</v>
      </c>
      <c r="Z15" s="95">
        <f t="shared" si="2"/>
        <v>5.2560641704448905</v>
      </c>
      <c r="AA15" s="95">
        <f t="shared" si="2"/>
        <v>5.2670574708834348</v>
      </c>
      <c r="AB15" s="95">
        <f t="shared" si="2"/>
        <v>5.2801991067981788</v>
      </c>
      <c r="AC15" s="95">
        <f t="shared" si="2"/>
        <v>5.295648000624686</v>
      </c>
      <c r="AD15" s="95">
        <f t="shared" si="2"/>
        <v>5.3136041112410517</v>
      </c>
      <c r="AE15" s="95">
        <f t="shared" si="2"/>
        <v>5.334316282792904</v>
      </c>
      <c r="AF15" s="95">
        <f t="shared" si="2"/>
        <v>5.3580932486539208</v>
      </c>
      <c r="AG15" s="95">
        <f t="shared" si="2"/>
        <v>5.3853192723577301</v>
      </c>
      <c r="AH15" s="95">
        <f t="shared" si="2"/>
        <v>5.4164766682856316</v>
      </c>
      <c r="AI15" s="95">
        <f t="shared" si="3"/>
        <v>5.4521784074769153</v>
      </c>
      <c r="AJ15" s="95">
        <f t="shared" si="3"/>
        <v>5.4932148050646576</v>
      </c>
      <c r="AK15" s="95">
        <f t="shared" si="3"/>
        <v>5.540617485783927</v>
      </c>
      <c r="AL15" s="95">
        <f t="shared" si="3"/>
        <v>5.5957373593732811</v>
      </c>
      <c r="AM15" s="95">
        <f t="shared" si="3"/>
        <v>5.66031216282183</v>
      </c>
      <c r="AN15" s="95">
        <f t="shared" si="3"/>
        <v>5.7364514976258398</v>
      </c>
      <c r="AO15" s="95">
        <f t="shared" si="3"/>
        <v>5.8264057678103596</v>
      </c>
      <c r="AP15" s="95">
        <f t="shared" si="3"/>
        <v>5.9320129263801444</v>
      </c>
      <c r="AR15" s="95">
        <f t="shared" si="6"/>
        <v>0</v>
      </c>
    </row>
    <row r="16" spans="1:44" x14ac:dyDescent="0.2">
      <c r="A16" s="95">
        <f t="shared" si="4"/>
        <v>0.27499999999999997</v>
      </c>
      <c r="B16" s="95">
        <f t="shared" si="5"/>
        <v>5.8480646802693954</v>
      </c>
      <c r="C16" s="95">
        <f t="shared" si="1"/>
        <v>5.7445574131572137</v>
      </c>
      <c r="D16" s="95">
        <f t="shared" si="1"/>
        <v>5.6562589099787726</v>
      </c>
      <c r="E16" s="95">
        <f t="shared" si="1"/>
        <v>5.5816556255115373</v>
      </c>
      <c r="F16" s="95">
        <f t="shared" si="1"/>
        <v>5.5188034200288092</v>
      </c>
      <c r="G16" s="95">
        <f t="shared" si="1"/>
        <v>5.4657755626297533</v>
      </c>
      <c r="H16" s="95">
        <f t="shared" si="1"/>
        <v>5.4208976071780359</v>
      </c>
      <c r="I16" s="95">
        <f t="shared" si="1"/>
        <v>5.3828069115070143</v>
      </c>
      <c r="J16" s="95">
        <f t="shared" si="1"/>
        <v>5.3504249920646076</v>
      </c>
      <c r="K16" s="95">
        <f t="shared" si="1"/>
        <v>5.3229039279979666</v>
      </c>
      <c r="L16" s="95">
        <f t="shared" si="1"/>
        <v>5.2995745300546906</v>
      </c>
      <c r="M16" s="95">
        <f t="shared" si="1"/>
        <v>5.2799046351031169</v>
      </c>
      <c r="N16" s="95">
        <f t="shared" si="1"/>
        <v>5.2634678811331028</v>
      </c>
      <c r="O16" s="95">
        <f t="shared" si="1"/>
        <v>5.2499209515396332</v>
      </c>
      <c r="P16" s="95">
        <f t="shared" si="1"/>
        <v>5.2389870823302829</v>
      </c>
      <c r="Q16" s="95">
        <f t="shared" si="1"/>
        <v>5.2304440579504785</v>
      </c>
      <c r="R16" s="95">
        <f t="shared" si="1"/>
        <v>5.2241154174663045</v>
      </c>
      <c r="S16" s="95">
        <f t="shared" si="2"/>
        <v>5.2198639937589606</v>
      </c>
      <c r="T16" s="95">
        <f t="shared" si="2"/>
        <v>5.2175871970849883</v>
      </c>
      <c r="U16" s="95">
        <f t="shared" si="2"/>
        <v>5.2172136533127462</v>
      </c>
      <c r="V16" s="95">
        <f t="shared" si="2"/>
        <v>5.2187009433387548</v>
      </c>
      <c r="W16" s="95">
        <f t="shared" si="2"/>
        <v>5.2220342855658455</v>
      </c>
      <c r="X16" s="95">
        <f t="shared" si="2"/>
        <v>5.2272260738754337</v>
      </c>
      <c r="Y16" s="95">
        <f t="shared" si="2"/>
        <v>5.2343162407478729</v>
      </c>
      <c r="Z16" s="95">
        <f t="shared" si="2"/>
        <v>5.2433734679383077</v>
      </c>
      <c r="AA16" s="95">
        <f t="shared" si="2"/>
        <v>5.2544973233596526</v>
      </c>
      <c r="AB16" s="95">
        <f t="shared" si="2"/>
        <v>5.2678214712686469</v>
      </c>
      <c r="AC16" s="95">
        <f t="shared" si="2"/>
        <v>5.2835181946731753</v>
      </c>
      <c r="AD16" s="95">
        <f t="shared" si="2"/>
        <v>5.3018045995438952</v>
      </c>
      <c r="AE16" s="95">
        <f t="shared" si="2"/>
        <v>5.3229510611282222</v>
      </c>
      <c r="AF16" s="95">
        <f t="shared" si="2"/>
        <v>5.3472927495284068</v>
      </c>
      <c r="AG16" s="95">
        <f t="shared" si="2"/>
        <v>5.3752454565679617</v>
      </c>
      <c r="AH16" s="95">
        <f t="shared" si="2"/>
        <v>5.4073274227411936</v>
      </c>
      <c r="AI16" s="95">
        <f t="shared" si="3"/>
        <v>5.4441892790301605</v>
      </c>
      <c r="AJ16" s="95">
        <f t="shared" si="3"/>
        <v>5.4866540319293851</v>
      </c>
      <c r="AK16" s="95">
        <f t="shared" si="3"/>
        <v>5.5357667453858905</v>
      </c>
      <c r="AL16" s="95">
        <f t="shared" si="3"/>
        <v>5.592845870566042</v>
      </c>
      <c r="AM16" s="95">
        <f t="shared" si="3"/>
        <v>5.6595095459752018</v>
      </c>
      <c r="AN16" s="95">
        <f t="shared" si="3"/>
        <v>5.737617943414115</v>
      </c>
      <c r="AO16" s="95">
        <f t="shared" si="3"/>
        <v>5.8290467662643817</v>
      </c>
      <c r="AP16" s="95">
        <f t="shared" si="3"/>
        <v>5.9352555664355098</v>
      </c>
      <c r="AR16" s="95">
        <f t="shared" si="6"/>
        <v>0</v>
      </c>
    </row>
    <row r="17" spans="1:44" x14ac:dyDescent="0.2">
      <c r="A17" s="95">
        <f t="shared" si="4"/>
        <v>0.3</v>
      </c>
      <c r="B17" s="95">
        <f t="shared" si="5"/>
        <v>5.853049304142079</v>
      </c>
      <c r="C17" s="95">
        <f t="shared" si="1"/>
        <v>5.7490294040894572</v>
      </c>
      <c r="D17" s="95">
        <f t="shared" si="1"/>
        <v>5.6594598664582119</v>
      </c>
      <c r="E17" s="95">
        <f t="shared" si="1"/>
        <v>5.5831152889116442</v>
      </c>
      <c r="F17" s="95">
        <f t="shared" si="1"/>
        <v>5.5183585895147926</v>
      </c>
      <c r="G17" s="95">
        <f t="shared" si="1"/>
        <v>5.4634894905801126</v>
      </c>
      <c r="H17" s="95">
        <f t="shared" si="1"/>
        <v>5.4169593796446867</v>
      </c>
      <c r="I17" s="95">
        <f t="shared" si="1"/>
        <v>5.3774541539479834</v>
      </c>
      <c r="J17" s="95">
        <f t="shared" si="1"/>
        <v>5.3438973719801153</v>
      </c>
      <c r="K17" s="95">
        <f t="shared" si="1"/>
        <v>5.3154200598057173</v>
      </c>
      <c r="L17" s="95">
        <f t="shared" si="1"/>
        <v>5.2913231785342489</v>
      </c>
      <c r="M17" s="95">
        <f t="shared" si="1"/>
        <v>5.2710435617081774</v>
      </c>
      <c r="N17" s="95">
        <f t="shared" si="1"/>
        <v>5.2541262990924817</v>
      </c>
      <c r="O17" s="95">
        <f t="shared" si="1"/>
        <v>5.2402033822449621</v>
      </c>
      <c r="P17" s="95">
        <f t="shared" si="1"/>
        <v>5.2289774973125578</v>
      </c>
      <c r="Q17" s="95">
        <f t="shared" si="1"/>
        <v>5.220209795252055</v>
      </c>
      <c r="R17" s="95">
        <f t="shared" si="1"/>
        <v>5.2137106798271988</v>
      </c>
      <c r="S17" s="95">
        <f t="shared" si="2"/>
        <v>5.2093328966505981</v>
      </c>
      <c r="T17" s="95">
        <f t="shared" si="2"/>
        <v>5.2069664111367402</v>
      </c>
      <c r="U17" s="95">
        <f t="shared" si="2"/>
        <v>5.2065347189917528</v>
      </c>
      <c r="V17" s="95">
        <f t="shared" si="2"/>
        <v>5.2079923480080366</v>
      </c>
      <c r="W17" s="95">
        <f t="shared" si="2"/>
        <v>5.211323396048428</v>
      </c>
      <c r="X17" s="95">
        <f t="shared" si="2"/>
        <v>5.2165410174891713</v>
      </c>
      <c r="Y17" s="95">
        <f t="shared" si="2"/>
        <v>5.2236878273273213</v>
      </c>
      <c r="Z17" s="95">
        <f t="shared" si="2"/>
        <v>5.2328372454848777</v>
      </c>
      <c r="AA17" s="95">
        <f t="shared" si="2"/>
        <v>5.244095859859458</v>
      </c>
      <c r="AB17" s="95">
        <f t="shared" si="2"/>
        <v>5.2576069521038704</v>
      </c>
      <c r="AC17" s="95">
        <f t="shared" si="2"/>
        <v>5.2735554130164681</v>
      </c>
      <c r="AD17" s="95">
        <f t="shared" si="2"/>
        <v>5.2921743847463674</v>
      </c>
      <c r="AE17" s="95">
        <f t="shared" si="2"/>
        <v>5.3137541159676278</v>
      </c>
      <c r="AF17" s="95">
        <f t="shared" si="2"/>
        <v>5.3386537117639143</v>
      </c>
      <c r="AG17" s="95">
        <f t="shared" si="2"/>
        <v>5.3673166922589726</v>
      </c>
      <c r="AH17" s="95">
        <f t="shared" si="2"/>
        <v>5.4002914749606141</v>
      </c>
      <c r="AI17" s="95">
        <f t="shared" si="3"/>
        <v>5.4382578419609935</v>
      </c>
      <c r="AJ17" s="95">
        <f t="shared" si="3"/>
        <v>5.4820595587172516</v>
      </c>
      <c r="AK17" s="95">
        <f t="shared" si="3"/>
        <v>5.5327402709131697</v>
      </c>
      <c r="AL17" s="95">
        <f t="shared" si="3"/>
        <v>5.5915722710919473</v>
      </c>
      <c r="AM17" s="95">
        <f t="shared" si="3"/>
        <v>5.6600531031503536</v>
      </c>
      <c r="AN17" s="95">
        <f t="shared" si="3"/>
        <v>5.7398253984657286</v>
      </c>
      <c r="AO17" s="95">
        <f t="shared" si="3"/>
        <v>5.8324695960484583</v>
      </c>
      <c r="AP17" s="95">
        <f t="shared" si="3"/>
        <v>5.9391680462228633</v>
      </c>
      <c r="AR17" s="95">
        <f t="shared" si="6"/>
        <v>0</v>
      </c>
    </row>
    <row r="18" spans="1:44" x14ac:dyDescent="0.2">
      <c r="A18" s="95">
        <f t="shared" si="4"/>
        <v>0.32500000000000001</v>
      </c>
      <c r="B18" s="95">
        <f t="shared" si="5"/>
        <v>5.8586895921149473</v>
      </c>
      <c r="C18" s="95">
        <f t="shared" si="1"/>
        <v>5.7542509036960325</v>
      </c>
      <c r="D18" s="95">
        <f t="shared" si="1"/>
        <v>5.6636306864167114</v>
      </c>
      <c r="E18" s="95">
        <f t="shared" si="1"/>
        <v>5.5858173428273803</v>
      </c>
      <c r="F18" s="95">
        <f t="shared" si="1"/>
        <v>5.5194150901956149</v>
      </c>
      <c r="G18" s="95">
        <f t="shared" si="1"/>
        <v>5.4629162841136658</v>
      </c>
      <c r="H18" s="95">
        <f t="shared" si="1"/>
        <v>5.4148913714431712</v>
      </c>
      <c r="I18" s="95">
        <f t="shared" si="1"/>
        <v>5.3740817171782815</v>
      </c>
      <c r="J18" s="95">
        <f t="shared" si="1"/>
        <v>5.3394237570712075</v>
      </c>
      <c r="K18" s="95">
        <f t="shared" si="1"/>
        <v>5.3100375804137503</v>
      </c>
      <c r="L18" s="95">
        <f t="shared" si="1"/>
        <v>5.2852022877690459</v>
      </c>
      <c r="M18" s="95">
        <f t="shared" si="1"/>
        <v>5.2643295696531904</v>
      </c>
      <c r="N18" s="95">
        <f t="shared" si="1"/>
        <v>5.2469401276980454</v>
      </c>
      <c r="O18" s="95">
        <f t="shared" si="1"/>
        <v>5.2326441806498032</v>
      </c>
      <c r="P18" s="95">
        <f t="shared" si="1"/>
        <v>5.2211259115205593</v>
      </c>
      <c r="Q18" s="95">
        <f t="shared" si="1"/>
        <v>5.2121312778380471</v>
      </c>
      <c r="R18" s="95">
        <f t="shared" si="1"/>
        <v>5.2054585634086905</v>
      </c>
      <c r="S18" s="95">
        <f t="shared" si="2"/>
        <v>5.2009511387833918</v>
      </c>
      <c r="T18" s="95">
        <f t="shared" si="2"/>
        <v>5.1984920136259234</v>
      </c>
      <c r="U18" s="95">
        <f t="shared" si="2"/>
        <v>5.1979998711579647</v>
      </c>
      <c r="V18" s="95">
        <f t="shared" si="2"/>
        <v>5.1994263643404652</v>
      </c>
      <c r="W18" s="95">
        <f t="shared" si="2"/>
        <v>5.2027545269303594</v>
      </c>
      <c r="X18" s="95">
        <f t="shared" si="2"/>
        <v>5.2079982143381844</v>
      </c>
      <c r="Y18" s="95">
        <f t="shared" si="2"/>
        <v>5.2152025439889753</v>
      </c>
      <c r="Z18" s="95">
        <f t="shared" si="2"/>
        <v>5.2244453571065463</v>
      </c>
      <c r="AA18" s="95">
        <f t="shared" si="2"/>
        <v>5.2358397777928154</v>
      </c>
      <c r="AB18" s="95">
        <f t="shared" si="2"/>
        <v>5.2495380053357641</v>
      </c>
      <c r="AC18" s="95">
        <f t="shared" si="2"/>
        <v>5.2657365464004249</v>
      </c>
      <c r="AD18" s="95">
        <f t="shared" si="2"/>
        <v>5.2846831792971791</v>
      </c>
      <c r="AE18" s="95">
        <f t="shared" si="2"/>
        <v>5.3066860443138069</v>
      </c>
      <c r="AF18" s="95">
        <f t="shared" si="2"/>
        <v>5.3321253640552095</v>
      </c>
      <c r="AG18" s="95">
        <f t="shared" si="2"/>
        <v>5.3614683810983417</v>
      </c>
      <c r="AH18" s="95">
        <f t="shared" si="2"/>
        <v>5.3952880562473755</v>
      </c>
      <c r="AI18" s="95">
        <f t="shared" si="3"/>
        <v>5.4342856510043154</v>
      </c>
      <c r="AJ18" s="95">
        <f t="shared" si="3"/>
        <v>5.4793159835803351</v>
      </c>
      <c r="AK18" s="95">
        <f t="shared" si="3"/>
        <v>5.531410897336734</v>
      </c>
      <c r="AL18" s="95">
        <f t="shared" si="3"/>
        <v>5.5917899169117256</v>
      </c>
      <c r="AM18" s="95">
        <f t="shared" si="3"/>
        <v>5.6618365852795955</v>
      </c>
      <c r="AN18" s="95">
        <f t="shared" si="3"/>
        <v>5.7430086309118016</v>
      </c>
      <c r="AO18" s="95">
        <f t="shared" si="3"/>
        <v>5.8366546117659226</v>
      </c>
      <c r="AP18" s="95">
        <f t="shared" si="3"/>
        <v>5.943751301704709</v>
      </c>
      <c r="AR18" s="95">
        <f t="shared" si="6"/>
        <v>0</v>
      </c>
    </row>
    <row r="19" spans="1:44" x14ac:dyDescent="0.2">
      <c r="A19" s="95">
        <f t="shared" si="4"/>
        <v>0.35000000000000003</v>
      </c>
      <c r="B19" s="95">
        <f t="shared" si="5"/>
        <v>5.864986350033413</v>
      </c>
      <c r="C19" s="95">
        <f t="shared" si="1"/>
        <v>5.7602074552312938</v>
      </c>
      <c r="D19" s="95">
        <f t="shared" si="1"/>
        <v>5.6687215834540661</v>
      </c>
      <c r="E19" s="95">
        <f t="shared" si="1"/>
        <v>5.589677192854043</v>
      </c>
      <c r="F19" s="95">
        <f t="shared" si="1"/>
        <v>5.521867551063381</v>
      </c>
      <c r="G19" s="95">
        <f t="shared" si="1"/>
        <v>5.4639457183287465</v>
      </c>
      <c r="H19" s="95">
        <f t="shared" si="1"/>
        <v>5.414589920853488</v>
      </c>
      <c r="I19" s="95">
        <f t="shared" si="1"/>
        <v>5.3725984594760678</v>
      </c>
      <c r="J19" s="95">
        <f t="shared" si="1"/>
        <v>5.3369274384410268</v>
      </c>
      <c r="K19" s="95">
        <f t="shared" si="1"/>
        <v>5.3066937740503661</v>
      </c>
      <c r="L19" s="95">
        <f t="shared" si="1"/>
        <v>5.2811615839294603</v>
      </c>
      <c r="M19" s="95">
        <f t="shared" si="1"/>
        <v>5.2597229069286673</v>
      </c>
      <c r="N19" s="95">
        <f t="shared" si="1"/>
        <v>5.2418782336349166</v>
      </c>
      <c r="O19" s="95">
        <f t="shared" si="1"/>
        <v>5.2272191170130125</v>
      </c>
      <c r="P19" s="95">
        <f t="shared" si="1"/>
        <v>5.2154135257893675</v>
      </c>
      <c r="Q19" s="95">
        <f t="shared" si="1"/>
        <v>5.2061939021857917</v>
      </c>
      <c r="R19" s="95">
        <f t="shared" si="1"/>
        <v>5.199347633568709</v>
      </c>
      <c r="S19" s="95">
        <f t="shared" si="2"/>
        <v>5.1947095967185861</v>
      </c>
      <c r="T19" s="95">
        <f t="shared" si="2"/>
        <v>5.1921564632751522</v>
      </c>
      <c r="U19" s="95">
        <f t="shared" si="2"/>
        <v>5.1916025115854634</v>
      </c>
      <c r="V19" s="95">
        <f t="shared" si="2"/>
        <v>5.1929967516805773</v>
      </c>
      <c r="W19" s="95">
        <f t="shared" si="2"/>
        <v>5.1963212288101186</v>
      </c>
      <c r="X19" s="95">
        <f t="shared" si="2"/>
        <v>5.2015904253886589</v>
      </c>
      <c r="Y19" s="95">
        <f t="shared" si="2"/>
        <v>5.2088517323423176</v>
      </c>
      <c r="Z19" s="95">
        <f t="shared" si="2"/>
        <v>5.2181870105772772</v>
      </c>
      <c r="AA19" s="95">
        <f t="shared" si="2"/>
        <v>5.2297153137214112</v>
      </c>
      <c r="AB19" s="95">
        <f t="shared" si="2"/>
        <v>5.2435968962723027</v>
      </c>
      <c r="AC19" s="95">
        <f t="shared" si="2"/>
        <v>5.2600386877673362</v>
      </c>
      <c r="AD19" s="95">
        <f t="shared" si="2"/>
        <v>5.2793014721096014</v>
      </c>
      <c r="AE19" s="95">
        <f t="shared" si="2"/>
        <v>5.3017090643535356</v>
      </c>
      <c r="AF19" s="95">
        <f t="shared" si="2"/>
        <v>5.3276598038938721</v>
      </c>
      <c r="AG19" s="95">
        <f t="shared" si="2"/>
        <v>5.3576406313332416</v>
      </c>
      <c r="AH19" s="95">
        <f t="shared" si="2"/>
        <v>5.3922437706799871</v>
      </c>
      <c r="AI19" s="95">
        <f t="shared" si="3"/>
        <v>5.4321853611017046</v>
      </c>
      <c r="AJ19" s="95">
        <f t="shared" si="3"/>
        <v>5.4783238344988066</v>
      </c>
      <c r="AK19" s="95">
        <f t="shared" si="3"/>
        <v>5.531672746649015</v>
      </c>
      <c r="AL19" s="95">
        <f t="shared" si="3"/>
        <v>5.5933975107970966</v>
      </c>
      <c r="AM19" s="95">
        <f t="shared" si="3"/>
        <v>5.6647786120081989</v>
      </c>
      <c r="AN19" s="95">
        <f t="shared" si="3"/>
        <v>5.7471197041626745</v>
      </c>
      <c r="AO19" s="95">
        <f t="shared" si="3"/>
        <v>5.8415878494824272</v>
      </c>
      <c r="AP19" s="95">
        <f t="shared" si="3"/>
        <v>5.9490060525546493</v>
      </c>
      <c r="AR19" s="95">
        <f t="shared" si="6"/>
        <v>0</v>
      </c>
    </row>
    <row r="20" spans="1:44" x14ac:dyDescent="0.2">
      <c r="A20" s="95">
        <f t="shared" si="4"/>
        <v>0.37500000000000006</v>
      </c>
      <c r="B20" s="95">
        <f t="shared" si="5"/>
        <v>5.8719401736462284</v>
      </c>
      <c r="C20" s="95">
        <f t="shared" si="1"/>
        <v>5.7668885714988498</v>
      </c>
      <c r="D20" s="95">
        <f t="shared" si="1"/>
        <v>5.6746955378467057</v>
      </c>
      <c r="E20" s="95">
        <f t="shared" si="1"/>
        <v>5.5946298203809892</v>
      </c>
      <c r="F20" s="95">
        <f t="shared" si="1"/>
        <v>5.5256320197150535</v>
      </c>
      <c r="G20" s="95">
        <f t="shared" si="1"/>
        <v>5.4664868948235821</v>
      </c>
      <c r="H20" s="95">
        <f t="shared" si="1"/>
        <v>5.4159668755131527</v>
      </c>
      <c r="I20" s="95">
        <f t="shared" si="1"/>
        <v>5.37292480446947</v>
      </c>
      <c r="J20" s="95">
        <f t="shared" si="1"/>
        <v>5.3363399251856229</v>
      </c>
      <c r="K20" s="95">
        <f t="shared" si="1"/>
        <v>5.3053315574550624</v>
      </c>
      <c r="L20" s="95">
        <f t="shared" si="1"/>
        <v>5.2791545221677154</v>
      </c>
      <c r="M20" s="95">
        <f t="shared" si="1"/>
        <v>5.2571861813380378</v>
      </c>
      <c r="N20" s="95">
        <f t="shared" si="1"/>
        <v>5.2389108681077472</v>
      </c>
      <c r="O20" s="95">
        <f t="shared" si="1"/>
        <v>5.223904653357768</v>
      </c>
      <c r="P20" s="95">
        <f t="shared" si="1"/>
        <v>5.2118217409999934</v>
      </c>
      <c r="Q20" s="95">
        <f t="shared" si="1"/>
        <v>5.2023829167329332</v>
      </c>
      <c r="R20" s="95">
        <f t="shared" ref="R20:AG35" si="7">wa*SQRT((xa-x)^2+(ya-y)^2)+wb*SQRT((xb-x)^2+(yb-y)^2)+wc*SQRT((xc-x)^2+(yc-y)^2)+wd*SQRT((xd-x)^2+(yd-y)^2)</f>
        <v>5.1953660635516279</v>
      </c>
      <c r="S20" s="95">
        <f t="shared" si="2"/>
        <v>5.190598587897874</v>
      </c>
      <c r="T20" s="95">
        <f t="shared" si="2"/>
        <v>5.1879515518205856</v>
      </c>
      <c r="U20" s="95">
        <f t="shared" si="2"/>
        <v>5.1873353149705101</v>
      </c>
      <c r="V20" s="95">
        <f t="shared" si="2"/>
        <v>5.1886965236505826</v>
      </c>
      <c r="W20" s="95">
        <f t="shared" si="2"/>
        <v>5.1920163272334161</v>
      </c>
      <c r="X20" s="95">
        <f t="shared" si="2"/>
        <v>5.1973097483164334</v>
      </c>
      <c r="Y20" s="95">
        <f t="shared" si="2"/>
        <v>5.204626179474733</v>
      </c>
      <c r="Z20" s="95">
        <f t="shared" si="2"/>
        <v>5.2140510257373496</v>
      </c>
      <c r="AA20" s="95">
        <f t="shared" si="2"/>
        <v>5.225708557835504</v>
      </c>
      <c r="AB20" s="95">
        <f t="shared" si="2"/>
        <v>5.2397660862029962</v>
      </c>
      <c r="AC20" s="95">
        <f t="shared" si="2"/>
        <v>5.2564396071542694</v>
      </c>
      <c r="AD20" s="95">
        <f t="shared" si="2"/>
        <v>5.2760011040657142</v>
      </c>
      <c r="AE20" s="95">
        <f t="shared" si="2"/>
        <v>5.298787692952553</v>
      </c>
      <c r="AF20" s="95">
        <f t="shared" si="2"/>
        <v>5.3252127526480475</v>
      </c>
      <c r="AG20" s="95">
        <f t="shared" si="2"/>
        <v>5.3557790133394976</v>
      </c>
      <c r="AH20" s="95">
        <f t="shared" ref="AH20:AP35" si="8">wa*SQRT((xa-x)^2+(ya-y)^2)+wb*SQRT((xb-x)^2+(yb-y)^2)+wc*SQRT((xc-x)^2+(yc-y)^2)+wd*SQRT((xd-x)^2+(yd-y)^2)</f>
        <v>5.39109317708402</v>
      </c>
      <c r="AI20" s="95">
        <f t="shared" si="3"/>
        <v>5.4318808051037051</v>
      </c>
      <c r="AJ20" s="95">
        <f t="shared" si="3"/>
        <v>5.4789986114155491</v>
      </c>
      <c r="AK20" s="95">
        <f t="shared" si="3"/>
        <v>5.5334385809974105</v>
      </c>
      <c r="AL20" s="95">
        <f t="shared" si="3"/>
        <v>5.5963143997560394</v>
      </c>
      <c r="AM20" s="95">
        <f t="shared" si="3"/>
        <v>5.6688166607592994</v>
      </c>
      <c r="AN20" s="95">
        <f t="shared" si="3"/>
        <v>5.7521229715107038</v>
      </c>
      <c r="AO20" s="95">
        <f t="shared" si="3"/>
        <v>5.8472591562723784</v>
      </c>
      <c r="AP20" s="95">
        <f t="shared" si="3"/>
        <v>5.9549328023718537</v>
      </c>
      <c r="AR20" s="95">
        <f t="shared" si="6"/>
        <v>0</v>
      </c>
    </row>
    <row r="21" spans="1:44" x14ac:dyDescent="0.2">
      <c r="A21" s="95">
        <f t="shared" si="4"/>
        <v>0.40000000000000008</v>
      </c>
      <c r="B21" s="95">
        <f t="shared" si="5"/>
        <v>5.8795514488503589</v>
      </c>
      <c r="C21" s="95">
        <f t="shared" ref="C21:Q21" si="9">wa*SQRT((xa-x)^2+(ya-y)^2)+wb*SQRT((xb-x)^2+(yb-y)^2)+wc*SQRT((xc-x)^2+(yc-y)^2)+wd*SQRT((xd-x)^2+(yd-y)^2)</f>
        <v>5.7742865041213527</v>
      </c>
      <c r="D21" s="95">
        <f t="shared" si="9"/>
        <v>5.6815248160685217</v>
      </c>
      <c r="E21" s="95">
        <f t="shared" si="9"/>
        <v>5.6006252505264555</v>
      </c>
      <c r="F21" s="95">
        <f t="shared" si="9"/>
        <v>5.5306420409557973</v>
      </c>
      <c r="G21" s="95">
        <f t="shared" si="9"/>
        <v>5.4704657256459326</v>
      </c>
      <c r="H21" s="95">
        <f t="shared" si="9"/>
        <v>5.4189484265364189</v>
      </c>
      <c r="I21" s="95">
        <f t="shared" si="9"/>
        <v>5.3749925184654765</v>
      </c>
      <c r="J21" s="95">
        <f t="shared" si="9"/>
        <v>5.3376012531589598</v>
      </c>
      <c r="K21" s="95">
        <f t="shared" si="9"/>
        <v>5.3059000250936226</v>
      </c>
      <c r="L21" s="95">
        <f t="shared" si="9"/>
        <v>5.2791388922982545</v>
      </c>
      <c r="M21" s="95">
        <f t="shared" si="9"/>
        <v>5.2566849361360219</v>
      </c>
      <c r="N21" s="95">
        <f t="shared" si="9"/>
        <v>5.2380101741848506</v>
      </c>
      <c r="O21" s="95">
        <f t="shared" si="9"/>
        <v>5.2226783729268345</v>
      </c>
      <c r="P21" s="95">
        <f t="shared" si="9"/>
        <v>5.2103325142128352</v>
      </c>
      <c r="Q21" s="95">
        <f t="shared" si="9"/>
        <v>5.2006837152940015</v>
      </c>
      <c r="R21" s="95">
        <f t="shared" si="7"/>
        <v>5.193501877637317</v>
      </c>
      <c r="S21" s="95">
        <f t="shared" si="7"/>
        <v>5.1886080758804702</v>
      </c>
      <c r="T21" s="95">
        <f t="shared" si="7"/>
        <v>5.1858685828893893</v>
      </c>
      <c r="U21" s="95">
        <f t="shared" si="7"/>
        <v>5.1851903921288294</v>
      </c>
      <c r="V21" s="95">
        <f t="shared" si="7"/>
        <v>5.1865181057194079</v>
      </c>
      <c r="W21" s="95">
        <f t="shared" si="7"/>
        <v>5.1898320844442196</v>
      </c>
      <c r="X21" s="95">
        <f t="shared" si="7"/>
        <v>5.1951477934340069</v>
      </c>
      <c r="Y21" s="95">
        <f t="shared" si="7"/>
        <v>5.2025163186197609</v>
      </c>
      <c r="Z21" s="95">
        <f t="shared" si="7"/>
        <v>5.2120260712906887</v>
      </c>
      <c r="AA21" s="95">
        <f t="shared" si="7"/>
        <v>5.2238057390360346</v>
      </c>
      <c r="AB21" s="95">
        <f t="shared" si="7"/>
        <v>5.2380285780150206</v>
      </c>
      <c r="AC21" s="95">
        <f t="shared" si="7"/>
        <v>5.2549181683222939</v>
      </c>
      <c r="AD21" s="95">
        <f t="shared" si="7"/>
        <v>5.2747557603230151</v>
      </c>
      <c r="AE21" s="95">
        <f t="shared" si="7"/>
        <v>5.29788930464664</v>
      </c>
      <c r="AF21" s="95">
        <f t="shared" si="7"/>
        <v>5.3247441445923904</v>
      </c>
      <c r="AG21" s="95">
        <f t="shared" si="7"/>
        <v>5.3558350916145514</v>
      </c>
      <c r="AH21" s="95">
        <f t="shared" si="8"/>
        <v>5.3917790944238506</v>
      </c>
      <c r="AI21" s="95">
        <f t="shared" si="8"/>
        <v>5.4333067881653898</v>
      </c>
      <c r="AJ21" s="95">
        <f t="shared" si="8"/>
        <v>5.4812696725192849</v>
      </c>
      <c r="AK21" s="95">
        <f t="shared" si="8"/>
        <v>5.536637388170873</v>
      </c>
      <c r="AL21" s="95">
        <f t="shared" si="8"/>
        <v>5.60047680575373</v>
      </c>
      <c r="AM21" s="95">
        <f t="shared" si="8"/>
        <v>5.6739027073169019</v>
      </c>
      <c r="AN21" s="95">
        <f t="shared" si="8"/>
        <v>5.757991727135173</v>
      </c>
      <c r="AO21" s="95">
        <f t="shared" si="8"/>
        <v>5.8536610059375809</v>
      </c>
      <c r="AP21" s="95">
        <f t="shared" si="8"/>
        <v>5.9615318391222161</v>
      </c>
      <c r="AR21" s="95">
        <f t="shared" si="6"/>
        <v>0</v>
      </c>
    </row>
    <row r="22" spans="1:44" x14ac:dyDescent="0.2">
      <c r="A22" s="95">
        <f t="shared" si="4"/>
        <v>0.4250000000000001</v>
      </c>
      <c r="B22" s="95">
        <f t="shared" ref="B22:Q37" si="10">wa*SQRT((xa-x)^2+(ya-y)^2)+wb*SQRT((xb-x)^2+(yb-y)^2)+wc*SQRT((xc-x)^2+(yc-y)^2)+wd*SQRT((xd-x)^2+(yd-y)^2)</f>
        <v>5.8878203521426808</v>
      </c>
      <c r="C22" s="95">
        <f t="shared" si="10"/>
        <v>5.7823954448277206</v>
      </c>
      <c r="D22" s="95">
        <f t="shared" si="10"/>
        <v>5.6891886114081878</v>
      </c>
      <c r="E22" s="95">
        <f t="shared" si="10"/>
        <v>5.6076252759953897</v>
      </c>
      <c r="F22" s="95">
        <f t="shared" si="10"/>
        <v>5.5368455873244926</v>
      </c>
      <c r="G22" s="95">
        <f t="shared" si="10"/>
        <v>5.4758227610887635</v>
      </c>
      <c r="H22" s="95">
        <f t="shared" si="10"/>
        <v>5.4234739387673239</v>
      </c>
      <c r="I22" s="95">
        <f t="shared" si="10"/>
        <v>5.3787443235351553</v>
      </c>
      <c r="J22" s="95">
        <f t="shared" si="10"/>
        <v>5.3406600902168462</v>
      </c>
      <c r="K22" s="95">
        <f t="shared" si="10"/>
        <v>5.3083548081319076</v>
      </c>
      <c r="L22" s="95">
        <f t="shared" si="10"/>
        <v>5.2810772734625466</v>
      </c>
      <c r="M22" s="95">
        <f t="shared" si="10"/>
        <v>5.2581881101125365</v>
      </c>
      <c r="N22" s="95">
        <f t="shared" si="10"/>
        <v>5.2391506081532633</v>
      </c>
      <c r="O22" s="95">
        <f t="shared" si="10"/>
        <v>5.2235193463548812</v>
      </c>
      <c r="P22" s="95">
        <f t="shared" si="10"/>
        <v>5.2109286682450584</v>
      </c>
      <c r="Q22" s="95">
        <f t="shared" si="10"/>
        <v>5.2010820959456581</v>
      </c>
      <c r="R22" s="95">
        <f t="shared" si="7"/>
        <v>5.1937431682302071</v>
      </c>
      <c r="S22" s="95">
        <f t="shared" si="7"/>
        <v>5.1887278553226732</v>
      </c>
      <c r="T22" s="95">
        <f t="shared" si="7"/>
        <v>5.1858985343786514</v>
      </c>
      <c r="U22" s="95">
        <f t="shared" si="7"/>
        <v>5.1851594388177826</v>
      </c>
      <c r="V22" s="95">
        <f t="shared" si="7"/>
        <v>5.1864534791152117</v>
      </c>
      <c r="W22" s="95">
        <f t="shared" si="7"/>
        <v>5.1897603468725819</v>
      </c>
      <c r="X22" s="95">
        <f t="shared" si="7"/>
        <v>5.1950958433605194</v>
      </c>
      <c r="Y22" s="95">
        <f t="shared" si="7"/>
        <v>5.2025124099769986</v>
      </c>
      <c r="Z22" s="95">
        <f t="shared" si="7"/>
        <v>5.2121008761825944</v>
      </c>
      <c r="AA22" s="95">
        <f t="shared" si="7"/>
        <v>5.2239934764542957</v>
      </c>
      <c r="AB22" s="95">
        <f t="shared" si="7"/>
        <v>5.2383682166926109</v>
      </c>
      <c r="AC22" s="95">
        <f t="shared" si="7"/>
        <v>5.2554546842109495</v>
      </c>
      <c r="AD22" s="95">
        <f t="shared" si="7"/>
        <v>5.2755413796706296</v>
      </c>
      <c r="AE22" s="95">
        <f t="shared" si="7"/>
        <v>5.2989845793577004</v>
      </c>
      <c r="AF22" s="95">
        <f t="shared" si="7"/>
        <v>5.3262185707298757</v>
      </c>
      <c r="AG22" s="95">
        <f t="shared" si="7"/>
        <v>5.3577667779262867</v>
      </c>
      <c r="AH22" s="95">
        <f t="shared" si="8"/>
        <v>5.3942527120477415</v>
      </c>
      <c r="AI22" s="95">
        <f t="shared" si="8"/>
        <v>5.4364087251601685</v>
      </c>
      <c r="AJ22" s="95">
        <f t="shared" si="8"/>
        <v>5.4850791182533438</v>
      </c>
      <c r="AK22" s="95">
        <f t="shared" si="8"/>
        <v>5.54121229975188</v>
      </c>
      <c r="AL22" s="95">
        <f t="shared" si="8"/>
        <v>5.6058348782303336</v>
      </c>
      <c r="AM22" s="95">
        <f t="shared" si="8"/>
        <v>5.6800000768873815</v>
      </c>
      <c r="AN22" s="95">
        <f t="shared" si="8"/>
        <v>5.7647059372746607</v>
      </c>
      <c r="AO22" s="95">
        <f t="shared" si="8"/>
        <v>5.8607877309232785</v>
      </c>
      <c r="AP22" s="95">
        <f t="shared" si="8"/>
        <v>5.9688032357956438</v>
      </c>
      <c r="AR22" s="95">
        <f t="shared" si="6"/>
        <v>1</v>
      </c>
    </row>
    <row r="23" spans="1:44" x14ac:dyDescent="0.2">
      <c r="A23" s="95">
        <f t="shared" si="4"/>
        <v>0.45000000000000012</v>
      </c>
      <c r="B23" s="95">
        <f t="shared" si="10"/>
        <v>5.8967468512691532</v>
      </c>
      <c r="C23" s="95">
        <f t="shared" si="10"/>
        <v>5.7912109991237539</v>
      </c>
      <c r="D23" s="95">
        <f t="shared" si="10"/>
        <v>5.6976714343971278</v>
      </c>
      <c r="E23" s="95">
        <f t="shared" si="10"/>
        <v>5.615601104701315</v>
      </c>
      <c r="F23" s="95">
        <f t="shared" si="10"/>
        <v>5.544202710615421</v>
      </c>
      <c r="G23" s="95">
        <f t="shared" si="10"/>
        <v>5.4825113959278102</v>
      </c>
      <c r="H23" s="95">
        <f t="shared" si="10"/>
        <v>5.4294948774680716</v>
      </c>
      <c r="I23" s="95">
        <f t="shared" si="10"/>
        <v>5.3841334444981106</v>
      </c>
      <c r="J23" s="95">
        <f t="shared" si="10"/>
        <v>5.3454737090914213</v>
      </c>
      <c r="K23" s="95">
        <f t="shared" si="10"/>
        <v>5.3126582905630695</v>
      </c>
      <c r="L23" s="95">
        <f t="shared" si="10"/>
        <v>5.2849373606480041</v>
      </c>
      <c r="M23" s="95">
        <f t="shared" si="10"/>
        <v>5.2616683920616047</v>
      </c>
      <c r="N23" s="95">
        <f t="shared" si="10"/>
        <v>5.2423092775349751</v>
      </c>
      <c r="O23" s="95">
        <f t="shared" si="10"/>
        <v>5.2264084335129759</v>
      </c>
      <c r="P23" s="95">
        <f t="shared" si="10"/>
        <v>5.213594152027035</v>
      </c>
      <c r="Q23" s="95">
        <f t="shared" si="10"/>
        <v>5.2035644821940883</v>
      </c>
      <c r="R23" s="95">
        <f t="shared" si="7"/>
        <v>5.1960782836999995</v>
      </c>
      <c r="S23" s="95">
        <f t="shared" si="7"/>
        <v>5.1909477137065432</v>
      </c>
      <c r="T23" s="95">
        <f t="shared" si="7"/>
        <v>5.1880322015630682</v>
      </c>
      <c r="U23" s="95">
        <f t="shared" si="7"/>
        <v>5.1872338675713729</v>
      </c>
      <c r="V23" s="95">
        <f t="shared" si="7"/>
        <v>5.1884943085312889</v>
      </c>
      <c r="W23" s="95">
        <f t="shared" si="7"/>
        <v>5.1917926757612793</v>
      </c>
      <c r="X23" s="95">
        <f t="shared" si="7"/>
        <v>5.1971449936893466</v>
      </c>
      <c r="Y23" s="95">
        <f t="shared" si="7"/>
        <v>5.2046046987285068</v>
      </c>
      <c r="Z23" s="95">
        <f t="shared" si="7"/>
        <v>5.2142644124131667</v>
      </c>
      <c r="AA23" s="95">
        <f t="shared" si="7"/>
        <v>5.2262589942606805</v>
      </c>
      <c r="AB23" s="95">
        <f t="shared" si="7"/>
        <v>5.2407699420452909</v>
      </c>
      <c r="AC23" s="95">
        <f t="shared" si="7"/>
        <v>5.2580312101146598</v>
      </c>
      <c r="AD23" s="95">
        <f t="shared" si="7"/>
        <v>5.2783364833842388</v>
      </c>
      <c r="AE23" s="95">
        <f t="shared" si="7"/>
        <v>5.3020478483061702</v>
      </c>
      <c r="AF23" s="95">
        <f t="shared" si="7"/>
        <v>5.3296055993471496</v>
      </c>
      <c r="AG23" s="95">
        <f t="shared" si="7"/>
        <v>5.3615385473675197</v>
      </c>
      <c r="AH23" s="95">
        <f t="shared" si="8"/>
        <v>5.398473573337415</v>
      </c>
      <c r="AI23" s="95">
        <f t="shared" si="8"/>
        <v>5.4411422157530689</v>
      </c>
      <c r="AJ23" s="95">
        <f t="shared" si="8"/>
        <v>5.4903807698774383</v>
      </c>
      <c r="AK23" s="95">
        <f t="shared" si="8"/>
        <v>5.5471188755733065</v>
      </c>
      <c r="AL23" s="95">
        <f t="shared" si="8"/>
        <v>5.6123504426873296</v>
      </c>
      <c r="AM23" s="95">
        <f t="shared" si="8"/>
        <v>5.6870811860733514</v>
      </c>
      <c r="AN23" s="95">
        <f t="shared" si="8"/>
        <v>5.7722506942027314</v>
      </c>
      <c r="AO23" s="95">
        <f t="shared" si="8"/>
        <v>5.8686350167593613</v>
      </c>
      <c r="AP23" s="95">
        <f t="shared" si="8"/>
        <v>5.9767468512691559</v>
      </c>
      <c r="AR23" s="95">
        <f t="shared" si="6"/>
        <v>0</v>
      </c>
    </row>
    <row r="24" spans="1:44" x14ac:dyDescent="0.2">
      <c r="A24" s="95">
        <f t="shared" si="4"/>
        <v>0.47500000000000014</v>
      </c>
      <c r="B24" s="95">
        <f t="shared" si="10"/>
        <v>5.9063307060625441</v>
      </c>
      <c r="C24" s="95">
        <f t="shared" si="10"/>
        <v>5.8007298387949024</v>
      </c>
      <c r="D24" s="95">
        <f t="shared" si="10"/>
        <v>5.7069620203263307</v>
      </c>
      <c r="E24" s="95">
        <f t="shared" si="10"/>
        <v>5.6245316969226167</v>
      </c>
      <c r="F24" s="95">
        <f t="shared" si="10"/>
        <v>5.5526837955261765</v>
      </c>
      <c r="G24" s="95">
        <f t="shared" si="10"/>
        <v>5.4904964524759698</v>
      </c>
      <c r="H24" s="95">
        <f t="shared" si="10"/>
        <v>5.4369738906224434</v>
      </c>
      <c r="I24" s="95">
        <f t="shared" si="10"/>
        <v>5.391123159859939</v>
      </c>
      <c r="J24" s="95">
        <f t="shared" si="10"/>
        <v>5.3520078845040429</v>
      </c>
      <c r="K24" s="95">
        <f t="shared" si="10"/>
        <v>5.318779720156245</v>
      </c>
      <c r="L24" s="95">
        <f t="shared" si="10"/>
        <v>5.290692184743051</v>
      </c>
      <c r="M24" s="95">
        <f t="shared" si="10"/>
        <v>5.2671024803011512</v>
      </c>
      <c r="N24" s="95">
        <f t="shared" si="10"/>
        <v>5.2474661997305372</v>
      </c>
      <c r="O24" s="95">
        <f t="shared" si="10"/>
        <v>5.2313285213146026</v>
      </c>
      <c r="P24" s="95">
        <f t="shared" si="10"/>
        <v>5.2183142502266104</v>
      </c>
      <c r="Q24" s="95">
        <f t="shared" si="10"/>
        <v>5.2081181041748934</v>
      </c>
      <c r="R24" s="95">
        <f t="shared" si="7"/>
        <v>5.2004959845316119</v>
      </c>
      <c r="S24" s="95">
        <f t="shared" si="7"/>
        <v>5.1952575674234227</v>
      </c>
      <c r="T24" s="95">
        <f t="shared" si="7"/>
        <v>5.1922603186561691</v>
      </c>
      <c r="U24" s="95">
        <f t="shared" si="7"/>
        <v>5.1914049203738442</v>
      </c>
      <c r="V24" s="95">
        <f t="shared" si="7"/>
        <v>5.1926320514920032</v>
      </c>
      <c r="W24" s="95">
        <f t="shared" si="7"/>
        <v>5.195920458766305</v>
      </c>
      <c r="X24" s="95">
        <f t="shared" si="7"/>
        <v>5.2012862723951594</v>
      </c>
      <c r="Y24" s="95">
        <f t="shared" si="7"/>
        <v>5.208783547878693</v>
      </c>
      <c r="Z24" s="95">
        <f t="shared" si="7"/>
        <v>5.2185060468624931</v>
      </c>
      <c r="AA24" s="95">
        <f t="shared" si="7"/>
        <v>5.2305902975150635</v>
      </c>
      <c r="AB24" s="95">
        <f t="shared" si="7"/>
        <v>5.2452199921157217</v>
      </c>
      <c r="AC24" s="95">
        <f t="shared" si="7"/>
        <v>5.2626317747511493</v>
      </c>
      <c r="AD24" s="95">
        <f t="shared" si="7"/>
        <v>5.2831224272778652</v>
      </c>
      <c r="AE24" s="95">
        <f t="shared" si="7"/>
        <v>5.3070573482651158</v>
      </c>
      <c r="AF24" s="95">
        <f t="shared" si="7"/>
        <v>5.3348799940705156</v>
      </c>
      <c r="AG24" s="95">
        <f t="shared" si="7"/>
        <v>5.3671215535198558</v>
      </c>
      <c r="AH24" s="95">
        <f t="shared" si="8"/>
        <v>5.4044094872854815</v>
      </c>
      <c r="AI24" s="95">
        <f t="shared" si="8"/>
        <v>5.44747262472539</v>
      </c>
      <c r="AJ24" s="95">
        <f t="shared" si="8"/>
        <v>5.4971392998451591</v>
      </c>
      <c r="AK24" s="95">
        <f t="shared" si="8"/>
        <v>5.554323753312933</v>
      </c>
      <c r="AL24" s="95">
        <f t="shared" si="8"/>
        <v>5.619995331321725</v>
      </c>
      <c r="AM24" s="95">
        <f t="shared" si="8"/>
        <v>5.6951259505907244</v>
      </c>
      <c r="AN24" s="95">
        <f t="shared" si="8"/>
        <v>5.7806151691360688</v>
      </c>
      <c r="AO24" s="95">
        <f t="shared" si="8"/>
        <v>5.8771995690088579</v>
      </c>
      <c r="AP24" s="95">
        <f t="shared" si="8"/>
        <v>5.9853623313659057</v>
      </c>
      <c r="AR24" s="95">
        <f t="shared" si="6"/>
        <v>0</v>
      </c>
    </row>
    <row r="25" spans="1:44" x14ac:dyDescent="0.2">
      <c r="A25" s="95">
        <f t="shared" si="4"/>
        <v>0.50000000000000011</v>
      </c>
      <c r="B25" s="95">
        <f t="shared" si="10"/>
        <v>5.91657146946031</v>
      </c>
      <c r="C25" s="95">
        <f t="shared" si="10"/>
        <v>5.8109494774971058</v>
      </c>
      <c r="D25" s="95">
        <f t="shared" si="10"/>
        <v>5.7170526077036596</v>
      </c>
      <c r="E25" s="95">
        <f t="shared" si="10"/>
        <v>5.6344026310464548</v>
      </c>
      <c r="F25" s="95">
        <f t="shared" si="10"/>
        <v>5.5622683188985711</v>
      </c>
      <c r="G25" s="95">
        <f t="shared" si="10"/>
        <v>5.4997531231174248</v>
      </c>
      <c r="H25" s="95">
        <f t="shared" si="10"/>
        <v>5.445884079022596</v>
      </c>
      <c r="I25" s="95">
        <f t="shared" si="10"/>
        <v>5.3996864042490431</v>
      </c>
      <c r="J25" s="95">
        <f t="shared" si="10"/>
        <v>5.3602367570719682</v>
      </c>
      <c r="K25" s="95">
        <f t="shared" si="10"/>
        <v>5.3266952447586977</v>
      </c>
      <c r="L25" s="95">
        <f t="shared" si="10"/>
        <v>5.2983202449820235</v>
      </c>
      <c r="M25" s="95">
        <f t="shared" si="10"/>
        <v>5.2744712573508572</v>
      </c>
      <c r="N25" s="95">
        <f t="shared" si="10"/>
        <v>5.2546044857213197</v>
      </c>
      <c r="O25" s="95">
        <f t="shared" si="10"/>
        <v>5.2382646985998988</v>
      </c>
      <c r="P25" s="95">
        <f t="shared" si="10"/>
        <v>5.2250757415073652</v>
      </c>
      <c r="Q25" s="95">
        <f t="shared" si="10"/>
        <v>5.2147311384374335</v>
      </c>
      <c r="R25" s="95">
        <f t="shared" si="7"/>
        <v>5.2069855660333015</v>
      </c>
      <c r="S25" s="95">
        <f t="shared" si="7"/>
        <v>5.201647570406057</v>
      </c>
      <c r="T25" s="95">
        <f t="shared" si="7"/>
        <v>5.1985736570586969</v>
      </c>
      <c r="U25" s="95">
        <f t="shared" si="7"/>
        <v>5.1976637604570985</v>
      </c>
      <c r="V25" s="95">
        <f t="shared" si="7"/>
        <v>5.1988580476870112</v>
      </c>
      <c r="W25" s="95">
        <f t="shared" si="7"/>
        <v>5.2021350008212037</v>
      </c>
      <c r="X25" s="95">
        <f t="shared" si="7"/>
        <v>5.2075107362217343</v>
      </c>
      <c r="Y25" s="95">
        <f t="shared" si="7"/>
        <v>5.2150395441176887</v>
      </c>
      <c r="Z25" s="95">
        <f t="shared" si="7"/>
        <v>5.2248156603730198</v>
      </c>
      <c r="AA25" s="95">
        <f t="shared" si="7"/>
        <v>5.2369763075833156</v>
      </c>
      <c r="AB25" s="95">
        <f t="shared" si="7"/>
        <v>5.2517060565580724</v>
      </c>
      <c r="AC25" s="95">
        <f t="shared" si="7"/>
        <v>5.2692425501771964</v>
      </c>
      <c r="AD25" s="95">
        <f t="shared" si="7"/>
        <v>5.2898835810783789</v>
      </c>
      <c r="AE25" s="95">
        <f t="shared" si="7"/>
        <v>5.3139953937334505</v>
      </c>
      <c r="AF25" s="95">
        <f t="shared" si="7"/>
        <v>5.3420218474269054</v>
      </c>
      <c r="AG25" s="95">
        <f t="shared" si="7"/>
        <v>5.3744936720155252</v>
      </c>
      <c r="AH25" s="95">
        <f t="shared" si="8"/>
        <v>5.4120364089560056</v>
      </c>
      <c r="AI25" s="95">
        <f t="shared" si="8"/>
        <v>5.4553747134575437</v>
      </c>
      <c r="AJ25" s="95">
        <f t="shared" si="8"/>
        <v>5.5053295452817173</v>
      </c>
      <c r="AK25" s="95">
        <f t="shared" si="8"/>
        <v>5.5628036470146842</v>
      </c>
      <c r="AL25" s="95">
        <f t="shared" si="8"/>
        <v>5.6287502033242474</v>
      </c>
      <c r="AM25" s="95">
        <f t="shared" si="8"/>
        <v>5.7041207042578632</v>
      </c>
      <c r="AN25" s="95">
        <f t="shared" si="8"/>
        <v>5.7897919236576403</v>
      </c>
      <c r="AO25" s="95">
        <f t="shared" si="8"/>
        <v>5.8864788991402932</v>
      </c>
      <c r="AP25" s="95">
        <f t="shared" si="8"/>
        <v>5.9946491101007542</v>
      </c>
      <c r="AR25" s="95">
        <f t="shared" si="6"/>
        <v>0</v>
      </c>
    </row>
    <row r="26" spans="1:44" x14ac:dyDescent="0.2">
      <c r="A26" s="95">
        <f t="shared" si="4"/>
        <v>0.52500000000000013</v>
      </c>
      <c r="B26" s="95">
        <f t="shared" si="10"/>
        <v>5.9274684886949593</v>
      </c>
      <c r="C26" s="95">
        <f t="shared" si="10"/>
        <v>5.8218681364376241</v>
      </c>
      <c r="D26" s="95">
        <f t="shared" si="10"/>
        <v>5.7279384975759466</v>
      </c>
      <c r="E26" s="95">
        <f t="shared" si="10"/>
        <v>5.6452053916825253</v>
      </c>
      <c r="F26" s="95">
        <f t="shared" si="10"/>
        <v>5.5729440428960979</v>
      </c>
      <c r="G26" s="95">
        <f t="shared" si="10"/>
        <v>5.5102662512944844</v>
      </c>
      <c r="H26" s="95">
        <f t="shared" si="10"/>
        <v>5.4562084695072706</v>
      </c>
      <c r="I26" s="95">
        <f t="shared" si="10"/>
        <v>5.4098054524779053</v>
      </c>
      <c r="J26" s="95">
        <f t="shared" si="10"/>
        <v>5.3701426937574972</v>
      </c>
      <c r="K26" s="95">
        <f t="shared" si="10"/>
        <v>5.3363878967802814</v>
      </c>
      <c r="L26" s="95">
        <f t="shared" si="10"/>
        <v>5.3078055687533094</v>
      </c>
      <c r="M26" s="95">
        <f t="shared" si="10"/>
        <v>5.2837598883698167</v>
      </c>
      <c r="N26" s="95">
        <f t="shared" si="10"/>
        <v>5.2637104530470715</v>
      </c>
      <c r="O26" s="95">
        <f t="shared" si="10"/>
        <v>5.2472043696117465</v>
      </c>
      <c r="P26" s="95">
        <f t="shared" si="10"/>
        <v>5.2338670054163661</v>
      </c>
      <c r="Q26" s="95">
        <f t="shared" si="10"/>
        <v>5.2233928055372187</v>
      </c>
      <c r="R26" s="95">
        <f t="shared" si="7"/>
        <v>5.2155369464841286</v>
      </c>
      <c r="S26" s="95">
        <f t="shared" si="7"/>
        <v>5.2101081940720677</v>
      </c>
      <c r="T26" s="95">
        <f t="shared" si="7"/>
        <v>5.2069630990387079</v>
      </c>
      <c r="U26" s="95">
        <f t="shared" si="7"/>
        <v>5.2060015419788552</v>
      </c>
      <c r="V26" s="95">
        <f t="shared" si="7"/>
        <v>5.2071635870387301</v>
      </c>
      <c r="W26" s="95">
        <f t="shared" si="7"/>
        <v>5.2104275930229944</v>
      </c>
      <c r="X26" s="95">
        <f t="shared" si="7"/>
        <v>5.2158095427945153</v>
      </c>
      <c r="Y26" s="95">
        <f t="shared" si="7"/>
        <v>5.2233635754641998</v>
      </c>
      <c r="Z26" s="95">
        <f t="shared" si="7"/>
        <v>5.233183732948766</v>
      </c>
      <c r="AA26" s="95">
        <f t="shared" si="7"/>
        <v>5.2454069562929977</v>
      </c>
      <c r="AB26" s="95">
        <f t="shared" si="7"/>
        <v>5.2602173798804168</v>
      </c>
      <c r="AC26" s="95">
        <f t="shared" si="7"/>
        <v>5.2778519618784303</v>
      </c>
      <c r="AD26" s="95">
        <f t="shared" si="7"/>
        <v>5.298607439020846</v>
      </c>
      <c r="AE26" s="95">
        <f t="shared" si="7"/>
        <v>5.3228484751219085</v>
      </c>
      <c r="AF26" s="95">
        <f t="shared" si="7"/>
        <v>5.3510166441298734</v>
      </c>
      <c r="AG26" s="95">
        <f t="shared" si="7"/>
        <v>5.3836394943106978</v>
      </c>
      <c r="AH26" s="95">
        <f t="shared" si="8"/>
        <v>5.421338317396633</v>
      </c>
      <c r="AI26" s="95">
        <f t="shared" si="8"/>
        <v>5.4648323516722108</v>
      </c>
      <c r="AJ26" s="95">
        <f t="shared" si="8"/>
        <v>5.5149360196944421</v>
      </c>
      <c r="AK26" s="95">
        <f t="shared" si="8"/>
        <v>5.5725446748734209</v>
      </c>
      <c r="AL26" s="95">
        <f t="shared" si="8"/>
        <v>5.638603786578293</v>
      </c>
      <c r="AM26" s="95">
        <f t="shared" si="8"/>
        <v>5.7140575276658856</v>
      </c>
      <c r="AN26" s="95">
        <f t="shared" si="8"/>
        <v>5.7997764933570162</v>
      </c>
      <c r="AO26" s="95">
        <f t="shared" si="8"/>
        <v>5.896471197684237</v>
      </c>
      <c r="AP26" s="95">
        <f t="shared" si="8"/>
        <v>6.0046064111037225</v>
      </c>
      <c r="AR26" s="95">
        <f t="shared" si="6"/>
        <v>0</v>
      </c>
    </row>
    <row r="27" spans="1:44" x14ac:dyDescent="0.2">
      <c r="A27" s="95">
        <f t="shared" si="4"/>
        <v>0.55000000000000016</v>
      </c>
      <c r="B27" s="95">
        <f t="shared" si="10"/>
        <v>5.9390209066498993</v>
      </c>
      <c r="C27" s="95">
        <f t="shared" si="10"/>
        <v>5.8334846818020871</v>
      </c>
      <c r="D27" s="95">
        <f t="shared" si="10"/>
        <v>5.7396178420783102</v>
      </c>
      <c r="E27" s="95">
        <f t="shared" si="10"/>
        <v>5.6569370159635941</v>
      </c>
      <c r="F27" s="95">
        <f t="shared" si="10"/>
        <v>5.5847065948047598</v>
      </c>
      <c r="G27" s="95">
        <f t="shared" si="10"/>
        <v>5.522029932845987</v>
      </c>
      <c r="H27" s="95">
        <f t="shared" si="10"/>
        <v>5.4679396967177913</v>
      </c>
      <c r="I27" s="95">
        <f t="shared" si="10"/>
        <v>5.4214717019210248</v>
      </c>
      <c r="J27" s="95">
        <f t="shared" si="10"/>
        <v>5.381716163178246</v>
      </c>
      <c r="K27" s="95">
        <f t="shared" si="10"/>
        <v>5.3478475409063515</v>
      </c>
      <c r="L27" s="95">
        <f t="shared" si="10"/>
        <v>5.3191377092614269</v>
      </c>
      <c r="M27" s="95">
        <f t="shared" si="10"/>
        <v>5.2949578498137226</v>
      </c>
      <c r="N27" s="95">
        <f t="shared" si="10"/>
        <v>5.2747736715658764</v>
      </c>
      <c r="O27" s="95">
        <f t="shared" si="10"/>
        <v>5.2581373076426203</v>
      </c>
      <c r="P27" s="95">
        <f t="shared" si="10"/>
        <v>5.244678078325153</v>
      </c>
      <c r="Q27" s="95">
        <f t="shared" si="10"/>
        <v>5.2340934252199682</v>
      </c>
      <c r="R27" s="95">
        <f t="shared" si="7"/>
        <v>5.2261407201786145</v>
      </c>
      <c r="S27" s="95">
        <f t="shared" si="7"/>
        <v>5.2206302778879392</v>
      </c>
      <c r="T27" s="95">
        <f t="shared" si="7"/>
        <v>5.2174196860944333</v>
      </c>
      <c r="U27" s="95">
        <f t="shared" si="7"/>
        <v>5.21640945681464</v>
      </c>
      <c r="V27" s="95">
        <f t="shared" si="7"/>
        <v>5.2175399557321622</v>
      </c>
      <c r="W27" s="95">
        <f t="shared" si="7"/>
        <v>5.2207895587700364</v>
      </c>
      <c r="X27" s="95">
        <f t="shared" si="7"/>
        <v>5.2261739977013555</v>
      </c>
      <c r="Y27" s="95">
        <f t="shared" si="7"/>
        <v>5.2337468799795577</v>
      </c>
      <c r="Z27" s="95">
        <f t="shared" si="7"/>
        <v>5.2436013944934663</v>
      </c>
      <c r="AA27" s="95">
        <f t="shared" si="7"/>
        <v>5.2558732385443596</v>
      </c>
      <c r="AB27" s="95">
        <f t="shared" si="7"/>
        <v>5.270744814855707</v>
      </c>
      <c r="AC27" s="95">
        <f t="shared" si="7"/>
        <v>5.2884507404133707</v>
      </c>
      <c r="AD27" s="95">
        <f t="shared" si="7"/>
        <v>5.309284664858084</v>
      </c>
      <c r="AE27" s="95">
        <f t="shared" si="7"/>
        <v>5.3336072889448172</v>
      </c>
      <c r="AF27" s="95">
        <f t="shared" si="7"/>
        <v>5.3618552639364827</v>
      </c>
      <c r="AG27" s="95">
        <f t="shared" si="7"/>
        <v>5.3945502859144652</v>
      </c>
      <c r="AH27" s="95">
        <f t="shared" si="8"/>
        <v>5.4323071084848511</v>
      </c>
      <c r="AI27" s="95">
        <f t="shared" si="8"/>
        <v>5.4758383255496428</v>
      </c>
      <c r="AJ27" s="95">
        <f t="shared" si="8"/>
        <v>5.5259526284284668</v>
      </c>
      <c r="AK27" s="95">
        <f t="shared" si="8"/>
        <v>5.5835419995512225</v>
      </c>
      <c r="AL27" s="95">
        <f t="shared" si="8"/>
        <v>5.6495524961515562</v>
      </c>
      <c r="AM27" s="95">
        <f t="shared" si="8"/>
        <v>5.7249339256642111</v>
      </c>
      <c r="AN27" s="95">
        <f t="shared" si="8"/>
        <v>5.8105671945838271</v>
      </c>
      <c r="AO27" s="95">
        <f t="shared" si="8"/>
        <v>5.9071752772058943</v>
      </c>
      <c r="AP27" s="95">
        <f t="shared" si="8"/>
        <v>6.0152332492133604</v>
      </c>
      <c r="AR27" s="95">
        <f t="shared" si="6"/>
        <v>0</v>
      </c>
    </row>
    <row r="28" spans="1:44" x14ac:dyDescent="0.2">
      <c r="A28" s="95">
        <f t="shared" si="4"/>
        <v>0.57500000000000018</v>
      </c>
      <c r="B28" s="95">
        <f t="shared" si="10"/>
        <v>5.9512276633746133</v>
      </c>
      <c r="C28" s="95">
        <f t="shared" si="10"/>
        <v>5.8457986260923782</v>
      </c>
      <c r="D28" s="95">
        <f t="shared" si="10"/>
        <v>5.7520916394719608</v>
      </c>
      <c r="E28" s="95">
        <f t="shared" si="10"/>
        <v>5.6696000681638576</v>
      </c>
      <c r="F28" s="95">
        <f t="shared" si="10"/>
        <v>5.5975594091874648</v>
      </c>
      <c r="G28" s="95">
        <f t="shared" si="10"/>
        <v>5.5350474257695756</v>
      </c>
      <c r="H28" s="95">
        <f t="shared" si="10"/>
        <v>5.4810798927316489</v>
      </c>
      <c r="I28" s="95">
        <f t="shared" si="10"/>
        <v>5.4346855591323049</v>
      </c>
      <c r="J28" s="95">
        <f t="shared" si="10"/>
        <v>5.3949556337935061</v>
      </c>
      <c r="K28" s="95">
        <f t="shared" si="10"/>
        <v>5.3610707924484888</v>
      </c>
      <c r="L28" s="95">
        <f t="shared" si="10"/>
        <v>5.3323116867751272</v>
      </c>
      <c r="M28" s="95">
        <f t="shared" si="10"/>
        <v>5.3080588922655636</v>
      </c>
      <c r="N28" s="95">
        <f t="shared" si="10"/>
        <v>5.2877869444842203</v>
      </c>
      <c r="O28" s="95">
        <f t="shared" si="10"/>
        <v>5.2710556502754748</v>
      </c>
      <c r="P28" s="95">
        <f t="shared" si="10"/>
        <v>5.2575006591343456</v>
      </c>
      <c r="Q28" s="95">
        <f t="shared" si="10"/>
        <v>5.2468244294575515</v>
      </c>
      <c r="R28" s="95">
        <f t="shared" si="7"/>
        <v>5.2387881753579046</v>
      </c>
      <c r="S28" s="95">
        <f t="shared" si="7"/>
        <v>5.2332050503871574</v>
      </c>
      <c r="T28" s="95">
        <f t="shared" si="7"/>
        <v>5.2299346417489607</v>
      </c>
      <c r="U28" s="95">
        <f t="shared" si="7"/>
        <v>5.2288787581711409</v>
      </c>
      <c r="V28" s="95">
        <f t="shared" si="7"/>
        <v>5.2299784599007957</v>
      </c>
      <c r="W28" s="95">
        <f t="shared" si="7"/>
        <v>5.2332122768539238</v>
      </c>
      <c r="X28" s="95">
        <f t="shared" si="7"/>
        <v>5.2385955762772589</v>
      </c>
      <c r="Y28" s="95">
        <f t="shared" si="7"/>
        <v>5.2461810653608421</v>
      </c>
      <c r="Z28" s="95">
        <f t="shared" si="7"/>
        <v>5.2560604410306659</v>
      </c>
      <c r="AA28" s="95">
        <f t="shared" si="7"/>
        <v>5.2683672235580463</v>
      </c>
      <c r="AB28" s="95">
        <f t="shared" si="7"/>
        <v>5.2832808266835096</v>
      </c>
      <c r="AC28" s="95">
        <f t="shared" si="7"/>
        <v>5.3010319158353463</v>
      </c>
      <c r="AD28" s="95">
        <f t="shared" si="7"/>
        <v>5.3219090734760606</v>
      </c>
      <c r="AE28" s="95">
        <f t="shared" si="7"/>
        <v>5.3462667035574984</v>
      </c>
      <c r="AF28" s="95">
        <f t="shared" si="7"/>
        <v>5.3745339292718937</v>
      </c>
      <c r="AG28" s="95">
        <f t="shared" si="7"/>
        <v>5.4072239158690412</v>
      </c>
      <c r="AH28" s="95">
        <f t="shared" si="8"/>
        <v>5.444942510157798</v>
      </c>
      <c r="AI28" s="95">
        <f t="shared" si="8"/>
        <v>5.4883942478627477</v>
      </c>
      <c r="AJ28" s="95">
        <f t="shared" si="8"/>
        <v>5.538382587578182</v>
      </c>
      <c r="AK28" s="95">
        <f t="shared" si="8"/>
        <v>5.5957997703585596</v>
      </c>
      <c r="AL28" s="95">
        <f t="shared" si="8"/>
        <v>5.6616004074362349</v>
      </c>
      <c r="AM28" s="95">
        <f t="shared" si="8"/>
        <v>5.7367528261841443</v>
      </c>
      <c r="AN28" s="95">
        <f t="shared" si="8"/>
        <v>5.8221651333026667</v>
      </c>
      <c r="AO28" s="95">
        <f t="shared" si="8"/>
        <v>5.9185905778354009</v>
      </c>
      <c r="AP28" s="95">
        <f t="shared" si="8"/>
        <v>6.0265284322328982</v>
      </c>
      <c r="AR28" s="95">
        <f t="shared" si="6"/>
        <v>0</v>
      </c>
    </row>
    <row r="29" spans="1:44" x14ac:dyDescent="0.2">
      <c r="A29" s="95">
        <f t="shared" si="4"/>
        <v>0.6000000000000002</v>
      </c>
      <c r="B29" s="95">
        <f t="shared" si="10"/>
        <v>5.9640874977538578</v>
      </c>
      <c r="C29" s="95">
        <f t="shared" si="10"/>
        <v>5.8588101944262574</v>
      </c>
      <c r="D29" s="95">
        <f t="shared" si="10"/>
        <v>5.7653639379190516</v>
      </c>
      <c r="E29" s="95">
        <f t="shared" si="10"/>
        <v>5.6832029435691975</v>
      </c>
      <c r="F29" s="95">
        <f t="shared" si="10"/>
        <v>5.6115140301353339</v>
      </c>
      <c r="G29" s="95">
        <f t="shared" si="10"/>
        <v>5.5493313637044546</v>
      </c>
      <c r="H29" s="95">
        <f t="shared" si="10"/>
        <v>5.4956407795963065</v>
      </c>
      <c r="I29" s="95">
        <f t="shared" si="10"/>
        <v>5.4494564271498858</v>
      </c>
      <c r="J29" s="95">
        <f t="shared" si="10"/>
        <v>5.4098674933541382</v>
      </c>
      <c r="K29" s="95">
        <f t="shared" si="10"/>
        <v>5.3760609063151339</v>
      </c>
      <c r="L29" s="95">
        <f t="shared" si="10"/>
        <v>5.3473278743991424</v>
      </c>
      <c r="M29" s="95">
        <f t="shared" si="10"/>
        <v>5.3230609387644137</v>
      </c>
      <c r="N29" s="95">
        <f t="shared" si="10"/>
        <v>5.3027462259957243</v>
      </c>
      <c r="O29" s="95">
        <f t="shared" si="10"/>
        <v>5.2859538373812045</v>
      </c>
      <c r="P29" s="95">
        <f t="shared" si="10"/>
        <v>5.2723280656638654</v>
      </c>
      <c r="Q29" s="95">
        <f t="shared" si="10"/>
        <v>5.2615783340228877</v>
      </c>
      <c r="R29" s="95">
        <f t="shared" si="7"/>
        <v>5.2534712775171029</v>
      </c>
      <c r="S29" s="95">
        <f t="shared" si="7"/>
        <v>5.2478241209820844</v>
      </c>
      <c r="T29" s="95">
        <f t="shared" si="7"/>
        <v>5.2444993690129058</v>
      </c>
      <c r="U29" s="95">
        <f t="shared" si="7"/>
        <v>5.2434007611963303</v>
      </c>
      <c r="V29" s="95">
        <f t="shared" si="7"/>
        <v>5.2444704271218114</v>
      </c>
      <c r="W29" s="95">
        <f t="shared" si="7"/>
        <v>5.2476871816729584</v>
      </c>
      <c r="X29" s="95">
        <f t="shared" si="7"/>
        <v>5.2530659203116548</v>
      </c>
      <c r="Y29" s="95">
        <f t="shared" si="7"/>
        <v>5.2606580997207359</v>
      </c>
      <c r="Z29" s="95">
        <f t="shared" si="7"/>
        <v>5.2705533168420979</v>
      </c>
      <c r="AA29" s="95">
        <f t="shared" si="7"/>
        <v>5.2828820253614506</v>
      </c>
      <c r="AB29" s="95">
        <f t="shared" si="7"/>
        <v>5.2978194486937831</v>
      </c>
      <c r="AC29" s="95">
        <f t="shared" si="7"/>
        <v>5.3155907558622904</v>
      </c>
      <c r="AD29" s="95">
        <f t="shared" si="7"/>
        <v>5.3364775501831714</v>
      </c>
      <c r="AE29" s="95">
        <f t="shared" si="7"/>
        <v>5.3608256614065404</v>
      </c>
      <c r="AF29" s="95">
        <f t="shared" si="7"/>
        <v>5.3890540981266266</v>
      </c>
      <c r="AG29" s="95">
        <f t="shared" si="7"/>
        <v>5.4216647570081076</v>
      </c>
      <c r="AH29" s="95">
        <f t="shared" si="8"/>
        <v>5.4592520180526733</v>
      </c>
      <c r="AI29" s="95">
        <f t="shared" si="8"/>
        <v>5.5025105665066603</v>
      </c>
      <c r="AJ29" s="95">
        <f t="shared" si="8"/>
        <v>5.5522385418204099</v>
      </c>
      <c r="AK29" s="95">
        <f t="shared" si="8"/>
        <v>5.6093313637044551</v>
      </c>
      <c r="AL29" s="95">
        <f t="shared" si="8"/>
        <v>5.6747595833387026</v>
      </c>
      <c r="AM29" s="95">
        <f t="shared" si="8"/>
        <v>5.7495229030709494</v>
      </c>
      <c r="AN29" s="95">
        <f t="shared" si="8"/>
        <v>5.8345744194934195</v>
      </c>
      <c r="AO29" s="95">
        <f t="shared" si="8"/>
        <v>5.9307172367947949</v>
      </c>
      <c r="AP29" s="95">
        <f t="shared" si="8"/>
        <v>6.0384905628429646</v>
      </c>
      <c r="AR29" s="95">
        <f t="shared" si="6"/>
        <v>0</v>
      </c>
    </row>
    <row r="30" spans="1:44" x14ac:dyDescent="0.2">
      <c r="A30" s="95">
        <f t="shared" si="4"/>
        <v>0.62500000000000022</v>
      </c>
      <c r="B30" s="95">
        <f t="shared" si="10"/>
        <v>5.9775989493264978</v>
      </c>
      <c r="C30" s="95">
        <f t="shared" si="10"/>
        <v>5.8725204661248291</v>
      </c>
      <c r="D30" s="95">
        <f t="shared" si="10"/>
        <v>5.779442275988103</v>
      </c>
      <c r="E30" s="95">
        <f t="shared" si="10"/>
        <v>5.6977605336318762</v>
      </c>
      <c r="F30" s="95">
        <f t="shared" si="10"/>
        <v>5.6265907929350005</v>
      </c>
      <c r="G30" s="95">
        <f t="shared" si="10"/>
        <v>5.5649042749857482</v>
      </c>
      <c r="H30" s="95">
        <f t="shared" si="10"/>
        <v>5.5116439550419143</v>
      </c>
      <c r="I30" s="95">
        <f t="shared" si="10"/>
        <v>5.4658027804139291</v>
      </c>
      <c r="J30" s="95">
        <f t="shared" si="10"/>
        <v>5.4264659785370268</v>
      </c>
      <c r="K30" s="95">
        <f t="shared" si="10"/>
        <v>5.3928276293618627</v>
      </c>
      <c r="L30" s="95">
        <f t="shared" si="10"/>
        <v>5.3641918246734157</v>
      </c>
      <c r="M30" s="95">
        <f t="shared" si="10"/>
        <v>5.3399659174235943</v>
      </c>
      <c r="N30" s="95">
        <f t="shared" si="10"/>
        <v>5.3196504757614083</v>
      </c>
      <c r="O30" s="95">
        <f t="shared" si="10"/>
        <v>5.3028284927847489</v>
      </c>
      <c r="P30" s="95">
        <f t="shared" si="10"/>
        <v>5.2891551428554591</v>
      </c>
      <c r="Q30" s="95">
        <f t="shared" si="10"/>
        <v>5.2783486697040676</v>
      </c>
      <c r="R30" s="95">
        <f t="shared" si="7"/>
        <v>5.2701826190638252</v>
      </c>
      <c r="S30" s="95">
        <f t="shared" si="7"/>
        <v>5.2644794434011128</v>
      </c>
      <c r="T30" s="95">
        <f t="shared" si="7"/>
        <v>5.2611054232260965</v>
      </c>
      <c r="U30" s="95">
        <f t="shared" si="7"/>
        <v>5.2599668212186161</v>
      </c>
      <c r="V30" s="95">
        <f t="shared" si="7"/>
        <v>5.261007186323134</v>
      </c>
      <c r="W30" s="95">
        <f t="shared" si="7"/>
        <v>5.2642057411901453</v>
      </c>
      <c r="X30" s="95">
        <f t="shared" si="7"/>
        <v>5.2695768103684681</v>
      </c>
      <c r="Y30" s="95">
        <f t="shared" si="7"/>
        <v>5.2771702743496318</v>
      </c>
      <c r="Z30" s="95">
        <f t="shared" si="7"/>
        <v>5.2870730634418823</v>
      </c>
      <c r="AA30" s="95">
        <f t="shared" si="7"/>
        <v>5.2994117335265196</v>
      </c>
      <c r="AB30" s="95">
        <f t="shared" si="7"/>
        <v>5.3143561905914103</v>
      </c>
      <c r="AC30" s="95">
        <f t="shared" si="7"/>
        <v>5.3321246485266283</v>
      </c>
      <c r="AD30" s="95">
        <f t="shared" si="7"/>
        <v>5.3529899076658101</v>
      </c>
      <c r="AE30" s="95">
        <f t="shared" si="7"/>
        <v>5.3772870162834181</v>
      </c>
      <c r="AF30" s="95">
        <f t="shared" si="7"/>
        <v>5.4054222981894613</v>
      </c>
      <c r="AG30" s="95">
        <f t="shared" si="7"/>
        <v>5.4378835494267808</v>
      </c>
      <c r="AH30" s="95">
        <f t="shared" si="8"/>
        <v>5.4752508402693962</v>
      </c>
      <c r="AI30" s="95">
        <f t="shared" si="8"/>
        <v>5.5182066584021641</v>
      </c>
      <c r="AJ30" s="95">
        <f t="shared" si="8"/>
        <v>5.5675428719156601</v>
      </c>
      <c r="AK30" s="95">
        <f t="shared" si="8"/>
        <v>5.6241599246118987</v>
      </c>
      <c r="AL30" s="95">
        <f t="shared" si="8"/>
        <v>5.6890507761254412</v>
      </c>
      <c r="AM30" s="95">
        <f t="shared" si="8"/>
        <v>5.7632592562273137</v>
      </c>
      <c r="AN30" s="95">
        <f t="shared" si="8"/>
        <v>5.8478026159300214</v>
      </c>
      <c r="AO30" s="95">
        <f t="shared" si="8"/>
        <v>5.9435562325134956</v>
      </c>
      <c r="AP30" s="95">
        <f t="shared" si="8"/>
        <v>6.0511180406655019</v>
      </c>
      <c r="AR30" s="95">
        <f t="shared" si="6"/>
        <v>0</v>
      </c>
    </row>
    <row r="31" spans="1:44" x14ac:dyDescent="0.2">
      <c r="A31" s="95">
        <f t="shared" si="4"/>
        <v>0.65000000000000024</v>
      </c>
      <c r="B31" s="95">
        <f t="shared" si="10"/>
        <v>5.9917603602503977</v>
      </c>
      <c r="C31" s="95">
        <f t="shared" si="10"/>
        <v>5.8869316137538075</v>
      </c>
      <c r="D31" s="95">
        <f t="shared" si="10"/>
        <v>5.7943384193059071</v>
      </c>
      <c r="E31" s="95">
        <f t="shared" si="10"/>
        <v>5.7132953196445815</v>
      </c>
      <c r="F31" s="95">
        <f t="shared" si="10"/>
        <v>5.6428199260143979</v>
      </c>
      <c r="G31" s="95">
        <f t="shared" si="10"/>
        <v>5.5817994131568156</v>
      </c>
      <c r="H31" s="95">
        <f t="shared" si="10"/>
        <v>5.5291213544229452</v>
      </c>
      <c r="I31" s="95">
        <f t="shared" si="10"/>
        <v>5.4837523033655042</v>
      </c>
      <c r="J31" s="95">
        <f t="shared" si="10"/>
        <v>5.4447730939118015</v>
      </c>
      <c r="K31" s="95">
        <f t="shared" si="10"/>
        <v>5.4113870018797776</v>
      </c>
      <c r="L31" s="95">
        <f t="shared" si="10"/>
        <v>5.3829140290297861</v>
      </c>
      <c r="M31" s="95">
        <f t="shared" si="10"/>
        <v>5.3587795249071188</v>
      </c>
      <c r="N31" s="95">
        <f t="shared" si="10"/>
        <v>5.3385014495693826</v>
      </c>
      <c r="O31" s="95">
        <f t="shared" si="10"/>
        <v>5.3216782503825169</v>
      </c>
      <c r="P31" s="95">
        <f t="shared" si="10"/>
        <v>5.3079781241775148</v>
      </c>
      <c r="Q31" s="95">
        <f t="shared" si="10"/>
        <v>5.2971298746921045</v>
      </c>
      <c r="R31" s="95">
        <f t="shared" si="7"/>
        <v>5.2889153367889126</v>
      </c>
      <c r="S31" s="95">
        <f t="shared" si="7"/>
        <v>5.2831632520653287</v>
      </c>
      <c r="T31" s="95">
        <f t="shared" si="7"/>
        <v>5.2797444614506812</v>
      </c>
      <c r="U31" s="95">
        <f t="shared" si="7"/>
        <v>5.2785682906893436</v>
      </c>
      <c r="V31" s="95">
        <f t="shared" si="7"/>
        <v>5.2795800271389997</v>
      </c>
      <c r="W31" s="95">
        <f t="shared" si="7"/>
        <v>5.2827594136993801</v>
      </c>
      <c r="X31" s="95">
        <f t="shared" si="7"/>
        <v>5.2881201148686472</v>
      </c>
      <c r="Y31" s="95">
        <f t="shared" si="7"/>
        <v>5.2957101397358599</v>
      </c>
      <c r="Z31" s="95">
        <f t="shared" si="7"/>
        <v>5.3056132367884743</v>
      </c>
      <c r="AA31" s="95">
        <f t="shared" si="7"/>
        <v>5.3179513056069334</v>
      </c>
      <c r="AB31" s="95">
        <f t="shared" si="7"/>
        <v>5.3328879005098999</v>
      </c>
      <c r="AC31" s="95">
        <f t="shared" si="7"/>
        <v>5.3506329299242505</v>
      </c>
      <c r="AD31" s="95">
        <f t="shared" si="7"/>
        <v>5.3714486797391645</v>
      </c>
      <c r="AE31" s="95">
        <f t="shared" si="7"/>
        <v>5.3956573019026557</v>
      </c>
      <c r="AF31" s="95">
        <f t="shared" si="7"/>
        <v>5.4236498939840043</v>
      </c>
      <c r="AG31" s="95">
        <f t="shared" si="7"/>
        <v>5.4558972126975309</v>
      </c>
      <c r="AH31" s="95">
        <f t="shared" si="8"/>
        <v>5.4929618303014704</v>
      </c>
      <c r="AI31" s="95">
        <f t="shared" si="8"/>
        <v>5.5355109849697621</v>
      </c>
      <c r="AJ31" s="95">
        <f t="shared" si="8"/>
        <v>5.5843281753807616</v>
      </c>
      <c r="AK31" s="95">
        <f t="shared" si="8"/>
        <v>5.6403192159768283</v>
      </c>
      <c r="AL31" s="95">
        <f t="shared" si="8"/>
        <v>5.7045045457875831</v>
      </c>
      <c r="AM31" s="95">
        <f t="shared" si="8"/>
        <v>5.7779845172399042</v>
      </c>
      <c r="AN31" s="95">
        <f t="shared" si="8"/>
        <v>5.8618614813511094</v>
      </c>
      <c r="AO31" s="95">
        <f t="shared" si="8"/>
        <v>5.9571096256832679</v>
      </c>
      <c r="AP31" s="95">
        <f t="shared" si="8"/>
        <v>6.0644090644744644</v>
      </c>
      <c r="AR31" s="95">
        <f t="shared" si="6"/>
        <v>0</v>
      </c>
    </row>
    <row r="32" spans="1:44" x14ac:dyDescent="0.2">
      <c r="A32" s="95">
        <f t="shared" si="4"/>
        <v>0.67500000000000027</v>
      </c>
      <c r="B32" s="95">
        <f t="shared" si="10"/>
        <v>6.0065698774107332</v>
      </c>
      <c r="C32" s="95">
        <f t="shared" si="10"/>
        <v>5.9020472792955614</v>
      </c>
      <c r="D32" s="95">
        <f t="shared" si="10"/>
        <v>5.8100694963413497</v>
      </c>
      <c r="E32" s="95">
        <f t="shared" si="10"/>
        <v>5.7298390056390351</v>
      </c>
      <c r="F32" s="95">
        <f t="shared" si="10"/>
        <v>5.6602431351734461</v>
      </c>
      <c r="G32" s="95">
        <f t="shared" si="10"/>
        <v>5.6000619037514623</v>
      </c>
      <c r="H32" s="95">
        <f t="shared" si="10"/>
        <v>5.5481158599220519</v>
      </c>
      <c r="I32" s="95">
        <f t="shared" si="10"/>
        <v>5.5033420554165282</v>
      </c>
      <c r="J32" s="95">
        <f t="shared" si="10"/>
        <v>5.4648184890004474</v>
      </c>
      <c r="K32" s="95">
        <f t="shared" si="10"/>
        <v>5.4317610873233075</v>
      </c>
      <c r="L32" s="95">
        <f t="shared" si="10"/>
        <v>5.4035095984661616</v>
      </c>
      <c r="M32" s="95">
        <f t="shared" si="10"/>
        <v>5.3795109156450112</v>
      </c>
      <c r="N32" s="95">
        <f t="shared" si="10"/>
        <v>5.3593034249890517</v>
      </c>
      <c r="O32" s="95">
        <f t="shared" si="10"/>
        <v>5.3425035255877926</v>
      </c>
      <c r="P32" s="95">
        <f t="shared" si="10"/>
        <v>5.328794448002558</v>
      </c>
      <c r="Q32" s="95">
        <f t="shared" si="10"/>
        <v>5.3179171501615521</v>
      </c>
      <c r="R32" s="95">
        <f t="shared" si="7"/>
        <v>5.3096629991094675</v>
      </c>
      <c r="S32" s="95">
        <f t="shared" si="7"/>
        <v>5.3038679731953113</v>
      </c>
      <c r="T32" s="95">
        <f t="shared" si="7"/>
        <v>5.3004081700339185</v>
      </c>
      <c r="U32" s="95">
        <f t="shared" si="7"/>
        <v>5.2991964563256824</v>
      </c>
      <c r="V32" s="95">
        <f t="shared" si="7"/>
        <v>5.3001801401649278</v>
      </c>
      <c r="W32" s="95">
        <f t="shared" si="7"/>
        <v>5.3033395848857481</v>
      </c>
      <c r="X32" s="95">
        <f t="shared" si="7"/>
        <v>5.3086877175296205</v>
      </c>
      <c r="Y32" s="95">
        <f t="shared" si="7"/>
        <v>5.3162704165955539</v>
      </c>
      <c r="Z32" s="95">
        <f t="shared" si="7"/>
        <v>5.3261677946358938</v>
      </c>
      <c r="AA32" s="95">
        <f t="shared" si="7"/>
        <v>5.338496423210902</v>
      </c>
      <c r="AB32" s="95">
        <f t="shared" si="7"/>
        <v>5.3534125825320684</v>
      </c>
      <c r="AC32" s="95">
        <f t="shared" si="7"/>
        <v>5.3711166577934319</v>
      </c>
      <c r="AD32" s="95">
        <f t="shared" si="7"/>
        <v>5.3918588505304292</v>
      </c>
      <c r="AE32" s="95">
        <f t="shared" si="7"/>
        <v>5.4159464264854575</v>
      </c>
      <c r="AF32" s="95">
        <f t="shared" si="7"/>
        <v>5.4437527751731132</v>
      </c>
      <c r="AG32" s="95">
        <f t="shared" si="7"/>
        <v>5.475728585787822</v>
      </c>
      <c r="AH32" s="95">
        <f t="shared" si="8"/>
        <v>5.5124153768683222</v>
      </c>
      <c r="AI32" s="95">
        <f t="shared" si="8"/>
        <v>5.5544612720322002</v>
      </c>
      <c r="AJ32" s="95">
        <f t="shared" si="8"/>
        <v>5.6026378917845197</v>
      </c>
      <c r="AK32" s="95">
        <f t="shared" si="8"/>
        <v>5.6578547810387576</v>
      </c>
      <c r="AL32" s="95">
        <f t="shared" si="8"/>
        <v>5.7211628577074469</v>
      </c>
      <c r="AM32" s="95">
        <f t="shared" si="8"/>
        <v>5.7937304918907273</v>
      </c>
      <c r="AN32" s="95">
        <f t="shared" si="8"/>
        <v>5.876768111438607</v>
      </c>
      <c r="AO32" s="95">
        <f t="shared" si="8"/>
        <v>5.9713809370603439</v>
      </c>
      <c r="AP32" s="95">
        <f t="shared" si="8"/>
        <v>6.0783616345497933</v>
      </c>
      <c r="AR32" s="95">
        <f t="shared" si="6"/>
        <v>0</v>
      </c>
    </row>
    <row r="33" spans="1:44" x14ac:dyDescent="0.2">
      <c r="A33" s="95">
        <f t="shared" si="4"/>
        <v>0.70000000000000029</v>
      </c>
      <c r="B33" s="95">
        <f t="shared" si="10"/>
        <v>6.0220254546698904</v>
      </c>
      <c r="C33" s="95">
        <f t="shared" si="10"/>
        <v>5.9178731555871114</v>
      </c>
      <c r="D33" s="95">
        <f t="shared" si="10"/>
        <v>5.8266597018569684</v>
      </c>
      <c r="E33" s="95">
        <f t="shared" si="10"/>
        <v>5.747434857626077</v>
      </c>
      <c r="F33" s="95">
        <f t="shared" si="10"/>
        <v>5.6789157507463708</v>
      </c>
      <c r="G33" s="95">
        <f t="shared" si="10"/>
        <v>5.6197502019420016</v>
      </c>
      <c r="H33" s="95">
        <f t="shared" si="10"/>
        <v>5.5686820085772943</v>
      </c>
      <c r="I33" s="95">
        <f t="shared" si="10"/>
        <v>5.5246186081196766</v>
      </c>
      <c r="J33" s="95">
        <f t="shared" si="10"/>
        <v>5.486639251184763</v>
      </c>
      <c r="K33" s="95">
        <f t="shared" si="10"/>
        <v>5.45397760337843</v>
      </c>
      <c r="L33" s="95">
        <f t="shared" si="10"/>
        <v>5.4259978510552109</v>
      </c>
      <c r="M33" s="95">
        <f t="shared" si="10"/>
        <v>5.4021723107533965</v>
      </c>
      <c r="N33" s="95">
        <f t="shared" si="10"/>
        <v>5.3820628608369203</v>
      </c>
      <c r="O33" s="95">
        <f t="shared" si="10"/>
        <v>5.3653062333863115</v>
      </c>
      <c r="P33" s="95">
        <f t="shared" si="10"/>
        <v>5.3516025312719409</v>
      </c>
      <c r="Q33" s="95">
        <f t="shared" si="10"/>
        <v>5.3407062816208075</v>
      </c>
      <c r="R33" s="95">
        <f t="shared" si="7"/>
        <v>5.332419465564703</v>
      </c>
      <c r="S33" s="95">
        <f t="shared" si="7"/>
        <v>5.326586112909486</v>
      </c>
      <c r="T33" s="95">
        <f t="shared" si="7"/>
        <v>5.3230881723861767</v>
      </c>
      <c r="U33" s="95">
        <f t="shared" si="7"/>
        <v>5.3218424583495603</v>
      </c>
      <c r="V33" s="95">
        <f t="shared" si="7"/>
        <v>5.3227985399515418</v>
      </c>
      <c r="W33" s="95">
        <f t="shared" si="7"/>
        <v>5.3259374870641496</v>
      </c>
      <c r="X33" s="95">
        <f t="shared" si="7"/>
        <v>5.331271425183246</v>
      </c>
      <c r="Y33" s="95">
        <f t="shared" si="7"/>
        <v>5.3388438841348052</v>
      </c>
      <c r="Z33" s="95">
        <f t="shared" si="7"/>
        <v>5.3487309564482794</v>
      </c>
      <c r="AA33" s="95">
        <f t="shared" si="7"/>
        <v>5.3610433142085725</v>
      </c>
      <c r="AB33" s="95">
        <f t="shared" si="7"/>
        <v>5.3759291718900499</v>
      </c>
      <c r="AC33" s="95">
        <f t="shared" si="7"/>
        <v>5.3935783320786825</v>
      </c>
      <c r="AD33" s="95">
        <f t="shared" si="7"/>
        <v>5.4142275177629493</v>
      </c>
      <c r="AE33" s="95">
        <f t="shared" si="7"/>
        <v>5.4381672871570084</v>
      </c>
      <c r="AF33" s="95">
        <f t="shared" si="7"/>
        <v>5.4657509515062319</v>
      </c>
      <c r="AG33" s="95">
        <f t="shared" si="7"/>
        <v>5.4974060676941727</v>
      </c>
      <c r="AH33" s="95">
        <f t="shared" si="8"/>
        <v>5.5336492084261346</v>
      </c>
      <c r="AI33" s="95">
        <f t="shared" si="8"/>
        <v>5.5751046601581065</v>
      </c>
      <c r="AJ33" s="95">
        <f t="shared" si="8"/>
        <v>5.6225270246022259</v>
      </c>
      <c r="AK33" s="95">
        <f t="shared" si="8"/>
        <v>5.6768254141985608</v>
      </c>
      <c r="AL33" s="95">
        <f t="shared" si="8"/>
        <v>5.7390812408791092</v>
      </c>
      <c r="AM33" s="95">
        <f t="shared" si="8"/>
        <v>5.8105405071921492</v>
      </c>
      <c r="AN33" s="95">
        <f t="shared" si="8"/>
        <v>5.8925466464542255</v>
      </c>
      <c r="AO33" s="95">
        <f t="shared" si="8"/>
        <v>5.9863757302435712</v>
      </c>
      <c r="AP33" s="95">
        <f t="shared" si="8"/>
        <v>6.0929735551719775</v>
      </c>
      <c r="AR33" s="95">
        <f t="shared" si="6"/>
        <v>0</v>
      </c>
    </row>
    <row r="34" spans="1:44" x14ac:dyDescent="0.2">
      <c r="A34" s="95">
        <f t="shared" si="4"/>
        <v>0.72500000000000031</v>
      </c>
      <c r="B34" s="95">
        <f t="shared" si="10"/>
        <v>6.0381248552578679</v>
      </c>
      <c r="C34" s="95">
        <f t="shared" si="10"/>
        <v>5.9344178904239557</v>
      </c>
      <c r="D34" s="95">
        <f t="shared" si="10"/>
        <v>5.8441428402107221</v>
      </c>
      <c r="E34" s="95">
        <f t="shared" si="10"/>
        <v>5.7661409903919782</v>
      </c>
      <c r="F34" s="95">
        <f t="shared" si="10"/>
        <v>5.6989095288868192</v>
      </c>
      <c r="G34" s="95">
        <f t="shared" si="10"/>
        <v>5.6409378300125637</v>
      </c>
      <c r="H34" s="95">
        <f t="shared" si="10"/>
        <v>5.5908867207949307</v>
      </c>
      <c r="I34" s="95">
        <f t="shared" si="10"/>
        <v>5.5476380795516063</v>
      </c>
      <c r="J34" s="95">
        <f t="shared" si="10"/>
        <v>5.5102795610693107</v>
      </c>
      <c r="K34" s="95">
        <f t="shared" si="10"/>
        <v>5.4780694227071614</v>
      </c>
      <c r="L34" s="95">
        <f t="shared" si="10"/>
        <v>5.4504017905087405</v>
      </c>
      <c r="M34" s="95">
        <f t="shared" si="10"/>
        <v>5.4267785207366259</v>
      </c>
      <c r="N34" s="95">
        <f t="shared" si="10"/>
        <v>5.4067879899343279</v>
      </c>
      <c r="O34" s="95">
        <f t="shared" si="10"/>
        <v>5.39008945506915</v>
      </c>
      <c r="P34" s="95">
        <f t="shared" si="10"/>
        <v>5.3764015035003228</v>
      </c>
      <c r="Q34" s="95">
        <f t="shared" si="10"/>
        <v>5.3654934292501313</v>
      </c>
      <c r="R34" s="95">
        <f t="shared" si="7"/>
        <v>5.3571787215882578</v>
      </c>
      <c r="S34" s="95">
        <f t="shared" si="7"/>
        <v>5.3513101250372994</v>
      </c>
      <c r="T34" s="95">
        <f t="shared" si="7"/>
        <v>5.3477759194230341</v>
      </c>
      <c r="U34" s="95">
        <f t="shared" si="7"/>
        <v>5.3464971940867869</v>
      </c>
      <c r="V34" s="95">
        <f t="shared" si="7"/>
        <v>5.3474259729335953</v>
      </c>
      <c r="W34" s="95">
        <f t="shared" si="7"/>
        <v>5.3505441028490752</v>
      </c>
      <c r="X34" s="95">
        <f t="shared" si="7"/>
        <v>5.3558628583976793</v>
      </c>
      <c r="Y34" s="95">
        <f t="shared" si="7"/>
        <v>5.363423248230152</v>
      </c>
      <c r="Z34" s="95">
        <f t="shared" si="7"/>
        <v>5.3732970388480856</v>
      </c>
      <c r="AA34" s="95">
        <f t="shared" si="7"/>
        <v>5.3855885442206608</v>
      </c>
      <c r="AB34" s="95">
        <f t="shared" si="7"/>
        <v>5.4004372708064787</v>
      </c>
      <c r="AC34" s="95">
        <f t="shared" si="7"/>
        <v>5.4180215644373844</v>
      </c>
      <c r="AD34" s="95">
        <f t="shared" si="7"/>
        <v>5.4385634894996704</v>
      </c>
      <c r="AE34" s="95">
        <f t="shared" si="7"/>
        <v>5.4623352981129907</v>
      </c>
      <c r="AF34" s="95">
        <f t="shared" si="7"/>
        <v>5.4896680385319501</v>
      </c>
      <c r="AG34" s="95">
        <f t="shared" si="7"/>
        <v>5.52096312708571</v>
      </c>
      <c r="AH34" s="95">
        <f t="shared" si="8"/>
        <v>5.5567080590180682</v>
      </c>
      <c r="AI34" s="95">
        <f t="shared" si="8"/>
        <v>5.5974977506449397</v>
      </c>
      <c r="AJ34" s="95">
        <f t="shared" si="8"/>
        <v>5.6440628816201244</v>
      </c>
      <c r="AK34" s="95">
        <f t="shared" si="8"/>
        <v>5.6973049095846928</v>
      </c>
      <c r="AL34" s="95">
        <f t="shared" si="8"/>
        <v>5.7583315983472172</v>
      </c>
      <c r="AM34" s="95">
        <f t="shared" si="8"/>
        <v>5.8284727045546445</v>
      </c>
      <c r="AN34" s="95">
        <f t="shared" si="8"/>
        <v>5.9092308179479396</v>
      </c>
      <c r="AO34" s="95">
        <f t="shared" si="8"/>
        <v>6.0021025168964197</v>
      </c>
      <c r="AP34" s="95">
        <f t="shared" si="8"/>
        <v>6.1082424372553934</v>
      </c>
      <c r="AR34" s="95">
        <f t="shared" si="6"/>
        <v>0</v>
      </c>
    </row>
    <row r="35" spans="1:44" x14ac:dyDescent="0.2">
      <c r="A35" s="95">
        <f t="shared" si="4"/>
        <v>0.75000000000000033</v>
      </c>
      <c r="B35" s="95">
        <f t="shared" si="10"/>
        <v>6.0548656543028354</v>
      </c>
      <c r="C35" s="95">
        <f t="shared" si="10"/>
        <v>5.9516945204044642</v>
      </c>
      <c r="D35" s="95">
        <f t="shared" si="10"/>
        <v>5.8625661497398758</v>
      </c>
      <c r="E35" s="95">
        <f t="shared" si="10"/>
        <v>5.7860349376022784</v>
      </c>
      <c r="F35" s="95">
        <f t="shared" si="10"/>
        <v>5.7203161884078195</v>
      </c>
      <c r="G35" s="95">
        <f t="shared" si="10"/>
        <v>5.6637153132722418</v>
      </c>
      <c r="H35" s="95">
        <f t="shared" si="10"/>
        <v>5.6148099278720949</v>
      </c>
      <c r="I35" s="95">
        <f t="shared" si="10"/>
        <v>5.5724659666450984</v>
      </c>
      <c r="J35" s="95">
        <f t="shared" si="10"/>
        <v>5.5357901467923938</v>
      </c>
      <c r="K35" s="95">
        <f t="shared" si="10"/>
        <v>5.5040739090702155</v>
      </c>
      <c r="L35" s="95">
        <f t="shared" si="10"/>
        <v>5.4767474604808939</v>
      </c>
      <c r="M35" s="95">
        <f t="shared" si="10"/>
        <v>5.4533463774341655</v>
      </c>
      <c r="N35" s="95">
        <f t="shared" si="10"/>
        <v>5.4334883460678585</v>
      </c>
      <c r="O35" s="95">
        <f t="shared" si="10"/>
        <v>5.4168570569126162</v>
      </c>
      <c r="P35" s="95">
        <f t="shared" si="10"/>
        <v>5.4031909051138864</v>
      </c>
      <c r="Q35" s="95">
        <f t="shared" si="10"/>
        <v>5.3922748911677729</v>
      </c>
      <c r="R35" s="95">
        <f t="shared" si="7"/>
        <v>5.383934692139813</v>
      </c>
      <c r="S35" s="95">
        <f t="shared" si="7"/>
        <v>5.378032261816303</v>
      </c>
      <c r="T35" s="95">
        <f t="shared" si="7"/>
        <v>5.3744625654926805</v>
      </c>
      <c r="U35" s="95">
        <f t="shared" si="7"/>
        <v>5.3731512085217608</v>
      </c>
      <c r="V35" s="95">
        <f t="shared" si="7"/>
        <v>5.3740528128088307</v>
      </c>
      <c r="W35" s="95">
        <f t="shared" si="7"/>
        <v>5.3771500558400289</v>
      </c>
      <c r="X35" s="95">
        <f t="shared" si="7"/>
        <v>5.3824533277018523</v>
      </c>
      <c r="Y35" s="95">
        <f t="shared" si="7"/>
        <v>5.3900009926612604</v>
      </c>
      <c r="Z35" s="95">
        <f t="shared" si="7"/>
        <v>5.399860270131585</v>
      </c>
      <c r="AA35" s="95">
        <f t="shared" si="7"/>
        <v>5.4121287812643484</v>
      </c>
      <c r="AB35" s="95">
        <f t="shared" si="7"/>
        <v>5.4269368488911978</v>
      </c>
      <c r="AC35" s="95">
        <f t="shared" si="7"/>
        <v>5.4444506998668203</v>
      </c>
      <c r="AD35" s="95">
        <f t="shared" si="7"/>
        <v>5.4648768151584557</v>
      </c>
      <c r="AE35" s="95">
        <f t="shared" si="7"/>
        <v>5.4884678279263923</v>
      </c>
      <c r="AF35" s="95">
        <f t="shared" si="7"/>
        <v>5.5155306186938367</v>
      </c>
      <c r="AG35" s="95">
        <f t="shared" si="7"/>
        <v>5.5464376466474885</v>
      </c>
      <c r="AH35" s="95">
        <f t="shared" si="8"/>
        <v>5.5816431320277546</v>
      </c>
      <c r="AI35" s="95">
        <f t="shared" si="8"/>
        <v>5.621706448053942</v>
      </c>
      <c r="AJ35" s="95">
        <f t="shared" si="8"/>
        <v>5.6673257126988972</v>
      </c>
      <c r="AK35" s="95">
        <f t="shared" si="8"/>
        <v>5.7193840063434367</v>
      </c>
      <c r="AL35" s="95">
        <f t="shared" si="8"/>
        <v>5.7790057516671709</v>
      </c>
      <c r="AM35" s="95">
        <f t="shared" si="8"/>
        <v>5.8476046151387191</v>
      </c>
      <c r="AN35" s="95">
        <f t="shared" si="8"/>
        <v>5.9268677759429007</v>
      </c>
      <c r="AO35" s="95">
        <f t="shared" si="8"/>
        <v>6.0185741915374145</v>
      </c>
      <c r="AP35" s="95">
        <f t="shared" si="8"/>
        <v>6.1241657011193062</v>
      </c>
      <c r="AR35" s="95">
        <f t="shared" si="6"/>
        <v>0</v>
      </c>
    </row>
    <row r="36" spans="1:44" x14ac:dyDescent="0.2">
      <c r="A36" s="95">
        <f t="shared" si="4"/>
        <v>0.77500000000000036</v>
      </c>
      <c r="B36" s="95">
        <f t="shared" si="10"/>
        <v>6.0722452415020882</v>
      </c>
      <c r="C36" s="95">
        <f t="shared" si="10"/>
        <v>5.9697228127574231</v>
      </c>
      <c r="D36" s="95">
        <f t="shared" si="10"/>
        <v>5.8819961304717285</v>
      </c>
      <c r="E36" s="95">
        <f t="shared" si="10"/>
        <v>5.8072199504827049</v>
      </c>
      <c r="F36" s="95">
        <f t="shared" si="10"/>
        <v>5.743251710548356</v>
      </c>
      <c r="G36" s="95">
        <f t="shared" si="10"/>
        <v>5.6881921454971556</v>
      </c>
      <c r="H36" s="95">
        <f t="shared" si="10"/>
        <v>5.6405449192187316</v>
      </c>
      <c r="I36" s="95">
        <f t="shared" si="10"/>
        <v>5.5991766506422671</v>
      </c>
      <c r="J36" s="95">
        <f t="shared" si="10"/>
        <v>5.5632274667753192</v>
      </c>
      <c r="K36" s="95">
        <f t="shared" si="10"/>
        <v>5.5320320552393065</v>
      </c>
      <c r="L36" s="95">
        <f t="shared" si="10"/>
        <v>5.5050631621702077</v>
      </c>
      <c r="M36" s="95">
        <f t="shared" si="10"/>
        <v>5.4818940735431196</v>
      </c>
      <c r="N36" s="95">
        <f t="shared" si="10"/>
        <v>5.4621742283163268</v>
      </c>
      <c r="O36" s="95">
        <f t="shared" si="10"/>
        <v>5.4456132656942469</v>
      </c>
      <c r="P36" s="95">
        <f t="shared" si="10"/>
        <v>5.4319703552438696</v>
      </c>
      <c r="Q36" s="95">
        <f t="shared" si="10"/>
        <v>5.4210468443504016</v>
      </c>
      <c r="R36" s="95">
        <f t="shared" ref="R36:AG45" si="11">wa*SQRT((xa-x)^2+(ya-y)^2)+wb*SQRT((xb-x)^2+(yb-y)^2)+wc*SQRT((xc-x)^2+(yc-y)^2)+wd*SQRT((xd-x)^2+(yd-y)^2)</f>
        <v>5.4126810383395449</v>
      </c>
      <c r="S36" s="95">
        <f t="shared" si="11"/>
        <v>5.4067444110600631</v>
      </c>
      <c r="T36" s="95">
        <f t="shared" si="11"/>
        <v>5.4031388329416403</v>
      </c>
      <c r="U36" s="95">
        <f t="shared" si="11"/>
        <v>5.401794574689319</v>
      </c>
      <c r="V36" s="95">
        <f t="shared" si="11"/>
        <v>5.4026689461531987</v>
      </c>
      <c r="W36" s="95">
        <f t="shared" si="11"/>
        <v>5.4057454911938141</v>
      </c>
      <c r="X36" s="95">
        <f t="shared" si="11"/>
        <v>5.4110336985445313</v>
      </c>
      <c r="Y36" s="95">
        <f t="shared" si="11"/>
        <v>5.4185692169502193</v>
      </c>
      <c r="Z36" s="95">
        <f t="shared" si="11"/>
        <v>5.4284145879504901</v>
      </c>
      <c r="AA36" s="95">
        <f t="shared" si="11"/>
        <v>5.4406605382255089</v>
      </c>
      <c r="AB36" s="95">
        <f t="shared" si="11"/>
        <v>5.455427913146683</v>
      </c>
      <c r="AC36" s="95">
        <f t="shared" si="11"/>
        <v>5.4728703952641773</v>
      </c>
      <c r="AD36" s="95">
        <f t="shared" si="11"/>
        <v>5.4931782538855725</v>
      </c>
      <c r="AE36" s="95">
        <f t="shared" si="11"/>
        <v>5.5165835442585358</v>
      </c>
      <c r="AF36" s="95">
        <f t="shared" si="11"/>
        <v>5.5433674653304816</v>
      </c>
      <c r="AG36" s="95">
        <f t="shared" si="11"/>
        <v>5.5738710685450865</v>
      </c>
      <c r="AH36" s="95">
        <f t="shared" ref="AH36:AP45" si="12">wa*SQRT((xa-x)^2+(ya-y)^2)+wb*SQRT((xb-x)^2+(yb-y)^2)+wc*SQRT((xc-x)^2+(yc-y)^2)+wd*SQRT((xd-x)^2+(yd-y)^2)</f>
        <v>5.6085112914068436</v>
      </c>
      <c r="AI36" s="95">
        <f t="shared" si="12"/>
        <v>5.647805474633703</v>
      </c>
      <c r="AJ36" s="95">
        <f t="shared" si="12"/>
        <v>5.6924090658299127</v>
      </c>
      <c r="AK36" s="95">
        <f t="shared" si="12"/>
        <v>5.7431723620370168</v>
      </c>
      <c r="AL36" s="95">
        <f t="shared" si="12"/>
        <v>5.8012197470507312</v>
      </c>
      <c r="AM36" s="95">
        <f t="shared" si="12"/>
        <v>5.8680394628907599</v>
      </c>
      <c r="AN36" s="95">
        <f t="shared" si="12"/>
        <v>5.9455239189713636</v>
      </c>
      <c r="AO36" s="95">
        <f t="shared" si="12"/>
        <v>6.0358103741786193</v>
      </c>
      <c r="AP36" s="95">
        <f t="shared" si="12"/>
        <v>6.1407405793960983</v>
      </c>
      <c r="AR36" s="95">
        <f t="shared" si="6"/>
        <v>0</v>
      </c>
    </row>
    <row r="37" spans="1:44" x14ac:dyDescent="0.2">
      <c r="A37" s="95">
        <f t="shared" si="4"/>
        <v>0.80000000000000038</v>
      </c>
      <c r="B37" s="95">
        <f t="shared" si="10"/>
        <v>6.0902608239341198</v>
      </c>
      <c r="C37" s="95">
        <f t="shared" si="10"/>
        <v>5.9885332368356821</v>
      </c>
      <c r="D37" s="95">
        <f t="shared" si="10"/>
        <v>5.9025275678760423</v>
      </c>
      <c r="E37" s="95">
        <f t="shared" si="10"/>
        <v>5.8298335650265996</v>
      </c>
      <c r="F37" s="95">
        <f t="shared" si="10"/>
        <v>5.767861287485859</v>
      </c>
      <c r="G37" s="95">
        <f t="shared" si="10"/>
        <v>5.7144984763499123</v>
      </c>
      <c r="H37" s="95">
        <f t="shared" si="10"/>
        <v>5.6681981596739064</v>
      </c>
      <c r="I37" s="95">
        <f t="shared" si="10"/>
        <v>5.6278524287590628</v>
      </c>
      <c r="J37" s="95">
        <f t="shared" si="10"/>
        <v>5.5926525496093369</v>
      </c>
      <c r="K37" s="95">
        <f t="shared" si="10"/>
        <v>5.5619873945964899</v>
      </c>
      <c r="L37" s="95">
        <f t="shared" si="10"/>
        <v>5.535378528583248</v>
      </c>
      <c r="M37" s="95">
        <f t="shared" si="10"/>
        <v>5.5124404125136852</v>
      </c>
      <c r="N37" s="95">
        <f t="shared" si="10"/>
        <v>5.4928561089643946</v>
      </c>
      <c r="O37" s="95">
        <f t="shared" si="10"/>
        <v>5.47636220792013</v>
      </c>
      <c r="P37" s="95">
        <f t="shared" si="10"/>
        <v>5.4627391953654074</v>
      </c>
      <c r="Q37" s="95">
        <f t="shared" ref="Q37:Q45" si="13">wa*SQRT((xa-x)^2+(ya-y)^2)+wb*SQRT((xb-x)^2+(yb-y)^2)+wc*SQRT((xc-x)^2+(yc-y)^2)+wd*SQRT((xd-x)^2+(yd-y)^2)</f>
        <v>5.4518050687491142</v>
      </c>
      <c r="R37" s="95">
        <f t="shared" si="11"/>
        <v>5.443410941787393</v>
      </c>
      <c r="S37" s="95">
        <f t="shared" si="11"/>
        <v>5.4374379237577539</v>
      </c>
      <c r="T37" s="95">
        <f t="shared" si="11"/>
        <v>5.4337948687517521</v>
      </c>
      <c r="U37" s="95">
        <f t="shared" si="11"/>
        <v>5.4324167670172283</v>
      </c>
      <c r="V37" s="95">
        <f t="shared" si="11"/>
        <v>5.4332636512765244</v>
      </c>
      <c r="W37" s="95">
        <f t="shared" si="11"/>
        <v>5.4363199491875784</v>
      </c>
      <c r="X37" s="95">
        <f t="shared" si="11"/>
        <v>5.4415942484014677</v>
      </c>
      <c r="Y37" s="95">
        <f t="shared" si="11"/>
        <v>5.4491194647387191</v>
      </c>
      <c r="Z37" s="95">
        <f t="shared" si="11"/>
        <v>5.4589534248017495</v>
      </c>
      <c r="AA37" s="95">
        <f t="shared" si="11"/>
        <v>5.4711798986487405</v>
      </c>
      <c r="AB37" s="95">
        <f t="shared" si="11"/>
        <v>5.4859101539141033</v>
      </c>
      <c r="AC37" s="95">
        <f t="shared" si="11"/>
        <v>5.5032851617322844</v>
      </c>
      <c r="AD37" s="95">
        <f t="shared" si="11"/>
        <v>5.5234786864473806</v>
      </c>
      <c r="AE37" s="95">
        <f t="shared" si="11"/>
        <v>5.5467016687247117</v>
      </c>
      <c r="AF37" s="95">
        <f t="shared" si="11"/>
        <v>5.5732086229229649</v>
      </c>
      <c r="AG37" s="95">
        <f t="shared" si="11"/>
        <v>5.6033073129323379</v>
      </c>
      <c r="AH37" s="95">
        <f t="shared" si="12"/>
        <v>5.6373739091593329</v>
      </c>
      <c r="AI37" s="95">
        <f t="shared" si="12"/>
        <v>5.6758774098720925</v>
      </c>
      <c r="AJ37" s="95">
        <f t="shared" si="12"/>
        <v>5.7194196120875995</v>
      </c>
      <c r="AK37" s="95">
        <f t="shared" si="12"/>
        <v>5.768800246838782</v>
      </c>
      <c r="AL37" s="95">
        <f t="shared" si="12"/>
        <v>5.8251188092476447</v>
      </c>
      <c r="AM37" s="95">
        <f t="shared" si="12"/>
        <v>5.8899147353900823</v>
      </c>
      <c r="AN37" s="95">
        <f t="shared" si="12"/>
        <v>5.965293919774993</v>
      </c>
      <c r="AO37" s="95">
        <f t="shared" si="12"/>
        <v>6.053841382522771</v>
      </c>
      <c r="AP37" s="95">
        <f t="shared" si="12"/>
        <v>6.1579641200768123</v>
      </c>
      <c r="AR37" s="95">
        <f t="shared" si="6"/>
        <v>0</v>
      </c>
    </row>
    <row r="38" spans="1:44" x14ac:dyDescent="0.2">
      <c r="A38" s="95">
        <f t="shared" si="4"/>
        <v>0.8250000000000004</v>
      </c>
      <c r="B38" s="95">
        <f t="shared" ref="B38:P45" si="14">wa*SQRT((xa-x)^2+(ya-y)^2)+wb*SQRT((xb-x)^2+(yb-y)^2)+wc*SQRT((xc-x)^2+(yc-y)^2)+wd*SQRT((xd-x)^2+(yd-y)^2)</f>
        <v>6.1089094290129786</v>
      </c>
      <c r="C38" s="95">
        <f t="shared" si="14"/>
        <v>6.0081740150523411</v>
      </c>
      <c r="D38" s="95">
        <f t="shared" si="14"/>
        <v>5.9242977236138792</v>
      </c>
      <c r="E38" s="95">
        <f t="shared" si="14"/>
        <v>5.8540589653205091</v>
      </c>
      <c r="F38" s="95">
        <f t="shared" si="14"/>
        <v>5.794324506664247</v>
      </c>
      <c r="G38" s="95">
        <f t="shared" si="14"/>
        <v>5.7427860142482094</v>
      </c>
      <c r="H38" s="95">
        <f t="shared" si="14"/>
        <v>5.6978882542584657</v>
      </c>
      <c r="I38" s="95">
        <f t="shared" si="14"/>
        <v>5.6585819147386065</v>
      </c>
      <c r="J38" s="95">
        <f t="shared" si="14"/>
        <v>5.6241294291678487</v>
      </c>
      <c r="K38" s="95">
        <f t="shared" si="14"/>
        <v>5.5939846699930671</v>
      </c>
      <c r="L38" s="95">
        <f t="shared" si="14"/>
        <v>5.5677234578707182</v>
      </c>
      <c r="M38" s="95">
        <f t="shared" si="14"/>
        <v>5.545003977635993</v>
      </c>
      <c r="N38" s="95">
        <f t="shared" si="14"/>
        <v>5.5255439949617102</v>
      </c>
      <c r="O38" s="95">
        <f t="shared" si="14"/>
        <v>5.5091074218845888</v>
      </c>
      <c r="P38" s="95">
        <f t="shared" si="14"/>
        <v>5.4954961165045608</v>
      </c>
      <c r="Q38" s="95">
        <f t="shared" si="13"/>
        <v>5.4845446609374235</v>
      </c>
      <c r="R38" s="95">
        <f t="shared" si="11"/>
        <v>5.4761168817346038</v>
      </c>
      <c r="S38" s="95">
        <f t="shared" si="11"/>
        <v>5.4701034363771228</v>
      </c>
      <c r="T38" s="95">
        <f t="shared" si="11"/>
        <v>5.4664200968969814</v>
      </c>
      <c r="U38" s="95">
        <f t="shared" si="11"/>
        <v>5.4650065309016647</v>
      </c>
      <c r="V38" s="95">
        <f t="shared" si="11"/>
        <v>5.4658254734777021</v>
      </c>
      <c r="W38" s="95">
        <f t="shared" si="11"/>
        <v>5.4688622350462248</v>
      </c>
      <c r="X38" s="95">
        <f t="shared" si="11"/>
        <v>5.4741245196616077</v>
      </c>
      <c r="Y38" s="95">
        <f t="shared" si="11"/>
        <v>5.4816425469483034</v>
      </c>
      <c r="Z38" s="95">
        <f t="shared" si="11"/>
        <v>5.4914694864578522</v>
      </c>
      <c r="AA38" s="95">
        <f t="shared" si="11"/>
        <v>5.5036822321387282</v>
      </c>
      <c r="AB38" s="95">
        <f t="shared" si="11"/>
        <v>5.518382574434419</v>
      </c>
      <c r="AC38" s="95">
        <f t="shared" si="11"/>
        <v>5.5356988797020721</v>
      </c>
      <c r="AD38" s="95">
        <f t="shared" si="11"/>
        <v>5.5557884805539528</v>
      </c>
      <c r="AE38" s="95">
        <f t="shared" si="11"/>
        <v>5.5788411507018782</v>
      </c>
      <c r="AF38" s="95">
        <f t="shared" si="11"/>
        <v>5.6050843459956301</v>
      </c>
      <c r="AG38" s="95">
        <f t="shared" si="11"/>
        <v>5.634791453108301</v>
      </c>
      <c r="AH38" s="95">
        <f t="shared" si="12"/>
        <v>5.6682953072525919</v>
      </c>
      <c r="AI38" s="95">
        <f t="shared" si="12"/>
        <v>5.7060110979881369</v>
      </c>
      <c r="AJ38" s="95">
        <f t="shared" si="12"/>
        <v>5.7484761169967529</v>
      </c>
      <c r="AK38" s="95">
        <f t="shared" si="12"/>
        <v>5.7964194521940229</v>
      </c>
      <c r="AL38" s="95">
        <f t="shared" si="12"/>
        <v>5.8508825304167038</v>
      </c>
      <c r="AM38" s="95">
        <f t="shared" si="12"/>
        <v>5.9134135502371628</v>
      </c>
      <c r="AN38" s="95">
        <f t="shared" si="12"/>
        <v>5.9863149176997803</v>
      </c>
      <c r="AO38" s="95">
        <f t="shared" si="12"/>
        <v>6.0727152835164997</v>
      </c>
      <c r="AP38" s="95">
        <f t="shared" si="12"/>
        <v>6.1758331896945782</v>
      </c>
      <c r="AR38" s="95">
        <f t="shared" si="6"/>
        <v>0</v>
      </c>
    </row>
    <row r="39" spans="1:44" x14ac:dyDescent="0.2">
      <c r="A39" s="95">
        <f t="shared" si="4"/>
        <v>0.85000000000000042</v>
      </c>
      <c r="B39" s="95">
        <f t="shared" si="14"/>
        <v>6.1281879075862538</v>
      </c>
      <c r="C39" s="95">
        <f t="shared" si="14"/>
        <v>6.0287243444729901</v>
      </c>
      <c r="D39" s="95">
        <f t="shared" si="14"/>
        <v>5.9475088844547148</v>
      </c>
      <c r="E39" s="95">
        <f t="shared" si="14"/>
        <v>5.8801393168384921</v>
      </c>
      <c r="F39" s="95">
        <f t="shared" si="14"/>
        <v>5.8228598084487917</v>
      </c>
      <c r="G39" s="95">
        <f t="shared" si="14"/>
        <v>5.7732273887521597</v>
      </c>
      <c r="H39" s="95">
        <f t="shared" si="14"/>
        <v>5.7297436838189348</v>
      </c>
      <c r="I39" s="95">
        <f t="shared" si="14"/>
        <v>5.6914576639788521</v>
      </c>
      <c r="J39" s="95">
        <f t="shared" si="14"/>
        <v>5.6577231368176202</v>
      </c>
      <c r="K39" s="95">
        <f t="shared" si="14"/>
        <v>5.6280682622840965</v>
      </c>
      <c r="L39" s="95">
        <f t="shared" si="14"/>
        <v>5.602126920381159</v>
      </c>
      <c r="M39" s="95">
        <f t="shared" si="14"/>
        <v>5.5796022364410742</v>
      </c>
      <c r="N39" s="95">
        <f t="shared" si="14"/>
        <v>5.5602467570674428</v>
      </c>
      <c r="O39" s="95">
        <f t="shared" si="14"/>
        <v>5.5438513540223333</v>
      </c>
      <c r="P39" s="95">
        <f t="shared" si="14"/>
        <v>5.5302387790295402</v>
      </c>
      <c r="Q39" s="95">
        <f t="shared" si="13"/>
        <v>5.5192597443402382</v>
      </c>
      <c r="R39" s="95">
        <f t="shared" si="11"/>
        <v>5.5107904106710066</v>
      </c>
      <c r="S39" s="95">
        <f t="shared" si="11"/>
        <v>5.5047306923688133</v>
      </c>
      <c r="T39" s="95">
        <f t="shared" si="11"/>
        <v>5.5010030702068722</v>
      </c>
      <c r="U39" s="95">
        <f t="shared" si="11"/>
        <v>5.4995517518947725</v>
      </c>
      <c r="V39" s="95">
        <f t="shared" si="11"/>
        <v>5.5003420999434418</v>
      </c>
      <c r="W39" s="95">
        <f t="shared" si="11"/>
        <v>5.5033602884053945</v>
      </c>
      <c r="X39" s="95">
        <f t="shared" si="11"/>
        <v>5.5086131720634617</v>
      </c>
      <c r="Y39" s="95">
        <f t="shared" si="11"/>
        <v>5.5161283641983321</v>
      </c>
      <c r="Z39" s="95">
        <f t="shared" si="11"/>
        <v>5.5259545288706269</v>
      </c>
      <c r="AA39" s="95">
        <f t="shared" si="11"/>
        <v>5.5381619063856196</v>
      </c>
      <c r="AB39" s="95">
        <f t="shared" si="11"/>
        <v>5.5528431130007236</v>
      </c>
      <c r="AC39" s="95">
        <f t="shared" si="11"/>
        <v>5.5701142982924701</v>
      </c>
      <c r="AD39" s="95">
        <f t="shared" si="11"/>
        <v>5.5901168237215275</v>
      </c>
      <c r="AE39" s="95">
        <f t="shared" si="11"/>
        <v>5.6130197761826413</v>
      </c>
      <c r="AF39" s="95">
        <f t="shared" si="11"/>
        <v>5.6390239113207032</v>
      </c>
      <c r="AG39" s="95">
        <f t="shared" si="11"/>
        <v>5.668368149778237</v>
      </c>
      <c r="AH39" s="95">
        <f t="shared" si="12"/>
        <v>5.7013407559074478</v>
      </c>
      <c r="AI39" s="95">
        <f t="shared" si="12"/>
        <v>5.7382992791680802</v>
      </c>
      <c r="AJ39" s="95">
        <f t="shared" si="12"/>
        <v>5.7797071819193766</v>
      </c>
      <c r="AK39" s="95">
        <f t="shared" si="12"/>
        <v>5.8262026581772064</v>
      </c>
      <c r="AL39" s="95">
        <f t="shared" si="12"/>
        <v>5.8787293316443314</v>
      </c>
      <c r="AM39" s="95">
        <f t="shared" si="12"/>
        <v>5.9387789909419242</v>
      </c>
      <c r="AN39" s="95">
        <f t="shared" si="12"/>
        <v>6.0087890690156502</v>
      </c>
      <c r="AO39" s="95">
        <f t="shared" si="12"/>
        <v>6.0925111154890903</v>
      </c>
      <c r="AP39" s="95">
        <f t="shared" si="12"/>
        <v>6.1943444766467595</v>
      </c>
      <c r="AR39" s="95">
        <f t="shared" si="6"/>
        <v>0</v>
      </c>
    </row>
    <row r="40" spans="1:44" x14ac:dyDescent="0.2">
      <c r="A40" s="95">
        <f t="shared" si="4"/>
        <v>0.87500000000000044</v>
      </c>
      <c r="B40" s="95">
        <f t="shared" si="14"/>
        <v>6.1480929371782853</v>
      </c>
      <c r="C40" s="95">
        <f t="shared" si="14"/>
        <v>6.0503208395388421</v>
      </c>
      <c r="D40" s="95">
        <f t="shared" si="14"/>
        <v>5.9724640716995232</v>
      </c>
      <c r="E40" s="95">
        <f t="shared" si="14"/>
        <v>5.908394035833167</v>
      </c>
      <c r="F40" s="95">
        <f t="shared" si="14"/>
        <v>5.8537263759229319</v>
      </c>
      <c r="G40" s="95">
        <f t="shared" si="14"/>
        <v>5.8060129713618478</v>
      </c>
      <c r="H40" s="95">
        <f t="shared" si="14"/>
        <v>5.763898938022936</v>
      </c>
      <c r="I40" s="95">
        <f t="shared" si="14"/>
        <v>5.7265729291363501</v>
      </c>
      <c r="J40" s="95">
        <f t="shared" si="14"/>
        <v>5.6934972539855409</v>
      </c>
      <c r="K40" s="95">
        <f t="shared" si="14"/>
        <v>5.6642804069431421</v>
      </c>
      <c r="L40" s="95">
        <f t="shared" si="14"/>
        <v>5.6386156688622187</v>
      </c>
      <c r="M40" s="95">
        <f t="shared" si="14"/>
        <v>5.6162506045740272</v>
      </c>
      <c r="N40" s="95">
        <f t="shared" si="14"/>
        <v>5.5969714450762993</v>
      </c>
      <c r="O40" s="95">
        <f t="shared" si="14"/>
        <v>5.5805948532247509</v>
      </c>
      <c r="P40" s="95">
        <f t="shared" si="14"/>
        <v>5.5669634351687307</v>
      </c>
      <c r="Q40" s="95">
        <f t="shared" si="13"/>
        <v>5.5559431836522917</v>
      </c>
      <c r="R40" s="95">
        <f t="shared" si="11"/>
        <v>5.5474219341589528</v>
      </c>
      <c r="S40" s="95">
        <f t="shared" si="11"/>
        <v>5.5413083674903429</v>
      </c>
      <c r="T40" s="95">
        <f t="shared" si="11"/>
        <v>5.5375313255721981</v>
      </c>
      <c r="U40" s="95">
        <f t="shared" si="11"/>
        <v>5.5360393279005162</v>
      </c>
      <c r="V40" s="95">
        <f t="shared" si="11"/>
        <v>5.536800237542991</v>
      </c>
      <c r="W40" s="95">
        <f t="shared" si="11"/>
        <v>5.5398010557992521</v>
      </c>
      <c r="X40" s="95">
        <f t="shared" si="11"/>
        <v>5.5450478385033852</v>
      </c>
      <c r="Y40" s="95">
        <f t="shared" si="11"/>
        <v>5.5525657330796552</v>
      </c>
      <c r="Z40" s="95">
        <f t="shared" si="11"/>
        <v>5.5623991393534524</v>
      </c>
      <c r="AA40" s="95">
        <f t="shared" si="11"/>
        <v>5.5746120033925459</v>
      </c>
      <c r="AB40" s="95">
        <f t="shared" si="11"/>
        <v>5.5892882678122673</v>
      </c>
      <c r="AC40" s="95">
        <f t="shared" si="11"/>
        <v>5.6065325325492505</v>
      </c>
      <c r="AD40" s="95">
        <f t="shared" si="11"/>
        <v>5.6264710420469877</v>
      </c>
      <c r="AE40" s="95">
        <f t="shared" si="11"/>
        <v>5.6492532358247418</v>
      </c>
      <c r="AF40" s="95">
        <f t="shared" si="11"/>
        <v>5.6750543328694141</v>
      </c>
      <c r="AG40" s="95">
        <f t="shared" si="11"/>
        <v>5.7040798728643942</v>
      </c>
      <c r="AH40" s="95">
        <f t="shared" si="12"/>
        <v>5.73657403159749</v>
      </c>
      <c r="AI40" s="95">
        <f t="shared" si="12"/>
        <v>5.7728353505520236</v>
      </c>
      <c r="AJ40" s="95">
        <f t="shared" si="12"/>
        <v>5.8132473820479307</v>
      </c>
      <c r="AK40" s="95">
        <f t="shared" si="12"/>
        <v>5.8583402585694611</v>
      </c>
      <c r="AL40" s="95">
        <f t="shared" si="12"/>
        <v>5.908918356043519</v>
      </c>
      <c r="AM40" s="95">
        <f t="shared" si="12"/>
        <v>5.9663303785255444</v>
      </c>
      <c r="AN40" s="95">
        <f t="shared" si="12"/>
        <v>6.0330192575437982</v>
      </c>
      <c r="AO40" s="95">
        <f t="shared" si="12"/>
        <v>6.1133653313639069</v>
      </c>
      <c r="AP40" s="95">
        <f t="shared" si="12"/>
        <v>6.2134944946568673</v>
      </c>
      <c r="AR40" s="95">
        <f t="shared" si="6"/>
        <v>0</v>
      </c>
    </row>
    <row r="41" spans="1:44" x14ac:dyDescent="0.2">
      <c r="A41" s="95">
        <f t="shared" si="4"/>
        <v>0.90000000000000047</v>
      </c>
      <c r="B41" s="95">
        <f t="shared" si="14"/>
        <v>6.16862102538005</v>
      </c>
      <c r="C41" s="95">
        <f t="shared" si="14"/>
        <v>6.0732144806596393</v>
      </c>
      <c r="D41" s="95">
        <f t="shared" si="14"/>
        <v>5.9996215943416296</v>
      </c>
      <c r="E41" s="95">
        <f t="shared" si="14"/>
        <v>5.9392329870108078</v>
      </c>
      <c r="F41" s="95">
        <f t="shared" si="14"/>
        <v>5.8872204708912692</v>
      </c>
      <c r="G41" s="95">
        <f t="shared" si="14"/>
        <v>5.8413440439207971</v>
      </c>
      <c r="H41" s="95">
        <f t="shared" si="14"/>
        <v>5.8004887829949467</v>
      </c>
      <c r="I41" s="95">
        <f t="shared" si="14"/>
        <v>5.7640175510616931</v>
      </c>
      <c r="J41" s="95">
        <f t="shared" si="14"/>
        <v>5.7315110875815378</v>
      </c>
      <c r="K41" s="95">
        <f t="shared" si="14"/>
        <v>5.7026592586582137</v>
      </c>
      <c r="L41" s="95">
        <f t="shared" si="14"/>
        <v>5.6772128972194826</v>
      </c>
      <c r="M41" s="95">
        <f t="shared" si="14"/>
        <v>5.6549615012204004</v>
      </c>
      <c r="N41" s="95">
        <f t="shared" si="14"/>
        <v>5.6357226113766794</v>
      </c>
      <c r="O41" s="95">
        <f t="shared" si="14"/>
        <v>5.6193366786170991</v>
      </c>
      <c r="P41" s="95">
        <f t="shared" si="14"/>
        <v>5.6056645652203612</v>
      </c>
      <c r="Q41" s="95">
        <f t="shared" si="13"/>
        <v>5.5945863113880385</v>
      </c>
      <c r="R41" s="95">
        <f t="shared" si="11"/>
        <v>5.5860005008460449</v>
      </c>
      <c r="S41" s="95">
        <f t="shared" si="11"/>
        <v>5.5798239035629287</v>
      </c>
      <c r="T41" s="95">
        <f t="shared" si="11"/>
        <v>5.5759912462775247</v>
      </c>
      <c r="U41" s="95">
        <f t="shared" si="11"/>
        <v>5.574455047706528</v>
      </c>
      <c r="V41" s="95">
        <f t="shared" si="11"/>
        <v>5.5751854966987118</v>
      </c>
      <c r="W41" s="95">
        <f t="shared" si="11"/>
        <v>5.5781703694947122</v>
      </c>
      <c r="X41" s="95">
        <f t="shared" si="11"/>
        <v>5.5834149879884958</v>
      </c>
      <c r="Y41" s="95">
        <f t="shared" si="11"/>
        <v>5.5909422208797794</v>
      </c>
      <c r="Z41" s="95">
        <f t="shared" si="11"/>
        <v>5.600792527952084</v>
      </c>
      <c r="AA41" s="95">
        <f t="shared" si="11"/>
        <v>5.6130240478224858</v>
      </c>
      <c r="AB41" s="95">
        <f t="shared" si="11"/>
        <v>5.6277127354696139</v>
      </c>
      <c r="AC41" s="95">
        <f t="shared" si="11"/>
        <v>5.6449525740371014</v>
      </c>
      <c r="AD41" s="95">
        <f t="shared" si="11"/>
        <v>5.6648559271301862</v>
      </c>
      <c r="AE41" s="95">
        <f t="shared" si="11"/>
        <v>5.6875541842754576</v>
      </c>
      <c r="AF41" s="95">
        <f t="shared" si="11"/>
        <v>5.7131990249372269</v>
      </c>
      <c r="AG41" s="95">
        <f t="shared" si="11"/>
        <v>5.7419649708091436</v>
      </c>
      <c r="AH41" s="95">
        <f t="shared" si="12"/>
        <v>5.7740545973259865</v>
      </c>
      <c r="AI41" s="95">
        <f t="shared" si="12"/>
        <v>5.8097092619181865</v>
      </c>
      <c r="AJ41" s="95">
        <f t="shared" si="12"/>
        <v>5.8492315384007796</v>
      </c>
      <c r="AK41" s="95">
        <f t="shared" si="12"/>
        <v>5.8930335329608967</v>
      </c>
      <c r="AL41" s="95">
        <f t="shared" si="12"/>
        <v>5.9417458075922962</v>
      </c>
      <c r="AM41" s="95">
        <f t="shared" si="12"/>
        <v>5.9964774710907767</v>
      </c>
      <c r="AN41" s="95">
        <f t="shared" si="12"/>
        <v>6.0594636488590865</v>
      </c>
      <c r="AO41" s="95">
        <f t="shared" si="12"/>
        <v>6.1355287476909126</v>
      </c>
      <c r="AP41" s="95">
        <f t="shared" si="12"/>
        <v>6.2332795863773587</v>
      </c>
      <c r="AR41" s="95">
        <f t="shared" si="6"/>
        <v>0</v>
      </c>
    </row>
    <row r="42" spans="1:44" x14ac:dyDescent="0.2">
      <c r="A42" s="95">
        <f t="shared" si="4"/>
        <v>0.92500000000000049</v>
      </c>
      <c r="B42" s="95">
        <f t="shared" si="14"/>
        <v>6.1897685133871834</v>
      </c>
      <c r="C42" s="95">
        <f t="shared" si="14"/>
        <v>6.0979032272491196</v>
      </c>
      <c r="D42" s="95">
        <f t="shared" si="14"/>
        <v>6.029669096101351</v>
      </c>
      <c r="E42" s="95">
        <f t="shared" si="14"/>
        <v>5.9731588623289484</v>
      </c>
      <c r="F42" s="95">
        <f t="shared" si="14"/>
        <v>5.9236622813220841</v>
      </c>
      <c r="G42" s="95">
        <f t="shared" si="14"/>
        <v>5.8794214494991177</v>
      </c>
      <c r="H42" s="95">
        <f t="shared" si="14"/>
        <v>5.8396406675979655</v>
      </c>
      <c r="I42" s="95">
        <f t="shared" si="14"/>
        <v>5.8038731394688474</v>
      </c>
      <c r="J42" s="95">
        <f t="shared" si="14"/>
        <v>5.7718166030679168</v>
      </c>
      <c r="K42" s="95">
        <f t="shared" si="14"/>
        <v>5.743236897132495</v>
      </c>
      <c r="L42" s="95">
        <f t="shared" si="14"/>
        <v>5.7179369083313851</v>
      </c>
      <c r="M42" s="95">
        <f t="shared" si="14"/>
        <v>5.6957434348958014</v>
      </c>
      <c r="N42" s="95">
        <f t="shared" si="14"/>
        <v>5.6765016680008618</v>
      </c>
      <c r="O42" s="95">
        <f t="shared" si="14"/>
        <v>5.6600730374613528</v>
      </c>
      <c r="P42" s="95">
        <f t="shared" si="14"/>
        <v>5.6463345388023534</v>
      </c>
      <c r="Q42" s="95">
        <f t="shared" si="13"/>
        <v>5.6351786745467702</v>
      </c>
      <c r="R42" s="95">
        <f t="shared" si="11"/>
        <v>5.6265136084914698</v>
      </c>
      <c r="S42" s="95">
        <f t="shared" si="11"/>
        <v>5.6202633551284702</v>
      </c>
      <c r="T42" s="95">
        <f t="shared" si="11"/>
        <v>5.6163679350879869</v>
      </c>
      <c r="U42" s="95">
        <f t="shared" si="11"/>
        <v>5.6147834790227868</v>
      </c>
      <c r="V42" s="95">
        <f t="shared" si="11"/>
        <v>5.6154822843568573</v>
      </c>
      <c r="W42" s="95">
        <f t="shared" si="11"/>
        <v>5.6184528358376884</v>
      </c>
      <c r="X42" s="95">
        <f t="shared" si="11"/>
        <v>5.6236997993513089</v>
      </c>
      <c r="Y42" s="95">
        <f t="shared" si="11"/>
        <v>5.6312439932121912</v>
      </c>
      <c r="Z42" s="95">
        <f t="shared" si="11"/>
        <v>5.6411223348208042</v>
      </c>
      <c r="AA42" s="95">
        <f t="shared" si="11"/>
        <v>5.6533877554281178</v>
      </c>
      <c r="AB42" s="95">
        <f t="shared" si="11"/>
        <v>5.6681090744397977</v>
      </c>
      <c r="AC42" s="95">
        <f t="shared" si="11"/>
        <v>5.6853708314336435</v>
      </c>
      <c r="AD42" s="95">
        <f t="shared" si="11"/>
        <v>5.7052730962956115</v>
      </c>
      <c r="AE42" s="95">
        <f t="shared" si="11"/>
        <v>5.7279313295848082</v>
      </c>
      <c r="AF42" s="95">
        <f t="shared" si="11"/>
        <v>5.7534764739622375</v>
      </c>
      <c r="AG42" s="95">
        <f t="shared" si="11"/>
        <v>5.7820556806348149</v>
      </c>
      <c r="AH42" s="95">
        <f t="shared" si="12"/>
        <v>5.8138345400324329</v>
      </c>
      <c r="AI42" s="95">
        <f t="shared" si="12"/>
        <v>5.849002700546853</v>
      </c>
      <c r="AJ42" s="95">
        <f t="shared" si="12"/>
        <v>5.8877871279158338</v>
      </c>
      <c r="AK42" s="95">
        <f t="shared" si="12"/>
        <v>5.9304833008413649</v>
      </c>
      <c r="AL42" s="95">
        <f t="shared" si="12"/>
        <v>5.9775318010219092</v>
      </c>
      <c r="AM42" s="95">
        <f t="shared" si="12"/>
        <v>6.0297228442533362</v>
      </c>
      <c r="AN42" s="95">
        <f t="shared" si="12"/>
        <v>6.0888097382315518</v>
      </c>
      <c r="AO42" s="95">
        <f t="shared" si="12"/>
        <v>6.1594991580804832</v>
      </c>
      <c r="AP42" s="95">
        <f t="shared" si="12"/>
        <v>6.2536959271342871</v>
      </c>
      <c r="AR42" s="95">
        <f t="shared" si="6"/>
        <v>0</v>
      </c>
    </row>
    <row r="43" spans="1:44" x14ac:dyDescent="0.2">
      <c r="A43" s="95">
        <f t="shared" si="4"/>
        <v>0.95000000000000051</v>
      </c>
      <c r="B43" s="95">
        <f t="shared" si="14"/>
        <v>6.2115315796872466</v>
      </c>
      <c r="C43" s="95">
        <f t="shared" si="14"/>
        <v>6.1254582410394036</v>
      </c>
      <c r="D43" s="95">
        <f t="shared" si="14"/>
        <v>6.0635908212436913</v>
      </c>
      <c r="E43" s="95">
        <f t="shared" si="14"/>
        <v>6.010740324104515</v>
      </c>
      <c r="F43" s="95">
        <f t="shared" si="14"/>
        <v>5.9633697377629487</v>
      </c>
      <c r="G43" s="95">
        <f t="shared" si="14"/>
        <v>5.9204297059532074</v>
      </c>
      <c r="H43" s="95">
        <f t="shared" si="14"/>
        <v>5.8814657059730262</v>
      </c>
      <c r="I43" s="95">
        <f t="shared" si="14"/>
        <v>5.8462078812848324</v>
      </c>
      <c r="J43" s="95">
        <f t="shared" si="14"/>
        <v>5.814455323989792</v>
      </c>
      <c r="K43" s="95">
        <f t="shared" si="14"/>
        <v>5.7860373967946073</v>
      </c>
      <c r="L43" s="95">
        <f t="shared" si="14"/>
        <v>5.7607998629967323</v>
      </c>
      <c r="M43" s="95">
        <f t="shared" si="14"/>
        <v>5.738600162757578</v>
      </c>
      <c r="N43" s="95">
        <f t="shared" si="14"/>
        <v>5.7193063037528127</v>
      </c>
      <c r="O43" s="95">
        <f t="shared" si="14"/>
        <v>5.7027971701142697</v>
      </c>
      <c r="P43" s="95">
        <f t="shared" si="14"/>
        <v>5.6889633123230832</v>
      </c>
      <c r="Q43" s="95">
        <f t="shared" si="13"/>
        <v>5.6777078090751898</v>
      </c>
      <c r="R43" s="95">
        <f t="shared" si="11"/>
        <v>5.6689470315228379</v>
      </c>
      <c r="S43" s="95">
        <f t="shared" si="11"/>
        <v>5.6626112531789392</v>
      </c>
      <c r="T43" s="95">
        <f t="shared" si="11"/>
        <v>5.6586451014514063</v>
      </c>
      <c r="U43" s="95">
        <f t="shared" si="11"/>
        <v>5.6570078689527676</v>
      </c>
      <c r="V43" s="95">
        <f t="shared" si="11"/>
        <v>5.6576737088455165</v>
      </c>
      <c r="W43" s="95">
        <f t="shared" si="11"/>
        <v>5.6606317360325784</v>
      </c>
      <c r="X43" s="95">
        <f t="shared" si="11"/>
        <v>5.6658860490786376</v>
      </c>
      <c r="Y43" s="95">
        <f t="shared" si="11"/>
        <v>5.6734556787099102</v>
      </c>
      <c r="Z43" s="95">
        <f t="shared" si="11"/>
        <v>5.6833744591060373</v>
      </c>
      <c r="AA43" s="95">
        <f t="shared" si="11"/>
        <v>5.6956908092311771</v>
      </c>
      <c r="AB43" s="95">
        <f t="shared" si="11"/>
        <v>5.7104674046575763</v>
      </c>
      <c r="AC43" s="95">
        <f t="shared" si="11"/>
        <v>5.7277807180442588</v>
      </c>
      <c r="AD43" s="95">
        <f t="shared" si="11"/>
        <v>5.7477204126956458</v>
      </c>
      <c r="AE43" s="95">
        <f t="shared" si="11"/>
        <v>5.7703885958741266</v>
      </c>
      <c r="AF43" s="95">
        <f t="shared" si="11"/>
        <v>5.7958989911355969</v>
      </c>
      <c r="AG43" s="95">
        <f t="shared" si="11"/>
        <v>5.8243762015040241</v>
      </c>
      <c r="AH43" s="95">
        <f t="shared" si="12"/>
        <v>5.8559554739992139</v>
      </c>
      <c r="AI43" s="95">
        <f t="shared" si="12"/>
        <v>5.8907839032798401</v>
      </c>
      <c r="AJ43" s="95">
        <f t="shared" si="12"/>
        <v>5.9290252693308503</v>
      </c>
      <c r="AK43" s="95">
        <f t="shared" si="12"/>
        <v>5.9708740379509369</v>
      </c>
      <c r="AL43" s="95">
        <f t="shared" si="12"/>
        <v>6.0165941803508183</v>
      </c>
      <c r="AM43" s="95">
        <f t="shared" si="12"/>
        <v>6.0666350356657643</v>
      </c>
      <c r="AN43" s="95">
        <f t="shared" si="12"/>
        <v>6.1220416172385752</v>
      </c>
      <c r="AO43" s="95">
        <f t="shared" si="12"/>
        <v>6.1863475568807242</v>
      </c>
      <c r="AP43" s="95">
        <f t="shared" si="12"/>
        <v>6.2747395288146715</v>
      </c>
      <c r="AR43" s="95">
        <f t="shared" si="6"/>
        <v>0</v>
      </c>
    </row>
    <row r="44" spans="1:44" x14ac:dyDescent="0.2">
      <c r="A44" s="95">
        <f t="shared" si="4"/>
        <v>0.97500000000000053</v>
      </c>
      <c r="B44" s="95">
        <f t="shared" si="14"/>
        <v>6.2339062438969624</v>
      </c>
      <c r="C44" s="95">
        <f t="shared" si="14"/>
        <v>6.1582577435533654</v>
      </c>
      <c r="D44" s="95">
        <f t="shared" si="14"/>
        <v>6.102627655623321</v>
      </c>
      <c r="E44" s="95">
        <f t="shared" si="14"/>
        <v>6.052536151155306</v>
      </c>
      <c r="F44" s="95">
        <f t="shared" si="14"/>
        <v>6.0066191124425101</v>
      </c>
      <c r="G44" s="95">
        <f t="shared" si="14"/>
        <v>5.9645180788260923</v>
      </c>
      <c r="H44" s="95">
        <f t="shared" si="14"/>
        <v>5.9260492047157829</v>
      </c>
      <c r="I44" s="95">
        <f t="shared" si="14"/>
        <v>5.8910714918708997</v>
      </c>
      <c r="J44" s="95">
        <f t="shared" si="14"/>
        <v>5.8594554653734523</v>
      </c>
      <c r="K44" s="95">
        <f t="shared" si="14"/>
        <v>5.8310751019223783</v>
      </c>
      <c r="L44" s="95">
        <f t="shared" si="14"/>
        <v>5.8058066874509509</v>
      </c>
      <c r="M44" s="95">
        <f t="shared" si="14"/>
        <v>5.7835299674803746</v>
      </c>
      <c r="N44" s="95">
        <f t="shared" si="14"/>
        <v>5.764129987499695</v>
      </c>
      <c r="O44" s="95">
        <f t="shared" si="14"/>
        <v>5.7474989981513041</v>
      </c>
      <c r="P44" s="95">
        <f t="shared" si="14"/>
        <v>5.7335381730619837</v>
      </c>
      <c r="Q44" s="95">
        <f t="shared" si="13"/>
        <v>5.7221590491378249</v>
      </c>
      <c r="R44" s="95">
        <f t="shared" si="11"/>
        <v>5.7132846750934707</v>
      </c>
      <c r="S44" s="95">
        <f t="shared" si="11"/>
        <v>5.7068504896857126</v>
      </c>
      <c r="T44" s="95">
        <f t="shared" si="11"/>
        <v>5.7028049658049147</v>
      </c>
      <c r="U44" s="95">
        <f t="shared" si="11"/>
        <v>5.7011100594937032</v>
      </c>
      <c r="V44" s="95">
        <f t="shared" si="11"/>
        <v>5.7017414990920638</v>
      </c>
      <c r="W44" s="95">
        <f t="shared" si="11"/>
        <v>5.7046889419479285</v>
      </c>
      <c r="X44" s="95">
        <f t="shared" si="11"/>
        <v>5.7099560162367826</v>
      </c>
      <c r="Y44" s="95">
        <f t="shared" si="11"/>
        <v>5.7175602545009028</v>
      </c>
      <c r="Z44" s="95">
        <f t="shared" si="11"/>
        <v>5.7275329142956561</v>
      </c>
      <c r="AA44" s="95">
        <f t="shared" si="11"/>
        <v>5.7399186704495504</v>
      </c>
      <c r="AB44" s="95">
        <f t="shared" si="11"/>
        <v>5.7547751536411953</v>
      </c>
      <c r="AC44" s="95">
        <f t="shared" si="11"/>
        <v>5.7721723023419189</v>
      </c>
      <c r="AD44" s="95">
        <f t="shared" si="11"/>
        <v>5.7921914913820327</v>
      </c>
      <c r="AE44" s="95">
        <f t="shared" si="11"/>
        <v>5.814924403312312</v>
      </c>
      <c r="AF44" s="95">
        <f t="shared" si="11"/>
        <v>5.8404716232629976</v>
      </c>
      <c r="AG44" s="95">
        <f t="shared" si="11"/>
        <v>5.8689409733212425</v>
      </c>
      <c r="AH44" s="95">
        <f t="shared" si="12"/>
        <v>5.9004456777153163</v>
      </c>
      <c r="AI44" s="95">
        <f t="shared" si="12"/>
        <v>5.9351026110270038</v>
      </c>
      <c r="AJ44" s="95">
        <f t="shared" si="12"/>
        <v>5.9730312532943559</v>
      </c>
      <c r="AK44" s="95">
        <f t="shared" si="12"/>
        <v>6.0143549516159283</v>
      </c>
      <c r="AL44" s="95">
        <f t="shared" si="12"/>
        <v>6.0592091198286964</v>
      </c>
      <c r="AM44" s="95">
        <f t="shared" si="12"/>
        <v>6.1077726923916256</v>
      </c>
      <c r="AN44" s="95">
        <f t="shared" si="12"/>
        <v>6.1604000155098024</v>
      </c>
      <c r="AO44" s="95">
        <f t="shared" si="12"/>
        <v>6.2184519969820657</v>
      </c>
      <c r="AP44" s="95">
        <f t="shared" si="12"/>
        <v>6.2964062438969632</v>
      </c>
      <c r="AR44" s="95">
        <f t="shared" si="6"/>
        <v>0</v>
      </c>
    </row>
    <row r="45" spans="1:44" x14ac:dyDescent="0.2">
      <c r="A45" s="95">
        <f t="shared" si="4"/>
        <v>1.0000000000000004</v>
      </c>
      <c r="B45" s="95">
        <f t="shared" si="14"/>
        <v>6.2568883707497278</v>
      </c>
      <c r="C45" s="95">
        <f t="shared" si="14"/>
        <v>6.2005853567342504</v>
      </c>
      <c r="D45" s="95">
        <f t="shared" si="14"/>
        <v>6.1479515808172263</v>
      </c>
      <c r="E45" s="95">
        <f t="shared" si="14"/>
        <v>6.0989693279162793</v>
      </c>
      <c r="F45" s="95">
        <f t="shared" si="14"/>
        <v>6.0535991053266738</v>
      </c>
      <c r="G45" s="95">
        <f t="shared" si="14"/>
        <v>6.01178191684299</v>
      </c>
      <c r="H45" s="95">
        <f t="shared" si="14"/>
        <v>5.9734421587340076</v>
      </c>
      <c r="I45" s="95">
        <f t="shared" si="14"/>
        <v>5.9384909363828697</v>
      </c>
      <c r="J45" s="95">
        <f t="shared" si="14"/>
        <v>5.906829592261035</v>
      </c>
      <c r="K45" s="95">
        <f t="shared" si="14"/>
        <v>5.8783532504042126</v>
      </c>
      <c r="L45" s="95">
        <f t="shared" si="14"/>
        <v>5.8529542138639519</v>
      </c>
      <c r="M45" s="95">
        <f t="shared" si="14"/>
        <v>5.8305250924144101</v>
      </c>
      <c r="N45" s="95">
        <f t="shared" si="14"/>
        <v>5.8109615810393151</v>
      </c>
      <c r="O45" s="95">
        <f t="shared" si="14"/>
        <v>5.7941648497868243</v>
      </c>
      <c r="P45" s="95">
        <f t="shared" si="14"/>
        <v>5.7800435388154252</v>
      </c>
      <c r="Q45" s="95">
        <f t="shared" si="13"/>
        <v>5.7685153771656772</v>
      </c>
      <c r="R45" s="95">
        <f t="shared" si="11"/>
        <v>5.7595084598425998</v>
      </c>
      <c r="S45" s="95">
        <f t="shared" si="11"/>
        <v>5.7529622260715669</v>
      </c>
      <c r="T45" s="95">
        <f t="shared" si="11"/>
        <v>5.7488281835063573</v>
      </c>
      <c r="U45" s="95">
        <f t="shared" si="11"/>
        <v>5.7470704202580531</v>
      </c>
      <c r="V45" s="95">
        <f t="shared" si="11"/>
        <v>5.7476659402887034</v>
      </c>
      <c r="W45" s="95">
        <f t="shared" si="11"/>
        <v>5.7506048491373836</v>
      </c>
      <c r="X45" s="95">
        <f t="shared" si="11"/>
        <v>5.7558904070075814</v>
      </c>
      <c r="Y45" s="95">
        <f t="shared" si="11"/>
        <v>5.7635389556001728</v>
      </c>
      <c r="Z45" s="95">
        <f t="shared" si="11"/>
        <v>5.7735797142273384</v>
      </c>
      <c r="AA45" s="95">
        <f t="shared" si="11"/>
        <v>5.7860544301335874</v>
      </c>
      <c r="AB45" s="95">
        <f t="shared" si="11"/>
        <v>5.8010168580710397</v>
      </c>
      <c r="AC45" s="95">
        <f t="shared" si="11"/>
        <v>5.8185320356594987</v>
      </c>
      <c r="AD45" s="95">
        <f t="shared" si="11"/>
        <v>5.8386753147612893</v>
      </c>
      <c r="AE45" s="95">
        <f t="shared" si="11"/>
        <v>5.8615311061308866</v>
      </c>
      <c r="AF45" s="95">
        <f t="shared" si="11"/>
        <v>5.8871912963130573</v>
      </c>
      <c r="AG45" s="95">
        <f t="shared" si="11"/>
        <v>5.9157533036340428</v>
      </c>
      <c r="AH45" s="95">
        <f t="shared" si="12"/>
        <v>5.9473177555102552</v>
      </c>
      <c r="AI45" s="95">
        <f t="shared" si="12"/>
        <v>5.9819857930397031</v>
      </c>
      <c r="AJ45" s="95">
        <f t="shared" si="12"/>
        <v>6.0198560408060358</v>
      </c>
      <c r="AK45" s="95">
        <f t="shared" si="12"/>
        <v>6.0610213183765014</v>
      </c>
      <c r="AL45" s="95">
        <f t="shared" si="12"/>
        <v>6.1055652116006165</v>
      </c>
      <c r="AM45" s="95">
        <f t="shared" si="12"/>
        <v>6.1535586610999538</v>
      </c>
      <c r="AN45" s="95">
        <f t="shared" si="12"/>
        <v>6.2050567554795428</v>
      </c>
      <c r="AO45" s="95">
        <f t="shared" si="12"/>
        <v>6.2600959307520556</v>
      </c>
      <c r="AP45" s="95">
        <f t="shared" si="12"/>
        <v>6.3186917696247207</v>
      </c>
      <c r="AR45" s="95">
        <f t="shared" si="6"/>
        <v>0</v>
      </c>
    </row>
    <row r="47" spans="1:44" x14ac:dyDescent="0.2">
      <c r="A47" s="95" t="s">
        <v>264</v>
      </c>
      <c r="B47" s="95">
        <f>MIN(B5:AP45)</f>
        <v>5.1851594388177826</v>
      </c>
    </row>
    <row r="48" spans="1:44" x14ac:dyDescent="0.2">
      <c r="A48" s="95" t="s">
        <v>257</v>
      </c>
      <c r="B48" s="95">
        <f>1*(MIN(B5:B45)=MinValue)</f>
        <v>0</v>
      </c>
      <c r="C48" s="95">
        <f t="shared" ref="C48:AP48" si="15">1*(MIN(C5:C45)=MinValue)</f>
        <v>0</v>
      </c>
      <c r="D48" s="95">
        <f t="shared" si="15"/>
        <v>0</v>
      </c>
      <c r="E48" s="95">
        <f t="shared" si="15"/>
        <v>0</v>
      </c>
      <c r="F48" s="95">
        <f t="shared" si="15"/>
        <v>0</v>
      </c>
      <c r="G48" s="95">
        <f t="shared" si="15"/>
        <v>0</v>
      </c>
      <c r="H48" s="95">
        <f t="shared" si="15"/>
        <v>0</v>
      </c>
      <c r="I48" s="95">
        <f t="shared" si="15"/>
        <v>0</v>
      </c>
      <c r="J48" s="95">
        <f t="shared" si="15"/>
        <v>0</v>
      </c>
      <c r="K48" s="95">
        <f t="shared" si="15"/>
        <v>0</v>
      </c>
      <c r="L48" s="95">
        <f t="shared" si="15"/>
        <v>0</v>
      </c>
      <c r="M48" s="95">
        <f t="shared" si="15"/>
        <v>0</v>
      </c>
      <c r="N48" s="95">
        <f t="shared" si="15"/>
        <v>0</v>
      </c>
      <c r="O48" s="95">
        <f t="shared" si="15"/>
        <v>0</v>
      </c>
      <c r="P48" s="95">
        <f t="shared" si="15"/>
        <v>0</v>
      </c>
      <c r="Q48" s="95">
        <f t="shared" si="15"/>
        <v>0</v>
      </c>
      <c r="R48" s="95">
        <f t="shared" si="15"/>
        <v>0</v>
      </c>
      <c r="S48" s="95">
        <f t="shared" si="15"/>
        <v>0</v>
      </c>
      <c r="T48" s="95">
        <f t="shared" si="15"/>
        <v>0</v>
      </c>
      <c r="U48" s="95">
        <f t="shared" si="15"/>
        <v>1</v>
      </c>
      <c r="V48" s="95">
        <f t="shared" si="15"/>
        <v>0</v>
      </c>
      <c r="W48" s="95">
        <f t="shared" si="15"/>
        <v>0</v>
      </c>
      <c r="X48" s="95">
        <f t="shared" si="15"/>
        <v>0</v>
      </c>
      <c r="Y48" s="95">
        <f t="shared" si="15"/>
        <v>0</v>
      </c>
      <c r="Z48" s="95">
        <f t="shared" si="15"/>
        <v>0</v>
      </c>
      <c r="AA48" s="95">
        <f t="shared" si="15"/>
        <v>0</v>
      </c>
      <c r="AB48" s="95">
        <f t="shared" si="15"/>
        <v>0</v>
      </c>
      <c r="AC48" s="95">
        <f t="shared" si="15"/>
        <v>0</v>
      </c>
      <c r="AD48" s="95">
        <f t="shared" si="15"/>
        <v>0</v>
      </c>
      <c r="AE48" s="95">
        <f t="shared" si="15"/>
        <v>0</v>
      </c>
      <c r="AF48" s="95">
        <f t="shared" si="15"/>
        <v>0</v>
      </c>
      <c r="AG48" s="95">
        <f t="shared" si="15"/>
        <v>0</v>
      </c>
      <c r="AH48" s="95">
        <f t="shared" si="15"/>
        <v>0</v>
      </c>
      <c r="AI48" s="95">
        <f t="shared" si="15"/>
        <v>0</v>
      </c>
      <c r="AJ48" s="95">
        <f t="shared" si="15"/>
        <v>0</v>
      </c>
      <c r="AK48" s="95">
        <f t="shared" si="15"/>
        <v>0</v>
      </c>
      <c r="AL48" s="95">
        <f t="shared" si="15"/>
        <v>0</v>
      </c>
      <c r="AM48" s="95">
        <f t="shared" si="15"/>
        <v>0</v>
      </c>
      <c r="AN48" s="95">
        <f t="shared" si="15"/>
        <v>0</v>
      </c>
      <c r="AO48" s="95">
        <f t="shared" si="15"/>
        <v>0</v>
      </c>
      <c r="AP48" s="95">
        <f t="shared" si="15"/>
        <v>0</v>
      </c>
    </row>
    <row r="50" spans="1:2" x14ac:dyDescent="0.2">
      <c r="A50" s="95" t="s">
        <v>257</v>
      </c>
      <c r="B50" s="95">
        <f>SUMPRODUCT(y,AR5:AR45)</f>
        <v>0.4250000000000001</v>
      </c>
    </row>
    <row r="51" spans="1:2" x14ac:dyDescent="0.2">
      <c r="A51" s="95" t="s">
        <v>253</v>
      </c>
      <c r="B51" s="95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311</v>
      </c>
    </row>
    <row r="2" spans="1:8" x14ac:dyDescent="0.25">
      <c r="A2" s="17" t="s">
        <v>287</v>
      </c>
      <c r="B2" s="94"/>
      <c r="C2" s="94"/>
      <c r="D2" s="94"/>
      <c r="E2" s="94"/>
      <c r="F2" s="94"/>
      <c r="G2" s="94"/>
      <c r="H2" s="94"/>
    </row>
    <row r="3" spans="1:8" x14ac:dyDescent="0.25">
      <c r="A3" s="17" t="s">
        <v>312</v>
      </c>
      <c r="B3" s="94"/>
      <c r="C3" s="94"/>
      <c r="D3" s="94"/>
      <c r="E3" s="94"/>
      <c r="F3" s="94"/>
      <c r="G3" s="94"/>
      <c r="H3" s="94"/>
    </row>
    <row r="4" spans="1:8" x14ac:dyDescent="0.25">
      <c r="B4" s="94"/>
      <c r="C4" s="94"/>
      <c r="D4" s="94"/>
      <c r="E4" s="94"/>
      <c r="F4" s="94"/>
      <c r="G4" s="94"/>
      <c r="H4" s="94"/>
    </row>
    <row r="5" spans="1:8" ht="15.75" thickBot="1" x14ac:dyDescent="0.3">
      <c r="A5" s="17" t="s">
        <v>229</v>
      </c>
      <c r="B5" s="94"/>
      <c r="C5" s="94"/>
      <c r="D5" s="94"/>
      <c r="E5" s="94"/>
      <c r="F5" s="94"/>
      <c r="G5" s="94"/>
      <c r="H5" s="94"/>
    </row>
    <row r="6" spans="1:8" ht="15.75" thickBot="1" x14ac:dyDescent="0.3">
      <c r="B6" s="122" t="s">
        <v>230</v>
      </c>
      <c r="C6" s="123" t="s">
        <v>231</v>
      </c>
      <c r="D6" s="123" t="s">
        <v>232</v>
      </c>
      <c r="E6" s="123" t="s">
        <v>233</v>
      </c>
      <c r="F6" s="123" t="s">
        <v>234</v>
      </c>
      <c r="G6" s="123" t="s">
        <v>235</v>
      </c>
      <c r="H6" s="124" t="s">
        <v>236</v>
      </c>
    </row>
    <row r="7" spans="1:8" x14ac:dyDescent="0.25">
      <c r="B7" s="114" t="s">
        <v>273</v>
      </c>
      <c r="C7" s="76" t="s">
        <v>288</v>
      </c>
      <c r="D7" s="76">
        <v>100</v>
      </c>
      <c r="E7" s="76">
        <v>0</v>
      </c>
      <c r="F7" s="76">
        <v>10</v>
      </c>
      <c r="G7" s="76">
        <v>40</v>
      </c>
      <c r="H7" s="115">
        <v>1E+100</v>
      </c>
    </row>
    <row r="8" spans="1:8" x14ac:dyDescent="0.25">
      <c r="B8" s="114" t="s">
        <v>274</v>
      </c>
      <c r="C8" s="76" t="s">
        <v>289</v>
      </c>
      <c r="D8" s="76">
        <v>100</v>
      </c>
      <c r="E8" s="76">
        <v>0</v>
      </c>
      <c r="F8" s="76">
        <v>30</v>
      </c>
      <c r="G8" s="76">
        <v>5</v>
      </c>
      <c r="H8" s="116">
        <v>15</v>
      </c>
    </row>
    <row r="9" spans="1:8" x14ac:dyDescent="0.25">
      <c r="B9" s="114" t="s">
        <v>275</v>
      </c>
      <c r="C9" s="76" t="s">
        <v>290</v>
      </c>
      <c r="D9" s="76">
        <v>0</v>
      </c>
      <c r="E9" s="76">
        <v>10</v>
      </c>
      <c r="F9" s="76">
        <v>40</v>
      </c>
      <c r="G9" s="117">
        <v>1E+100</v>
      </c>
      <c r="H9" s="116">
        <v>10</v>
      </c>
    </row>
    <row r="10" spans="1:8" x14ac:dyDescent="0.25">
      <c r="B10" s="114" t="s">
        <v>313</v>
      </c>
      <c r="C10" s="76" t="s">
        <v>291</v>
      </c>
      <c r="D10" s="76">
        <v>0</v>
      </c>
      <c r="E10" s="76">
        <v>5</v>
      </c>
      <c r="F10" s="76">
        <v>40</v>
      </c>
      <c r="G10" s="117">
        <v>1E+100</v>
      </c>
      <c r="H10" s="116">
        <v>5</v>
      </c>
    </row>
    <row r="11" spans="1:8" x14ac:dyDescent="0.25">
      <c r="B11" s="114" t="s">
        <v>314</v>
      </c>
      <c r="C11" s="76" t="s">
        <v>292</v>
      </c>
      <c r="D11" s="76">
        <v>0</v>
      </c>
      <c r="E11" s="76">
        <v>25</v>
      </c>
      <c r="F11" s="76">
        <v>60</v>
      </c>
      <c r="G11" s="117">
        <v>1E+100</v>
      </c>
      <c r="H11" s="116">
        <v>25</v>
      </c>
    </row>
    <row r="12" spans="1:8" x14ac:dyDescent="0.25">
      <c r="B12" s="114" t="s">
        <v>276</v>
      </c>
      <c r="C12" s="76" t="s">
        <v>293</v>
      </c>
      <c r="D12" s="76">
        <v>0</v>
      </c>
      <c r="E12" s="76">
        <v>40</v>
      </c>
      <c r="F12" s="76">
        <v>35</v>
      </c>
      <c r="G12" s="117">
        <v>1E+100</v>
      </c>
      <c r="H12" s="116">
        <v>40</v>
      </c>
    </row>
    <row r="13" spans="1:8" x14ac:dyDescent="0.25">
      <c r="B13" s="114" t="s">
        <v>277</v>
      </c>
      <c r="C13" s="76" t="s">
        <v>294</v>
      </c>
      <c r="D13" s="76">
        <v>0</v>
      </c>
      <c r="E13" s="76">
        <v>5</v>
      </c>
      <c r="F13" s="76">
        <v>20</v>
      </c>
      <c r="G13" s="117">
        <v>1E+100</v>
      </c>
      <c r="H13" s="116">
        <v>5</v>
      </c>
    </row>
    <row r="14" spans="1:8" x14ac:dyDescent="0.25">
      <c r="B14" s="114" t="s">
        <v>278</v>
      </c>
      <c r="C14" s="76" t="s">
        <v>295</v>
      </c>
      <c r="D14" s="76">
        <v>200</v>
      </c>
      <c r="E14" s="76">
        <v>0</v>
      </c>
      <c r="F14" s="76">
        <v>15</v>
      </c>
      <c r="G14" s="76">
        <v>5</v>
      </c>
      <c r="H14" s="116">
        <v>0</v>
      </c>
    </row>
    <row r="15" spans="1:8" x14ac:dyDescent="0.25">
      <c r="B15" s="114" t="s">
        <v>315</v>
      </c>
      <c r="C15" s="76" t="s">
        <v>296</v>
      </c>
      <c r="D15" s="76">
        <v>100</v>
      </c>
      <c r="E15" s="76">
        <v>0</v>
      </c>
      <c r="F15" s="76">
        <v>20</v>
      </c>
      <c r="G15" s="76">
        <v>0</v>
      </c>
      <c r="H15" s="115">
        <v>1E+100</v>
      </c>
    </row>
    <row r="16" spans="1:8" x14ac:dyDescent="0.25">
      <c r="B16" s="114" t="s">
        <v>316</v>
      </c>
      <c r="C16" s="76" t="s">
        <v>297</v>
      </c>
      <c r="D16" s="76">
        <v>0</v>
      </c>
      <c r="E16" s="76">
        <v>10</v>
      </c>
      <c r="F16" s="76">
        <v>30</v>
      </c>
      <c r="G16" s="117">
        <v>1E+100</v>
      </c>
      <c r="H16" s="116">
        <v>10</v>
      </c>
    </row>
    <row r="17" spans="1:8" x14ac:dyDescent="0.25">
      <c r="B17" s="114" t="s">
        <v>279</v>
      </c>
      <c r="C17" s="76" t="s">
        <v>298</v>
      </c>
      <c r="D17" s="76">
        <v>0</v>
      </c>
      <c r="E17" s="76">
        <v>55</v>
      </c>
      <c r="F17" s="76">
        <v>45</v>
      </c>
      <c r="G17" s="117">
        <v>1E+100</v>
      </c>
      <c r="H17" s="116">
        <v>55</v>
      </c>
    </row>
    <row r="18" spans="1:8" x14ac:dyDescent="0.25">
      <c r="B18" s="114" t="s">
        <v>280</v>
      </c>
      <c r="C18" s="76" t="s">
        <v>299</v>
      </c>
      <c r="D18" s="76">
        <v>200</v>
      </c>
      <c r="E18" s="76">
        <v>0</v>
      </c>
      <c r="F18" s="76">
        <v>10</v>
      </c>
      <c r="G18" s="76">
        <v>5</v>
      </c>
      <c r="H18" s="116">
        <v>5</v>
      </c>
    </row>
    <row r="19" spans="1:8" x14ac:dyDescent="0.25">
      <c r="B19" s="114" t="s">
        <v>281</v>
      </c>
      <c r="C19" s="76" t="s">
        <v>300</v>
      </c>
      <c r="D19" s="76">
        <v>0</v>
      </c>
      <c r="E19" s="76">
        <v>0</v>
      </c>
      <c r="F19" s="76">
        <v>10</v>
      </c>
      <c r="G19" s="76">
        <v>0</v>
      </c>
      <c r="H19" s="116">
        <v>5</v>
      </c>
    </row>
    <row r="20" spans="1:8" x14ac:dyDescent="0.25">
      <c r="B20" s="114" t="s">
        <v>317</v>
      </c>
      <c r="C20" s="76" t="s">
        <v>301</v>
      </c>
      <c r="D20" s="76">
        <v>0</v>
      </c>
      <c r="E20" s="76">
        <v>0</v>
      </c>
      <c r="F20" s="76">
        <v>15</v>
      </c>
      <c r="G20" s="117">
        <v>1E+100</v>
      </c>
      <c r="H20" s="116">
        <v>0</v>
      </c>
    </row>
    <row r="21" spans="1:8" ht="15.75" thickBot="1" x14ac:dyDescent="0.3">
      <c r="B21" s="118" t="s">
        <v>318</v>
      </c>
      <c r="C21" s="119" t="s">
        <v>302</v>
      </c>
      <c r="D21" s="119">
        <v>150</v>
      </c>
      <c r="E21" s="119">
        <v>0</v>
      </c>
      <c r="F21" s="119">
        <v>15</v>
      </c>
      <c r="G21" s="119">
        <v>10</v>
      </c>
      <c r="H21" s="120">
        <v>1E+100</v>
      </c>
    </row>
    <row r="22" spans="1:8" x14ac:dyDescent="0.25">
      <c r="B22" s="94"/>
      <c r="C22" s="94"/>
      <c r="D22" s="94"/>
      <c r="E22" s="94"/>
      <c r="F22" s="94"/>
      <c r="G22" s="94"/>
      <c r="H22" s="94"/>
    </row>
    <row r="23" spans="1:8" ht="15.75" thickBot="1" x14ac:dyDescent="0.3">
      <c r="A23" s="17" t="s">
        <v>134</v>
      </c>
      <c r="B23" s="94"/>
      <c r="C23" s="94"/>
      <c r="D23" s="94"/>
      <c r="E23" s="94"/>
      <c r="F23" s="94"/>
      <c r="G23" s="94"/>
      <c r="H23" s="94"/>
    </row>
    <row r="24" spans="1:8" ht="15.75" thickBot="1" x14ac:dyDescent="0.3">
      <c r="B24" s="122" t="s">
        <v>230</v>
      </c>
      <c r="C24" s="123" t="s">
        <v>231</v>
      </c>
      <c r="D24" s="123" t="s">
        <v>232</v>
      </c>
      <c r="E24" s="123" t="s">
        <v>282</v>
      </c>
      <c r="F24" s="123" t="s">
        <v>283</v>
      </c>
      <c r="G24" s="123" t="s">
        <v>235</v>
      </c>
      <c r="H24" s="124" t="s">
        <v>236</v>
      </c>
    </row>
    <row r="25" spans="1:8" x14ac:dyDescent="0.25">
      <c r="B25" s="114" t="s">
        <v>319</v>
      </c>
      <c r="C25" s="76" t="s">
        <v>303</v>
      </c>
      <c r="D25" s="76">
        <v>200</v>
      </c>
      <c r="E25" s="76">
        <v>0</v>
      </c>
      <c r="F25" s="76">
        <v>200</v>
      </c>
      <c r="G25" s="117">
        <v>1E+100</v>
      </c>
      <c r="H25" s="116">
        <v>0</v>
      </c>
    </row>
    <row r="26" spans="1:8" x14ac:dyDescent="0.25">
      <c r="B26" s="114" t="s">
        <v>320</v>
      </c>
      <c r="C26" s="76" t="s">
        <v>304</v>
      </c>
      <c r="D26" s="76">
        <v>300</v>
      </c>
      <c r="E26" s="76">
        <v>-15</v>
      </c>
      <c r="F26" s="76">
        <v>300</v>
      </c>
      <c r="G26" s="76">
        <v>0</v>
      </c>
      <c r="H26" s="116">
        <v>0</v>
      </c>
    </row>
    <row r="27" spans="1:8" x14ac:dyDescent="0.25">
      <c r="B27" s="114" t="s">
        <v>321</v>
      </c>
      <c r="C27" s="76" t="s">
        <v>305</v>
      </c>
      <c r="D27" s="76">
        <v>350</v>
      </c>
      <c r="E27" s="76">
        <v>-20</v>
      </c>
      <c r="F27" s="76">
        <v>350</v>
      </c>
      <c r="G27" s="76">
        <v>100</v>
      </c>
      <c r="H27" s="116">
        <v>0</v>
      </c>
    </row>
    <row r="28" spans="1:8" x14ac:dyDescent="0.25">
      <c r="B28" s="114" t="s">
        <v>284</v>
      </c>
      <c r="C28" s="76" t="s">
        <v>306</v>
      </c>
      <c r="D28" s="76">
        <v>100</v>
      </c>
      <c r="E28" s="76">
        <v>10</v>
      </c>
      <c r="F28" s="76">
        <v>100</v>
      </c>
      <c r="G28" s="76">
        <v>0</v>
      </c>
      <c r="H28" s="116">
        <v>100</v>
      </c>
    </row>
    <row r="29" spans="1:8" x14ac:dyDescent="0.25">
      <c r="B29" s="114" t="s">
        <v>285</v>
      </c>
      <c r="C29" s="76" t="s">
        <v>307</v>
      </c>
      <c r="D29" s="76">
        <v>300</v>
      </c>
      <c r="E29" s="76">
        <v>30</v>
      </c>
      <c r="F29" s="76">
        <v>300</v>
      </c>
      <c r="G29" s="76">
        <v>0</v>
      </c>
      <c r="H29" s="116">
        <v>100</v>
      </c>
    </row>
    <row r="30" spans="1:8" x14ac:dyDescent="0.25">
      <c r="B30" s="114" t="s">
        <v>286</v>
      </c>
      <c r="C30" s="76" t="s">
        <v>308</v>
      </c>
      <c r="D30" s="76">
        <v>200</v>
      </c>
      <c r="E30" s="76">
        <v>30</v>
      </c>
      <c r="F30" s="76">
        <v>200</v>
      </c>
      <c r="G30" s="76">
        <v>0</v>
      </c>
      <c r="H30" s="116">
        <v>0</v>
      </c>
    </row>
    <row r="31" spans="1:8" x14ac:dyDescent="0.25">
      <c r="B31" s="114" t="s">
        <v>322</v>
      </c>
      <c r="C31" s="76" t="s">
        <v>309</v>
      </c>
      <c r="D31" s="76">
        <v>100</v>
      </c>
      <c r="E31" s="76">
        <v>35</v>
      </c>
      <c r="F31" s="76">
        <v>100</v>
      </c>
      <c r="G31" s="76">
        <v>0</v>
      </c>
      <c r="H31" s="116">
        <v>0</v>
      </c>
    </row>
    <row r="32" spans="1:8" ht="15.75" thickBot="1" x14ac:dyDescent="0.3">
      <c r="B32" s="118" t="s">
        <v>323</v>
      </c>
      <c r="C32" s="119" t="s">
        <v>310</v>
      </c>
      <c r="D32" s="119">
        <v>150</v>
      </c>
      <c r="E32" s="119">
        <v>35</v>
      </c>
      <c r="F32" s="119">
        <v>150</v>
      </c>
      <c r="G32" s="119">
        <v>0</v>
      </c>
      <c r="H32" s="121">
        <v>100</v>
      </c>
    </row>
    <row r="33" spans="2:8" x14ac:dyDescent="0.25">
      <c r="B33" s="94"/>
      <c r="C33" s="94"/>
      <c r="D33" s="94"/>
      <c r="E33" s="94"/>
      <c r="F33" s="94"/>
      <c r="G33" s="94"/>
      <c r="H33" s="94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10" x14ac:dyDescent="0.25">
      <c r="A1" s="64" t="s">
        <v>204</v>
      </c>
      <c r="D1" t="s">
        <v>265</v>
      </c>
      <c r="E1" t="s">
        <v>266</v>
      </c>
      <c r="F1" t="s">
        <v>267</v>
      </c>
      <c r="H1" t="s">
        <v>325</v>
      </c>
    </row>
    <row r="2" spans="1:10" ht="15.75" thickBot="1" x14ac:dyDescent="0.3">
      <c r="A2" s="65" t="s">
        <v>205</v>
      </c>
      <c r="C2" t="s">
        <v>268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269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270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271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272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268</v>
      </c>
      <c r="E8" t="s">
        <v>269</v>
      </c>
      <c r="F8" t="s">
        <v>270</v>
      </c>
      <c r="G8" t="s">
        <v>271</v>
      </c>
      <c r="H8" t="s">
        <v>272</v>
      </c>
    </row>
    <row r="9" spans="1:10" ht="15.75" thickBot="1" x14ac:dyDescent="0.3">
      <c r="A9" s="65">
        <f>VLOOKUP(A8,OpenSolverResultCodes,2,FALSE)</f>
        <v>0</v>
      </c>
      <c r="C9" t="s">
        <v>265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266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267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268</v>
      </c>
      <c r="E13" t="s">
        <v>269</v>
      </c>
      <c r="F13" t="s">
        <v>270</v>
      </c>
      <c r="G13" t="s">
        <v>271</v>
      </c>
      <c r="H13" t="s">
        <v>272</v>
      </c>
      <c r="I13" t="s">
        <v>71</v>
      </c>
    </row>
    <row r="14" spans="1:10" x14ac:dyDescent="0.25">
      <c r="C14" t="s">
        <v>265</v>
      </c>
      <c r="D14">
        <v>100.00000002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199.9999935299999</v>
      </c>
      <c r="J14">
        <v>200</v>
      </c>
    </row>
    <row r="15" spans="1:10" x14ac:dyDescent="0.25">
      <c r="C15" t="s">
        <v>266</v>
      </c>
      <c r="D15">
        <v>0</v>
      </c>
      <c r="E15" s="88">
        <v>2.9800023596236302E-6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267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13249.999901199888</v>
      </c>
    </row>
    <row r="22" spans="3:8" x14ac:dyDescent="0.25">
      <c r="D22" t="s">
        <v>324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2" sqref="D12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25.28515625" style="95" bestFit="1" customWidth="1"/>
    <col min="4" max="4" width="12" style="95" bestFit="1" customWidth="1"/>
    <col min="5" max="16384" width="9.140625" style="95"/>
  </cols>
  <sheetData>
    <row r="1" spans="1:5" x14ac:dyDescent="0.25">
      <c r="A1" s="64" t="s">
        <v>369</v>
      </c>
      <c r="C1" s="125"/>
      <c r="D1" s="126"/>
      <c r="E1" s="125"/>
    </row>
    <row r="2" spans="1:5" ht="15.75" thickBot="1" x14ac:dyDescent="0.3">
      <c r="A2" s="65" t="s">
        <v>205</v>
      </c>
      <c r="C2" s="127"/>
      <c r="D2" s="128"/>
      <c r="E2" s="125"/>
    </row>
    <row r="3" spans="1:5" x14ac:dyDescent="0.25">
      <c r="A3" s="64" t="s">
        <v>209</v>
      </c>
      <c r="C3" s="129" t="s">
        <v>326</v>
      </c>
      <c r="D3" s="130">
        <v>365</v>
      </c>
      <c r="E3" s="131"/>
    </row>
    <row r="4" spans="1:5" ht="15.75" thickBot="1" x14ac:dyDescent="0.3">
      <c r="A4" s="65" t="s">
        <v>208</v>
      </c>
      <c r="C4" s="129" t="s">
        <v>327</v>
      </c>
      <c r="D4" s="130">
        <v>5</v>
      </c>
      <c r="E4" s="131"/>
    </row>
    <row r="5" spans="1:5" x14ac:dyDescent="0.25">
      <c r="A5" s="64" t="s">
        <v>210</v>
      </c>
      <c r="C5" s="129" t="s">
        <v>328</v>
      </c>
      <c r="D5" s="132">
        <v>10</v>
      </c>
      <c r="E5" s="131"/>
    </row>
    <row r="6" spans="1:5" ht="15.75" thickBot="1" x14ac:dyDescent="0.3">
      <c r="A6" s="65" t="b">
        <f>AND(D17)</f>
        <v>1</v>
      </c>
      <c r="C6" s="129" t="s">
        <v>329</v>
      </c>
      <c r="D6" s="132">
        <v>20</v>
      </c>
      <c r="E6" s="131"/>
    </row>
    <row r="7" spans="1:5" x14ac:dyDescent="0.25">
      <c r="A7" s="64" t="s">
        <v>211</v>
      </c>
      <c r="C7" s="129" t="s">
        <v>330</v>
      </c>
      <c r="D7" s="130">
        <v>0.1</v>
      </c>
      <c r="E7" s="131"/>
    </row>
    <row r="8" spans="1:5" x14ac:dyDescent="0.25">
      <c r="A8" s="66" t="s">
        <v>201</v>
      </c>
      <c r="C8" s="129" t="s">
        <v>331</v>
      </c>
      <c r="D8" s="130">
        <f>D6*D7/D3</f>
        <v>5.4794520547945206E-3</v>
      </c>
      <c r="E8" s="131"/>
    </row>
    <row r="9" spans="1:5" ht="15.75" thickBot="1" x14ac:dyDescent="0.3">
      <c r="A9" s="65">
        <f>VLOOKUP(A8,OpenSolverResultCodes,2,FALSE)</f>
        <v>0</v>
      </c>
      <c r="C9" s="129"/>
      <c r="D9" s="130"/>
      <c r="E9" s="131"/>
    </row>
    <row r="10" spans="1:5" x14ac:dyDescent="0.25">
      <c r="C10" s="129"/>
      <c r="D10" s="130"/>
      <c r="E10" s="131"/>
    </row>
    <row r="11" spans="1:5" x14ac:dyDescent="0.25">
      <c r="C11" s="129" t="s">
        <v>332</v>
      </c>
      <c r="D11" s="133">
        <v>135.092560863313</v>
      </c>
      <c r="E11" s="131"/>
    </row>
    <row r="12" spans="1:5" x14ac:dyDescent="0.25">
      <c r="C12" s="129" t="s">
        <v>333</v>
      </c>
      <c r="D12" s="130">
        <f>D11/D4</f>
        <v>27.0185121726626</v>
      </c>
      <c r="E12" s="131"/>
    </row>
    <row r="13" spans="1:5" x14ac:dyDescent="0.25">
      <c r="C13" s="129" t="s">
        <v>334</v>
      </c>
      <c r="D13" s="132">
        <f>D8*D11/2</f>
        <v>0.37011660510496713</v>
      </c>
      <c r="E13" s="131"/>
    </row>
    <row r="14" spans="1:5" x14ac:dyDescent="0.25">
      <c r="C14" s="129" t="s">
        <v>335</v>
      </c>
      <c r="D14" s="134">
        <f>D5/D12</f>
        <v>0.37011660509263816</v>
      </c>
      <c r="E14" s="131"/>
    </row>
    <row r="15" spans="1:5" x14ac:dyDescent="0.25">
      <c r="C15" s="129"/>
      <c r="D15" s="130"/>
      <c r="E15" s="131"/>
    </row>
    <row r="16" spans="1:5" x14ac:dyDescent="0.25">
      <c r="C16" s="129" t="s">
        <v>336</v>
      </c>
      <c r="D16" s="135">
        <f>D13+D14</f>
        <v>0.74023321019760524</v>
      </c>
      <c r="E16" s="131"/>
    </row>
    <row r="17" spans="3:4" x14ac:dyDescent="0.25">
      <c r="D17" s="95" t="b">
        <f>D16&lt;0.75</f>
        <v>1</v>
      </c>
    </row>
    <row r="25" spans="3:4" x14ac:dyDescent="0.25">
      <c r="C25" s="95" t="s">
        <v>337</v>
      </c>
    </row>
    <row r="26" spans="3:4" x14ac:dyDescent="0.25">
      <c r="C26" s="95" t="s">
        <v>338</v>
      </c>
    </row>
    <row r="27" spans="3:4" x14ac:dyDescent="0.25">
      <c r="C27" s="95" t="s">
        <v>339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9.85546875" style="95" customWidth="1"/>
    <col min="4" max="4" width="2.42578125" style="98" bestFit="1" customWidth="1"/>
    <col min="5" max="5" width="2.42578125" style="95" bestFit="1" customWidth="1"/>
    <col min="6" max="9" width="5.85546875" style="95" customWidth="1"/>
    <col min="10" max="10" width="15.140625" style="148" bestFit="1" customWidth="1"/>
    <col min="11" max="11" width="3.5703125" style="95" bestFit="1" customWidth="1"/>
    <col min="12" max="13" width="9.140625" style="95"/>
    <col min="14" max="14" width="10.85546875" style="98" customWidth="1"/>
    <col min="15" max="16" width="9.140625" style="98"/>
    <col min="17" max="16384" width="9.140625" style="95"/>
  </cols>
  <sheetData>
    <row r="1" spans="1:16" s="137" customFormat="1" x14ac:dyDescent="0.25">
      <c r="A1" s="64" t="s">
        <v>369</v>
      </c>
      <c r="B1" s="95"/>
      <c r="C1" s="130"/>
      <c r="D1" s="130" t="s">
        <v>340</v>
      </c>
      <c r="E1" s="130" t="s">
        <v>341</v>
      </c>
      <c r="F1" s="136" t="s">
        <v>126</v>
      </c>
      <c r="G1" s="136" t="s">
        <v>225</v>
      </c>
      <c r="H1" s="136" t="s">
        <v>128</v>
      </c>
      <c r="I1" s="136" t="s">
        <v>226</v>
      </c>
      <c r="J1" s="136" t="s">
        <v>342</v>
      </c>
      <c r="K1" s="139"/>
      <c r="N1" s="140" t="s">
        <v>343</v>
      </c>
      <c r="O1" s="140" t="s">
        <v>254</v>
      </c>
      <c r="P1" s="140" t="s">
        <v>255</v>
      </c>
    </row>
    <row r="2" spans="1:16" s="137" customFormat="1" ht="15.75" thickBot="1" x14ac:dyDescent="0.3">
      <c r="A2" s="65" t="s">
        <v>205</v>
      </c>
      <c r="B2" s="95"/>
      <c r="C2" s="130" t="s">
        <v>344</v>
      </c>
      <c r="D2" s="130">
        <v>0</v>
      </c>
      <c r="E2" s="130">
        <v>0</v>
      </c>
      <c r="F2" s="138">
        <v>0.28867513459986799</v>
      </c>
      <c r="G2" s="138">
        <v>0.50000000003406098</v>
      </c>
      <c r="H2" s="138">
        <v>1.7113248653877899</v>
      </c>
      <c r="I2" s="138">
        <v>0.50000000006777401</v>
      </c>
      <c r="J2" s="136">
        <f>SQRT(($F$2-D2)^2+($G$2-E2)^2)</f>
        <v>0.577350269221651</v>
      </c>
      <c r="K2" s="108"/>
      <c r="N2" s="98" t="str">
        <f>C2</f>
        <v>Location 1</v>
      </c>
      <c r="O2" s="98">
        <f>D2</f>
        <v>0</v>
      </c>
      <c r="P2" s="98">
        <f>E2</f>
        <v>0</v>
      </c>
    </row>
    <row r="3" spans="1:16" s="137" customFormat="1" x14ac:dyDescent="0.25">
      <c r="A3" s="64" t="s">
        <v>209</v>
      </c>
      <c r="B3" s="95"/>
      <c r="C3" s="130" t="s">
        <v>345</v>
      </c>
      <c r="D3" s="130">
        <v>0</v>
      </c>
      <c r="E3" s="130">
        <v>1</v>
      </c>
      <c r="F3" s="136"/>
      <c r="G3" s="136"/>
      <c r="H3" s="136"/>
      <c r="I3" s="136"/>
      <c r="J3" s="136">
        <f>SQRT(($F$2-D3)^2+($G$2-E3)^2)</f>
        <v>0.57735026916265564</v>
      </c>
      <c r="K3" s="108"/>
      <c r="N3" s="98" t="s">
        <v>348</v>
      </c>
      <c r="O3" s="98">
        <f>$F$2</f>
        <v>0.28867513459986799</v>
      </c>
      <c r="P3" s="98">
        <f>$G$2</f>
        <v>0.50000000003406098</v>
      </c>
    </row>
    <row r="4" spans="1:16" s="137" customFormat="1" ht="15.75" thickBot="1" x14ac:dyDescent="0.3">
      <c r="A4" s="65" t="s">
        <v>208</v>
      </c>
      <c r="B4" s="95"/>
      <c r="C4" s="130" t="s">
        <v>346</v>
      </c>
      <c r="D4" s="130">
        <v>2</v>
      </c>
      <c r="E4" s="130">
        <v>1</v>
      </c>
      <c r="F4" s="136"/>
      <c r="G4" s="136"/>
      <c r="H4" s="136"/>
      <c r="I4" s="136"/>
      <c r="J4" s="136">
        <f>SQRT(($H$2-D4)^2+($I$2-E4)^2)</f>
        <v>0.57735026913963039</v>
      </c>
      <c r="K4" s="108"/>
      <c r="N4" s="98"/>
      <c r="O4" s="98"/>
      <c r="P4" s="98"/>
    </row>
    <row r="5" spans="1:16" s="137" customFormat="1" x14ac:dyDescent="0.25">
      <c r="A5" s="64" t="s">
        <v>210</v>
      </c>
      <c r="B5" s="95"/>
      <c r="C5" s="130" t="s">
        <v>347</v>
      </c>
      <c r="D5" s="130">
        <v>2</v>
      </c>
      <c r="E5" s="130">
        <v>0</v>
      </c>
      <c r="F5" s="136"/>
      <c r="G5" s="136"/>
      <c r="H5" s="136"/>
      <c r="I5" s="136"/>
      <c r="J5" s="136">
        <f>SQRT(($H$2-D5)^2+($I$2-E5)^2)</f>
        <v>0.57735026925701838</v>
      </c>
      <c r="K5" s="108"/>
      <c r="N5" s="98" t="str">
        <f>C3</f>
        <v>Location 2</v>
      </c>
      <c r="O5" s="98">
        <f>D3</f>
        <v>0</v>
      </c>
      <c r="P5" s="98">
        <f>E3</f>
        <v>1</v>
      </c>
    </row>
    <row r="6" spans="1:16" s="137" customFormat="1" ht="15.75" thickBot="1" x14ac:dyDescent="0.3">
      <c r="A6" s="65" t="b">
        <f>AND(F23,G23,H23,I23,J23)</f>
        <v>1</v>
      </c>
      <c r="B6" s="95"/>
      <c r="C6" s="141" t="s">
        <v>349</v>
      </c>
      <c r="D6" s="142"/>
      <c r="E6" s="143"/>
      <c r="F6" s="143"/>
      <c r="G6" s="143"/>
      <c r="H6" s="143"/>
      <c r="I6" s="144"/>
      <c r="J6" s="136">
        <f>SQRT((H2-F2)^2+(I2-G2)^2)</f>
        <v>1.422649730787922</v>
      </c>
      <c r="K6" s="108"/>
      <c r="N6" s="98" t="s">
        <v>348</v>
      </c>
      <c r="O6" s="98">
        <f>$F$2</f>
        <v>0.28867513459986799</v>
      </c>
      <c r="P6" s="98">
        <f>$G$2</f>
        <v>0.50000000003406098</v>
      </c>
    </row>
    <row r="7" spans="1:16" x14ac:dyDescent="0.25">
      <c r="A7" s="64" t="s">
        <v>211</v>
      </c>
      <c r="C7" s="125"/>
      <c r="D7" s="145"/>
      <c r="E7" s="125"/>
      <c r="F7" s="125"/>
      <c r="G7" s="125"/>
      <c r="H7" s="125"/>
      <c r="I7" s="146" t="s">
        <v>71</v>
      </c>
      <c r="J7" s="147">
        <f>SUM(J2:J6,K2:K6)</f>
        <v>3.7320508075688772</v>
      </c>
      <c r="K7" s="131"/>
    </row>
    <row r="8" spans="1:16" x14ac:dyDescent="0.25">
      <c r="A8" s="66" t="s">
        <v>201</v>
      </c>
      <c r="N8" s="98" t="str">
        <f>C4</f>
        <v>Location 3</v>
      </c>
      <c r="O8" s="98">
        <f>D4</f>
        <v>2</v>
      </c>
      <c r="P8" s="98">
        <f>E4</f>
        <v>1</v>
      </c>
    </row>
    <row r="9" spans="1:16" ht="15.75" thickBot="1" x14ac:dyDescent="0.3">
      <c r="A9" s="65">
        <f>VLOOKUP(A8,OpenSolverResultCodes,2,FALSE)</f>
        <v>0</v>
      </c>
      <c r="N9" s="98" t="s">
        <v>350</v>
      </c>
      <c r="O9" s="98">
        <f>$H$2</f>
        <v>1.7113248653877899</v>
      </c>
      <c r="P9" s="98">
        <f>$I$2</f>
        <v>0.50000000006777401</v>
      </c>
    </row>
    <row r="11" spans="1:16" x14ac:dyDescent="0.25">
      <c r="N11" s="98" t="str">
        <f>C5</f>
        <v>Location 4</v>
      </c>
      <c r="O11" s="98">
        <f>D5</f>
        <v>2</v>
      </c>
      <c r="P11" s="98">
        <f>E5</f>
        <v>0</v>
      </c>
    </row>
    <row r="12" spans="1:16" x14ac:dyDescent="0.25">
      <c r="N12" s="98" t="s">
        <v>351</v>
      </c>
      <c r="O12" s="98">
        <f>$H$2</f>
        <v>1.7113248653877899</v>
      </c>
      <c r="P12" s="98">
        <f>$I$2</f>
        <v>0.50000000006777401</v>
      </c>
    </row>
    <row r="14" spans="1:16" x14ac:dyDescent="0.25">
      <c r="N14" s="98" t="s">
        <v>348</v>
      </c>
      <c r="O14" s="98">
        <f>$F$2</f>
        <v>0.28867513459986799</v>
      </c>
      <c r="P14" s="98">
        <f>$G$2</f>
        <v>0.50000000003406098</v>
      </c>
    </row>
    <row r="15" spans="1:16" x14ac:dyDescent="0.25">
      <c r="N15" s="98" t="s">
        <v>350</v>
      </c>
      <c r="O15" s="98">
        <f>$H$2</f>
        <v>1.7113248653877899</v>
      </c>
      <c r="P15" s="98">
        <f>$I$2</f>
        <v>0.50000000006777401</v>
      </c>
    </row>
    <row r="18" spans="4:16" x14ac:dyDescent="0.25">
      <c r="N18" s="98" t="s">
        <v>126</v>
      </c>
      <c r="O18" s="98">
        <v>9</v>
      </c>
    </row>
    <row r="19" spans="4:16" x14ac:dyDescent="0.25">
      <c r="N19" s="98" t="s">
        <v>225</v>
      </c>
      <c r="O19" s="98">
        <v>15</v>
      </c>
    </row>
    <row r="20" spans="4:16" x14ac:dyDescent="0.25">
      <c r="N20" s="98" t="s">
        <v>128</v>
      </c>
      <c r="O20" s="98">
        <v>18</v>
      </c>
    </row>
    <row r="21" spans="4:16" x14ac:dyDescent="0.25">
      <c r="N21" s="98" t="s">
        <v>226</v>
      </c>
      <c r="O21" s="98">
        <v>15</v>
      </c>
    </row>
    <row r="23" spans="4:16" x14ac:dyDescent="0.25">
      <c r="F23" s="138">
        <v>0.28867444302612322</v>
      </c>
      <c r="G23" s="138">
        <v>0.49999853295374613</v>
      </c>
      <c r="H23" s="138">
        <v>1.7113233039553806</v>
      </c>
      <c r="I23" s="138">
        <v>0.4999986254183782</v>
      </c>
      <c r="J23" s="147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5"/>
      <c r="F27" s="98"/>
      <c r="G27" s="98"/>
      <c r="H27" s="98"/>
      <c r="J27" s="95"/>
      <c r="N27" s="95"/>
      <c r="O27" s="95"/>
      <c r="P27" s="95"/>
    </row>
    <row r="28" spans="4:16" x14ac:dyDescent="0.25">
      <c r="D28" s="95"/>
      <c r="F28" s="98"/>
      <c r="G28" s="98"/>
      <c r="H28" s="98"/>
      <c r="J28" s="95"/>
      <c r="N28" s="95"/>
      <c r="O28" s="95"/>
      <c r="P28" s="95"/>
    </row>
    <row r="29" spans="4:16" x14ac:dyDescent="0.25">
      <c r="D29" s="95"/>
      <c r="F29" s="98"/>
      <c r="G29" s="98"/>
      <c r="H29" s="98"/>
      <c r="J29" s="95"/>
      <c r="N29" s="95"/>
      <c r="O29" s="95"/>
      <c r="P29" s="95"/>
    </row>
    <row r="30" spans="4:16" x14ac:dyDescent="0.25">
      <c r="D30" s="95"/>
      <c r="F30" s="98"/>
      <c r="G30" s="98"/>
      <c r="H30" s="98"/>
      <c r="J30" s="95"/>
      <c r="N30" s="95"/>
      <c r="O30" s="95"/>
      <c r="P30" s="95"/>
    </row>
    <row r="31" spans="4:16" x14ac:dyDescent="0.25">
      <c r="D31" s="95"/>
      <c r="F31" s="98"/>
      <c r="G31" s="98"/>
      <c r="H31" s="98"/>
      <c r="J31" s="95"/>
      <c r="N31" s="95"/>
      <c r="O31" s="95"/>
      <c r="P31" s="95"/>
    </row>
    <row r="32" spans="4:16" x14ac:dyDescent="0.25">
      <c r="D32" s="95"/>
      <c r="F32" s="98"/>
      <c r="G32" s="98"/>
      <c r="H32" s="98"/>
      <c r="J32" s="95"/>
      <c r="N32" s="95"/>
      <c r="O32" s="95"/>
      <c r="P32" s="95"/>
    </row>
    <row r="33" spans="4:16" x14ac:dyDescent="0.25">
      <c r="D33" s="95"/>
      <c r="F33" s="98"/>
      <c r="G33" s="98"/>
      <c r="H33" s="98"/>
      <c r="J33" s="95"/>
      <c r="N33" s="95"/>
      <c r="O33" s="95"/>
      <c r="P33" s="95"/>
    </row>
    <row r="34" spans="4:16" x14ac:dyDescent="0.25">
      <c r="D34" s="95"/>
      <c r="F34" s="98"/>
      <c r="G34" s="98"/>
      <c r="H34" s="98"/>
      <c r="J34" s="95"/>
      <c r="N34" s="95"/>
      <c r="O34" s="95"/>
      <c r="P34" s="95"/>
    </row>
    <row r="35" spans="4:16" x14ac:dyDescent="0.25">
      <c r="D35" s="95"/>
      <c r="F35" s="98"/>
      <c r="G35" s="98"/>
      <c r="H35" s="98"/>
      <c r="J35" s="95"/>
      <c r="N35" s="95"/>
      <c r="O35" s="95"/>
      <c r="P35" s="95"/>
    </row>
    <row r="36" spans="4:16" x14ac:dyDescent="0.25">
      <c r="D36" s="95"/>
      <c r="F36" s="98"/>
      <c r="G36" s="98"/>
      <c r="H36" s="98"/>
      <c r="J36" s="95"/>
      <c r="N36" s="95"/>
      <c r="O36" s="95"/>
      <c r="P36" s="95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7" sqref="I27"/>
    </sheetView>
  </sheetViews>
  <sheetFormatPr defaultColWidth="10.28515625" defaultRowHeight="15" x14ac:dyDescent="0.25"/>
  <cols>
    <col min="1" max="1" width="15" style="61" bestFit="1" customWidth="1"/>
    <col min="2" max="2" width="3" style="95" customWidth="1"/>
    <col min="3" max="3" width="10.28515625" style="149" customWidth="1"/>
    <col min="4" max="4" width="7" style="149" customWidth="1"/>
    <col min="5" max="16384" width="10.28515625" style="149"/>
  </cols>
  <sheetData>
    <row r="1" spans="1:9" x14ac:dyDescent="0.25">
      <c r="A1" s="64" t="s">
        <v>369</v>
      </c>
      <c r="C1" s="171" t="s">
        <v>352</v>
      </c>
      <c r="D1" s="171"/>
      <c r="E1" s="171"/>
    </row>
    <row r="2" spans="1:9" ht="16.5" thickBot="1" x14ac:dyDescent="0.35">
      <c r="A2" s="65" t="s">
        <v>205</v>
      </c>
      <c r="C2" s="150" t="s">
        <v>353</v>
      </c>
      <c r="D2" s="149">
        <v>3</v>
      </c>
      <c r="H2" s="149" t="s">
        <v>354</v>
      </c>
    </row>
    <row r="3" spans="1:9" ht="15.75" x14ac:dyDescent="0.3">
      <c r="A3" s="64" t="s">
        <v>209</v>
      </c>
      <c r="C3" s="150" t="s">
        <v>355</v>
      </c>
      <c r="D3" s="149">
        <v>5</v>
      </c>
      <c r="H3" s="149">
        <v>0</v>
      </c>
      <c r="I3" s="149">
        <v>0</v>
      </c>
    </row>
    <row r="4" spans="1:9" ht="15.75" thickBot="1" x14ac:dyDescent="0.3">
      <c r="A4" s="65" t="s">
        <v>208</v>
      </c>
      <c r="C4" s="150" t="s">
        <v>356</v>
      </c>
      <c r="D4" s="149">
        <v>7</v>
      </c>
      <c r="H4" s="149">
        <f>COS(RADIANS(D7))*D2</f>
        <v>2.357142849289481</v>
      </c>
      <c r="I4" s="149">
        <f>SIN(RADIANS(D7))*D2</f>
        <v>-1.8557687323703531</v>
      </c>
    </row>
    <row r="5" spans="1:9" x14ac:dyDescent="0.25">
      <c r="A5" s="64" t="s">
        <v>210</v>
      </c>
      <c r="H5" s="149">
        <f>H4+COS(RADIANS(D8))*D3</f>
        <v>6.9999999883487796</v>
      </c>
      <c r="I5" s="149">
        <f>I4+SIN(RADIANS(D8))*D3</f>
        <v>-4.7348702736371706E-10</v>
      </c>
    </row>
    <row r="6" spans="1:9" ht="15.75" thickBot="1" x14ac:dyDescent="0.3">
      <c r="A6" s="65" t="b">
        <f>AND(F16)</f>
        <v>1</v>
      </c>
      <c r="C6" s="171" t="s">
        <v>229</v>
      </c>
      <c r="D6" s="171"/>
      <c r="E6" s="171"/>
    </row>
    <row r="7" spans="1:9" x14ac:dyDescent="0.25">
      <c r="A7" s="64" t="s">
        <v>211</v>
      </c>
      <c r="C7" s="151" t="s">
        <v>357</v>
      </c>
      <c r="D7" s="152">
        <v>-38.213210944206601</v>
      </c>
      <c r="E7" s="149" t="s">
        <v>358</v>
      </c>
    </row>
    <row r="8" spans="1:9" x14ac:dyDescent="0.25">
      <c r="A8" s="66" t="s">
        <v>201</v>
      </c>
      <c r="C8" s="151" t="s">
        <v>359</v>
      </c>
      <c r="D8" s="152">
        <v>741.786789415518</v>
      </c>
      <c r="E8" s="149" t="s">
        <v>358</v>
      </c>
      <c r="H8" s="149">
        <f>D4</f>
        <v>7</v>
      </c>
      <c r="I8" s="149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1" t="s">
        <v>360</v>
      </c>
      <c r="D10" s="171"/>
      <c r="E10" s="171"/>
    </row>
    <row r="11" spans="1:9" x14ac:dyDescent="0.25">
      <c r="C11" s="153" t="s">
        <v>361</v>
      </c>
      <c r="D11" s="153" t="s">
        <v>362</v>
      </c>
      <c r="E11" s="154" t="s">
        <v>363</v>
      </c>
      <c r="F11" s="154" t="s">
        <v>364</v>
      </c>
    </row>
    <row r="12" spans="1:9" x14ac:dyDescent="0.25">
      <c r="C12" s="154">
        <f>D2*COS(RADIANS(D7))+D3*COS(RADIANS(D8))</f>
        <v>6.9999999883487796</v>
      </c>
      <c r="D12" s="154">
        <f>D4</f>
        <v>7</v>
      </c>
      <c r="E12" s="154">
        <f>D12-C12</f>
        <v>1.165122043289557E-8</v>
      </c>
      <c r="F12" s="154">
        <f>E12^2</f>
        <v>1.3575093757592324E-16</v>
      </c>
    </row>
    <row r="13" spans="1:9" x14ac:dyDescent="0.25">
      <c r="C13" s="154">
        <f>D2*SIN(RADIANS(D7))+D3*SIN(RADIANS(D8))</f>
        <v>-4.7348702736371706E-10</v>
      </c>
      <c r="D13" s="154">
        <v>0</v>
      </c>
      <c r="E13" s="154">
        <f>C13-D13</f>
        <v>-4.7348702736371706E-10</v>
      </c>
      <c r="F13" s="154">
        <f>E13^2</f>
        <v>2.2418996508172935E-19</v>
      </c>
    </row>
    <row r="15" spans="1:9" x14ac:dyDescent="0.25">
      <c r="C15" s="171" t="s">
        <v>365</v>
      </c>
      <c r="D15" s="171"/>
      <c r="E15" s="171"/>
      <c r="F15" s="155">
        <f>SUM(F12:F13)</f>
        <v>1.3597512754100497E-16</v>
      </c>
    </row>
    <row r="16" spans="1:9" x14ac:dyDescent="0.25">
      <c r="C16" s="156"/>
      <c r="F16" s="149" t="b">
        <f>ABS(F15)&lt;=0.000001</f>
        <v>1</v>
      </c>
    </row>
    <row r="27" spans="3:4" x14ac:dyDescent="0.25">
      <c r="C27" s="149" t="s">
        <v>366</v>
      </c>
      <c r="D27" s="152">
        <v>-30</v>
      </c>
    </row>
    <row r="28" spans="3:4" x14ac:dyDescent="0.25">
      <c r="C28" s="149" t="s">
        <v>367</v>
      </c>
      <c r="D28" s="152">
        <v>50</v>
      </c>
    </row>
    <row r="30" spans="3:4" x14ac:dyDescent="0.25">
      <c r="C30" s="149" t="s">
        <v>368</v>
      </c>
      <c r="D30" s="152">
        <v>30</v>
      </c>
    </row>
    <row r="31" spans="3:4" x14ac:dyDescent="0.25">
      <c r="D31" s="152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9" x14ac:dyDescent="0.25">
      <c r="A1" s="64" t="s">
        <v>369</v>
      </c>
      <c r="D1" t="s">
        <v>372</v>
      </c>
      <c r="E1" t="s">
        <v>371</v>
      </c>
      <c r="F1" t="s">
        <v>370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7" t="s">
        <v>1</v>
      </c>
      <c r="E11" s="157" t="s">
        <v>2</v>
      </c>
      <c r="F11" s="157" t="s">
        <v>3</v>
      </c>
      <c r="G11" s="157" t="s">
        <v>243</v>
      </c>
    </row>
    <row r="12" spans="1:9" x14ac:dyDescent="0.25">
      <c r="D12" s="157">
        <v>250</v>
      </c>
      <c r="E12" s="157">
        <v>100</v>
      </c>
      <c r="F12" s="157">
        <v>0</v>
      </c>
      <c r="G12" s="157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2014-08-07T02:31:30Z</dcterms:modified>
</cp:coreProperties>
</file>