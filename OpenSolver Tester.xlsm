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.xml" ContentType="application/vnd.openxmlformats-officedocument.drawingml.chart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1715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8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9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0" hidden="1">NOMAD</definedName>
    <definedName name="OpenSolver_ChosenSolver" localSheetId="59" hidden="1">NOMAD</definedName>
    <definedName name="OpenSolver_ChosenSolver" localSheetId="55" hidden="1">NOMAD</definedName>
    <definedName name="OpenSolver_ChosenSolver" localSheetId="58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4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0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2" hidden="1">NOMAD</definedName>
    <definedName name="OpenSolver_ChosenSolver" localSheetId="53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1" hidden="1">Couenne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38" hidden="1">NOMAD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18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GurobiParameters" localSheetId="51" hidden="1">SolverParameters!$F$5:$G$5</definedName>
    <definedName name="OpenSolver_LinearityCheck" localSheetId="18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 hidden="1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999999999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2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4" hidden="1">0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3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7" i="60" l="1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H15" i="2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D20" i="77" l="1"/>
  <c r="I6" i="6" l="1"/>
  <c r="S13" i="75"/>
  <c r="F4" i="68"/>
  <c r="I39" i="3"/>
  <c r="C6" i="95"/>
  <c r="I6" i="71"/>
  <c r="G6" i="70"/>
  <c r="F6" i="69"/>
  <c r="H5" i="19"/>
  <c r="H5" i="38"/>
  <c r="H5" i="20"/>
  <c r="G6" i="65"/>
  <c r="H6" i="4"/>
  <c r="I6" i="66"/>
  <c r="G4" i="92"/>
  <c r="H7" i="57"/>
  <c r="H7" i="11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J6" i="41"/>
  <c r="J6" i="14"/>
  <c r="H7" i="12"/>
  <c r="H6" i="94"/>
  <c r="H7" i="35"/>
  <c r="H7" i="34"/>
  <c r="H7" i="33"/>
  <c r="H7" i="31"/>
  <c r="H6" i="27"/>
  <c r="H6" i="26"/>
  <c r="H6" i="25"/>
  <c r="H6" i="32"/>
  <c r="H6" i="24"/>
  <c r="H6" i="22"/>
  <c r="H6" i="1"/>
  <c r="H6" i="18" l="1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</calcChain>
</file>

<file path=xl/sharedStrings.xml><?xml version="1.0" encoding="utf-8"?>
<sst xmlns="http://schemas.openxmlformats.org/spreadsheetml/2006/main" count="2238" uniqueCount="353">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</sst>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41462552"/>
        <c:axId val="541462944"/>
        <c:axId val="479141248"/>
      </c:surface3DChart>
      <c:catAx>
        <c:axId val="54146255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294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4146294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2552"/>
        <c:crosses val="min"/>
        <c:crossBetween val="between"/>
        <c:majorUnit val="0.1"/>
      </c:valAx>
      <c:serAx>
        <c:axId val="47914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294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63336"/>
        <c:axId val="541464120"/>
      </c:scatterChart>
      <c:valAx>
        <c:axId val="54146333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4120"/>
        <c:crosses val="autoZero"/>
        <c:crossBetween val="midCat"/>
        <c:majorUnit val="0.5"/>
      </c:valAx>
      <c:valAx>
        <c:axId val="54146412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333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6.2139380484326967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3.83022221559489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60984"/>
        <c:axId val="541451576"/>
      </c:scatterChart>
      <c:valAx>
        <c:axId val="5414609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51576"/>
        <c:crosses val="autoZero"/>
        <c:crossBetween val="midCat"/>
        <c:majorUnit val="1"/>
      </c:valAx>
      <c:valAx>
        <c:axId val="54145157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09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topLeftCell="A25" zoomScale="85" zoomScaleNormal="85" zoomScalePageLayoutView="85" workbookViewId="0">
      <selection activeCell="J50" sqref="J5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9" t="s">
        <v>318</v>
      </c>
      <c r="D1" s="169"/>
      <c r="E1" s="169"/>
      <c r="F1" s="169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351</v>
      </c>
      <c r="I17" s="59" t="s">
        <v>351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351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351</v>
      </c>
      <c r="I20" s="59" t="s">
        <v>351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351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Tester.xlsm]'NamedRanges'!A1", "NamedRanges")</f>
        <v>NamedRanges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Tester.xlsm]'QuickSolve'!A1", "QuickSolve")</f>
        <v>QuickSolve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337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Tester.xlsm]'Sensitivity'!A1", "Sensitivity")</f>
        <v>Sensitivity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Tester.xlsm]'SensitivityNames'!A1", "SensitivityNames")</f>
        <v>SensitivityNames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Tester.xlsm]'NonLinSimple'!A1", "NonLinSimple")</f>
        <v>NonLinSimple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Tester.xlsm]'NonLinLarge'!A1", "NonLinLarge")</f>
        <v>NonLinLarge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Tester.xlsm]'NonLinObj'!A1", "NonLinObj")</f>
        <v>NonLinObj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Tester.xlsm]'NonLinPruning'!A1", "NonLinPruning")</f>
        <v>NonLinPruning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Tester.xlsm]'NonLinMinMax'!A1", "NonLinMinMax")</f>
        <v>NonLinMinMax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Tester.xlsm]'NonLinConstraints'!A1", "NonLinConstraints")</f>
        <v>NonLinConstraints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Tester.xlsm]'NonLinBinary'!A1", "NonLinBinary")</f>
        <v>NonLinBinary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Tester.xlsm]'NonLin'!A1", "NonLin")</f>
        <v>NonLin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Tester.xlsm]'NonLin2'!A1", "NonLin2")</f>
        <v>NonLin2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Tester.xlsm]'NonLin3'!A1", "NonLin3")</f>
        <v>NonLin3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Tester.xlsm]'NonLin4'!A1", "NonLin4")</f>
        <v>NonLin4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351</v>
      </c>
      <c r="H65" s="165"/>
    </row>
    <row r="66" spans="1:8" x14ac:dyDescent="0.25">
      <c r="A66" s="155" t="str">
        <f>HYPERLINK("[OpenSolver Tester.xlsm]'NonLin5'!A1", "NonLin5")</f>
        <v>NonLin5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Tester.xlsm]'NonLin6'!A1", "NonLin6")</f>
        <v>NonLin6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0">
        <v>5.2941175999999999</v>
      </c>
      <c r="F5" s="170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0">
        <v>5.2941176470588234</v>
      </c>
      <c r="F5" s="170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0">
        <v>2</v>
      </c>
      <c r="D5" s="170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0">
        <v>150</v>
      </c>
      <c r="K10" s="17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f>SUMPRODUCT($D$5:$F$5,D10:F10)</f>
        <v>116.47058823529413</v>
      </c>
      <c r="H10" s="170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v>5</v>
      </c>
      <c r="H10" s="17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1"/>
      <c r="H11" s="17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O6" sqref="O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2.5851499413934845E+295</v>
      </c>
      <c r="Q4" s="145">
        <v>2.5851499413934845E+295</v>
      </c>
      <c r="R4" s="10">
        <v>2.0681199531147878E+295</v>
      </c>
      <c r="S4" s="9">
        <f>SUM(Q4:R4)</f>
        <v>4.6532698945082723E+295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0</v>
      </c>
      <c r="F5" s="1">
        <v>0</v>
      </c>
      <c r="G5" s="1">
        <v>2.5851499413934845E+295</v>
      </c>
      <c r="J5"/>
      <c r="K5"/>
      <c r="M5" t="s">
        <v>20</v>
      </c>
      <c r="N5">
        <v>2.5851499413934845E+295</v>
      </c>
      <c r="Q5" s="4">
        <v>2.5851499413934845E+295</v>
      </c>
      <c r="R5" s="5">
        <v>2.0681199531147878E+295</v>
      </c>
      <c r="S5" s="4">
        <f>SUM(Q5:R5)</f>
        <v>4.6532698945082723E+295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0</v>
      </c>
      <c r="Q6" s="9">
        <f>SUM(Q4:Q5)</f>
        <v>5.170299882786969E+295</v>
      </c>
      <c r="R6" s="10">
        <f>SUM(R4:R5)</f>
        <v>4.1362399062295756E+295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1.3121187042536769E+297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3.1021799296721814E+296</v>
      </c>
      <c r="J9" s="1" t="s">
        <v>8</v>
      </c>
      <c r="K9" s="1">
        <f>61.2345678+2.3*N4-S5</f>
        <v>1.2925749706967418E+295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5.9458448652050143E+296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-5.9458448652050143E+296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-8.2724798124591504E+296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-1.4864612163012536E+296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0.99999999999999989</v>
      </c>
      <c r="F5" s="1">
        <v>0.99999999999999989</v>
      </c>
      <c r="G5" s="1">
        <v>0</v>
      </c>
      <c r="J5"/>
      <c r="K5"/>
      <c r="M5" t="s">
        <v>20</v>
      </c>
      <c r="N5">
        <v>2.2739219360852646E+307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2.2739219360852646E+307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10.999999999999998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21.999999999999996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121.99999999999999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5.1702998827869695E+294</v>
      </c>
      <c r="Q3" s="9">
        <v>6.4628748534837112E+294</v>
      </c>
      <c r="R3" s="10">
        <v>6.4628748534837112E+294</v>
      </c>
      <c r="S3" s="9">
        <f>SUM(Q3:R3)</f>
        <v>1.2925749706967422E+295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0</v>
      </c>
      <c r="F4" s="1">
        <v>0</v>
      </c>
      <c r="G4" s="134">
        <v>6.4628748534837112E+294</v>
      </c>
      <c r="H4" s="1">
        <v>0</v>
      </c>
      <c r="I4"/>
      <c r="J4"/>
      <c r="K4"/>
      <c r="M4" t="s">
        <v>20</v>
      </c>
      <c r="N4">
        <v>6.4628748534837112E+294</v>
      </c>
      <c r="Q4" s="4">
        <v>6.4628748534837112E+294</v>
      </c>
      <c r="R4" s="5">
        <v>6.4628748534837112E+294</v>
      </c>
      <c r="S4" s="4">
        <f>SUM(Q4:R4)</f>
        <v>1.2925749706967422E+295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1.2925749706967422E+295</v>
      </c>
      <c r="R5" s="10">
        <f>SUM(R3:R4)</f>
        <v>1.2925749706967422E+295</v>
      </c>
    </row>
    <row r="6" spans="1:23" ht="15.75" thickBot="1" x14ac:dyDescent="0.3">
      <c r="A6" s="63" t="b">
        <f>AND(D17,E17,F17,G17,D21,O16,O17,V16,V17,W16,W17)</f>
        <v>0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3.5623366192402214E+296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7.7554498241804535E+295</v>
      </c>
      <c r="J8" s="1" t="s">
        <v>8</v>
      </c>
      <c r="K8" s="1">
        <f>61.2345678+2.3*N3-S4</f>
        <v>-1.034059976557393E+294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1.4864612163012536E+296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-1.4864612163012536E+296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-2.0681199531147876E+296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0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0</v>
      </c>
      <c r="Q16" s="9">
        <v>0</v>
      </c>
      <c r="R16" s="10">
        <v>10.999999999988283</v>
      </c>
      <c r="V16" s="15" t="b">
        <f>ABS(Q3-Q16)/(1+ABS(Q16))&lt;=0.000001</f>
        <v>0</v>
      </c>
      <c r="W16" s="15" t="b">
        <f>ABS(R3-R16)/(1+ABS(R16))&lt;=0.000001</f>
        <v>0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0</v>
      </c>
      <c r="G17" s="8" t="b">
        <f>ABS(G4-G16)/(1+ABS(G16))&lt;=0.000001</f>
        <v>0</v>
      </c>
      <c r="N17">
        <v>0</v>
      </c>
      <c r="O17" s="15" t="b">
        <f>ABS(N4-N17)/(1+ABS(N17))&lt;=0.000001</f>
        <v>0</v>
      </c>
      <c r="Q17" s="4">
        <v>43.999999999954298</v>
      </c>
      <c r="R17" s="5">
        <v>22.000000000080945</v>
      </c>
      <c r="V17" s="15" t="b">
        <f>ABS(Q4-Q17)/(1+ABS(Q17))&lt;=0.000001</f>
        <v>0</v>
      </c>
      <c r="W17" s="15" t="b">
        <f>ABS(R4-R17)/(1+ABS(R17))&lt;=0.000001</f>
        <v>0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0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1.9999999999996376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3.9999999999992752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19.999999999996376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41.99999999999239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41.99999999999239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37.999999999993115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0</v>
      </c>
      <c r="G14" s="160">
        <v>0</v>
      </c>
      <c r="H14" s="160">
        <v>0</v>
      </c>
      <c r="I14">
        <f>SUM(D14:H14)</f>
        <v>199.9999935299999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2.9800023879620398E-6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13249.999901199888</v>
      </c>
      <c r="J20" t="s">
        <v>336</v>
      </c>
    </row>
    <row r="21" spans="3:10" x14ac:dyDescent="0.25">
      <c r="J21">
        <v>100.00000002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5.2941176432347934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252.24913458368931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58.235294075582729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116.47058815116546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116.47058815116546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179.99999986998299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32.633916975965391</v>
      </c>
      <c r="E5">
        <v>0.61285955353369759</v>
      </c>
    </row>
    <row r="6" spans="1:15" ht="15.75" thickBot="1" x14ac:dyDescent="0.3">
      <c r="A6" s="63" t="b">
        <f>AND(F22)</f>
        <v>1</v>
      </c>
      <c r="F6">
        <f>D5^2*E5^2</f>
        <v>400.00031151789682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20.000007787945904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33.246776529499087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32.633916975965391</v>
      </c>
      <c r="G10" t="s">
        <v>9</v>
      </c>
      <c r="H10">
        <v>0</v>
      </c>
    </row>
    <row r="11" spans="1:15" x14ac:dyDescent="0.25">
      <c r="F11">
        <f>E5</f>
        <v>0.61285955353369759</v>
      </c>
      <c r="H11">
        <v>0</v>
      </c>
    </row>
    <row r="12" spans="1:15" x14ac:dyDescent="0.25">
      <c r="F12">
        <f>E5*D5+E5+D5</f>
        <v>53.246784317444991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53.246784317444991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53.246784317444991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-13.246768741553186</v>
      </c>
      <c r="G15" t="s">
        <v>8</v>
      </c>
      <c r="H15">
        <v>0</v>
      </c>
      <c r="O15" s="81"/>
    </row>
    <row r="16" spans="1:15" x14ac:dyDescent="0.25">
      <c r="F16">
        <f>E5-D5*E5+D5</f>
        <v>13.246768741553186</v>
      </c>
      <c r="G16" t="s">
        <v>8</v>
      </c>
      <c r="H16">
        <v>60</v>
      </c>
      <c r="O16" s="81"/>
    </row>
    <row r="17" spans="6:15" x14ac:dyDescent="0.25">
      <c r="F17">
        <f>E5-D5+E5*D5</f>
        <v>-12.021049634485792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0.94240514019536492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2" t="s">
        <v>285</v>
      </c>
      <c r="D1" s="172"/>
      <c r="E1" s="172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6.2139380484326967</v>
      </c>
      <c r="I5" s="125">
        <f>I4+SIN(RADIANS(D8))*D3</f>
        <v>3.83022221559489</v>
      </c>
    </row>
    <row r="6" spans="1:9" ht="15.75" thickBot="1" x14ac:dyDescent="0.3">
      <c r="A6" s="63" t="b">
        <f>AND(F16)</f>
        <v>0</v>
      </c>
      <c r="C6" s="172" t="s">
        <v>224</v>
      </c>
      <c r="D6" s="172"/>
      <c r="E6" s="172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50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2" t="s">
        <v>293</v>
      </c>
      <c r="D10" s="172"/>
      <c r="E10" s="172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6.2139380484326967</v>
      </c>
      <c r="D12" s="130">
        <f>D4</f>
        <v>7</v>
      </c>
      <c r="E12" s="130">
        <f>D12-C12</f>
        <v>0.7860619515673033</v>
      </c>
      <c r="F12" s="130">
        <f>E12^2</f>
        <v>0.61789339170179747</v>
      </c>
    </row>
    <row r="13" spans="1:9" x14ac:dyDescent="0.25">
      <c r="C13" s="130">
        <f>D2*SIN(RADIANS(D7))+D3*SIN(RADIANS(D8))</f>
        <v>3.83022221559489</v>
      </c>
      <c r="D13" s="130">
        <v>0</v>
      </c>
      <c r="E13" s="130">
        <f>C13-D13</f>
        <v>3.83022221559489</v>
      </c>
      <c r="F13" s="130">
        <f>E13^2</f>
        <v>14.670602220836628</v>
      </c>
    </row>
    <row r="15" spans="1:9" x14ac:dyDescent="0.25">
      <c r="C15" s="172" t="s">
        <v>298</v>
      </c>
      <c r="D15" s="172"/>
      <c r="E15" s="172"/>
      <c r="F15" s="131">
        <f>SUM(F12:F13)</f>
        <v>15.288495612538425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3" t="s">
        <v>157</v>
      </c>
      <c r="C33" s="17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164</vt:i4>
      </vt:variant>
    </vt:vector>
  </HeadingPairs>
  <TitlesOfParts>
    <vt:vector size="233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2015-06-01T23:45:15Z</dcterms:modified>
</cp:coreProperties>
</file>