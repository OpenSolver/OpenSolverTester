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7680" yWindow="180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Bonmin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3" hidden="1">CBC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70" hidden="1">Bonmin</definedName>
    <definedName name="OpenSolver_ChosenSolver" localSheetId="71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60" l="1"/>
  <c r="J7" i="87"/>
  <c r="H15" i="2"/>
  <c r="H6" i="94"/>
  <c r="G4" i="92"/>
  <c r="G4" i="90"/>
  <c r="D20" i="77"/>
  <c r="S13" i="75"/>
  <c r="I6" i="71"/>
  <c r="G6" i="70"/>
  <c r="F6" i="69"/>
  <c r="F4" i="68"/>
  <c r="H6" i="67"/>
  <c r="I6" i="66"/>
  <c r="G6" i="65"/>
  <c r="K6" i="63"/>
  <c r="H6" i="6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A10" i="94" l="1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 l="1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I7" i="9" s="1"/>
  <c r="S4" i="8"/>
  <c r="I7" i="8" s="1"/>
  <c r="S3" i="7"/>
  <c r="I6" i="7" s="1"/>
  <c r="D22" i="35"/>
  <c r="D22" i="33"/>
  <c r="D12" i="88"/>
  <c r="E12" i="88" s="1"/>
  <c r="F12" i="88" s="1"/>
  <c r="F15" i="88" s="1"/>
  <c r="P3" i="75"/>
  <c r="P4" i="75"/>
  <c r="D8" i="85"/>
  <c r="D13" i="85" s="1"/>
  <c r="D16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C4" i="76"/>
  <c r="D4" i="76" s="1"/>
  <c r="G8" i="70"/>
  <c r="I7" i="71"/>
  <c r="F9" i="69"/>
  <c r="F22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D17" i="85" l="1"/>
  <c r="A6" i="85" s="1"/>
  <c r="J24" i="87"/>
  <c r="F16" i="88"/>
  <c r="A6" i="88" s="1"/>
  <c r="C6" i="76"/>
  <c r="A7" i="76"/>
  <c r="B7" i="76" s="1"/>
  <c r="D6" i="76"/>
  <c r="A6" i="90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C7" i="76"/>
  <c r="A8" i="76"/>
  <c r="D7" i="76"/>
  <c r="E6" i="76"/>
  <c r="E8" i="76"/>
  <c r="C8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D22" i="9"/>
  <c r="F16" i="9"/>
  <c r="D22" i="8"/>
  <c r="A6" i="8" s="1"/>
  <c r="F16" i="8"/>
  <c r="D21" i="7"/>
  <c r="A6" i="7" s="1"/>
  <c r="F15" i="7"/>
  <c r="A6" i="6"/>
  <c r="A6" i="34"/>
  <c r="A6" i="33"/>
  <c r="A6" i="31"/>
  <c r="A6" i="22"/>
  <c r="F4" i="76" l="1"/>
  <c r="G4" i="76" s="1"/>
  <c r="E7" i="76"/>
  <c r="A9" i="76"/>
  <c r="D8" i="76"/>
  <c r="B8" i="76"/>
  <c r="F8" i="76"/>
  <c r="F5" i="76" l="1"/>
  <c r="F6" i="76"/>
  <c r="F7" i="76"/>
  <c r="G5" i="76"/>
  <c r="G8" i="76"/>
  <c r="G9" i="76"/>
  <c r="G7" i="76"/>
  <c r="G6" i="76"/>
  <c r="H4" i="76"/>
  <c r="C9" i="76"/>
  <c r="D9" i="76"/>
  <c r="A10" i="76"/>
  <c r="E9" i="76"/>
  <c r="B9" i="76"/>
  <c r="F9" i="76"/>
  <c r="A11" i="76" l="1"/>
  <c r="C10" i="76"/>
  <c r="D10" i="76"/>
  <c r="E10" i="76"/>
  <c r="B10" i="76"/>
  <c r="F10" i="76"/>
  <c r="H10" i="76"/>
  <c r="H9" i="76"/>
  <c r="I4" i="76"/>
  <c r="H7" i="76"/>
  <c r="H8" i="76"/>
  <c r="H6" i="76"/>
  <c r="H5" i="76"/>
  <c r="H11" i="76"/>
  <c r="G10" i="76"/>
  <c r="I11" i="76" l="1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AH37" i="76" s="1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AG48" i="76" l="1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<sst xmlns="http://schemas.openxmlformats.org/spreadsheetml/2006/main" count="1938" uniqueCount="415">
  <si>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</si>
  <si>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</si>
  <si>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</si>
  <si>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</si>
  <si>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</si>
  <si>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</si>
  <si>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</si>
  <si>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</si>
  <si>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</si>
  <si>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</si>
  <si>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</si>
  <si>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</si>
  <si>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</si>
  <si>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</si>
  <si>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</si>
  <si>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</si>
  <si>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</si>
  <si>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</si>
  <si>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</si>
  <si>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</si>
  <si>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</si>
  <si>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</si>
  <si>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</si>
  <si>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</si>
  <si>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</si>
  <si>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</si>
  <si>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</si>
  <si>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</si>
  <si>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</si>
  <si>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</si>
  <si>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</si>
  <si>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</si>
  <si>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</si>
  <si>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</si>
  <si>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</si>
  <si>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</si>
  <si>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</si>
  <si>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</si>
  <si>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</si>
  <si>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</si>
  <si>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</si>
  <si>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</si>
  <si>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</si>
  <si>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</si>
  <si>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</si>
  <si>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</si>
  <si>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</si>
  <si>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</si>
  <si>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</si>
  <si>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</si>
  <si>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</si>
  <si>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</si>
  <si>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</si>
  <si>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</si>
  <si>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</si>
  <si>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</si>
  <si>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</si>
  <si>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</si>
  <si>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</si>
  <si>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</si>
  <si>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</si>
  <si>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</si>
  <si>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</si>
  <si>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</si>
  <si>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</si>
  <si>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</si>
  <si>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</si>
  <si>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</si>
  <si>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</si>
  <si>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</si>
  <si>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</si>
  <si>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</si>
  <si>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</si>
  <si>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</si>
  <si>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</si>
  <si>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</si>
  <si>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</si>
  <si>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</si>
  <si>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</si>
  <si>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</si>
  <si>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</si>
  <si>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</si>
  <si>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</si>
  <si>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</si>
  <si>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</si>
  <si>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</si>
  <si>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</si>
  <si>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</si>
  <si>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</si>
  <si>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</si>
  <si>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</si>
  <si>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</si>
  <si>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</si>
  <si>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</si>
  <si>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</si>
  <si>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</si>
  <si>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</si>
  <si>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</si>
  <si>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</si>
  <si>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</si>
  <si>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</si>
  <si>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</si>
  <si>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</si>
  <si>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</si>
  <si>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</si>
  <si>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</si>
  <si>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</si>
  <si>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</si>
  <si>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</si>
  <si>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</si>
  <si>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</si>
  <si>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</si>
  <si>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</si>
  <si>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</si>
  <si>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</si>
  <si>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</si>
  <si>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</si>
  <si>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</si>
  <si>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</si>
  <si>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</si>
  <si>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</si>
  <si>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</si>
  <si>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</si>
  <si>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</si>
  <si>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</si>
  <si>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</si>
  <si>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</si>
  <si>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</si>
  <si>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</si>
  <si>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</si>
  <si>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</si>
  <si>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</si>
  <si>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</si>
  <si>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</si>
  <si>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</si>
  <si>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</si>
  <si>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</si>
  <si>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</si>
  <si>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</si>
  <si>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</si>
  <si>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</si>
  <si>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</si>
  <si>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</si>
  <si>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</si>
  <si>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</si>
  <si>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</si>
  <si>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</si>
  <si>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</si>
  <si>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</si>
  <si>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</si>
  <si>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</si>
  <si>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</si>
  <si>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</si>
  <si>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</si>
  <si>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</si>
  <si>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</si>
  <si>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</si>
  <si>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</si>
  <si>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</si>
  <si>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</si>
  <si>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</si>
  <si>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</si>
  <si>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</si>
  <si>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</si>
  <si>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</si>
  <si>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</si>
  <si>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</si>
  <si>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</si>
  <si>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</si>
  <si>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</si>
  <si>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</si>
  <si>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</si>
  <si>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</si>
  <si>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</si>
  <si>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</si>
  <si>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</si>
  <si>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</si>
  <si>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</si>
  <si>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</si>
  <si>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</si>
  <si>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</si>
  <si>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</si>
  <si>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</si>
  <si>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</si>
  <si>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</si>
  <si>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</si>
  <si>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</si>
  <si>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</si>
  <si>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</si>
  <si>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</si>
  <si>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</si>
  <si>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</si>
  <si>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</si>
  <si>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</si>
  <si>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</si>
  <si>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</si>
  <si>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</si>
  <si>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</si>
  <si>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</si>
  <si>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</si>
  <si>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</si>
  <si>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</si>
  <si>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</si>
  <si>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</si>
  <si>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</si>
  <si>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</si>
  <si>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</si>
  <si>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</si>
  <si>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</si>
  <si>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</si>
  <si>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</si>
  <si>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</si>
  <si>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</si>
  <si>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</si>
  <si>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</si>
  <si>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</si>
  <si>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</si>
  <si>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</si>
  <si>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</si>
  <si>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</si>
  <si>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</si>
  <si>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</si>
  <si>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</si>
  <si>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</si>
  <si>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</si>
  <si>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</si>
  <si>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</si>
  <si>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</si>
  <si>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</si>
  <si>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</si>
  <si>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</si>
  <si>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</si>
  <si>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</si>
  <si>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</si>
  <si>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</si>
  <si>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</si>
  <si>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</si>
  <si>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</si>
  <si>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</si>
  <si>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</si>
  <si>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</si>
  <si>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</si>
  <si>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</si>
  <si>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</si>
  <si>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</si>
  <si>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</si>
  <si>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</si>
  <si>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</si>
  <si>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</si>
  <si>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</si>
  <si>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</si>
  <si>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</si>
  <si>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</si>
  <si>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</si>
  <si>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</si>
  <si>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</si>
  <si>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</si>
  <si>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</si>
  <si>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</si>
  <si>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</si>
  <si>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</si>
  <si>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</si>
  <si>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</si>
  <si>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</si>
  <si>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</si>
  <si>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</si>
  <si>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</si>
  <si>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</si>
  <si>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</si>
  <si>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</si>
  <si>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</si>
  <si>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</si>
  <si>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</si>
  <si>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</si>
  <si>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</si>
  <si>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</si>
  <si>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</si>
  <si>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</si>
  <si>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</si>
  <si>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</si>
  <si>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</si>
  <si>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</si>
  <si>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</si>
  <si>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</si>
  <si>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</si>
  <si>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</si>
  <si>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</si>
  <si>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</si>
  <si>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</si>
  <si>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</si>
  <si>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</si>
  <si>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</si>
  <si>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</si>
  <si>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</si>
  <si>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</si>
  <si>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</si>
  <si>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</si>
  <si>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</si>
  <si>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</si>
  <si>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</si>
  <si>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</si>
  <si>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</si>
  <si>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</si>
  <si>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</si>
  <si>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</si>
  <si>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</si>
  <si>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</si>
  <si>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</si>
  <si>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</si>
  <si>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</si>
  <si>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</si>
  <si>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</si>
  <si>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</si>
  <si>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</si>
  <si>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</si>
  <si>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</si>
  <si>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</si>
  <si>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</si>
  <si>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</si>
  <si>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</si>
  <si>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</si>
  <si>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</si>
  <si>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</si>
  <si>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</si>
  <si>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</si>
  <si>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</si>
  <si>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</si>
  <si>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</si>
  <si>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</si>
  <si>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</si>
  <si>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</si>
  <si>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</si>
  <si>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</si>
  <si>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</si>
  <si>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</si>
  <si>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</si>
  <si>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</si>
  <si>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</si>
  <si>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</si>
  <si>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</si>
  <si>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</si>
  <si>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</si>
  <si>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</si>
  <si>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</si>
  <si>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</si>
  <si>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</si>
  <si>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</si>
  <si>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</si>
  <si>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</si>
  <si>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</si>
  <si>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</si>
  <si>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</si>
  <si>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</si>
  <si>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</si>
  <si>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</si>
  <si>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</si>
  <si>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</si>
  <si>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</si>
  <si>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</si>
  <si>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</si>
  <si>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</si>
  <si>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</si>
  <si>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</si>
  <si>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</si>
  <si>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</si>
  <si>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</si>
  <si>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</si>
  <si>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</si>
  <si>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</si>
  <si>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</si>
  <si>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</si>
  <si>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</si>
  <si>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</si>
  <si>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</si>
  <si>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</si>
  <si>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</si>
  <si>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</si>
  <si>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</si>
  <si>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</si>
  <si>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</si>
  <si>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</si>
  <si>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</si>
  <si>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</si>
  <si>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</si>
  <si>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</si>
  <si>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</si>
  <si>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</si>
  <si>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</si>
  <si>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</si>
  <si>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</si>
  <si>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</si>
  <si>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</si>
  <si>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</si>
  <si>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</si>
  <si>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</si>
  <si>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</si>
  <si>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</si>
  <si>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</si>
  <si>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</si>
  <si>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</si>
  <si>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</si>
  <si>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</si>
  <si>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</si>
  <si>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</si>
  <si>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</si>
  <si>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</si>
  <si>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</si>
  <si>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</si>
  <si>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</si>
  <si>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</si>
  <si>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OpenSolver Sensitivity Report - Gurobi</t>
  </si>
  <si>
    <t>Report Created: 30/01/2015 11:36:05 a.m.</t>
  </si>
  <si>
    <t>Report Created: 30/01/2015 11:36:09 a.m.</t>
  </si>
  <si>
    <t>FAIL*</t>
  </si>
  <si>
    <t>Report Created: 30/01/2015 11:36:12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</si>
</sst>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31839280"/>
        <c:axId val="331836536"/>
        <c:axId val="428932144"/>
      </c:surface3DChart>
      <c:catAx>
        <c:axId val="33183928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53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3183653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9280"/>
        <c:crosses val="min"/>
        <c:crossBetween val="between"/>
        <c:majorUnit val="0.1"/>
      </c:valAx>
      <c:serAx>
        <c:axId val="42893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53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0.6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</c:v>
                </c:pt>
                <c:pt idx="3">
                  <c:v>0</c:v>
                </c:pt>
                <c:pt idx="4">
                  <c:v>0.2</c:v>
                </c:pt>
                <c:pt idx="6">
                  <c:v>2</c:v>
                </c:pt>
                <c:pt idx="7">
                  <c:v>0.6</c:v>
                </c:pt>
                <c:pt idx="9">
                  <c:v>2</c:v>
                </c:pt>
                <c:pt idx="10">
                  <c:v>0.6</c:v>
                </c:pt>
                <c:pt idx="12">
                  <c:v>0.2</c:v>
                </c:pt>
                <c:pt idx="13">
                  <c:v>0.6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0.8</c:v>
                </c:pt>
                <c:pt idx="3">
                  <c:v>1</c:v>
                </c:pt>
                <c:pt idx="4">
                  <c:v>0.8</c:v>
                </c:pt>
                <c:pt idx="6">
                  <c:v>1</c:v>
                </c:pt>
                <c:pt idx="7">
                  <c:v>0.4</c:v>
                </c:pt>
                <c:pt idx="9">
                  <c:v>0</c:v>
                </c:pt>
                <c:pt idx="10">
                  <c:v>0.4</c:v>
                </c:pt>
                <c:pt idx="12">
                  <c:v>0.8</c:v>
                </c:pt>
                <c:pt idx="13">
                  <c:v>0.4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34576"/>
        <c:axId val="331840848"/>
      </c:scatterChart>
      <c:valAx>
        <c:axId val="33183457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40848"/>
        <c:crosses val="autoZero"/>
        <c:crossBetween val="midCat"/>
        <c:majorUnit val="0.5"/>
      </c:valAx>
      <c:valAx>
        <c:axId val="33184084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457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2.3571428570978941</c:v>
                </c:pt>
                <c:pt idx="2">
                  <c:v>6.9999999999275389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1.8557687224523363</c:v>
                </c:pt>
                <c:pt idx="2">
                  <c:v>-1.1685763467994548E-11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37712"/>
        <c:axId val="331836144"/>
      </c:scatterChart>
      <c:valAx>
        <c:axId val="33183771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6144"/>
        <c:crosses val="autoZero"/>
        <c:crossBetween val="midCat"/>
        <c:majorUnit val="1"/>
      </c:valAx>
      <c:valAx>
        <c:axId val="33183614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83771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628650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sf\Dropbox\Jack\Dropbox\Scratch\OpenSolverNew\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68"/>
  <sheetViews>
    <sheetView tabSelected="1" zoomScale="85" zoomScaleNormal="85" zoomScalePageLayoutView="85" workbookViewId="0">
      <selection activeCell="H32" sqref="H32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5" t="s">
        <v>391</v>
      </c>
      <c r="D1" s="175"/>
      <c r="E1" s="175"/>
      <c r="F1" s="175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368</v>
      </c>
      <c r="I2" s="166" t="s">
        <v>374</v>
      </c>
    </row>
    <row r="3" spans="1:9" x14ac:dyDescent="0.25">
      <c r="A3" s="172" t="str">
        <f>HYPERLINK("[OpenSolver Tester.xlsm]Test40!A1", "Test40")</f>
        <v>Test40</v>
      </c>
      <c r="B3" s="60" t="s">
        <v>390</v>
      </c>
      <c r="C3" s="60" t="s">
        <v>390</v>
      </c>
      <c r="D3" s="60" t="s">
        <v>390</v>
      </c>
      <c r="E3" s="60" t="s">
        <v>390</v>
      </c>
      <c r="F3" s="60" t="s">
        <v>413</v>
      </c>
      <c r="G3" s="60" t="s">
        <v>390</v>
      </c>
      <c r="H3" s="60" t="s">
        <v>390</v>
      </c>
      <c r="I3" s="60" t="s">
        <v>390</v>
      </c>
    </row>
    <row r="4" spans="1:9" x14ac:dyDescent="0.25">
      <c r="A4" s="172"/>
    </row>
    <row r="5" spans="1:9" x14ac:dyDescent="0.25">
      <c r="A5" s="172"/>
    </row>
    <row r="6" spans="1:9" x14ac:dyDescent="0.25">
      <c r="A6" s="172"/>
    </row>
    <row r="7" spans="1:9" x14ac:dyDescent="0.25">
      <c r="A7" s="172"/>
    </row>
    <row r="8" spans="1:9" x14ac:dyDescent="0.25">
      <c r="A8" s="172"/>
    </row>
    <row r="9" spans="1:9" x14ac:dyDescent="0.25">
      <c r="A9" s="172"/>
    </row>
    <row r="10" spans="1:9" x14ac:dyDescent="0.25">
      <c r="A10" s="172"/>
    </row>
    <row r="11" spans="1:9" x14ac:dyDescent="0.25">
      <c r="A11" s="172"/>
    </row>
    <row r="12" spans="1:9" x14ac:dyDescent="0.25">
      <c r="A12" s="172"/>
    </row>
    <row r="13" spans="1:9" x14ac:dyDescent="0.25">
      <c r="A13" s="172"/>
    </row>
    <row r="14" spans="1:9" x14ac:dyDescent="0.25">
      <c r="A14" s="172"/>
    </row>
    <row r="15" spans="1:9" x14ac:dyDescent="0.25">
      <c r="A15" s="172"/>
    </row>
    <row r="16" spans="1:9" x14ac:dyDescent="0.25">
      <c r="A16" s="172"/>
    </row>
    <row r="17" spans="1:1" x14ac:dyDescent="0.25">
      <c r="A17" s="172"/>
    </row>
    <row r="18" spans="1:1" x14ac:dyDescent="0.25">
      <c r="A18" s="172"/>
    </row>
    <row r="19" spans="1:1" x14ac:dyDescent="0.25">
      <c r="A19" s="172"/>
    </row>
    <row r="20" spans="1:1" x14ac:dyDescent="0.25">
      <c r="A20" s="172"/>
    </row>
    <row r="21" spans="1:1" x14ac:dyDescent="0.25">
      <c r="A21" s="172"/>
    </row>
    <row r="22" spans="1:1" x14ac:dyDescent="0.25">
      <c r="A22" s="172"/>
    </row>
    <row r="23" spans="1:1" x14ac:dyDescent="0.25">
      <c r="A23" s="172"/>
    </row>
    <row r="24" spans="1:1" x14ac:dyDescent="0.25">
      <c r="A24" s="172"/>
    </row>
    <row r="25" spans="1:1" x14ac:dyDescent="0.25">
      <c r="A25" s="172"/>
    </row>
    <row r="26" spans="1:1" x14ac:dyDescent="0.25">
      <c r="A26" s="172"/>
    </row>
    <row r="27" spans="1:1" x14ac:dyDescent="0.25">
      <c r="A27" s="172"/>
    </row>
    <row r="28" spans="1:1" x14ac:dyDescent="0.25">
      <c r="A28" s="172"/>
    </row>
    <row r="29" spans="1:1" x14ac:dyDescent="0.25">
      <c r="A29" s="172"/>
    </row>
    <row r="30" spans="1:1" x14ac:dyDescent="0.25">
      <c r="A30" s="172"/>
    </row>
    <row r="31" spans="1:1" x14ac:dyDescent="0.25">
      <c r="A31" s="172"/>
    </row>
    <row r="32" spans="1:1" x14ac:dyDescent="0.25">
      <c r="A32" s="172"/>
    </row>
    <row r="33" spans="1:1" x14ac:dyDescent="0.25">
      <c r="A33" s="172"/>
    </row>
    <row r="34" spans="1:1" x14ac:dyDescent="0.25">
      <c r="A34" s="172"/>
    </row>
    <row r="35" spans="1:1" x14ac:dyDescent="0.25">
      <c r="A35" s="172"/>
    </row>
    <row r="36" spans="1:1" x14ac:dyDescent="0.25">
      <c r="A36" s="172"/>
    </row>
    <row r="37" spans="1:1" x14ac:dyDescent="0.25">
      <c r="A37" s="172"/>
    </row>
    <row r="38" spans="1:1" x14ac:dyDescent="0.25">
      <c r="A38" s="172"/>
    </row>
    <row r="39" spans="1:1" x14ac:dyDescent="0.25">
      <c r="A39" s="172"/>
    </row>
    <row r="40" spans="1:1" x14ac:dyDescent="0.25">
      <c r="A40" s="172"/>
    </row>
    <row r="41" spans="1:1" x14ac:dyDescent="0.25">
      <c r="A41" s="172"/>
    </row>
    <row r="42" spans="1:1" x14ac:dyDescent="0.25">
      <c r="A42" s="172"/>
    </row>
    <row r="43" spans="1:1" x14ac:dyDescent="0.25">
      <c r="A43" s="172"/>
    </row>
    <row r="44" spans="1:1" x14ac:dyDescent="0.25">
      <c r="A44" s="172"/>
    </row>
    <row r="45" spans="1:1" x14ac:dyDescent="0.25">
      <c r="A45" s="172"/>
    </row>
    <row r="46" spans="1:1" x14ac:dyDescent="0.25">
      <c r="A46" s="172"/>
    </row>
    <row r="47" spans="1:1" x14ac:dyDescent="0.25">
      <c r="A47" s="172"/>
    </row>
    <row r="48" spans="1:1" x14ac:dyDescent="0.25">
      <c r="A48" s="172"/>
    </row>
    <row r="49" spans="1:1" x14ac:dyDescent="0.25">
      <c r="A49" s="172"/>
    </row>
    <row r="50" spans="1:1" x14ac:dyDescent="0.25">
      <c r="A50" s="172"/>
    </row>
    <row r="51" spans="1:1" x14ac:dyDescent="0.25">
      <c r="A51" s="172"/>
    </row>
    <row r="52" spans="1:1" x14ac:dyDescent="0.25">
      <c r="A52" s="172"/>
    </row>
    <row r="53" spans="1:1" x14ac:dyDescent="0.25">
      <c r="A53" s="172"/>
    </row>
    <row r="54" spans="1:1" x14ac:dyDescent="0.25">
      <c r="A54" s="172"/>
    </row>
    <row r="55" spans="1:1" x14ac:dyDescent="0.25">
      <c r="A55" s="172"/>
    </row>
    <row r="56" spans="1:1" x14ac:dyDescent="0.25">
      <c r="A56" s="172"/>
    </row>
    <row r="57" spans="1:1" x14ac:dyDescent="0.25">
      <c r="A57" s="172"/>
    </row>
    <row r="58" spans="1:1" x14ac:dyDescent="0.25">
      <c r="A58" s="172"/>
    </row>
    <row r="59" spans="1:1" x14ac:dyDescent="0.25">
      <c r="A59" s="172"/>
    </row>
    <row r="60" spans="1:1" x14ac:dyDescent="0.25">
      <c r="A60" s="172"/>
    </row>
    <row r="61" spans="1:1" x14ac:dyDescent="0.25">
      <c r="A61" s="172"/>
    </row>
    <row r="62" spans="1:1" x14ac:dyDescent="0.25">
      <c r="A62" s="172"/>
    </row>
    <row r="63" spans="1:1" x14ac:dyDescent="0.25">
      <c r="A63" s="172"/>
    </row>
    <row r="64" spans="1:1" x14ac:dyDescent="0.25">
      <c r="A64" s="172"/>
    </row>
    <row r="65" spans="1:1" x14ac:dyDescent="0.25">
      <c r="A65" s="172"/>
    </row>
    <row r="66" spans="1:1" x14ac:dyDescent="0.25">
      <c r="A66" s="172"/>
    </row>
    <row r="67" spans="1:1" x14ac:dyDescent="0.25">
      <c r="A67" s="172"/>
    </row>
    <row r="68" spans="1:1" x14ac:dyDescent="0.25">
      <c r="A68" s="172"/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H17" sqref="H17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5.2941176432133004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5.29411764321907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15.882352929657209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58.235294075409769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116.47058815081954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179.99999986944837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6">
        <v>5.2941175999999999</v>
      </c>
      <c r="F5" s="176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6">
        <v>5.2941176526297902</v>
      </c>
      <c r="F5" s="176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6">
        <v>2</v>
      </c>
      <c r="D5" s="176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6">
        <v>150</v>
      </c>
      <c r="K10" s="176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5.2941176526297902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6">
        <f>SUMPRODUCT($D$5:$F$5,D10:F10)</f>
        <v>116.47058835785538</v>
      </c>
      <c r="H10" s="176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7">
        <v>5</v>
      </c>
      <c r="H10" s="177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7"/>
      <c r="H11" s="177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7679518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7417170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7531799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7987143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141450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33135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5.2941176432347996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252.24913458368994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58.235294075582793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116.47058815116559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116.47058815116559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179.99999986998318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2.6182822537944399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-1.0000000099949999</v>
      </c>
      <c r="E4" s="54">
        <v>-2.0000000199966701</v>
      </c>
      <c r="F4" s="150">
        <v>-9.9975000000010297E-9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-9.9975000000010297E-9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-9.9975000000010297E-9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-2.0000000199966701</v>
      </c>
      <c r="F6" s="150">
        <v>-9.9975000000010198E-9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-6.00000009998001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-9.9975000000010198E-9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-1.0000000099949999</v>
      </c>
      <c r="E6" s="54">
        <v>-2.0000000199966701</v>
      </c>
      <c r="F6" s="150">
        <v>-9.9975000000022605E-9</v>
      </c>
      <c r="G6" s="54">
        <v>0</v>
      </c>
      <c r="H6">
        <f>SUM(D6:F6)</f>
        <v>-3.0000000399891702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-8.0000001199700108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-1.0000000099949999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-2.0000000199966701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-9.9975000000022605E-9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-2.0000000099101101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253799</v>
      </c>
      <c r="N9" s="58">
        <f ca="1">M9+1</f>
        <v>253800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0.16387950916791499</v>
      </c>
      <c r="E5" s="59">
        <v>5.2261757755666496</v>
      </c>
      <c r="F5" s="59">
        <v>2.51152201080149E-2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59.428111264208475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118.99498681747684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117.83968669250817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179.99999999999997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5703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243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411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409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1.00000000004005</v>
      </c>
      <c r="F4">
        <f>100*(D4-C4^2)^2+(1-C4)^2</f>
        <v>4.0024966671309212E-22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C14" sqref="C14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20.996550579410801</v>
      </c>
      <c r="E5">
        <v>0.95253742391437002</v>
      </c>
    </row>
    <row r="6" spans="1:15" ht="15.75" thickBot="1" x14ac:dyDescent="0.3">
      <c r="A6" s="64" t="b">
        <f>AND(F22)</f>
        <v>1</v>
      </c>
      <c r="F6">
        <f>D5^2*E5^2</f>
        <v>400.00000799998958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20.000000199999739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21.949088003325173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20.996550579410801</v>
      </c>
      <c r="G10" t="s">
        <v>9</v>
      </c>
      <c r="H10">
        <v>0</v>
      </c>
    </row>
    <row r="11" spans="1:15" x14ac:dyDescent="0.25">
      <c r="F11">
        <f>E5</f>
        <v>0.95253742391437002</v>
      </c>
      <c r="H11">
        <v>0</v>
      </c>
    </row>
    <row r="12" spans="1:15" x14ac:dyDescent="0.25">
      <c r="F12">
        <f>E5*D5+E5+D5</f>
        <v>41.949088203324912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41.949088203324912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41.949088203324912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-1.9490878033254333</v>
      </c>
      <c r="G15" t="s">
        <v>8</v>
      </c>
      <c r="H15">
        <v>0</v>
      </c>
      <c r="O15" s="83"/>
    </row>
    <row r="16" spans="1:15" x14ac:dyDescent="0.25">
      <c r="F16">
        <f>E5-D5*E5+D5</f>
        <v>1.9490878033254333</v>
      </c>
      <c r="G16" t="s">
        <v>8</v>
      </c>
      <c r="H16">
        <v>60</v>
      </c>
      <c r="O16" s="83"/>
    </row>
    <row r="17" spans="6:15" x14ac:dyDescent="0.25">
      <c r="F17">
        <f>E5-D5+E5*D5</f>
        <v>-4.4012955496690154E-2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408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81887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3.13821479249401</v>
      </c>
      <c r="E5">
        <v>3.13821479249401</v>
      </c>
      <c r="F5">
        <v>3.13821479249401</v>
      </c>
      <c r="G5">
        <v>3.13821479249401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-5.7121500046391915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-44.499286675264955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-31.946427505288916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0.94240514092650196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0.41277404754665797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284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412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74"/>
      <c r="C22" s="174"/>
      <c r="D22" s="174"/>
      <c r="E22" s="174"/>
      <c r="F22" s="174"/>
      <c r="G22" s="174"/>
      <c r="H22" s="174"/>
    </row>
    <row r="23" spans="1:8" ht="15.75" thickBot="1" x14ac:dyDescent="0.3">
      <c r="A23" s="17" t="s">
        <v>134</v>
      </c>
      <c r="B23" s="174"/>
      <c r="C23" s="174"/>
      <c r="D23" s="174"/>
      <c r="E23" s="174"/>
      <c r="F23" s="174"/>
      <c r="G23" s="174"/>
      <c r="H23" s="174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4"/>
      <c r="C33" s="174"/>
      <c r="D33" s="174"/>
      <c r="E33" s="174"/>
      <c r="F33" s="174"/>
      <c r="G33" s="174"/>
      <c r="H33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100.00000002</v>
      </c>
      <c r="E14">
        <v>99.999993509999896</v>
      </c>
      <c r="F14">
        <v>0</v>
      </c>
      <c r="G14">
        <v>0</v>
      </c>
      <c r="H14">
        <v>0</v>
      </c>
      <c r="I14">
        <f>SUM(D14:H14)</f>
        <v>199.9999935299999</v>
      </c>
      <c r="J14">
        <v>200</v>
      </c>
    </row>
    <row r="15" spans="1:10" x14ac:dyDescent="0.25">
      <c r="C15" t="s">
        <v>263</v>
      </c>
      <c r="D15">
        <v>0</v>
      </c>
      <c r="E15" s="81">
        <v>2.9800023596236302E-6</v>
      </c>
      <c r="F15">
        <v>200.000000019997</v>
      </c>
      <c r="G15" s="81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264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300.00000000000028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13249.999901199888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135.09256086288099</v>
      </c>
      <c r="E11" s="123"/>
    </row>
    <row r="12" spans="1:5" x14ac:dyDescent="0.25">
      <c r="C12" s="121" t="s">
        <v>328</v>
      </c>
      <c r="D12" s="122">
        <f>D11/D4</f>
        <v>27.018512172576198</v>
      </c>
      <c r="E12" s="123"/>
    </row>
    <row r="13" spans="1:5" x14ac:dyDescent="0.25">
      <c r="C13" s="121" t="s">
        <v>329</v>
      </c>
      <c r="D13" s="124">
        <f>D8*D11/2</f>
        <v>0.37011660510378352</v>
      </c>
      <c r="E13" s="123"/>
    </row>
    <row r="14" spans="1:5" x14ac:dyDescent="0.25">
      <c r="C14" s="121" t="s">
        <v>330</v>
      </c>
      <c r="D14" s="126">
        <f>D5/D12</f>
        <v>0.37011660509382172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0.74023321019760524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0.2</v>
      </c>
      <c r="G2" s="130">
        <v>0.8</v>
      </c>
      <c r="H2" s="130">
        <v>0.6</v>
      </c>
      <c r="I2" s="130">
        <v>0.4</v>
      </c>
      <c r="J2" s="128">
        <f>SQRT(($F$2-D2)^2+($G$2-E2)^2)</f>
        <v>0.82462112512353225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0.28284271247461901</v>
      </c>
      <c r="K3" s="100"/>
      <c r="N3" s="90" t="s">
        <v>343</v>
      </c>
      <c r="O3" s="90">
        <f>$F$2</f>
        <v>0.2</v>
      </c>
      <c r="P3" s="90">
        <f>$G$2</f>
        <v>0.8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1.5231546211727816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1.4560219778561034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0.56568542494923801</v>
      </c>
      <c r="K6" s="100"/>
      <c r="N6" s="90" t="s">
        <v>343</v>
      </c>
      <c r="O6" s="90">
        <f>$F$2</f>
        <v>0.2</v>
      </c>
      <c r="P6" s="90">
        <f>$G$2</f>
        <v>0.8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4.6523258615762737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0.6</v>
      </c>
      <c r="P9" s="90">
        <f>$I$2</f>
        <v>0.4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0.6</v>
      </c>
      <c r="P12" s="90">
        <f>$I$2</f>
        <v>0.4</v>
      </c>
    </row>
    <row r="14" spans="1:16" x14ac:dyDescent="0.25">
      <c r="N14" s="90" t="s">
        <v>343</v>
      </c>
      <c r="O14" s="90">
        <f>$F$2</f>
        <v>0.2</v>
      </c>
      <c r="P14" s="90">
        <f>$G$2</f>
        <v>0.8</v>
      </c>
    </row>
    <row r="15" spans="1:16" x14ac:dyDescent="0.25">
      <c r="N15" s="90" t="s">
        <v>345</v>
      </c>
      <c r="O15" s="90">
        <f>$H$2</f>
        <v>0.6</v>
      </c>
      <c r="P15" s="90">
        <f>$I$2</f>
        <v>0.4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78" t="s">
        <v>347</v>
      </c>
      <c r="D1" s="178"/>
      <c r="E1" s="178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2.3571428570978941</v>
      </c>
      <c r="I4" s="141">
        <f>SIN(RADIANS(D7))*D2</f>
        <v>1.8557687224523363</v>
      </c>
    </row>
    <row r="5" spans="1:9" x14ac:dyDescent="0.25">
      <c r="A5" s="63" t="s">
        <v>210</v>
      </c>
      <c r="H5" s="141">
        <f>H4+COS(RADIANS(D8))*D3</f>
        <v>6.9999999999275389</v>
      </c>
      <c r="I5" s="141">
        <f>I4+SIN(RADIANS(D8))*D3</f>
        <v>-1.1685763467994548E-11</v>
      </c>
    </row>
    <row r="6" spans="1:9" ht="15.75" thickBot="1" x14ac:dyDescent="0.3">
      <c r="A6" s="64" t="b">
        <f>AND(F16)</f>
        <v>1</v>
      </c>
      <c r="C6" s="178" t="s">
        <v>228</v>
      </c>
      <c r="D6" s="178"/>
      <c r="E6" s="178"/>
    </row>
    <row r="7" spans="1:9" x14ac:dyDescent="0.25">
      <c r="A7" s="63" t="s">
        <v>211</v>
      </c>
      <c r="C7" s="143" t="s">
        <v>352</v>
      </c>
      <c r="D7" s="144">
        <v>38.2132107031264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-21.786789299110801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78" t="s">
        <v>355</v>
      </c>
      <c r="D10" s="178"/>
      <c r="E10" s="178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6.9999999999275389</v>
      </c>
      <c r="D12" s="146">
        <f>D4</f>
        <v>7</v>
      </c>
      <c r="E12" s="146">
        <f>D12-C12</f>
        <v>7.2461148192815017E-11</v>
      </c>
      <c r="F12" s="146">
        <f>E12^2</f>
        <v>5.250617997421099E-21</v>
      </c>
    </row>
    <row r="13" spans="1:9" x14ac:dyDescent="0.25">
      <c r="C13" s="146">
        <f>D2*SIN(RADIANS(D7))+D3*SIN(RADIANS(D8))</f>
        <v>-1.1685763467994548E-11</v>
      </c>
      <c r="D13" s="146">
        <v>0</v>
      </c>
      <c r="E13" s="146">
        <f>C13-D13</f>
        <v>-1.1685763467994548E-11</v>
      </c>
      <c r="F13" s="146">
        <f>E13^2</f>
        <v>1.3655706782991596E-22</v>
      </c>
    </row>
    <row r="15" spans="1:9" x14ac:dyDescent="0.25">
      <c r="C15" s="178" t="s">
        <v>360</v>
      </c>
      <c r="D15" s="178"/>
      <c r="E15" s="178"/>
      <c r="F15" s="147">
        <f>SUM(F12:F13)</f>
        <v>5.387175065251015E-21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410</v>
      </c>
    </row>
    <row r="2" spans="1:8" x14ac:dyDescent="0.25">
      <c r="A2" s="17" t="s">
        <v>404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414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401</v>
      </c>
      <c r="C7" s="75" t="s">
        <v>405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402</v>
      </c>
      <c r="C8" s="75" t="s">
        <v>406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403</v>
      </c>
      <c r="C9" s="111" t="s">
        <v>407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398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5703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5.75" thickBot="1" x14ac:dyDescent="0.3">
      <c r="A2" s="64" t="s">
        <v>205</v>
      </c>
      <c r="D2">
        <v>249.99999999014099</v>
      </c>
      <c r="E2">
        <v>100.000000019719</v>
      </c>
      <c r="F2" s="81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50.000000003943853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350.00000000986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-499.99999998028198</v>
      </c>
      <c r="H8" t="s">
        <v>8</v>
      </c>
      <c r="I8">
        <v>0</v>
      </c>
      <c r="L8" t="s">
        <v>401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403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5.2941176432133004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15.8823529296399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58.235294075346303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116.47058815069261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116.47058815069261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179.99999986925221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9" t="s">
        <v>157</v>
      </c>
      <c r="C33" s="180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2015-01-30T16:41:18Z</dcterms:modified>
</cp:coreProperties>
</file>