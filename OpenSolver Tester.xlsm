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harts/chart1.xml" ContentType="application/vnd.openxmlformats-officedocument.drawingml.chart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charts/chart2.xml" ContentType="application/vnd.openxmlformats-officedocument.drawingml.chart+xml"/>
  <Override PartName="/xl/drawings/drawing50.xml" ContentType="application/vnd.openxmlformats-officedocument.drawing+xml"/>
  <Override PartName="/xl/charts/chart3.xml" ContentType="application/vnd.openxmlformats-officedocument.drawingml.chart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Jack\Dropbox (Personal)\Scratch\OpenSolver\OpenSolverTester\"/>
    </mc:Choice>
  </mc:AlternateContent>
  <bookViews>
    <workbookView xWindow="0" yWindow="0" windowWidth="20475" windowHeight="13455" firstSheet="1" activeTab="1"/>
  </bookViews>
  <sheets>
    <sheet name="Data" sheetId="61" r:id="rId1"/>
    <sheet name="Results" sheetId="60" r:id="rId2"/>
    <sheet name="Test1" sheetId="1" r:id="rId3"/>
    <sheet name="Test1b" sheetId="22" r:id="rId4"/>
    <sheet name="Test1c" sheetId="24" r:id="rId5"/>
    <sheet name="Test1c2" sheetId="32" r:id="rId6"/>
    <sheet name="Test1d" sheetId="25" r:id="rId7"/>
    <sheet name="Test1e" sheetId="26" r:id="rId8"/>
    <sheet name="Test1f" sheetId="27" r:id="rId9"/>
    <sheet name="Test1g" sheetId="28" r:id="rId10"/>
    <sheet name="Test1h" sheetId="29" r:id="rId11"/>
    <sheet name="Test1i" sheetId="30" r:id="rId12"/>
    <sheet name="Test1j" sheetId="31" r:id="rId13"/>
    <sheet name="Test1j2" sheetId="36" r:id="rId14"/>
    <sheet name="Test1k" sheetId="33" r:id="rId15"/>
    <sheet name="Test1l" sheetId="34" r:id="rId16"/>
    <sheet name="Test1m" sheetId="35" r:id="rId17"/>
    <sheet name="Test2" sheetId="6" r:id="rId18"/>
    <sheet name="Test3" sheetId="7" r:id="rId19"/>
    <sheet name="Test4" sheetId="8" r:id="rId20"/>
    <sheet name="Test5" sheetId="9" r:id="rId21"/>
    <sheet name="Test!6" sheetId="10" r:id="rId22"/>
    <sheet name="Test7" sheetId="11" r:id="rId23"/>
    <sheet name="Test8" sheetId="12" r:id="rId24"/>
    <sheet name="Test8B" sheetId="55" r:id="rId25"/>
    <sheet name="Test9A" sheetId="14" r:id="rId26"/>
    <sheet name="Test9B" sheetId="41" r:id="rId27"/>
    <sheet name="Test10" sheetId="18" r:id="rId28"/>
    <sheet name="Test11" sheetId="3" r:id="rId29"/>
    <sheet name="Test12" sheetId="19" r:id="rId30"/>
    <sheet name="Test13" sheetId="20" r:id="rId31"/>
    <sheet name="Test13b" sheetId="38" r:id="rId32"/>
    <sheet name="Test14" sheetId="23" r:id="rId33"/>
    <sheet name="Test15" sheetId="42" r:id="rId34"/>
    <sheet name="Test15b" sheetId="43" r:id="rId35"/>
    <sheet name="Test15c" sheetId="44" r:id="rId36"/>
    <sheet name="Test15d" sheetId="45" r:id="rId37"/>
    <sheet name="Test15e_Relax" sheetId="98" r:id="rId38"/>
    <sheet name="Test16" sheetId="46" r:id="rId39"/>
    <sheet name="Test16b" sheetId="47" r:id="rId40"/>
    <sheet name="Test17" sheetId="48" r:id="rId41"/>
    <sheet name="Test18" sheetId="49" r:id="rId42"/>
    <sheet name="Test19" sheetId="50" r:id="rId43"/>
    <sheet name="Test20" sheetId="51" r:id="rId44"/>
    <sheet name="Test21" sheetId="52" r:id="rId45"/>
    <sheet name="Test22" sheetId="53" r:id="rId46"/>
    <sheet name="Test23" sheetId="54" r:id="rId47"/>
    <sheet name="Test24_IterativeCalc" sheetId="57" r:id="rId48"/>
    <sheet name="Test25" sheetId="58" r:id="rId49"/>
    <sheet name="Test26" sheetId="59" r:id="rId50"/>
    <sheet name="Test27_Parameters" sheetId="4" r:id="rId51"/>
    <sheet name="Test28_CBCOptions" sheetId="2" r:id="rId52"/>
    <sheet name="Test29" sheetId="62" r:id="rId53"/>
    <sheet name="Test30" sheetId="63" r:id="rId54"/>
    <sheet name="Test31 Sensitivity" sheetId="73" r:id="rId55"/>
    <sheet name="Test31" sheetId="65" r:id="rId56"/>
    <sheet name="Test32" sheetId="66" r:id="rId57"/>
    <sheet name="Test33" sheetId="67" r:id="rId58"/>
    <sheet name="Test34" sheetId="68" r:id="rId59"/>
    <sheet name="Test35" sheetId="69" r:id="rId60"/>
    <sheet name="Test36" sheetId="70" r:id="rId61"/>
    <sheet name="Test37" sheetId="71" r:id="rId62"/>
    <sheet name="Test38" sheetId="75" r:id="rId63"/>
    <sheet name="Test38_(Data)" sheetId="76" r:id="rId64"/>
    <sheet name="Test39_SensNames Sensitivity" sheetId="84" r:id="rId65"/>
    <sheet name="Test39_SensNames" sheetId="77" r:id="rId66"/>
    <sheet name="Test39_SensNames2 Sensitivity" sheetId="97" r:id="rId67"/>
    <sheet name="Test39_SensNames2" sheetId="96" r:id="rId68"/>
    <sheet name="Test40" sheetId="85" r:id="rId69"/>
    <sheet name="Test41" sheetId="87" r:id="rId70"/>
    <sheet name="Test42" sheetId="88" r:id="rId71"/>
    <sheet name="Test43" sheetId="90" r:id="rId72"/>
    <sheet name="Test44_Seek Sensitivity" sheetId="93" r:id="rId73"/>
    <sheet name="Test44_Seek" sheetId="92" r:id="rId74"/>
    <sheet name="Test45_SheetName(1)+2-1" sheetId="94" r:id="rId75"/>
    <sheet name="Test46_NonLinBinary" sheetId="95" r:id="rId76"/>
    <sheet name="HighlightingExample" sheetId="5" r:id="rId77"/>
    <sheet name="TestNewAutomodel" sheetId="40" r:id="rId78"/>
  </sheets>
  <functionGroups builtInGroupCount="18"/>
  <externalReferences>
    <externalReference r:id="rId79"/>
  </externalReferences>
  <definedNames>
    <definedName name="anscount" hidden="1">1</definedName>
    <definedName name="asdsad" localSheetId="37">#REF!</definedName>
    <definedName name="asdsad" localSheetId="67">#REF!</definedName>
    <definedName name="asdsad">#REF!</definedName>
    <definedName name="b">[1]InventoryStep!$B$4</definedName>
    <definedName name="CBCDualsNewSheet" hidden="1">FALSE</definedName>
    <definedName name="dffd" localSheetId="37">#REF!</definedName>
    <definedName name="dffd" localSheetId="67">#REF!</definedName>
    <definedName name="dffd" localSheetId="73">#REF!</definedName>
    <definedName name="dffd" localSheetId="74">#REF!</definedName>
    <definedName name="dffd">#REF!</definedName>
    <definedName name="DualsNewSheet" localSheetId="52" hidden="1">FALSE</definedName>
    <definedName name="DualsNewSheet" localSheetId="57" hidden="1">TRUE</definedName>
    <definedName name="DualsNewSheet" hidden="1">FALSE</definedName>
    <definedName name="feasibilitySolve" localSheetId="37" hidden="1">CBC (default)</definedName>
    <definedName name="feasibilitySolve" localSheetId="57" hidden="1">CBC (default)</definedName>
    <definedName name="feasibilitySolve" localSheetId="67" hidden="1">CBC (default)</definedName>
    <definedName name="feasibilitySolve" localSheetId="73" hidden="1">CBC (default)</definedName>
    <definedName name="feasibilitySolve" localSheetId="74" hidden="1">CBC (default)</definedName>
    <definedName name="feasibilitySolve" localSheetId="75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9">Test35!$H$15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37">#REF!</definedName>
    <definedName name="Hey" localSheetId="67">#REF!</definedName>
    <definedName name="Hey" localSheetId="73">#REF!</definedName>
    <definedName name="Hey" localSheetId="74">#REF!</definedName>
    <definedName name="Hey" localSheetId="75">#REF!</definedName>
    <definedName name="Hey">#REF!</definedName>
    <definedName name="hhh">Test31!$G$8</definedName>
    <definedName name="hhtgfh">Test32!$K$8</definedName>
    <definedName name="hi" localSheetId="53">Test30!$F$18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Test32!$D$4:$H$4</definedName>
    <definedName name="junk" localSheetId="37">#REF!</definedName>
    <definedName name="junk" localSheetId="67">#REF!</definedName>
    <definedName name="junk">#REF!</definedName>
    <definedName name="K">[1]InventoryStep!$B$5</definedName>
    <definedName name="LinearSolvers">Data!$J$1:$J$3</definedName>
    <definedName name="lll">Test31!$I$9</definedName>
    <definedName name="MaximumCost" localSheetId="37">#REF!</definedName>
    <definedName name="MaximumCost" localSheetId="67">#REF!</definedName>
    <definedName name="MaximumCost" localSheetId="73">#REF!</definedName>
    <definedName name="MaximumCost" localSheetId="74">#REF!</definedName>
    <definedName name="MaximumCost">#REF!</definedName>
    <definedName name="me">2</definedName>
    <definedName name="MinValue">'Test38_(Data)'!$B$47</definedName>
    <definedName name="ModelType">Data!$G$1:$G$2</definedName>
    <definedName name="myNamedRange">Test32!$I$8</definedName>
    <definedName name="NonLinearSolvers">Data!$L$1:$L$5</definedName>
    <definedName name="Offset">Test27_Parameters!$P$7</definedName>
    <definedName name="OpenSolver_CBCParameters">Test28_CBCOptions!$C$5:$D$7</definedName>
    <definedName name="OpenSolver_ChosenSolver" localSheetId="1" hidden="1">Bonmin</definedName>
    <definedName name="OpenSolver_ChosenSolver" localSheetId="21" hidden="1">Bonmin</definedName>
    <definedName name="OpenSolver_ChosenSolver" localSheetId="2" hidden="1">NeosCBC</definedName>
    <definedName name="OpenSolver_ChosenSolver" localSheetId="27" hidden="1">Bonmin</definedName>
    <definedName name="OpenSolver_ChosenSolver" localSheetId="28" hidden="1">Bonmin</definedName>
    <definedName name="OpenSolver_ChosenSolver" localSheetId="29" hidden="1">Bonmin</definedName>
    <definedName name="OpenSolver_ChosenSolver" localSheetId="30" hidden="1">Bonmin</definedName>
    <definedName name="OpenSolver_ChosenSolver" localSheetId="31" hidden="1">Bonmin</definedName>
    <definedName name="OpenSolver_ChosenSolver" localSheetId="32" hidden="1">Bonmin</definedName>
    <definedName name="OpenSolver_ChosenSolver" localSheetId="33" hidden="1">Bonmin</definedName>
    <definedName name="OpenSolver_ChosenSolver" localSheetId="34" hidden="1">Bonmin</definedName>
    <definedName name="OpenSolver_ChosenSolver" localSheetId="35" hidden="1">Bonmin</definedName>
    <definedName name="OpenSolver_ChosenSolver" localSheetId="36" hidden="1">Bonmin</definedName>
    <definedName name="OpenSolver_ChosenSolver" localSheetId="37" hidden="1">Bonmin</definedName>
    <definedName name="OpenSolver_ChosenSolver" localSheetId="38" hidden="1">Bonmin</definedName>
    <definedName name="OpenSolver_ChosenSolver" localSheetId="39" hidden="1">Bonmin</definedName>
    <definedName name="OpenSolver_ChosenSolver" localSheetId="40" hidden="1">Bonmin</definedName>
    <definedName name="OpenSolver_ChosenSolver" localSheetId="41" hidden="1">Bonmin</definedName>
    <definedName name="OpenSolver_ChosenSolver" localSheetId="42" hidden="1">Bonmin</definedName>
    <definedName name="OpenSolver_ChosenSolver" localSheetId="3" hidden="1">Bonmin</definedName>
    <definedName name="OpenSolver_ChosenSolver" localSheetId="4" hidden="1">Bonmin</definedName>
    <definedName name="OpenSolver_ChosenSolver" localSheetId="5" hidden="1">Bonmin</definedName>
    <definedName name="OpenSolver_ChosenSolver" localSheetId="6" hidden="1">Bonmin</definedName>
    <definedName name="OpenSolver_ChosenSolver" localSheetId="7" hidden="1">Bonmin</definedName>
    <definedName name="OpenSolver_ChosenSolver" localSheetId="8" hidden="1">Bonmin</definedName>
    <definedName name="OpenSolver_ChosenSolver" localSheetId="9" hidden="1">Bonmin</definedName>
    <definedName name="OpenSolver_ChosenSolver" localSheetId="10" hidden="1">Bonmin</definedName>
    <definedName name="OpenSolver_ChosenSolver" localSheetId="11" hidden="1">Bonmin</definedName>
    <definedName name="OpenSolver_ChosenSolver" localSheetId="12" hidden="1">Bonmin</definedName>
    <definedName name="OpenSolver_ChosenSolver" localSheetId="13" hidden="1">Bonmin</definedName>
    <definedName name="OpenSolver_ChosenSolver" localSheetId="14" hidden="1">Bonmin</definedName>
    <definedName name="OpenSolver_ChosenSolver" localSheetId="15" hidden="1">Bonmin</definedName>
    <definedName name="OpenSolver_ChosenSolver" localSheetId="16" hidden="1">Bonmin</definedName>
    <definedName name="OpenSolver_ChosenSolver" localSheetId="17" hidden="1">Bonmin</definedName>
    <definedName name="OpenSolver_ChosenSolver" localSheetId="43" hidden="1">Bonmin</definedName>
    <definedName name="OpenSolver_ChosenSolver" localSheetId="44" hidden="1">Bonmin</definedName>
    <definedName name="OpenSolver_ChosenSolver" localSheetId="45" hidden="1">Bonmin</definedName>
    <definedName name="OpenSolver_ChosenSolver" localSheetId="46" hidden="1">Bonmin</definedName>
    <definedName name="OpenSolver_ChosenSolver" localSheetId="47" hidden="1">Bonmin</definedName>
    <definedName name="OpenSolver_ChosenSolver" localSheetId="48" hidden="1">Bonmin</definedName>
    <definedName name="OpenSolver_ChosenSolver" localSheetId="49" hidden="1">Bonmin</definedName>
    <definedName name="OpenSolver_ChosenSolver" localSheetId="50" hidden="1">Bonmin</definedName>
    <definedName name="OpenSolver_ChosenSolver" localSheetId="51" hidden="1">Bonmin</definedName>
    <definedName name="OpenSolver_ChosenSolver" localSheetId="52" hidden="1">Bonmin</definedName>
    <definedName name="OpenSolver_ChosenSolver" localSheetId="18" hidden="1">Bonmin</definedName>
    <definedName name="OpenSolver_ChosenSolver" localSheetId="53" hidden="1">Bonmin</definedName>
    <definedName name="OpenSolver_ChosenSolver" localSheetId="55" hidden="1">Bonmin</definedName>
    <definedName name="OpenSolver_ChosenSolver" localSheetId="54" hidden="1">CBC</definedName>
    <definedName name="OpenSolver_ChosenSolver" localSheetId="56" hidden="1">Bonmin</definedName>
    <definedName name="OpenSolver_ChosenSolver" localSheetId="57" hidden="1">Bonmin</definedName>
    <definedName name="OpenSolver_ChosenSolver" localSheetId="58" hidden="1">Bonmin</definedName>
    <definedName name="OpenSolver_ChosenSolver" localSheetId="59" hidden="1">Bonmin</definedName>
    <definedName name="OpenSolver_ChosenSolver" localSheetId="60" hidden="1">Bonmin</definedName>
    <definedName name="OpenSolver_ChosenSolver" localSheetId="61" hidden="1">Bonmin</definedName>
    <definedName name="OpenSolver_ChosenSolver" localSheetId="62" hidden="1">Bonmin</definedName>
    <definedName name="OpenSolver_ChosenSolver" localSheetId="63" hidden="1">CBC</definedName>
    <definedName name="OpenSolver_ChosenSolver" localSheetId="65" hidden="1">Bonmin</definedName>
    <definedName name="OpenSolver_ChosenSolver" localSheetId="67" hidden="1">Bonmin</definedName>
    <definedName name="OpenSolver_ChosenSolver" localSheetId="19" hidden="1">Bonmin</definedName>
    <definedName name="OpenSolver_ChosenSolver" localSheetId="68" hidden="1">Bonmin</definedName>
    <definedName name="OpenSolver_ChosenSolver" localSheetId="69" hidden="1">Bonmin</definedName>
    <definedName name="OpenSolver_ChosenSolver" localSheetId="70" hidden="1">Bonmin</definedName>
    <definedName name="OpenSolver_ChosenSolver" localSheetId="71" hidden="1">Bonmin</definedName>
    <definedName name="OpenSolver_ChosenSolver" localSheetId="73" hidden="1">Bonmin</definedName>
    <definedName name="OpenSolver_ChosenSolver" localSheetId="74" hidden="1">Bonmin</definedName>
    <definedName name="OpenSolver_ChosenSolver" localSheetId="75" hidden="1">Bonmin</definedName>
    <definedName name="OpenSolver_ChosenSolver" localSheetId="20" hidden="1">Bonmin</definedName>
    <definedName name="OpenSolver_ChosenSolver" localSheetId="22" hidden="1">Bonmin</definedName>
    <definedName name="OpenSolver_ChosenSolver" localSheetId="23" hidden="1">Bonmin</definedName>
    <definedName name="OpenSolver_ChosenSolver" localSheetId="24" hidden="1">Bonmin</definedName>
    <definedName name="OpenSolver_ChosenSolver" localSheetId="25" hidden="1">Bonmin</definedName>
    <definedName name="OpenSolver_ChosenSolver" localSheetId="26" hidden="1">Bonmin</definedName>
    <definedName name="OpenSolver_ChosenSolver" localSheetId="77" hidden="1">Gurobi</definedName>
    <definedName name="OpenSolver_ConstraintList" localSheetId="37">#REF!</definedName>
    <definedName name="OpenSolver_ConstraintList" localSheetId="67">#REF!</definedName>
    <definedName name="OpenSolver_ConstraintList">#REF!</definedName>
    <definedName name="OpenSolver_Duals" localSheetId="73" hidden="1">Test44_Seek!$L$1</definedName>
    <definedName name="OpenSolver_DualsNewSheet" localSheetId="1" hidden="1">FALSE</definedName>
    <definedName name="OpenSolver_DualsNewSheet" localSheetId="21" hidden="1">FALSE</definedName>
    <definedName name="OpenSolver_DualsNewSheet" localSheetId="2" hidden="1">FALSE</definedName>
    <definedName name="OpenSolver_DualsNewSheet" localSheetId="27" hidden="1">FALSE</definedName>
    <definedName name="OpenSolver_DualsNewSheet" localSheetId="28" hidden="1">FALSE</definedName>
    <definedName name="OpenSolver_DualsNewSheet" localSheetId="29" hidden="1">FALSE</definedName>
    <definedName name="OpenSolver_DualsNewSheet" localSheetId="30" hidden="1">FALSE</definedName>
    <definedName name="OpenSolver_DualsNewSheet" localSheetId="31" hidden="1">FALSE</definedName>
    <definedName name="OpenSolver_DualsNewSheet" localSheetId="32" hidden="1">FALSE</definedName>
    <definedName name="OpenSolver_DualsNewSheet" localSheetId="33" hidden="1">FALSE</definedName>
    <definedName name="OpenSolver_DualsNewSheet" localSheetId="34" hidden="1">FALSE</definedName>
    <definedName name="OpenSolver_DualsNewSheet" localSheetId="35" hidden="1">FALSE</definedName>
    <definedName name="OpenSolver_DualsNewSheet" localSheetId="36" hidden="1">FALSE</definedName>
    <definedName name="OpenSolver_DualsNewSheet" localSheetId="37" hidden="1">FALSE</definedName>
    <definedName name="OpenSolver_DualsNewSheet" localSheetId="38" hidden="1">FALSE</definedName>
    <definedName name="OpenSolver_DualsNewSheet" localSheetId="39" hidden="1">FALSE</definedName>
    <definedName name="OpenSolver_DualsNewSheet" localSheetId="40" hidden="1">FALSE</definedName>
    <definedName name="OpenSolver_DualsNewSheet" localSheetId="41" hidden="1">FALSE</definedName>
    <definedName name="OpenSolver_DualsNewSheet" localSheetId="42" hidden="1">FALSE</definedName>
    <definedName name="OpenSolver_DualsNewSheet" localSheetId="3" hidden="1">FALSE</definedName>
    <definedName name="OpenSolver_DualsNewSheet" localSheetId="4" hidden="1">FALSE</definedName>
    <definedName name="OpenSolver_DualsNewSheet" localSheetId="5" hidden="1">FALSE</definedName>
    <definedName name="OpenSolver_DualsNewSheet" localSheetId="7" hidden="1">FALSE</definedName>
    <definedName name="OpenSolver_DualsNewSheet" localSheetId="12" hidden="1">FALSE</definedName>
    <definedName name="OpenSolver_DualsNewSheet" localSheetId="14" hidden="1">FALSE</definedName>
    <definedName name="OpenSolver_DualsNewSheet" localSheetId="15" hidden="1">FALSE</definedName>
    <definedName name="OpenSolver_DualsNewSheet" localSheetId="16" hidden="1">FALSE</definedName>
    <definedName name="OpenSolver_DualsNewSheet" localSheetId="17" hidden="1">FALSE</definedName>
    <definedName name="OpenSolver_DualsNewSheet" localSheetId="43" hidden="1">FALSE</definedName>
    <definedName name="OpenSolver_DualsNewSheet" localSheetId="44" hidden="1">FALSE</definedName>
    <definedName name="OpenSolver_DualsNewSheet" localSheetId="45" hidden="1">FALSE</definedName>
    <definedName name="OpenSolver_DualsNewSheet" localSheetId="46" hidden="1">FALSE</definedName>
    <definedName name="OpenSolver_DualsNewSheet" localSheetId="47" hidden="1">FALSE</definedName>
    <definedName name="OpenSolver_DualsNewSheet" localSheetId="48" hidden="1">FALSE</definedName>
    <definedName name="OpenSolver_DualsNewSheet" localSheetId="49" hidden="1">FALSE</definedName>
    <definedName name="OpenSolver_DualsNewSheet" localSheetId="50" hidden="1">FALSE</definedName>
    <definedName name="OpenSolver_DualsNewSheet" localSheetId="51" hidden="1">FALSE</definedName>
    <definedName name="OpenSolver_DualsNewSheet" localSheetId="52" hidden="1">FALSE</definedName>
    <definedName name="OpenSolver_DualsNewSheet" localSheetId="18" hidden="1">FALSE</definedName>
    <definedName name="OpenSolver_DualsNewSheet" localSheetId="53" hidden="1">FALSE</definedName>
    <definedName name="OpenSolver_DualsNewSheet" localSheetId="55" hidden="1">TRUE</definedName>
    <definedName name="OpenSolver_DualsNewSheet" localSheetId="54" hidden="1">FALSE</definedName>
    <definedName name="OpenSolver_DualsNewSheet" localSheetId="56" hidden="1">FALSE</definedName>
    <definedName name="OpenSolver_DualsNewSheet" localSheetId="57" hidden="1">FALSE</definedName>
    <definedName name="OpenSolver_DualsNewSheet" localSheetId="58" hidden="1">FALSE</definedName>
    <definedName name="OpenSolver_DualsNewSheet" localSheetId="59" hidden="1">FALSE</definedName>
    <definedName name="OpenSolver_DualsNewSheet" localSheetId="60" hidden="1">FALSE</definedName>
    <definedName name="OpenSolver_DualsNewSheet" localSheetId="61" hidden="1">FALSE</definedName>
    <definedName name="OpenSolver_DualsNewSheet" localSheetId="62" hidden="1">FALSE</definedName>
    <definedName name="OpenSolver_DualsNewSheet" localSheetId="63" hidden="1">FALSE</definedName>
    <definedName name="OpenSolver_DualsNewSheet" localSheetId="65" hidden="1">TRUE</definedName>
    <definedName name="OpenSolver_DualsNewSheet" localSheetId="67" hidden="1">TRUE</definedName>
    <definedName name="OpenSolver_DualsNewSheet" localSheetId="19" hidden="1">FALSE</definedName>
    <definedName name="OpenSolver_DualsNewSheet" localSheetId="68" hidden="1">FALSE</definedName>
    <definedName name="OpenSolver_DualsNewSheet" localSheetId="69" hidden="1">FALSE</definedName>
    <definedName name="OpenSolver_DualsNewSheet" localSheetId="70" hidden="1">FALSE</definedName>
    <definedName name="OpenSolver_DualsNewSheet" localSheetId="71" hidden="1">FALSE</definedName>
    <definedName name="OpenSolver_DualsNewSheet" localSheetId="73" hidden="1">TRUE</definedName>
    <definedName name="OpenSolver_DualsNewSheet" localSheetId="74" hidden="1">FALSE</definedName>
    <definedName name="OpenSolver_DualsNewSheet" localSheetId="75" hidden="1">FALSE</definedName>
    <definedName name="OpenSolver_DualsNewSheet" localSheetId="20" hidden="1">FALSE</definedName>
    <definedName name="OpenSolver_DualsNewSheet" localSheetId="22" hidden="1">FALSE</definedName>
    <definedName name="OpenSolver_DualsNewSheet" localSheetId="24" hidden="1">FALSE</definedName>
    <definedName name="OpenSolver_DualsNewSheet" localSheetId="25" hidden="1">FALSE</definedName>
    <definedName name="OpenSolver_DualsNewSheet" localSheetId="26" hidden="1">FALSE</definedName>
    <definedName name="OpenSolver_DualsNewSheet" localSheetId="77" hidden="1">FALSE</definedName>
    <definedName name="OpenSolver_ModelParameters" localSheetId="76">HighlightingExample!$P$6:$Q$6</definedName>
    <definedName name="OpenSolver_ModelParameters" localSheetId="21">'Test!6'!$O$8:$P$8</definedName>
    <definedName name="OpenSolver_ModelParameters" localSheetId="27">Test10!$O$7:$P$7</definedName>
    <definedName name="OpenSolver_ModelParameters" localSheetId="32">Test14!$O$9:$P$9</definedName>
    <definedName name="OpenSolver_ModelParameters" localSheetId="34">Test15b!$O$9:$P$9</definedName>
    <definedName name="OpenSolver_ModelParameters" localSheetId="35">Test15c!$O$10:$P$10</definedName>
    <definedName name="OpenSolver_ModelParameters" localSheetId="36">Test15d!$O$10:$P$10</definedName>
    <definedName name="OpenSolver_ModelParameters" localSheetId="37">Test15e_Relax!$O$10:$P$10</definedName>
    <definedName name="OpenSolver_ModelParameters" localSheetId="38">Test16!$O$11:$P$11</definedName>
    <definedName name="OpenSolver_ModelParameters" localSheetId="39">Test16b!$O$11:$P$11</definedName>
    <definedName name="OpenSolver_ModelParameters" localSheetId="40">Test17!$O$11:$P$11</definedName>
    <definedName name="OpenSolver_ModelParameters" localSheetId="41">Test18!$O$9:$P$9</definedName>
    <definedName name="OpenSolver_ModelParameters" localSheetId="42">Test19!$O$10:$P$10</definedName>
    <definedName name="OpenSolver_ModelParameters" localSheetId="3">Test1b!$O$7:$P$7</definedName>
    <definedName name="OpenSolver_ModelParameters" localSheetId="4">Test1c!$O$7:$P$7</definedName>
    <definedName name="OpenSolver_ModelParameters" localSheetId="5">Test1c2!$O$7:$P$7</definedName>
    <definedName name="OpenSolver_ModelParameters" localSheetId="6">Test1d!$O$7:$P$7</definedName>
    <definedName name="OpenSolver_ModelParameters" localSheetId="7">Test1e!$O$7:$P$7</definedName>
    <definedName name="OpenSolver_ModelParameters" localSheetId="8">Test1f!$O$7:$P$7</definedName>
    <definedName name="OpenSolver_ModelParameters" localSheetId="9">Test1g!$O$7:$P$7</definedName>
    <definedName name="OpenSolver_ModelParameters" localSheetId="10">Test1h!$O$7:$P$7</definedName>
    <definedName name="OpenSolver_ModelParameters" localSheetId="11">Test1i!$O$8:$P$8</definedName>
    <definedName name="OpenSolver_ModelParameters" localSheetId="12">Test1j!$O$8:$P$8</definedName>
    <definedName name="OpenSolver_ModelParameters" localSheetId="13">Test1j2!$O$8:$P$8</definedName>
    <definedName name="OpenSolver_ModelParameters" localSheetId="14">Test1k!$O$8:$P$8</definedName>
    <definedName name="OpenSolver_ModelParameters" localSheetId="15">Test1l!$O$8:$P$8</definedName>
    <definedName name="OpenSolver_ModelParameters" localSheetId="16">Test1m!$O$8:$P$8</definedName>
    <definedName name="OpenSolver_ModelParameters" localSheetId="17">Test2!$P$7:$Q$7</definedName>
    <definedName name="OpenSolver_ModelParameters" localSheetId="43">Test20!$O$10:$P$10</definedName>
    <definedName name="OpenSolver_ModelParameters" localSheetId="44">Test21!$O$10:$P$10</definedName>
    <definedName name="OpenSolver_ModelParameters" localSheetId="45">Test22!$O$10:$P$10</definedName>
    <definedName name="OpenSolver_ModelParameters" localSheetId="46">Test23!$O$10:$P$10</definedName>
    <definedName name="OpenSolver_ModelParameters" localSheetId="47">Test24_IterativeCalc!$O$8:$P$8</definedName>
    <definedName name="OpenSolver_ModelParameters" localSheetId="49">Test26!$M$8:$M$8</definedName>
    <definedName name="OpenSolver_ModelParameters" localSheetId="50">Test27_Parameters!$O$7:$P$7</definedName>
    <definedName name="OpenSolver_ModelParameters" localSheetId="18">Test3!$O$7:$P$7</definedName>
    <definedName name="OpenSolver_ModelParameters" localSheetId="19">Test4!$O$8:$P$8</definedName>
    <definedName name="OpenSolver_ModelParameters" localSheetId="74">'Test45_SheetName(1)+2-1'!$O$7:$P$7</definedName>
    <definedName name="OpenSolver_ModelParameters" localSheetId="75">#REF!</definedName>
    <definedName name="OpenSolver_ModelParameters" localSheetId="20">Test5!$O$8:$P$8</definedName>
    <definedName name="OpenSolver_ModelParameters" localSheetId="22">Test7!$O$8:$P$8</definedName>
    <definedName name="OpenSolver_ModelParameters" localSheetId="23">Test8!$O$8:$P$8</definedName>
    <definedName name="OpenSolver_ModelParameters" localSheetId="24">Test8B!$O$8:$P$8</definedName>
    <definedName name="OpenSolver_ModelParameters" localSheetId="25">Test9A!$Q$7:$R$7</definedName>
    <definedName name="OpenSolver_ModelParameters" localSheetId="26">Test9B!$Q$7:$R$7</definedName>
    <definedName name="OpenSolver_ModelParameters">Test1!$O$7:$P$7</definedName>
    <definedName name="OpenSolver_UpdateSensitivity" localSheetId="1" hidden="1">TRUE</definedName>
    <definedName name="OpenSolver_UpdateSensitivity" localSheetId="21" hidden="1">TRUE</definedName>
    <definedName name="OpenSolver_UpdateSensitivity" localSheetId="2" hidden="1">TRUE</definedName>
    <definedName name="OpenSolver_UpdateSensitivity" localSheetId="28" hidden="1">TRUE</definedName>
    <definedName name="OpenSolver_UpdateSensitivity" localSheetId="29" hidden="1">TRUE</definedName>
    <definedName name="OpenSolver_UpdateSensitivity" localSheetId="30" hidden="1">TRUE</definedName>
    <definedName name="OpenSolver_UpdateSensitivity" localSheetId="32" hidden="1">TRUE</definedName>
    <definedName name="OpenSolver_UpdateSensitivity" localSheetId="34" hidden="1">TRUE</definedName>
    <definedName name="OpenSolver_UpdateSensitivity" localSheetId="35" hidden="1">TRUE</definedName>
    <definedName name="OpenSolver_UpdateSensitivity" localSheetId="36" hidden="1">TRUE</definedName>
    <definedName name="OpenSolver_UpdateSensitivity" localSheetId="37" hidden="1">TRUE</definedName>
    <definedName name="OpenSolver_UpdateSensitivity" localSheetId="38" hidden="1">TRUE</definedName>
    <definedName name="OpenSolver_UpdateSensitivity" localSheetId="3" hidden="1">TRUE</definedName>
    <definedName name="OpenSolver_UpdateSensitivity" localSheetId="7" hidden="1">TRUE</definedName>
    <definedName name="OpenSolver_UpdateSensitivity" localSheetId="16" hidden="1">TRUE</definedName>
    <definedName name="OpenSolver_UpdateSensitivity" localSheetId="17" hidden="1">TRUE</definedName>
    <definedName name="OpenSolver_UpdateSensitivity" localSheetId="43" hidden="1">TRUE</definedName>
    <definedName name="OpenSolver_UpdateSensitivity" localSheetId="46" hidden="1">TRUE</definedName>
    <definedName name="OpenSolver_UpdateSensitivity" localSheetId="47" hidden="1">TRUE</definedName>
    <definedName name="OpenSolver_UpdateSensitivity" localSheetId="49" hidden="1">TRUE</definedName>
    <definedName name="OpenSolver_UpdateSensitivity" localSheetId="50" hidden="1">TRUE</definedName>
    <definedName name="OpenSolver_UpdateSensitivity" localSheetId="51" hidden="1">TRUE</definedName>
    <definedName name="OpenSolver_UpdateSensitivity" localSheetId="52" hidden="1">TRUE</definedName>
    <definedName name="OpenSolver_UpdateSensitivity" localSheetId="18" hidden="1">TRUE</definedName>
    <definedName name="OpenSolver_UpdateSensitivity" localSheetId="53" hidden="1">TRUE</definedName>
    <definedName name="OpenSolver_UpdateSensitivity" localSheetId="55" hidden="1">TRUE</definedName>
    <definedName name="OpenSolver_UpdateSensitivity" localSheetId="54" hidden="1">TRUE</definedName>
    <definedName name="OpenSolver_UpdateSensitivity" localSheetId="56" hidden="1">TRUE</definedName>
    <definedName name="OpenSolver_UpdateSensitivity" localSheetId="58" hidden="1">TRUE</definedName>
    <definedName name="OpenSolver_UpdateSensitivity" localSheetId="59" hidden="1">TRUE</definedName>
    <definedName name="OpenSolver_UpdateSensitivity" localSheetId="60" hidden="1">TRUE</definedName>
    <definedName name="OpenSolver_UpdateSensitivity" localSheetId="61" hidden="1">TRUE</definedName>
    <definedName name="OpenSolver_UpdateSensitivity" localSheetId="62" hidden="1">TRUE</definedName>
    <definedName name="OpenSolver_UpdateSensitivity" localSheetId="63" hidden="1">TRUE</definedName>
    <definedName name="OpenSolver_UpdateSensitivity" localSheetId="65" hidden="1">TRUE</definedName>
    <definedName name="OpenSolver_UpdateSensitivity" localSheetId="67" hidden="1">TRUE</definedName>
    <definedName name="OpenSolver_UpdateSensitivity" localSheetId="19" hidden="1">TRUE</definedName>
    <definedName name="OpenSolver_UpdateSensitivity" localSheetId="68" hidden="1">TRUE</definedName>
    <definedName name="OpenSolver_UpdateSensitivity" localSheetId="69" hidden="1">TRUE</definedName>
    <definedName name="OpenSolver_UpdateSensitivity" localSheetId="70" hidden="1">TRUE</definedName>
    <definedName name="OpenSolver_UpdateSensitivity" localSheetId="71" hidden="1">TRUE</definedName>
    <definedName name="OpenSolver_UpdateSensitivity" localSheetId="73" hidden="1">TRUE</definedName>
    <definedName name="OpenSolver_UpdateSensitivity" localSheetId="74" hidden="1">TRUE</definedName>
    <definedName name="OpenSolver_UpdateSensitivity" localSheetId="75" hidden="1">TRUE</definedName>
    <definedName name="OpenSolver_UpdateSensitivity" localSheetId="20" hidden="1">TRUE</definedName>
    <definedName name="OpenSolver_UpdateSensitivity" localSheetId="24" hidden="1">TRUE</definedName>
    <definedName name="OpenSolver_UpdateSensitivity" localSheetId="26" hidden="1">TRUE</definedName>
    <definedName name="OpenSolverModelParameters" localSheetId="50">Test27_Parameters!$O$7:$P$7</definedName>
    <definedName name="OpenSolverResult">Data!$A$1:$A$7</definedName>
    <definedName name="OpenSolverResultCodes">Data!$A$1:$B$7</definedName>
    <definedName name="p" localSheetId="37">#REF!</definedName>
    <definedName name="p" localSheetId="67">#REF!</definedName>
    <definedName name="p" localSheetId="73">#REF!</definedName>
    <definedName name="p" localSheetId="74">#REF!</definedName>
    <definedName name="p">#REF!</definedName>
    <definedName name="q" localSheetId="37">#REF!</definedName>
    <definedName name="q" localSheetId="67">#REF!</definedName>
    <definedName name="q" localSheetId="73">#REF!</definedName>
    <definedName name="q" localSheetId="74">#REF!</definedName>
    <definedName name="q">#REF!</definedName>
    <definedName name="s" localSheetId="37">#REF!</definedName>
    <definedName name="s" localSheetId="67">#REF!</definedName>
    <definedName name="s" localSheetId="73">#REF!</definedName>
    <definedName name="s" localSheetId="74">#REF!</definedName>
    <definedName name="s">#REF!</definedName>
    <definedName name="Scale" localSheetId="76">HighlightingExample!$P$6</definedName>
    <definedName name="Scale" localSheetId="21">'Test!6'!$O$8</definedName>
    <definedName name="Scale" localSheetId="27">Test10!$O$7</definedName>
    <definedName name="Scale" localSheetId="32">Test14!$O$9</definedName>
    <definedName name="Scale" localSheetId="34">Test15b!$O$9</definedName>
    <definedName name="Scale" localSheetId="35">Test15c!$O$10</definedName>
    <definedName name="Scale" localSheetId="36">Test15d!$O$10</definedName>
    <definedName name="Scale" localSheetId="37">Test15e_Relax!$O$10</definedName>
    <definedName name="Scale" localSheetId="38">Test16!$O$11</definedName>
    <definedName name="Scale" localSheetId="39">Test16b!$O$11</definedName>
    <definedName name="Scale" localSheetId="40">Test17!$O$11</definedName>
    <definedName name="Scale" localSheetId="41">Test18!$O$9</definedName>
    <definedName name="Scale" localSheetId="42">Test19!$O$10</definedName>
    <definedName name="Scale" localSheetId="3">Test1b!$O$7</definedName>
    <definedName name="Scale" localSheetId="4">Test1c!$O$7</definedName>
    <definedName name="Scale" localSheetId="5">Test1c2!$O$7</definedName>
    <definedName name="Scale" localSheetId="6">Test1d!$O$7</definedName>
    <definedName name="Scale" localSheetId="7">Test1e!$O$7</definedName>
    <definedName name="Scale" localSheetId="8">Test1f!$O$7</definedName>
    <definedName name="Scale" localSheetId="9">Test1g!$O$7</definedName>
    <definedName name="Scale" localSheetId="10">Test1h!$O$7</definedName>
    <definedName name="Scale" localSheetId="11">Test1i!$O$8</definedName>
    <definedName name="Scale" localSheetId="12">Test1j!$O$8</definedName>
    <definedName name="Scale" localSheetId="13">Test1j2!$O$8</definedName>
    <definedName name="Scale" localSheetId="14">Test1k!$O$8</definedName>
    <definedName name="Scale" localSheetId="15">Test1l!$O$8</definedName>
    <definedName name="Scale" localSheetId="16">Test1m!$O$8</definedName>
    <definedName name="Scale" localSheetId="17">Test2!$P$7</definedName>
    <definedName name="Scale" localSheetId="43">Test20!$O$10</definedName>
    <definedName name="Scale" localSheetId="44">Test21!$O$10</definedName>
    <definedName name="Scale" localSheetId="45">Test22!$O$10</definedName>
    <definedName name="Scale" localSheetId="46">Test23!$O$10</definedName>
    <definedName name="Scale" localSheetId="47">Test24_IterativeCalc!$O$8</definedName>
    <definedName name="Scale" localSheetId="49">Test26!#REF!</definedName>
    <definedName name="Scale" localSheetId="50">Test27_Parameters!$O$7</definedName>
    <definedName name="Scale" localSheetId="18">Test3!$O$7</definedName>
    <definedName name="Scale" localSheetId="19">Test4!$O$8</definedName>
    <definedName name="Scale" localSheetId="74">'Test45_SheetName(1)+2-1'!$O$7</definedName>
    <definedName name="Scale" localSheetId="75">#REF!</definedName>
    <definedName name="Scale" localSheetId="20">Test5!$O$8</definedName>
    <definedName name="Scale" localSheetId="22">Test7!$O$8</definedName>
    <definedName name="Scale" localSheetId="23">Test8!$O$8</definedName>
    <definedName name="Scale" localSheetId="24">Test8B!$O$8</definedName>
    <definedName name="Scale" localSheetId="25">Test9A!$Q$7</definedName>
    <definedName name="Scale" localSheetId="26">Test9B!$Q$7</definedName>
    <definedName name="Scale">Test1!$O$7</definedName>
    <definedName name="scale2" localSheetId="37">#REF!</definedName>
    <definedName name="scale2" localSheetId="67">#REF!</definedName>
    <definedName name="scale2">#REF!</definedName>
    <definedName name="sencount" hidden="1">1</definedName>
    <definedName name="Sheet1OpenSolverModelParameters" localSheetId="76">HighlightingExample!$L$4:$L$4</definedName>
    <definedName name="Sheet1OpenSolverModelParameters" localSheetId="21">'Test!6'!$K$6:$K$6</definedName>
    <definedName name="Sheet1OpenSolverModelParameters" localSheetId="27">Test10!$K$5:$K$5</definedName>
    <definedName name="Sheet1OpenSolverModelParameters" localSheetId="32">Test14!$K$7:$K$7</definedName>
    <definedName name="Sheet1OpenSolverModelParameters" localSheetId="34">Test15b!$K$7:$K$7</definedName>
    <definedName name="Sheet1OpenSolverModelParameters" localSheetId="35">Test15c!$K$8:$K$8</definedName>
    <definedName name="Sheet1OpenSolverModelParameters" localSheetId="36">Test15d!$K$8:$K$8</definedName>
    <definedName name="Sheet1OpenSolverModelParameters" localSheetId="37">Test15e_Relax!$K$8:$K$8</definedName>
    <definedName name="Sheet1OpenSolverModelParameters" localSheetId="38">Test16!$K$9:$K$9</definedName>
    <definedName name="Sheet1OpenSolverModelParameters" localSheetId="39">Test16b!$K$9:$K$9</definedName>
    <definedName name="Sheet1OpenSolverModelParameters" localSheetId="40">Test17!$K$9:$K$9</definedName>
    <definedName name="Sheet1OpenSolverModelParameters" localSheetId="41">Test18!$K$7:$K$7</definedName>
    <definedName name="Sheet1OpenSolverModelParameters" localSheetId="42">Test19!$K$8:$K$8</definedName>
    <definedName name="Sheet1OpenSolverModelParameters" localSheetId="3">Test1b!$K$5:$K$5</definedName>
    <definedName name="Sheet1OpenSolverModelParameters" localSheetId="4">Test1c!$K$5:$K$5</definedName>
    <definedName name="Sheet1OpenSolverModelParameters" localSheetId="5">Test1c2!$K$5:$K$5</definedName>
    <definedName name="Sheet1OpenSolverModelParameters" localSheetId="6">Test1d!$K$5:$K$5</definedName>
    <definedName name="Sheet1OpenSolverModelParameters" localSheetId="7">Test1e!$K$5:$K$5</definedName>
    <definedName name="Sheet1OpenSolverModelParameters" localSheetId="8">Test1f!$K$5:$K$5</definedName>
    <definedName name="Sheet1OpenSolverModelParameters" localSheetId="9">Test1g!$K$5:$K$5</definedName>
    <definedName name="Sheet1OpenSolverModelParameters" localSheetId="10">Test1h!$K$5:$K$5</definedName>
    <definedName name="Sheet1OpenSolverModelParameters" localSheetId="11">Test1i!$K$6:$K$6</definedName>
    <definedName name="Sheet1OpenSolverModelParameters" localSheetId="12">Test1j!$K$6:$K$6</definedName>
    <definedName name="Sheet1OpenSolverModelParameters" localSheetId="13">Test1j2!$K$6:$K$6</definedName>
    <definedName name="Sheet1OpenSolverModelParameters" localSheetId="14">Test1k!$K$6:$K$6</definedName>
    <definedName name="Sheet1OpenSolverModelParameters" localSheetId="15">Test1l!$K$6:$K$6</definedName>
    <definedName name="Sheet1OpenSolverModelParameters" localSheetId="16">Test1m!$K$6:$K$6</definedName>
    <definedName name="Sheet1OpenSolverModelParameters" localSheetId="17">Test2!$L$5:$L$5</definedName>
    <definedName name="Sheet1OpenSolverModelParameters" localSheetId="43">Test20!$K$8:$K$8</definedName>
    <definedName name="Sheet1OpenSolverModelParameters" localSheetId="44">Test21!$K$8:$K$8</definedName>
    <definedName name="Sheet1OpenSolverModelParameters" localSheetId="45">Test22!$K$8:$K$8</definedName>
    <definedName name="Sheet1OpenSolverModelParameters" localSheetId="46">Test23!$K$8:$K$8</definedName>
    <definedName name="Sheet1OpenSolverModelParameters" localSheetId="47">Test24_IterativeCalc!$K$6:$K$6</definedName>
    <definedName name="Sheet1OpenSolverModelParameters" localSheetId="49">Test26!$K$6:$K$6</definedName>
    <definedName name="Sheet1OpenSolverModelParameters" localSheetId="50">Test27_Parameters!$K$5:$K$5</definedName>
    <definedName name="Sheet1OpenSolverModelParameters" localSheetId="18">Test3!#REF!</definedName>
    <definedName name="Sheet1OpenSolverModelParameters" localSheetId="19">Test4!#REF!</definedName>
    <definedName name="Sheet1OpenSolverModelParameters" localSheetId="74">'Test45_SheetName(1)+2-1'!$K$5:$K$5</definedName>
    <definedName name="Sheet1OpenSolverModelParameters" localSheetId="75">#REF!</definedName>
    <definedName name="Sheet1OpenSolverModelParameters" localSheetId="20">Test5!#REF!</definedName>
    <definedName name="Sheet1OpenSolverModelParameters" localSheetId="22">Test7!$K$6:$K$6</definedName>
    <definedName name="Sheet1OpenSolverModelParameters" localSheetId="23">Test8!$K$6:$K$6</definedName>
    <definedName name="Sheet1OpenSolverModelParameters" localSheetId="24">Test8B!$K$6:$K$6</definedName>
    <definedName name="Sheet1OpenSolverModelParameters" localSheetId="25">Test9A!$M$5:$M$5</definedName>
    <definedName name="Sheet1OpenSolverModelParameters" localSheetId="26">Test9B!$M$5:$M$5</definedName>
    <definedName name="Sheet1OpenSolverModelParameters">Test1!$K$5:$K$5</definedName>
    <definedName name="Solver" localSheetId="37" hidden="1">CBC (default)</definedName>
    <definedName name="Solver" localSheetId="57" hidden="1">CBC (default)</definedName>
    <definedName name="Solver" localSheetId="67" hidden="1">CBC (default)</definedName>
    <definedName name="Solver" localSheetId="73" hidden="1">CBC (default)</definedName>
    <definedName name="Solver" localSheetId="74" hidden="1">CBC (default)</definedName>
    <definedName name="Solver" localSheetId="75" hidden="1">CBC (default)</definedName>
    <definedName name="Solver" hidden="1">CBC (default)</definedName>
    <definedName name="solver_adj" localSheetId="76" hidden="1">HighlightingExample!$L$9:$N$9</definedName>
    <definedName name="solver_adj" localSheetId="21" hidden="1">'Test!6'!$D$5:$F$5</definedName>
    <definedName name="solver_adj" localSheetId="2" hidden="1">Test1!$D$4:$F$4</definedName>
    <definedName name="solver_adj" localSheetId="27" hidden="1">Test10!$D$4:$F$4</definedName>
    <definedName name="solver_adj" localSheetId="28" hidden="1">Test11!$D$3:$D$35</definedName>
    <definedName name="solver_adj" localSheetId="29" hidden="1">Test12!$D$3:$F$3</definedName>
    <definedName name="solver_adj" localSheetId="30" hidden="1">Test13!$D$3:$F$3</definedName>
    <definedName name="solver_adj" localSheetId="31" hidden="1">Test13b!$D$3:$F$3</definedName>
    <definedName name="solver_adj" localSheetId="32" hidden="1">Test14!$D$5:$E$5,Test14!$E$5:$F$5,Test14!$D$5:$F$5</definedName>
    <definedName name="solver_adj" localSheetId="33" hidden="1">Test15!$D$4:$F$4</definedName>
    <definedName name="solver_adj" localSheetId="34" hidden="1">Test15b!$D$4:$F$4</definedName>
    <definedName name="solver_adj" localSheetId="35" hidden="1">Test15c!$D$5:$F$5</definedName>
    <definedName name="solver_adj" localSheetId="36" hidden="1">Test15d!$D$5:$F$5</definedName>
    <definedName name="solver_adj" localSheetId="37" hidden="1">Test15e_Relax!$D$5:$F$5</definedName>
    <definedName name="solver_adj" localSheetId="38" hidden="1">Test16!$D$6:$F$6</definedName>
    <definedName name="solver_adj" localSheetId="39" hidden="1">Test16b!$D$6:$F$6</definedName>
    <definedName name="solver_adj" localSheetId="40" hidden="1">Test17!$D$6:$F$6</definedName>
    <definedName name="solver_adj" localSheetId="41" hidden="1">Test18!$D$4:$F$4</definedName>
    <definedName name="solver_adj" localSheetId="42" hidden="1">Test19!$D$5:$F$5</definedName>
    <definedName name="solver_adj" localSheetId="3" hidden="1">Test1b!$D$4:$F$4</definedName>
    <definedName name="solver_adj" localSheetId="4" hidden="1">Test1c!$D$4:$F$4</definedName>
    <definedName name="solver_adj" localSheetId="5" hidden="1">Test1c2!$D$4:$F$4</definedName>
    <definedName name="solver_adj" localSheetId="6" hidden="1">Test1d!$D$4:$F$4</definedName>
    <definedName name="solver_adj" localSheetId="7" hidden="1">Test1e!$D$4:$F$4</definedName>
    <definedName name="solver_adj" localSheetId="8" hidden="1">Test1f!$D$4:$F$4</definedName>
    <definedName name="solver_adj" localSheetId="9" hidden="1">Test1g!$D$4:$F$4</definedName>
    <definedName name="solver_adj" localSheetId="10" hidden="1">Test1h!$D$4:$F$4</definedName>
    <definedName name="solver_adj" localSheetId="11" hidden="1">Test1i!$D$5:$F$5</definedName>
    <definedName name="solver_adj" localSheetId="12" hidden="1">Test1j!$D$5:$E$5</definedName>
    <definedName name="solver_adj" localSheetId="13" hidden="1">Test1j2!$D$5:$E$5</definedName>
    <definedName name="solver_adj" localSheetId="14" hidden="1">Test1k!$D$5:$E$5</definedName>
    <definedName name="solver_adj" localSheetId="15" hidden="1">Test1l!$D$5:$E$5</definedName>
    <definedName name="solver_adj" localSheetId="16" hidden="1">Test1m!$D$5:$E$5</definedName>
    <definedName name="solver_adj" localSheetId="17" hidden="1">Test2!$D$4:$G$4</definedName>
    <definedName name="solver_adj" localSheetId="43" hidden="1">Test20!$D$5:$F$5</definedName>
    <definedName name="solver_adj" localSheetId="44" hidden="1">Test21!$D$5:$F$5</definedName>
    <definedName name="solver_adj" localSheetId="45" hidden="1">Test22!$D$5:$F$5</definedName>
    <definedName name="solver_adj" localSheetId="46" hidden="1">Test23!$D$5:$F$5</definedName>
    <definedName name="solver_adj" localSheetId="47" hidden="1">Test24_IterativeCalc!$D$5:$F$5</definedName>
    <definedName name="solver_adj" localSheetId="48" hidden="1">Test25!$D$7:$F$7</definedName>
    <definedName name="solver_adj" localSheetId="49" hidden="1">Test26!$D$5:$F$5</definedName>
    <definedName name="solver_adj" localSheetId="50" hidden="1">Test27_Parameters!$D$4:$F$4</definedName>
    <definedName name="solver_adj" localSheetId="51" hidden="1">Test28_CBCOptions!$D$13:$F$13</definedName>
    <definedName name="solver_adj" localSheetId="52" hidden="1">Test29!$E$4:$G$4</definedName>
    <definedName name="solver_adj" localSheetId="18" hidden="1">Test3!$D$4:$G$4,Test3!$Q$3:$R$4</definedName>
    <definedName name="solver_adj" localSheetId="53" hidden="1">Test30!$D$4:$J$4</definedName>
    <definedName name="solver_adj" localSheetId="55" hidden="1">Test31!$D$4:$F$4</definedName>
    <definedName name="solver_adj" localSheetId="56" hidden="1">Test32!$D$4:$H$4</definedName>
    <definedName name="solver_adj" localSheetId="57" hidden="1">Test33!$E$4:$G$4</definedName>
    <definedName name="solver_adj" localSheetId="58" hidden="1">Test34!$C$4:$D$4</definedName>
    <definedName name="solver_adj" localSheetId="59" hidden="1">Test35!$D$5:$E$5</definedName>
    <definedName name="solver_adj" localSheetId="60" hidden="1">Test36!$D$4:$F$4</definedName>
    <definedName name="solver_adj" localSheetId="61" hidden="1">Test37!$D$5:$H$5</definedName>
    <definedName name="solver_adj" localSheetId="62" hidden="1">Test38!$S$10:$S$11</definedName>
    <definedName name="solver_adj" localSheetId="65" hidden="1">Test39_SensNames!$D$14:$H$16,Test39_SensNames!$J$21</definedName>
    <definedName name="solver_adj" localSheetId="67" hidden="1">Test39_SensNames2!$D$14:$H$16,Test39_SensNames2!$J$21</definedName>
    <definedName name="solver_adj" localSheetId="19" hidden="1">Test4!$D$5:$G$5,Test4!$N$4:$N$5,Test4!$Q$4:$R$5</definedName>
    <definedName name="solver_adj" localSheetId="68" hidden="1">Test40!$D$11</definedName>
    <definedName name="solver_adj" localSheetId="69" hidden="1">Test41!$F$2:$I$2</definedName>
    <definedName name="solver_adj" localSheetId="70" hidden="1">Test42!$D$7:$D$8</definedName>
    <definedName name="solver_adj" localSheetId="71" hidden="1">Test43!$D$2:$F$2</definedName>
    <definedName name="solver_adj" localSheetId="73" hidden="1">Test44_Seek!$D$2:$F$2</definedName>
    <definedName name="solver_adj" localSheetId="74" hidden="1">'Test45_SheetName(1)+2-1'!$D$4:$F$4</definedName>
    <definedName name="solver_adj" localSheetId="75" hidden="1">Test46_NonLinBinary!$C$4:$D$4</definedName>
    <definedName name="solver_adj" localSheetId="20" hidden="1">Test5!$D$5:$G$5,Test5!$N$4:$N$5,Test5!$Q$4:$R$5</definedName>
    <definedName name="solver_adj" localSheetId="22" hidden="1">Test7!$D$5:$F$5</definedName>
    <definedName name="solver_adj" localSheetId="23" hidden="1">Test8!$D$5:$F$5</definedName>
    <definedName name="solver_adj" localSheetId="24" hidden="1">Test8B!$D$5:$F$5</definedName>
    <definedName name="solver_adj" localSheetId="25" hidden="1">Test9A!$D$4:$F$4</definedName>
    <definedName name="solver_adj" localSheetId="26" hidden="1">Test9B!$D$4:$F$4</definedName>
    <definedName name="solver_adj" localSheetId="77" hidden="1">TestNewAutomodel!$B$28:$D$28,TestNewAutomodel!$C$3:$C$5</definedName>
    <definedName name="solver_cvg" localSheetId="76" hidden="1">0.0001</definedName>
    <definedName name="solver_cvg" localSheetId="1" hidden="1">0.0001</definedName>
    <definedName name="solver_cvg" localSheetId="21" hidden="1">0.0001</definedName>
    <definedName name="solver_cvg" localSheetId="2" hidden="1">0.0001</definedName>
    <definedName name="solver_cvg" localSheetId="27" hidden="1">0.0001</definedName>
    <definedName name="solver_cvg" localSheetId="28" hidden="1">0.0001</definedName>
    <definedName name="solver_cvg" localSheetId="29" hidden="1">0.0001</definedName>
    <definedName name="solver_cvg" localSheetId="30" hidden="1">0.0001</definedName>
    <definedName name="solver_cvg" localSheetId="31" hidden="1">0.0001</definedName>
    <definedName name="solver_cvg" localSheetId="32" hidden="1">0.0001</definedName>
    <definedName name="solver_cvg" localSheetId="33" hidden="1">0.0001</definedName>
    <definedName name="solver_cvg" localSheetId="34" hidden="1">0.0001</definedName>
    <definedName name="solver_cvg" localSheetId="35" hidden="1">0.0001</definedName>
    <definedName name="solver_cvg" localSheetId="36" hidden="1">0.0001</definedName>
    <definedName name="solver_cvg" localSheetId="37" hidden="1">0.0001</definedName>
    <definedName name="solver_cvg" localSheetId="38" hidden="1">0.0001</definedName>
    <definedName name="solver_cvg" localSheetId="39" hidden="1">0.0001</definedName>
    <definedName name="solver_cvg" localSheetId="40" hidden="1">0.0001</definedName>
    <definedName name="solver_cvg" localSheetId="41" hidden="1">0.0001</definedName>
    <definedName name="solver_cvg" localSheetId="42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0" hidden="1">0.0001</definedName>
    <definedName name="solver_cvg" localSheetId="11" hidden="1">0.0001</definedName>
    <definedName name="solver_cvg" localSheetId="12" hidden="1">0.0001</definedName>
    <definedName name="solver_cvg" localSheetId="13" hidden="1">0.0001</definedName>
    <definedName name="solver_cvg" localSheetId="14" hidden="1">0.0001</definedName>
    <definedName name="solver_cvg" localSheetId="15" hidden="1">0.0001</definedName>
    <definedName name="solver_cvg" localSheetId="16" hidden="1">0.0001</definedName>
    <definedName name="solver_cvg" localSheetId="17" hidden="1">0.0001</definedName>
    <definedName name="solver_cvg" localSheetId="43" hidden="1">0.0001</definedName>
    <definedName name="solver_cvg" localSheetId="44" hidden="1">0.0001</definedName>
    <definedName name="solver_cvg" localSheetId="45" hidden="1">0.0001</definedName>
    <definedName name="solver_cvg" localSheetId="46" hidden="1">0.0001</definedName>
    <definedName name="solver_cvg" localSheetId="47" hidden="1">0.0001</definedName>
    <definedName name="solver_cvg" localSheetId="48" hidden="1">0.0001</definedName>
    <definedName name="solver_cvg" localSheetId="49" hidden="1">0.0001</definedName>
    <definedName name="solver_cvg" localSheetId="50" hidden="1">0.0001</definedName>
    <definedName name="solver_cvg" localSheetId="51" hidden="1">0.0001</definedName>
    <definedName name="solver_cvg" localSheetId="52" hidden="1">0.0001</definedName>
    <definedName name="solver_cvg" localSheetId="18" hidden="1">0.0001</definedName>
    <definedName name="solver_cvg" localSheetId="53" hidden="1">0.0001</definedName>
    <definedName name="solver_cvg" localSheetId="55" hidden="1">0.0001</definedName>
    <definedName name="solver_cvg" localSheetId="54" hidden="1">0.0001</definedName>
    <definedName name="solver_cvg" localSheetId="56" hidden="1">0.0001</definedName>
    <definedName name="solver_cvg" localSheetId="57" hidden="1">0.0001</definedName>
    <definedName name="solver_cvg" localSheetId="58" hidden="1">0.0001</definedName>
    <definedName name="solver_cvg" localSheetId="59" hidden="1">0.0001</definedName>
    <definedName name="solver_cvg" localSheetId="60" hidden="1">0.0001</definedName>
    <definedName name="solver_cvg" localSheetId="61" hidden="1">0.0001</definedName>
    <definedName name="solver_cvg" localSheetId="62" hidden="1">0.0001</definedName>
    <definedName name="solver_cvg" localSheetId="63" hidden="1">0.0001</definedName>
    <definedName name="solver_cvg" localSheetId="65" hidden="1">0.0001</definedName>
    <definedName name="solver_cvg" localSheetId="67" hidden="1">0.0001</definedName>
    <definedName name="solver_cvg" localSheetId="19" hidden="1">0.0001</definedName>
    <definedName name="solver_cvg" localSheetId="68" hidden="1">0.0001</definedName>
    <definedName name="solver_cvg" localSheetId="69" hidden="1">0.0001</definedName>
    <definedName name="solver_cvg" localSheetId="70" hidden="1">0.0001</definedName>
    <definedName name="solver_cvg" localSheetId="71" hidden="1">0.0001</definedName>
    <definedName name="solver_cvg" localSheetId="73" hidden="1">0.0001</definedName>
    <definedName name="solver_cvg" localSheetId="74" hidden="1">0.0001</definedName>
    <definedName name="solver_cvg" localSheetId="75" hidden="1">0.0001</definedName>
    <definedName name="solver_cvg" localSheetId="20" hidden="1">0.0001</definedName>
    <definedName name="solver_cvg" localSheetId="22" hidden="1">0.0001</definedName>
    <definedName name="solver_cvg" localSheetId="23" hidden="1">0.0001</definedName>
    <definedName name="solver_cvg" localSheetId="24" hidden="1">0.0001</definedName>
    <definedName name="solver_cvg" localSheetId="25" hidden="1">0.0001</definedName>
    <definedName name="solver_cvg" localSheetId="26" hidden="1">0.0001</definedName>
    <definedName name="solver_cvg" localSheetId="77" hidden="1">0.0001</definedName>
    <definedName name="solver_drv" localSheetId="76" hidden="1">1</definedName>
    <definedName name="solver_drv" localSheetId="1" hidden="1">1</definedName>
    <definedName name="solver_drv" localSheetId="21" hidden="1">1</definedName>
    <definedName name="solver_drv" localSheetId="2" hidden="1">1</definedName>
    <definedName name="solver_drv" localSheetId="27" hidden="1">1</definedName>
    <definedName name="solver_drv" localSheetId="28" hidden="1">1</definedName>
    <definedName name="solver_drv" localSheetId="29" hidden="1">1</definedName>
    <definedName name="solver_drv" localSheetId="30" hidden="1">1</definedName>
    <definedName name="solver_drv" localSheetId="31" hidden="1">1</definedName>
    <definedName name="solver_drv" localSheetId="32" hidden="1">1</definedName>
    <definedName name="solver_drv" localSheetId="33" hidden="1">1</definedName>
    <definedName name="solver_drv" localSheetId="34" hidden="1">1</definedName>
    <definedName name="solver_drv" localSheetId="35" hidden="1">1</definedName>
    <definedName name="solver_drv" localSheetId="36" hidden="1">1</definedName>
    <definedName name="solver_drv" localSheetId="37" hidden="1">1</definedName>
    <definedName name="solver_drv" localSheetId="38" hidden="1">1</definedName>
    <definedName name="solver_drv" localSheetId="39" hidden="1">1</definedName>
    <definedName name="solver_drv" localSheetId="40" hidden="1">1</definedName>
    <definedName name="solver_drv" localSheetId="41" hidden="1">1</definedName>
    <definedName name="solver_drv" localSheetId="42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drv" localSheetId="8" hidden="1">1</definedName>
    <definedName name="solver_drv" localSheetId="9" hidden="1">1</definedName>
    <definedName name="solver_drv" localSheetId="10" hidden="1">1</definedName>
    <definedName name="solver_drv" localSheetId="11" hidden="1">1</definedName>
    <definedName name="solver_drv" localSheetId="12" hidden="1">1</definedName>
    <definedName name="solver_drv" localSheetId="13" hidden="1">1</definedName>
    <definedName name="solver_drv" localSheetId="14" hidden="1">1</definedName>
    <definedName name="solver_drv" localSheetId="15" hidden="1">1</definedName>
    <definedName name="solver_drv" localSheetId="16" hidden="1">1</definedName>
    <definedName name="solver_drv" localSheetId="17" hidden="1">1</definedName>
    <definedName name="solver_drv" localSheetId="43" hidden="1">1</definedName>
    <definedName name="solver_drv" localSheetId="44" hidden="1">1</definedName>
    <definedName name="solver_drv" localSheetId="45" hidden="1">1</definedName>
    <definedName name="solver_drv" localSheetId="46" hidden="1">1</definedName>
    <definedName name="solver_drv" localSheetId="47" hidden="1">1</definedName>
    <definedName name="solver_drv" localSheetId="48" hidden="1">1</definedName>
    <definedName name="solver_drv" localSheetId="49" hidden="1">1</definedName>
    <definedName name="solver_drv" localSheetId="50" hidden="1">1</definedName>
    <definedName name="solver_drv" localSheetId="51" hidden="1">1</definedName>
    <definedName name="solver_drv" localSheetId="52" hidden="1">1</definedName>
    <definedName name="solver_drv" localSheetId="18" hidden="1">1</definedName>
    <definedName name="solver_drv" localSheetId="53" hidden="1">1</definedName>
    <definedName name="solver_drv" localSheetId="55" hidden="1">1</definedName>
    <definedName name="solver_drv" localSheetId="54" hidden="1">1</definedName>
    <definedName name="solver_drv" localSheetId="56" hidden="1">1</definedName>
    <definedName name="solver_drv" localSheetId="57" hidden="1">1</definedName>
    <definedName name="solver_drv" localSheetId="58" hidden="1">1</definedName>
    <definedName name="solver_drv" localSheetId="59" hidden="1">1</definedName>
    <definedName name="solver_drv" localSheetId="60" hidden="1">1</definedName>
    <definedName name="solver_drv" localSheetId="61" hidden="1">1</definedName>
    <definedName name="solver_drv" localSheetId="62" hidden="1">1</definedName>
    <definedName name="solver_drv" localSheetId="63" hidden="1">1</definedName>
    <definedName name="solver_drv" localSheetId="65" hidden="1">1</definedName>
    <definedName name="solver_drv" localSheetId="67" hidden="1">1</definedName>
    <definedName name="solver_drv" localSheetId="19" hidden="1">1</definedName>
    <definedName name="solver_drv" localSheetId="68" hidden="1">1</definedName>
    <definedName name="solver_drv" localSheetId="69" hidden="1">1</definedName>
    <definedName name="solver_drv" localSheetId="70" hidden="1">1</definedName>
    <definedName name="solver_drv" localSheetId="71" hidden="1">1</definedName>
    <definedName name="solver_drv" localSheetId="73" hidden="1">1</definedName>
    <definedName name="solver_drv" localSheetId="74" hidden="1">1</definedName>
    <definedName name="solver_drv" localSheetId="75" hidden="1">1</definedName>
    <definedName name="solver_drv" localSheetId="20" hidden="1">1</definedName>
    <definedName name="solver_drv" localSheetId="22" hidden="1">1</definedName>
    <definedName name="solver_drv" localSheetId="23" hidden="1">1</definedName>
    <definedName name="solver_drv" localSheetId="24" hidden="1">1</definedName>
    <definedName name="solver_drv" localSheetId="25" hidden="1">1</definedName>
    <definedName name="solver_drv" localSheetId="26" hidden="1">1</definedName>
    <definedName name="solver_drv" localSheetId="77" hidden="1">1</definedName>
    <definedName name="solver_eng" localSheetId="2" hidden="1">2</definedName>
    <definedName name="solver_eng" localSheetId="27">2</definedName>
    <definedName name="solver_eng" localSheetId="28">2</definedName>
    <definedName name="solver_eng" localSheetId="29">2</definedName>
    <definedName name="solver_eng" localSheetId="30">2</definedName>
    <definedName name="solver_eng" localSheetId="31">2</definedName>
    <definedName name="solver_eng" localSheetId="32">2</definedName>
    <definedName name="solver_eng" localSheetId="33">2</definedName>
    <definedName name="solver_eng" localSheetId="34" hidden="1">2</definedName>
    <definedName name="solver_eng" localSheetId="35" hidden="1">2</definedName>
    <definedName name="solver_eng" localSheetId="36" hidden="1">2</definedName>
    <definedName name="solver_eng" localSheetId="37" hidden="1">2</definedName>
    <definedName name="solver_eng" localSheetId="38" hidden="1">2</definedName>
    <definedName name="solver_eng" localSheetId="39" hidden="1">2</definedName>
    <definedName name="solver_eng" localSheetId="40" hidden="1">2</definedName>
    <definedName name="solver_eng" localSheetId="41" hidden="1">2</definedName>
    <definedName name="solver_eng" localSheetId="42" hidden="1">2</definedName>
    <definedName name="solver_eng" localSheetId="3">2</definedName>
    <definedName name="solver_eng" localSheetId="4">2</definedName>
    <definedName name="solver_eng" localSheetId="5">2</definedName>
    <definedName name="solver_eng" localSheetId="6">2</definedName>
    <definedName name="solver_eng" localSheetId="7">2</definedName>
    <definedName name="solver_eng" localSheetId="8">2</definedName>
    <definedName name="solver_eng" localSheetId="9">2</definedName>
    <definedName name="solver_eng" localSheetId="10">2</definedName>
    <definedName name="solver_eng" localSheetId="11">2</definedName>
    <definedName name="solver_eng" localSheetId="12">2</definedName>
    <definedName name="solver_eng" localSheetId="13">2</definedName>
    <definedName name="solver_eng" localSheetId="14">2</definedName>
    <definedName name="solver_eng" localSheetId="15">2</definedName>
    <definedName name="solver_eng" localSheetId="16">2</definedName>
    <definedName name="solver_eng" localSheetId="17">2</definedName>
    <definedName name="solver_eng" localSheetId="43">2</definedName>
    <definedName name="solver_eng" localSheetId="44" hidden="1">2</definedName>
    <definedName name="solver_eng" localSheetId="45" hidden="1">2</definedName>
    <definedName name="solver_eng" localSheetId="46" hidden="1">2</definedName>
    <definedName name="solver_eng" localSheetId="48" hidden="1">2</definedName>
    <definedName name="solver_eng" localSheetId="49" hidden="1">2</definedName>
    <definedName name="solver_eng" localSheetId="52" hidden="1">2</definedName>
    <definedName name="solver_eng" localSheetId="18">2</definedName>
    <definedName name="solver_eng" localSheetId="53" hidden="1">2</definedName>
    <definedName name="solver_eng" localSheetId="56" hidden="1">2</definedName>
    <definedName name="solver_eng" localSheetId="59" hidden="1">2</definedName>
    <definedName name="solver_eng" localSheetId="60" hidden="1">2</definedName>
    <definedName name="solver_eng" localSheetId="61" hidden="1">2</definedName>
    <definedName name="solver_eng" localSheetId="19">2</definedName>
    <definedName name="solver_eng" localSheetId="68" hidden="1">2</definedName>
    <definedName name="solver_eng" localSheetId="69" hidden="1">2</definedName>
    <definedName name="solver_eng" localSheetId="70" hidden="1">2</definedName>
    <definedName name="solver_eng" localSheetId="74">2</definedName>
    <definedName name="solver_eng" localSheetId="20">2</definedName>
    <definedName name="solver_eng" localSheetId="22">2</definedName>
    <definedName name="solver_eng" localSheetId="23">2</definedName>
    <definedName name="solver_eng" localSheetId="24">2</definedName>
    <definedName name="solver_eng" localSheetId="25">2</definedName>
    <definedName name="solver_eng" localSheetId="77" hidden="1">2</definedName>
    <definedName name="solver_est" localSheetId="76" hidden="1">1</definedName>
    <definedName name="solver_est" localSheetId="1" hidden="1">1</definedName>
    <definedName name="solver_est" localSheetId="21" hidden="1">1</definedName>
    <definedName name="solver_est" localSheetId="2" hidden="1">1</definedName>
    <definedName name="solver_est" localSheetId="27" hidden="1">1</definedName>
    <definedName name="solver_est" localSheetId="28" hidden="1">1</definedName>
    <definedName name="solver_est" localSheetId="29" hidden="1">1</definedName>
    <definedName name="solver_est" localSheetId="30" hidden="1">1</definedName>
    <definedName name="solver_est" localSheetId="31" hidden="1">1</definedName>
    <definedName name="solver_est" localSheetId="32" hidden="1">1</definedName>
    <definedName name="solver_est" localSheetId="33" hidden="1">1</definedName>
    <definedName name="solver_est" localSheetId="34" hidden="1">1</definedName>
    <definedName name="solver_est" localSheetId="35" hidden="1">1</definedName>
    <definedName name="solver_est" localSheetId="36" hidden="1">1</definedName>
    <definedName name="solver_est" localSheetId="37" hidden="1">1</definedName>
    <definedName name="solver_est" localSheetId="38" hidden="1">1</definedName>
    <definedName name="solver_est" localSheetId="39" hidden="1">1</definedName>
    <definedName name="solver_est" localSheetId="40" hidden="1">1</definedName>
    <definedName name="solver_est" localSheetId="41" hidden="1">1</definedName>
    <definedName name="solver_est" localSheetId="42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est" localSheetId="11" hidden="1">1</definedName>
    <definedName name="solver_est" localSheetId="12" hidden="1">1</definedName>
    <definedName name="solver_est" localSheetId="13" hidden="1">1</definedName>
    <definedName name="solver_est" localSheetId="14" hidden="1">1</definedName>
    <definedName name="solver_est" localSheetId="15" hidden="1">1</definedName>
    <definedName name="solver_est" localSheetId="16" hidden="1">1</definedName>
    <definedName name="solver_est" localSheetId="17" hidden="1">1</definedName>
    <definedName name="solver_est" localSheetId="43" hidden="1">1</definedName>
    <definedName name="solver_est" localSheetId="44" hidden="1">1</definedName>
    <definedName name="solver_est" localSheetId="45" hidden="1">1</definedName>
    <definedName name="solver_est" localSheetId="46" hidden="1">1</definedName>
    <definedName name="solver_est" localSheetId="47" hidden="1">1</definedName>
    <definedName name="solver_est" localSheetId="48" hidden="1">1</definedName>
    <definedName name="solver_est" localSheetId="49" hidden="1">1</definedName>
    <definedName name="solver_est" localSheetId="50" hidden="1">1</definedName>
    <definedName name="solver_est" localSheetId="51" hidden="1">1</definedName>
    <definedName name="solver_est" localSheetId="52" hidden="1">1</definedName>
    <definedName name="solver_est" localSheetId="18" hidden="1">1</definedName>
    <definedName name="solver_est" localSheetId="53" hidden="1">1</definedName>
    <definedName name="solver_est" localSheetId="55" hidden="1">1</definedName>
    <definedName name="solver_est" localSheetId="54" hidden="1">1</definedName>
    <definedName name="solver_est" localSheetId="56" hidden="1">1</definedName>
    <definedName name="solver_est" localSheetId="57" hidden="1">1</definedName>
    <definedName name="solver_est" localSheetId="58" hidden="1">1</definedName>
    <definedName name="solver_est" localSheetId="59" hidden="1">1</definedName>
    <definedName name="solver_est" localSheetId="60" hidden="1">1</definedName>
    <definedName name="solver_est" localSheetId="61" hidden="1">1</definedName>
    <definedName name="solver_est" localSheetId="62" hidden="1">1</definedName>
    <definedName name="solver_est" localSheetId="63" hidden="1">1</definedName>
    <definedName name="solver_est" localSheetId="65" hidden="1">1</definedName>
    <definedName name="solver_est" localSheetId="67" hidden="1">1</definedName>
    <definedName name="solver_est" localSheetId="19" hidden="1">1</definedName>
    <definedName name="solver_est" localSheetId="68" hidden="1">1</definedName>
    <definedName name="solver_est" localSheetId="69" hidden="1">1</definedName>
    <definedName name="solver_est" localSheetId="70" hidden="1">1</definedName>
    <definedName name="solver_est" localSheetId="71" hidden="1">1</definedName>
    <definedName name="solver_est" localSheetId="73" hidden="1">1</definedName>
    <definedName name="solver_est" localSheetId="74" hidden="1">1</definedName>
    <definedName name="solver_est" localSheetId="75" hidden="1">1</definedName>
    <definedName name="solver_est" localSheetId="20" hidden="1">1</definedName>
    <definedName name="solver_est" localSheetId="22" hidden="1">1</definedName>
    <definedName name="solver_est" localSheetId="23" hidden="1">1</definedName>
    <definedName name="solver_est" localSheetId="24" hidden="1">1</definedName>
    <definedName name="solver_est" localSheetId="25" hidden="1">1</definedName>
    <definedName name="solver_est" localSheetId="26" hidden="1">1</definedName>
    <definedName name="solver_est" localSheetId="77" hidden="1">1</definedName>
    <definedName name="solver_itr" localSheetId="76" hidden="1">100</definedName>
    <definedName name="solver_itr" localSheetId="1" hidden="1">100</definedName>
    <definedName name="solver_itr" localSheetId="21" hidden="1">100</definedName>
    <definedName name="solver_itr" localSheetId="2" hidden="1">200</definedName>
    <definedName name="solver_itr" localSheetId="27" hidden="1">100</definedName>
    <definedName name="solver_itr" localSheetId="28" hidden="1">100000</definedName>
    <definedName name="solver_itr" localSheetId="29" hidden="1">10000</definedName>
    <definedName name="solver_itr" localSheetId="30" hidden="1">10000</definedName>
    <definedName name="solver_itr" localSheetId="31" hidden="1">10000</definedName>
    <definedName name="solver_itr" localSheetId="32" hidden="1">1000</definedName>
    <definedName name="solver_itr" localSheetId="33" hidden="1">1000</definedName>
    <definedName name="solver_itr" localSheetId="34" hidden="1">1000</definedName>
    <definedName name="solver_itr" localSheetId="35" hidden="1">1000</definedName>
    <definedName name="solver_itr" localSheetId="36" hidden="1">1000</definedName>
    <definedName name="solver_itr" localSheetId="37" hidden="1">1000</definedName>
    <definedName name="solver_itr" localSheetId="38" hidden="1">1000</definedName>
    <definedName name="solver_itr" localSheetId="39" hidden="1">1000</definedName>
    <definedName name="solver_itr" localSheetId="40" hidden="1">1000</definedName>
    <definedName name="solver_itr" localSheetId="41" hidden="1">1000</definedName>
    <definedName name="solver_itr" localSheetId="42" hidden="1">1000</definedName>
    <definedName name="solver_itr" localSheetId="3" hidden="1">1000</definedName>
    <definedName name="solver_itr" localSheetId="4" hidden="1">1000</definedName>
    <definedName name="solver_itr" localSheetId="5" hidden="1">1000</definedName>
    <definedName name="solver_itr" localSheetId="6" hidden="1">100</definedName>
    <definedName name="solver_itr" localSheetId="7" hidden="1">100</definedName>
    <definedName name="solver_itr" localSheetId="8" hidden="1">100</definedName>
    <definedName name="solver_itr" localSheetId="9" hidden="1">100</definedName>
    <definedName name="solver_itr" localSheetId="10" hidden="1">100</definedName>
    <definedName name="solver_itr" localSheetId="11" hidden="1">100</definedName>
    <definedName name="solver_itr" localSheetId="12" hidden="1">1000</definedName>
    <definedName name="solver_itr" localSheetId="13" hidden="1">1000</definedName>
    <definedName name="solver_itr" localSheetId="14" hidden="1">1000</definedName>
    <definedName name="solver_itr" localSheetId="15" hidden="1">1000</definedName>
    <definedName name="solver_itr" localSheetId="16" hidden="1">1000</definedName>
    <definedName name="solver_itr" localSheetId="17" hidden="1">1000</definedName>
    <definedName name="solver_itr" localSheetId="43" hidden="1">1000</definedName>
    <definedName name="solver_itr" localSheetId="44" hidden="1">1000</definedName>
    <definedName name="solver_itr" localSheetId="45" hidden="1">1000</definedName>
    <definedName name="solver_itr" localSheetId="46" hidden="1">1000</definedName>
    <definedName name="solver_itr" localSheetId="47" hidden="1">1000</definedName>
    <definedName name="solver_itr" localSheetId="48" hidden="1">100</definedName>
    <definedName name="solver_itr" localSheetId="49" hidden="1">1000</definedName>
    <definedName name="solver_itr" localSheetId="50" hidden="1">100</definedName>
    <definedName name="solver_itr" localSheetId="51" hidden="1">1000</definedName>
    <definedName name="solver_itr" localSheetId="52" hidden="1">1000</definedName>
    <definedName name="solver_itr" localSheetId="18" hidden="1">1000</definedName>
    <definedName name="solver_itr" localSheetId="53" hidden="1">1000</definedName>
    <definedName name="solver_itr" localSheetId="55" hidden="1">1000</definedName>
    <definedName name="solver_itr" localSheetId="54" hidden="1">100</definedName>
    <definedName name="solver_itr" localSheetId="56" hidden="1">1000</definedName>
    <definedName name="solver_itr" localSheetId="57" hidden="1">100</definedName>
    <definedName name="solver_itr" localSheetId="58" hidden="1">1000</definedName>
    <definedName name="solver_itr" localSheetId="59" hidden="1">20000</definedName>
    <definedName name="solver_itr" localSheetId="60" hidden="1">100</definedName>
    <definedName name="solver_itr" localSheetId="61" hidden="1">1000</definedName>
    <definedName name="solver_itr" localSheetId="62" hidden="1">100000</definedName>
    <definedName name="solver_itr" localSheetId="63" hidden="1">100</definedName>
    <definedName name="solver_itr" localSheetId="65" hidden="1">2000</definedName>
    <definedName name="solver_itr" localSheetId="67" hidden="1">2000</definedName>
    <definedName name="solver_itr" localSheetId="19" hidden="1">1000</definedName>
    <definedName name="solver_itr" localSheetId="68" hidden="1">1000</definedName>
    <definedName name="solver_itr" localSheetId="69" hidden="1">100000</definedName>
    <definedName name="solver_itr" localSheetId="70" hidden="1">1000</definedName>
    <definedName name="solver_itr" localSheetId="71" hidden="1">1000</definedName>
    <definedName name="solver_itr" localSheetId="73" hidden="1">1000</definedName>
    <definedName name="solver_itr" localSheetId="74" hidden="1">200</definedName>
    <definedName name="solver_itr" localSheetId="75" hidden="1">1000</definedName>
    <definedName name="solver_itr" localSheetId="20" hidden="1">100</definedName>
    <definedName name="solver_itr" localSheetId="22" hidden="1">100</definedName>
    <definedName name="solver_itr" localSheetId="23" hidden="1">100</definedName>
    <definedName name="solver_itr" localSheetId="24" hidden="1">100</definedName>
    <definedName name="solver_itr" localSheetId="25" hidden="1">100</definedName>
    <definedName name="solver_itr" localSheetId="26" hidden="1">1000</definedName>
    <definedName name="solver_itr" localSheetId="77" hidden="1">100</definedName>
    <definedName name="solver_lhs1" localSheetId="76" hidden="1">HighlightingExample!$G$7:$G$8</definedName>
    <definedName name="solver_lhs1" localSheetId="21" hidden="1">'Test!6'!$H$9</definedName>
    <definedName name="solver_lhs1" localSheetId="2" hidden="1">Test1!$H$11</definedName>
    <definedName name="solver_lhs1" localSheetId="27" hidden="1">Test10!$H$8</definedName>
    <definedName name="solver_lhs1" localSheetId="28" hidden="1">Test11!$J$40</definedName>
    <definedName name="solver_lhs1" localSheetId="29" hidden="1">Test12!$H$7:$H$8</definedName>
    <definedName name="solver_lhs1" localSheetId="30" hidden="1">Test13!$H$10</definedName>
    <definedName name="solver_lhs1" localSheetId="31" hidden="1">Test13b!$H$7</definedName>
    <definedName name="solver_lhs1" localSheetId="32" hidden="1">Test14!$H$10</definedName>
    <definedName name="solver_lhs1" localSheetId="33" hidden="1">Test15!$H$10</definedName>
    <definedName name="solver_lhs1" localSheetId="34" hidden="1">Test15b!$D$4:$F$4</definedName>
    <definedName name="solver_lhs1" localSheetId="35" hidden="1">Test15c!$F$5</definedName>
    <definedName name="solver_lhs1" localSheetId="36" hidden="1">Test15d!$F$5</definedName>
    <definedName name="solver_lhs1" localSheetId="37" hidden="1">Test15e_Relax!$H$13</definedName>
    <definedName name="solver_lhs1" localSheetId="38" hidden="1">Test16!$D$6:$H$6</definedName>
    <definedName name="solver_lhs1" localSheetId="39" hidden="1">Test16b!$E$6:$H$6</definedName>
    <definedName name="solver_lhs1" localSheetId="40" hidden="1">Test17!$D$6:$H$6</definedName>
    <definedName name="solver_lhs1" localSheetId="41" hidden="1">Test18!$D$4:$F$4</definedName>
    <definedName name="solver_lhs1" localSheetId="42" hidden="1">Test19!$D$5:$F$5</definedName>
    <definedName name="solver_lhs1" localSheetId="3" hidden="1">Test1b!$H$11</definedName>
    <definedName name="solver_lhs1" localSheetId="4" hidden="1">Test1c!$H$8</definedName>
    <definedName name="solver_lhs1" localSheetId="5" hidden="1">Test1c2!$H$8</definedName>
    <definedName name="solver_lhs1" localSheetId="6" hidden="1">Test1d!$H$8</definedName>
    <definedName name="solver_lhs1" localSheetId="7" hidden="1">Test1e!$H$8</definedName>
    <definedName name="solver_lhs1" localSheetId="8" hidden="1">Test1f!$H$8</definedName>
    <definedName name="solver_lhs1" localSheetId="9" hidden="1">Test1g!$H$8</definedName>
    <definedName name="solver_lhs1" localSheetId="10" hidden="1">Test1h!$H$8</definedName>
    <definedName name="solver_lhs1" localSheetId="11" hidden="1">Test1i!$H$9</definedName>
    <definedName name="solver_lhs1" localSheetId="12" hidden="1">Test1j!$H$9</definedName>
    <definedName name="solver_lhs1" localSheetId="13" hidden="1">Test1j2!$H$9</definedName>
    <definedName name="solver_lhs1" localSheetId="14" hidden="1">Test1k!$H$9</definedName>
    <definedName name="solver_lhs1" localSheetId="15" hidden="1">Test1l!$H$9</definedName>
    <definedName name="solver_lhs1" localSheetId="16" hidden="1">Test1m!$H$9</definedName>
    <definedName name="solver_lhs1" localSheetId="17" hidden="1">Test2!$I$8</definedName>
    <definedName name="solver_lhs1" localSheetId="43" hidden="1">Test20!$H$11</definedName>
    <definedName name="solver_lhs1" localSheetId="44" hidden="1">Test21!$D$5</definedName>
    <definedName name="solver_lhs1" localSheetId="45" hidden="1">Test22!$D$5</definedName>
    <definedName name="solver_lhs1" localSheetId="46" hidden="1">Test23!$D$7</definedName>
    <definedName name="solver_lhs1" localSheetId="47" hidden="1">Test24_IterativeCalc!$H$12</definedName>
    <definedName name="solver_lhs1" localSheetId="48" hidden="1">Test25!$H$11:$H$12</definedName>
    <definedName name="solver_lhs1" localSheetId="49" hidden="1">Test26!$H$11</definedName>
    <definedName name="solver_lhs1" localSheetId="50" hidden="1">Test27_Parameters!$H$8</definedName>
    <definedName name="solver_lhs1" localSheetId="51" hidden="1">Test28_CBCOptions!$H$20</definedName>
    <definedName name="solver_lhs1" localSheetId="52" hidden="1">Test29!$H$11</definedName>
    <definedName name="solver_lhs1" localSheetId="18" hidden="1">Test3!$S$3:$S$4</definedName>
    <definedName name="solver_lhs1" localSheetId="53" hidden="1">Test30!$K$8</definedName>
    <definedName name="solver_lhs1" localSheetId="55" hidden="1">Test31!$G$8</definedName>
    <definedName name="solver_lhs1" localSheetId="56" hidden="1">Test32!$I$12</definedName>
    <definedName name="solver_lhs1" localSheetId="57" hidden="1">Test33!$H$8</definedName>
    <definedName name="solver_lhs1" localSheetId="58" hidden="1">Test34!$E$6:$E$7</definedName>
    <definedName name="solver_lhs1" localSheetId="59" hidden="1">Test35!$F$8</definedName>
    <definedName name="solver_lhs1" localSheetId="60" hidden="1">Test36!$D$4:$F$4</definedName>
    <definedName name="solver_lhs1" localSheetId="61" hidden="1">Test37!$I$7:$I$9</definedName>
    <definedName name="solver_lhs1" localSheetId="62" hidden="1">Test38!$S$10:$S$11</definedName>
    <definedName name="solver_lhs1" localSheetId="65" hidden="1">Test39_SensNames!$I$14:$I$16</definedName>
    <definedName name="solver_lhs1" localSheetId="67" hidden="1">Test39_SensNames2!$I$14:$I$16</definedName>
    <definedName name="solver_lhs1" localSheetId="19" hidden="1">Test4!$I$9</definedName>
    <definedName name="solver_lhs1" localSheetId="71" hidden="1">Test43!$G$6</definedName>
    <definedName name="solver_lhs1" localSheetId="73" hidden="1">Test44_Seek!$G$6</definedName>
    <definedName name="solver_lhs1" localSheetId="74" hidden="1">'Test45_SheetName(1)+2-1'!$H$11</definedName>
    <definedName name="solver_lhs1" localSheetId="75" hidden="1">Test46_NonLinBinary!$E$8:$E$9</definedName>
    <definedName name="solver_lhs1" localSheetId="20" hidden="1">Test5!$I$9</definedName>
    <definedName name="solver_lhs1" localSheetId="22" hidden="1">Test7!$H$9</definedName>
    <definedName name="solver_lhs1" localSheetId="23" hidden="1">Test8!$H$9</definedName>
    <definedName name="solver_lhs1" localSheetId="24" hidden="1">Test8B!$H$9</definedName>
    <definedName name="solver_lhs1" localSheetId="25" hidden="1">Test9A!$J$8</definedName>
    <definedName name="solver_lhs1" localSheetId="26" hidden="1">Test9B!$J$8</definedName>
    <definedName name="solver_lhs1" localSheetId="77" hidden="1">TestNewAutomodel!$B$20</definedName>
    <definedName name="solver_lhs10" localSheetId="31" hidden="1">Test13b!$H$16</definedName>
    <definedName name="solver_lhs10" localSheetId="52" hidden="1">Test29!$G$4</definedName>
    <definedName name="solver_lhs10" localSheetId="57" hidden="1">Test33!$E$4</definedName>
    <definedName name="solver_lhs10" localSheetId="20" hidden="1">Test5!$I$14</definedName>
    <definedName name="solver_lhs100" localSheetId="31" hidden="1">Test13b!$H$106</definedName>
    <definedName name="solver_lhs101" localSheetId="31" hidden="1">Test13b!$H$107</definedName>
    <definedName name="solver_lhs102" localSheetId="31" hidden="1">Test13b!$H$108</definedName>
    <definedName name="solver_lhs103" localSheetId="31" hidden="1">Test13b!$H$109</definedName>
    <definedName name="solver_lhs104" localSheetId="31" hidden="1">Test13b!$H$110</definedName>
    <definedName name="solver_lhs105" localSheetId="31" hidden="1">Test13b!$H$111</definedName>
    <definedName name="solver_lhs106" localSheetId="31" hidden="1">Test13b!$H$112</definedName>
    <definedName name="solver_lhs107" localSheetId="31" hidden="1">Test13b!$H$113</definedName>
    <definedName name="solver_lhs108" localSheetId="31" hidden="1">Test13b!$H$114</definedName>
    <definedName name="solver_lhs109" localSheetId="31" hidden="1">Test13b!$H$115</definedName>
    <definedName name="solver_lhs11" localSheetId="31" hidden="1">Test13b!$H$17</definedName>
    <definedName name="solver_lhs11" localSheetId="57" hidden="1">Test33!$F$15:$F$21</definedName>
    <definedName name="solver_lhs110" localSheetId="31" hidden="1">Test13b!$H$116</definedName>
    <definedName name="solver_lhs111" localSheetId="31" hidden="1">Test13b!$H$117</definedName>
    <definedName name="solver_lhs112" localSheetId="31" hidden="1">Test13b!$H$118</definedName>
    <definedName name="solver_lhs113" localSheetId="31" hidden="1">Test13b!$H$119</definedName>
    <definedName name="solver_lhs114" localSheetId="31" hidden="1">Test13b!$H$120</definedName>
    <definedName name="solver_lhs115" localSheetId="31" hidden="1">Test13b!$H$121</definedName>
    <definedName name="solver_lhs116" localSheetId="31" hidden="1">Test13b!$H$122</definedName>
    <definedName name="solver_lhs117" localSheetId="31" hidden="1">Test13b!$H$123</definedName>
    <definedName name="solver_lhs118" localSheetId="31" hidden="1">Test13b!$H$124</definedName>
    <definedName name="solver_lhs119" localSheetId="31" hidden="1">Test13b!$H$125</definedName>
    <definedName name="solver_lhs12" localSheetId="31" hidden="1">Test13b!$H$18</definedName>
    <definedName name="solver_lhs12" localSheetId="57" hidden="1">Test33!$F$15:$F$21</definedName>
    <definedName name="solver_lhs120" localSheetId="31" hidden="1">Test13b!$H$126</definedName>
    <definedName name="solver_lhs121" localSheetId="31" hidden="1">Test13b!$H$127</definedName>
    <definedName name="solver_lhs122" localSheetId="31" hidden="1">Test13b!$H$128</definedName>
    <definedName name="solver_lhs123" localSheetId="31" hidden="1">Test13b!$H$129</definedName>
    <definedName name="solver_lhs124" localSheetId="31" hidden="1">Test13b!$H$130</definedName>
    <definedName name="solver_lhs125" localSheetId="31" hidden="1">Test13b!$H$131</definedName>
    <definedName name="solver_lhs126" localSheetId="31" hidden="1">Test13b!$H$132</definedName>
    <definedName name="solver_lhs127" localSheetId="31" hidden="1">Test13b!$H$133</definedName>
    <definedName name="solver_lhs128" localSheetId="31" hidden="1">Test13b!$H$134</definedName>
    <definedName name="solver_lhs129" localSheetId="31" hidden="1">Test13b!$H$135</definedName>
    <definedName name="solver_lhs13" localSheetId="31" hidden="1">Test13b!$H$19</definedName>
    <definedName name="solver_lhs13" localSheetId="57" hidden="1">Test33!$G$15:$G$21</definedName>
    <definedName name="solver_lhs130" localSheetId="31" hidden="1">Test13b!$H$136</definedName>
    <definedName name="solver_lhs131" localSheetId="31" hidden="1">Test13b!$H$137</definedName>
    <definedName name="solver_lhs132" localSheetId="31" hidden="1">Test13b!$H$138</definedName>
    <definedName name="solver_lhs133" localSheetId="31" hidden="1">Test13b!$H$139</definedName>
    <definedName name="solver_lhs14" localSheetId="31" hidden="1">Test13b!$H$20</definedName>
    <definedName name="solver_lhs14" localSheetId="57" hidden="1">Test33!$G$15:$G$21</definedName>
    <definedName name="solver_lhs15" localSheetId="31" hidden="1">Test13b!$H$21</definedName>
    <definedName name="solver_lhs16" localSheetId="31" hidden="1">Test13b!$H$22</definedName>
    <definedName name="solver_lhs17" localSheetId="31" hidden="1">Test13b!$H$23</definedName>
    <definedName name="solver_lhs18" localSheetId="31" hidden="1">Test13b!$H$24</definedName>
    <definedName name="solver_lhs19" localSheetId="31" hidden="1">Test13b!$H$25</definedName>
    <definedName name="solver_lhs2" localSheetId="76" hidden="1">HighlightingExample!$G$9</definedName>
    <definedName name="solver_lhs2" localSheetId="21" hidden="1">'Test!6'!$H$10</definedName>
    <definedName name="solver_lhs2" localSheetId="2" hidden="1">Test1!$H$8:$H$9</definedName>
    <definedName name="solver_lhs2" localSheetId="27" hidden="1">Test10!$H$9</definedName>
    <definedName name="solver_lhs2" localSheetId="28" hidden="1">Test11!$J$41:$J$42</definedName>
    <definedName name="solver_lhs2" localSheetId="29" hidden="1">Test12!$H$9</definedName>
    <definedName name="solver_lhs2" localSheetId="30" hidden="1">Test13!$H$7:$H$8</definedName>
    <definedName name="solver_lhs2" localSheetId="31" hidden="1">Test13b!$H$8</definedName>
    <definedName name="solver_lhs2" localSheetId="32" hidden="1">Test14!$H$11</definedName>
    <definedName name="solver_lhs2" localSheetId="33" hidden="1">Test15!$H$11</definedName>
    <definedName name="solver_lhs2" localSheetId="34" hidden="1">Test15b!$H$10</definedName>
    <definedName name="solver_lhs2" localSheetId="35" hidden="1">Test15c!$D$5:$F$5</definedName>
    <definedName name="solver_lhs2" localSheetId="36" hidden="1">Test15d!$E$5:$F$5</definedName>
    <definedName name="solver_lhs2" localSheetId="37" hidden="1">Test15e_Relax!$H$12</definedName>
    <definedName name="solver_lhs2" localSheetId="38" hidden="1">Test16!$H$12</definedName>
    <definedName name="solver_lhs2" localSheetId="39" hidden="1">Test16b!$H$12</definedName>
    <definedName name="solver_lhs2" localSheetId="40" hidden="1">Test17!$H$12</definedName>
    <definedName name="solver_lhs2" localSheetId="41" hidden="1">Test18!$H$10</definedName>
    <definedName name="solver_lhs2" localSheetId="42" hidden="1">Test19!$H$11</definedName>
    <definedName name="solver_lhs2" localSheetId="3" hidden="1">Test1b!$H$8:$H$9</definedName>
    <definedName name="solver_lhs2" localSheetId="4" hidden="1">Test1c!$H$9</definedName>
    <definedName name="solver_lhs2" localSheetId="5" hidden="1">Test1c2!$H$9</definedName>
    <definedName name="solver_lhs2" localSheetId="6" hidden="1">Test1d!$H$9</definedName>
    <definedName name="solver_lhs2" localSheetId="7" hidden="1">Test1e!$H$9</definedName>
    <definedName name="solver_lhs2" localSheetId="8" hidden="1">Test1f!$H$9</definedName>
    <definedName name="solver_lhs2" localSheetId="9" hidden="1">Test1g!$H$9</definedName>
    <definedName name="solver_lhs2" localSheetId="10" hidden="1">Test1h!$H$9</definedName>
    <definedName name="solver_lhs2" localSheetId="11" hidden="1">Test1i!$H$10</definedName>
    <definedName name="solver_lhs2" localSheetId="12" hidden="1">Test1j!$H$10</definedName>
    <definedName name="solver_lhs2" localSheetId="13" hidden="1">Test1j2!$H$10</definedName>
    <definedName name="solver_lhs2" localSheetId="14" hidden="1">Test1k!$H$10</definedName>
    <definedName name="solver_lhs2" localSheetId="15" hidden="1">Test1l!$D$5</definedName>
    <definedName name="solver_lhs2" localSheetId="16" hidden="1">Test1m!$D$5</definedName>
    <definedName name="solver_lhs2" localSheetId="17" hidden="1">Test2!$I$9</definedName>
    <definedName name="solver_lhs2" localSheetId="43" hidden="1">Test20!$H$12</definedName>
    <definedName name="solver_lhs2" localSheetId="44" hidden="1">Test21!$H$11</definedName>
    <definedName name="solver_lhs2" localSheetId="45" hidden="1">Test22!$H$11</definedName>
    <definedName name="solver_lhs2" localSheetId="46" hidden="1">Test23!$H$11</definedName>
    <definedName name="solver_lhs2" localSheetId="47" hidden="1">Test24_IterativeCalc!$H$9:$H$10</definedName>
    <definedName name="solver_lhs2" localSheetId="48" hidden="1">Test25!$H$14</definedName>
    <definedName name="solver_lhs2" localSheetId="49" hidden="1">Test26!$H$12</definedName>
    <definedName name="solver_lhs2" localSheetId="50" hidden="1">Test27_Parameters!$H$9</definedName>
    <definedName name="solver_lhs2" localSheetId="51" hidden="1">Test28_CBCOptions!$H$17:$H$18</definedName>
    <definedName name="solver_lhs2" localSheetId="52" hidden="1">Test29!$H$8:$H$10</definedName>
    <definedName name="solver_lhs2" localSheetId="18" hidden="1">Test3!$I$8:$I$9</definedName>
    <definedName name="solver_lhs2" localSheetId="53" hidden="1">Test30!$K$10:$K$11</definedName>
    <definedName name="solver_lhs2" localSheetId="55" hidden="1">Test31!$G$10:$G$11</definedName>
    <definedName name="solver_lhs2" localSheetId="56" hidden="1">Test32!$I$8</definedName>
    <definedName name="solver_lhs2" localSheetId="57" hidden="1">Test33!$H$10:$H$11</definedName>
    <definedName name="solver_lhs2" localSheetId="58" hidden="1">Test34!$C$4:$D$4</definedName>
    <definedName name="solver_lhs2" localSheetId="59" hidden="1">Test35!$F$9</definedName>
    <definedName name="solver_lhs2" localSheetId="60" hidden="1">Test36!$G$8</definedName>
    <definedName name="solver_lhs2" localSheetId="61" hidden="1">Test37!$D$5:$H$5</definedName>
    <definedName name="solver_lhs2" localSheetId="62" hidden="1">Test38!$S$10:$S$11</definedName>
    <definedName name="solver_lhs2" localSheetId="65" hidden="1">Test39_SensNames!$D$17:$H$17</definedName>
    <definedName name="solver_lhs2" localSheetId="67" hidden="1">Test39_SensNames2!$D$17:$H$17</definedName>
    <definedName name="solver_lhs2" localSheetId="19" hidden="1">Test4!$I$10</definedName>
    <definedName name="solver_lhs2" localSheetId="71" hidden="1">Test43!$G$8:$G$9</definedName>
    <definedName name="solver_lhs2" localSheetId="73" hidden="1">Test44_Seek!$G$7</definedName>
    <definedName name="solver_lhs2" localSheetId="74" hidden="1">'Test45_SheetName(1)+2-1'!$H$8:$H$9</definedName>
    <definedName name="solver_lhs2" localSheetId="75" hidden="1">Test46_NonLinBinary!$C$4:$D$4</definedName>
    <definedName name="solver_lhs2" localSheetId="20" hidden="1">Test5!$I$10</definedName>
    <definedName name="solver_lhs2" localSheetId="22" hidden="1">Test7!$H$10</definedName>
    <definedName name="solver_lhs2" localSheetId="23" hidden="1">Test8!$H$10</definedName>
    <definedName name="solver_lhs2" localSheetId="24" hidden="1">Test8B!$H$10</definedName>
    <definedName name="solver_lhs2" localSheetId="25" hidden="1">Test9A!$J$9</definedName>
    <definedName name="solver_lhs2" localSheetId="26" hidden="1">Test9B!$J$9</definedName>
    <definedName name="solver_lhs2" localSheetId="77" hidden="1">TestNewAutomodel!$B$14</definedName>
    <definedName name="solver_lhs20" localSheetId="31" hidden="1">Test13b!$H$26</definedName>
    <definedName name="solver_lhs21" localSheetId="31" hidden="1">Test13b!$H$27</definedName>
    <definedName name="solver_lhs22" localSheetId="31" hidden="1">Test13b!$H$28</definedName>
    <definedName name="solver_lhs23" localSheetId="31" hidden="1">Test13b!$H$29</definedName>
    <definedName name="solver_lhs24" localSheetId="31" hidden="1">Test13b!$H$30</definedName>
    <definedName name="solver_lhs25" localSheetId="31" hidden="1">Test13b!$H$31</definedName>
    <definedName name="solver_lhs26" localSheetId="31" hidden="1">Test13b!$H$32</definedName>
    <definedName name="solver_lhs27" localSheetId="31" hidden="1">Test13b!$H$33</definedName>
    <definedName name="solver_lhs28" localSheetId="31" hidden="1">Test13b!$H$34</definedName>
    <definedName name="solver_lhs29" localSheetId="31" hidden="1">Test13b!$H$35</definedName>
    <definedName name="solver_lhs3" localSheetId="76" hidden="1">HighlightingExample!$G$10</definedName>
    <definedName name="solver_lhs3" localSheetId="21" hidden="1">'Test!6'!$H$11</definedName>
    <definedName name="solver_lhs3" localSheetId="2" hidden="1">Test1!$H$10</definedName>
    <definedName name="solver_lhs3" localSheetId="27" hidden="1">Test10!$H$10</definedName>
    <definedName name="solver_lhs3" localSheetId="28" hidden="1">Test11!$J$43</definedName>
    <definedName name="solver_lhs3" localSheetId="29" hidden="1">Test12!$H$10</definedName>
    <definedName name="solver_lhs3" localSheetId="30" hidden="1">Test13!$H$9</definedName>
    <definedName name="solver_lhs3" localSheetId="31" hidden="1">Test13b!$H$9</definedName>
    <definedName name="solver_lhs3" localSheetId="32" hidden="1">Test14!$H$12</definedName>
    <definedName name="solver_lhs3" localSheetId="33" hidden="1">Test15!$H$12</definedName>
    <definedName name="solver_lhs3" localSheetId="34" hidden="1">Test15b!$H$11</definedName>
    <definedName name="solver_lhs3" localSheetId="35" hidden="1">Test15c!$H$11</definedName>
    <definedName name="solver_lhs3" localSheetId="36" hidden="1">Test15d!$D$5:$F$5</definedName>
    <definedName name="solver_lhs3" localSheetId="37" hidden="1">Test15e_Relax!$H$11</definedName>
    <definedName name="solver_lhs3" localSheetId="38" hidden="1">Test16!$H$13</definedName>
    <definedName name="solver_lhs3" localSheetId="39" hidden="1">Test16b!$H$13</definedName>
    <definedName name="solver_lhs3" localSheetId="40" hidden="1">Test17!$H$13</definedName>
    <definedName name="solver_lhs3" localSheetId="41" hidden="1">Test18!$H$11</definedName>
    <definedName name="solver_lhs3" localSheetId="42" hidden="1">Test19!$H$12</definedName>
    <definedName name="solver_lhs3" localSheetId="3" hidden="1">Test1b!$H$10</definedName>
    <definedName name="solver_lhs3" localSheetId="4" hidden="1">Test1c!$H$10</definedName>
    <definedName name="solver_lhs3" localSheetId="5" hidden="1">Test1c2!$H$10</definedName>
    <definedName name="solver_lhs3" localSheetId="6" hidden="1">Test1d!$H$10</definedName>
    <definedName name="solver_lhs3" localSheetId="7" hidden="1">Test1e!$H$10</definedName>
    <definedName name="solver_lhs3" localSheetId="8" hidden="1">Test1f!$H$10</definedName>
    <definedName name="solver_lhs3" localSheetId="9" hidden="1">Test1g!$H$10</definedName>
    <definedName name="solver_lhs3" localSheetId="10" hidden="1">Test1h!$H$10</definedName>
    <definedName name="solver_lhs3" localSheetId="11" hidden="1">Test1i!$H$11</definedName>
    <definedName name="solver_lhs3" localSheetId="12" hidden="1">Test1j!$H$11</definedName>
    <definedName name="solver_lhs3" localSheetId="13" hidden="1">Test1j2!$H$11</definedName>
    <definedName name="solver_lhs3" localSheetId="14" hidden="1">Test1k!$H$11</definedName>
    <definedName name="solver_lhs3" localSheetId="15" hidden="1">Test1l!$H$11</definedName>
    <definedName name="solver_lhs3" localSheetId="16" hidden="1">Test1m!$H$11</definedName>
    <definedName name="solver_lhs3" localSheetId="17" hidden="1">Test2!$I$10</definedName>
    <definedName name="solver_lhs3" localSheetId="43" hidden="1">Test20!$H$13</definedName>
    <definedName name="solver_lhs3" localSheetId="44" hidden="1">Test21!$H$12</definedName>
    <definedName name="solver_lhs3" localSheetId="45" hidden="1">Test22!$H$12</definedName>
    <definedName name="solver_lhs3" localSheetId="46" hidden="1">Test23!$H$12</definedName>
    <definedName name="solver_lhs3" localSheetId="47" hidden="1">Test24_IterativeCalc!$H$11</definedName>
    <definedName name="solver_lhs3" localSheetId="48" hidden="1">Test25!$H$13</definedName>
    <definedName name="solver_lhs3" localSheetId="49" hidden="1">Test26!$H$9:$H$10</definedName>
    <definedName name="solver_lhs3" localSheetId="50" hidden="1">Test27_Parameters!$H$10</definedName>
    <definedName name="solver_lhs3" localSheetId="51" hidden="1">Test28_CBCOptions!$H$19</definedName>
    <definedName name="solver_lhs3" localSheetId="52" hidden="1">Test29!$H$9</definedName>
    <definedName name="solver_lhs3" localSheetId="18" hidden="1">Test3!$I$11</definedName>
    <definedName name="solver_lhs3" localSheetId="53" hidden="1">Test30!$K$9</definedName>
    <definedName name="solver_lhs3" localSheetId="55" hidden="1">Test31!$G$9</definedName>
    <definedName name="solver_lhs3" localSheetId="56" hidden="1">Test32!$I$10:$I$11</definedName>
    <definedName name="solver_lhs3" localSheetId="57" hidden="1">Test33!$H$9</definedName>
    <definedName name="solver_lhs3" localSheetId="59" hidden="1">Test35!$F$10</definedName>
    <definedName name="solver_lhs3" localSheetId="67" hidden="1">Test39_SensNames2!$D$14:$H$16</definedName>
    <definedName name="solver_lhs3" localSheetId="19" hidden="1">Test4!$I$11</definedName>
    <definedName name="solver_lhs3" localSheetId="71" hidden="1">Test43!$G$7</definedName>
    <definedName name="solver_lhs3" localSheetId="73" hidden="1">Test44_Seek!$G$8</definedName>
    <definedName name="solver_lhs3" localSheetId="74" hidden="1">'Test45_SheetName(1)+2-1'!$H$10</definedName>
    <definedName name="solver_lhs3" localSheetId="20" hidden="1">Test5!$N$11</definedName>
    <definedName name="solver_lhs3" localSheetId="22" hidden="1">Test7!$H$11</definedName>
    <definedName name="solver_lhs3" localSheetId="23" hidden="1">Test8!$H$11</definedName>
    <definedName name="solver_lhs3" localSheetId="24" hidden="1">Test8B!$H$11</definedName>
    <definedName name="solver_lhs3" localSheetId="25" hidden="1">Test9A!$J$10</definedName>
    <definedName name="solver_lhs3" localSheetId="26" hidden="1">Test9B!$J$10</definedName>
    <definedName name="solver_lhs3" localSheetId="77" hidden="1">TestNewAutomodel!$B$17</definedName>
    <definedName name="solver_lhs30" localSheetId="31" hidden="1">Test13b!$H$36</definedName>
    <definedName name="solver_lhs31" localSheetId="31" hidden="1">Test13b!$H$37</definedName>
    <definedName name="solver_lhs32" localSheetId="31" hidden="1">Test13b!$H$38</definedName>
    <definedName name="solver_lhs33" localSheetId="31" hidden="1">Test13b!$H$39</definedName>
    <definedName name="solver_lhs34" localSheetId="31" hidden="1">Test13b!$H$40</definedName>
    <definedName name="solver_lhs35" localSheetId="31" hidden="1">Test13b!$H$41</definedName>
    <definedName name="solver_lhs36" localSheetId="31" hidden="1">Test13b!$H$42</definedName>
    <definedName name="solver_lhs37" localSheetId="31" hidden="1">Test13b!$H$43</definedName>
    <definedName name="solver_lhs38" localSheetId="31" hidden="1">Test13b!$H$44</definedName>
    <definedName name="solver_lhs39" localSheetId="31" hidden="1">Test13b!$H$45</definedName>
    <definedName name="solver_lhs4" localSheetId="76" hidden="1">HighlightingExample!$M$15</definedName>
    <definedName name="solver_lhs4" localSheetId="21" hidden="1">'Test!6'!$H$12</definedName>
    <definedName name="solver_lhs4" localSheetId="2" hidden="1">Test1!$H$8:$H$9</definedName>
    <definedName name="solver_lhs4" localSheetId="27" hidden="1">Test10!$H$11</definedName>
    <definedName name="solver_lhs4" localSheetId="28" hidden="1">Test11!$J$44</definedName>
    <definedName name="solver_lhs4" localSheetId="31" hidden="1">Test13b!$H$10</definedName>
    <definedName name="solver_lhs4" localSheetId="32" hidden="1">Test14!$H$13</definedName>
    <definedName name="solver_lhs4" localSheetId="33" hidden="1">Test15!$D$4:$F$4</definedName>
    <definedName name="solver_lhs4" localSheetId="34" hidden="1">Test15b!$H$12</definedName>
    <definedName name="solver_lhs4" localSheetId="35" hidden="1">Test15c!$H$12</definedName>
    <definedName name="solver_lhs4" localSheetId="36" hidden="1">Test15d!$H$11</definedName>
    <definedName name="solver_lhs4" localSheetId="37" hidden="1">Test15e_Relax!$D$5:$F$5</definedName>
    <definedName name="solver_lhs4" localSheetId="38" hidden="1">Test16!$H$14</definedName>
    <definedName name="solver_lhs4" localSheetId="39" hidden="1">Test16b!$H$14</definedName>
    <definedName name="solver_lhs4" localSheetId="40" hidden="1">Test17!$H$14</definedName>
    <definedName name="solver_lhs4" localSheetId="41" hidden="1">Test18!$H$12</definedName>
    <definedName name="solver_lhs4" localSheetId="42" hidden="1">Test19!$H$13</definedName>
    <definedName name="solver_lhs4" localSheetId="3" hidden="1">Test1b!$H$11</definedName>
    <definedName name="solver_lhs4" localSheetId="4" hidden="1">Test1c!$H$11</definedName>
    <definedName name="solver_lhs4" localSheetId="5" hidden="1">Test1c2!$H$11</definedName>
    <definedName name="solver_lhs4" localSheetId="6" hidden="1">Test1d!$H$11</definedName>
    <definedName name="solver_lhs4" localSheetId="7" hidden="1">Test1e!$H$11</definedName>
    <definedName name="solver_lhs4" localSheetId="8" hidden="1">Test1f!$H$11</definedName>
    <definedName name="solver_lhs4" localSheetId="9" hidden="1">Test1g!$H$11</definedName>
    <definedName name="solver_lhs4" localSheetId="10" hidden="1">Test1h!$H$11</definedName>
    <definedName name="solver_lhs4" localSheetId="11" hidden="1">Test1i!$H$12</definedName>
    <definedName name="solver_lhs4" localSheetId="12" hidden="1">Test1j!$H$12</definedName>
    <definedName name="solver_lhs4" localSheetId="13" hidden="1">Test1j2!$H$12</definedName>
    <definedName name="solver_lhs4" localSheetId="14" hidden="1">Test1k!$H$12</definedName>
    <definedName name="solver_lhs4" localSheetId="15" hidden="1">Test1l!$H$12</definedName>
    <definedName name="solver_lhs4" localSheetId="16" hidden="1">Test1m!$H$12</definedName>
    <definedName name="solver_lhs4" localSheetId="17" hidden="1">Test2!$E$4:$F$4</definedName>
    <definedName name="solver_lhs4" localSheetId="43" hidden="1">Test20!$D$5:$F$5</definedName>
    <definedName name="solver_lhs4" localSheetId="44" hidden="1">Test21!$H$13</definedName>
    <definedName name="solver_lhs4" localSheetId="45" hidden="1">Test22!$H$13</definedName>
    <definedName name="solver_lhs4" localSheetId="46" hidden="1">Test23!$H$13</definedName>
    <definedName name="solver_lhs4" localSheetId="47" hidden="1">Test24_IterativeCalc!$H$12</definedName>
    <definedName name="solver_lhs4" localSheetId="49" hidden="1">Test26!$H$12</definedName>
    <definedName name="solver_lhs4" localSheetId="50" hidden="1">Test27_Parameters!$D$4:$E$4</definedName>
    <definedName name="solver_lhs4" localSheetId="51" hidden="1">Test28_CBCOptions!$H$20</definedName>
    <definedName name="solver_lhs4" localSheetId="52" hidden="1">Test29!$H$10:$H$11</definedName>
    <definedName name="solver_lhs4" localSheetId="18" hidden="1">Test3!$Q$5:$R$5</definedName>
    <definedName name="solver_lhs4" localSheetId="55" hidden="1">Test31!$D$4:$F$4</definedName>
    <definedName name="solver_lhs4" localSheetId="56" hidden="1">Test32!$I$9</definedName>
    <definedName name="solver_lhs4" localSheetId="57" hidden="1">Test33!$H$12</definedName>
    <definedName name="solver_lhs4" localSheetId="59" hidden="1">Test35!$F$11</definedName>
    <definedName name="solver_lhs4" localSheetId="19" hidden="1">Test4!$E$5:$F$5</definedName>
    <definedName name="solver_lhs4" localSheetId="71" hidden="1">Test43!$G$9</definedName>
    <definedName name="solver_lhs4" localSheetId="73" hidden="1">Test44_Seek!$G$9</definedName>
    <definedName name="solver_lhs4" localSheetId="74" hidden="1">'Test45_SheetName(1)+2-1'!$H$11</definedName>
    <definedName name="solver_lhs4" localSheetId="20" hidden="1">Test5!$E$5:$F$5</definedName>
    <definedName name="solver_lhs4" localSheetId="22" hidden="1">Test7!$H$12</definedName>
    <definedName name="solver_lhs4" localSheetId="23" hidden="1">Test8!$H$12</definedName>
    <definedName name="solver_lhs4" localSheetId="24" hidden="1">Test8B!$H$12</definedName>
    <definedName name="solver_lhs4" localSheetId="25" hidden="1">Test9A!$J$11</definedName>
    <definedName name="solver_lhs4" localSheetId="26" hidden="1">Test9B!$J$11</definedName>
    <definedName name="solver_lhs4" localSheetId="77" hidden="1">TestNewAutomodel!$D$33</definedName>
    <definedName name="solver_lhs40" localSheetId="31" hidden="1">Test13b!$H$46</definedName>
    <definedName name="solver_lhs41" localSheetId="31" hidden="1">Test13b!$H$47</definedName>
    <definedName name="solver_lhs42" localSheetId="31" hidden="1">Test13b!$H$48</definedName>
    <definedName name="solver_lhs43" localSheetId="31" hidden="1">Test13b!$H$49</definedName>
    <definedName name="solver_lhs44" localSheetId="31" hidden="1">Test13b!$H$50</definedName>
    <definedName name="solver_lhs45" localSheetId="31" hidden="1">Test13b!$H$51</definedName>
    <definedName name="solver_lhs46" localSheetId="31" hidden="1">Test13b!$H$52</definedName>
    <definedName name="solver_lhs47" localSheetId="31" hidden="1">Test13b!$H$53</definedName>
    <definedName name="solver_lhs48" localSheetId="31" hidden="1">Test13b!$H$54</definedName>
    <definedName name="solver_lhs49" localSheetId="31" hidden="1">Test13b!$H$55</definedName>
    <definedName name="solver_lhs5" localSheetId="76" hidden="1">HighlightingExample!$M$12</definedName>
    <definedName name="solver_lhs5" localSheetId="21" hidden="1">'Test!6'!$D$5</definedName>
    <definedName name="solver_lhs5" localSheetId="2" hidden="1">Test1!$D$4</definedName>
    <definedName name="solver_lhs5" localSheetId="27" hidden="1">Test10!$D$4</definedName>
    <definedName name="solver_lhs5" localSheetId="28" hidden="1">Test11!$D$3:$D$35</definedName>
    <definedName name="solver_lhs5" localSheetId="31" hidden="1">Test13b!$H$11</definedName>
    <definedName name="solver_lhs5" localSheetId="32" hidden="1">Test14!$D$5</definedName>
    <definedName name="solver_lhs5" localSheetId="33" hidden="1">Test15!$D$4</definedName>
    <definedName name="solver_lhs5" localSheetId="34" hidden="1">Test15b!$D$4</definedName>
    <definedName name="solver_lhs5" localSheetId="35" hidden="1">Test15c!$H$13</definedName>
    <definedName name="solver_lhs5" localSheetId="36" hidden="1">Test15d!$H$12</definedName>
    <definedName name="solver_lhs5" localSheetId="37" hidden="1">Test15e_Relax!$F$5</definedName>
    <definedName name="solver_lhs5" localSheetId="38" hidden="1">Test16!$D$6</definedName>
    <definedName name="solver_lhs5" localSheetId="39" hidden="1">Test16b!$D$6</definedName>
    <definedName name="solver_lhs5" localSheetId="40" hidden="1">Test17!$D$6</definedName>
    <definedName name="solver_lhs5" localSheetId="41" hidden="1">Test18!$D$4</definedName>
    <definedName name="solver_lhs5" localSheetId="42" hidden="1">Test19!$D$5</definedName>
    <definedName name="solver_lhs5" localSheetId="3" hidden="1">Test1b!$D$4</definedName>
    <definedName name="solver_lhs5" localSheetId="4" hidden="1">Test1c!$D$4</definedName>
    <definedName name="solver_lhs5" localSheetId="5" hidden="1">Test1c2!$D$4</definedName>
    <definedName name="solver_lhs5" localSheetId="6" hidden="1">Test1d!$D$4</definedName>
    <definedName name="solver_lhs5" localSheetId="7" hidden="1">Test1e!$D$4</definedName>
    <definedName name="solver_lhs5" localSheetId="8" hidden="1">Test1f!$D$4</definedName>
    <definedName name="solver_lhs5" localSheetId="9" hidden="1">Test1g!$D$4</definedName>
    <definedName name="solver_lhs5" localSheetId="10" hidden="1">Test1h!$D$4</definedName>
    <definedName name="solver_lhs5" localSheetId="11" hidden="1">Test1i!$D$5</definedName>
    <definedName name="solver_lhs5" localSheetId="12" hidden="1">Test1j!$D$5</definedName>
    <definedName name="solver_lhs5" localSheetId="13" hidden="1">Test1j2!$D$5</definedName>
    <definedName name="solver_lhs5" localSheetId="14" hidden="1">Test1k!$D$5</definedName>
    <definedName name="solver_lhs5" localSheetId="15" hidden="1">Test1l!$H$10</definedName>
    <definedName name="solver_lhs5" localSheetId="16" hidden="1">Test1m!$H$10</definedName>
    <definedName name="solver_lhs5" localSheetId="17" hidden="1">Test2!$D$4:$E$4</definedName>
    <definedName name="solver_lhs5" localSheetId="43" hidden="1">Test20!$D$5</definedName>
    <definedName name="solver_lhs5" localSheetId="44" hidden="1">Test21!$D$5</definedName>
    <definedName name="solver_lhs5" localSheetId="45" hidden="1">Test22!$D$5</definedName>
    <definedName name="solver_lhs5" localSheetId="46" hidden="1">Test23!$D$5</definedName>
    <definedName name="solver_lhs5" localSheetId="47" hidden="1">Test24_IterativeCalc!$D$5</definedName>
    <definedName name="solver_lhs5" localSheetId="49" hidden="1">Test26!$D$5</definedName>
    <definedName name="solver_lhs5" localSheetId="50" hidden="1">Test27_Parameters!$H$11</definedName>
    <definedName name="solver_lhs5" localSheetId="52" hidden="1">Test29!$F$4</definedName>
    <definedName name="solver_lhs5" localSheetId="18" hidden="1">Test3!$I$10</definedName>
    <definedName name="solver_lhs5" localSheetId="57" hidden="1">Test35!$C$4</definedName>
    <definedName name="solver_lhs5" localSheetId="59" hidden="1">Test35!$F$12:$F$17</definedName>
    <definedName name="solver_lhs5" localSheetId="19" hidden="1">Test4!$D$5:$E$5</definedName>
    <definedName name="solver_lhs5" localSheetId="74" hidden="1">'Test45_SheetName(1)+2-1'!$D$4</definedName>
    <definedName name="solver_lhs5" localSheetId="20" hidden="1">Test5!$D$5:$E$5</definedName>
    <definedName name="solver_lhs5" localSheetId="22" hidden="1">Test7!$D$5</definedName>
    <definedName name="solver_lhs5" localSheetId="23" hidden="1">Test8!$D$5</definedName>
    <definedName name="solver_lhs5" localSheetId="24" hidden="1">Test8B!$D$5</definedName>
    <definedName name="solver_lhs5" localSheetId="25" hidden="1">Test9A!$D$4</definedName>
    <definedName name="solver_lhs5" localSheetId="26" hidden="1">Test9B!$D$4</definedName>
    <definedName name="solver_lhs5" localSheetId="77" hidden="1">TestNewAutomodel!$B$28</definedName>
    <definedName name="solver_lhs50" localSheetId="31" hidden="1">Test13b!$H$56</definedName>
    <definedName name="solver_lhs51" localSheetId="31" hidden="1">Test13b!$H$57</definedName>
    <definedName name="solver_lhs52" localSheetId="31" hidden="1">Test13b!$H$58</definedName>
    <definedName name="solver_lhs53" localSheetId="31" hidden="1">Test13b!$H$59</definedName>
    <definedName name="solver_lhs54" localSheetId="31" hidden="1">Test13b!$H$60</definedName>
    <definedName name="solver_lhs55" localSheetId="31" hidden="1">Test13b!$H$61</definedName>
    <definedName name="solver_lhs56" localSheetId="31" hidden="1">Test13b!$H$62</definedName>
    <definedName name="solver_lhs57" localSheetId="31" hidden="1">Test13b!$H$63</definedName>
    <definedName name="solver_lhs58" localSheetId="31" hidden="1">Test13b!$H$64</definedName>
    <definedName name="solver_lhs59" localSheetId="31" hidden="1">Test13b!$H$65</definedName>
    <definedName name="solver_lhs6" localSheetId="76" hidden="1">HighlightingExample!$M$12</definedName>
    <definedName name="solver_lhs6" localSheetId="21" hidden="1">'Test!6'!#REF!</definedName>
    <definedName name="solver_lhs6" localSheetId="2" hidden="1">Test1!#REF!</definedName>
    <definedName name="solver_lhs6" localSheetId="27" hidden="1">Test10!#REF!</definedName>
    <definedName name="solver_lhs6" localSheetId="31" hidden="1">Test13b!$H$12</definedName>
    <definedName name="solver_lhs6" localSheetId="32" hidden="1">Test14!$D$5:$E$5</definedName>
    <definedName name="solver_lhs6" localSheetId="33" hidden="1">Test15!$D$4:$F$4</definedName>
    <definedName name="solver_lhs6" localSheetId="34" hidden="1">Test15b!$D$4:$F$4</definedName>
    <definedName name="solver_lhs6" localSheetId="35" hidden="1">Test15c!$D$5</definedName>
    <definedName name="solver_lhs6" localSheetId="36" hidden="1">Test15d!$H$13</definedName>
    <definedName name="solver_lhs6" localSheetId="37" hidden="1">Test15e_Relax!$E$5:$F$5</definedName>
    <definedName name="solver_lhs6" localSheetId="38" hidden="1">Test16!$D$6:$F$6</definedName>
    <definedName name="solver_lhs6" localSheetId="39" hidden="1">Test16b!$D$6:$F$6</definedName>
    <definedName name="solver_lhs6" localSheetId="40" hidden="1">Test17!$D$6:$F$6</definedName>
    <definedName name="solver_lhs6" localSheetId="41" hidden="1">Test18!$D$4:$F$4</definedName>
    <definedName name="solver_lhs6" localSheetId="42" hidden="1">Test19!$D$5:$F$5</definedName>
    <definedName name="solver_lhs6" localSheetId="3" hidden="1">Test1b!#REF!</definedName>
    <definedName name="solver_lhs6" localSheetId="4" hidden="1">Test1c!#REF!</definedName>
    <definedName name="solver_lhs6" localSheetId="5" hidden="1">Test1c2!#REF!</definedName>
    <definedName name="solver_lhs6" localSheetId="6" hidden="1">Test1d!#REF!</definedName>
    <definedName name="solver_lhs6" localSheetId="7" hidden="1">Test1e!#REF!</definedName>
    <definedName name="solver_lhs6" localSheetId="8" hidden="1">Test1f!#REF!</definedName>
    <definedName name="solver_lhs6" localSheetId="9" hidden="1">Test1g!#REF!</definedName>
    <definedName name="solver_lhs6" localSheetId="10" hidden="1">Test1h!#REF!</definedName>
    <definedName name="solver_lhs6" localSheetId="11" hidden="1">Test1i!#REF!</definedName>
    <definedName name="solver_lhs6" localSheetId="12" hidden="1">Test1j!#REF!</definedName>
    <definedName name="solver_lhs6" localSheetId="13" hidden="1">Test1j2!#REF!</definedName>
    <definedName name="solver_lhs6" localSheetId="14" hidden="1">Test1k!#REF!</definedName>
    <definedName name="solver_lhs6" localSheetId="15" hidden="1">Test1l!#REF!</definedName>
    <definedName name="solver_lhs6" localSheetId="16" hidden="1">Test1m!#REF!</definedName>
    <definedName name="solver_lhs6" localSheetId="17" hidden="1">Test2!$I$11</definedName>
    <definedName name="solver_lhs6" localSheetId="43" hidden="1">Test20!$D$5:$F$5</definedName>
    <definedName name="solver_lhs6" localSheetId="44" hidden="1">Test21!$D$5:$F$5</definedName>
    <definedName name="solver_lhs6" localSheetId="45" hidden="1">Test22!$D$5:$F$5</definedName>
    <definedName name="solver_lhs6" localSheetId="46" hidden="1">Test23!$D$5:$F$5</definedName>
    <definedName name="solver_lhs6" localSheetId="47" hidden="1">Test24_IterativeCalc!#REF!</definedName>
    <definedName name="solver_lhs6" localSheetId="49" hidden="1">Test26!#REF!</definedName>
    <definedName name="solver_lhs6" localSheetId="50" hidden="1">Test27_Parameters!#REF!</definedName>
    <definedName name="solver_lhs6" localSheetId="52" hidden="1">Test29!$G$4</definedName>
    <definedName name="solver_lhs6" localSheetId="18" hidden="1">Test3!$D$4</definedName>
    <definedName name="solver_lhs6" localSheetId="57" hidden="1">Test35!$C$4</definedName>
    <definedName name="solver_lhs6" localSheetId="59" hidden="1">Test35!$F$18</definedName>
    <definedName name="solver_lhs6" localSheetId="19" hidden="1">Test4!$I$12</definedName>
    <definedName name="solver_lhs6" localSheetId="74" hidden="1">'Test45_SheetName(1)+2-1'!#REF!</definedName>
    <definedName name="solver_lhs6" localSheetId="20" hidden="1">Test5!$I$12</definedName>
    <definedName name="solver_lhs6" localSheetId="22" hidden="1">Test7!#REF!</definedName>
    <definedName name="solver_lhs6" localSheetId="23" hidden="1">Test8!#REF!</definedName>
    <definedName name="solver_lhs6" localSheetId="24" hidden="1">Test8B!#REF!</definedName>
    <definedName name="solver_lhs6" localSheetId="25" hidden="1">Test9A!#REF!</definedName>
    <definedName name="solver_lhs6" localSheetId="26" hidden="1">Test9B!#REF!</definedName>
    <definedName name="solver_lhs6" localSheetId="77" hidden="1">TestNewAutomodel!$C$28</definedName>
    <definedName name="solver_lhs60" localSheetId="31" hidden="1">Test13b!$H$66</definedName>
    <definedName name="solver_lhs61" localSheetId="31" hidden="1">Test13b!$H$67</definedName>
    <definedName name="solver_lhs62" localSheetId="31" hidden="1">Test13b!$H$68</definedName>
    <definedName name="solver_lhs63" localSheetId="31" hidden="1">Test13b!$H$69</definedName>
    <definedName name="solver_lhs64" localSheetId="31" hidden="1">Test13b!$H$70</definedName>
    <definedName name="solver_lhs65" localSheetId="31" hidden="1">Test13b!$H$71</definedName>
    <definedName name="solver_lhs66" localSheetId="31" hidden="1">Test13b!$H$72</definedName>
    <definedName name="solver_lhs67" localSheetId="31" hidden="1">Test13b!$H$73</definedName>
    <definedName name="solver_lhs68" localSheetId="31" hidden="1">Test13b!$H$74</definedName>
    <definedName name="solver_lhs69" localSheetId="31" hidden="1">Test13b!$H$75</definedName>
    <definedName name="solver_lhs7" localSheetId="76" hidden="1">HighlightingExample!$M$17:$M$18</definedName>
    <definedName name="solver_lhs7" localSheetId="21" hidden="1">'Test!6'!#REF!</definedName>
    <definedName name="solver_lhs7" localSheetId="2" hidden="1">Test1!#REF!</definedName>
    <definedName name="solver_lhs7" localSheetId="27" hidden="1">Test10!#REF!</definedName>
    <definedName name="solver_lhs7" localSheetId="31" hidden="1">Test13b!$H$13</definedName>
    <definedName name="solver_lhs7" localSheetId="32" hidden="1">Test14!#REF!</definedName>
    <definedName name="solver_lhs7" localSheetId="33" hidden="1">Test15!#REF!</definedName>
    <definedName name="solver_lhs7" localSheetId="34" hidden="1">Test15b!#REF!</definedName>
    <definedName name="solver_lhs7" localSheetId="35" hidden="1">Test15c!#REF!</definedName>
    <definedName name="solver_lhs7" localSheetId="36" hidden="1">Test15d!$E$5:$F$5</definedName>
    <definedName name="solver_lhs7" localSheetId="37" hidden="1">Test15e_Relax!$E$5:$F$5</definedName>
    <definedName name="solver_lhs7" localSheetId="38" hidden="1">Test16!#REF!</definedName>
    <definedName name="solver_lhs7" localSheetId="39" hidden="1">Test16b!#REF!</definedName>
    <definedName name="solver_lhs7" localSheetId="40" hidden="1">Test17!#REF!</definedName>
    <definedName name="solver_lhs7" localSheetId="41" hidden="1">Test18!#REF!</definedName>
    <definedName name="solver_lhs7" localSheetId="42" hidden="1">Test19!#REF!</definedName>
    <definedName name="solver_lhs7" localSheetId="3" hidden="1">Test1b!#REF!</definedName>
    <definedName name="solver_lhs7" localSheetId="4" hidden="1">Test1c!#REF!</definedName>
    <definedName name="solver_lhs7" localSheetId="5" hidden="1">Test1c2!#REF!</definedName>
    <definedName name="solver_lhs7" localSheetId="6" hidden="1">Test1d!#REF!</definedName>
    <definedName name="solver_lhs7" localSheetId="7" hidden="1">Test1e!#REF!</definedName>
    <definedName name="solver_lhs7" localSheetId="8" hidden="1">Test1f!#REF!</definedName>
    <definedName name="solver_lhs7" localSheetId="9" hidden="1">Test1g!#REF!</definedName>
    <definedName name="solver_lhs7" localSheetId="10" hidden="1">Test1h!#REF!</definedName>
    <definedName name="solver_lhs7" localSheetId="11" hidden="1">Test1i!#REF!</definedName>
    <definedName name="solver_lhs7" localSheetId="12" hidden="1">Test1j!#REF!</definedName>
    <definedName name="solver_lhs7" localSheetId="13" hidden="1">Test1j2!#REF!</definedName>
    <definedName name="solver_lhs7" localSheetId="14" hidden="1">Test1k!#REF!</definedName>
    <definedName name="solver_lhs7" localSheetId="15" hidden="1">Test1l!#REF!</definedName>
    <definedName name="solver_lhs7" localSheetId="16" hidden="1">Test1m!#REF!</definedName>
    <definedName name="solver_lhs7" localSheetId="17" hidden="1">Test2!#REF!</definedName>
    <definedName name="solver_lhs7" localSheetId="43" hidden="1">Test20!#REF!</definedName>
    <definedName name="solver_lhs7" localSheetId="44" hidden="1">Test21!#REF!</definedName>
    <definedName name="solver_lhs7" localSheetId="45" hidden="1">Test22!#REF!</definedName>
    <definedName name="solver_lhs7" localSheetId="46" hidden="1">Test23!#REF!</definedName>
    <definedName name="solver_lhs7" localSheetId="47" hidden="1">Test24_IterativeCalc!#REF!</definedName>
    <definedName name="solver_lhs7" localSheetId="49" hidden="1">Test26!#REF!</definedName>
    <definedName name="solver_lhs7" localSheetId="50" hidden="1">Test27_Parameters!#REF!</definedName>
    <definedName name="solver_lhs7" localSheetId="52" hidden="1">Test29!$F$4:$G$4</definedName>
    <definedName name="solver_lhs7" localSheetId="18" hidden="1">Test3!$E$4</definedName>
    <definedName name="solver_lhs7" localSheetId="57" hidden="1">Test33!$E$4</definedName>
    <definedName name="solver_lhs7" localSheetId="19" hidden="1">Test4!$S$4:$S$5</definedName>
    <definedName name="solver_lhs7" localSheetId="74" hidden="1">'Test45_SheetName(1)+2-1'!#REF!</definedName>
    <definedName name="solver_lhs7" localSheetId="20" hidden="1">Test5!$S$4:$S$5</definedName>
    <definedName name="solver_lhs7" localSheetId="22" hidden="1">Test7!#REF!</definedName>
    <definedName name="solver_lhs7" localSheetId="23" hidden="1">Test8!#REF!</definedName>
    <definedName name="solver_lhs7" localSheetId="24" hidden="1">Test8B!#REF!</definedName>
    <definedName name="solver_lhs7" localSheetId="25" hidden="1">Test9A!#REF!</definedName>
    <definedName name="solver_lhs7" localSheetId="26" hidden="1">Test9B!#REF!</definedName>
    <definedName name="solver_lhs7" localSheetId="77" hidden="1">TestNewAutomodel!$D$28</definedName>
    <definedName name="solver_lhs70" localSheetId="31" hidden="1">Test13b!$H$76</definedName>
    <definedName name="solver_lhs71" localSheetId="31" hidden="1">Test13b!$H$77</definedName>
    <definedName name="solver_lhs72" localSheetId="31" hidden="1">Test13b!$H$78</definedName>
    <definedName name="solver_lhs73" localSheetId="31" hidden="1">Test13b!$H$79</definedName>
    <definedName name="solver_lhs74" localSheetId="31" hidden="1">Test13b!$H$80</definedName>
    <definedName name="solver_lhs75" localSheetId="31" hidden="1">Test13b!$H$81</definedName>
    <definedName name="solver_lhs76" localSheetId="31" hidden="1">Test13b!$H$82</definedName>
    <definedName name="solver_lhs77" localSheetId="31" hidden="1">Test13b!$H$83</definedName>
    <definedName name="solver_lhs78" localSheetId="31" hidden="1">Test13b!$H$84</definedName>
    <definedName name="solver_lhs79" localSheetId="31" hidden="1">Test13b!$H$85</definedName>
    <definedName name="solver_lhs8" localSheetId="76" hidden="1">HighlightingExample!$L$9:$N$9</definedName>
    <definedName name="solver_lhs8" localSheetId="21" hidden="1">'Test!6'!#REF!</definedName>
    <definedName name="solver_lhs8" localSheetId="2" hidden="1">Test1!#REF!</definedName>
    <definedName name="solver_lhs8" localSheetId="27" hidden="1">Test10!#REF!</definedName>
    <definedName name="solver_lhs8" localSheetId="31" hidden="1">Test13b!$H$14</definedName>
    <definedName name="solver_lhs8" localSheetId="32" hidden="1">Test14!#REF!</definedName>
    <definedName name="solver_lhs8" localSheetId="33" hidden="1">Test15!#REF!</definedName>
    <definedName name="solver_lhs8" localSheetId="34" hidden="1">Test15b!#REF!</definedName>
    <definedName name="solver_lhs8" localSheetId="35" hidden="1">Test15c!#REF!</definedName>
    <definedName name="solver_lhs8" localSheetId="36" hidden="1">Test15d!#REF!</definedName>
    <definedName name="solver_lhs8" localSheetId="37" hidden="1">Test15e_Relax!#REF!</definedName>
    <definedName name="solver_lhs8" localSheetId="38" hidden="1">Test16!#REF!</definedName>
    <definedName name="solver_lhs8" localSheetId="39" hidden="1">Test16b!#REF!</definedName>
    <definedName name="solver_lhs8" localSheetId="40" hidden="1">Test17!#REF!</definedName>
    <definedName name="solver_lhs8" localSheetId="41" hidden="1">Test18!#REF!</definedName>
    <definedName name="solver_lhs8" localSheetId="42" hidden="1">Test19!#REF!</definedName>
    <definedName name="solver_lhs8" localSheetId="3" hidden="1">Test1b!#REF!</definedName>
    <definedName name="solver_lhs8" localSheetId="4" hidden="1">Test1c!#REF!</definedName>
    <definedName name="solver_lhs8" localSheetId="5" hidden="1">Test1c2!#REF!</definedName>
    <definedName name="solver_lhs8" localSheetId="6" hidden="1">Test1d!#REF!</definedName>
    <definedName name="solver_lhs8" localSheetId="7" hidden="1">Test1e!#REF!</definedName>
    <definedName name="solver_lhs8" localSheetId="8" hidden="1">Test1f!#REF!</definedName>
    <definedName name="solver_lhs8" localSheetId="9" hidden="1">Test1g!#REF!</definedName>
    <definedName name="solver_lhs8" localSheetId="10" hidden="1">Test1h!#REF!</definedName>
    <definedName name="solver_lhs8" localSheetId="11" hidden="1">Test1i!#REF!</definedName>
    <definedName name="solver_lhs8" localSheetId="12" hidden="1">Test1j!#REF!</definedName>
    <definedName name="solver_lhs8" localSheetId="13" hidden="1">Test1j2!#REF!</definedName>
    <definedName name="solver_lhs8" localSheetId="14" hidden="1">Test1k!#REF!</definedName>
    <definedName name="solver_lhs8" localSheetId="15" hidden="1">Test1l!#REF!</definedName>
    <definedName name="solver_lhs8" localSheetId="16" hidden="1">Test1m!#REF!</definedName>
    <definedName name="solver_lhs8" localSheetId="17" hidden="1">Test2!#REF!</definedName>
    <definedName name="solver_lhs8" localSheetId="43" hidden="1">Test20!#REF!</definedName>
    <definedName name="solver_lhs8" localSheetId="44" hidden="1">Test21!#REF!</definedName>
    <definedName name="solver_lhs8" localSheetId="45" hidden="1">Test22!#REF!</definedName>
    <definedName name="solver_lhs8" localSheetId="46" hidden="1">Test23!#REF!</definedName>
    <definedName name="solver_lhs8" localSheetId="47" hidden="1">Test24_IterativeCalc!#REF!</definedName>
    <definedName name="solver_lhs8" localSheetId="49" hidden="1">Test26!#REF!</definedName>
    <definedName name="solver_lhs8" localSheetId="50" hidden="1">Test27_Parameters!#REF!</definedName>
    <definedName name="solver_lhs8" localSheetId="52" hidden="1">Test29!$F$4</definedName>
    <definedName name="solver_lhs8" localSheetId="18" hidden="1">Test3!$F$4</definedName>
    <definedName name="solver_lhs8" localSheetId="57" hidden="1">Test33!$E$4</definedName>
    <definedName name="solver_lhs8" localSheetId="19" hidden="1">Test4!$Q$6:$R$6</definedName>
    <definedName name="solver_lhs8" localSheetId="74" hidden="1">'Test45_SheetName(1)+2-1'!#REF!</definedName>
    <definedName name="solver_lhs8" localSheetId="20" hidden="1">Test5!$Q$6:$R$6</definedName>
    <definedName name="solver_lhs8" localSheetId="22" hidden="1">Test7!#REF!</definedName>
    <definedName name="solver_lhs8" localSheetId="23" hidden="1">Test8!#REF!</definedName>
    <definedName name="solver_lhs8" localSheetId="24" hidden="1">Test8B!#REF!</definedName>
    <definedName name="solver_lhs8" localSheetId="25" hidden="1">Test9A!#REF!</definedName>
    <definedName name="solver_lhs8" localSheetId="26" hidden="1">Test9B!#REF!</definedName>
    <definedName name="solver_lhs80" localSheetId="31" hidden="1">Test13b!$H$86</definedName>
    <definedName name="solver_lhs81" localSheetId="31" hidden="1">Test13b!$H$87</definedName>
    <definedName name="solver_lhs82" localSheetId="31" hidden="1">Test13b!$H$88</definedName>
    <definedName name="solver_lhs83" localSheetId="31" hidden="1">Test13b!$H$89</definedName>
    <definedName name="solver_lhs84" localSheetId="31" hidden="1">Test13b!$H$90</definedName>
    <definedName name="solver_lhs85" localSheetId="31" hidden="1">Test13b!$H$91</definedName>
    <definedName name="solver_lhs86" localSheetId="31" hidden="1">Test13b!$H$92</definedName>
    <definedName name="solver_lhs87" localSheetId="31" hidden="1">Test13b!$H$93</definedName>
    <definedName name="solver_lhs88" localSheetId="31" hidden="1">Test13b!$H$94</definedName>
    <definedName name="solver_lhs89" localSheetId="31" hidden="1">Test13b!$H$95</definedName>
    <definedName name="solver_lhs9" localSheetId="76" hidden="1">HighlightingExample!$L$9:$N$9</definedName>
    <definedName name="solver_lhs9" localSheetId="31" hidden="1">Test13b!$H$15</definedName>
    <definedName name="solver_lhs9" localSheetId="52" hidden="1">Test29!$H$9</definedName>
    <definedName name="solver_lhs9" localSheetId="57" hidden="1">Test33!$E$4</definedName>
    <definedName name="solver_lhs9" localSheetId="19" hidden="1">Test4!$I$10</definedName>
    <definedName name="solver_lhs9" localSheetId="20" hidden="1">Test5!$I$10</definedName>
    <definedName name="solver_lhs90" localSheetId="31" hidden="1">Test13b!$H$96</definedName>
    <definedName name="solver_lhs91" localSheetId="31" hidden="1">Test13b!$H$97</definedName>
    <definedName name="solver_lhs92" localSheetId="31" hidden="1">Test13b!$H$98</definedName>
    <definedName name="solver_lhs93" localSheetId="31" hidden="1">Test13b!$H$99</definedName>
    <definedName name="solver_lhs94" localSheetId="31" hidden="1">Test13b!$H$100</definedName>
    <definedName name="solver_lhs95" localSheetId="31" hidden="1">Test13b!$H$101</definedName>
    <definedName name="solver_lhs96" localSheetId="31" hidden="1">Test13b!$H$102</definedName>
    <definedName name="solver_lhs97" localSheetId="31" hidden="1">Test13b!$H$103</definedName>
    <definedName name="solver_lhs98" localSheetId="31" hidden="1">Test13b!$H$104</definedName>
    <definedName name="solver_lhs99" localSheetId="31" hidden="1">Test13b!$H$105</definedName>
    <definedName name="solver_lin" localSheetId="76" hidden="1">1</definedName>
    <definedName name="solver_lin" localSheetId="1" hidden="1">1</definedName>
    <definedName name="solver_lin" localSheetId="21" hidden="1">1</definedName>
    <definedName name="solver_lin" localSheetId="2" hidden="1">1</definedName>
    <definedName name="solver_lin" localSheetId="27" hidden="1">1</definedName>
    <definedName name="solver_lin" localSheetId="28" hidden="1">1</definedName>
    <definedName name="solver_lin" localSheetId="29" hidden="1">1</definedName>
    <definedName name="solver_lin" localSheetId="30" hidden="1">1</definedName>
    <definedName name="solver_lin" localSheetId="31" hidden="1">1</definedName>
    <definedName name="solver_lin" localSheetId="32" hidden="1">1</definedName>
    <definedName name="solver_lin" localSheetId="33" hidden="1">1</definedName>
    <definedName name="solver_lin" localSheetId="34" hidden="1">1</definedName>
    <definedName name="solver_lin" localSheetId="35" hidden="1">1</definedName>
    <definedName name="solver_lin" localSheetId="36" hidden="1">1</definedName>
    <definedName name="solver_lin" localSheetId="37" hidden="1">1</definedName>
    <definedName name="solver_lin" localSheetId="38" hidden="1">1</definedName>
    <definedName name="solver_lin" localSheetId="39" hidden="1">1</definedName>
    <definedName name="solver_lin" localSheetId="40" hidden="1">1</definedName>
    <definedName name="solver_lin" localSheetId="41" hidden="1">1</definedName>
    <definedName name="solver_lin" localSheetId="42" hidden="1">1</definedName>
    <definedName name="solver_lin" localSheetId="3" hidden="1">1</definedName>
    <definedName name="solver_lin" localSheetId="4" hidden="1">1</definedName>
    <definedName name="solver_lin" localSheetId="5" hidden="1">1</definedName>
    <definedName name="solver_lin" localSheetId="6" hidden="1">1</definedName>
    <definedName name="solver_lin" localSheetId="7" hidden="1">1</definedName>
    <definedName name="solver_lin" localSheetId="8" hidden="1">1</definedName>
    <definedName name="solver_lin" localSheetId="9" hidden="1">1</definedName>
    <definedName name="solver_lin" localSheetId="10" hidden="1">1</definedName>
    <definedName name="solver_lin" localSheetId="11" hidden="1">1</definedName>
    <definedName name="solver_lin" localSheetId="12" hidden="1">1</definedName>
    <definedName name="solver_lin" localSheetId="13" hidden="1">1</definedName>
    <definedName name="solver_lin" localSheetId="14" hidden="1">1</definedName>
    <definedName name="solver_lin" localSheetId="15" hidden="1">1</definedName>
    <definedName name="solver_lin" localSheetId="16" hidden="1">1</definedName>
    <definedName name="solver_lin" localSheetId="17" hidden="1">1</definedName>
    <definedName name="solver_lin" localSheetId="43" hidden="1">1</definedName>
    <definedName name="solver_lin" localSheetId="44" hidden="1">1</definedName>
    <definedName name="solver_lin" localSheetId="45" hidden="1">1</definedName>
    <definedName name="solver_lin" localSheetId="46" hidden="1">1</definedName>
    <definedName name="solver_lin" localSheetId="47" hidden="1">1</definedName>
    <definedName name="solver_lin" localSheetId="48" hidden="1">1</definedName>
    <definedName name="solver_lin" localSheetId="49" hidden="1">1</definedName>
    <definedName name="solver_lin" localSheetId="50" hidden="1">1</definedName>
    <definedName name="solver_lin" localSheetId="51" hidden="1">1</definedName>
    <definedName name="solver_lin" localSheetId="52" hidden="1">1</definedName>
    <definedName name="solver_lin" localSheetId="18" hidden="1">1</definedName>
    <definedName name="solver_lin" localSheetId="53" hidden="1">1</definedName>
    <definedName name="solver_lin" localSheetId="55" hidden="1">1</definedName>
    <definedName name="solver_lin" localSheetId="54" hidden="1">1</definedName>
    <definedName name="solver_lin" localSheetId="56" hidden="1">1</definedName>
    <definedName name="solver_lin" localSheetId="57" hidden="1">1</definedName>
    <definedName name="solver_lin" localSheetId="58" hidden="1">1</definedName>
    <definedName name="solver_lin" localSheetId="59" hidden="1">1</definedName>
    <definedName name="solver_lin" localSheetId="60" hidden="1">1</definedName>
    <definedName name="solver_lin" localSheetId="61" hidden="1">1</definedName>
    <definedName name="solver_lin" localSheetId="62" hidden="1">1</definedName>
    <definedName name="solver_lin" localSheetId="63" hidden="1">1</definedName>
    <definedName name="solver_lin" localSheetId="65" hidden="1">1</definedName>
    <definedName name="solver_lin" localSheetId="67" hidden="1">1</definedName>
    <definedName name="solver_lin" localSheetId="19" hidden="1">1</definedName>
    <definedName name="solver_lin" localSheetId="68" hidden="1">1</definedName>
    <definedName name="solver_lin" localSheetId="69" hidden="1">1</definedName>
    <definedName name="solver_lin" localSheetId="70" hidden="1">1</definedName>
    <definedName name="solver_lin" localSheetId="71" hidden="1">1</definedName>
    <definedName name="solver_lin" localSheetId="73" hidden="1">1</definedName>
    <definedName name="solver_lin" localSheetId="74" hidden="1">1</definedName>
    <definedName name="solver_lin" localSheetId="75" hidden="1">1</definedName>
    <definedName name="solver_lin" localSheetId="20" hidden="1">1</definedName>
    <definedName name="solver_lin" localSheetId="22" hidden="1">1</definedName>
    <definedName name="solver_lin" localSheetId="23" hidden="1">1</definedName>
    <definedName name="solver_lin" localSheetId="24" hidden="1">1</definedName>
    <definedName name="solver_lin" localSheetId="25" hidden="1">1</definedName>
    <definedName name="solver_lin" localSheetId="26" hidden="1">1</definedName>
    <definedName name="solver_lin" localSheetId="77" hidden="1">1</definedName>
    <definedName name="solver_mip" localSheetId="2" hidden="1">2147483647</definedName>
    <definedName name="solver_mip" localSheetId="34" hidden="1">2147483647</definedName>
    <definedName name="solver_mip" localSheetId="35" hidden="1">2147483647</definedName>
    <definedName name="solver_mip" localSheetId="36" hidden="1">2147483647</definedName>
    <definedName name="solver_mip" localSheetId="37" hidden="1">2147483647</definedName>
    <definedName name="solver_mip" localSheetId="38" hidden="1">2147483647</definedName>
    <definedName name="solver_mip" localSheetId="39" hidden="1">2147483647</definedName>
    <definedName name="solver_mip" localSheetId="40" hidden="1">2147483647</definedName>
    <definedName name="solver_mip" localSheetId="41" hidden="1">2147483647</definedName>
    <definedName name="solver_mip" localSheetId="42" hidden="1">2147483647</definedName>
    <definedName name="solver_mip" localSheetId="44" hidden="1">2147483647</definedName>
    <definedName name="solver_mip" localSheetId="45" hidden="1">2147483647</definedName>
    <definedName name="solver_mip" localSheetId="46" hidden="1">2147483647</definedName>
    <definedName name="solver_mip" localSheetId="59" hidden="1">2147483647</definedName>
    <definedName name="solver_mip" localSheetId="68" hidden="1">2147483647</definedName>
    <definedName name="solver_mip" localSheetId="69" hidden="1">2147483647</definedName>
    <definedName name="solver_mni" localSheetId="2" hidden="1">30</definedName>
    <definedName name="solver_mni" localSheetId="34" hidden="1">30</definedName>
    <definedName name="solver_mni" localSheetId="35" hidden="1">30</definedName>
    <definedName name="solver_mni" localSheetId="36" hidden="1">30</definedName>
    <definedName name="solver_mni" localSheetId="37" hidden="1">30</definedName>
    <definedName name="solver_mni" localSheetId="38" hidden="1">30</definedName>
    <definedName name="solver_mni" localSheetId="39" hidden="1">30</definedName>
    <definedName name="solver_mni" localSheetId="40" hidden="1">30</definedName>
    <definedName name="solver_mni" localSheetId="41" hidden="1">30</definedName>
    <definedName name="solver_mni" localSheetId="42" hidden="1">30</definedName>
    <definedName name="solver_mni" localSheetId="44" hidden="1">30</definedName>
    <definedName name="solver_mni" localSheetId="45" hidden="1">30</definedName>
    <definedName name="solver_mni" localSheetId="46" hidden="1">30</definedName>
    <definedName name="solver_mni" localSheetId="59" hidden="1">30</definedName>
    <definedName name="solver_mni" localSheetId="68" hidden="1">30</definedName>
    <definedName name="solver_mni" localSheetId="69" hidden="1">30</definedName>
    <definedName name="solver_mrt" localSheetId="2" hidden="1">0.075</definedName>
    <definedName name="solver_mrt" localSheetId="34" hidden="1">0.075</definedName>
    <definedName name="solver_mrt" localSheetId="35" hidden="1">0.075</definedName>
    <definedName name="solver_mrt" localSheetId="36" hidden="1">0.075</definedName>
    <definedName name="solver_mrt" localSheetId="37" hidden="1">0.075</definedName>
    <definedName name="solver_mrt" localSheetId="38" hidden="1">0.075</definedName>
    <definedName name="solver_mrt" localSheetId="39" hidden="1">0.075</definedName>
    <definedName name="solver_mrt" localSheetId="40" hidden="1">0.075</definedName>
    <definedName name="solver_mrt" localSheetId="41" hidden="1">0.075</definedName>
    <definedName name="solver_mrt" localSheetId="42" hidden="1">0.075</definedName>
    <definedName name="solver_mrt" localSheetId="44" hidden="1">0.075</definedName>
    <definedName name="solver_mrt" localSheetId="45" hidden="1">0.075</definedName>
    <definedName name="solver_mrt" localSheetId="46" hidden="1">0.075</definedName>
    <definedName name="solver_mrt" localSheetId="59" hidden="1">0.075</definedName>
    <definedName name="solver_mrt" localSheetId="68" hidden="1">0.075</definedName>
    <definedName name="solver_mrt" localSheetId="69" hidden="1">0.075</definedName>
    <definedName name="solver_msl" localSheetId="2" hidden="1">2</definedName>
    <definedName name="solver_msl" localSheetId="34" hidden="1">2</definedName>
    <definedName name="solver_msl" localSheetId="35" hidden="1">2</definedName>
    <definedName name="solver_msl" localSheetId="36" hidden="1">2</definedName>
    <definedName name="solver_msl" localSheetId="37" hidden="1">2</definedName>
    <definedName name="solver_msl" localSheetId="38" hidden="1">2</definedName>
    <definedName name="solver_msl" localSheetId="39" hidden="1">2</definedName>
    <definedName name="solver_msl" localSheetId="40" hidden="1">2</definedName>
    <definedName name="solver_msl" localSheetId="41" hidden="1">2</definedName>
    <definedName name="solver_msl" localSheetId="42" hidden="1">2</definedName>
    <definedName name="solver_msl" localSheetId="44" hidden="1">2</definedName>
    <definedName name="solver_msl" localSheetId="45" hidden="1">2</definedName>
    <definedName name="solver_msl" localSheetId="46" hidden="1">2</definedName>
    <definedName name="solver_msl" localSheetId="59" hidden="1">2</definedName>
    <definedName name="solver_msl" localSheetId="68" hidden="1">2</definedName>
    <definedName name="solver_msl" localSheetId="69" hidden="1">2</definedName>
    <definedName name="solver_neg" localSheetId="76" hidden="1">1</definedName>
    <definedName name="solver_neg" localSheetId="1" hidden="1">1</definedName>
    <definedName name="solver_neg" localSheetId="21" hidden="1">1</definedName>
    <definedName name="solver_neg" localSheetId="2" hidden="1">1</definedName>
    <definedName name="solver_neg" localSheetId="27" hidden="1">1</definedName>
    <definedName name="solver_neg" localSheetId="28" hidden="1">1</definedName>
    <definedName name="solver_neg" localSheetId="29" hidden="1">1</definedName>
    <definedName name="solver_neg" localSheetId="30" hidden="1">1</definedName>
    <definedName name="solver_neg" localSheetId="31" hidden="1">1</definedName>
    <definedName name="solver_neg" localSheetId="32" hidden="1">1</definedName>
    <definedName name="solver_neg" localSheetId="33" hidden="1">1</definedName>
    <definedName name="solver_neg" localSheetId="34" hidden="1">1</definedName>
    <definedName name="solver_neg" localSheetId="35" hidden="1">1</definedName>
    <definedName name="solver_neg" localSheetId="36" hidden="1">1</definedName>
    <definedName name="solver_neg" localSheetId="37" hidden="1">1</definedName>
    <definedName name="solver_neg" localSheetId="38" hidden="1">1</definedName>
    <definedName name="solver_neg" localSheetId="39" hidden="1">1</definedName>
    <definedName name="solver_neg" localSheetId="40" hidden="1">1</definedName>
    <definedName name="solver_neg" localSheetId="41" hidden="1">1</definedName>
    <definedName name="solver_neg" localSheetId="42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10" hidden="1">1</definedName>
    <definedName name="solver_neg" localSheetId="11" hidden="1">1</definedName>
    <definedName name="solver_neg" localSheetId="12" hidden="1">1</definedName>
    <definedName name="solver_neg" localSheetId="13" hidden="1">1</definedName>
    <definedName name="solver_neg" localSheetId="14" hidden="1">1</definedName>
    <definedName name="solver_neg" localSheetId="15" hidden="1">1</definedName>
    <definedName name="solver_neg" localSheetId="16" hidden="1">1</definedName>
    <definedName name="solver_neg" localSheetId="17" hidden="1">1</definedName>
    <definedName name="solver_neg" localSheetId="43" hidden="1">1</definedName>
    <definedName name="solver_neg" localSheetId="44" hidden="1">1</definedName>
    <definedName name="solver_neg" localSheetId="45" hidden="1">1</definedName>
    <definedName name="solver_neg" localSheetId="46" hidden="1">1</definedName>
    <definedName name="solver_neg" localSheetId="47" hidden="1">1</definedName>
    <definedName name="solver_neg" localSheetId="48" hidden="1">1</definedName>
    <definedName name="solver_neg" localSheetId="49" hidden="1">1</definedName>
    <definedName name="solver_neg" localSheetId="50" hidden="1">1</definedName>
    <definedName name="solver_neg" localSheetId="51" hidden="1">2</definedName>
    <definedName name="solver_neg" localSheetId="52" hidden="1">1</definedName>
    <definedName name="solver_neg" localSheetId="18" hidden="1">1</definedName>
    <definedName name="solver_neg" localSheetId="53" hidden="1">1</definedName>
    <definedName name="solver_neg" localSheetId="55" hidden="1">1</definedName>
    <definedName name="solver_neg" localSheetId="54" hidden="1">1</definedName>
    <definedName name="solver_neg" localSheetId="56" hidden="1">1</definedName>
    <definedName name="solver_neg" localSheetId="57" hidden="1">1</definedName>
    <definedName name="solver_neg" localSheetId="58" hidden="1">1</definedName>
    <definedName name="solver_neg" localSheetId="59" hidden="1">1</definedName>
    <definedName name="solver_neg" localSheetId="60" hidden="1">1</definedName>
    <definedName name="solver_neg" localSheetId="61" hidden="1">1</definedName>
    <definedName name="solver_neg" localSheetId="62" hidden="1">2</definedName>
    <definedName name="solver_neg" localSheetId="63" hidden="1">1</definedName>
    <definedName name="solver_neg" localSheetId="65" hidden="1">1</definedName>
    <definedName name="solver_neg" localSheetId="67" hidden="1">2</definedName>
    <definedName name="solver_neg" localSheetId="19" hidden="1">1</definedName>
    <definedName name="solver_neg" localSheetId="68" hidden="1">1</definedName>
    <definedName name="solver_neg" localSheetId="69" hidden="1">2</definedName>
    <definedName name="solver_neg" localSheetId="70" hidden="1">2</definedName>
    <definedName name="solver_neg" localSheetId="71" hidden="1">1</definedName>
    <definedName name="solver_neg" localSheetId="73" hidden="1">1</definedName>
    <definedName name="solver_neg" localSheetId="74" hidden="1">1</definedName>
    <definedName name="solver_neg" localSheetId="75" hidden="1">1</definedName>
    <definedName name="solver_neg" localSheetId="20" hidden="1">1</definedName>
    <definedName name="solver_neg" localSheetId="22" hidden="1">1</definedName>
    <definedName name="solver_neg" localSheetId="23" hidden="1">1</definedName>
    <definedName name="solver_neg" localSheetId="24" hidden="1">1</definedName>
    <definedName name="solver_neg" localSheetId="25" hidden="1">1</definedName>
    <definedName name="solver_neg" localSheetId="26" hidden="1">1</definedName>
    <definedName name="solver_neg" localSheetId="77" hidden="1">1</definedName>
    <definedName name="solver_nod" localSheetId="2" hidden="1">2147483647</definedName>
    <definedName name="solver_nod" localSheetId="34" hidden="1">2147483647</definedName>
    <definedName name="solver_nod" localSheetId="35" hidden="1">2147483647</definedName>
    <definedName name="solver_nod" localSheetId="36" hidden="1">2147483647</definedName>
    <definedName name="solver_nod" localSheetId="37" hidden="1">2147483647</definedName>
    <definedName name="solver_nod" localSheetId="38" hidden="1">2147483647</definedName>
    <definedName name="solver_nod" localSheetId="39" hidden="1">2147483647</definedName>
    <definedName name="solver_nod" localSheetId="40" hidden="1">2147483647</definedName>
    <definedName name="solver_nod" localSheetId="41" hidden="1">2147483647</definedName>
    <definedName name="solver_nod" localSheetId="42" hidden="1">2147483647</definedName>
    <definedName name="solver_nod" localSheetId="44" hidden="1">2147483647</definedName>
    <definedName name="solver_nod" localSheetId="45" hidden="1">2147483647</definedName>
    <definedName name="solver_nod" localSheetId="46" hidden="1">2147483647</definedName>
    <definedName name="solver_nod" localSheetId="59" hidden="1">2147483647</definedName>
    <definedName name="solver_nod" localSheetId="68" hidden="1">2147483647</definedName>
    <definedName name="solver_nod" localSheetId="69" hidden="1">2147483647</definedName>
    <definedName name="solver_num" localSheetId="76" hidden="1">8</definedName>
    <definedName name="solver_num" localSheetId="1" hidden="1">0</definedName>
    <definedName name="solver_num" localSheetId="21" hidden="1">0</definedName>
    <definedName name="solver_num" localSheetId="2" hidden="1">3</definedName>
    <definedName name="solver_num" localSheetId="27" hidden="1">5</definedName>
    <definedName name="solver_num" localSheetId="28" hidden="1">5</definedName>
    <definedName name="solver_num" localSheetId="29" hidden="1">3</definedName>
    <definedName name="solver_num" localSheetId="30" hidden="1">3</definedName>
    <definedName name="solver_num" localSheetId="31" hidden="1">133</definedName>
    <definedName name="solver_num" localSheetId="32" hidden="1">6</definedName>
    <definedName name="solver_num" localSheetId="33" hidden="1">4</definedName>
    <definedName name="solver_num" localSheetId="34" hidden="1">4</definedName>
    <definedName name="solver_num" localSheetId="35" hidden="1">5</definedName>
    <definedName name="solver_num" localSheetId="36" hidden="1">6</definedName>
    <definedName name="solver_num" localSheetId="37" hidden="1">6</definedName>
    <definedName name="solver_num" localSheetId="38" hidden="1">4</definedName>
    <definedName name="solver_num" localSheetId="39" hidden="1">4</definedName>
    <definedName name="solver_num" localSheetId="40" hidden="1">4</definedName>
    <definedName name="solver_num" localSheetId="41" hidden="1">4</definedName>
    <definedName name="solver_num" localSheetId="42" hidden="1">4</definedName>
    <definedName name="solver_num" localSheetId="3" hidden="1">3</definedName>
    <definedName name="solver_num" localSheetId="4" hidden="1">5</definedName>
    <definedName name="solver_num" localSheetId="5" hidden="1">5</definedName>
    <definedName name="solver_num" localSheetId="6" hidden="1">5</definedName>
    <definedName name="solver_num" localSheetId="7" hidden="1">5</definedName>
    <definedName name="solver_num" localSheetId="8" hidden="1">5</definedName>
    <definedName name="solver_num" localSheetId="9" hidden="1">5</definedName>
    <definedName name="solver_num" localSheetId="10" hidden="1">5</definedName>
    <definedName name="solver_num" localSheetId="11" hidden="1">5</definedName>
    <definedName name="solver_num" localSheetId="12" hidden="1">5</definedName>
    <definedName name="solver_num" localSheetId="13" hidden="1">5</definedName>
    <definedName name="solver_num" localSheetId="14" hidden="1">5</definedName>
    <definedName name="solver_num" localSheetId="15" hidden="1">5</definedName>
    <definedName name="solver_num" localSheetId="16" hidden="1">5</definedName>
    <definedName name="solver_num" localSheetId="17" hidden="1">6</definedName>
    <definedName name="solver_num" localSheetId="43" hidden="1">3</definedName>
    <definedName name="solver_num" localSheetId="44" hidden="1">4</definedName>
    <definedName name="solver_num" localSheetId="45" hidden="1">4</definedName>
    <definedName name="solver_num" localSheetId="46" hidden="1">4</definedName>
    <definedName name="solver_num" localSheetId="47" hidden="1">3</definedName>
    <definedName name="solver_num" localSheetId="48" hidden="1">3</definedName>
    <definedName name="solver_num" localSheetId="49" hidden="1">3</definedName>
    <definedName name="solver_num" localSheetId="50" hidden="1">3</definedName>
    <definedName name="solver_num" localSheetId="51" hidden="1">3</definedName>
    <definedName name="solver_num" localSheetId="52" hidden="1">2</definedName>
    <definedName name="solver_num" localSheetId="18" hidden="1">8</definedName>
    <definedName name="solver_num" localSheetId="53" hidden="1">3</definedName>
    <definedName name="solver_num" localSheetId="55" hidden="1">3</definedName>
    <definedName name="solver_num" localSheetId="54" hidden="1">0</definedName>
    <definedName name="solver_num" localSheetId="56" hidden="1">4</definedName>
    <definedName name="solver_num" localSheetId="57" hidden="1">4</definedName>
    <definedName name="solver_num" localSheetId="58" hidden="1">1</definedName>
    <definedName name="solver_num" localSheetId="59" hidden="1">6</definedName>
    <definedName name="solver_num" localSheetId="60" hidden="1">2</definedName>
    <definedName name="solver_num" localSheetId="61" hidden="1">1</definedName>
    <definedName name="solver_num" localSheetId="62" hidden="1">2</definedName>
    <definedName name="solver_num" localSheetId="63" hidden="1">0</definedName>
    <definedName name="solver_num" localSheetId="65" hidden="1">2</definedName>
    <definedName name="solver_num" localSheetId="67" hidden="1">3</definedName>
    <definedName name="solver_num" localSheetId="19" hidden="1">9</definedName>
    <definedName name="solver_num" localSheetId="68" hidden="1">0</definedName>
    <definedName name="solver_num" localSheetId="69" hidden="1">0</definedName>
    <definedName name="solver_num" localSheetId="70" hidden="1">0</definedName>
    <definedName name="solver_num" localSheetId="71" hidden="1">3</definedName>
    <definedName name="solver_num" localSheetId="73" hidden="1">4</definedName>
    <definedName name="solver_num" localSheetId="74" hidden="1">3</definedName>
    <definedName name="solver_num" localSheetId="75" hidden="1">2</definedName>
    <definedName name="solver_num" localSheetId="20" hidden="1">10</definedName>
    <definedName name="solver_num" localSheetId="22" hidden="1">5</definedName>
    <definedName name="solver_num" localSheetId="23" hidden="1">5</definedName>
    <definedName name="solver_num" localSheetId="24" hidden="1">5</definedName>
    <definedName name="solver_num" localSheetId="25" hidden="1">4</definedName>
    <definedName name="solver_num" localSheetId="26" hidden="1">4</definedName>
    <definedName name="solver_num" localSheetId="77" hidden="1">7</definedName>
    <definedName name="solver_nwt" localSheetId="76" hidden="1">1</definedName>
    <definedName name="solver_nwt" localSheetId="1" hidden="1">1</definedName>
    <definedName name="solver_nwt" localSheetId="21" hidden="1">1</definedName>
    <definedName name="solver_nwt" localSheetId="2" hidden="1">1</definedName>
    <definedName name="solver_nwt" localSheetId="27" hidden="1">1</definedName>
    <definedName name="solver_nwt" localSheetId="28" hidden="1">1</definedName>
    <definedName name="solver_nwt" localSheetId="29" hidden="1">1</definedName>
    <definedName name="solver_nwt" localSheetId="30" hidden="1">1</definedName>
    <definedName name="solver_nwt" localSheetId="31" hidden="1">1</definedName>
    <definedName name="solver_nwt" localSheetId="32" hidden="1">1</definedName>
    <definedName name="solver_nwt" localSheetId="33" hidden="1">1</definedName>
    <definedName name="solver_nwt" localSheetId="34" hidden="1">1</definedName>
    <definedName name="solver_nwt" localSheetId="35" hidden="1">1</definedName>
    <definedName name="solver_nwt" localSheetId="36" hidden="1">1</definedName>
    <definedName name="solver_nwt" localSheetId="37" hidden="1">1</definedName>
    <definedName name="solver_nwt" localSheetId="38" hidden="1">1</definedName>
    <definedName name="solver_nwt" localSheetId="39" hidden="1">1</definedName>
    <definedName name="solver_nwt" localSheetId="40" hidden="1">1</definedName>
    <definedName name="solver_nwt" localSheetId="41" hidden="1">1</definedName>
    <definedName name="solver_nwt" localSheetId="42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0" hidden="1">1</definedName>
    <definedName name="solver_nwt" localSheetId="11" hidden="1">1</definedName>
    <definedName name="solver_nwt" localSheetId="12" hidden="1">1</definedName>
    <definedName name="solver_nwt" localSheetId="13" hidden="1">1</definedName>
    <definedName name="solver_nwt" localSheetId="14" hidden="1">1</definedName>
    <definedName name="solver_nwt" localSheetId="15" hidden="1">1</definedName>
    <definedName name="solver_nwt" localSheetId="16" hidden="1">1</definedName>
    <definedName name="solver_nwt" localSheetId="17" hidden="1">1</definedName>
    <definedName name="solver_nwt" localSheetId="43" hidden="1">1</definedName>
    <definedName name="solver_nwt" localSheetId="44" hidden="1">1</definedName>
    <definedName name="solver_nwt" localSheetId="45" hidden="1">1</definedName>
    <definedName name="solver_nwt" localSheetId="46" hidden="1">1</definedName>
    <definedName name="solver_nwt" localSheetId="47" hidden="1">1</definedName>
    <definedName name="solver_nwt" localSheetId="48" hidden="1">1</definedName>
    <definedName name="solver_nwt" localSheetId="49" hidden="1">1</definedName>
    <definedName name="solver_nwt" localSheetId="50" hidden="1">1</definedName>
    <definedName name="solver_nwt" localSheetId="51" hidden="1">1</definedName>
    <definedName name="solver_nwt" localSheetId="52" hidden="1">1</definedName>
    <definedName name="solver_nwt" localSheetId="18" hidden="1">1</definedName>
    <definedName name="solver_nwt" localSheetId="53" hidden="1">1</definedName>
    <definedName name="solver_nwt" localSheetId="55" hidden="1">1</definedName>
    <definedName name="solver_nwt" localSheetId="54" hidden="1">1</definedName>
    <definedName name="solver_nwt" localSheetId="56" hidden="1">1</definedName>
    <definedName name="solver_nwt" localSheetId="57" hidden="1">1</definedName>
    <definedName name="solver_nwt" localSheetId="58" hidden="1">1</definedName>
    <definedName name="solver_nwt" localSheetId="59" hidden="1">1</definedName>
    <definedName name="solver_nwt" localSheetId="60" hidden="1">1</definedName>
    <definedName name="solver_nwt" localSheetId="61" hidden="1">1</definedName>
    <definedName name="solver_nwt" localSheetId="62" hidden="1">1</definedName>
    <definedName name="solver_nwt" localSheetId="63" hidden="1">1</definedName>
    <definedName name="solver_nwt" localSheetId="65" hidden="1">1</definedName>
    <definedName name="solver_nwt" localSheetId="67" hidden="1">1</definedName>
    <definedName name="solver_nwt" localSheetId="19" hidden="1">1</definedName>
    <definedName name="solver_nwt" localSheetId="68" hidden="1">1</definedName>
    <definedName name="solver_nwt" localSheetId="69" hidden="1">1</definedName>
    <definedName name="solver_nwt" localSheetId="70" hidden="1">1</definedName>
    <definedName name="solver_nwt" localSheetId="71" hidden="1">1</definedName>
    <definedName name="solver_nwt" localSheetId="73" hidden="1">1</definedName>
    <definedName name="solver_nwt" localSheetId="74" hidden="1">1</definedName>
    <definedName name="solver_nwt" localSheetId="75" hidden="1">1</definedName>
    <definedName name="solver_nwt" localSheetId="20" hidden="1">1</definedName>
    <definedName name="solver_nwt" localSheetId="22" hidden="1">1</definedName>
    <definedName name="solver_nwt" localSheetId="23" hidden="1">1</definedName>
    <definedName name="solver_nwt" localSheetId="24" hidden="1">1</definedName>
    <definedName name="solver_nwt" localSheetId="25" hidden="1">1</definedName>
    <definedName name="solver_nwt" localSheetId="26" hidden="1">1</definedName>
    <definedName name="solver_nwt" localSheetId="77" hidden="1">1</definedName>
    <definedName name="solver_opt" localSheetId="76" hidden="1">HighlightingExample!$G$5</definedName>
    <definedName name="solver_opt" localSheetId="21" hidden="1">'Test!6'!$H$7</definedName>
    <definedName name="solver_opt" localSheetId="2" hidden="1">Test1!$H$6</definedName>
    <definedName name="solver_opt" localSheetId="27" hidden="1">Test10!$H$6</definedName>
    <definedName name="solver_opt" localSheetId="28" hidden="1">Test11!$I$39</definedName>
    <definedName name="solver_opt" localSheetId="29" hidden="1">Test12!$H$5</definedName>
    <definedName name="solver_opt" localSheetId="30" hidden="1">Test13!$H$5</definedName>
    <definedName name="solver_opt" localSheetId="31" hidden="1">Test13b!$H$5</definedName>
    <definedName name="solver_opt" localSheetId="32" hidden="1">Test14!$H$8</definedName>
    <definedName name="solver_opt" localSheetId="33" hidden="1">Test15!$H$8</definedName>
    <definedName name="solver_opt" localSheetId="34" hidden="1">Test15b!$H$8</definedName>
    <definedName name="solver_opt" localSheetId="35" hidden="1">Test15c!$H$9</definedName>
    <definedName name="solver_opt" localSheetId="36" hidden="1">Test15d!$H$9</definedName>
    <definedName name="solver_opt" localSheetId="37" hidden="1">Test15e_Relax!$H$9</definedName>
    <definedName name="solver_opt" localSheetId="38" hidden="1">Test16!$H$10</definedName>
    <definedName name="solver_opt" localSheetId="39" hidden="1">Test16b!$H$10</definedName>
    <definedName name="solver_opt" localSheetId="40" hidden="1">Test17!$H$10</definedName>
    <definedName name="solver_opt" localSheetId="41" hidden="1">Test18!$H$8</definedName>
    <definedName name="solver_opt" localSheetId="42" hidden="1">Test19!$H$9</definedName>
    <definedName name="solver_opt" localSheetId="3" hidden="1">Test1b!$H$6</definedName>
    <definedName name="solver_opt" localSheetId="4" hidden="1">Test1c!$H$6</definedName>
    <definedName name="solver_opt" localSheetId="5" hidden="1">Test1c2!$H$6</definedName>
    <definedName name="solver_opt" localSheetId="6" hidden="1">Test1d!$H$6</definedName>
    <definedName name="solver_opt" localSheetId="7" hidden="1">Test1e!$H$6</definedName>
    <definedName name="solver_opt" localSheetId="8" hidden="1">Test1f!$H$6</definedName>
    <definedName name="solver_opt" localSheetId="9" hidden="1">Test1g!$H$6</definedName>
    <definedName name="solver_opt" localSheetId="10" hidden="1">Test1h!$H$6</definedName>
    <definedName name="solver_opt" localSheetId="11" hidden="1">Test1i!$H$7</definedName>
    <definedName name="solver_opt" localSheetId="12" hidden="1">Test1j!$H$7</definedName>
    <definedName name="solver_opt" localSheetId="13" hidden="1">Test1j2!$H$7</definedName>
    <definedName name="solver_opt" localSheetId="14" hidden="1">Test1k!$H$7</definedName>
    <definedName name="solver_opt" localSheetId="15" hidden="1">Test1l!$H$7</definedName>
    <definedName name="solver_opt" localSheetId="16" hidden="1">Test1m!$H$7</definedName>
    <definedName name="solver_opt" localSheetId="17" hidden="1">Test2!$I$6</definedName>
    <definedName name="solver_opt" localSheetId="43" hidden="1">Test20!$H$9</definedName>
    <definedName name="solver_opt" localSheetId="44" hidden="1">Test21!$H$9</definedName>
    <definedName name="solver_opt" localSheetId="45" hidden="1">Test22!$H$9</definedName>
    <definedName name="solver_opt" localSheetId="46" hidden="1">Test23!$H$9</definedName>
    <definedName name="solver_opt" localSheetId="47" hidden="1">Test24_IterativeCalc!$H$7</definedName>
    <definedName name="solver_opt" localSheetId="48" hidden="1">Test25!$H$9</definedName>
    <definedName name="solver_opt" localSheetId="50" hidden="1">Test27_Parameters!$H$6</definedName>
    <definedName name="solver_opt" localSheetId="51" hidden="1">Test28_CBCOptions!$H$15</definedName>
    <definedName name="solver_opt" localSheetId="52" hidden="1">Test29!$H$6</definedName>
    <definedName name="solver_opt" localSheetId="18" hidden="1">Test3!$I$6</definedName>
    <definedName name="solver_opt" localSheetId="53" hidden="1">Test30!$K$6</definedName>
    <definedName name="solver_opt" localSheetId="55" hidden="1">Test31!$G$6</definedName>
    <definedName name="solver_opt" localSheetId="56" hidden="1">Test32!$I$6</definedName>
    <definedName name="solver_opt" localSheetId="57" hidden="1">Test33!$H$6</definedName>
    <definedName name="solver_opt" localSheetId="58" hidden="1">Test34!$F$4</definedName>
    <definedName name="solver_opt" localSheetId="59" hidden="1">Test35!$F$6</definedName>
    <definedName name="solver_opt" localSheetId="60" hidden="1">Test36!$G$6</definedName>
    <definedName name="solver_opt" localSheetId="61" hidden="1">Test37!$I$6</definedName>
    <definedName name="solver_opt" localSheetId="62" hidden="1">Test38!$S$13</definedName>
    <definedName name="solver_opt" localSheetId="65" hidden="1">Test39_SensNames!$D$20</definedName>
    <definedName name="solver_opt" localSheetId="67" hidden="1">Test39_SensNames2!$D$20</definedName>
    <definedName name="solver_opt" localSheetId="19" hidden="1">Test4!$I$7</definedName>
    <definedName name="solver_opt" localSheetId="68" hidden="1">Test40!$D$16</definedName>
    <definedName name="solver_opt" localSheetId="69" hidden="1">Test41!$J$7</definedName>
    <definedName name="solver_opt" localSheetId="70" hidden="1">Test42!$F$15</definedName>
    <definedName name="solver_opt" localSheetId="71" hidden="1">Test43!$G$4</definedName>
    <definedName name="solver_opt" localSheetId="73" hidden="1">Test44_Seek!$G$4</definedName>
    <definedName name="solver_opt" localSheetId="74" hidden="1">'Test45_SheetName(1)+2-1'!$H$6</definedName>
    <definedName name="solver_opt" localSheetId="75" hidden="1">Test46_NonLinBinary!$C$6</definedName>
    <definedName name="solver_opt" localSheetId="20" hidden="1">Test5!$I$7</definedName>
    <definedName name="solver_opt" localSheetId="22" hidden="1">Test7!$H$7</definedName>
    <definedName name="solver_opt" localSheetId="23" hidden="1">Test8!$H$7</definedName>
    <definedName name="solver_opt" localSheetId="24" hidden="1">Test8B!#REF!</definedName>
    <definedName name="solver_opt" localSheetId="25" hidden="1">Test9A!$J$6</definedName>
    <definedName name="solver_opt" localSheetId="26" hidden="1">Test9B!$J$6</definedName>
    <definedName name="solver_opt" localSheetId="77" hidden="1">TestNewAutomodel!$C$9</definedName>
    <definedName name="solver_pre" localSheetId="76" hidden="1">0.000001</definedName>
    <definedName name="solver_pre" localSheetId="1" hidden="1">0.000001</definedName>
    <definedName name="solver_pre" localSheetId="21" hidden="1">0.000001</definedName>
    <definedName name="solver_pre" localSheetId="2" hidden="1">0.000001</definedName>
    <definedName name="solver_pre" localSheetId="27" hidden="1">0.000001</definedName>
    <definedName name="solver_pre" localSheetId="28" hidden="1">0.000001</definedName>
    <definedName name="solver_pre" localSheetId="29" hidden="1">0.000001</definedName>
    <definedName name="solver_pre" localSheetId="30" hidden="1">0.000001</definedName>
    <definedName name="solver_pre" localSheetId="31" hidden="1">0.000001</definedName>
    <definedName name="solver_pre" localSheetId="32" hidden="1">0.000001</definedName>
    <definedName name="solver_pre" localSheetId="33" hidden="1">0.000001</definedName>
    <definedName name="solver_pre" localSheetId="34" hidden="1">0.000001</definedName>
    <definedName name="solver_pre" localSheetId="35" hidden="1">0.000001</definedName>
    <definedName name="solver_pre" localSheetId="36" hidden="1">0.000001</definedName>
    <definedName name="solver_pre" localSheetId="37" hidden="1">0.000001</definedName>
    <definedName name="solver_pre" localSheetId="38" hidden="1">0.000001</definedName>
    <definedName name="solver_pre" localSheetId="39" hidden="1">0.000001</definedName>
    <definedName name="solver_pre" localSheetId="40" hidden="1">0.000001</definedName>
    <definedName name="solver_pre" localSheetId="41" hidden="1">0.000001</definedName>
    <definedName name="solver_pre" localSheetId="42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10" hidden="1">0.000001</definedName>
    <definedName name="solver_pre" localSheetId="11" hidden="1">0.000001</definedName>
    <definedName name="solver_pre" localSheetId="12" hidden="1">0.000001</definedName>
    <definedName name="solver_pre" localSheetId="13" hidden="1">0.000001</definedName>
    <definedName name="solver_pre" localSheetId="14" hidden="1">0.000001</definedName>
    <definedName name="solver_pre" localSheetId="15" hidden="1">0.000001</definedName>
    <definedName name="solver_pre" localSheetId="16" hidden="1">0.000001</definedName>
    <definedName name="solver_pre" localSheetId="17" hidden="1">0.000001</definedName>
    <definedName name="solver_pre" localSheetId="43" hidden="1">0.000001</definedName>
    <definedName name="solver_pre" localSheetId="44" hidden="1">0.000001</definedName>
    <definedName name="solver_pre" localSheetId="45" hidden="1">0.000001</definedName>
    <definedName name="solver_pre" localSheetId="46" hidden="1">0.000001</definedName>
    <definedName name="solver_pre" localSheetId="47" hidden="1">0.000001</definedName>
    <definedName name="solver_pre" localSheetId="48" hidden="1">0.000001</definedName>
    <definedName name="solver_pre" localSheetId="49" hidden="1">0.000001</definedName>
    <definedName name="solver_pre" localSheetId="50" hidden="1">0.000001</definedName>
    <definedName name="solver_pre" localSheetId="51" hidden="1">0.000001</definedName>
    <definedName name="solver_pre" localSheetId="52" hidden="1">0.000001</definedName>
    <definedName name="solver_pre" localSheetId="18" hidden="1">0.000001</definedName>
    <definedName name="solver_pre" localSheetId="53" hidden="1">0.000001</definedName>
    <definedName name="solver_pre" localSheetId="55" hidden="1">0.000001</definedName>
    <definedName name="solver_pre" localSheetId="54" hidden="1">0.000001</definedName>
    <definedName name="solver_pre" localSheetId="56" hidden="1">0.000001</definedName>
    <definedName name="solver_pre" localSheetId="57" hidden="1">0.000001</definedName>
    <definedName name="solver_pre" localSheetId="58" hidden="1">0.00001</definedName>
    <definedName name="solver_pre" localSheetId="59" hidden="1">0.000001</definedName>
    <definedName name="solver_pre" localSheetId="60" hidden="1">0.000001</definedName>
    <definedName name="solver_pre" localSheetId="61" hidden="1">0.000001</definedName>
    <definedName name="solver_pre" localSheetId="62" hidden="1">0.000001</definedName>
    <definedName name="solver_pre" localSheetId="63" hidden="1">0.000001</definedName>
    <definedName name="solver_pre" localSheetId="65" hidden="1">0.0001</definedName>
    <definedName name="solver_pre" localSheetId="67" hidden="1">0.00001</definedName>
    <definedName name="solver_pre" localSheetId="19" hidden="1">0.000001</definedName>
    <definedName name="solver_pre" localSheetId="68" hidden="1">0.000001</definedName>
    <definedName name="solver_pre" localSheetId="69" hidden="1">0.000001</definedName>
    <definedName name="solver_pre" localSheetId="70" hidden="1">0.000001</definedName>
    <definedName name="solver_pre" localSheetId="71" hidden="1">0.000001</definedName>
    <definedName name="solver_pre" localSheetId="73" hidden="1">0.000001</definedName>
    <definedName name="solver_pre" localSheetId="74" hidden="1">0.000001</definedName>
    <definedName name="solver_pre" localSheetId="75" hidden="1">0.00001</definedName>
    <definedName name="solver_pre" localSheetId="20" hidden="1">0.000001</definedName>
    <definedName name="solver_pre" localSheetId="22" hidden="1">0.000001</definedName>
    <definedName name="solver_pre" localSheetId="23" hidden="1">0.000001</definedName>
    <definedName name="solver_pre" localSheetId="24" hidden="1">0.000001</definedName>
    <definedName name="solver_pre" localSheetId="25" hidden="1">0.000001</definedName>
    <definedName name="solver_pre" localSheetId="26" hidden="1">0.000001</definedName>
    <definedName name="solver_pre" localSheetId="77" hidden="1">0.000001</definedName>
    <definedName name="solver_rbv" localSheetId="2" hidden="1">1</definedName>
    <definedName name="solver_rbv" localSheetId="34" hidden="1">1</definedName>
    <definedName name="solver_rbv" localSheetId="35" hidden="1">1</definedName>
    <definedName name="solver_rbv" localSheetId="36" hidden="1">1</definedName>
    <definedName name="solver_rbv" localSheetId="37" hidden="1">1</definedName>
    <definedName name="solver_rbv" localSheetId="38" hidden="1">1</definedName>
    <definedName name="solver_rbv" localSheetId="39" hidden="1">1</definedName>
    <definedName name="solver_rbv" localSheetId="40" hidden="1">1</definedName>
    <definedName name="solver_rbv" localSheetId="41" hidden="1">1</definedName>
    <definedName name="solver_rbv" localSheetId="42" hidden="1">1</definedName>
    <definedName name="solver_rbv" localSheetId="44" hidden="1">1</definedName>
    <definedName name="solver_rbv" localSheetId="45" hidden="1">1</definedName>
    <definedName name="solver_rbv" localSheetId="46" hidden="1">1</definedName>
    <definedName name="solver_rbv" localSheetId="59" hidden="1">1</definedName>
    <definedName name="solver_rbv" localSheetId="68" hidden="1">1</definedName>
    <definedName name="solver_rbv" localSheetId="69" hidden="1">1</definedName>
    <definedName name="solver_rel1" localSheetId="76" hidden="1">1</definedName>
    <definedName name="solver_rel1" localSheetId="21" hidden="1">1</definedName>
    <definedName name="solver_rel1" localSheetId="2" hidden="1">2</definedName>
    <definedName name="solver_rel1" localSheetId="27" hidden="1">1</definedName>
    <definedName name="solver_rel1" localSheetId="28" hidden="1">3</definedName>
    <definedName name="solver_rel1" localSheetId="29" hidden="1">1</definedName>
    <definedName name="solver_rel1" localSheetId="30" hidden="1">2</definedName>
    <definedName name="solver_rel1" localSheetId="31" hidden="1">1</definedName>
    <definedName name="solver_rel1" localSheetId="32" hidden="1">1</definedName>
    <definedName name="solver_rel1" localSheetId="33" hidden="1">3</definedName>
    <definedName name="solver_rel1" localSheetId="34" hidden="1">3</definedName>
    <definedName name="solver_rel1" localSheetId="35" hidden="1">5</definedName>
    <definedName name="solver_rel1" localSheetId="36" hidden="1">5</definedName>
    <definedName name="solver_rel1" localSheetId="37" hidden="1">3</definedName>
    <definedName name="solver_rel1" localSheetId="38" hidden="1">3</definedName>
    <definedName name="solver_rel1" localSheetId="39" hidden="1">3</definedName>
    <definedName name="solver_rel1" localSheetId="40" hidden="1">3</definedName>
    <definedName name="solver_rel1" localSheetId="41" hidden="1">3</definedName>
    <definedName name="solver_rel1" localSheetId="42" hidden="1">3</definedName>
    <definedName name="solver_rel1" localSheetId="3" hidden="1">2</definedName>
    <definedName name="solver_rel1" localSheetId="4" hidden="1">1</definedName>
    <definedName name="solver_rel1" localSheetId="5" hidden="1">1</definedName>
    <definedName name="solver_rel1" localSheetId="6" hidden="1">1</definedName>
    <definedName name="solver_rel1" localSheetId="7" hidden="1">1</definedName>
    <definedName name="solver_rel1" localSheetId="8" hidden="1">1</definedName>
    <definedName name="solver_rel1" localSheetId="9" hidden="1">1</definedName>
    <definedName name="solver_rel1" localSheetId="10" hidden="1">1</definedName>
    <definedName name="solver_rel1" localSheetId="11" hidden="1">1</definedName>
    <definedName name="solver_rel1" localSheetId="12" hidden="1">1</definedName>
    <definedName name="solver_rel1" localSheetId="13" hidden="1">1</definedName>
    <definedName name="solver_rel1" localSheetId="14" hidden="1">1</definedName>
    <definedName name="solver_rel1" localSheetId="15" hidden="1">1</definedName>
    <definedName name="solver_rel1" localSheetId="16" hidden="1">1</definedName>
    <definedName name="solver_rel1" localSheetId="17" hidden="1">1</definedName>
    <definedName name="solver_rel1" localSheetId="43" hidden="1">3</definedName>
    <definedName name="solver_rel1" localSheetId="44" hidden="1">3</definedName>
    <definedName name="solver_rel1" localSheetId="45" hidden="1">3</definedName>
    <definedName name="solver_rel1" localSheetId="46" hidden="1">1</definedName>
    <definedName name="solver_rel1" localSheetId="47" hidden="1">2</definedName>
    <definedName name="solver_rel1" localSheetId="48" hidden="1">1</definedName>
    <definedName name="solver_rel1" localSheetId="49" hidden="1">3</definedName>
    <definedName name="solver_rel1" localSheetId="50" hidden="1">1</definedName>
    <definedName name="solver_rel1" localSheetId="51" hidden="1">2</definedName>
    <definedName name="solver_rel1" localSheetId="52" hidden="1">1</definedName>
    <definedName name="solver_rel1" localSheetId="18" hidden="1">1</definedName>
    <definedName name="solver_rel1" localSheetId="53" hidden="1">1</definedName>
    <definedName name="solver_rel1" localSheetId="55" hidden="1">1</definedName>
    <definedName name="solver_rel1" localSheetId="56" hidden="1">2</definedName>
    <definedName name="solver_rel1" localSheetId="57" hidden="1">1</definedName>
    <definedName name="solver_rel1" localSheetId="58" hidden="1">3</definedName>
    <definedName name="solver_rel1" localSheetId="59" hidden="1">1</definedName>
    <definedName name="solver_rel1" localSheetId="60" hidden="1">4</definedName>
    <definedName name="solver_rel1" localSheetId="61" hidden="1">1</definedName>
    <definedName name="solver_rel1" localSheetId="62" hidden="1">1</definedName>
    <definedName name="solver_rel1" localSheetId="65" hidden="1">1</definedName>
    <definedName name="solver_rel1" localSheetId="67" hidden="1">1</definedName>
    <definedName name="solver_rel1" localSheetId="19" hidden="1">1</definedName>
    <definedName name="solver_rel1" localSheetId="71" hidden="1">2</definedName>
    <definedName name="solver_rel1" localSheetId="73" hidden="1">2</definedName>
    <definedName name="solver_rel1" localSheetId="74" hidden="1">2</definedName>
    <definedName name="solver_rel1" localSheetId="75" hidden="1">3</definedName>
    <definedName name="solver_rel1" localSheetId="20" hidden="1">1</definedName>
    <definedName name="solver_rel1" localSheetId="22" hidden="1">1</definedName>
    <definedName name="solver_rel1" localSheetId="23" hidden="1">1</definedName>
    <definedName name="solver_rel1" localSheetId="24" hidden="1">1</definedName>
    <definedName name="solver_rel1" localSheetId="25" hidden="1">1</definedName>
    <definedName name="solver_rel1" localSheetId="26" hidden="1">1</definedName>
    <definedName name="solver_rel1" localSheetId="77" hidden="1">1</definedName>
    <definedName name="solver_rel10" localSheetId="31" hidden="1">3</definedName>
    <definedName name="solver_rel10" localSheetId="52" hidden="1">3</definedName>
    <definedName name="solver_rel10" localSheetId="57" hidden="1">1</definedName>
    <definedName name="solver_rel10" localSheetId="20" hidden="1">1</definedName>
    <definedName name="solver_rel100" localSheetId="31" hidden="1">3</definedName>
    <definedName name="solver_rel101" localSheetId="31" hidden="1">3</definedName>
    <definedName name="solver_rel102" localSheetId="31" hidden="1">3</definedName>
    <definedName name="solver_rel103" localSheetId="31" hidden="1">3</definedName>
    <definedName name="solver_rel104" localSheetId="31" hidden="1">3</definedName>
    <definedName name="solver_rel105" localSheetId="31" hidden="1">3</definedName>
    <definedName name="solver_rel106" localSheetId="31" hidden="1">3</definedName>
    <definedName name="solver_rel107" localSheetId="31" hidden="1">3</definedName>
    <definedName name="solver_rel108" localSheetId="31" hidden="1">3</definedName>
    <definedName name="solver_rel109" localSheetId="31" hidden="1">3</definedName>
    <definedName name="solver_rel11" localSheetId="31" hidden="1">3</definedName>
    <definedName name="solver_rel11" localSheetId="57" hidden="1">1</definedName>
    <definedName name="solver_rel110" localSheetId="31" hidden="1">3</definedName>
    <definedName name="solver_rel111" localSheetId="31" hidden="1">3</definedName>
    <definedName name="solver_rel112" localSheetId="31" hidden="1">3</definedName>
    <definedName name="solver_rel113" localSheetId="31" hidden="1">3</definedName>
    <definedName name="solver_rel114" localSheetId="31" hidden="1">3</definedName>
    <definedName name="solver_rel115" localSheetId="31" hidden="1">3</definedName>
    <definedName name="solver_rel116" localSheetId="31" hidden="1">3</definedName>
    <definedName name="solver_rel117" localSheetId="31" hidden="1">3</definedName>
    <definedName name="solver_rel118" localSheetId="31" hidden="1">3</definedName>
    <definedName name="solver_rel119" localSheetId="31" hidden="1">3</definedName>
    <definedName name="solver_rel12" localSheetId="31" hidden="1">3</definedName>
    <definedName name="solver_rel12" localSheetId="57" hidden="1">3</definedName>
    <definedName name="solver_rel120" localSheetId="31" hidden="1">3</definedName>
    <definedName name="solver_rel121" localSheetId="31" hidden="1">3</definedName>
    <definedName name="solver_rel122" localSheetId="31" hidden="1">3</definedName>
    <definedName name="solver_rel123" localSheetId="31" hidden="1">3</definedName>
    <definedName name="solver_rel124" localSheetId="31" hidden="1">3</definedName>
    <definedName name="solver_rel125" localSheetId="31" hidden="1">3</definedName>
    <definedName name="solver_rel126" localSheetId="31" hidden="1">3</definedName>
    <definedName name="solver_rel127" localSheetId="31" hidden="1">3</definedName>
    <definedName name="solver_rel128" localSheetId="31" hidden="1">3</definedName>
    <definedName name="solver_rel129" localSheetId="31" hidden="1">3</definedName>
    <definedName name="solver_rel13" localSheetId="31" hidden="1">3</definedName>
    <definedName name="solver_rel13" localSheetId="57" hidden="1">3</definedName>
    <definedName name="solver_rel130" localSheetId="31" hidden="1">3</definedName>
    <definedName name="solver_rel131" localSheetId="31" hidden="1">3</definedName>
    <definedName name="solver_rel132" localSheetId="31" hidden="1">3</definedName>
    <definedName name="solver_rel133" localSheetId="31" hidden="1">2</definedName>
    <definedName name="solver_rel14" localSheetId="31" hidden="1">3</definedName>
    <definedName name="solver_rel14" localSheetId="57" hidden="1">1</definedName>
    <definedName name="solver_rel15" localSheetId="31" hidden="1">3</definedName>
    <definedName name="solver_rel16" localSheetId="31" hidden="1">3</definedName>
    <definedName name="solver_rel17" localSheetId="31" hidden="1">3</definedName>
    <definedName name="solver_rel18" localSheetId="31" hidden="1">3</definedName>
    <definedName name="solver_rel19" localSheetId="31" hidden="1">3</definedName>
    <definedName name="solver_rel2" localSheetId="76" hidden="1">3</definedName>
    <definedName name="solver_rel2" localSheetId="21" hidden="1">1</definedName>
    <definedName name="solver_rel2" localSheetId="2" hidden="1">1</definedName>
    <definedName name="solver_rel2" localSheetId="27" hidden="1">1</definedName>
    <definedName name="solver_rel2" localSheetId="28" hidden="1">1</definedName>
    <definedName name="solver_rel2" localSheetId="29" hidden="1">3</definedName>
    <definedName name="solver_rel2" localSheetId="30" hidden="1">1</definedName>
    <definedName name="solver_rel2" localSheetId="31" hidden="1">1</definedName>
    <definedName name="solver_rel2" localSheetId="32" hidden="1">1</definedName>
    <definedName name="solver_rel2" localSheetId="33" hidden="1">3</definedName>
    <definedName name="solver_rel2" localSheetId="34" hidden="1">3</definedName>
    <definedName name="solver_rel2" localSheetId="35" hidden="1">3</definedName>
    <definedName name="solver_rel2" localSheetId="36" hidden="1">4</definedName>
    <definedName name="solver_rel2" localSheetId="37" hidden="1">3</definedName>
    <definedName name="solver_rel2" localSheetId="38" hidden="1">3</definedName>
    <definedName name="solver_rel2" localSheetId="39" hidden="1">3</definedName>
    <definedName name="solver_rel2" localSheetId="40" hidden="1">3</definedName>
    <definedName name="solver_rel2" localSheetId="41" hidden="1">3</definedName>
    <definedName name="solver_rel2" localSheetId="42" hidden="1">3</definedName>
    <definedName name="solver_rel2" localSheetId="3" hidden="1">1</definedName>
    <definedName name="solver_rel2" localSheetId="4" hidden="1">1</definedName>
    <definedName name="solver_rel2" localSheetId="5" hidden="1">1</definedName>
    <definedName name="solver_rel2" localSheetId="6" hidden="1">1</definedName>
    <definedName name="solver_rel2" localSheetId="7" hidden="1">1</definedName>
    <definedName name="solver_rel2" localSheetId="8" hidden="1">1</definedName>
    <definedName name="solver_rel2" localSheetId="9" hidden="1">1</definedName>
    <definedName name="solver_rel2" localSheetId="10" hidden="1">1</definedName>
    <definedName name="solver_rel2" localSheetId="11" hidden="1">1</definedName>
    <definedName name="solver_rel2" localSheetId="12" hidden="1">1</definedName>
    <definedName name="solver_rel2" localSheetId="13" hidden="1">1</definedName>
    <definedName name="solver_rel2" localSheetId="14" hidden="1">1</definedName>
    <definedName name="solver_rel2" localSheetId="15" hidden="1">1</definedName>
    <definedName name="solver_rel2" localSheetId="16" hidden="1">1</definedName>
    <definedName name="solver_rel2" localSheetId="17" hidden="1">1</definedName>
    <definedName name="solver_rel2" localSheetId="43" hidden="1">3</definedName>
    <definedName name="solver_rel2" localSheetId="44" hidden="1">3</definedName>
    <definedName name="solver_rel2" localSheetId="45" hidden="1">3</definedName>
    <definedName name="solver_rel2" localSheetId="46" hidden="1">3</definedName>
    <definedName name="solver_rel2" localSheetId="47" hidden="1">1</definedName>
    <definedName name="solver_rel2" localSheetId="48" hidden="1">1</definedName>
    <definedName name="solver_rel2" localSheetId="49" hidden="1">2</definedName>
    <definedName name="solver_rel2" localSheetId="50" hidden="1">3</definedName>
    <definedName name="solver_rel2" localSheetId="51" hidden="1">1</definedName>
    <definedName name="solver_rel2" localSheetId="52" hidden="1">3</definedName>
    <definedName name="solver_rel2" localSheetId="18" hidden="1">1</definedName>
    <definedName name="solver_rel2" localSheetId="53" hidden="1">1</definedName>
    <definedName name="solver_rel2" localSheetId="55" hidden="1">1</definedName>
    <definedName name="solver_rel2" localSheetId="56" hidden="1">1</definedName>
    <definedName name="solver_rel2" localSheetId="57" hidden="1">1</definedName>
    <definedName name="solver_rel2" localSheetId="58" hidden="1">5</definedName>
    <definedName name="solver_rel2" localSheetId="59" hidden="1">1</definedName>
    <definedName name="solver_rel2" localSheetId="60" hidden="1">1</definedName>
    <definedName name="solver_rel2" localSheetId="61" hidden="1">3</definedName>
    <definedName name="solver_rel2" localSheetId="62" hidden="1">3</definedName>
    <definedName name="solver_rel2" localSheetId="65" hidden="1">2</definedName>
    <definedName name="solver_rel2" localSheetId="67" hidden="1">2</definedName>
    <definedName name="solver_rel2" localSheetId="19" hidden="1">1</definedName>
    <definedName name="solver_rel2" localSheetId="71" hidden="1">1</definedName>
    <definedName name="solver_rel2" localSheetId="73" hidden="1">3</definedName>
    <definedName name="solver_rel2" localSheetId="74" hidden="1">1</definedName>
    <definedName name="solver_rel2" localSheetId="75" hidden="1">5</definedName>
    <definedName name="solver_rel2" localSheetId="20" hidden="1">1</definedName>
    <definedName name="solver_rel2" localSheetId="22" hidden="1">1</definedName>
    <definedName name="solver_rel2" localSheetId="23" hidden="1">1</definedName>
    <definedName name="solver_rel2" localSheetId="24" hidden="1">1</definedName>
    <definedName name="solver_rel2" localSheetId="25" hidden="1">1</definedName>
    <definedName name="solver_rel2" localSheetId="26" hidden="1">1</definedName>
    <definedName name="solver_rel2" localSheetId="77" hidden="1">3</definedName>
    <definedName name="solver_rel20" localSheetId="31" hidden="1">3</definedName>
    <definedName name="solver_rel21" localSheetId="31" hidden="1">3</definedName>
    <definedName name="solver_rel22" localSheetId="31" hidden="1">3</definedName>
    <definedName name="solver_rel23" localSheetId="31" hidden="1">3</definedName>
    <definedName name="solver_rel24" localSheetId="31" hidden="1">3</definedName>
    <definedName name="solver_rel25" localSheetId="31" hidden="1">3</definedName>
    <definedName name="solver_rel26" localSheetId="31" hidden="1">3</definedName>
    <definedName name="solver_rel27" localSheetId="31" hidden="1">3</definedName>
    <definedName name="solver_rel28" localSheetId="31" hidden="1">3</definedName>
    <definedName name="solver_rel29" localSheetId="31" hidden="1">3</definedName>
    <definedName name="solver_rel3" localSheetId="76" hidden="1">2</definedName>
    <definedName name="solver_rel3" localSheetId="21" hidden="1">3</definedName>
    <definedName name="solver_rel3" localSheetId="2" hidden="1">3</definedName>
    <definedName name="solver_rel3" localSheetId="27" hidden="1">3</definedName>
    <definedName name="solver_rel3" localSheetId="28" hidden="1">3</definedName>
    <definedName name="solver_rel3" localSheetId="29" hidden="1">2</definedName>
    <definedName name="solver_rel3" localSheetId="30" hidden="1">3</definedName>
    <definedName name="solver_rel3" localSheetId="31" hidden="1">3</definedName>
    <definedName name="solver_rel3" localSheetId="32" hidden="1">3</definedName>
    <definedName name="solver_rel3" localSheetId="33" hidden="1">3</definedName>
    <definedName name="solver_rel3" localSheetId="34" hidden="1">3</definedName>
    <definedName name="solver_rel3" localSheetId="35" hidden="1">3</definedName>
    <definedName name="solver_rel3" localSheetId="36" hidden="1">3</definedName>
    <definedName name="solver_rel3" localSheetId="37" hidden="1">3</definedName>
    <definedName name="solver_rel3" localSheetId="38" hidden="1">3</definedName>
    <definedName name="solver_rel3" localSheetId="39" hidden="1">3</definedName>
    <definedName name="solver_rel3" localSheetId="40" hidden="1">3</definedName>
    <definedName name="solver_rel3" localSheetId="41" hidden="1">3</definedName>
    <definedName name="solver_rel3" localSheetId="42" hidden="1">3</definedName>
    <definedName name="solver_rel3" localSheetId="3" hidden="1">3</definedName>
    <definedName name="solver_rel3" localSheetId="4" hidden="1">3</definedName>
    <definedName name="solver_rel3" localSheetId="5" hidden="1">3</definedName>
    <definedName name="solver_rel3" localSheetId="6" hidden="1">3</definedName>
    <definedName name="solver_rel3" localSheetId="7" hidden="1">3</definedName>
    <definedName name="solver_rel3" localSheetId="8" hidden="1">3</definedName>
    <definedName name="solver_rel3" localSheetId="9" hidden="1">3</definedName>
    <definedName name="solver_rel3" localSheetId="10" hidden="1">3</definedName>
    <definedName name="solver_rel3" localSheetId="11" hidden="1">3</definedName>
    <definedName name="solver_rel3" localSheetId="12" hidden="1">3</definedName>
    <definedName name="solver_rel3" localSheetId="13" hidden="1">3</definedName>
    <definedName name="solver_rel3" localSheetId="14" hidden="1">3</definedName>
    <definedName name="solver_rel3" localSheetId="15" hidden="1">3</definedName>
    <definedName name="solver_rel3" localSheetId="16" hidden="1">3</definedName>
    <definedName name="solver_rel3" localSheetId="17" hidden="1">3</definedName>
    <definedName name="solver_rel3" localSheetId="43" hidden="1">3</definedName>
    <definedName name="solver_rel3" localSheetId="44" hidden="1">3</definedName>
    <definedName name="solver_rel3" localSheetId="45" hidden="1">3</definedName>
    <definedName name="solver_rel3" localSheetId="46" hidden="1">3</definedName>
    <definedName name="solver_rel3" localSheetId="47" hidden="1">3</definedName>
    <definedName name="solver_rel3" localSheetId="48" hidden="1">3</definedName>
    <definedName name="solver_rel3" localSheetId="49" hidden="1">1</definedName>
    <definedName name="solver_rel3" localSheetId="50" hidden="1">3</definedName>
    <definedName name="solver_rel3" localSheetId="51" hidden="1">3</definedName>
    <definedName name="solver_rel3" localSheetId="52" hidden="1">3</definedName>
    <definedName name="solver_rel3" localSheetId="18" hidden="1">1</definedName>
    <definedName name="solver_rel3" localSheetId="53" hidden="1">3</definedName>
    <definedName name="solver_rel3" localSheetId="55" hidden="1">3</definedName>
    <definedName name="solver_rel3" localSheetId="56" hidden="1">1</definedName>
    <definedName name="solver_rel3" localSheetId="57" hidden="1">3</definedName>
    <definedName name="solver_rel3" localSheetId="59" hidden="1">3</definedName>
    <definedName name="solver_rel3" localSheetId="67" hidden="1">3</definedName>
    <definedName name="solver_rel3" localSheetId="19" hidden="1">3</definedName>
    <definedName name="solver_rel3" localSheetId="71" hidden="1">3</definedName>
    <definedName name="solver_rel3" localSheetId="73" hidden="1">1</definedName>
    <definedName name="solver_rel3" localSheetId="74" hidden="1">3</definedName>
    <definedName name="solver_rel3" localSheetId="20" hidden="1">3</definedName>
    <definedName name="solver_rel3" localSheetId="22" hidden="1">3</definedName>
    <definedName name="solver_rel3" localSheetId="23" hidden="1">3</definedName>
    <definedName name="solver_rel3" localSheetId="24" hidden="1">3</definedName>
    <definedName name="solver_rel3" localSheetId="25" hidden="1">3</definedName>
    <definedName name="solver_rel3" localSheetId="26" hidden="1">3</definedName>
    <definedName name="solver_rel3" localSheetId="77" hidden="1">3</definedName>
    <definedName name="solver_rel30" localSheetId="31" hidden="1">3</definedName>
    <definedName name="solver_rel31" localSheetId="31" hidden="1">3</definedName>
    <definedName name="solver_rel32" localSheetId="31" hidden="1">3</definedName>
    <definedName name="solver_rel33" localSheetId="31" hidden="1">3</definedName>
    <definedName name="solver_rel34" localSheetId="31" hidden="1">3</definedName>
    <definedName name="solver_rel35" localSheetId="31" hidden="1">3</definedName>
    <definedName name="solver_rel36" localSheetId="31" hidden="1">3</definedName>
    <definedName name="solver_rel37" localSheetId="31" hidden="1">3</definedName>
    <definedName name="solver_rel38" localSheetId="31" hidden="1">3</definedName>
    <definedName name="solver_rel39" localSheetId="31" hidden="1">3</definedName>
    <definedName name="solver_rel4" localSheetId="76" hidden="1">1</definedName>
    <definedName name="solver_rel4" localSheetId="21" hidden="1">2</definedName>
    <definedName name="solver_rel4" localSheetId="2" hidden="1">1</definedName>
    <definedName name="solver_rel4" localSheetId="27" hidden="1">2</definedName>
    <definedName name="solver_rel4" localSheetId="28" hidden="1">1</definedName>
    <definedName name="solver_rel4" localSheetId="31" hidden="1">3</definedName>
    <definedName name="solver_rel4" localSheetId="32" hidden="1">2</definedName>
    <definedName name="solver_rel4" localSheetId="33" hidden="1">3</definedName>
    <definedName name="solver_rel4" localSheetId="34" hidden="1">3</definedName>
    <definedName name="solver_rel4" localSheetId="35" hidden="1">3</definedName>
    <definedName name="solver_rel4" localSheetId="36" hidden="1">3</definedName>
    <definedName name="solver_rel4" localSheetId="37" hidden="1">3</definedName>
    <definedName name="solver_rel4" localSheetId="38" hidden="1">3</definedName>
    <definedName name="solver_rel4" localSheetId="39" hidden="1">3</definedName>
    <definedName name="solver_rel4" localSheetId="40" hidden="1">3</definedName>
    <definedName name="solver_rel4" localSheetId="41" hidden="1">3</definedName>
    <definedName name="solver_rel4" localSheetId="42" hidden="1">3</definedName>
    <definedName name="solver_rel4" localSheetId="3" hidden="1">2</definedName>
    <definedName name="solver_rel4" localSheetId="4" hidden="1">2</definedName>
    <definedName name="solver_rel4" localSheetId="5" hidden="1">2</definedName>
    <definedName name="solver_rel4" localSheetId="6" hidden="1">2</definedName>
    <definedName name="solver_rel4" localSheetId="7" hidden="1">2</definedName>
    <definedName name="solver_rel4" localSheetId="8" hidden="1">2</definedName>
    <definedName name="solver_rel4" localSheetId="9" hidden="1">2</definedName>
    <definedName name="solver_rel4" localSheetId="10" hidden="1">2</definedName>
    <definedName name="solver_rel4" localSheetId="11" hidden="1">2</definedName>
    <definedName name="solver_rel4" localSheetId="12" hidden="1">2</definedName>
    <definedName name="solver_rel4" localSheetId="13" hidden="1">2</definedName>
    <definedName name="solver_rel4" localSheetId="14" hidden="1">2</definedName>
    <definedName name="solver_rel4" localSheetId="15" hidden="1">2</definedName>
    <definedName name="solver_rel4" localSheetId="16" hidden="1">2</definedName>
    <definedName name="solver_rel4" localSheetId="17" hidden="1">5</definedName>
    <definedName name="solver_rel4" localSheetId="43" hidden="1">3</definedName>
    <definedName name="solver_rel4" localSheetId="44" hidden="1">3</definedName>
    <definedName name="solver_rel4" localSheetId="45" hidden="1">3</definedName>
    <definedName name="solver_rel4" localSheetId="46" hidden="1">3</definedName>
    <definedName name="solver_rel4" localSheetId="47" hidden="1">2</definedName>
    <definedName name="solver_rel4" localSheetId="49" hidden="1">2</definedName>
    <definedName name="solver_rel4" localSheetId="50" hidden="1">4</definedName>
    <definedName name="solver_rel4" localSheetId="51" hidden="1">2</definedName>
    <definedName name="solver_rel4" localSheetId="52" hidden="1">1</definedName>
    <definedName name="solver_rel4" localSheetId="18" hidden="1">3</definedName>
    <definedName name="solver_rel4" localSheetId="55" hidden="1">4</definedName>
    <definedName name="solver_rel4" localSheetId="56" hidden="1">3</definedName>
    <definedName name="solver_rel4" localSheetId="57" hidden="1">3</definedName>
    <definedName name="solver_rel4" localSheetId="59" hidden="1">3</definedName>
    <definedName name="solver_rel4" localSheetId="19" hidden="1">5</definedName>
    <definedName name="solver_rel4" localSheetId="71" hidden="1">1</definedName>
    <definedName name="solver_rel4" localSheetId="73" hidden="1">1</definedName>
    <definedName name="solver_rel4" localSheetId="74" hidden="1">2</definedName>
    <definedName name="solver_rel4" localSheetId="20" hidden="1">5</definedName>
    <definedName name="solver_rel4" localSheetId="22" hidden="1">2</definedName>
    <definedName name="solver_rel4" localSheetId="23" hidden="1">2</definedName>
    <definedName name="solver_rel4" localSheetId="24" hidden="1">2</definedName>
    <definedName name="solver_rel4" localSheetId="25" hidden="1">2</definedName>
    <definedName name="solver_rel4" localSheetId="26" hidden="1">3</definedName>
    <definedName name="solver_rel4" localSheetId="77" hidden="1">3</definedName>
    <definedName name="solver_rel40" localSheetId="31" hidden="1">3</definedName>
    <definedName name="solver_rel41" localSheetId="31" hidden="1">3</definedName>
    <definedName name="solver_rel42" localSheetId="31" hidden="1">3</definedName>
    <definedName name="solver_rel43" localSheetId="31" hidden="1">3</definedName>
    <definedName name="solver_rel44" localSheetId="31" hidden="1">3</definedName>
    <definedName name="solver_rel45" localSheetId="31" hidden="1">3</definedName>
    <definedName name="solver_rel46" localSheetId="31" hidden="1">3</definedName>
    <definedName name="solver_rel47" localSheetId="31" hidden="1">3</definedName>
    <definedName name="solver_rel48" localSheetId="31" hidden="1">3</definedName>
    <definedName name="solver_rel49" localSheetId="31" hidden="1">3</definedName>
    <definedName name="solver_rel5" localSheetId="76" hidden="1">1</definedName>
    <definedName name="solver_rel5" localSheetId="21" hidden="1">1</definedName>
    <definedName name="solver_rel5" localSheetId="2" hidden="1">1</definedName>
    <definedName name="solver_rel5" localSheetId="27" hidden="1">1</definedName>
    <definedName name="solver_rel5" localSheetId="28" hidden="1">4</definedName>
    <definedName name="solver_rel5" localSheetId="31" hidden="1">3</definedName>
    <definedName name="solver_rel5" localSheetId="32" hidden="1">1</definedName>
    <definedName name="solver_rel5" localSheetId="33" hidden="1">1</definedName>
    <definedName name="solver_rel5" localSheetId="34" hidden="1">1</definedName>
    <definedName name="solver_rel5" localSheetId="35" hidden="1">3</definedName>
    <definedName name="solver_rel5" localSheetId="36" hidden="1">3</definedName>
    <definedName name="solver_rel5" localSheetId="37" hidden="1">5</definedName>
    <definedName name="solver_rel5" localSheetId="38" hidden="1">1</definedName>
    <definedName name="solver_rel5" localSheetId="39" hidden="1">1</definedName>
    <definedName name="solver_rel5" localSheetId="40" hidden="1">1</definedName>
    <definedName name="solver_rel5" localSheetId="41" hidden="1">1</definedName>
    <definedName name="solver_rel5" localSheetId="42" hidden="1">1</definedName>
    <definedName name="solver_rel5" localSheetId="3" hidden="1">1</definedName>
    <definedName name="solver_rel5" localSheetId="4" hidden="1">1</definedName>
    <definedName name="solver_rel5" localSheetId="5" hidden="1">1</definedName>
    <definedName name="solver_rel5" localSheetId="6" hidden="1">1</definedName>
    <definedName name="solver_rel5" localSheetId="7" hidden="1">1</definedName>
    <definedName name="solver_rel5" localSheetId="8" hidden="1">1</definedName>
    <definedName name="solver_rel5" localSheetId="9" hidden="1">1</definedName>
    <definedName name="solver_rel5" localSheetId="10" hidden="1">1</definedName>
    <definedName name="solver_rel5" localSheetId="11" hidden="1">1</definedName>
    <definedName name="solver_rel5" localSheetId="12" hidden="1">1</definedName>
    <definedName name="solver_rel5" localSheetId="13" hidden="1">1</definedName>
    <definedName name="solver_rel5" localSheetId="14" hidden="1">1</definedName>
    <definedName name="solver_rel5" localSheetId="15" hidden="1">1</definedName>
    <definedName name="solver_rel5" localSheetId="16" hidden="1">1</definedName>
    <definedName name="solver_rel5" localSheetId="17" hidden="1">4</definedName>
    <definedName name="solver_rel5" localSheetId="43" hidden="1">1</definedName>
    <definedName name="solver_rel5" localSheetId="44" hidden="1">1</definedName>
    <definedName name="solver_rel5" localSheetId="45" hidden="1">1</definedName>
    <definedName name="solver_rel5" localSheetId="46" hidden="1">1</definedName>
    <definedName name="solver_rel5" localSheetId="47" hidden="1">1</definedName>
    <definedName name="solver_rel5" localSheetId="49" hidden="1">1</definedName>
    <definedName name="solver_rel5" localSheetId="50" hidden="1">2</definedName>
    <definedName name="solver_rel5" localSheetId="52" hidden="1">3</definedName>
    <definedName name="solver_rel5" localSheetId="18" hidden="1">3</definedName>
    <definedName name="solver_rel5" localSheetId="57" hidden="1">3</definedName>
    <definedName name="solver_rel5" localSheetId="59" hidden="1">1</definedName>
    <definedName name="solver_rel5" localSheetId="19" hidden="1">4</definedName>
    <definedName name="solver_rel5" localSheetId="74" hidden="1">1</definedName>
    <definedName name="solver_rel5" localSheetId="20" hidden="1">4</definedName>
    <definedName name="solver_rel5" localSheetId="22" hidden="1">1</definedName>
    <definedName name="solver_rel5" localSheetId="23" hidden="1">1</definedName>
    <definedName name="solver_rel5" localSheetId="24" hidden="1">1</definedName>
    <definedName name="solver_rel5" localSheetId="25" hidden="1">1</definedName>
    <definedName name="solver_rel5" localSheetId="26" hidden="1">1</definedName>
    <definedName name="solver_rel5" localSheetId="77" hidden="1">4</definedName>
    <definedName name="solver_rel50" localSheetId="31" hidden="1">3</definedName>
    <definedName name="solver_rel51" localSheetId="31" hidden="1">3</definedName>
    <definedName name="solver_rel52" localSheetId="31" hidden="1">3</definedName>
    <definedName name="solver_rel53" localSheetId="31" hidden="1">3</definedName>
    <definedName name="solver_rel54" localSheetId="31" hidden="1">3</definedName>
    <definedName name="solver_rel55" localSheetId="31" hidden="1">3</definedName>
    <definedName name="solver_rel56" localSheetId="31" hidden="1">3</definedName>
    <definedName name="solver_rel57" localSheetId="31" hidden="1">3</definedName>
    <definedName name="solver_rel58" localSheetId="31" hidden="1">3</definedName>
    <definedName name="solver_rel59" localSheetId="31" hidden="1">3</definedName>
    <definedName name="solver_rel6" localSheetId="76" hidden="1">3</definedName>
    <definedName name="solver_rel6" localSheetId="21" hidden="1">5</definedName>
    <definedName name="solver_rel6" localSheetId="2" hidden="1">5</definedName>
    <definedName name="solver_rel6" localSheetId="27" hidden="1">5</definedName>
    <definedName name="solver_rel6" localSheetId="31" hidden="1">3</definedName>
    <definedName name="solver_rel6" localSheetId="32" hidden="1">3</definedName>
    <definedName name="solver_rel6" localSheetId="33" hidden="1">3</definedName>
    <definedName name="solver_rel6" localSheetId="34" hidden="1">3</definedName>
    <definedName name="solver_rel6" localSheetId="35" hidden="1">5</definedName>
    <definedName name="solver_rel6" localSheetId="36" hidden="1">3</definedName>
    <definedName name="solver_rel6" localSheetId="37" hidden="1">4</definedName>
    <definedName name="solver_rel6" localSheetId="38" hidden="1">3</definedName>
    <definedName name="solver_rel6" localSheetId="39" hidden="1">3</definedName>
    <definedName name="solver_rel6" localSheetId="40" hidden="1">3</definedName>
    <definedName name="solver_rel6" localSheetId="41" hidden="1">3</definedName>
    <definedName name="solver_rel6" localSheetId="42" hidden="1">3</definedName>
    <definedName name="solver_rel6" localSheetId="3" hidden="1">5</definedName>
    <definedName name="solver_rel6" localSheetId="4" hidden="1">5</definedName>
    <definedName name="solver_rel6" localSheetId="5" hidden="1">5</definedName>
    <definedName name="solver_rel6" localSheetId="6" hidden="1">5</definedName>
    <definedName name="solver_rel6" localSheetId="7" hidden="1">5</definedName>
    <definedName name="solver_rel6" localSheetId="8" hidden="1">5</definedName>
    <definedName name="solver_rel6" localSheetId="9" hidden="1">5</definedName>
    <definedName name="solver_rel6" localSheetId="10" hidden="1">5</definedName>
    <definedName name="solver_rel6" localSheetId="11" hidden="1">5</definedName>
    <definedName name="solver_rel6" localSheetId="12" hidden="1">5</definedName>
    <definedName name="solver_rel6" localSheetId="13" hidden="1">5</definedName>
    <definedName name="solver_rel6" localSheetId="14" hidden="1">5</definedName>
    <definedName name="solver_rel6" localSheetId="15" hidden="1">5</definedName>
    <definedName name="solver_rel6" localSheetId="16" hidden="1">5</definedName>
    <definedName name="solver_rel6" localSheetId="17" hidden="1">1</definedName>
    <definedName name="solver_rel6" localSheetId="43" hidden="1">3</definedName>
    <definedName name="solver_rel6" localSheetId="44" hidden="1">3</definedName>
    <definedName name="solver_rel6" localSheetId="45" hidden="1">3</definedName>
    <definedName name="solver_rel6" localSheetId="46" hidden="1">3</definedName>
    <definedName name="solver_rel6" localSheetId="47" hidden="1">5</definedName>
    <definedName name="solver_rel6" localSheetId="49" hidden="1">5</definedName>
    <definedName name="solver_rel6" localSheetId="50" hidden="1">5</definedName>
    <definedName name="solver_rel6" localSheetId="52" hidden="1">1</definedName>
    <definedName name="solver_rel6" localSheetId="18" hidden="1">4</definedName>
    <definedName name="solver_rel6" localSheetId="57" hidden="1">1</definedName>
    <definedName name="solver_rel6" localSheetId="59" hidden="1">1</definedName>
    <definedName name="solver_rel6" localSheetId="19" hidden="1">1</definedName>
    <definedName name="solver_rel6" localSheetId="74" hidden="1">5</definedName>
    <definedName name="solver_rel6" localSheetId="20" hidden="1">1</definedName>
    <definedName name="solver_rel6" localSheetId="22" hidden="1">5</definedName>
    <definedName name="solver_rel6" localSheetId="23" hidden="1">5</definedName>
    <definedName name="solver_rel6" localSheetId="24" hidden="1">5</definedName>
    <definedName name="solver_rel6" localSheetId="25" hidden="1">5</definedName>
    <definedName name="solver_rel6" localSheetId="26" hidden="1">5</definedName>
    <definedName name="solver_rel6" localSheetId="77" hidden="1">4</definedName>
    <definedName name="solver_rel60" localSheetId="31" hidden="1">3</definedName>
    <definedName name="solver_rel61" localSheetId="31" hidden="1">3</definedName>
    <definedName name="solver_rel62" localSheetId="31" hidden="1">3</definedName>
    <definedName name="solver_rel63" localSheetId="31" hidden="1">3</definedName>
    <definedName name="solver_rel64" localSheetId="31" hidden="1">3</definedName>
    <definedName name="solver_rel65" localSheetId="31" hidden="1">3</definedName>
    <definedName name="solver_rel66" localSheetId="31" hidden="1">3</definedName>
    <definedName name="solver_rel67" localSheetId="31" hidden="1">2</definedName>
    <definedName name="solver_rel68" localSheetId="31" hidden="1">1</definedName>
    <definedName name="solver_rel69" localSheetId="31" hidden="1">3</definedName>
    <definedName name="solver_rel7" localSheetId="76" hidden="1">3</definedName>
    <definedName name="solver_rel7" localSheetId="21" hidden="1">4</definedName>
    <definedName name="solver_rel7" localSheetId="2" hidden="1">4</definedName>
    <definedName name="solver_rel7" localSheetId="27" hidden="1">4</definedName>
    <definedName name="solver_rel7" localSheetId="31" hidden="1">3</definedName>
    <definedName name="solver_rel7" localSheetId="32" hidden="1">4</definedName>
    <definedName name="solver_rel7" localSheetId="33" hidden="1">4</definedName>
    <definedName name="solver_rel7" localSheetId="34" hidden="1">4</definedName>
    <definedName name="solver_rel7" localSheetId="35" hidden="1">4</definedName>
    <definedName name="solver_rel7" localSheetId="36" hidden="1">4</definedName>
    <definedName name="solver_rel7" localSheetId="37" hidden="1">4</definedName>
    <definedName name="solver_rel7" localSheetId="38" hidden="1">4</definedName>
    <definedName name="solver_rel7" localSheetId="39" hidden="1">4</definedName>
    <definedName name="solver_rel7" localSheetId="40" hidden="1">4</definedName>
    <definedName name="solver_rel7" localSheetId="41" hidden="1">4</definedName>
    <definedName name="solver_rel7" localSheetId="42" hidden="1">4</definedName>
    <definedName name="solver_rel7" localSheetId="3" hidden="1">4</definedName>
    <definedName name="solver_rel7" localSheetId="4" hidden="1">4</definedName>
    <definedName name="solver_rel7" localSheetId="5" hidden="1">4</definedName>
    <definedName name="solver_rel7" localSheetId="6" hidden="1">4</definedName>
    <definedName name="solver_rel7" localSheetId="7" hidden="1">4</definedName>
    <definedName name="solver_rel7" localSheetId="8" hidden="1">4</definedName>
    <definedName name="solver_rel7" localSheetId="9" hidden="1">4</definedName>
    <definedName name="solver_rel7" localSheetId="10" hidden="1">4</definedName>
    <definedName name="solver_rel7" localSheetId="11" hidden="1">4</definedName>
    <definedName name="solver_rel7" localSheetId="12" hidden="1">4</definedName>
    <definedName name="solver_rel7" localSheetId="13" hidden="1">4</definedName>
    <definedName name="solver_rel7" localSheetId="14" hidden="1">4</definedName>
    <definedName name="solver_rel7" localSheetId="15" hidden="1">4</definedName>
    <definedName name="solver_rel7" localSheetId="16" hidden="1">4</definedName>
    <definedName name="solver_rel7" localSheetId="17" hidden="1">4</definedName>
    <definedName name="solver_rel7" localSheetId="43" hidden="1">4</definedName>
    <definedName name="solver_rel7" localSheetId="44" hidden="1">4</definedName>
    <definedName name="solver_rel7" localSheetId="45" hidden="1">4</definedName>
    <definedName name="solver_rel7" localSheetId="46" hidden="1">4</definedName>
    <definedName name="solver_rel7" localSheetId="47" hidden="1">4</definedName>
    <definedName name="solver_rel7" localSheetId="49" hidden="1">4</definedName>
    <definedName name="solver_rel7" localSheetId="50" hidden="1">4</definedName>
    <definedName name="solver_rel7" localSheetId="52" hidden="1">4</definedName>
    <definedName name="solver_rel7" localSheetId="18" hidden="1">5</definedName>
    <definedName name="solver_rel7" localSheetId="57" hidden="1">3</definedName>
    <definedName name="solver_rel7" localSheetId="19" hidden="1">1</definedName>
    <definedName name="solver_rel7" localSheetId="74" hidden="1">4</definedName>
    <definedName name="solver_rel7" localSheetId="20" hidden="1">1</definedName>
    <definedName name="solver_rel7" localSheetId="22" hidden="1">4</definedName>
    <definedName name="solver_rel7" localSheetId="23" hidden="1">4</definedName>
    <definedName name="solver_rel7" localSheetId="24" hidden="1">4</definedName>
    <definedName name="solver_rel7" localSheetId="25" hidden="1">4</definedName>
    <definedName name="solver_rel7" localSheetId="26" hidden="1">4</definedName>
    <definedName name="solver_rel7" localSheetId="77" hidden="1">4</definedName>
    <definedName name="solver_rel70" localSheetId="31" hidden="1">3</definedName>
    <definedName name="solver_rel71" localSheetId="31" hidden="1">3</definedName>
    <definedName name="solver_rel72" localSheetId="31" hidden="1">3</definedName>
    <definedName name="solver_rel73" localSheetId="31" hidden="1">3</definedName>
    <definedName name="solver_rel74" localSheetId="31" hidden="1">3</definedName>
    <definedName name="solver_rel75" localSheetId="31" hidden="1">3</definedName>
    <definedName name="solver_rel76" localSheetId="31" hidden="1">3</definedName>
    <definedName name="solver_rel77" localSheetId="31" hidden="1">3</definedName>
    <definedName name="solver_rel78" localSheetId="31" hidden="1">3</definedName>
    <definedName name="solver_rel79" localSheetId="31" hidden="1">3</definedName>
    <definedName name="solver_rel8" localSheetId="76" hidden="1">1</definedName>
    <definedName name="solver_rel8" localSheetId="21" hidden="1">5</definedName>
    <definedName name="solver_rel8" localSheetId="2" hidden="1">5</definedName>
    <definedName name="solver_rel8" localSheetId="27" hidden="1">5</definedName>
    <definedName name="solver_rel8" localSheetId="31" hidden="1">3</definedName>
    <definedName name="solver_rel8" localSheetId="32" hidden="1">5</definedName>
    <definedName name="solver_rel8" localSheetId="33" hidden="1">5</definedName>
    <definedName name="solver_rel8" localSheetId="34" hidden="1">5</definedName>
    <definedName name="solver_rel8" localSheetId="35" hidden="1">5</definedName>
    <definedName name="solver_rel8" localSheetId="36" hidden="1">5</definedName>
    <definedName name="solver_rel8" localSheetId="37" hidden="1">5</definedName>
    <definedName name="solver_rel8" localSheetId="38" hidden="1">5</definedName>
    <definedName name="solver_rel8" localSheetId="39" hidden="1">5</definedName>
    <definedName name="solver_rel8" localSheetId="40" hidden="1">5</definedName>
    <definedName name="solver_rel8" localSheetId="41" hidden="1">5</definedName>
    <definedName name="solver_rel8" localSheetId="42" hidden="1">5</definedName>
    <definedName name="solver_rel8" localSheetId="3" hidden="1">5</definedName>
    <definedName name="solver_rel8" localSheetId="4" hidden="1">5</definedName>
    <definedName name="solver_rel8" localSheetId="5" hidden="1">5</definedName>
    <definedName name="solver_rel8" localSheetId="6" hidden="1">5</definedName>
    <definedName name="solver_rel8" localSheetId="7" hidden="1">5</definedName>
    <definedName name="solver_rel8" localSheetId="8" hidden="1">5</definedName>
    <definedName name="solver_rel8" localSheetId="9" hidden="1">5</definedName>
    <definedName name="solver_rel8" localSheetId="10" hidden="1">5</definedName>
    <definedName name="solver_rel8" localSheetId="11" hidden="1">5</definedName>
    <definedName name="solver_rel8" localSheetId="12" hidden="1">5</definedName>
    <definedName name="solver_rel8" localSheetId="13" hidden="1">5</definedName>
    <definedName name="solver_rel8" localSheetId="14" hidden="1">5</definedName>
    <definedName name="solver_rel8" localSheetId="15" hidden="1">5</definedName>
    <definedName name="solver_rel8" localSheetId="16" hidden="1">5</definedName>
    <definedName name="solver_rel8" localSheetId="17" hidden="1">5</definedName>
    <definedName name="solver_rel8" localSheetId="43" hidden="1">5</definedName>
    <definedName name="solver_rel8" localSheetId="44" hidden="1">5</definedName>
    <definedName name="solver_rel8" localSheetId="45" hidden="1">5</definedName>
    <definedName name="solver_rel8" localSheetId="46" hidden="1">5</definedName>
    <definedName name="solver_rel8" localSheetId="47" hidden="1">5</definedName>
    <definedName name="solver_rel8" localSheetId="49" hidden="1">5</definedName>
    <definedName name="solver_rel8" localSheetId="50" hidden="1">5</definedName>
    <definedName name="solver_rel8" localSheetId="52" hidden="1">1</definedName>
    <definedName name="solver_rel8" localSheetId="18" hidden="1">5</definedName>
    <definedName name="solver_rel8" localSheetId="57" hidden="1">3</definedName>
    <definedName name="solver_rel8" localSheetId="19" hidden="1">3</definedName>
    <definedName name="solver_rel8" localSheetId="74" hidden="1">5</definedName>
    <definedName name="solver_rel8" localSheetId="20" hidden="1">3</definedName>
    <definedName name="solver_rel8" localSheetId="22" hidden="1">5</definedName>
    <definedName name="solver_rel8" localSheetId="23" hidden="1">5</definedName>
    <definedName name="solver_rel8" localSheetId="24" hidden="1">5</definedName>
    <definedName name="solver_rel8" localSheetId="25" hidden="1">5</definedName>
    <definedName name="solver_rel8" localSheetId="26" hidden="1">5</definedName>
    <definedName name="solver_rel80" localSheetId="31" hidden="1">3</definedName>
    <definedName name="solver_rel81" localSheetId="31" hidden="1">3</definedName>
    <definedName name="solver_rel82" localSheetId="31" hidden="1">3</definedName>
    <definedName name="solver_rel83" localSheetId="31" hidden="1">3</definedName>
    <definedName name="solver_rel84" localSheetId="31" hidden="1">3</definedName>
    <definedName name="solver_rel85" localSheetId="31" hidden="1">3</definedName>
    <definedName name="solver_rel86" localSheetId="31" hidden="1">3</definedName>
    <definedName name="solver_rel87" localSheetId="31" hidden="1">3</definedName>
    <definedName name="solver_rel88" localSheetId="31" hidden="1">3</definedName>
    <definedName name="solver_rel89" localSheetId="31" hidden="1">3</definedName>
    <definedName name="solver_rel9" localSheetId="76" hidden="1">3</definedName>
    <definedName name="solver_rel9" localSheetId="31" hidden="1">3</definedName>
    <definedName name="solver_rel9" localSheetId="52" hidden="1">3</definedName>
    <definedName name="solver_rel9" localSheetId="57" hidden="1">1</definedName>
    <definedName name="solver_rel9" localSheetId="19" hidden="1">3</definedName>
    <definedName name="solver_rel9" localSheetId="20" hidden="1">3</definedName>
    <definedName name="solver_rel90" localSheetId="31" hidden="1">3</definedName>
    <definedName name="solver_rel91" localSheetId="31" hidden="1">3</definedName>
    <definedName name="solver_rel92" localSheetId="31" hidden="1">3</definedName>
    <definedName name="solver_rel93" localSheetId="31" hidden="1">3</definedName>
    <definedName name="solver_rel94" localSheetId="31" hidden="1">3</definedName>
    <definedName name="solver_rel95" localSheetId="31" hidden="1">3</definedName>
    <definedName name="solver_rel96" localSheetId="31" hidden="1">3</definedName>
    <definedName name="solver_rel97" localSheetId="31" hidden="1">3</definedName>
    <definedName name="solver_rel98" localSheetId="31" hidden="1">3</definedName>
    <definedName name="solver_rel99" localSheetId="31" hidden="1">3</definedName>
    <definedName name="solver_rhs1" localSheetId="76" hidden="1">HighlightingExample!$I$7:$I$8</definedName>
    <definedName name="solver_rhs1" localSheetId="21" hidden="1">'Test!6'!$J$9</definedName>
    <definedName name="solver_rhs1" localSheetId="2" hidden="1">Test1!$J$11</definedName>
    <definedName name="solver_rhs1" localSheetId="27" hidden="1">Test10!$J$8</definedName>
    <definedName name="solver_rhs1" localSheetId="28" hidden="1">Test11!$L$40</definedName>
    <definedName name="solver_rhs1" localSheetId="29" hidden="1">Test12!$J$7:$J$8</definedName>
    <definedName name="solver_rhs1" localSheetId="30" hidden="1">Test13!$J$10</definedName>
    <definedName name="solver_rhs1" localSheetId="31" hidden="1">Test13b!$J$7</definedName>
    <definedName name="solver_rhs1" localSheetId="32" hidden="1">Test14!$J$10</definedName>
    <definedName name="solver_rhs1" localSheetId="33" hidden="1">Test15!$J$10</definedName>
    <definedName name="solver_rhs1" localSheetId="34" hidden="1">-2</definedName>
    <definedName name="solver_rhs1" localSheetId="35" hidden="1">binary</definedName>
    <definedName name="solver_rhs1" localSheetId="36" hidden="1">binary</definedName>
    <definedName name="solver_rhs1" localSheetId="37" hidden="1">Test15e_Relax!$J$13</definedName>
    <definedName name="solver_rhs1" localSheetId="38" hidden="1">Test16!$D$8:$H$8</definedName>
    <definedName name="solver_rhs1" localSheetId="39" hidden="1">Test16b!$E$8:$H$8</definedName>
    <definedName name="solver_rhs1" localSheetId="40" hidden="1">Test17!$D$8:$H$8</definedName>
    <definedName name="solver_rhs1" localSheetId="41" hidden="1">Test18!$D$6:$F$6</definedName>
    <definedName name="solver_rhs1" localSheetId="42" hidden="1">Test19!$D$7:$F$7</definedName>
    <definedName name="solver_rhs1" localSheetId="3" hidden="1">Test1b!$J$11</definedName>
    <definedName name="solver_rhs1" localSheetId="4" hidden="1">Test1c!$J$8</definedName>
    <definedName name="solver_rhs1" localSheetId="5" hidden="1">Test1c2!$J$8</definedName>
    <definedName name="solver_rhs1" localSheetId="6" hidden="1">Test1d!$J$8</definedName>
    <definedName name="solver_rhs1" localSheetId="7" hidden="1">Test1e!$J$8</definedName>
    <definedName name="solver_rhs1" localSheetId="8" hidden="1">Test1f!$J$8</definedName>
    <definedName name="solver_rhs1" localSheetId="9" hidden="1">Test1g!$J$8</definedName>
    <definedName name="solver_rhs1" localSheetId="10" hidden="1">Test1h!$J$8</definedName>
    <definedName name="solver_rhs1" localSheetId="11" hidden="1">Test1i!$J$9</definedName>
    <definedName name="solver_rhs1" localSheetId="12" hidden="1">Test1j!$J$9</definedName>
    <definedName name="solver_rhs1" localSheetId="13" hidden="1">Test1j2!$J$9</definedName>
    <definedName name="solver_rhs1" localSheetId="14" hidden="1">Test1k!$J$9</definedName>
    <definedName name="solver_rhs1" localSheetId="15" hidden="1">Test1l!$J$9</definedName>
    <definedName name="solver_rhs1" localSheetId="16" hidden="1">Test1m!$J$9</definedName>
    <definedName name="solver_rhs1" localSheetId="17" hidden="1">Test2!$K$8</definedName>
    <definedName name="solver_rhs1" localSheetId="43" hidden="1">Test20!$J$11</definedName>
    <definedName name="solver_rhs1" localSheetId="44" hidden="1">-10</definedName>
    <definedName name="solver_rhs1" localSheetId="45" hidden="1">-10*2</definedName>
    <definedName name="solver_rhs1" localSheetId="46" hidden="1">Test23!$D$5</definedName>
    <definedName name="solver_rhs1" localSheetId="47" hidden="1">Test24_IterativeCalc!$J$12</definedName>
    <definedName name="solver_rhs1" localSheetId="48" hidden="1">Test25!$J$11:$J$12</definedName>
    <definedName name="solver_rhs1" localSheetId="49" hidden="1">Test26!$J$11</definedName>
    <definedName name="solver_rhs1" localSheetId="50" hidden="1">Test27_Parameters!$J$8</definedName>
    <definedName name="solver_rhs1" localSheetId="51" hidden="1">Test28_CBCOptions!$J$20</definedName>
    <definedName name="solver_rhs1" localSheetId="52" hidden="1">Test29!$J$11</definedName>
    <definedName name="solver_rhs1" localSheetId="18" hidden="1">Test3!$U$3:$U$4</definedName>
    <definedName name="solver_rhs1" localSheetId="53" hidden="1">Test30!$M$8</definedName>
    <definedName name="solver_rhs1" localSheetId="55" hidden="1">Test31!$I$8</definedName>
    <definedName name="solver_rhs1" localSheetId="56" hidden="1">Test32!$K$12</definedName>
    <definedName name="solver_rhs1" localSheetId="57" hidden="1">Test33!$J$8</definedName>
    <definedName name="solver_rhs1" localSheetId="58" hidden="1">Test34!$G$6:$G$7</definedName>
    <definedName name="solver_rhs1" localSheetId="59" hidden="1">Test35!$H$8</definedName>
    <definedName name="solver_rhs1" localSheetId="60" hidden="1">integer</definedName>
    <definedName name="solver_rhs1" localSheetId="61" hidden="1">Test37!$K$7:$K$9</definedName>
    <definedName name="solver_rhs1" localSheetId="62" hidden="1">Test38!$U$10:$U$11</definedName>
    <definedName name="solver_rhs1" localSheetId="65" hidden="1">Test39_SensNames!$J$14:$J$16</definedName>
    <definedName name="solver_rhs1" localSheetId="67" hidden="1">Test39_SensNames2!$J$14:$J$16</definedName>
    <definedName name="solver_rhs1" localSheetId="19" hidden="1">Test4!$K$9</definedName>
    <definedName name="solver_rhs1" localSheetId="71" hidden="1">Test43!$I$6</definedName>
    <definedName name="solver_rhs1" localSheetId="73" hidden="1">Test44_Seek!$I$6</definedName>
    <definedName name="solver_rhs1" localSheetId="74" hidden="1">'Test45_SheetName(1)+2-1'!$J$11</definedName>
    <definedName name="solver_rhs1" localSheetId="75" hidden="1">Test46_NonLinBinary!$G$8:$G$9</definedName>
    <definedName name="solver_rhs1" localSheetId="20" hidden="1">Test5!$K$9</definedName>
    <definedName name="solver_rhs1" localSheetId="22" hidden="1">Test7!$J$9</definedName>
    <definedName name="solver_rhs1" localSheetId="23" hidden="1">Test8!#REF!</definedName>
    <definedName name="solver_rhs1" localSheetId="24" hidden="1">Test8B!#REF!</definedName>
    <definedName name="solver_rhs1" localSheetId="25" hidden="1">Test9A!$L$8</definedName>
    <definedName name="solver_rhs1" localSheetId="26" hidden="1">Test9B!$L$8</definedName>
    <definedName name="solver_rhs1" localSheetId="77" hidden="1">TestNewAutomodel!$D$20</definedName>
    <definedName name="solver_rhs10" localSheetId="31" hidden="1">Test13b!$J$16</definedName>
    <definedName name="solver_rhs10" localSheetId="52" hidden="1">-20</definedName>
    <definedName name="solver_rhs10" localSheetId="57" hidden="1">3</definedName>
    <definedName name="solver_rhs10" localSheetId="20" hidden="1">5*Test5!$I$15-1</definedName>
    <definedName name="solver_rhs100" localSheetId="31" hidden="1">Test13b!$J$106</definedName>
    <definedName name="solver_rhs101" localSheetId="31" hidden="1">Test13b!$J$107</definedName>
    <definedName name="solver_rhs102" localSheetId="31" hidden="1">Test13b!$J$108</definedName>
    <definedName name="solver_rhs103" localSheetId="31" hidden="1">Test13b!$J$109</definedName>
    <definedName name="solver_rhs104" localSheetId="31" hidden="1">Test13b!$J$110</definedName>
    <definedName name="solver_rhs105" localSheetId="31" hidden="1">Test13b!$J$111</definedName>
    <definedName name="solver_rhs106" localSheetId="31" hidden="1">Test13b!$J$112</definedName>
    <definedName name="solver_rhs107" localSheetId="31" hidden="1">Test13b!$J$113</definedName>
    <definedName name="solver_rhs108" localSheetId="31" hidden="1">Test13b!$J$114</definedName>
    <definedName name="solver_rhs109" localSheetId="31" hidden="1">Test13b!$J$115</definedName>
    <definedName name="solver_rhs11" localSheetId="31" hidden="1">Test13b!$J$17</definedName>
    <definedName name="solver_rhs11" localSheetId="57" hidden="1">7</definedName>
    <definedName name="solver_rhs110" localSheetId="31" hidden="1">Test13b!$J$116</definedName>
    <definedName name="solver_rhs111" localSheetId="31" hidden="1">Test13b!$J$117</definedName>
    <definedName name="solver_rhs112" localSheetId="31" hidden="1">Test13b!$J$118</definedName>
    <definedName name="solver_rhs113" localSheetId="31" hidden="1">Test13b!$J$119</definedName>
    <definedName name="solver_rhs114" localSheetId="31" hidden="1">Test13b!$J$120</definedName>
    <definedName name="solver_rhs115" localSheetId="31" hidden="1">Test13b!$J$121</definedName>
    <definedName name="solver_rhs116" localSheetId="31" hidden="1">Test13b!$J$122</definedName>
    <definedName name="solver_rhs117" localSheetId="31" hidden="1">Test13b!$J$123</definedName>
    <definedName name="solver_rhs118" localSheetId="31" hidden="1">Test13b!$J$124</definedName>
    <definedName name="solver_rhs119" localSheetId="31" hidden="1">Test13b!$J$125</definedName>
    <definedName name="solver_rhs12" localSheetId="31" hidden="1">Test13b!$J$18</definedName>
    <definedName name="solver_rhs12" localSheetId="57" hidden="1">5</definedName>
    <definedName name="solver_rhs120" localSheetId="31" hidden="1">Test13b!$J$126</definedName>
    <definedName name="solver_rhs121" localSheetId="31" hidden="1">Test13b!$J$127</definedName>
    <definedName name="solver_rhs122" localSheetId="31" hidden="1">Test13b!$J$128</definedName>
    <definedName name="solver_rhs123" localSheetId="31" hidden="1">Test13b!$J$129</definedName>
    <definedName name="solver_rhs124" localSheetId="31" hidden="1">Test13b!$J$130</definedName>
    <definedName name="solver_rhs125" localSheetId="31" hidden="1">Test13b!$J$131</definedName>
    <definedName name="solver_rhs126" localSheetId="31" hidden="1">Test13b!$J$132</definedName>
    <definedName name="solver_rhs127" localSheetId="31" hidden="1">Test13b!$J$133</definedName>
    <definedName name="solver_rhs128" localSheetId="31" hidden="1">Test13b!$J$134</definedName>
    <definedName name="solver_rhs129" localSheetId="31" hidden="1">Test13b!$J$135</definedName>
    <definedName name="solver_rhs13" localSheetId="31" hidden="1">Test13b!$J$19</definedName>
    <definedName name="solver_rhs13" localSheetId="57" hidden="1">Test33!$J$8</definedName>
    <definedName name="solver_rhs130" localSheetId="31" hidden="1">Test13b!$J$136</definedName>
    <definedName name="solver_rhs131" localSheetId="31" hidden="1">Test13b!$J$137</definedName>
    <definedName name="solver_rhs132" localSheetId="31" hidden="1">Test13b!$J$138</definedName>
    <definedName name="solver_rhs133" localSheetId="31" hidden="1">Test13b!$J$139</definedName>
    <definedName name="solver_rhs14" localSheetId="31" hidden="1">Test13b!$J$20</definedName>
    <definedName name="solver_rhs14" localSheetId="57" hidden="1">Test33!$J$11</definedName>
    <definedName name="solver_rhs15" localSheetId="31" hidden="1">Test13b!$J$21</definedName>
    <definedName name="solver_rhs16" localSheetId="31" hidden="1">Test13b!$J$22</definedName>
    <definedName name="solver_rhs17" localSheetId="31" hidden="1">Test13b!$J$23</definedName>
    <definedName name="solver_rhs18" localSheetId="31" hidden="1">Test13b!$J$24</definedName>
    <definedName name="solver_rhs19" localSheetId="31" hidden="1">Test13b!$J$25</definedName>
    <definedName name="solver_rhs2" localSheetId="76" hidden="1">HighlightingExample!$I$9</definedName>
    <definedName name="solver_rhs2" localSheetId="21" hidden="1">'Test!6'!$J$10</definedName>
    <definedName name="solver_rhs2" localSheetId="2" hidden="1">Test1!$J$8:$J$9</definedName>
    <definedName name="solver_rhs2" localSheetId="27" hidden="1">Test10!$J$9</definedName>
    <definedName name="solver_rhs2" localSheetId="28" hidden="1">Test11!$L$41:$L$42</definedName>
    <definedName name="solver_rhs2" localSheetId="29" hidden="1">Test12!$J$9</definedName>
    <definedName name="solver_rhs2" localSheetId="30" hidden="1">Test13!$J$7:$J$8</definedName>
    <definedName name="solver_rhs2" localSheetId="31" hidden="1">Test13b!$J$8</definedName>
    <definedName name="solver_rhs2" localSheetId="32" hidden="1">Test14!$J$11</definedName>
    <definedName name="solver_rhs2" localSheetId="33" hidden="1">Test15!$J$11</definedName>
    <definedName name="solver_rhs2" localSheetId="34" hidden="1">Test15b!$J$10</definedName>
    <definedName name="solver_rhs2" localSheetId="35" hidden="1">Test15c!$E$7</definedName>
    <definedName name="solver_rhs2" localSheetId="36" hidden="1">integer</definedName>
    <definedName name="solver_rhs2" localSheetId="37" hidden="1">Test15e_Relax!$J$12</definedName>
    <definedName name="solver_rhs2" localSheetId="38" hidden="1">Test16!$J$12</definedName>
    <definedName name="solver_rhs2" localSheetId="39" hidden="1">Test16b!$J$12</definedName>
    <definedName name="solver_rhs2" localSheetId="40" hidden="1">Test17!$J$12</definedName>
    <definedName name="solver_rhs2" localSheetId="41" hidden="1">Test18!$J$10</definedName>
    <definedName name="solver_rhs2" localSheetId="42" hidden="1">Test19!$J$11</definedName>
    <definedName name="solver_rhs2" localSheetId="3" hidden="1">Test1b!$J$8:$J$9</definedName>
    <definedName name="solver_rhs2" localSheetId="4" hidden="1">Test1c!$J$9</definedName>
    <definedName name="solver_rhs2" localSheetId="5" hidden="1">Test1c2!$J$9</definedName>
    <definedName name="solver_rhs2" localSheetId="6" hidden="1">Test1d!$J$9</definedName>
    <definedName name="solver_rhs2" localSheetId="7" hidden="1">Test1e!$J$9</definedName>
    <definedName name="solver_rhs2" localSheetId="8" hidden="1">Test1f!$J$9</definedName>
    <definedName name="solver_rhs2" localSheetId="9" hidden="1">Test1g!$J$9</definedName>
    <definedName name="solver_rhs2" localSheetId="10" hidden="1">Test1h!$J$9</definedName>
    <definedName name="solver_rhs2" localSheetId="11" hidden="1">Test1i!$J$10</definedName>
    <definedName name="solver_rhs2" localSheetId="12" hidden="1">Test1j!$J$10</definedName>
    <definedName name="solver_rhs2" localSheetId="13" hidden="1">Test1j2!$J$10</definedName>
    <definedName name="solver_rhs2" localSheetId="14" hidden="1">Test1k!$J$10</definedName>
    <definedName name="solver_rhs2" localSheetId="15" hidden="1">2</definedName>
    <definedName name="solver_rhs2" localSheetId="16" hidden="1">2</definedName>
    <definedName name="solver_rhs2" localSheetId="17" hidden="1">Test2!$K$9</definedName>
    <definedName name="solver_rhs2" localSheetId="43" hidden="1">Test20!$J$12</definedName>
    <definedName name="solver_rhs2" localSheetId="44" hidden="1">Test21!$J$11</definedName>
    <definedName name="solver_rhs2" localSheetId="45" hidden="1">Test22!$J$11</definedName>
    <definedName name="solver_rhs2" localSheetId="46" hidden="1">Test23!$J$11</definedName>
    <definedName name="solver_rhs2" localSheetId="47" hidden="1">Test24_IterativeCalc!$J$9:$J$10</definedName>
    <definedName name="solver_rhs2" localSheetId="48" hidden="1">Test25!$J$14</definedName>
    <definedName name="solver_rhs2" localSheetId="49" hidden="1">Test26!$J$12</definedName>
    <definedName name="solver_rhs2" localSheetId="50" hidden="1">Test27_Parameters!$J$9</definedName>
    <definedName name="solver_rhs2" localSheetId="51" hidden="1">Test28_CBCOptions!$J$17:$J$18</definedName>
    <definedName name="solver_rhs2" localSheetId="52" hidden="1">Test29!$J$8:$J$10</definedName>
    <definedName name="solver_rhs2" localSheetId="18" hidden="1">Test3!$K$8:$K$9</definedName>
    <definedName name="solver_rhs2" localSheetId="53" hidden="1">Test30!$M$10:$M$11</definedName>
    <definedName name="solver_rhs2" localSheetId="55" hidden="1">Test31!$I$10:$I$11</definedName>
    <definedName name="solver_rhs2" localSheetId="56" hidden="1">Test32!$K$8</definedName>
    <definedName name="solver_rhs2" localSheetId="57" hidden="1">Test33!$J$10:$J$11</definedName>
    <definedName name="solver_rhs2" localSheetId="58" hidden="1">binary</definedName>
    <definedName name="solver_rhs2" localSheetId="59" hidden="1">Test35!$H$9</definedName>
    <definedName name="solver_rhs2" localSheetId="60" hidden="1">Test36!$I$8</definedName>
    <definedName name="solver_rhs2" localSheetId="61" hidden="1">-6</definedName>
    <definedName name="solver_rhs2" localSheetId="62" hidden="1">Test38!$Q$10:$Q$11</definedName>
    <definedName name="solver_rhs2" localSheetId="65" hidden="1">Test39_SensNames!$D$18:$H$18</definedName>
    <definedName name="solver_rhs2" localSheetId="67" hidden="1">Test39_SensNames2!$D$18:$H$18</definedName>
    <definedName name="solver_rhs2" localSheetId="19" hidden="1">Test4!$K$10</definedName>
    <definedName name="solver_rhs2" localSheetId="71" hidden="1">Test43!$I$8:$I$9</definedName>
    <definedName name="solver_rhs2" localSheetId="73" hidden="1">Test44_Seek!$I$7</definedName>
    <definedName name="solver_rhs2" localSheetId="74" hidden="1">'Test45_SheetName(1)+2-1'!$J$8:$J$9</definedName>
    <definedName name="solver_rhs2" localSheetId="75" hidden="1">binary</definedName>
    <definedName name="solver_rhs2" localSheetId="20" hidden="1">Test5!$K$10</definedName>
    <definedName name="solver_rhs2" localSheetId="22" hidden="1">Test7!$J$10</definedName>
    <definedName name="solver_rhs2" localSheetId="23" hidden="1">Test8!$J$10</definedName>
    <definedName name="solver_rhs2" localSheetId="24" hidden="1">Test8B!$J$10</definedName>
    <definedName name="solver_rhs2" localSheetId="25" hidden="1">Test9A!$L$9</definedName>
    <definedName name="solver_rhs2" localSheetId="26" hidden="1">Test9B!$L$9</definedName>
    <definedName name="solver_rhs2" localSheetId="77" hidden="1">TestNewAutomodel!$D$14</definedName>
    <definedName name="solver_rhs20" localSheetId="31" hidden="1">Test13b!$J$26</definedName>
    <definedName name="solver_rhs21" localSheetId="31" hidden="1">Test13b!$J$27</definedName>
    <definedName name="solver_rhs22" localSheetId="31" hidden="1">Test13b!$J$28</definedName>
    <definedName name="solver_rhs23" localSheetId="31" hidden="1">Test13b!$J$29</definedName>
    <definedName name="solver_rhs24" localSheetId="31" hidden="1">Test13b!$J$30</definedName>
    <definedName name="solver_rhs25" localSheetId="31" hidden="1">Test13b!$J$31</definedName>
    <definedName name="solver_rhs26" localSheetId="31" hidden="1">Test13b!$J$32</definedName>
    <definedName name="solver_rhs27" localSheetId="31" hidden="1">Test13b!$J$33</definedName>
    <definedName name="solver_rhs28" localSheetId="31" hidden="1">Test13b!$J$34</definedName>
    <definedName name="solver_rhs29" localSheetId="31" hidden="1">Test13b!$J$35</definedName>
    <definedName name="solver_rhs3" localSheetId="76" hidden="1">HighlightingExample!$I$10</definedName>
    <definedName name="solver_rhs3" localSheetId="21" hidden="1">'Test!6'!$J$11</definedName>
    <definedName name="solver_rhs3" localSheetId="2" hidden="1">Test1!$J$10</definedName>
    <definedName name="solver_rhs3" localSheetId="27" hidden="1">Test10!$J$10</definedName>
    <definedName name="solver_rhs3" localSheetId="28" hidden="1">Test11!$L$43</definedName>
    <definedName name="solver_rhs3" localSheetId="29" hidden="1">Test12!$J$10</definedName>
    <definedName name="solver_rhs3" localSheetId="30" hidden="1">Test13!$J$9</definedName>
    <definedName name="solver_rhs3" localSheetId="31" hidden="1">Test13b!$J$9</definedName>
    <definedName name="solver_rhs3" localSheetId="32" hidden="1">Test14!$J$12</definedName>
    <definedName name="solver_rhs3" localSheetId="33" hidden="1">Test15!$J$12</definedName>
    <definedName name="solver_rhs3" localSheetId="34" hidden="1">Test15b!$J$11</definedName>
    <definedName name="solver_rhs3" localSheetId="35" hidden="1">Test15c!$J$11</definedName>
    <definedName name="solver_rhs3" localSheetId="36" hidden="1">Test15d!$E$7</definedName>
    <definedName name="solver_rhs3" localSheetId="37" hidden="1">Test15e_Relax!$J$11</definedName>
    <definedName name="solver_rhs3" localSheetId="38" hidden="1">Test16!$J$13</definedName>
    <definedName name="solver_rhs3" localSheetId="39" hidden="1">Test16b!$J$13</definedName>
    <definedName name="solver_rhs3" localSheetId="40" hidden="1">Test17!$J$13</definedName>
    <definedName name="solver_rhs3" localSheetId="41" hidden="1">Test18!$J$11</definedName>
    <definedName name="solver_rhs3" localSheetId="42" hidden="1">Test19!$J$12</definedName>
    <definedName name="solver_rhs3" localSheetId="3" hidden="1">Test1b!$J$10</definedName>
    <definedName name="solver_rhs3" localSheetId="4" hidden="1">Test1c!$J$10</definedName>
    <definedName name="solver_rhs3" localSheetId="5" hidden="1">Test1c2!$J$10</definedName>
    <definedName name="solver_rhs3" localSheetId="6" hidden="1">Test1d!$J$10</definedName>
    <definedName name="solver_rhs3" localSheetId="7" hidden="1">Test1e!$J$10</definedName>
    <definedName name="solver_rhs3" localSheetId="8" hidden="1">Test1f!$J$10</definedName>
    <definedName name="solver_rhs3" localSheetId="9" hidden="1">Test1g!$J$10</definedName>
    <definedName name="solver_rhs3" localSheetId="10" hidden="1">Test1h!$J$10</definedName>
    <definedName name="solver_rhs3" localSheetId="11" hidden="1">Test1i!$J$11</definedName>
    <definedName name="solver_rhs3" localSheetId="12" hidden="1">Test1j!$J$11</definedName>
    <definedName name="solver_rhs3" localSheetId="13" hidden="1">Test1j2!$J$11</definedName>
    <definedName name="solver_rhs3" localSheetId="14" hidden="1">Test1k!$J$11</definedName>
    <definedName name="solver_rhs3" localSheetId="15" hidden="1">Test1l!$J$11</definedName>
    <definedName name="solver_rhs3" localSheetId="16" hidden="1">Test1m!$J$11</definedName>
    <definedName name="solver_rhs3" localSheetId="17" hidden="1">Test2!$K$10</definedName>
    <definedName name="solver_rhs3" localSheetId="43" hidden="1">Test20!$J$13</definedName>
    <definedName name="solver_rhs3" localSheetId="44" hidden="1">Test21!$J$12</definedName>
    <definedName name="solver_rhs3" localSheetId="45" hidden="1">Test22!$J$12</definedName>
    <definedName name="solver_rhs3" localSheetId="46" hidden="1">Test23!$J$12</definedName>
    <definedName name="solver_rhs3" localSheetId="47" hidden="1">Test24_IterativeCalc!$J$11</definedName>
    <definedName name="solver_rhs3" localSheetId="48" hidden="1">Test25!$J$13</definedName>
    <definedName name="solver_rhs3" localSheetId="49" hidden="1">Test26!$J$9:$J$10</definedName>
    <definedName name="solver_rhs3" localSheetId="50" hidden="1">Test27_Parameters!$J$10</definedName>
    <definedName name="solver_rhs3" localSheetId="51" hidden="1">Test28_CBCOptions!$J$19</definedName>
    <definedName name="solver_rhs3" localSheetId="52" hidden="1">Test29!$J$9</definedName>
    <definedName name="solver_rhs3" localSheetId="18" hidden="1">Test3!$K$11</definedName>
    <definedName name="solver_rhs3" localSheetId="53" hidden="1">Test30!$M$9</definedName>
    <definedName name="solver_rhs3" localSheetId="55" hidden="1">Test31!$I$9</definedName>
    <definedName name="solver_rhs3" localSheetId="56" hidden="1">Test32!$K$10:$K$11</definedName>
    <definedName name="solver_rhs3" localSheetId="57" hidden="1">Test33!$J$9</definedName>
    <definedName name="solver_rhs3" localSheetId="59" hidden="1">Test35!$H$10</definedName>
    <definedName name="solver_rhs3" localSheetId="67" hidden="1">0</definedName>
    <definedName name="solver_rhs3" localSheetId="19" hidden="1">Test4!$K$11</definedName>
    <definedName name="solver_rhs3" localSheetId="71" hidden="1">Test43!$I$7</definedName>
    <definedName name="solver_rhs3" localSheetId="73" hidden="1">Test44_Seek!$I$8</definedName>
    <definedName name="solver_rhs3" localSheetId="74" hidden="1">'Test45_SheetName(1)+2-1'!$J$10</definedName>
    <definedName name="solver_rhs3" localSheetId="20" hidden="1">Test5!$K$11</definedName>
    <definedName name="solver_rhs3" localSheetId="22" hidden="1">Test7!$J$11</definedName>
    <definedName name="solver_rhs3" localSheetId="23" hidden="1">Test8!$J$11</definedName>
    <definedName name="solver_rhs3" localSheetId="24" hidden="1">Test8B!$J$11</definedName>
    <definedName name="solver_rhs3" localSheetId="25" hidden="1">Test9A!$L$10</definedName>
    <definedName name="solver_rhs3" localSheetId="26" hidden="1">Test9B!$L$10</definedName>
    <definedName name="solver_rhs3" localSheetId="77" hidden="1">TestNewAutomodel!$D$17</definedName>
    <definedName name="solver_rhs30" localSheetId="31" hidden="1">Test13b!$J$36</definedName>
    <definedName name="solver_rhs31" localSheetId="31" hidden="1">Test13b!$J$37</definedName>
    <definedName name="solver_rhs32" localSheetId="31" hidden="1">Test13b!$J$38</definedName>
    <definedName name="solver_rhs33" localSheetId="31" hidden="1">Test13b!$J$39</definedName>
    <definedName name="solver_rhs34" localSheetId="31" hidden="1">Test13b!$J$40</definedName>
    <definedName name="solver_rhs35" localSheetId="31" hidden="1">Test13b!$J$41</definedName>
    <definedName name="solver_rhs36" localSheetId="31" hidden="1">Test13b!$J$42</definedName>
    <definedName name="solver_rhs37" localSheetId="31" hidden="1">Test13b!$J$43</definedName>
    <definedName name="solver_rhs38" localSheetId="31" hidden="1">Test13b!$J$44</definedName>
    <definedName name="solver_rhs39" localSheetId="31" hidden="1">Test13b!$J$45</definedName>
    <definedName name="solver_rhs4" localSheetId="76" hidden="1">12</definedName>
    <definedName name="solver_rhs4" localSheetId="21" hidden="1">'Test!6'!$J$12</definedName>
    <definedName name="solver_rhs4" localSheetId="2" hidden="1">Test1!$J$8:$J$9</definedName>
    <definedName name="solver_rhs4" localSheetId="27" hidden="1">Test10!$J$11</definedName>
    <definedName name="solver_rhs4" localSheetId="28" hidden="1">Test11!$L$44</definedName>
    <definedName name="solver_rhs4" localSheetId="31" hidden="1">Test13b!$J$10</definedName>
    <definedName name="solver_rhs4" localSheetId="32" hidden="1">Test14!$J$13</definedName>
    <definedName name="solver_rhs4" localSheetId="33" hidden="1">Test15!$D$6:$F$6</definedName>
    <definedName name="solver_rhs4" localSheetId="34" hidden="1">Test15b!$J$12</definedName>
    <definedName name="solver_rhs4" localSheetId="35" hidden="1">Test15c!$J$12</definedName>
    <definedName name="solver_rhs4" localSheetId="36" hidden="1">Test15d!$J$11</definedName>
    <definedName name="solver_rhs4" localSheetId="37" hidden="1">Test15e_Relax!$E$7</definedName>
    <definedName name="solver_rhs4" localSheetId="38" hidden="1">Test16!$J$14</definedName>
    <definedName name="solver_rhs4" localSheetId="39" hidden="1">Test16b!$J$14</definedName>
    <definedName name="solver_rhs4" localSheetId="40" hidden="1">Test17!$J$14</definedName>
    <definedName name="solver_rhs4" localSheetId="41" hidden="1">Test18!$J$12</definedName>
    <definedName name="solver_rhs4" localSheetId="42" hidden="1">Test19!$J$13</definedName>
    <definedName name="solver_rhs4" localSheetId="3" hidden="1">Test1b!$J$11</definedName>
    <definedName name="solver_rhs4" localSheetId="4" hidden="1">Test1c!$J$11</definedName>
    <definedName name="solver_rhs4" localSheetId="5" hidden="1">Test1c2!$J$11</definedName>
    <definedName name="solver_rhs4" localSheetId="6" hidden="1">Test1d!$J$11</definedName>
    <definedName name="solver_rhs4" localSheetId="7" hidden="1">Test1e!$J$11</definedName>
    <definedName name="solver_rhs4" localSheetId="8" hidden="1">Test1f!$J$11</definedName>
    <definedName name="solver_rhs4" localSheetId="9" hidden="1">Test1g!$J$11</definedName>
    <definedName name="solver_rhs4" localSheetId="10" hidden="1">Test1h!$J$11</definedName>
    <definedName name="solver_rhs4" localSheetId="11" hidden="1">Test1i!$J$12</definedName>
    <definedName name="solver_rhs4" localSheetId="12" hidden="1">Test1j!$J$12</definedName>
    <definedName name="solver_rhs4" localSheetId="13" hidden="1">Test1j2!$J$12</definedName>
    <definedName name="solver_rhs4" localSheetId="14" hidden="1">Test1k!$J$12</definedName>
    <definedName name="solver_rhs4" localSheetId="15" hidden="1">Test1l!$J$12</definedName>
    <definedName name="solver_rhs4" localSheetId="16" hidden="1">Test1m!$J$12</definedName>
    <definedName name="solver_rhs4" localSheetId="17" hidden="1">binary</definedName>
    <definedName name="solver_rhs4" localSheetId="43" hidden="1">Test20!$D$7:$F$7</definedName>
    <definedName name="solver_rhs4" localSheetId="44" hidden="1">Test21!$J$13</definedName>
    <definedName name="solver_rhs4" localSheetId="45" hidden="1">Test22!$J$13</definedName>
    <definedName name="solver_rhs4" localSheetId="46" hidden="1">Test23!$J$13</definedName>
    <definedName name="solver_rhs4" localSheetId="47" hidden="1">Test24_IterativeCalc!$J$12</definedName>
    <definedName name="solver_rhs4" localSheetId="49" hidden="1">Test26!$J$12</definedName>
    <definedName name="solver_rhs4" localSheetId="50" hidden="1">integer</definedName>
    <definedName name="solver_rhs4" localSheetId="51" hidden="1">Test28_CBCOptions!$J$20</definedName>
    <definedName name="solver_rhs4" localSheetId="52" hidden="1">Test29!$J$10:$J$11</definedName>
    <definedName name="solver_rhs4" localSheetId="18" hidden="1">Test3!$Q$7:$R$7</definedName>
    <definedName name="solver_rhs4" localSheetId="55" hidden="1">integer</definedName>
    <definedName name="solver_rhs4" localSheetId="56" hidden="1">Test32!$K$9</definedName>
    <definedName name="solver_rhs4" localSheetId="57" hidden="1">Test33!$J$12</definedName>
    <definedName name="solver_rhs4" localSheetId="59" hidden="1">Test35!$H$11</definedName>
    <definedName name="solver_rhs4" localSheetId="19" hidden="1">binary</definedName>
    <definedName name="solver_rhs4" localSheetId="71" hidden="1">Test43!$I$9</definedName>
    <definedName name="solver_rhs4" localSheetId="73" hidden="1">Test44_Seek!$I$9</definedName>
    <definedName name="solver_rhs4" localSheetId="74" hidden="1">'Test45_SheetName(1)+2-1'!$J$11</definedName>
    <definedName name="solver_rhs4" localSheetId="20" hidden="1">binary</definedName>
    <definedName name="solver_rhs4" localSheetId="22" hidden="1">Test7!$J$12</definedName>
    <definedName name="solver_rhs4" localSheetId="23" hidden="1">Test8!$J$12</definedName>
    <definedName name="solver_rhs4" localSheetId="24" hidden="1">Test8B!$J$12</definedName>
    <definedName name="solver_rhs4" localSheetId="25" hidden="1">Test9A!$L$11</definedName>
    <definedName name="solver_rhs4" localSheetId="26" hidden="1">Test9B!$L$11</definedName>
    <definedName name="solver_rhs4" localSheetId="77" hidden="1">TestNewAutomodel!$D$35</definedName>
    <definedName name="solver_rhs40" localSheetId="31" hidden="1">Test13b!$J$46</definedName>
    <definedName name="solver_rhs41" localSheetId="31" hidden="1">Test13b!$J$47</definedName>
    <definedName name="solver_rhs42" localSheetId="31" hidden="1">Test13b!$J$48</definedName>
    <definedName name="solver_rhs43" localSheetId="31" hidden="1">Test13b!$J$49</definedName>
    <definedName name="solver_rhs44" localSheetId="31" hidden="1">Test13b!$J$50</definedName>
    <definedName name="solver_rhs45" localSheetId="31" hidden="1">Test13b!$J$51</definedName>
    <definedName name="solver_rhs46" localSheetId="31" hidden="1">Test13b!$J$52</definedName>
    <definedName name="solver_rhs47" localSheetId="31" hidden="1">Test13b!$J$53</definedName>
    <definedName name="solver_rhs48" localSheetId="31" hidden="1">Test13b!$J$54</definedName>
    <definedName name="solver_rhs49" localSheetId="31" hidden="1">Test13b!$J$55</definedName>
    <definedName name="solver_rhs5" localSheetId="76" hidden="1">HighlightingExample!$N$12</definedName>
    <definedName name="solver_rhs5" localSheetId="21" hidden="1">2</definedName>
    <definedName name="solver_rhs5" localSheetId="2" hidden="1">2</definedName>
    <definedName name="solver_rhs5" localSheetId="27" hidden="1">2</definedName>
    <definedName name="solver_rhs5" localSheetId="28" hidden="1">integer</definedName>
    <definedName name="solver_rhs5" localSheetId="31" hidden="1">Test13b!$J$11</definedName>
    <definedName name="solver_rhs5" localSheetId="32" hidden="1">2</definedName>
    <definedName name="solver_rhs5" localSheetId="33" hidden="1">2</definedName>
    <definedName name="solver_rhs5" localSheetId="34" hidden="1">2</definedName>
    <definedName name="solver_rhs5" localSheetId="35" hidden="1">Test15c!$J$13</definedName>
    <definedName name="solver_rhs5" localSheetId="36" hidden="1">Test15d!$J$12</definedName>
    <definedName name="solver_rhs5" localSheetId="37" hidden="1">binary</definedName>
    <definedName name="solver_rhs5" localSheetId="38" hidden="1">2</definedName>
    <definedName name="solver_rhs5" localSheetId="39" hidden="1">2</definedName>
    <definedName name="solver_rhs5" localSheetId="40" hidden="1">2</definedName>
    <definedName name="solver_rhs5" localSheetId="41" hidden="1">2</definedName>
    <definedName name="solver_rhs5" localSheetId="42" hidden="1">2</definedName>
    <definedName name="solver_rhs5" localSheetId="3" hidden="1">2</definedName>
    <definedName name="solver_rhs5" localSheetId="4" hidden="1">2</definedName>
    <definedName name="solver_rhs5" localSheetId="5" hidden="1">2</definedName>
    <definedName name="solver_rhs5" localSheetId="6" hidden="1">2</definedName>
    <definedName name="solver_rhs5" localSheetId="7" hidden="1">2</definedName>
    <definedName name="solver_rhs5" localSheetId="8" hidden="1">2</definedName>
    <definedName name="solver_rhs5" localSheetId="9" hidden="1">2</definedName>
    <definedName name="solver_rhs5" localSheetId="10" hidden="1">2</definedName>
    <definedName name="solver_rhs5" localSheetId="11" hidden="1">2</definedName>
    <definedName name="solver_rhs5" localSheetId="12" hidden="1">2</definedName>
    <definedName name="solver_rhs5" localSheetId="13" hidden="1">2</definedName>
    <definedName name="solver_rhs5" localSheetId="14" hidden="1">2</definedName>
    <definedName name="solver_rhs5" localSheetId="15" hidden="1">Test1l!$J$10</definedName>
    <definedName name="solver_rhs5" localSheetId="16" hidden="1">Test1m!$J$10</definedName>
    <definedName name="solver_rhs5" localSheetId="17" hidden="1">integer</definedName>
    <definedName name="solver_rhs5" localSheetId="43" hidden="1">2</definedName>
    <definedName name="solver_rhs5" localSheetId="44" hidden="1">2</definedName>
    <definedName name="solver_rhs5" localSheetId="45" hidden="1">2</definedName>
    <definedName name="solver_rhs5" localSheetId="46" hidden="1">2</definedName>
    <definedName name="solver_rhs5" localSheetId="47" hidden="1">2</definedName>
    <definedName name="solver_rhs5" localSheetId="49" hidden="1">2</definedName>
    <definedName name="solver_rhs5" localSheetId="50" hidden="1">Test27_Parameters!$J$11</definedName>
    <definedName name="solver_rhs5" localSheetId="52" hidden="1">3</definedName>
    <definedName name="solver_rhs5" localSheetId="18" hidden="1">Test3!$K$10</definedName>
    <definedName name="solver_rhs5" localSheetId="57" hidden="1">6</definedName>
    <definedName name="solver_rhs5" localSheetId="59" hidden="1">Test35!$H$12:$H$17</definedName>
    <definedName name="solver_rhs5" localSheetId="19" hidden="1">integer</definedName>
    <definedName name="solver_rhs5" localSheetId="74" hidden="1">2</definedName>
    <definedName name="solver_rhs5" localSheetId="20" hidden="1">integer</definedName>
    <definedName name="solver_rhs5" localSheetId="22" hidden="1">2</definedName>
    <definedName name="solver_rhs5" localSheetId="23" hidden="1">2</definedName>
    <definedName name="solver_rhs5" localSheetId="24" hidden="1">2</definedName>
    <definedName name="solver_rhs5" localSheetId="25" hidden="1">2</definedName>
    <definedName name="solver_rhs5" localSheetId="26" hidden="1">2</definedName>
    <definedName name="solver_rhs5" localSheetId="77" hidden="1">integer</definedName>
    <definedName name="solver_rhs50" localSheetId="31" hidden="1">Test13b!$J$56</definedName>
    <definedName name="solver_rhs51" localSheetId="31" hidden="1">Test13b!$J$57</definedName>
    <definedName name="solver_rhs52" localSheetId="31" hidden="1">Test13b!$J$58</definedName>
    <definedName name="solver_rhs53" localSheetId="31" hidden="1">Test13b!$J$59</definedName>
    <definedName name="solver_rhs54" localSheetId="31" hidden="1">Test13b!$J$60</definedName>
    <definedName name="solver_rhs55" localSheetId="31" hidden="1">Test13b!$J$61</definedName>
    <definedName name="solver_rhs56" localSheetId="31" hidden="1">Test13b!$J$62</definedName>
    <definedName name="solver_rhs57" localSheetId="31" hidden="1">Test13b!$J$63</definedName>
    <definedName name="solver_rhs58" localSheetId="31" hidden="1">Test13b!$J$64</definedName>
    <definedName name="solver_rhs59" localSheetId="31" hidden="1">Test13b!$J$65</definedName>
    <definedName name="solver_rhs6" localSheetId="76" hidden="1">HighlightingExample!$L$12</definedName>
    <definedName name="solver_rhs6" localSheetId="21" hidden="1">binary</definedName>
    <definedName name="solver_rhs6" localSheetId="2" hidden="1">binary</definedName>
    <definedName name="solver_rhs6" localSheetId="27" hidden="1">binary</definedName>
    <definedName name="solver_rhs6" localSheetId="31" hidden="1">Test13b!$J$12</definedName>
    <definedName name="solver_rhs6" localSheetId="32" hidden="1">Test14!$D$6:$E$6</definedName>
    <definedName name="solver_rhs6" localSheetId="33" hidden="1">Test15!$D$6:$F$6</definedName>
    <definedName name="solver_rhs6" localSheetId="34" hidden="1">Test15b!$D$6:$F$6</definedName>
    <definedName name="solver_rhs6" localSheetId="35" hidden="1">binary</definedName>
    <definedName name="solver_rhs6" localSheetId="36" hidden="1">Test15d!$J$13</definedName>
    <definedName name="solver_rhs6" localSheetId="37" hidden="1">integer</definedName>
    <definedName name="solver_rhs6" localSheetId="38" hidden="1">Test16!$D$8:$F$8</definedName>
    <definedName name="solver_rhs6" localSheetId="39" hidden="1">Test16b!$D$8:$F$8</definedName>
    <definedName name="solver_rhs6" localSheetId="40" hidden="1">Test17!$D$8:$F$8</definedName>
    <definedName name="solver_rhs6" localSheetId="41" hidden="1">Test18!$D$6:$F$6</definedName>
    <definedName name="solver_rhs6" localSheetId="42" hidden="1">Test19!$D$7:$F$7</definedName>
    <definedName name="solver_rhs6" localSheetId="3" hidden="1">binary</definedName>
    <definedName name="solver_rhs6" localSheetId="4" hidden="1">binary</definedName>
    <definedName name="solver_rhs6" localSheetId="5" hidden="1">binary</definedName>
    <definedName name="solver_rhs6" localSheetId="6" hidden="1">binary</definedName>
    <definedName name="solver_rhs6" localSheetId="7" hidden="1">binary</definedName>
    <definedName name="solver_rhs6" localSheetId="8" hidden="1">binary</definedName>
    <definedName name="solver_rhs6" localSheetId="9" hidden="1">binary</definedName>
    <definedName name="solver_rhs6" localSheetId="10" hidden="1">binary</definedName>
    <definedName name="solver_rhs6" localSheetId="11" hidden="1">binary</definedName>
    <definedName name="solver_rhs6" localSheetId="12" hidden="1">binary</definedName>
    <definedName name="solver_rhs6" localSheetId="13" hidden="1">binary</definedName>
    <definedName name="solver_rhs6" localSheetId="14" hidden="1">binary</definedName>
    <definedName name="solver_rhs6" localSheetId="15" hidden="1">binary</definedName>
    <definedName name="solver_rhs6" localSheetId="16" hidden="1">binary</definedName>
    <definedName name="solver_rhs6" localSheetId="17" hidden="1">Test2!$K$11</definedName>
    <definedName name="solver_rhs6" localSheetId="43" hidden="1">Test20!$D$7:$F$7</definedName>
    <definedName name="solver_rhs6" localSheetId="44" hidden="1">Test21!$D$7:$F$7</definedName>
    <definedName name="solver_rhs6" localSheetId="45" hidden="1">Test22!$D$7:$F$7</definedName>
    <definedName name="solver_rhs6" localSheetId="46" hidden="1">Test23!$D$7:$F$7</definedName>
    <definedName name="solver_rhs6" localSheetId="47" hidden="1">binary</definedName>
    <definedName name="solver_rhs6" localSheetId="49" hidden="1">binary</definedName>
    <definedName name="solver_rhs6" localSheetId="50" hidden="1">binary</definedName>
    <definedName name="solver_rhs6" localSheetId="52" hidden="1">12</definedName>
    <definedName name="solver_rhs6" localSheetId="18" hidden="1">integer</definedName>
    <definedName name="solver_rhs6" localSheetId="57" hidden="1">8</definedName>
    <definedName name="solver_rhs6" localSheetId="59" hidden="1">Test35!$H$18</definedName>
    <definedName name="solver_rhs6" localSheetId="19" hidden="1">Test4!$K$12</definedName>
    <definedName name="solver_rhs6" localSheetId="74" hidden="1">binary</definedName>
    <definedName name="solver_rhs6" localSheetId="20" hidden="1">Test5!$K$12</definedName>
    <definedName name="solver_rhs6" localSheetId="22" hidden="1">binary</definedName>
    <definedName name="solver_rhs6" localSheetId="23" hidden="1">binary</definedName>
    <definedName name="solver_rhs6" localSheetId="24" hidden="1">binary</definedName>
    <definedName name="solver_rhs6" localSheetId="25" hidden="1">binary</definedName>
    <definedName name="solver_rhs6" localSheetId="26" hidden="1">binary</definedName>
    <definedName name="solver_rhs6" localSheetId="77" hidden="1">integer</definedName>
    <definedName name="solver_rhs60" localSheetId="31" hidden="1">Test13b!$J$66</definedName>
    <definedName name="solver_rhs61" localSheetId="31" hidden="1">Test13b!$J$67</definedName>
    <definedName name="solver_rhs62" localSheetId="31" hidden="1">Test13b!$J$68</definedName>
    <definedName name="solver_rhs63" localSheetId="31" hidden="1">Test13b!$J$69</definedName>
    <definedName name="solver_rhs64" localSheetId="31" hidden="1">Test13b!$J$70</definedName>
    <definedName name="solver_rhs65" localSheetId="31" hidden="1">Test13b!$J$71</definedName>
    <definedName name="solver_rhs66" localSheetId="31" hidden="1">Test13b!$J$72</definedName>
    <definedName name="solver_rhs67" localSheetId="31" hidden="1">Test13b!$J$73</definedName>
    <definedName name="solver_rhs68" localSheetId="31" hidden="1">Test13b!$J$74</definedName>
    <definedName name="solver_rhs69" localSheetId="31" hidden="1">Test13b!$J$75</definedName>
    <definedName name="solver_rhs7" localSheetId="76" hidden="1">2</definedName>
    <definedName name="solver_rhs7" localSheetId="21" hidden="1">integer</definedName>
    <definedName name="solver_rhs7" localSheetId="2" hidden="1">integer</definedName>
    <definedName name="solver_rhs7" localSheetId="27" hidden="1">integer</definedName>
    <definedName name="solver_rhs7" localSheetId="31" hidden="1">Test13b!$J$13</definedName>
    <definedName name="solver_rhs7" localSheetId="32" hidden="1">integer</definedName>
    <definedName name="solver_rhs7" localSheetId="33" hidden="1">integer</definedName>
    <definedName name="solver_rhs7" localSheetId="34" hidden="1">integer</definedName>
    <definedName name="solver_rhs7" localSheetId="35" hidden="1">integer</definedName>
    <definedName name="solver_rhs7" localSheetId="36" hidden="1">integer</definedName>
    <definedName name="solver_rhs7" localSheetId="37" hidden="1">integer</definedName>
    <definedName name="solver_rhs7" localSheetId="38" hidden="1">integer</definedName>
    <definedName name="solver_rhs7" localSheetId="39" hidden="1">integer</definedName>
    <definedName name="solver_rhs7" localSheetId="40" hidden="1">integer</definedName>
    <definedName name="solver_rhs7" localSheetId="41" hidden="1">integer</definedName>
    <definedName name="solver_rhs7" localSheetId="42" hidden="1">integer</definedName>
    <definedName name="solver_rhs7" localSheetId="3" hidden="1">integer</definedName>
    <definedName name="solver_rhs7" localSheetId="4" hidden="1">integer</definedName>
    <definedName name="solver_rhs7" localSheetId="5" hidden="1">integer</definedName>
    <definedName name="solver_rhs7" localSheetId="6" hidden="1">integer</definedName>
    <definedName name="solver_rhs7" localSheetId="7" hidden="1">integer</definedName>
    <definedName name="solver_rhs7" localSheetId="8" hidden="1">integer</definedName>
    <definedName name="solver_rhs7" localSheetId="9" hidden="1">integer</definedName>
    <definedName name="solver_rhs7" localSheetId="10" hidden="1">integer</definedName>
    <definedName name="solver_rhs7" localSheetId="11" hidden="1">integer</definedName>
    <definedName name="solver_rhs7" localSheetId="12" hidden="1">integer</definedName>
    <definedName name="solver_rhs7" localSheetId="13" hidden="1">integer</definedName>
    <definedName name="solver_rhs7" localSheetId="14" hidden="1">integer</definedName>
    <definedName name="solver_rhs7" localSheetId="15" hidden="1">integer</definedName>
    <definedName name="solver_rhs7" localSheetId="16" hidden="1">integer</definedName>
    <definedName name="solver_rhs7" localSheetId="17" hidden="1">integer</definedName>
    <definedName name="solver_rhs7" localSheetId="43" hidden="1">integer</definedName>
    <definedName name="solver_rhs7" localSheetId="44" hidden="1">integer</definedName>
    <definedName name="solver_rhs7" localSheetId="45" hidden="1">integer</definedName>
    <definedName name="solver_rhs7" localSheetId="46" hidden="1">integer</definedName>
    <definedName name="solver_rhs7" localSheetId="47" hidden="1">integer</definedName>
    <definedName name="solver_rhs7" localSheetId="49" hidden="1">integer</definedName>
    <definedName name="solver_rhs7" localSheetId="50" hidden="1">integer</definedName>
    <definedName name="solver_rhs7" localSheetId="52" hidden="1">integer</definedName>
    <definedName name="solver_rhs7" localSheetId="18" hidden="1">binary</definedName>
    <definedName name="solver_rhs7" localSheetId="57" hidden="1">5</definedName>
    <definedName name="solver_rhs7" localSheetId="19" hidden="1">Test4!$U$4:$U$5</definedName>
    <definedName name="solver_rhs7" localSheetId="74" hidden="1">integer</definedName>
    <definedName name="solver_rhs7" localSheetId="20" hidden="1">Test5!$U$4:$U$5</definedName>
    <definedName name="solver_rhs7" localSheetId="22" hidden="1">integer</definedName>
    <definedName name="solver_rhs7" localSheetId="23" hidden="1">integer</definedName>
    <definedName name="solver_rhs7" localSheetId="24" hidden="1">integer</definedName>
    <definedName name="solver_rhs7" localSheetId="25" hidden="1">integer</definedName>
    <definedName name="solver_rhs7" localSheetId="26" hidden="1">integer</definedName>
    <definedName name="solver_rhs7" localSheetId="77" hidden="1">integer</definedName>
    <definedName name="solver_rhs70" localSheetId="31" hidden="1">Test13b!$J$76</definedName>
    <definedName name="solver_rhs71" localSheetId="31" hidden="1">Test13b!$J$77</definedName>
    <definedName name="solver_rhs72" localSheetId="31" hidden="1">Test13b!$J$78</definedName>
    <definedName name="solver_rhs73" localSheetId="31" hidden="1">Test13b!$J$79</definedName>
    <definedName name="solver_rhs74" localSheetId="31" hidden="1">Test13b!$J$80</definedName>
    <definedName name="solver_rhs75" localSheetId="31" hidden="1">Test13b!$J$81</definedName>
    <definedName name="solver_rhs76" localSheetId="31" hidden="1">Test13b!$J$82</definedName>
    <definedName name="solver_rhs77" localSheetId="31" hidden="1">Test13b!$J$83</definedName>
    <definedName name="solver_rhs78" localSheetId="31" hidden="1">Test13b!$J$84</definedName>
    <definedName name="solver_rhs79" localSheetId="31" hidden="1">Test13b!$J$85</definedName>
    <definedName name="solver_rhs8" localSheetId="76" hidden="1">HighlightingExample!$L$10:$N$10</definedName>
    <definedName name="solver_rhs8" localSheetId="21" hidden="1">binary</definedName>
    <definedName name="solver_rhs8" localSheetId="2" hidden="1">binary</definedName>
    <definedName name="solver_rhs8" localSheetId="27" hidden="1">binary</definedName>
    <definedName name="solver_rhs8" localSheetId="31" hidden="1">Test13b!$J$14</definedName>
    <definedName name="solver_rhs8" localSheetId="32" hidden="1">binary</definedName>
    <definedName name="solver_rhs8" localSheetId="33" hidden="1">binary</definedName>
    <definedName name="solver_rhs8" localSheetId="34" hidden="1">binary</definedName>
    <definedName name="solver_rhs8" localSheetId="35" hidden="1">binary</definedName>
    <definedName name="solver_rhs8" localSheetId="36" hidden="1">binary</definedName>
    <definedName name="solver_rhs8" localSheetId="37" hidden="1">binary</definedName>
    <definedName name="solver_rhs8" localSheetId="38" hidden="1">binary</definedName>
    <definedName name="solver_rhs8" localSheetId="39" hidden="1">binary</definedName>
    <definedName name="solver_rhs8" localSheetId="40" hidden="1">binary</definedName>
    <definedName name="solver_rhs8" localSheetId="41" hidden="1">binary</definedName>
    <definedName name="solver_rhs8" localSheetId="42" hidden="1">binary</definedName>
    <definedName name="solver_rhs8" localSheetId="3" hidden="1">binary</definedName>
    <definedName name="solver_rhs8" localSheetId="4" hidden="1">binary</definedName>
    <definedName name="solver_rhs8" localSheetId="5" hidden="1">binary</definedName>
    <definedName name="solver_rhs8" localSheetId="6" hidden="1">binary</definedName>
    <definedName name="solver_rhs8" localSheetId="7" hidden="1">binary</definedName>
    <definedName name="solver_rhs8" localSheetId="8" hidden="1">binary</definedName>
    <definedName name="solver_rhs8" localSheetId="9" hidden="1">binary</definedName>
    <definedName name="solver_rhs8" localSheetId="10" hidden="1">binary</definedName>
    <definedName name="solver_rhs8" localSheetId="11" hidden="1">binary</definedName>
    <definedName name="solver_rhs8" localSheetId="12" hidden="1">binary</definedName>
    <definedName name="solver_rhs8" localSheetId="13" hidden="1">binary</definedName>
    <definedName name="solver_rhs8" localSheetId="14" hidden="1">binary</definedName>
    <definedName name="solver_rhs8" localSheetId="15" hidden="1">binary</definedName>
    <definedName name="solver_rhs8" localSheetId="16" hidden="1">binary</definedName>
    <definedName name="solver_rhs8" localSheetId="17" hidden="1">binary</definedName>
    <definedName name="solver_rhs8" localSheetId="43" hidden="1">binary</definedName>
    <definedName name="solver_rhs8" localSheetId="44" hidden="1">binary</definedName>
    <definedName name="solver_rhs8" localSheetId="45" hidden="1">binary</definedName>
    <definedName name="solver_rhs8" localSheetId="46" hidden="1">binary</definedName>
    <definedName name="solver_rhs8" localSheetId="47" hidden="1">binary</definedName>
    <definedName name="solver_rhs8" localSheetId="49" hidden="1">binary</definedName>
    <definedName name="solver_rhs8" localSheetId="50" hidden="1">binary</definedName>
    <definedName name="solver_rhs8" localSheetId="52" hidden="1">4</definedName>
    <definedName name="solver_rhs8" localSheetId="18" hidden="1">binary</definedName>
    <definedName name="solver_rhs8" localSheetId="57" hidden="1">4</definedName>
    <definedName name="solver_rhs8" localSheetId="19" hidden="1">Test4!$Q$8:$R$8</definedName>
    <definedName name="solver_rhs8" localSheetId="74" hidden="1">binary</definedName>
    <definedName name="solver_rhs8" localSheetId="20" hidden="1">Test5!$Q$8:$R$8</definedName>
    <definedName name="solver_rhs8" localSheetId="22" hidden="1">binary</definedName>
    <definedName name="solver_rhs8" localSheetId="23" hidden="1">binary</definedName>
    <definedName name="solver_rhs8" localSheetId="24" hidden="1">binary</definedName>
    <definedName name="solver_rhs8" localSheetId="25" hidden="1">binary</definedName>
    <definedName name="solver_rhs8" localSheetId="26" hidden="1">binary</definedName>
    <definedName name="solver_rhs80" localSheetId="31" hidden="1">Test13b!$J$86</definedName>
    <definedName name="solver_rhs81" localSheetId="31" hidden="1">Test13b!$J$87</definedName>
    <definedName name="solver_rhs82" localSheetId="31" hidden="1">Test13b!$J$88</definedName>
    <definedName name="solver_rhs83" localSheetId="31" hidden="1">Test13b!$J$89</definedName>
    <definedName name="solver_rhs84" localSheetId="31" hidden="1">Test13b!$J$90</definedName>
    <definedName name="solver_rhs85" localSheetId="31" hidden="1">Test13b!$J$91</definedName>
    <definedName name="solver_rhs86" localSheetId="31" hidden="1">Test13b!$J$92</definedName>
    <definedName name="solver_rhs87" localSheetId="31" hidden="1">Test13b!$J$93</definedName>
    <definedName name="solver_rhs88" localSheetId="31" hidden="1">Test13b!$J$94</definedName>
    <definedName name="solver_rhs89" localSheetId="31" hidden="1">Test13b!$J$95</definedName>
    <definedName name="solver_rhs9" localSheetId="76" hidden="1">HighlightingExample!#REF!</definedName>
    <definedName name="solver_rhs9" localSheetId="31" hidden="1">Test13b!$J$15</definedName>
    <definedName name="solver_rhs9" localSheetId="52" hidden="1">Test29!$J$9</definedName>
    <definedName name="solver_rhs9" localSheetId="57" hidden="1">4</definedName>
    <definedName name="solver_rhs9" localSheetId="19" hidden="1">Test4!$I$11/4+Test4!$B$3</definedName>
    <definedName name="solver_rhs9" localSheetId="20" hidden="1">Test5!$I$11/4+Test5!$B$3</definedName>
    <definedName name="solver_rhs90" localSheetId="31" hidden="1">Test13b!$J$96</definedName>
    <definedName name="solver_rhs91" localSheetId="31" hidden="1">Test13b!$J$97</definedName>
    <definedName name="solver_rhs92" localSheetId="31" hidden="1">Test13b!$J$98</definedName>
    <definedName name="solver_rhs93" localSheetId="31" hidden="1">Test13b!$J$99</definedName>
    <definedName name="solver_rhs94" localSheetId="31" hidden="1">Test13b!$J$100</definedName>
    <definedName name="solver_rhs95" localSheetId="31" hidden="1">Test13b!$J$101</definedName>
    <definedName name="solver_rhs96" localSheetId="31" hidden="1">Test13b!$J$102</definedName>
    <definedName name="solver_rhs97" localSheetId="31" hidden="1">Test13b!$J$103</definedName>
    <definedName name="solver_rhs98" localSheetId="31" hidden="1">Test13b!$J$104</definedName>
    <definedName name="solver_rhs99" localSheetId="31" hidden="1">Test13b!$J$105</definedName>
    <definedName name="solver_rlx" localSheetId="1" hidden="1">2</definedName>
    <definedName name="solver_rlx" localSheetId="21" hidden="1">2</definedName>
    <definedName name="solver_rlx" localSheetId="2" hidden="1">2</definedName>
    <definedName name="solver_rlx" localSheetId="34" hidden="1">2</definedName>
    <definedName name="solver_rlx" localSheetId="35" hidden="1">2</definedName>
    <definedName name="solver_rlx" localSheetId="36" hidden="1">2</definedName>
    <definedName name="solver_rlx" localSheetId="37" hidden="1">1</definedName>
    <definedName name="solver_rlx" localSheetId="38" hidden="1">2</definedName>
    <definedName name="solver_rlx" localSheetId="39" hidden="1">2</definedName>
    <definedName name="solver_rlx" localSheetId="40" hidden="1">2</definedName>
    <definedName name="solver_rlx" localSheetId="41" hidden="1">2</definedName>
    <definedName name="solver_rlx" localSheetId="42" hidden="1">2</definedName>
    <definedName name="solver_rlx" localSheetId="44" hidden="1">2</definedName>
    <definedName name="solver_rlx" localSheetId="45" hidden="1">2</definedName>
    <definedName name="solver_rlx" localSheetId="46" hidden="1">2</definedName>
    <definedName name="solver_rlx" localSheetId="59" hidden="1">2</definedName>
    <definedName name="solver_rlx" localSheetId="65" hidden="1">2</definedName>
    <definedName name="solver_rlx" localSheetId="67" hidden="1">2</definedName>
    <definedName name="solver_rlx" localSheetId="68" hidden="1">2</definedName>
    <definedName name="solver_rlx" localSheetId="69" hidden="1">2</definedName>
    <definedName name="solver_rlx" localSheetId="74" hidden="1">2</definedName>
    <definedName name="solver_rsd" localSheetId="2" hidden="1">0</definedName>
    <definedName name="solver_rsd" localSheetId="34" hidden="1">0</definedName>
    <definedName name="solver_rsd" localSheetId="35" hidden="1">0</definedName>
    <definedName name="solver_rsd" localSheetId="36" hidden="1">0</definedName>
    <definedName name="solver_rsd" localSheetId="37" hidden="1">0</definedName>
    <definedName name="solver_rsd" localSheetId="38" hidden="1">0</definedName>
    <definedName name="solver_rsd" localSheetId="39" hidden="1">0</definedName>
    <definedName name="solver_rsd" localSheetId="40" hidden="1">0</definedName>
    <definedName name="solver_rsd" localSheetId="41" hidden="1">0</definedName>
    <definedName name="solver_rsd" localSheetId="42" hidden="1">0</definedName>
    <definedName name="solver_rsd" localSheetId="44" hidden="1">0</definedName>
    <definedName name="solver_rsd" localSheetId="45" hidden="1">0</definedName>
    <definedName name="solver_rsd" localSheetId="46" hidden="1">0</definedName>
    <definedName name="solver_rsd" localSheetId="59" hidden="1">0</definedName>
    <definedName name="solver_rsd" localSheetId="68" hidden="1">0</definedName>
    <definedName name="solver_rsd" localSheetId="69" hidden="1">0</definedName>
    <definedName name="solver_scl" localSheetId="76" hidden="1">2</definedName>
    <definedName name="solver_scl" localSheetId="1" hidden="1">2</definedName>
    <definedName name="solver_scl" localSheetId="21" hidden="1">2</definedName>
    <definedName name="solver_scl" localSheetId="2" hidden="1">2</definedName>
    <definedName name="solver_scl" localSheetId="27" hidden="1">2</definedName>
    <definedName name="solver_scl" localSheetId="28" hidden="1">2</definedName>
    <definedName name="solver_scl" localSheetId="29" hidden="1">2</definedName>
    <definedName name="solver_scl" localSheetId="30" hidden="1">2</definedName>
    <definedName name="solver_scl" localSheetId="31" hidden="1">2</definedName>
    <definedName name="solver_scl" localSheetId="32" hidden="1">2</definedName>
    <definedName name="solver_scl" localSheetId="33" hidden="1">2</definedName>
    <definedName name="solver_scl" localSheetId="34" hidden="1">2</definedName>
    <definedName name="solver_scl" localSheetId="35" hidden="1">2</definedName>
    <definedName name="solver_scl" localSheetId="36" hidden="1">2</definedName>
    <definedName name="solver_scl" localSheetId="37" hidden="1">2</definedName>
    <definedName name="solver_scl" localSheetId="38" hidden="1">2</definedName>
    <definedName name="solver_scl" localSheetId="39" hidden="1">2</definedName>
    <definedName name="solver_scl" localSheetId="40" hidden="1">2</definedName>
    <definedName name="solver_scl" localSheetId="41" hidden="1">2</definedName>
    <definedName name="solver_scl" localSheetId="42" hidden="1">2</definedName>
    <definedName name="solver_scl" localSheetId="3" hidden="1">2</definedName>
    <definedName name="solver_scl" localSheetId="4" hidden="1">2</definedName>
    <definedName name="solver_scl" localSheetId="5" hidden="1">2</definedName>
    <definedName name="solver_scl" localSheetId="6" hidden="1">2</definedName>
    <definedName name="solver_scl" localSheetId="7" hidden="1">2</definedName>
    <definedName name="solver_scl" localSheetId="8" hidden="1">2</definedName>
    <definedName name="solver_scl" localSheetId="9" hidden="1">2</definedName>
    <definedName name="solver_scl" localSheetId="10" hidden="1">2</definedName>
    <definedName name="solver_scl" localSheetId="11" hidden="1">2</definedName>
    <definedName name="solver_scl" localSheetId="12" hidden="1">2</definedName>
    <definedName name="solver_scl" localSheetId="13" hidden="1">2</definedName>
    <definedName name="solver_scl" localSheetId="14" hidden="1">2</definedName>
    <definedName name="solver_scl" localSheetId="15" hidden="1">2</definedName>
    <definedName name="solver_scl" localSheetId="16" hidden="1">2</definedName>
    <definedName name="solver_scl" localSheetId="17" hidden="1">2</definedName>
    <definedName name="solver_scl" localSheetId="43" hidden="1">2</definedName>
    <definedName name="solver_scl" localSheetId="44" hidden="1">2</definedName>
    <definedName name="solver_scl" localSheetId="45" hidden="1">2</definedName>
    <definedName name="solver_scl" localSheetId="46" hidden="1">2</definedName>
    <definedName name="solver_scl" localSheetId="47" hidden="1">2</definedName>
    <definedName name="solver_scl" localSheetId="48" hidden="1">2</definedName>
    <definedName name="solver_scl" localSheetId="49" hidden="1">2</definedName>
    <definedName name="solver_scl" localSheetId="50" hidden="1">2</definedName>
    <definedName name="solver_scl" localSheetId="51" hidden="1">2</definedName>
    <definedName name="solver_scl" localSheetId="52" hidden="1">2</definedName>
    <definedName name="solver_scl" localSheetId="18" hidden="1">2</definedName>
    <definedName name="solver_scl" localSheetId="53" hidden="1">2</definedName>
    <definedName name="solver_scl" localSheetId="55" hidden="1">2</definedName>
    <definedName name="solver_scl" localSheetId="54" hidden="1">2</definedName>
    <definedName name="solver_scl" localSheetId="56" hidden="1">2</definedName>
    <definedName name="solver_scl" localSheetId="57" hidden="1">2</definedName>
    <definedName name="solver_scl" localSheetId="58" hidden="1">2</definedName>
    <definedName name="solver_scl" localSheetId="59" hidden="1">1</definedName>
    <definedName name="solver_scl" localSheetId="60" hidden="1">2</definedName>
    <definedName name="solver_scl" localSheetId="61" hidden="1">2</definedName>
    <definedName name="solver_scl" localSheetId="62" hidden="1">2</definedName>
    <definedName name="solver_scl" localSheetId="63" hidden="1">2</definedName>
    <definedName name="solver_scl" localSheetId="65" hidden="1">2</definedName>
    <definedName name="solver_scl" localSheetId="67" hidden="1">2</definedName>
    <definedName name="solver_scl" localSheetId="19" hidden="1">2</definedName>
    <definedName name="solver_scl" localSheetId="68" hidden="1">2</definedName>
    <definedName name="solver_scl" localSheetId="69" hidden="1">2</definedName>
    <definedName name="solver_scl" localSheetId="70" hidden="1">2</definedName>
    <definedName name="solver_scl" localSheetId="71" hidden="1">2</definedName>
    <definedName name="solver_scl" localSheetId="73" hidden="1">2</definedName>
    <definedName name="solver_scl" localSheetId="74" hidden="1">2</definedName>
    <definedName name="solver_scl" localSheetId="75" hidden="1">2</definedName>
    <definedName name="solver_scl" localSheetId="20" hidden="1">2</definedName>
    <definedName name="solver_scl" localSheetId="22" hidden="1">2</definedName>
    <definedName name="solver_scl" localSheetId="23" hidden="1">2</definedName>
    <definedName name="solver_scl" localSheetId="24" hidden="1">2</definedName>
    <definedName name="solver_scl" localSheetId="25" hidden="1">2</definedName>
    <definedName name="solver_scl" localSheetId="26" hidden="1">2</definedName>
    <definedName name="solver_scl" localSheetId="77" hidden="1">2</definedName>
    <definedName name="solver_sho" localSheetId="76" hidden="1">2</definedName>
    <definedName name="solver_sho" localSheetId="1" hidden="1">2</definedName>
    <definedName name="solver_sho" localSheetId="21" hidden="1">2</definedName>
    <definedName name="solver_sho" localSheetId="2" hidden="1">2</definedName>
    <definedName name="solver_sho" localSheetId="27" hidden="1">2</definedName>
    <definedName name="solver_sho" localSheetId="28" hidden="1">1</definedName>
    <definedName name="solver_sho" localSheetId="29" hidden="1">2</definedName>
    <definedName name="solver_sho" localSheetId="30" hidden="1">2</definedName>
    <definedName name="solver_sho" localSheetId="31" hidden="1">2</definedName>
    <definedName name="solver_sho" localSheetId="32" hidden="1">2</definedName>
    <definedName name="solver_sho" localSheetId="33" hidden="1">2</definedName>
    <definedName name="solver_sho" localSheetId="34" hidden="1">2</definedName>
    <definedName name="solver_sho" localSheetId="35" hidden="1">2</definedName>
    <definedName name="solver_sho" localSheetId="36" hidden="1">2</definedName>
    <definedName name="solver_sho" localSheetId="37" hidden="1">2</definedName>
    <definedName name="solver_sho" localSheetId="38" hidden="1">2</definedName>
    <definedName name="solver_sho" localSheetId="39" hidden="1">2</definedName>
    <definedName name="solver_sho" localSheetId="40" hidden="1">2</definedName>
    <definedName name="solver_sho" localSheetId="41" hidden="1">2</definedName>
    <definedName name="solver_sho" localSheetId="42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ho" localSheetId="11" hidden="1">2</definedName>
    <definedName name="solver_sho" localSheetId="12" hidden="1">2</definedName>
    <definedName name="solver_sho" localSheetId="13" hidden="1">2</definedName>
    <definedName name="solver_sho" localSheetId="14" hidden="1">2</definedName>
    <definedName name="solver_sho" localSheetId="15" hidden="1">2</definedName>
    <definedName name="solver_sho" localSheetId="16" hidden="1">2</definedName>
    <definedName name="solver_sho" localSheetId="17" hidden="1">2</definedName>
    <definedName name="solver_sho" localSheetId="43" hidden="1">2</definedName>
    <definedName name="solver_sho" localSheetId="44" hidden="1">2</definedName>
    <definedName name="solver_sho" localSheetId="45" hidden="1">2</definedName>
    <definedName name="solver_sho" localSheetId="46" hidden="1">2</definedName>
    <definedName name="solver_sho" localSheetId="47" hidden="1">2</definedName>
    <definedName name="solver_sho" localSheetId="48" hidden="1">2</definedName>
    <definedName name="solver_sho" localSheetId="49" hidden="1">2</definedName>
    <definedName name="solver_sho" localSheetId="50" hidden="1">2</definedName>
    <definedName name="solver_sho" localSheetId="51" hidden="1">2</definedName>
    <definedName name="solver_sho" localSheetId="52" hidden="1">1</definedName>
    <definedName name="solver_sho" localSheetId="18" hidden="1">2</definedName>
    <definedName name="solver_sho" localSheetId="53" hidden="1">1</definedName>
    <definedName name="solver_sho" localSheetId="55" hidden="1">1</definedName>
    <definedName name="solver_sho" localSheetId="54" hidden="1">2</definedName>
    <definedName name="solver_sho" localSheetId="56" hidden="1">1</definedName>
    <definedName name="solver_sho" localSheetId="57" hidden="1">2</definedName>
    <definedName name="solver_sho" localSheetId="58" hidden="1">1</definedName>
    <definedName name="solver_sho" localSheetId="59" hidden="1">1</definedName>
    <definedName name="solver_sho" localSheetId="60" hidden="1">2</definedName>
    <definedName name="solver_sho" localSheetId="61" hidden="1">2</definedName>
    <definedName name="solver_sho" localSheetId="62" hidden="1">1</definedName>
    <definedName name="solver_sho" localSheetId="63" hidden="1">2</definedName>
    <definedName name="solver_sho" localSheetId="65" hidden="1">2</definedName>
    <definedName name="solver_sho" localSheetId="67" hidden="1">2</definedName>
    <definedName name="solver_sho" localSheetId="19" hidden="1">2</definedName>
    <definedName name="solver_sho" localSheetId="68" hidden="1">1</definedName>
    <definedName name="solver_sho" localSheetId="69" hidden="1">1</definedName>
    <definedName name="solver_sho" localSheetId="70" hidden="1">2</definedName>
    <definedName name="solver_sho" localSheetId="71" hidden="1">2</definedName>
    <definedName name="solver_sho" localSheetId="73" hidden="1">2</definedName>
    <definedName name="solver_sho" localSheetId="74" hidden="1">2</definedName>
    <definedName name="solver_sho" localSheetId="75" hidden="1">1</definedName>
    <definedName name="solver_sho" localSheetId="20" hidden="1">2</definedName>
    <definedName name="solver_sho" localSheetId="22" hidden="1">2</definedName>
    <definedName name="solver_sho" localSheetId="23" hidden="1">2</definedName>
    <definedName name="solver_sho" localSheetId="24" hidden="1">2</definedName>
    <definedName name="solver_sho" localSheetId="25" hidden="1">2</definedName>
    <definedName name="solver_sho" localSheetId="26" hidden="1">2</definedName>
    <definedName name="solver_sho" localSheetId="77" hidden="1">2</definedName>
    <definedName name="solver_ssz" localSheetId="2" hidden="1">100</definedName>
    <definedName name="solver_ssz" localSheetId="34" hidden="1">100</definedName>
    <definedName name="solver_ssz" localSheetId="35" hidden="1">100</definedName>
    <definedName name="solver_ssz" localSheetId="36" hidden="1">100</definedName>
    <definedName name="solver_ssz" localSheetId="37" hidden="1">100</definedName>
    <definedName name="solver_ssz" localSheetId="38" hidden="1">100</definedName>
    <definedName name="solver_ssz" localSheetId="39" hidden="1">100</definedName>
    <definedName name="solver_ssz" localSheetId="40" hidden="1">100</definedName>
    <definedName name="solver_ssz" localSheetId="41" hidden="1">100</definedName>
    <definedName name="solver_ssz" localSheetId="42" hidden="1">100</definedName>
    <definedName name="solver_ssz" localSheetId="44" hidden="1">100</definedName>
    <definedName name="solver_ssz" localSheetId="45" hidden="1">100</definedName>
    <definedName name="solver_ssz" localSheetId="46" hidden="1">100</definedName>
    <definedName name="solver_ssz" localSheetId="59" hidden="1">100</definedName>
    <definedName name="solver_ssz" localSheetId="68" hidden="1">100</definedName>
    <definedName name="solver_ssz" localSheetId="69" hidden="1">100</definedName>
    <definedName name="solver_tim" localSheetId="76" hidden="1">100</definedName>
    <definedName name="solver_tim" localSheetId="1" hidden="1">9999999999</definedName>
    <definedName name="solver_tim" localSheetId="21" hidden="1">9999999999</definedName>
    <definedName name="solver_tim" localSheetId="2" hidden="1">100</definedName>
    <definedName name="solver_tim" localSheetId="27" hidden="1">100</definedName>
    <definedName name="solver_tim" localSheetId="28" hidden="1">100000</definedName>
    <definedName name="solver_tim" localSheetId="29" hidden="1">100</definedName>
    <definedName name="solver_tim" localSheetId="30" hidden="1">100</definedName>
    <definedName name="solver_tim" localSheetId="31" hidden="1">100</definedName>
    <definedName name="solver_tim" localSheetId="32" hidden="1">100</definedName>
    <definedName name="solver_tim" localSheetId="33" hidden="1">100</definedName>
    <definedName name="solver_tim" localSheetId="34" hidden="1">100</definedName>
    <definedName name="solver_tim" localSheetId="35" hidden="1">100</definedName>
    <definedName name="solver_tim" localSheetId="36" hidden="1">100</definedName>
    <definedName name="solver_tim" localSheetId="37" hidden="1">100</definedName>
    <definedName name="solver_tim" localSheetId="38" hidden="1">100</definedName>
    <definedName name="solver_tim" localSheetId="39" hidden="1">100</definedName>
    <definedName name="solver_tim" localSheetId="40" hidden="1">100</definedName>
    <definedName name="solver_tim" localSheetId="41" hidden="1">100</definedName>
    <definedName name="solver_tim" localSheetId="42" hidden="1">100</definedName>
    <definedName name="solver_tim" localSheetId="3" hidden="1">100</definedName>
    <definedName name="solver_tim" localSheetId="4" hidden="1">100</definedName>
    <definedName name="solver_tim" localSheetId="5" hidden="1">100</definedName>
    <definedName name="solver_tim" localSheetId="6" hidden="1">100</definedName>
    <definedName name="solver_tim" localSheetId="7" hidden="1">100</definedName>
    <definedName name="solver_tim" localSheetId="8" hidden="1">100</definedName>
    <definedName name="solver_tim" localSheetId="9" hidden="1">100</definedName>
    <definedName name="solver_tim" localSheetId="10" hidden="1">100</definedName>
    <definedName name="solver_tim" localSheetId="11" hidden="1">100</definedName>
    <definedName name="solver_tim" localSheetId="12" hidden="1">100</definedName>
    <definedName name="solver_tim" localSheetId="13" hidden="1">100</definedName>
    <definedName name="solver_tim" localSheetId="14" hidden="1">100</definedName>
    <definedName name="solver_tim" localSheetId="15" hidden="1">100</definedName>
    <definedName name="solver_tim" localSheetId="16" hidden="1">100</definedName>
    <definedName name="solver_tim" localSheetId="17" hidden="1">100</definedName>
    <definedName name="solver_tim" localSheetId="43" hidden="1">100</definedName>
    <definedName name="solver_tim" localSheetId="44" hidden="1">100</definedName>
    <definedName name="solver_tim" localSheetId="45" hidden="1">100</definedName>
    <definedName name="solver_tim" localSheetId="46" hidden="1">100</definedName>
    <definedName name="solver_tim" localSheetId="47" hidden="1">9999999999</definedName>
    <definedName name="solver_tim" localSheetId="48" hidden="1">9999999999</definedName>
    <definedName name="solver_tim" localSheetId="49" hidden="1">9999999999</definedName>
    <definedName name="solver_tim" localSheetId="50" hidden="1">100</definedName>
    <definedName name="solver_tim" localSheetId="51" hidden="1">100</definedName>
    <definedName name="solver_tim" localSheetId="52" hidden="1">9999999999</definedName>
    <definedName name="solver_tim" localSheetId="18" hidden="1">100</definedName>
    <definedName name="solver_tim" localSheetId="53" hidden="1">9999999999</definedName>
    <definedName name="solver_tim" localSheetId="55" hidden="1">9999999999</definedName>
    <definedName name="solver_tim" localSheetId="54" hidden="1">9999999999</definedName>
    <definedName name="solver_tim" localSheetId="56" hidden="1">9999999999</definedName>
    <definedName name="solver_tim" localSheetId="57" hidden="1">9999999999</definedName>
    <definedName name="solver_tim" localSheetId="58" hidden="1">9999999999</definedName>
    <definedName name="solver_tim" localSheetId="59" hidden="1">2000</definedName>
    <definedName name="solver_tim" localSheetId="60" hidden="1">100</definedName>
    <definedName name="solver_tim" localSheetId="61" hidden="1">100</definedName>
    <definedName name="solver_tim" localSheetId="62" hidden="1">9999999999</definedName>
    <definedName name="solver_tim" localSheetId="63" hidden="1">9999999999</definedName>
    <definedName name="solver_tim" localSheetId="65" hidden="1">100</definedName>
    <definedName name="solver_tim" localSheetId="67" hidden="1">100</definedName>
    <definedName name="solver_tim" localSheetId="19" hidden="1">100</definedName>
    <definedName name="solver_tim" localSheetId="68" hidden="1">100</definedName>
    <definedName name="solver_tim" localSheetId="69" hidden="1">100</definedName>
    <definedName name="solver_tim" localSheetId="70" hidden="1">100</definedName>
    <definedName name="solver_tim" localSheetId="71" hidden="1">9999999999</definedName>
    <definedName name="solver_tim" localSheetId="73" hidden="1">9999999999</definedName>
    <definedName name="solver_tim" localSheetId="74" hidden="1">100</definedName>
    <definedName name="solver_tim" localSheetId="75" hidden="1">9999999999</definedName>
    <definedName name="solver_tim" localSheetId="20" hidden="1">100</definedName>
    <definedName name="solver_tim" localSheetId="22" hidden="1">100</definedName>
    <definedName name="solver_tim" localSheetId="23" hidden="1">100</definedName>
    <definedName name="solver_tim" localSheetId="24" hidden="1">100</definedName>
    <definedName name="solver_tim" localSheetId="25" hidden="1">100</definedName>
    <definedName name="solver_tim" localSheetId="26" hidden="1">100</definedName>
    <definedName name="solver_tim" localSheetId="77" hidden="1">100</definedName>
    <definedName name="solver_tol" localSheetId="76" hidden="1">0.05</definedName>
    <definedName name="solver_tol" localSheetId="1" hidden="1">0.05</definedName>
    <definedName name="solver_tol" localSheetId="21" hidden="1">0.05</definedName>
    <definedName name="solver_tol" localSheetId="2" hidden="1">0.05</definedName>
    <definedName name="solver_tol" localSheetId="27" hidden="1">0.05</definedName>
    <definedName name="solver_tol" localSheetId="28" hidden="1">0.01</definedName>
    <definedName name="solver_tol" localSheetId="29" hidden="1">0.05</definedName>
    <definedName name="solver_tol" localSheetId="30" hidden="1">0.05</definedName>
    <definedName name="solver_tol" localSheetId="31" hidden="1">0.05</definedName>
    <definedName name="solver_tol" localSheetId="32" hidden="1">0.05</definedName>
    <definedName name="solver_tol" localSheetId="33" hidden="1">0.05</definedName>
    <definedName name="solver_tol" localSheetId="34" hidden="1">0.05</definedName>
    <definedName name="solver_tol" localSheetId="35" hidden="1">0.05</definedName>
    <definedName name="solver_tol" localSheetId="36" hidden="1">0.05</definedName>
    <definedName name="solver_tol" localSheetId="37" hidden="1">0.05</definedName>
    <definedName name="solver_tol" localSheetId="38" hidden="1">0.05</definedName>
    <definedName name="solver_tol" localSheetId="39" hidden="1">0.05</definedName>
    <definedName name="solver_tol" localSheetId="40" hidden="1">0.05</definedName>
    <definedName name="solver_tol" localSheetId="41" hidden="1">0.05</definedName>
    <definedName name="solver_tol" localSheetId="42" hidden="1">0.05</definedName>
    <definedName name="solver_tol" localSheetId="3" hidden="1">0.05</definedName>
    <definedName name="solver_tol" localSheetId="4" hidden="1">0.05</definedName>
    <definedName name="solver_tol" localSheetId="5" hidden="1">0.05</definedName>
    <definedName name="solver_tol" localSheetId="6" hidden="1">0.05</definedName>
    <definedName name="solver_tol" localSheetId="7" hidden="1">0.05</definedName>
    <definedName name="solver_tol" localSheetId="8" hidden="1">0.05</definedName>
    <definedName name="solver_tol" localSheetId="9" hidden="1">0.05</definedName>
    <definedName name="solver_tol" localSheetId="10" hidden="1">0.05</definedName>
    <definedName name="solver_tol" localSheetId="11" hidden="1">0.05</definedName>
    <definedName name="solver_tol" localSheetId="12" hidden="1">0.05</definedName>
    <definedName name="solver_tol" localSheetId="13" hidden="1">0.05</definedName>
    <definedName name="solver_tol" localSheetId="14" hidden="1">0.05</definedName>
    <definedName name="solver_tol" localSheetId="15" hidden="1">0.05</definedName>
    <definedName name="solver_tol" localSheetId="16" hidden="1">0.05</definedName>
    <definedName name="solver_tol" localSheetId="17" hidden="1">0.05</definedName>
    <definedName name="solver_tol" localSheetId="43" hidden="1">0.05</definedName>
    <definedName name="solver_tol" localSheetId="44" hidden="1">0.05</definedName>
    <definedName name="solver_tol" localSheetId="45" hidden="1">0.05</definedName>
    <definedName name="solver_tol" localSheetId="46" hidden="1">0.05</definedName>
    <definedName name="solver_tol" localSheetId="47" hidden="1">0.05</definedName>
    <definedName name="solver_tol" localSheetId="48" hidden="1">0.05</definedName>
    <definedName name="solver_tol" localSheetId="49" hidden="1">0.05</definedName>
    <definedName name="solver_tol" localSheetId="50" hidden="1">0.05</definedName>
    <definedName name="solver_tol" localSheetId="51" hidden="1">0.05</definedName>
    <definedName name="solver_tol" localSheetId="52" hidden="1">0.05</definedName>
    <definedName name="solver_tol" localSheetId="18" hidden="1">0.05</definedName>
    <definedName name="solver_tol" localSheetId="53" hidden="1">0.05</definedName>
    <definedName name="solver_tol" localSheetId="55" hidden="1">0.05</definedName>
    <definedName name="solver_tol" localSheetId="54" hidden="1">0.05</definedName>
    <definedName name="solver_tol" localSheetId="56" hidden="1">0.05</definedName>
    <definedName name="solver_tol" localSheetId="57" hidden="1">0.05</definedName>
    <definedName name="solver_tol" localSheetId="58" hidden="1">0.05</definedName>
    <definedName name="solver_tol" localSheetId="59" hidden="1">0.0001</definedName>
    <definedName name="solver_tol" localSheetId="60" hidden="1">0.05</definedName>
    <definedName name="solver_tol" localSheetId="61" hidden="1">0.05</definedName>
    <definedName name="solver_tol" localSheetId="62" hidden="1">0.0001</definedName>
    <definedName name="solver_tol" localSheetId="63" hidden="1">0.05</definedName>
    <definedName name="solver_tol" localSheetId="65" hidden="1">0.05</definedName>
    <definedName name="solver_tol" localSheetId="67" hidden="1">0.05</definedName>
    <definedName name="solver_tol" localSheetId="19" hidden="1">0.05</definedName>
    <definedName name="solver_tol" localSheetId="68" hidden="1">0.05</definedName>
    <definedName name="solver_tol" localSheetId="69" hidden="1">0.0001</definedName>
    <definedName name="solver_tol" localSheetId="70" hidden="1">0.05</definedName>
    <definedName name="solver_tol" localSheetId="71" hidden="1">0.05</definedName>
    <definedName name="solver_tol" localSheetId="73" hidden="1">0.05</definedName>
    <definedName name="solver_tol" localSheetId="74" hidden="1">0.05</definedName>
    <definedName name="solver_tol" localSheetId="75" hidden="1">0.05</definedName>
    <definedName name="solver_tol" localSheetId="20" hidden="1">0.05</definedName>
    <definedName name="solver_tol" localSheetId="22" hidden="1">0.05</definedName>
    <definedName name="solver_tol" localSheetId="23" hidden="1">0.05</definedName>
    <definedName name="solver_tol" localSheetId="24" hidden="1">0.05</definedName>
    <definedName name="solver_tol" localSheetId="25" hidden="1">0.05</definedName>
    <definedName name="solver_tol" localSheetId="26" hidden="1">0.05</definedName>
    <definedName name="solver_tol" localSheetId="77" hidden="1">0.05</definedName>
    <definedName name="solver_typ" localSheetId="76" hidden="1">2</definedName>
    <definedName name="solver_typ" localSheetId="1" hidden="1">1</definedName>
    <definedName name="solver_typ" localSheetId="21" hidden="1">1</definedName>
    <definedName name="solver_typ" localSheetId="2" hidden="1">2</definedName>
    <definedName name="solver_typ" localSheetId="27" hidden="1">2</definedName>
    <definedName name="solver_typ" localSheetId="28" hidden="1">2</definedName>
    <definedName name="solver_typ" localSheetId="29" hidden="1">2</definedName>
    <definedName name="solver_typ" localSheetId="30" hidden="1">2</definedName>
    <definedName name="solver_typ" localSheetId="31" hidden="1">2</definedName>
    <definedName name="solver_typ" localSheetId="32" hidden="1">2</definedName>
    <definedName name="solver_typ" localSheetId="33" hidden="1">2</definedName>
    <definedName name="solver_typ" localSheetId="34" hidden="1">2</definedName>
    <definedName name="solver_typ" localSheetId="35" hidden="1">2</definedName>
    <definedName name="solver_typ" localSheetId="36" hidden="1">2</definedName>
    <definedName name="solver_typ" localSheetId="37" hidden="1">2</definedName>
    <definedName name="solver_typ" localSheetId="38" hidden="1">2</definedName>
    <definedName name="solver_typ" localSheetId="39" hidden="1">2</definedName>
    <definedName name="solver_typ" localSheetId="40" hidden="1">2</definedName>
    <definedName name="solver_typ" localSheetId="41" hidden="1">2</definedName>
    <definedName name="solver_typ" localSheetId="42" hidden="1">2</definedName>
    <definedName name="solver_typ" localSheetId="3" hidden="1">2</definedName>
    <definedName name="solver_typ" localSheetId="4" hidden="1">2</definedName>
    <definedName name="solver_typ" localSheetId="5" hidden="1">2</definedName>
    <definedName name="solver_typ" localSheetId="6" hidden="1">2</definedName>
    <definedName name="solver_typ" localSheetId="7" hidden="1">2</definedName>
    <definedName name="solver_typ" localSheetId="8" hidden="1">2</definedName>
    <definedName name="solver_typ" localSheetId="9" hidden="1">2</definedName>
    <definedName name="solver_typ" localSheetId="10" hidden="1">2</definedName>
    <definedName name="solver_typ" localSheetId="11" hidden="1">2</definedName>
    <definedName name="solver_typ" localSheetId="12" hidden="1">2</definedName>
    <definedName name="solver_typ" localSheetId="13" hidden="1">2</definedName>
    <definedName name="solver_typ" localSheetId="14" hidden="1">2</definedName>
    <definedName name="solver_typ" localSheetId="15" hidden="1">2</definedName>
    <definedName name="solver_typ" localSheetId="16" hidden="1">2</definedName>
    <definedName name="solver_typ" localSheetId="17" hidden="1">2</definedName>
    <definedName name="solver_typ" localSheetId="43" hidden="1">2</definedName>
    <definedName name="solver_typ" localSheetId="44" hidden="1">2</definedName>
    <definedName name="solver_typ" localSheetId="45" hidden="1">2</definedName>
    <definedName name="solver_typ" localSheetId="46" hidden="1">2</definedName>
    <definedName name="solver_typ" localSheetId="47" hidden="1">2</definedName>
    <definedName name="solver_typ" localSheetId="48" hidden="1">2</definedName>
    <definedName name="solver_typ" localSheetId="49" hidden="1">2</definedName>
    <definedName name="solver_typ" localSheetId="50" hidden="1">2</definedName>
    <definedName name="solver_typ" localSheetId="51" hidden="1">2</definedName>
    <definedName name="solver_typ" localSheetId="52" hidden="1">1</definedName>
    <definedName name="solver_typ" localSheetId="18" hidden="1">2</definedName>
    <definedName name="solver_typ" localSheetId="53" hidden="1">2</definedName>
    <definedName name="solver_typ" localSheetId="55" hidden="1">1</definedName>
    <definedName name="solver_typ" localSheetId="54" hidden="1">1</definedName>
    <definedName name="solver_typ" localSheetId="56" hidden="1">2</definedName>
    <definedName name="solver_typ" localSheetId="57" hidden="1">2</definedName>
    <definedName name="solver_typ" localSheetId="58" hidden="1">2</definedName>
    <definedName name="solver_typ" localSheetId="59" hidden="1">1</definedName>
    <definedName name="solver_typ" localSheetId="60" hidden="1">1</definedName>
    <definedName name="solver_typ" localSheetId="61" hidden="1">2</definedName>
    <definedName name="solver_typ" localSheetId="62" hidden="1">2</definedName>
    <definedName name="solver_typ" localSheetId="63" hidden="1">1</definedName>
    <definedName name="solver_typ" localSheetId="65" hidden="1">2</definedName>
    <definedName name="solver_typ" localSheetId="67" hidden="1">2</definedName>
    <definedName name="solver_typ" localSheetId="19" hidden="1">2</definedName>
    <definedName name="solver_typ" localSheetId="68" hidden="1">2</definedName>
    <definedName name="solver_typ" localSheetId="69" hidden="1">2</definedName>
    <definedName name="solver_typ" localSheetId="70" hidden="1">2</definedName>
    <definedName name="solver_typ" localSheetId="71" hidden="1">2</definedName>
    <definedName name="solver_typ" localSheetId="73" hidden="1">3</definedName>
    <definedName name="solver_typ" localSheetId="74" hidden="1">2</definedName>
    <definedName name="solver_typ" localSheetId="75" hidden="1">2</definedName>
    <definedName name="solver_typ" localSheetId="20" hidden="1">2</definedName>
    <definedName name="solver_typ" localSheetId="22" hidden="1">2</definedName>
    <definedName name="solver_typ" localSheetId="23" hidden="1">2</definedName>
    <definedName name="solver_typ" localSheetId="24" hidden="1">2</definedName>
    <definedName name="solver_typ" localSheetId="25" hidden="1">2</definedName>
    <definedName name="solver_typ" localSheetId="26" hidden="1">2</definedName>
    <definedName name="solver_typ" localSheetId="77" hidden="1">2</definedName>
    <definedName name="solver_val" localSheetId="76" hidden="1">0</definedName>
    <definedName name="solver_val" localSheetId="1" hidden="1">0</definedName>
    <definedName name="solver_val" localSheetId="21" hidden="1">0</definedName>
    <definedName name="solver_val" localSheetId="2" hidden="1">0</definedName>
    <definedName name="solver_val" localSheetId="27" hidden="1">0</definedName>
    <definedName name="solver_val" localSheetId="28" hidden="1">0</definedName>
    <definedName name="solver_val" localSheetId="29" hidden="1">0</definedName>
    <definedName name="solver_val" localSheetId="30" hidden="1">0</definedName>
    <definedName name="solver_val" localSheetId="31" hidden="1">0</definedName>
    <definedName name="solver_val" localSheetId="32" hidden="1">0</definedName>
    <definedName name="solver_val" localSheetId="33" hidden="1">0</definedName>
    <definedName name="solver_val" localSheetId="34" hidden="1">0</definedName>
    <definedName name="solver_val" localSheetId="35" hidden="1">0</definedName>
    <definedName name="solver_val" localSheetId="36" hidden="1">0</definedName>
    <definedName name="solver_val" localSheetId="37" hidden="1">0</definedName>
    <definedName name="solver_val" localSheetId="38" hidden="1">0</definedName>
    <definedName name="solver_val" localSheetId="39" hidden="1">0</definedName>
    <definedName name="solver_val" localSheetId="40" hidden="1">0</definedName>
    <definedName name="solver_val" localSheetId="41" hidden="1">0</definedName>
    <definedName name="solver_val" localSheetId="42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0" hidden="1">0</definedName>
    <definedName name="solver_val" localSheetId="11" hidden="1">0</definedName>
    <definedName name="solver_val" localSheetId="12" hidden="1">0</definedName>
    <definedName name="solver_val" localSheetId="13" hidden="1">0</definedName>
    <definedName name="solver_val" localSheetId="14" hidden="1">0</definedName>
    <definedName name="solver_val" localSheetId="15" hidden="1">0</definedName>
    <definedName name="solver_val" localSheetId="16" hidden="1">0</definedName>
    <definedName name="solver_val" localSheetId="17" hidden="1">0</definedName>
    <definedName name="solver_val" localSheetId="43" hidden="1">0</definedName>
    <definedName name="solver_val" localSheetId="44" hidden="1">0</definedName>
    <definedName name="solver_val" localSheetId="45" hidden="1">0</definedName>
    <definedName name="solver_val" localSheetId="46" hidden="1">0</definedName>
    <definedName name="solver_val" localSheetId="47" hidden="1">0</definedName>
    <definedName name="solver_val" localSheetId="48" hidden="1">0</definedName>
    <definedName name="solver_val" localSheetId="49" hidden="1">0</definedName>
    <definedName name="solver_val" localSheetId="50" hidden="1">0</definedName>
    <definedName name="solver_val" localSheetId="51" hidden="1">0</definedName>
    <definedName name="solver_val" localSheetId="52" hidden="1">7</definedName>
    <definedName name="solver_val" localSheetId="18" hidden="1">0</definedName>
    <definedName name="solver_val" localSheetId="53" hidden="1">0</definedName>
    <definedName name="solver_val" localSheetId="55" hidden="1">0</definedName>
    <definedName name="solver_val" localSheetId="54" hidden="1">0</definedName>
    <definedName name="solver_val" localSheetId="56" hidden="1">0</definedName>
    <definedName name="solver_val" localSheetId="57" hidden="1">0</definedName>
    <definedName name="solver_val" localSheetId="58" hidden="1">0</definedName>
    <definedName name="solver_val" localSheetId="59" hidden="1">0</definedName>
    <definedName name="solver_val" localSheetId="60" hidden="1">0</definedName>
    <definedName name="solver_val" localSheetId="61" hidden="1">0</definedName>
    <definedName name="solver_val" localSheetId="62" hidden="1">0</definedName>
    <definedName name="solver_val" localSheetId="63" hidden="1">0</definedName>
    <definedName name="solver_val" localSheetId="65" hidden="1">0</definedName>
    <definedName name="solver_val" localSheetId="67" hidden="1">0</definedName>
    <definedName name="solver_val" localSheetId="19" hidden="1">0</definedName>
    <definedName name="solver_val" localSheetId="68" hidden="1">0</definedName>
    <definedName name="solver_val" localSheetId="69" hidden="1">0</definedName>
    <definedName name="solver_val" localSheetId="70" hidden="1">0</definedName>
    <definedName name="solver_val" localSheetId="71" hidden="1">0</definedName>
    <definedName name="solver_val" localSheetId="73" hidden="1">50</definedName>
    <definedName name="solver_val" localSheetId="74" hidden="1">0</definedName>
    <definedName name="solver_val" localSheetId="75" hidden="1">0</definedName>
    <definedName name="solver_val" localSheetId="20" hidden="1">0</definedName>
    <definedName name="solver_val" localSheetId="22" hidden="1">0</definedName>
    <definedName name="solver_val" localSheetId="23" hidden="1">0</definedName>
    <definedName name="solver_val" localSheetId="24" hidden="1">0</definedName>
    <definedName name="solver_val" localSheetId="25" hidden="1">0</definedName>
    <definedName name="solver_val" localSheetId="26" hidden="1">0</definedName>
    <definedName name="solver_val" localSheetId="77" hidden="1">0</definedName>
    <definedName name="solver_ver" localSheetId="2" hidden="1">3</definedName>
    <definedName name="solver_ver" localSheetId="34" hidden="1">3</definedName>
    <definedName name="solver_ver" localSheetId="35" hidden="1">3</definedName>
    <definedName name="solver_ver" localSheetId="36" hidden="1">3</definedName>
    <definedName name="solver_ver" localSheetId="37" hidden="1">3</definedName>
    <definedName name="solver_ver" localSheetId="38" hidden="1">3</definedName>
    <definedName name="solver_ver" localSheetId="39" hidden="1">3</definedName>
    <definedName name="solver_ver" localSheetId="40" hidden="1">3</definedName>
    <definedName name="solver_ver" localSheetId="41" hidden="1">3</definedName>
    <definedName name="solver_ver" localSheetId="42" hidden="1">3</definedName>
    <definedName name="solver_ver" localSheetId="44" hidden="1">3</definedName>
    <definedName name="solver_ver" localSheetId="45" hidden="1">3</definedName>
    <definedName name="solver_ver" localSheetId="46" hidden="1">3</definedName>
    <definedName name="solver_ver" localSheetId="49" hidden="1">3</definedName>
    <definedName name="solver_ver" localSheetId="52" hidden="1">3</definedName>
    <definedName name="solver_ver" localSheetId="53" hidden="1">3</definedName>
    <definedName name="solver_ver" localSheetId="59" hidden="1">3</definedName>
    <definedName name="solver_ver" localSheetId="61" hidden="1">3</definedName>
    <definedName name="solver_ver" localSheetId="68" hidden="1">3</definedName>
    <definedName name="solver_ver" localSheetId="69" hidden="1">3</definedName>
    <definedName name="TestType">Data!$D$1:$D$2</definedName>
    <definedName name="uhj">Test36!$B$1</definedName>
    <definedName name="wa" localSheetId="68">#REF!</definedName>
    <definedName name="wa" localSheetId="69">#REF!</definedName>
    <definedName name="wa" localSheetId="70">#REF!</definedName>
    <definedName name="wa">Test38!$P$3</definedName>
    <definedName name="wb" localSheetId="68">#REF!</definedName>
    <definedName name="wb" localSheetId="69">#REF!</definedName>
    <definedName name="wb" localSheetId="70">#REF!</definedName>
    <definedName name="wb">Test38!$P$4</definedName>
    <definedName name="wc" localSheetId="68">#REF!</definedName>
    <definedName name="wc" localSheetId="69">#REF!</definedName>
    <definedName name="wc" localSheetId="70">#REF!</definedName>
    <definedName name="wc">Test38!$P$5</definedName>
    <definedName name="wd" localSheetId="68">#REF!</definedName>
    <definedName name="wd" localSheetId="69">#REF!</definedName>
    <definedName name="wd" localSheetId="70">#REF!</definedName>
    <definedName name="wd">Test38!$P$6</definedName>
    <definedName name="x" localSheetId="37">#REF!</definedName>
    <definedName name="x" localSheetId="63">'Test38_(Data)'!$B$4:$AP$4</definedName>
    <definedName name="x" localSheetId="67">#REF!</definedName>
    <definedName name="x" localSheetId="70">Test42!$E$6</definedName>
    <definedName name="x" localSheetId="73">#REF!</definedName>
    <definedName name="x" localSheetId="74">#REF!</definedName>
    <definedName name="x">#REF!</definedName>
    <definedName name="xa" localSheetId="68">#REF!</definedName>
    <definedName name="xa" localSheetId="69">#REF!</definedName>
    <definedName name="xa" localSheetId="70">#REF!</definedName>
    <definedName name="xa">Test38!$N$3</definedName>
    <definedName name="xb" localSheetId="68">#REF!</definedName>
    <definedName name="xb" localSheetId="69">#REF!</definedName>
    <definedName name="xb" localSheetId="70">#REF!</definedName>
    <definedName name="xb">Test38!$N$4</definedName>
    <definedName name="xc" localSheetId="68">#REF!</definedName>
    <definedName name="xc" localSheetId="69">#REF!</definedName>
    <definedName name="xc" localSheetId="70">#REF!</definedName>
    <definedName name="xc">Test38!$N$5</definedName>
    <definedName name="xd" localSheetId="68">#REF!</definedName>
    <definedName name="xd" localSheetId="69">#REF!</definedName>
    <definedName name="xd" localSheetId="70">#REF!</definedName>
    <definedName name="xd">Test38!$N$6</definedName>
    <definedName name="xstep" localSheetId="37">#REF!</definedName>
    <definedName name="xstep" localSheetId="67">#REF!</definedName>
    <definedName name="xstep" localSheetId="73">#REF!</definedName>
    <definedName name="xstep" localSheetId="74">#REF!</definedName>
    <definedName name="xstep">#REF!</definedName>
    <definedName name="y" localSheetId="37">#REF!</definedName>
    <definedName name="y" localSheetId="63">'Test38_(Data)'!$A$5:$A$45</definedName>
    <definedName name="y" localSheetId="67">#REF!</definedName>
    <definedName name="y" localSheetId="70">Test42!$E$7</definedName>
    <definedName name="y" localSheetId="73">#REF!</definedName>
    <definedName name="y" localSheetId="74">#REF!</definedName>
    <definedName name="y">#REF!</definedName>
    <definedName name="ya" localSheetId="68">#REF!</definedName>
    <definedName name="ya" localSheetId="69">#REF!</definedName>
    <definedName name="ya" localSheetId="70">#REF!</definedName>
    <definedName name="ya">Test38!$O$3</definedName>
    <definedName name="yb" localSheetId="68">#REF!</definedName>
    <definedName name="yb" localSheetId="69">#REF!</definedName>
    <definedName name="yb" localSheetId="70">#REF!</definedName>
    <definedName name="yb">Test38!$O$4</definedName>
    <definedName name="yc" localSheetId="68">#REF!</definedName>
    <definedName name="yc" localSheetId="69">#REF!</definedName>
    <definedName name="yc" localSheetId="70">#REF!</definedName>
    <definedName name="yc">Test38!$O$5</definedName>
    <definedName name="yd" localSheetId="68">#REF!</definedName>
    <definedName name="yd" localSheetId="69">#REF!</definedName>
    <definedName name="yd" localSheetId="70">#REF!</definedName>
    <definedName name="yd">Test38!$O$6</definedName>
    <definedName name="ystep" localSheetId="37">#REF!</definedName>
    <definedName name="ystep" localSheetId="67">#REF!</definedName>
    <definedName name="ystep" localSheetId="73">#REF!</definedName>
    <definedName name="ystep" localSheetId="74">#REF!</definedName>
    <definedName name="ystep">#REF!</definedName>
  </definedNames>
  <calcPr calcId="152511"/>
</workbook>
</file>

<file path=xl/calcChain.xml><?xml version="1.0" encoding="utf-8"?>
<calcChain xmlns="http://schemas.openxmlformats.org/spreadsheetml/2006/main">
  <c r="A71" i="60" l="1"/>
  <c r="A70" i="60"/>
  <c r="A69" i="60"/>
  <c r="A68" i="60"/>
  <c r="A67" i="60"/>
  <c r="A66" i="60"/>
  <c r="A65" i="60"/>
  <c r="A64" i="60"/>
  <c r="A63" i="60"/>
  <c r="A62" i="60"/>
  <c r="A61" i="60"/>
  <c r="A60" i="60"/>
  <c r="A59" i="60"/>
  <c r="A58" i="60"/>
  <c r="A57" i="60"/>
  <c r="A56" i="60"/>
  <c r="A55" i="60"/>
  <c r="A54" i="60"/>
  <c r="A53" i="60"/>
  <c r="A52" i="60"/>
  <c r="A51" i="60"/>
  <c r="A50" i="60"/>
  <c r="A49" i="60"/>
  <c r="A48" i="60"/>
  <c r="A47" i="60"/>
  <c r="A46" i="60"/>
  <c r="A45" i="60"/>
  <c r="A44" i="60"/>
  <c r="A43" i="60"/>
  <c r="A42" i="60"/>
  <c r="A41" i="60"/>
  <c r="A40" i="60"/>
  <c r="A39" i="60"/>
  <c r="A38" i="60"/>
  <c r="A37" i="60"/>
  <c r="A36" i="60"/>
  <c r="A35" i="60"/>
  <c r="A34" i="60"/>
  <c r="A33" i="60"/>
  <c r="A32" i="60"/>
  <c r="A31" i="60"/>
  <c r="A30" i="60"/>
  <c r="A29" i="60"/>
  <c r="A28" i="60"/>
  <c r="A27" i="60"/>
  <c r="A26" i="60"/>
  <c r="A25" i="60"/>
  <c r="A24" i="60"/>
  <c r="A23" i="60"/>
  <c r="A22" i="60"/>
  <c r="A21" i="60"/>
  <c r="A20" i="60"/>
  <c r="A19" i="60"/>
  <c r="A18" i="60"/>
  <c r="A17" i="60"/>
  <c r="A16" i="60"/>
  <c r="A15" i="60"/>
  <c r="A14" i="60"/>
  <c r="A13" i="60"/>
  <c r="A12" i="60"/>
  <c r="A11" i="60"/>
  <c r="A10" i="60"/>
  <c r="A9" i="60"/>
  <c r="A8" i="60"/>
  <c r="A7" i="60"/>
  <c r="A6" i="60"/>
  <c r="A5" i="60"/>
  <c r="A4" i="60"/>
  <c r="H6" i="1"/>
  <c r="A3" i="60"/>
  <c r="C6" i="95"/>
  <c r="H6" i="94"/>
  <c r="G4" i="92"/>
  <c r="G4" i="90"/>
  <c r="D20" i="96"/>
  <c r="D20" i="77"/>
  <c r="S13" i="75"/>
  <c r="I6" i="71"/>
  <c r="G6" i="70"/>
  <c r="F6" i="69"/>
  <c r="F4" i="68"/>
  <c r="H6" i="67"/>
  <c r="I6" i="66"/>
  <c r="G6" i="65"/>
  <c r="K6" i="63"/>
  <c r="H6" i="62"/>
  <c r="H15" i="2"/>
  <c r="H6" i="4"/>
  <c r="H9" i="58"/>
  <c r="H7" i="57"/>
  <c r="H9" i="54"/>
  <c r="H9" i="53"/>
  <c r="H9" i="52"/>
  <c r="H9" i="51"/>
  <c r="H9" i="50"/>
  <c r="H8" i="49"/>
  <c r="H10" i="48"/>
  <c r="H10" i="47"/>
  <c r="H10" i="46"/>
  <c r="H9" i="98"/>
  <c r="H9" i="45"/>
  <c r="H9" i="44"/>
  <c r="H8" i="43"/>
  <c r="H8" i="42"/>
  <c r="H8" i="23"/>
  <c r="H5" i="38"/>
  <c r="H5" i="20"/>
  <c r="H5" i="19"/>
  <c r="I39" i="3"/>
  <c r="H6" i="18"/>
  <c r="J6" i="41"/>
  <c r="J6" i="14"/>
  <c r="H7" i="12"/>
  <c r="H7" i="11"/>
  <c r="I6" i="6"/>
  <c r="H7" i="35"/>
  <c r="H7" i="34"/>
  <c r="H7" i="33"/>
  <c r="H7" i="31"/>
  <c r="H6" i="27"/>
  <c r="H6" i="26"/>
  <c r="H6" i="25"/>
  <c r="H6" i="32"/>
  <c r="H6" i="24"/>
  <c r="H6" i="22"/>
  <c r="J26" i="69" l="1"/>
  <c r="D23" i="98" l="1"/>
  <c r="D19" i="98"/>
  <c r="A10" i="98"/>
  <c r="A9" i="98"/>
  <c r="F19" i="98" l="1"/>
  <c r="H11" i="98"/>
  <c r="E19" i="98"/>
  <c r="H12" i="98"/>
  <c r="H13" i="98"/>
  <c r="A6" i="98" l="1"/>
  <c r="D24" i="96"/>
  <c r="A6" i="96" s="1"/>
  <c r="A10" i="96"/>
  <c r="A9" i="96"/>
  <c r="I15" i="96" l="1"/>
  <c r="D17" i="96"/>
  <c r="I14" i="96"/>
  <c r="F17" i="96"/>
  <c r="G17" i="96"/>
  <c r="I16" i="96"/>
  <c r="H17" i="96"/>
  <c r="E17" i="96"/>
  <c r="D33" i="40" l="1"/>
  <c r="B20" i="40"/>
  <c r="B17" i="40"/>
  <c r="B14" i="40"/>
  <c r="C9" i="40"/>
  <c r="M18" i="5"/>
  <c r="M17" i="5"/>
  <c r="M15" i="5"/>
  <c r="M12" i="5"/>
  <c r="G10" i="5"/>
  <c r="G9" i="5"/>
  <c r="G8" i="5"/>
  <c r="G7" i="5"/>
  <c r="G5" i="5"/>
  <c r="E17" i="95"/>
  <c r="D17" i="95"/>
  <c r="A10" i="95"/>
  <c r="E9" i="95"/>
  <c r="A9" i="95"/>
  <c r="E8" i="95"/>
  <c r="D21" i="95"/>
  <c r="A6" i="95"/>
  <c r="D21" i="94"/>
  <c r="F17" i="94"/>
  <c r="E17" i="94"/>
  <c r="D17" i="94"/>
  <c r="H11" i="94"/>
  <c r="H10" i="94"/>
  <c r="A10" i="94"/>
  <c r="H9" i="94"/>
  <c r="A9" i="94"/>
  <c r="H8" i="94"/>
  <c r="A6" i="94"/>
  <c r="G13" i="92"/>
  <c r="F13" i="92"/>
  <c r="E13" i="92"/>
  <c r="D13" i="92"/>
  <c r="A10" i="92"/>
  <c r="G9" i="92"/>
  <c r="A9" i="92"/>
  <c r="G8" i="92"/>
  <c r="G7" i="92"/>
  <c r="G6" i="92"/>
  <c r="G13" i="90"/>
  <c r="F13" i="90"/>
  <c r="E13" i="90"/>
  <c r="D13" i="90"/>
  <c r="A10" i="90"/>
  <c r="G9" i="90"/>
  <c r="A9" i="90"/>
  <c r="G8" i="90"/>
  <c r="G7" i="90"/>
  <c r="G6" i="90"/>
  <c r="C13" i="88"/>
  <c r="E13" i="88" s="1"/>
  <c r="F13" i="88" s="1"/>
  <c r="D12" i="88"/>
  <c r="C12" i="88"/>
  <c r="A10" i="88"/>
  <c r="A9" i="88"/>
  <c r="H8" i="88"/>
  <c r="I4" i="88"/>
  <c r="I5" i="88" s="1"/>
  <c r="H4" i="88"/>
  <c r="H5" i="88" s="1"/>
  <c r="I24" i="87"/>
  <c r="H24" i="87"/>
  <c r="G24" i="87"/>
  <c r="F24" i="87"/>
  <c r="P15" i="87"/>
  <c r="O15" i="87"/>
  <c r="P14" i="87"/>
  <c r="O14" i="87"/>
  <c r="P12" i="87"/>
  <c r="O12" i="87"/>
  <c r="P11" i="87"/>
  <c r="O11" i="87"/>
  <c r="N11" i="87"/>
  <c r="A10" i="87"/>
  <c r="P9" i="87"/>
  <c r="O9" i="87"/>
  <c r="A9" i="87"/>
  <c r="P8" i="87"/>
  <c r="O8" i="87"/>
  <c r="N8" i="87"/>
  <c r="P6" i="87"/>
  <c r="O6" i="87"/>
  <c r="J6" i="87"/>
  <c r="A6" i="87"/>
  <c r="P5" i="87"/>
  <c r="O5" i="87"/>
  <c r="N5" i="87"/>
  <c r="J5" i="87"/>
  <c r="J4" i="87"/>
  <c r="P3" i="87"/>
  <c r="O3" i="87"/>
  <c r="J3" i="87"/>
  <c r="P2" i="87"/>
  <c r="O2" i="87"/>
  <c r="N2" i="87"/>
  <c r="J2" i="87"/>
  <c r="D12" i="85"/>
  <c r="D14" i="85" s="1"/>
  <c r="A10" i="85"/>
  <c r="A9" i="85"/>
  <c r="D8" i="85"/>
  <c r="D13" i="85" s="1"/>
  <c r="D24" i="77"/>
  <c r="A6" i="77" s="1"/>
  <c r="H17" i="77"/>
  <c r="G17" i="77"/>
  <c r="F17" i="77"/>
  <c r="E17" i="77"/>
  <c r="D17" i="77"/>
  <c r="I16" i="77"/>
  <c r="I15" i="77"/>
  <c r="I14" i="77"/>
  <c r="A10" i="77"/>
  <c r="A9" i="77"/>
  <c r="A6" i="76"/>
  <c r="A7" i="76" s="1"/>
  <c r="A8" i="76" s="1"/>
  <c r="A9" i="76" s="1"/>
  <c r="A10" i="76" s="1"/>
  <c r="A11" i="76" s="1"/>
  <c r="A12" i="76" s="1"/>
  <c r="A13" i="76" s="1"/>
  <c r="A14" i="76" s="1"/>
  <c r="A15" i="76" s="1"/>
  <c r="A16" i="76" s="1"/>
  <c r="A17" i="76" s="1"/>
  <c r="A18" i="76" s="1"/>
  <c r="A19" i="76" s="1"/>
  <c r="A20" i="76" s="1"/>
  <c r="A21" i="76" s="1"/>
  <c r="A22" i="76" s="1"/>
  <c r="A23" i="76" s="1"/>
  <c r="A24" i="76" s="1"/>
  <c r="A25" i="76" s="1"/>
  <c r="A26" i="76" s="1"/>
  <c r="A27" i="76" s="1"/>
  <c r="A28" i="76" s="1"/>
  <c r="A29" i="76" s="1"/>
  <c r="A30" i="76" s="1"/>
  <c r="A31" i="76" s="1"/>
  <c r="A32" i="76" s="1"/>
  <c r="A33" i="76" s="1"/>
  <c r="A34" i="76" s="1"/>
  <c r="A35" i="76" s="1"/>
  <c r="A36" i="76" s="1"/>
  <c r="A37" i="76" s="1"/>
  <c r="A38" i="76" s="1"/>
  <c r="A39" i="76" s="1"/>
  <c r="A40" i="76" s="1"/>
  <c r="A41" i="76" s="1"/>
  <c r="A42" i="76" s="1"/>
  <c r="A43" i="76" s="1"/>
  <c r="A44" i="76" s="1"/>
  <c r="A45" i="76" s="1"/>
  <c r="C4" i="76"/>
  <c r="D4" i="76" s="1"/>
  <c r="E4" i="76" s="1"/>
  <c r="F4" i="76" s="1"/>
  <c r="G4" i="76" s="1"/>
  <c r="H4" i="76" s="1"/>
  <c r="I4" i="76" s="1"/>
  <c r="J4" i="76" s="1"/>
  <c r="K4" i="76" s="1"/>
  <c r="L4" i="76" s="1"/>
  <c r="M4" i="76" s="1"/>
  <c r="A10" i="75"/>
  <c r="A9" i="75"/>
  <c r="P4" i="75"/>
  <c r="P3" i="75"/>
  <c r="I16" i="71"/>
  <c r="A6" i="71" s="1"/>
  <c r="A10" i="71"/>
  <c r="A9" i="71"/>
  <c r="I8" i="71"/>
  <c r="I9" i="71" s="1"/>
  <c r="I7" i="71"/>
  <c r="E12" i="70"/>
  <c r="D12" i="70"/>
  <c r="A10" i="70"/>
  <c r="A9" i="70"/>
  <c r="G8" i="70"/>
  <c r="G12" i="70"/>
  <c r="F22" i="69"/>
  <c r="A6" i="69" s="1"/>
  <c r="F18" i="69"/>
  <c r="F17" i="69"/>
  <c r="F16" i="69"/>
  <c r="F15" i="69"/>
  <c r="F14" i="69"/>
  <c r="F13" i="69"/>
  <c r="F12" i="69"/>
  <c r="F11" i="69"/>
  <c r="F10" i="69"/>
  <c r="A10" i="69"/>
  <c r="F9" i="69"/>
  <c r="A9" i="69"/>
  <c r="F8" i="69"/>
  <c r="D11" i="68"/>
  <c r="C11" i="68"/>
  <c r="A10" i="68"/>
  <c r="A9" i="68"/>
  <c r="E7" i="68"/>
  <c r="E6" i="68"/>
  <c r="F11" i="68"/>
  <c r="H12" i="67"/>
  <c r="H11" i="67"/>
  <c r="D11" i="67"/>
  <c r="H10" i="67"/>
  <c r="A10" i="67"/>
  <c r="H9" i="67"/>
  <c r="A9" i="67"/>
  <c r="H8" i="67"/>
  <c r="H16" i="66"/>
  <c r="G16" i="66"/>
  <c r="F16" i="66"/>
  <c r="E16" i="66"/>
  <c r="D16" i="66"/>
  <c r="I12" i="66"/>
  <c r="I11" i="66"/>
  <c r="I10" i="66"/>
  <c r="A10" i="66"/>
  <c r="I9" i="66"/>
  <c r="A9" i="66"/>
  <c r="I8" i="66"/>
  <c r="I16" i="66"/>
  <c r="F15" i="65"/>
  <c r="E15" i="65"/>
  <c r="D15" i="65"/>
  <c r="G11" i="65"/>
  <c r="C11" i="65"/>
  <c r="G10" i="65"/>
  <c r="A10" i="65"/>
  <c r="G9" i="65"/>
  <c r="A9" i="65"/>
  <c r="G8" i="65"/>
  <c r="G15" i="65"/>
  <c r="K11" i="63"/>
  <c r="C11" i="63"/>
  <c r="K10" i="63"/>
  <c r="A10" i="63"/>
  <c r="K9" i="63"/>
  <c r="A9" i="63"/>
  <c r="K8" i="63"/>
  <c r="K16" i="63"/>
  <c r="A6" i="63" s="1"/>
  <c r="H16" i="62"/>
  <c r="G16" i="62"/>
  <c r="F16" i="62"/>
  <c r="E16" i="62"/>
  <c r="H11" i="62"/>
  <c r="D11" i="62"/>
  <c r="H10" i="62"/>
  <c r="A10" i="62"/>
  <c r="H9" i="62"/>
  <c r="A9" i="62"/>
  <c r="H8" i="62"/>
  <c r="F24" i="2"/>
  <c r="E24" i="2"/>
  <c r="D24" i="2"/>
  <c r="H20" i="2"/>
  <c r="H19" i="2"/>
  <c r="H18" i="2"/>
  <c r="H17" i="2"/>
  <c r="H24" i="2"/>
  <c r="A10" i="2"/>
  <c r="A9" i="2"/>
  <c r="F20" i="4"/>
  <c r="E20" i="4"/>
  <c r="D20" i="4"/>
  <c r="F16" i="4"/>
  <c r="E16" i="4"/>
  <c r="D16" i="4"/>
  <c r="H10" i="4"/>
  <c r="A10" i="4"/>
  <c r="J9" i="4"/>
  <c r="H9" i="4"/>
  <c r="A9" i="4"/>
  <c r="H8" i="4"/>
  <c r="H12" i="59"/>
  <c r="H11" i="59"/>
  <c r="H10" i="59"/>
  <c r="A10" i="59"/>
  <c r="H9" i="59"/>
  <c r="A9" i="59"/>
  <c r="H14" i="58"/>
  <c r="H13" i="58"/>
  <c r="H12" i="58"/>
  <c r="H11" i="58"/>
  <c r="A10" i="58"/>
  <c r="A9" i="58"/>
  <c r="F18" i="57"/>
  <c r="E18" i="57"/>
  <c r="D18" i="57"/>
  <c r="H12" i="57"/>
  <c r="H11" i="57"/>
  <c r="H10" i="57"/>
  <c r="A10" i="57"/>
  <c r="H9" i="57"/>
  <c r="A9" i="57"/>
  <c r="D22" i="57"/>
  <c r="D23" i="54"/>
  <c r="F19" i="54"/>
  <c r="E19" i="54"/>
  <c r="D19" i="54"/>
  <c r="H13" i="54"/>
  <c r="H12" i="54"/>
  <c r="H11" i="54"/>
  <c r="A10" i="54"/>
  <c r="A9" i="54"/>
  <c r="D23" i="53"/>
  <c r="F19" i="53"/>
  <c r="E19" i="53"/>
  <c r="D19" i="53"/>
  <c r="H13" i="53"/>
  <c r="H12" i="53"/>
  <c r="H11" i="53"/>
  <c r="A10" i="53"/>
  <c r="A9" i="53"/>
  <c r="D23" i="52"/>
  <c r="F19" i="52"/>
  <c r="E19" i="52"/>
  <c r="D19" i="52"/>
  <c r="H13" i="52"/>
  <c r="H12" i="52"/>
  <c r="H11" i="52"/>
  <c r="A10" i="52"/>
  <c r="A9" i="52"/>
  <c r="D23" i="51"/>
  <c r="F19" i="51"/>
  <c r="E19" i="51"/>
  <c r="D19" i="51"/>
  <c r="H13" i="51"/>
  <c r="H12" i="51"/>
  <c r="H11" i="51"/>
  <c r="A10" i="51"/>
  <c r="A9" i="51"/>
  <c r="D23" i="50"/>
  <c r="F19" i="50"/>
  <c r="E19" i="50"/>
  <c r="D19" i="50"/>
  <c r="H13" i="50"/>
  <c r="H12" i="50"/>
  <c r="H11" i="50"/>
  <c r="A10" i="50"/>
  <c r="A9" i="50"/>
  <c r="F7" i="50"/>
  <c r="E7" i="50"/>
  <c r="D7" i="50"/>
  <c r="D22" i="49"/>
  <c r="F18" i="49"/>
  <c r="E18" i="49"/>
  <c r="D18" i="49"/>
  <c r="H12" i="49"/>
  <c r="H11" i="49"/>
  <c r="H10" i="49"/>
  <c r="A10" i="49"/>
  <c r="A9" i="49"/>
  <c r="D6" i="49"/>
  <c r="E6" i="49" s="1"/>
  <c r="F6" i="49" s="1"/>
  <c r="D24" i="48"/>
  <c r="F20" i="48"/>
  <c r="E20" i="48"/>
  <c r="D20" i="48"/>
  <c r="H14" i="48"/>
  <c r="H13" i="48"/>
  <c r="H12" i="48"/>
  <c r="A10" i="48"/>
  <c r="A9" i="48"/>
  <c r="H6" i="48"/>
  <c r="D24" i="47"/>
  <c r="F20" i="47"/>
  <c r="E20" i="47"/>
  <c r="D20" i="47"/>
  <c r="H14" i="47"/>
  <c r="H13" i="47"/>
  <c r="H12" i="47"/>
  <c r="A10" i="47"/>
  <c r="A9" i="47"/>
  <c r="D24" i="46"/>
  <c r="F20" i="46"/>
  <c r="E20" i="46"/>
  <c r="D20" i="46"/>
  <c r="H14" i="46"/>
  <c r="H13" i="46"/>
  <c r="H12" i="46"/>
  <c r="A10" i="46"/>
  <c r="A9" i="46"/>
  <c r="D23" i="45"/>
  <c r="F19" i="45"/>
  <c r="E19" i="45"/>
  <c r="D19" i="45"/>
  <c r="H13" i="45"/>
  <c r="H12" i="45"/>
  <c r="H11" i="45"/>
  <c r="A10" i="45"/>
  <c r="A9" i="45"/>
  <c r="D23" i="44"/>
  <c r="F19" i="44"/>
  <c r="E19" i="44"/>
  <c r="D19" i="44"/>
  <c r="H13" i="44"/>
  <c r="H12" i="44"/>
  <c r="H11" i="44"/>
  <c r="A10" i="44"/>
  <c r="A9" i="44"/>
  <c r="D22" i="43"/>
  <c r="F18" i="43"/>
  <c r="E18" i="43"/>
  <c r="D18" i="43"/>
  <c r="H12" i="43"/>
  <c r="H11" i="43"/>
  <c r="H10" i="43"/>
  <c r="A10" i="43"/>
  <c r="A9" i="43"/>
  <c r="E6" i="43"/>
  <c r="D22" i="42"/>
  <c r="F18" i="42"/>
  <c r="E18" i="42"/>
  <c r="D18" i="42"/>
  <c r="H12" i="42"/>
  <c r="H11" i="42"/>
  <c r="H10" i="42"/>
  <c r="A10" i="42"/>
  <c r="A9" i="42"/>
  <c r="D23" i="23"/>
  <c r="F19" i="23"/>
  <c r="E19" i="23"/>
  <c r="D19" i="23"/>
  <c r="H13" i="23"/>
  <c r="H12" i="23"/>
  <c r="H11" i="23"/>
  <c r="H10" i="23"/>
  <c r="A10" i="23"/>
  <c r="A9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A10" i="38"/>
  <c r="H9" i="38"/>
  <c r="A9" i="38"/>
  <c r="H8" i="38"/>
  <c r="H7" i="38"/>
  <c r="L3" i="38"/>
  <c r="K3" i="38"/>
  <c r="J3" i="38"/>
  <c r="I3" i="38"/>
  <c r="D20" i="20"/>
  <c r="F16" i="20"/>
  <c r="E16" i="20"/>
  <c r="D16" i="20"/>
  <c r="H10" i="20"/>
  <c r="A10" i="20"/>
  <c r="H9" i="20"/>
  <c r="A9" i="20"/>
  <c r="H8" i="20"/>
  <c r="H7" i="20"/>
  <c r="D20" i="19"/>
  <c r="F16" i="19"/>
  <c r="E16" i="19"/>
  <c r="D16" i="19"/>
  <c r="H10" i="19"/>
  <c r="A10" i="19"/>
  <c r="H9" i="19"/>
  <c r="A9" i="19"/>
  <c r="H8" i="19"/>
  <c r="H7" i="19"/>
  <c r="H39" i="3"/>
  <c r="G39" i="3"/>
  <c r="F39" i="3"/>
  <c r="I38" i="3"/>
  <c r="H38" i="3"/>
  <c r="G38" i="3"/>
  <c r="F38" i="3"/>
  <c r="E38" i="3"/>
  <c r="K37" i="3"/>
  <c r="A6" i="3" s="1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A10" i="3"/>
  <c r="O9" i="3"/>
  <c r="A9" i="3"/>
  <c r="O8" i="3"/>
  <c r="O7" i="3"/>
  <c r="O6" i="3"/>
  <c r="O5" i="3"/>
  <c r="O4" i="3"/>
  <c r="E4" i="3"/>
  <c r="O3" i="3"/>
  <c r="D21" i="18"/>
  <c r="F17" i="18"/>
  <c r="E17" i="18"/>
  <c r="D17" i="18"/>
  <c r="H11" i="18"/>
  <c r="H10" i="18"/>
  <c r="A10" i="18"/>
  <c r="H9" i="18"/>
  <c r="A9" i="18"/>
  <c r="H8" i="18"/>
  <c r="D21" i="41"/>
  <c r="F17" i="41"/>
  <c r="E17" i="41"/>
  <c r="D17" i="41"/>
  <c r="J11" i="41"/>
  <c r="J10" i="41"/>
  <c r="A10" i="41"/>
  <c r="J9" i="41"/>
  <c r="A9" i="41"/>
  <c r="J8" i="41"/>
  <c r="J11" i="14"/>
  <c r="J10" i="14"/>
  <c r="A10" i="14"/>
  <c r="J9" i="14"/>
  <c r="A9" i="14"/>
  <c r="J8" i="14"/>
  <c r="H12" i="55"/>
  <c r="H11" i="55"/>
  <c r="H10" i="55"/>
  <c r="A10" i="55"/>
  <c r="H9" i="55"/>
  <c r="A9" i="55"/>
  <c r="H12" i="12"/>
  <c r="H11" i="12"/>
  <c r="H10" i="12"/>
  <c r="A10" i="12"/>
  <c r="H9" i="12"/>
  <c r="A9" i="12"/>
  <c r="H12" i="11"/>
  <c r="H11" i="11"/>
  <c r="H10" i="11"/>
  <c r="A10" i="11"/>
  <c r="H9" i="11"/>
  <c r="A9" i="11"/>
  <c r="F18" i="10"/>
  <c r="E18" i="10"/>
  <c r="D18" i="10"/>
  <c r="H12" i="10"/>
  <c r="H11" i="10"/>
  <c r="H10" i="10"/>
  <c r="A10" i="10"/>
  <c r="H9" i="10"/>
  <c r="A9" i="10"/>
  <c r="H7" i="10"/>
  <c r="D22" i="10" s="1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A10" i="9"/>
  <c r="I9" i="9"/>
  <c r="A9" i="9"/>
  <c r="R6" i="9"/>
  <c r="Q6" i="9"/>
  <c r="S5" i="9"/>
  <c r="K9" i="9" s="1"/>
  <c r="S4" i="9"/>
  <c r="I7" i="9" s="1"/>
  <c r="W18" i="8"/>
  <c r="V18" i="8"/>
  <c r="O18" i="8"/>
  <c r="G18" i="8"/>
  <c r="F18" i="8"/>
  <c r="E18" i="8"/>
  <c r="D18" i="8"/>
  <c r="W17" i="8"/>
  <c r="V17" i="8"/>
  <c r="O17" i="8"/>
  <c r="I12" i="8"/>
  <c r="I11" i="8"/>
  <c r="I14" i="8" s="1"/>
  <c r="I10" i="8"/>
  <c r="A10" i="8"/>
  <c r="I9" i="8"/>
  <c r="A9" i="8"/>
  <c r="R6" i="8"/>
  <c r="Q6" i="8"/>
  <c r="S5" i="8"/>
  <c r="K9" i="8" s="1"/>
  <c r="S4" i="8"/>
  <c r="I7" i="8" s="1"/>
  <c r="N37" i="7"/>
  <c r="N38" i="7" s="1"/>
  <c r="K33" i="7"/>
  <c r="K34" i="7" s="1"/>
  <c r="K35" i="7" s="1"/>
  <c r="L30" i="7"/>
  <c r="L33" i="7" s="1"/>
  <c r="L34" i="7" s="1"/>
  <c r="L35" i="7" s="1"/>
  <c r="L36" i="7" s="1"/>
  <c r="W17" i="7"/>
  <c r="V17" i="7"/>
  <c r="O17" i="7"/>
  <c r="G17" i="7"/>
  <c r="F17" i="7"/>
  <c r="E17" i="7"/>
  <c r="D17" i="7"/>
  <c r="W16" i="7"/>
  <c r="V16" i="7"/>
  <c r="O16" i="7"/>
  <c r="I11" i="7"/>
  <c r="I10" i="7"/>
  <c r="A10" i="7"/>
  <c r="I9" i="7"/>
  <c r="A9" i="7"/>
  <c r="I8" i="7"/>
  <c r="R5" i="7"/>
  <c r="Q5" i="7"/>
  <c r="S4" i="7"/>
  <c r="K8" i="7" s="1"/>
  <c r="S3" i="7"/>
  <c r="I6" i="7" s="1"/>
  <c r="D21" i="6"/>
  <c r="G17" i="6"/>
  <c r="F17" i="6"/>
  <c r="E17" i="6"/>
  <c r="D17" i="6"/>
  <c r="I11" i="6"/>
  <c r="I10" i="6"/>
  <c r="A10" i="6"/>
  <c r="I9" i="6"/>
  <c r="A9" i="6"/>
  <c r="I8" i="6"/>
  <c r="D22" i="35"/>
  <c r="F18" i="35"/>
  <c r="E18" i="35"/>
  <c r="D18" i="35"/>
  <c r="H12" i="35"/>
  <c r="A10" i="35"/>
  <c r="H9" i="35"/>
  <c r="A9" i="35"/>
  <c r="D22" i="34"/>
  <c r="F18" i="34"/>
  <c r="E18" i="34"/>
  <c r="D18" i="34"/>
  <c r="H12" i="34"/>
  <c r="H11" i="34"/>
  <c r="G10" i="34"/>
  <c r="A10" i="34"/>
  <c r="H9" i="34"/>
  <c r="A9" i="34"/>
  <c r="D22" i="33"/>
  <c r="F18" i="33"/>
  <c r="E18" i="33"/>
  <c r="D18" i="33"/>
  <c r="H12" i="33"/>
  <c r="H11" i="33"/>
  <c r="H10" i="33"/>
  <c r="A10" i="33"/>
  <c r="H9" i="33"/>
  <c r="A9" i="33"/>
  <c r="F18" i="36"/>
  <c r="E18" i="36"/>
  <c r="D18" i="36"/>
  <c r="H12" i="36"/>
  <c r="H11" i="36"/>
  <c r="H10" i="36"/>
  <c r="A10" i="36"/>
  <c r="H9" i="36"/>
  <c r="A9" i="36"/>
  <c r="H7" i="36"/>
  <c r="D22" i="36" s="1"/>
  <c r="D22" i="31"/>
  <c r="F18" i="31"/>
  <c r="E18" i="31"/>
  <c r="D18" i="31"/>
  <c r="H12" i="31"/>
  <c r="H11" i="31"/>
  <c r="H10" i="31"/>
  <c r="A10" i="31"/>
  <c r="H9" i="31"/>
  <c r="A9" i="31"/>
  <c r="F18" i="30"/>
  <c r="E18" i="30"/>
  <c r="D18" i="30"/>
  <c r="H12" i="30"/>
  <c r="H11" i="30"/>
  <c r="H10" i="30"/>
  <c r="A10" i="30"/>
  <c r="H9" i="30"/>
  <c r="A9" i="30"/>
  <c r="H7" i="30"/>
  <c r="D22" i="30" s="1"/>
  <c r="D21" i="29"/>
  <c r="F17" i="29"/>
  <c r="E17" i="29"/>
  <c r="D17" i="29"/>
  <c r="H11" i="29"/>
  <c r="H10" i="29"/>
  <c r="A10" i="29"/>
  <c r="H9" i="29"/>
  <c r="A9" i="29"/>
  <c r="H8" i="29"/>
  <c r="F17" i="28"/>
  <c r="E17" i="28"/>
  <c r="D17" i="28"/>
  <c r="H11" i="28"/>
  <c r="H10" i="28"/>
  <c r="A10" i="28"/>
  <c r="H9" i="28"/>
  <c r="A9" i="28"/>
  <c r="H8" i="28"/>
  <c r="H6" i="28"/>
  <c r="D21" i="28" s="1"/>
  <c r="D21" i="27"/>
  <c r="F17" i="27"/>
  <c r="E17" i="27"/>
  <c r="D17" i="27"/>
  <c r="H11" i="27"/>
  <c r="H10" i="27"/>
  <c r="A10" i="27"/>
  <c r="H9" i="27"/>
  <c r="A9" i="27"/>
  <c r="H8" i="27"/>
  <c r="D21" i="26"/>
  <c r="F17" i="26"/>
  <c r="E17" i="26"/>
  <c r="D17" i="26"/>
  <c r="H11" i="26"/>
  <c r="J10" i="26"/>
  <c r="H10" i="26"/>
  <c r="A10" i="26"/>
  <c r="H9" i="26"/>
  <c r="A9" i="26"/>
  <c r="H8" i="26"/>
  <c r="D21" i="25"/>
  <c r="F17" i="25"/>
  <c r="E17" i="25"/>
  <c r="D17" i="25"/>
  <c r="H11" i="25"/>
  <c r="H10" i="25"/>
  <c r="A10" i="25"/>
  <c r="H9" i="25"/>
  <c r="A9" i="25"/>
  <c r="H8" i="25"/>
  <c r="D21" i="32"/>
  <c r="F17" i="32"/>
  <c r="E17" i="32"/>
  <c r="D17" i="32"/>
  <c r="H11" i="32"/>
  <c r="A10" i="32"/>
  <c r="H9" i="32"/>
  <c r="A9" i="32"/>
  <c r="H8" i="32"/>
  <c r="A6" i="32"/>
  <c r="D21" i="24"/>
  <c r="F17" i="24"/>
  <c r="E17" i="24"/>
  <c r="D17" i="24"/>
  <c r="H11" i="24"/>
  <c r="H10" i="24"/>
  <c r="A10" i="24"/>
  <c r="H9" i="24"/>
  <c r="A9" i="24"/>
  <c r="H8" i="24"/>
  <c r="A6" i="24"/>
  <c r="D21" i="22"/>
  <c r="F17" i="22"/>
  <c r="E17" i="22"/>
  <c r="D17" i="22"/>
  <c r="H11" i="22"/>
  <c r="H10" i="22"/>
  <c r="A10" i="22"/>
  <c r="H9" i="22"/>
  <c r="A9" i="22"/>
  <c r="H8" i="22"/>
  <c r="D21" i="1"/>
  <c r="F17" i="1"/>
  <c r="E17" i="1"/>
  <c r="D17" i="1"/>
  <c r="H11" i="1"/>
  <c r="H10" i="1"/>
  <c r="A10" i="1"/>
  <c r="H9" i="1"/>
  <c r="A9" i="1"/>
  <c r="H8" i="1"/>
  <c r="A6" i="1"/>
  <c r="J7" i="87" l="1"/>
  <c r="J24" i="87" s="1"/>
  <c r="D16" i="85"/>
  <c r="D17" i="85"/>
  <c r="A6" i="85" s="1"/>
  <c r="E12" i="88"/>
  <c r="F12" i="88" s="1"/>
  <c r="F15" i="88" s="1"/>
  <c r="E39" i="3"/>
  <c r="J43" i="3" s="1"/>
  <c r="O43" i="3" s="1"/>
  <c r="H20" i="4"/>
  <c r="A6" i="70"/>
  <c r="B6" i="76"/>
  <c r="A6" i="90"/>
  <c r="H16" i="4"/>
  <c r="A6" i="62"/>
  <c r="G7" i="76"/>
  <c r="A6" i="54"/>
  <c r="A6" i="53"/>
  <c r="A6" i="51"/>
  <c r="A6" i="49"/>
  <c r="A6" i="47"/>
  <c r="A6" i="43"/>
  <c r="A6" i="42"/>
  <c r="A6" i="23"/>
  <c r="A6" i="19"/>
  <c r="A6" i="41"/>
  <c r="D22" i="9"/>
  <c r="F16" i="9"/>
  <c r="D22" i="8"/>
  <c r="A6" i="8" s="1"/>
  <c r="F16" i="8"/>
  <c r="D21" i="7"/>
  <c r="A6" i="7" s="1"/>
  <c r="A6" i="34"/>
  <c r="A6" i="33"/>
  <c r="A6" i="22"/>
  <c r="A6" i="92"/>
  <c r="A6" i="68"/>
  <c r="A6" i="66"/>
  <c r="A6" i="2"/>
  <c r="A6" i="57"/>
  <c r="K36" i="7"/>
  <c r="K38" i="7"/>
  <c r="L38" i="7"/>
  <c r="A6" i="65"/>
  <c r="N4" i="76"/>
  <c r="O4" i="76" s="1"/>
  <c r="P4" i="76" s="1"/>
  <c r="Q4" i="76" s="1"/>
  <c r="Q8" i="76" s="1"/>
  <c r="M5" i="76"/>
  <c r="A6" i="20"/>
  <c r="A6" i="45"/>
  <c r="I5" i="76"/>
  <c r="J6" i="76"/>
  <c r="K8" i="76"/>
  <c r="A6" i="48"/>
  <c r="A6" i="50"/>
  <c r="C7" i="76"/>
  <c r="A6" i="31"/>
  <c r="A6" i="6"/>
  <c r="F15" i="7"/>
  <c r="A6" i="44"/>
  <c r="M45" i="76"/>
  <c r="I45" i="76"/>
  <c r="E45" i="76"/>
  <c r="L44" i="76"/>
  <c r="H44" i="76"/>
  <c r="D44" i="76"/>
  <c r="K43" i="76"/>
  <c r="G43" i="76"/>
  <c r="C43" i="76"/>
  <c r="J42" i="76"/>
  <c r="F42" i="76"/>
  <c r="B42" i="76"/>
  <c r="M41" i="76"/>
  <c r="I41" i="76"/>
  <c r="E41" i="76"/>
  <c r="L40" i="76"/>
  <c r="H40" i="76"/>
  <c r="D40" i="76"/>
  <c r="H45" i="76"/>
  <c r="C45" i="76"/>
  <c r="I44" i="76"/>
  <c r="C44" i="76"/>
  <c r="N43" i="76"/>
  <c r="I43" i="76"/>
  <c r="D43" i="76"/>
  <c r="I42" i="76"/>
  <c r="D42" i="76"/>
  <c r="J41" i="76"/>
  <c r="D41" i="76"/>
  <c r="J40" i="76"/>
  <c r="E40" i="76"/>
  <c r="M39" i="76"/>
  <c r="I39" i="76"/>
  <c r="E39" i="76"/>
  <c r="L45" i="76"/>
  <c r="G45" i="76"/>
  <c r="B45" i="76"/>
  <c r="M44" i="76"/>
  <c r="G44" i="76"/>
  <c r="B44" i="76"/>
  <c r="M43" i="76"/>
  <c r="H43" i="76"/>
  <c r="B43" i="76"/>
  <c r="M42" i="76"/>
  <c r="H42" i="76"/>
  <c r="C42" i="76"/>
  <c r="H41" i="76"/>
  <c r="C41" i="76"/>
  <c r="I40" i="76"/>
  <c r="C40" i="76"/>
  <c r="L39" i="76"/>
  <c r="H39" i="76"/>
  <c r="D39" i="76"/>
  <c r="K38" i="76"/>
  <c r="G38" i="76"/>
  <c r="C38" i="76"/>
  <c r="J37" i="76"/>
  <c r="F37" i="76"/>
  <c r="B37" i="76"/>
  <c r="K45" i="76"/>
  <c r="K44" i="76"/>
  <c r="L43" i="76"/>
  <c r="L42" i="76"/>
  <c r="L41" i="76"/>
  <c r="B41" i="76"/>
  <c r="M40" i="76"/>
  <c r="B40" i="76"/>
  <c r="G39" i="76"/>
  <c r="L38" i="76"/>
  <c r="F38" i="76"/>
  <c r="L37" i="76"/>
  <c r="G37" i="76"/>
  <c r="K36" i="76"/>
  <c r="G36" i="76"/>
  <c r="C36" i="76"/>
  <c r="J35" i="76"/>
  <c r="F35" i="76"/>
  <c r="B35" i="76"/>
  <c r="M34" i="76"/>
  <c r="I34" i="76"/>
  <c r="E34" i="76"/>
  <c r="L33" i="76"/>
  <c r="H33" i="76"/>
  <c r="D33" i="76"/>
  <c r="K32" i="76"/>
  <c r="G32" i="76"/>
  <c r="C32" i="76"/>
  <c r="J31" i="76"/>
  <c r="F31" i="76"/>
  <c r="B31" i="76"/>
  <c r="M30" i="76"/>
  <c r="I30" i="76"/>
  <c r="E30" i="76"/>
  <c r="L29" i="76"/>
  <c r="H29" i="76"/>
  <c r="D29" i="76"/>
  <c r="K28" i="76"/>
  <c r="G28" i="76"/>
  <c r="C28" i="76"/>
  <c r="J27" i="76"/>
  <c r="F27" i="76"/>
  <c r="B27" i="76"/>
  <c r="J45" i="76"/>
  <c r="J44" i="76"/>
  <c r="J43" i="76"/>
  <c r="K42" i="76"/>
  <c r="K41" i="76"/>
  <c r="K40" i="76"/>
  <c r="F39" i="76"/>
  <c r="J38" i="76"/>
  <c r="E38" i="76"/>
  <c r="K37" i="76"/>
  <c r="E37" i="76"/>
  <c r="J36" i="76"/>
  <c r="F36" i="76"/>
  <c r="B36" i="76"/>
  <c r="M35" i="76"/>
  <c r="I35" i="76"/>
  <c r="E35" i="76"/>
  <c r="L34" i="76"/>
  <c r="H34" i="76"/>
  <c r="D34" i="76"/>
  <c r="K33" i="76"/>
  <c r="G33" i="76"/>
  <c r="C33" i="76"/>
  <c r="J32" i="76"/>
  <c r="F32" i="76"/>
  <c r="B32" i="76"/>
  <c r="M31" i="76"/>
  <c r="I31" i="76"/>
  <c r="E31" i="76"/>
  <c r="L30" i="76"/>
  <c r="H30" i="76"/>
  <c r="D30" i="76"/>
  <c r="K29" i="76"/>
  <c r="G29" i="76"/>
  <c r="C29" i="76"/>
  <c r="J28" i="76"/>
  <c r="F28" i="76"/>
  <c r="B28" i="76"/>
  <c r="M27" i="76"/>
  <c r="I27" i="76"/>
  <c r="E27" i="76"/>
  <c r="L26" i="76"/>
  <c r="H26" i="76"/>
  <c r="D26" i="76"/>
  <c r="F45" i="76"/>
  <c r="F44" i="76"/>
  <c r="F43" i="76"/>
  <c r="D45" i="76"/>
  <c r="E44" i="76"/>
  <c r="E43" i="76"/>
  <c r="E42" i="76"/>
  <c r="F41" i="76"/>
  <c r="F40" i="76"/>
  <c r="J39" i="76"/>
  <c r="C39" i="76"/>
  <c r="D38" i="76"/>
  <c r="D37" i="76"/>
  <c r="M36" i="76"/>
  <c r="E36" i="76"/>
  <c r="H35" i="76"/>
  <c r="K34" i="76"/>
  <c r="C34" i="76"/>
  <c r="F33" i="76"/>
  <c r="I32" i="76"/>
  <c r="L31" i="76"/>
  <c r="D31" i="76"/>
  <c r="G30" i="76"/>
  <c r="J29" i="76"/>
  <c r="B29" i="76"/>
  <c r="M28" i="76"/>
  <c r="E28" i="76"/>
  <c r="H27" i="76"/>
  <c r="J26" i="76"/>
  <c r="E26" i="76"/>
  <c r="J25" i="76"/>
  <c r="F25" i="76"/>
  <c r="B25" i="76"/>
  <c r="M24" i="76"/>
  <c r="I24" i="76"/>
  <c r="E24" i="76"/>
  <c r="L23" i="76"/>
  <c r="H23" i="76"/>
  <c r="D23" i="76"/>
  <c r="K22" i="76"/>
  <c r="G22" i="76"/>
  <c r="C22" i="76"/>
  <c r="J21" i="76"/>
  <c r="F21" i="76"/>
  <c r="B21" i="76"/>
  <c r="M20" i="76"/>
  <c r="I20" i="76"/>
  <c r="E20" i="76"/>
  <c r="L19" i="76"/>
  <c r="H19" i="76"/>
  <c r="D19" i="76"/>
  <c r="K18" i="76"/>
  <c r="G18" i="76"/>
  <c r="C18" i="76"/>
  <c r="B39" i="76"/>
  <c r="M38" i="76"/>
  <c r="B38" i="76"/>
  <c r="M37" i="76"/>
  <c r="C37" i="76"/>
  <c r="L36" i="76"/>
  <c r="D36" i="76"/>
  <c r="G35" i="76"/>
  <c r="J34" i="76"/>
  <c r="B34" i="76"/>
  <c r="M33" i="76"/>
  <c r="E33" i="76"/>
  <c r="H32" i="76"/>
  <c r="K31" i="76"/>
  <c r="C31" i="76"/>
  <c r="F30" i="76"/>
  <c r="I29" i="76"/>
  <c r="L28" i="76"/>
  <c r="D28" i="76"/>
  <c r="G27" i="76"/>
  <c r="I26" i="76"/>
  <c r="C26" i="76"/>
  <c r="M25" i="76"/>
  <c r="I25" i="76"/>
  <c r="E25" i="76"/>
  <c r="L24" i="76"/>
  <c r="H24" i="76"/>
  <c r="D24" i="76"/>
  <c r="K23" i="76"/>
  <c r="G23" i="76"/>
  <c r="C23" i="76"/>
  <c r="J22" i="76"/>
  <c r="F22" i="76"/>
  <c r="B22" i="76"/>
  <c r="M21" i="76"/>
  <c r="I21" i="76"/>
  <c r="E21" i="76"/>
  <c r="L20" i="76"/>
  <c r="H20" i="76"/>
  <c r="D20" i="76"/>
  <c r="K19" i="76"/>
  <c r="G19" i="76"/>
  <c r="C19" i="76"/>
  <c r="J18" i="76"/>
  <c r="F18" i="76"/>
  <c r="B18" i="76"/>
  <c r="M17" i="76"/>
  <c r="I17" i="76"/>
  <c r="E17" i="76"/>
  <c r="I36" i="76"/>
  <c r="D35" i="76"/>
  <c r="J33" i="76"/>
  <c r="E32" i="76"/>
  <c r="K30" i="76"/>
  <c r="F29" i="76"/>
  <c r="L27" i="76"/>
  <c r="M26" i="76"/>
  <c r="B26" i="76"/>
  <c r="H25" i="76"/>
  <c r="K24" i="76"/>
  <c r="C24" i="76"/>
  <c r="F23" i="76"/>
  <c r="I22" i="76"/>
  <c r="L21" i="76"/>
  <c r="D21" i="76"/>
  <c r="G20" i="76"/>
  <c r="J19" i="76"/>
  <c r="B19" i="76"/>
  <c r="M18" i="76"/>
  <c r="E18" i="76"/>
  <c r="H17" i="76"/>
  <c r="G42" i="76"/>
  <c r="G40" i="76"/>
  <c r="H36" i="76"/>
  <c r="C35" i="76"/>
  <c r="I38" i="76"/>
  <c r="I37" i="76"/>
  <c r="L35" i="76"/>
  <c r="G34" i="76"/>
  <c r="B33" i="76"/>
  <c r="M32" i="76"/>
  <c r="H31" i="76"/>
  <c r="C30" i="76"/>
  <c r="I28" i="76"/>
  <c r="D27" i="76"/>
  <c r="G26" i="76"/>
  <c r="L25" i="76"/>
  <c r="D25" i="76"/>
  <c r="G24" i="76"/>
  <c r="J23" i="76"/>
  <c r="B23" i="76"/>
  <c r="M22" i="76"/>
  <c r="E22" i="76"/>
  <c r="H21" i="76"/>
  <c r="K20" i="76"/>
  <c r="C20" i="76"/>
  <c r="F19" i="76"/>
  <c r="G41" i="76"/>
  <c r="K39" i="76"/>
  <c r="H38" i="76"/>
  <c r="H37" i="76"/>
  <c r="K35" i="76"/>
  <c r="F34" i="76"/>
  <c r="L32" i="76"/>
  <c r="G31" i="76"/>
  <c r="B30" i="76"/>
  <c r="M29" i="76"/>
  <c r="H28" i="76"/>
  <c r="C27" i="76"/>
  <c r="F26" i="76"/>
  <c r="K25" i="76"/>
  <c r="C25" i="76"/>
  <c r="F24" i="76"/>
  <c r="I23" i="76"/>
  <c r="L22" i="76"/>
  <c r="D22" i="76"/>
  <c r="G21" i="76"/>
  <c r="J20" i="76"/>
  <c r="B20" i="76"/>
  <c r="M19" i="76"/>
  <c r="E19" i="76"/>
  <c r="H18" i="76"/>
  <c r="J17" i="76"/>
  <c r="D17" i="76"/>
  <c r="L16" i="76"/>
  <c r="H16" i="76"/>
  <c r="D16" i="76"/>
  <c r="K15" i="76"/>
  <c r="G15" i="76"/>
  <c r="C15" i="76"/>
  <c r="J14" i="76"/>
  <c r="F14" i="76"/>
  <c r="B14" i="76"/>
  <c r="M13" i="76"/>
  <c r="I13" i="76"/>
  <c r="E13" i="76"/>
  <c r="L12" i="76"/>
  <c r="H12" i="76"/>
  <c r="D12" i="76"/>
  <c r="K11" i="76"/>
  <c r="G11" i="76"/>
  <c r="C11" i="76"/>
  <c r="J10" i="76"/>
  <c r="F10" i="76"/>
  <c r="B10" i="76"/>
  <c r="M9" i="76"/>
  <c r="I9" i="76"/>
  <c r="E9" i="76"/>
  <c r="L8" i="76"/>
  <c r="H8" i="76"/>
  <c r="D8" i="76"/>
  <c r="J24" i="76"/>
  <c r="K21" i="76"/>
  <c r="L18" i="76"/>
  <c r="G17" i="76"/>
  <c r="J16" i="76"/>
  <c r="E16" i="76"/>
  <c r="J15" i="76"/>
  <c r="E15" i="76"/>
  <c r="K14" i="76"/>
  <c r="E14" i="76"/>
  <c r="K13" i="76"/>
  <c r="F13" i="76"/>
  <c r="K12" i="76"/>
  <c r="F12" i="76"/>
  <c r="L11" i="76"/>
  <c r="F11" i="76"/>
  <c r="L10" i="76"/>
  <c r="G10" i="76"/>
  <c r="L9" i="76"/>
  <c r="G9" i="76"/>
  <c r="B9" i="76"/>
  <c r="M8" i="76"/>
  <c r="G8" i="76"/>
  <c r="B8" i="76"/>
  <c r="L7" i="76"/>
  <c r="H7" i="76"/>
  <c r="D7" i="76"/>
  <c r="K6" i="76"/>
  <c r="G6" i="76"/>
  <c r="C6" i="76"/>
  <c r="J5" i="76"/>
  <c r="F5" i="76"/>
  <c r="B24" i="76"/>
  <c r="M23" i="76"/>
  <c r="C21" i="76"/>
  <c r="I18" i="76"/>
  <c r="F17" i="76"/>
  <c r="I16" i="76"/>
  <c r="C16" i="76"/>
  <c r="I15" i="76"/>
  <c r="D15" i="76"/>
  <c r="I14" i="76"/>
  <c r="D14" i="76"/>
  <c r="J13" i="76"/>
  <c r="D13" i="76"/>
  <c r="J12" i="76"/>
  <c r="E12" i="76"/>
  <c r="J11" i="76"/>
  <c r="E11" i="76"/>
  <c r="K10" i="76"/>
  <c r="E10" i="76"/>
  <c r="K9" i="76"/>
  <c r="F9" i="76"/>
  <c r="D32" i="76"/>
  <c r="E29" i="76"/>
  <c r="K26" i="76"/>
  <c r="E23" i="76"/>
  <c r="F20" i="76"/>
  <c r="D18" i="76"/>
  <c r="L17" i="76"/>
  <c r="C17" i="76"/>
  <c r="M16" i="76"/>
  <c r="G16" i="76"/>
  <c r="B16" i="76"/>
  <c r="M15" i="76"/>
  <c r="H15" i="76"/>
  <c r="B15" i="76"/>
  <c r="M14" i="76"/>
  <c r="H14" i="76"/>
  <c r="C14" i="76"/>
  <c r="H13" i="76"/>
  <c r="C13" i="76"/>
  <c r="I12" i="76"/>
  <c r="C12" i="76"/>
  <c r="I11" i="76"/>
  <c r="D11" i="76"/>
  <c r="I10" i="76"/>
  <c r="D10" i="76"/>
  <c r="J9" i="76"/>
  <c r="D9" i="76"/>
  <c r="J8" i="76"/>
  <c r="E8" i="76"/>
  <c r="J7" i="76"/>
  <c r="F7" i="76"/>
  <c r="B7" i="76"/>
  <c r="M6" i="76"/>
  <c r="I6" i="76"/>
  <c r="E6" i="76"/>
  <c r="L5" i="76"/>
  <c r="H5" i="76"/>
  <c r="D5" i="76"/>
  <c r="I33" i="76"/>
  <c r="J30" i="76"/>
  <c r="K27" i="76"/>
  <c r="G25" i="76"/>
  <c r="H22" i="76"/>
  <c r="I19" i="76"/>
  <c r="K17" i="76"/>
  <c r="B17" i="76"/>
  <c r="K16" i="76"/>
  <c r="F16" i="76"/>
  <c r="L15" i="76"/>
  <c r="F15" i="76"/>
  <c r="L14" i="76"/>
  <c r="G14" i="76"/>
  <c r="L13" i="76"/>
  <c r="G13" i="76"/>
  <c r="B13" i="76"/>
  <c r="M12" i="76"/>
  <c r="G12" i="76"/>
  <c r="B12" i="76"/>
  <c r="M11" i="76"/>
  <c r="H11" i="76"/>
  <c r="B11" i="76"/>
  <c r="M10" i="76"/>
  <c r="H10" i="76"/>
  <c r="C10" i="76"/>
  <c r="H9" i="76"/>
  <c r="C9" i="76"/>
  <c r="I8" i="76"/>
  <c r="C8" i="76"/>
  <c r="M7" i="76"/>
  <c r="I7" i="76"/>
  <c r="E7" i="76"/>
  <c r="L6" i="76"/>
  <c r="H6" i="76"/>
  <c r="D6" i="76"/>
  <c r="K5" i="76"/>
  <c r="G5" i="76"/>
  <c r="C5" i="76"/>
  <c r="E5" i="76"/>
  <c r="F6" i="76"/>
  <c r="K7" i="76"/>
  <c r="F8" i="76"/>
  <c r="A6" i="52"/>
  <c r="A6" i="46"/>
  <c r="A6" i="38"/>
  <c r="N24" i="76" l="1"/>
  <c r="Q26" i="76"/>
  <c r="F16" i="88"/>
  <c r="A6" i="88" s="1"/>
  <c r="O12" i="76"/>
  <c r="N20" i="76"/>
  <c r="N9" i="76"/>
  <c r="N16" i="76"/>
  <c r="Q38" i="76"/>
  <c r="Q18" i="76"/>
  <c r="O9" i="76"/>
  <c r="J44" i="3"/>
  <c r="O44" i="3" s="1"/>
  <c r="J40" i="3"/>
  <c r="O40" i="3" s="1"/>
  <c r="Q14" i="76"/>
  <c r="N13" i="76"/>
  <c r="P13" i="76"/>
  <c r="N29" i="76"/>
  <c r="N23" i="76"/>
  <c r="P25" i="76"/>
  <c r="Q28" i="76"/>
  <c r="P26" i="76"/>
  <c r="Q27" i="76"/>
  <c r="N28" i="76"/>
  <c r="O29" i="76"/>
  <c r="P30" i="76"/>
  <c r="Q31" i="76"/>
  <c r="N32" i="76"/>
  <c r="O33" i="76"/>
  <c r="P34" i="76"/>
  <c r="Q35" i="76"/>
  <c r="N36" i="76"/>
  <c r="P18" i="76"/>
  <c r="N19" i="76"/>
  <c r="P21" i="76"/>
  <c r="P43" i="76"/>
  <c r="N17" i="76"/>
  <c r="Q17" i="76"/>
  <c r="N18" i="76"/>
  <c r="O19" i="76"/>
  <c r="P20" i="76"/>
  <c r="Q21" i="76"/>
  <c r="N22" i="76"/>
  <c r="O23" i="76"/>
  <c r="P24" i="76"/>
  <c r="Q25" i="76"/>
  <c r="Q43" i="76"/>
  <c r="N39" i="76"/>
  <c r="N41" i="76"/>
  <c r="Q39" i="76"/>
  <c r="N8" i="76"/>
  <c r="O8" i="76"/>
  <c r="N12" i="76"/>
  <c r="Q12" i="76"/>
  <c r="O16" i="76"/>
  <c r="O27" i="76"/>
  <c r="Q29" i="76"/>
  <c r="O35" i="76"/>
  <c r="Q40" i="76"/>
  <c r="O44" i="76"/>
  <c r="O26" i="76"/>
  <c r="O30" i="76"/>
  <c r="Q32" i="76"/>
  <c r="N38" i="76"/>
  <c r="Q44" i="76"/>
  <c r="Q37" i="76"/>
  <c r="N40" i="76"/>
  <c r="O42" i="76"/>
  <c r="Q16" i="76"/>
  <c r="Q19" i="76"/>
  <c r="O25" i="76"/>
  <c r="P11" i="76"/>
  <c r="N15" i="76"/>
  <c r="O5" i="76"/>
  <c r="P6" i="76"/>
  <c r="Q7" i="76"/>
  <c r="Q15" i="76"/>
  <c r="P5" i="76"/>
  <c r="Q6" i="76"/>
  <c r="N7" i="76"/>
  <c r="N11" i="76"/>
  <c r="P10" i="76"/>
  <c r="O14" i="76"/>
  <c r="P17" i="76"/>
  <c r="N5" i="76"/>
  <c r="O6" i="76"/>
  <c r="P7" i="76"/>
  <c r="Q11" i="76"/>
  <c r="P15" i="76"/>
  <c r="P28" i="76"/>
  <c r="O17" i="76"/>
  <c r="O21" i="76"/>
  <c r="Q23" i="76"/>
  <c r="P36" i="76"/>
  <c r="O24" i="76"/>
  <c r="N34" i="76"/>
  <c r="O20" i="76"/>
  <c r="Q22" i="76"/>
  <c r="O34" i="76"/>
  <c r="P41" i="76"/>
  <c r="O45" i="76"/>
  <c r="O18" i="76"/>
  <c r="P19" i="76"/>
  <c r="Q20" i="76"/>
  <c r="N21" i="76"/>
  <c r="O22" i="76"/>
  <c r="P23" i="76"/>
  <c r="Q24" i="76"/>
  <c r="N25" i="76"/>
  <c r="P45" i="76"/>
  <c r="P38" i="76"/>
  <c r="N27" i="76"/>
  <c r="O28" i="76"/>
  <c r="P29" i="76"/>
  <c r="Q30" i="76"/>
  <c r="N31" i="76"/>
  <c r="O32" i="76"/>
  <c r="P33" i="76"/>
  <c r="Q34" i="76"/>
  <c r="N35" i="76"/>
  <c r="O36" i="76"/>
  <c r="O39" i="76"/>
  <c r="N37" i="76"/>
  <c r="O38" i="76"/>
  <c r="P39" i="76"/>
  <c r="O41" i="76"/>
  <c r="N45" i="76"/>
  <c r="P40" i="76"/>
  <c r="Q41" i="76"/>
  <c r="N42" i="76"/>
  <c r="O43" i="76"/>
  <c r="P44" i="76"/>
  <c r="Q45" i="76"/>
  <c r="O10" i="76"/>
  <c r="P22" i="76"/>
  <c r="P9" i="76"/>
  <c r="O13" i="76"/>
  <c r="Q10" i="76"/>
  <c r="P14" i="76"/>
  <c r="O31" i="76"/>
  <c r="P8" i="76"/>
  <c r="Q9" i="76"/>
  <c r="N10" i="76"/>
  <c r="O11" i="76"/>
  <c r="P12" i="76"/>
  <c r="Q13" i="76"/>
  <c r="N14" i="76"/>
  <c r="O15" i="76"/>
  <c r="P16" i="76"/>
  <c r="Q33" i="76"/>
  <c r="Q36" i="76"/>
  <c r="P31" i="76"/>
  <c r="N26" i="76"/>
  <c r="N30" i="76"/>
  <c r="P32" i="76"/>
  <c r="P42" i="76"/>
  <c r="P27" i="76"/>
  <c r="N33" i="76"/>
  <c r="P35" i="76"/>
  <c r="O37" i="76"/>
  <c r="Q42" i="76"/>
  <c r="P37" i="76"/>
  <c r="O40" i="76"/>
  <c r="N44" i="76"/>
  <c r="J41" i="3"/>
  <c r="O41" i="3" s="1"/>
  <c r="J42" i="3"/>
  <c r="O42" i="3" s="1"/>
  <c r="N6" i="76"/>
  <c r="O7" i="76"/>
  <c r="R4" i="76"/>
  <c r="Q5" i="76"/>
  <c r="S4" i="76" l="1"/>
  <c r="R6" i="76"/>
  <c r="R45" i="76"/>
  <c r="R44" i="76"/>
  <c r="R43" i="76"/>
  <c r="R28" i="76"/>
  <c r="R21" i="76"/>
  <c r="R34" i="76"/>
  <c r="R22" i="76"/>
  <c r="R19" i="76"/>
  <c r="R42" i="76"/>
  <c r="R37" i="76"/>
  <c r="R35" i="76"/>
  <c r="R40" i="76"/>
  <c r="R39" i="76"/>
  <c r="R18" i="76"/>
  <c r="R31" i="76"/>
  <c r="R36" i="76"/>
  <c r="R38" i="76"/>
  <c r="R26" i="76"/>
  <c r="R20" i="76"/>
  <c r="R17" i="76"/>
  <c r="R27" i="76"/>
  <c r="R32" i="76"/>
  <c r="R41" i="76"/>
  <c r="R29" i="76"/>
  <c r="R25" i="76"/>
  <c r="R33" i="76"/>
  <c r="R14" i="76"/>
  <c r="R23" i="76"/>
  <c r="R9" i="76"/>
  <c r="R8" i="76"/>
  <c r="R10" i="76"/>
  <c r="R5" i="76"/>
  <c r="R16" i="76"/>
  <c r="R15" i="76"/>
  <c r="R24" i="76"/>
  <c r="R30" i="76"/>
  <c r="R7" i="76"/>
  <c r="R13" i="76"/>
  <c r="R12" i="76"/>
  <c r="R11" i="76"/>
  <c r="T4" i="76" l="1"/>
  <c r="S42" i="76"/>
  <c r="S41" i="76"/>
  <c r="S40" i="76"/>
  <c r="S28" i="76"/>
  <c r="S33" i="76"/>
  <c r="S17" i="76"/>
  <c r="S37" i="76"/>
  <c r="S20" i="76"/>
  <c r="S25" i="76"/>
  <c r="S29" i="76"/>
  <c r="S34" i="76"/>
  <c r="S22" i="76"/>
  <c r="S26" i="76"/>
  <c r="S23" i="76"/>
  <c r="S35" i="76"/>
  <c r="S7" i="76"/>
  <c r="S43" i="76"/>
  <c r="S38" i="76"/>
  <c r="S36" i="76"/>
  <c r="S18" i="76"/>
  <c r="S19" i="76"/>
  <c r="S24" i="76"/>
  <c r="S45" i="76"/>
  <c r="S44" i="76"/>
  <c r="S32" i="76"/>
  <c r="S39" i="76"/>
  <c r="S31" i="76"/>
  <c r="S30" i="76"/>
  <c r="S27" i="76"/>
  <c r="S15" i="76"/>
  <c r="S14" i="76"/>
  <c r="S13" i="76"/>
  <c r="S12" i="76"/>
  <c r="S21" i="76"/>
  <c r="S5" i="76"/>
  <c r="S11" i="76"/>
  <c r="S6" i="76"/>
  <c r="S16" i="76"/>
  <c r="S10" i="76"/>
  <c r="S9" i="76"/>
  <c r="S8" i="76"/>
  <c r="U4" i="76" l="1"/>
  <c r="T44" i="76"/>
  <c r="T39" i="76"/>
  <c r="T26" i="76"/>
  <c r="T31" i="76"/>
  <c r="T19" i="76"/>
  <c r="T20" i="76"/>
  <c r="T38" i="76"/>
  <c r="T40" i="76"/>
  <c r="T33" i="76"/>
  <c r="T36" i="76"/>
  <c r="T16" i="76"/>
  <c r="T21" i="76"/>
  <c r="T29" i="76"/>
  <c r="T34" i="76"/>
  <c r="T28" i="76"/>
  <c r="T37" i="76"/>
  <c r="T25" i="76"/>
  <c r="T17" i="76"/>
  <c r="T43" i="76"/>
  <c r="T42" i="76"/>
  <c r="T41" i="76"/>
  <c r="T45" i="76"/>
  <c r="T30" i="76"/>
  <c r="T23" i="76"/>
  <c r="T24" i="76"/>
  <c r="T35" i="76"/>
  <c r="T27" i="76"/>
  <c r="T22" i="76"/>
  <c r="T12" i="76"/>
  <c r="T8" i="76"/>
  <c r="T32" i="76"/>
  <c r="T7" i="76"/>
  <c r="T18" i="76"/>
  <c r="T11" i="76"/>
  <c r="T10" i="76"/>
  <c r="T9" i="76"/>
  <c r="T6" i="76"/>
  <c r="T15" i="76"/>
  <c r="T14" i="76"/>
  <c r="T13" i="76"/>
  <c r="T5" i="76"/>
  <c r="V4" i="76" l="1"/>
  <c r="U30" i="76"/>
  <c r="U35" i="76"/>
  <c r="U28" i="76"/>
  <c r="U37" i="76"/>
  <c r="U31" i="76"/>
  <c r="U24" i="76"/>
  <c r="U33" i="76"/>
  <c r="U25" i="76"/>
  <c r="U18" i="76"/>
  <c r="U45" i="76"/>
  <c r="U42" i="76"/>
  <c r="U38" i="76"/>
  <c r="U27" i="76"/>
  <c r="U26" i="76"/>
  <c r="U20" i="76"/>
  <c r="U21" i="76"/>
  <c r="U22" i="76"/>
  <c r="U16" i="76"/>
  <c r="U9" i="76"/>
  <c r="U15" i="76"/>
  <c r="U41" i="76"/>
  <c r="U40" i="76"/>
  <c r="U39" i="76"/>
  <c r="U34" i="76"/>
  <c r="U44" i="76"/>
  <c r="U43" i="76"/>
  <c r="U36" i="76"/>
  <c r="U17" i="76"/>
  <c r="U32" i="76"/>
  <c r="U19" i="76"/>
  <c r="U23" i="76"/>
  <c r="U13" i="76"/>
  <c r="U14" i="76"/>
  <c r="U6" i="76"/>
  <c r="U29" i="76"/>
  <c r="U10" i="76"/>
  <c r="U8" i="76"/>
  <c r="U5" i="76"/>
  <c r="U12" i="76"/>
  <c r="U11" i="76"/>
  <c r="U7" i="76"/>
  <c r="W4" i="76" l="1"/>
  <c r="V8" i="76"/>
  <c r="V42" i="76"/>
  <c r="V37" i="76"/>
  <c r="V45" i="76"/>
  <c r="V35" i="76"/>
  <c r="V40" i="76"/>
  <c r="V30" i="76"/>
  <c r="V18" i="76"/>
  <c r="V31" i="76"/>
  <c r="V41" i="76"/>
  <c r="V36" i="76"/>
  <c r="V43" i="76"/>
  <c r="V38" i="76"/>
  <c r="V27" i="76"/>
  <c r="V32" i="76"/>
  <c r="V33" i="76"/>
  <c r="V25" i="76"/>
  <c r="V29" i="76"/>
  <c r="V14" i="76"/>
  <c r="V16" i="76"/>
  <c r="V44" i="76"/>
  <c r="V39" i="76"/>
  <c r="V28" i="76"/>
  <c r="V21" i="76"/>
  <c r="V22" i="76"/>
  <c r="V23" i="76"/>
  <c r="V34" i="76"/>
  <c r="V10" i="76"/>
  <c r="V19" i="76"/>
  <c r="V13" i="76"/>
  <c r="V5" i="76"/>
  <c r="V9" i="76"/>
  <c r="V17" i="76"/>
  <c r="V15" i="76"/>
  <c r="V6" i="76"/>
  <c r="V24" i="76"/>
  <c r="V20" i="76"/>
  <c r="V11" i="76"/>
  <c r="V7" i="76"/>
  <c r="V12" i="76"/>
  <c r="V26" i="76"/>
  <c r="X4" i="76" l="1"/>
  <c r="W7" i="76"/>
  <c r="W41" i="76"/>
  <c r="W40" i="76"/>
  <c r="W29" i="76"/>
  <c r="W22" i="76"/>
  <c r="W23" i="76"/>
  <c r="W34" i="76"/>
  <c r="W43" i="76"/>
  <c r="W38" i="76"/>
  <c r="W42" i="76"/>
  <c r="W37" i="76"/>
  <c r="W36" i="76"/>
  <c r="W30" i="76"/>
  <c r="W18" i="76"/>
  <c r="W19" i="76"/>
  <c r="W26" i="76"/>
  <c r="W39" i="76"/>
  <c r="W32" i="76"/>
  <c r="W35" i="76"/>
  <c r="W20" i="76"/>
  <c r="W31" i="76"/>
  <c r="W45" i="76"/>
  <c r="W44" i="76"/>
  <c r="W28" i="76"/>
  <c r="W33" i="76"/>
  <c r="W27" i="76"/>
  <c r="W24" i="76"/>
  <c r="W15" i="76"/>
  <c r="W21" i="76"/>
  <c r="W9" i="76"/>
  <c r="W8" i="76"/>
  <c r="W25" i="76"/>
  <c r="W17" i="76"/>
  <c r="W10" i="76"/>
  <c r="W11" i="76"/>
  <c r="W6" i="76"/>
  <c r="W16" i="76"/>
  <c r="W14" i="76"/>
  <c r="W13" i="76"/>
  <c r="W12" i="76"/>
  <c r="W5" i="76"/>
  <c r="Y4" i="76" l="1"/>
  <c r="X40" i="76"/>
  <c r="X39" i="76"/>
  <c r="X33" i="76"/>
  <c r="X35" i="76"/>
  <c r="X38" i="76"/>
  <c r="X37" i="76"/>
  <c r="X16" i="76"/>
  <c r="X31" i="76"/>
  <c r="X29" i="76"/>
  <c r="X34" i="76"/>
  <c r="X27" i="76"/>
  <c r="X25" i="76"/>
  <c r="X45" i="76"/>
  <c r="X30" i="76"/>
  <c r="X23" i="76"/>
  <c r="X32" i="76"/>
  <c r="X24" i="76"/>
  <c r="X36" i="76"/>
  <c r="X28" i="76"/>
  <c r="X12" i="76"/>
  <c r="X44" i="76"/>
  <c r="X43" i="76"/>
  <c r="X42" i="76"/>
  <c r="X41" i="76"/>
  <c r="X26" i="76"/>
  <c r="X19" i="76"/>
  <c r="X20" i="76"/>
  <c r="X17" i="76"/>
  <c r="X21" i="76"/>
  <c r="X8" i="76"/>
  <c r="X7" i="76"/>
  <c r="X22" i="76"/>
  <c r="X15" i="76"/>
  <c r="X14" i="76"/>
  <c r="X13" i="76"/>
  <c r="X18" i="76"/>
  <c r="X5" i="76"/>
  <c r="X11" i="76"/>
  <c r="X10" i="76"/>
  <c r="X9" i="76"/>
  <c r="X6" i="76"/>
  <c r="Z4" i="76" l="1"/>
  <c r="Y26" i="76"/>
  <c r="Y31" i="76"/>
  <c r="Y24" i="76"/>
  <c r="Y25" i="76"/>
  <c r="Y36" i="76"/>
  <c r="Y22" i="76"/>
  <c r="Y28" i="76"/>
  <c r="Y45" i="76"/>
  <c r="Y27" i="76"/>
  <c r="Y20" i="76"/>
  <c r="Y29" i="76"/>
  <c r="Y21" i="76"/>
  <c r="Y41" i="76"/>
  <c r="Y44" i="76"/>
  <c r="Y43" i="76"/>
  <c r="Y42" i="76"/>
  <c r="Y34" i="76"/>
  <c r="Y38" i="76"/>
  <c r="Y37" i="76"/>
  <c r="Y17" i="76"/>
  <c r="Y23" i="76"/>
  <c r="Y5" i="76"/>
  <c r="Y40" i="76"/>
  <c r="Y39" i="76"/>
  <c r="Y30" i="76"/>
  <c r="Y35" i="76"/>
  <c r="Y32" i="76"/>
  <c r="Y13" i="76"/>
  <c r="Y19" i="76"/>
  <c r="Y6" i="76"/>
  <c r="Y9" i="76"/>
  <c r="Y33" i="76"/>
  <c r="Y16" i="76"/>
  <c r="Y12" i="76"/>
  <c r="Y11" i="76"/>
  <c r="Y10" i="76"/>
  <c r="Y18" i="76"/>
  <c r="Y15" i="76"/>
  <c r="Y14" i="76"/>
  <c r="Y8" i="76"/>
  <c r="Y7" i="76"/>
  <c r="AA4" i="76" l="1"/>
  <c r="Z31" i="76"/>
  <c r="Z36" i="76"/>
  <c r="Z45" i="76"/>
  <c r="Z43" i="76"/>
  <c r="Z26" i="76"/>
  <c r="Z33" i="76"/>
  <c r="Z23" i="76"/>
  <c r="Z27" i="76"/>
  <c r="Z38" i="76"/>
  <c r="Z32" i="76"/>
  <c r="Z25" i="76"/>
  <c r="Z6" i="76"/>
  <c r="Z41" i="76"/>
  <c r="Z40" i="76"/>
  <c r="Z39" i="76"/>
  <c r="Z28" i="76"/>
  <c r="Z44" i="76"/>
  <c r="Z29" i="76"/>
  <c r="Z21" i="76"/>
  <c r="Z22" i="76"/>
  <c r="Z10" i="76"/>
  <c r="Z42" i="76"/>
  <c r="Z37" i="76"/>
  <c r="Z35" i="76"/>
  <c r="Z34" i="76"/>
  <c r="Z18" i="76"/>
  <c r="Z19" i="76"/>
  <c r="Z20" i="76"/>
  <c r="Z5" i="76"/>
  <c r="Z24" i="76"/>
  <c r="Z14" i="76"/>
  <c r="Z9" i="76"/>
  <c r="Z8" i="76"/>
  <c r="Z7" i="76"/>
  <c r="Z17" i="76"/>
  <c r="Z13" i="76"/>
  <c r="Z12" i="76"/>
  <c r="Z11" i="76"/>
  <c r="Z16" i="76"/>
  <c r="Z15" i="76"/>
  <c r="Z30" i="76"/>
  <c r="AB4" i="76" l="1"/>
  <c r="AA43" i="76"/>
  <c r="AA38" i="76"/>
  <c r="AA36" i="76"/>
  <c r="AA37" i="76"/>
  <c r="AA25" i="76"/>
  <c r="AA41" i="76"/>
  <c r="AA34" i="76"/>
  <c r="AA18" i="76"/>
  <c r="AA19" i="76"/>
  <c r="AA35" i="76"/>
  <c r="AA39" i="76"/>
  <c r="AA32" i="76"/>
  <c r="AA45" i="76"/>
  <c r="AA26" i="76"/>
  <c r="AA24" i="76"/>
  <c r="AA28" i="76"/>
  <c r="AA33" i="76"/>
  <c r="AA42" i="76"/>
  <c r="AA40" i="76"/>
  <c r="AA31" i="76"/>
  <c r="AA15" i="76"/>
  <c r="AA29" i="76"/>
  <c r="AA44" i="76"/>
  <c r="AA22" i="76"/>
  <c r="AA23" i="76"/>
  <c r="AA30" i="76"/>
  <c r="AA20" i="76"/>
  <c r="AA11" i="76"/>
  <c r="AA14" i="76"/>
  <c r="AA9" i="76"/>
  <c r="AA21" i="76"/>
  <c r="AA6" i="76"/>
  <c r="AA17" i="76"/>
  <c r="AA10" i="76"/>
  <c r="AA27" i="76"/>
  <c r="AA7" i="76"/>
  <c r="AA12" i="76"/>
  <c r="AA16" i="76"/>
  <c r="AA5" i="76"/>
  <c r="AA8" i="76"/>
  <c r="AA13" i="76"/>
  <c r="AC4" i="76" l="1"/>
  <c r="AB37" i="76"/>
  <c r="AB29" i="76"/>
  <c r="AB34" i="76"/>
  <c r="AB39" i="76"/>
  <c r="AB36" i="76"/>
  <c r="AB21" i="76"/>
  <c r="AB38" i="76"/>
  <c r="AB30" i="76"/>
  <c r="AB43" i="76"/>
  <c r="AB23" i="76"/>
  <c r="AB28" i="76"/>
  <c r="AB24" i="76"/>
  <c r="AB41" i="76"/>
  <c r="AB35" i="76"/>
  <c r="AB44" i="76"/>
  <c r="AB45" i="76"/>
  <c r="AB26" i="76"/>
  <c r="AB19" i="76"/>
  <c r="AB20" i="76"/>
  <c r="AB27" i="76"/>
  <c r="AB22" i="76"/>
  <c r="AB8" i="76"/>
  <c r="AB18" i="76"/>
  <c r="AB40" i="76"/>
  <c r="AB33" i="76"/>
  <c r="AB42" i="76"/>
  <c r="AB31" i="76"/>
  <c r="AB16" i="76"/>
  <c r="AB32" i="76"/>
  <c r="AB25" i="76"/>
  <c r="AB10" i="76"/>
  <c r="AB15" i="76"/>
  <c r="AB7" i="76"/>
  <c r="AB11" i="76"/>
  <c r="AB5" i="76"/>
  <c r="AB17" i="76"/>
  <c r="AB13" i="76"/>
  <c r="AB6" i="76"/>
  <c r="AB12" i="76"/>
  <c r="AB9" i="76"/>
  <c r="AB14" i="76"/>
  <c r="AD4" i="76" l="1"/>
  <c r="AC5" i="76"/>
  <c r="AC45" i="76"/>
  <c r="AC27" i="76"/>
  <c r="AC20" i="76"/>
  <c r="AC33" i="76"/>
  <c r="AC21" i="76"/>
  <c r="AC18" i="76"/>
  <c r="AC37" i="76"/>
  <c r="AC41" i="76"/>
  <c r="AC34" i="76"/>
  <c r="AC17" i="76"/>
  <c r="AC32" i="76"/>
  <c r="AC44" i="76"/>
  <c r="AC43" i="76"/>
  <c r="AC42" i="76"/>
  <c r="AC30" i="76"/>
  <c r="AC35" i="76"/>
  <c r="AC36" i="76"/>
  <c r="AC40" i="76"/>
  <c r="AC39" i="76"/>
  <c r="AC38" i="76"/>
  <c r="AC19" i="76"/>
  <c r="AC26" i="76"/>
  <c r="AC31" i="76"/>
  <c r="AC28" i="76"/>
  <c r="AC24" i="76"/>
  <c r="AC29" i="76"/>
  <c r="AC13" i="76"/>
  <c r="AC22" i="76"/>
  <c r="AC9" i="76"/>
  <c r="AC15" i="76"/>
  <c r="AC14" i="76"/>
  <c r="AC16" i="76"/>
  <c r="AC12" i="76"/>
  <c r="AC11" i="76"/>
  <c r="AC10" i="76"/>
  <c r="AC25" i="76"/>
  <c r="AC8" i="76"/>
  <c r="AC7" i="76"/>
  <c r="AC6" i="76"/>
  <c r="AC23" i="76"/>
  <c r="AE4" i="76" l="1"/>
  <c r="AD6" i="76"/>
  <c r="AD27" i="76"/>
  <c r="AD32" i="76"/>
  <c r="AD19" i="76"/>
  <c r="AD24" i="76"/>
  <c r="AD45" i="76"/>
  <c r="AD44" i="76"/>
  <c r="AD43" i="76"/>
  <c r="AD28" i="76"/>
  <c r="AD33" i="76"/>
  <c r="AD21" i="76"/>
  <c r="AD22" i="76"/>
  <c r="AD42" i="76"/>
  <c r="AD41" i="76"/>
  <c r="AD40" i="76"/>
  <c r="AD39" i="76"/>
  <c r="AD37" i="76"/>
  <c r="AD35" i="76"/>
  <c r="AD18" i="76"/>
  <c r="AD23" i="76"/>
  <c r="AD17" i="76"/>
  <c r="AD31" i="76"/>
  <c r="AD36" i="76"/>
  <c r="AD30" i="76"/>
  <c r="AD25" i="76"/>
  <c r="AD34" i="76"/>
  <c r="AD38" i="76"/>
  <c r="AD26" i="76"/>
  <c r="AD14" i="76"/>
  <c r="AD13" i="76"/>
  <c r="AD12" i="76"/>
  <c r="AD11" i="76"/>
  <c r="AD29" i="76"/>
  <c r="AD10" i="76"/>
  <c r="AD15" i="76"/>
  <c r="AD16" i="76"/>
  <c r="AD9" i="76"/>
  <c r="AD8" i="76"/>
  <c r="AD7" i="76"/>
  <c r="AD5" i="76"/>
  <c r="AD20" i="76"/>
  <c r="AF4" i="76" l="1"/>
  <c r="AE39" i="76"/>
  <c r="AE32" i="76"/>
  <c r="AE30" i="76"/>
  <c r="AE42" i="76"/>
  <c r="AE41" i="76"/>
  <c r="AE40" i="76"/>
  <c r="AE28" i="76"/>
  <c r="AE33" i="76"/>
  <c r="AE35" i="76"/>
  <c r="AE34" i="76"/>
  <c r="AE20" i="76"/>
  <c r="AE37" i="76"/>
  <c r="AE45" i="76"/>
  <c r="AE44" i="76"/>
  <c r="AE29" i="76"/>
  <c r="AE22" i="76"/>
  <c r="AE27" i="76"/>
  <c r="AE23" i="76"/>
  <c r="AE24" i="76"/>
  <c r="AE11" i="76"/>
  <c r="AE43" i="76"/>
  <c r="AE38" i="76"/>
  <c r="AE36" i="76"/>
  <c r="AE25" i="76"/>
  <c r="AE18" i="76"/>
  <c r="AE19" i="76"/>
  <c r="AE21" i="76"/>
  <c r="AE7" i="76"/>
  <c r="AE6" i="76"/>
  <c r="AE10" i="76"/>
  <c r="AE9" i="76"/>
  <c r="AE8" i="76"/>
  <c r="AE26" i="76"/>
  <c r="AE17" i="76"/>
  <c r="AE15" i="76"/>
  <c r="AE14" i="76"/>
  <c r="AE13" i="76"/>
  <c r="AE12" i="76"/>
  <c r="AE31" i="76"/>
  <c r="AE16" i="76"/>
  <c r="AE5" i="76"/>
  <c r="AG4" i="76" l="1"/>
  <c r="AF41" i="76"/>
  <c r="AF38" i="76"/>
  <c r="AF30" i="76"/>
  <c r="AF27" i="76"/>
  <c r="AF25" i="76"/>
  <c r="AF23" i="76"/>
  <c r="AF24" i="76"/>
  <c r="AF44" i="76"/>
  <c r="AF39" i="76"/>
  <c r="AF42" i="76"/>
  <c r="AF26" i="76"/>
  <c r="AF19" i="76"/>
  <c r="AF32" i="76"/>
  <c r="AF20" i="76"/>
  <c r="AF31" i="76"/>
  <c r="AF40" i="76"/>
  <c r="AF33" i="76"/>
  <c r="AF43" i="76"/>
  <c r="AF16" i="76"/>
  <c r="AF21" i="76"/>
  <c r="AF36" i="76"/>
  <c r="AF22" i="76"/>
  <c r="AF45" i="76"/>
  <c r="AF29" i="76"/>
  <c r="AF37" i="76"/>
  <c r="AF34" i="76"/>
  <c r="AF35" i="76"/>
  <c r="AF18" i="76"/>
  <c r="AF10" i="76"/>
  <c r="AF7" i="76"/>
  <c r="AF5" i="76"/>
  <c r="AF17" i="76"/>
  <c r="AF11" i="76"/>
  <c r="AF12" i="76"/>
  <c r="AF15" i="76"/>
  <c r="AF13" i="76"/>
  <c r="AF8" i="76"/>
  <c r="AF14" i="76"/>
  <c r="AF9" i="76"/>
  <c r="AF28" i="76"/>
  <c r="AF6" i="76"/>
  <c r="AH4" i="76" l="1"/>
  <c r="AG5" i="76"/>
  <c r="AG41" i="76"/>
  <c r="AG42" i="76"/>
  <c r="AG38" i="76"/>
  <c r="AG34" i="76"/>
  <c r="AG29" i="76"/>
  <c r="AG17" i="76"/>
  <c r="AG28" i="76"/>
  <c r="AG7" i="76"/>
  <c r="AG43" i="76"/>
  <c r="AG30" i="76"/>
  <c r="AG35" i="76"/>
  <c r="AG44" i="76"/>
  <c r="AG26" i="76"/>
  <c r="AG39" i="76"/>
  <c r="AG31" i="76"/>
  <c r="AG32" i="76"/>
  <c r="AG24" i="76"/>
  <c r="AG13" i="76"/>
  <c r="AG25" i="76"/>
  <c r="AG8" i="76"/>
  <c r="AG45" i="76"/>
  <c r="AG37" i="76"/>
  <c r="AG40" i="76"/>
  <c r="AG27" i="76"/>
  <c r="AG20" i="76"/>
  <c r="AG21" i="76"/>
  <c r="AG22" i="76"/>
  <c r="AG36" i="76"/>
  <c r="AG9" i="76"/>
  <c r="AG11" i="76"/>
  <c r="AG16" i="76"/>
  <c r="AG12" i="76"/>
  <c r="AG33" i="76"/>
  <c r="AG23" i="76"/>
  <c r="AG6" i="76"/>
  <c r="AG18" i="76"/>
  <c r="AG14" i="76"/>
  <c r="AG19" i="76"/>
  <c r="AG10" i="76"/>
  <c r="AG15" i="76"/>
  <c r="AI4" i="76" l="1"/>
  <c r="AH6" i="76"/>
  <c r="AH28" i="76"/>
  <c r="AH21" i="76"/>
  <c r="AH22" i="76"/>
  <c r="AH25" i="76"/>
  <c r="AH30" i="76"/>
  <c r="AH42" i="76"/>
  <c r="AH45" i="76"/>
  <c r="AH44" i="76"/>
  <c r="AH43" i="76"/>
  <c r="AH37" i="76"/>
  <c r="AH35" i="76"/>
  <c r="AH29" i="76"/>
  <c r="AH18" i="76"/>
  <c r="AH31" i="76"/>
  <c r="AH36" i="76"/>
  <c r="AH34" i="76"/>
  <c r="AH19" i="76"/>
  <c r="AH33" i="76"/>
  <c r="AH41" i="76"/>
  <c r="AH40" i="76"/>
  <c r="AH39" i="76"/>
  <c r="AH27" i="76"/>
  <c r="AH32" i="76"/>
  <c r="AH38" i="76"/>
  <c r="AH26" i="76"/>
  <c r="AH23" i="76"/>
  <c r="AH14" i="76"/>
  <c r="AH10" i="76"/>
  <c r="AH24" i="76"/>
  <c r="AH16" i="76"/>
  <c r="AH13" i="76"/>
  <c r="AH12" i="76"/>
  <c r="AH11" i="76"/>
  <c r="AH9" i="76"/>
  <c r="AH8" i="76"/>
  <c r="AH7" i="76"/>
  <c r="AH5" i="76"/>
  <c r="AH20" i="76"/>
  <c r="AH17" i="76"/>
  <c r="AH15" i="76"/>
  <c r="AJ4" i="76" l="1"/>
  <c r="AI45" i="76"/>
  <c r="AI44" i="76"/>
  <c r="AI28" i="76"/>
  <c r="AI33" i="76"/>
  <c r="AI26" i="76"/>
  <c r="AI24" i="76"/>
  <c r="AI35" i="76"/>
  <c r="AI27" i="76"/>
  <c r="AI42" i="76"/>
  <c r="AI41" i="76"/>
  <c r="AI40" i="76"/>
  <c r="AI29" i="76"/>
  <c r="AI22" i="76"/>
  <c r="AI31" i="76"/>
  <c r="AI23" i="76"/>
  <c r="AI17" i="76"/>
  <c r="AI43" i="76"/>
  <c r="AI38" i="76"/>
  <c r="AI36" i="76"/>
  <c r="AI25" i="76"/>
  <c r="AI18" i="76"/>
  <c r="AI19" i="76"/>
  <c r="AI30" i="76"/>
  <c r="AI20" i="76"/>
  <c r="AI7" i="76"/>
  <c r="AI39" i="76"/>
  <c r="AI32" i="76"/>
  <c r="AI34" i="76"/>
  <c r="AI37" i="76"/>
  <c r="AI15" i="76"/>
  <c r="AI16" i="76"/>
  <c r="AI10" i="76"/>
  <c r="AI9" i="76"/>
  <c r="AI8" i="76"/>
  <c r="AI11" i="76"/>
  <c r="AI21" i="76"/>
  <c r="AI5" i="76"/>
  <c r="AI6" i="76"/>
  <c r="AI14" i="76"/>
  <c r="AI13" i="76"/>
  <c r="AI12" i="76"/>
  <c r="AK4" i="76" l="1"/>
  <c r="AJ44" i="76"/>
  <c r="AJ43" i="76"/>
  <c r="AJ42" i="76"/>
  <c r="AJ41" i="76"/>
  <c r="AJ26" i="76"/>
  <c r="AJ19" i="76"/>
  <c r="AJ45" i="76"/>
  <c r="AJ28" i="76"/>
  <c r="AJ20" i="76"/>
  <c r="AJ40" i="76"/>
  <c r="AJ39" i="76"/>
  <c r="AJ33" i="76"/>
  <c r="AJ38" i="76"/>
  <c r="AJ37" i="76"/>
  <c r="AJ16" i="76"/>
  <c r="AJ29" i="76"/>
  <c r="AJ34" i="76"/>
  <c r="AJ31" i="76"/>
  <c r="AJ25" i="76"/>
  <c r="AJ35" i="76"/>
  <c r="AJ27" i="76"/>
  <c r="AJ30" i="76"/>
  <c r="AJ23" i="76"/>
  <c r="AJ36" i="76"/>
  <c r="AJ24" i="76"/>
  <c r="AJ21" i="76"/>
  <c r="AJ17" i="76"/>
  <c r="AJ12" i="76"/>
  <c r="AJ15" i="76"/>
  <c r="AJ14" i="76"/>
  <c r="AJ13" i="76"/>
  <c r="AJ18" i="76"/>
  <c r="AJ22" i="76"/>
  <c r="AJ7" i="76"/>
  <c r="AJ8" i="76"/>
  <c r="AJ6" i="76"/>
  <c r="AJ32" i="76"/>
  <c r="AJ11" i="76"/>
  <c r="AJ10" i="76"/>
  <c r="AJ9" i="76"/>
  <c r="AJ5" i="76"/>
  <c r="AL4" i="76" l="1"/>
  <c r="AK40" i="76"/>
  <c r="AK39" i="76"/>
  <c r="AK30" i="76"/>
  <c r="AK35" i="76"/>
  <c r="AK43" i="76"/>
  <c r="AK22" i="76"/>
  <c r="AK26" i="76"/>
  <c r="AK31" i="76"/>
  <c r="AK36" i="76"/>
  <c r="AK24" i="76"/>
  <c r="AK45" i="76"/>
  <c r="AK37" i="76"/>
  <c r="AK27" i="76"/>
  <c r="AK28" i="76"/>
  <c r="AK20" i="76"/>
  <c r="AK44" i="76"/>
  <c r="AK42" i="76"/>
  <c r="AK21" i="76"/>
  <c r="AK32" i="76"/>
  <c r="AK9" i="76"/>
  <c r="AK14" i="76"/>
  <c r="AK41" i="76"/>
  <c r="AK34" i="76"/>
  <c r="AK38" i="76"/>
  <c r="AK25" i="76"/>
  <c r="AK33" i="76"/>
  <c r="AK17" i="76"/>
  <c r="AK18" i="76"/>
  <c r="AK16" i="76"/>
  <c r="AK29" i="76"/>
  <c r="AK12" i="76"/>
  <c r="AK11" i="76"/>
  <c r="AK15" i="76"/>
  <c r="AK23" i="76"/>
  <c r="AK6" i="76"/>
  <c r="AK19" i="76"/>
  <c r="AK13" i="76"/>
  <c r="AK10" i="76"/>
  <c r="AK8" i="76"/>
  <c r="AK7" i="76"/>
  <c r="AK5" i="76"/>
  <c r="AM4" i="76" l="1"/>
  <c r="AL42" i="76"/>
  <c r="AL37" i="76"/>
  <c r="AL35" i="76"/>
  <c r="AL44" i="76"/>
  <c r="AL33" i="76"/>
  <c r="AL41" i="76"/>
  <c r="AL39" i="76"/>
  <c r="AL18" i="76"/>
  <c r="AL31" i="76"/>
  <c r="AL36" i="76"/>
  <c r="AL29" i="76"/>
  <c r="AL23" i="76"/>
  <c r="AL8" i="76"/>
  <c r="AL27" i="76"/>
  <c r="AL32" i="76"/>
  <c r="AL45" i="76"/>
  <c r="AL43" i="76"/>
  <c r="AL40" i="76"/>
  <c r="AL30" i="76"/>
  <c r="AL34" i="76"/>
  <c r="AL25" i="76"/>
  <c r="AL14" i="76"/>
  <c r="AL7" i="76"/>
  <c r="AL38" i="76"/>
  <c r="AL28" i="76"/>
  <c r="AL21" i="76"/>
  <c r="AL22" i="76"/>
  <c r="AL19" i="76"/>
  <c r="AL24" i="76"/>
  <c r="AL10" i="76"/>
  <c r="AL12" i="76"/>
  <c r="AL17" i="76"/>
  <c r="AL16" i="76"/>
  <c r="AL13" i="76"/>
  <c r="AL5" i="76"/>
  <c r="AL20" i="76"/>
  <c r="AL26" i="76"/>
  <c r="AL9" i="76"/>
  <c r="AL15" i="76"/>
  <c r="AL6" i="76"/>
  <c r="AL11" i="76"/>
  <c r="AN4" i="76" l="1"/>
  <c r="AM45" i="76"/>
  <c r="AM44" i="76"/>
  <c r="AM29" i="76"/>
  <c r="AM42" i="76"/>
  <c r="AM40" i="76"/>
  <c r="AM22" i="76"/>
  <c r="AM35" i="76"/>
  <c r="AM23" i="76"/>
  <c r="AM26" i="76"/>
  <c r="AM20" i="76"/>
  <c r="AM43" i="76"/>
  <c r="AM38" i="76"/>
  <c r="AM36" i="76"/>
  <c r="AM25" i="76"/>
  <c r="AM18" i="76"/>
  <c r="AM27" i="76"/>
  <c r="AM19" i="76"/>
  <c r="AM39" i="76"/>
  <c r="AM37" i="76"/>
  <c r="AM32" i="76"/>
  <c r="AM41" i="76"/>
  <c r="AM21" i="76"/>
  <c r="AM28" i="76"/>
  <c r="AM33" i="76"/>
  <c r="AM30" i="76"/>
  <c r="AM34" i="76"/>
  <c r="AM15" i="76"/>
  <c r="AM11" i="76"/>
  <c r="AM31" i="76"/>
  <c r="AM7" i="76"/>
  <c r="AM17" i="76"/>
  <c r="AM9" i="76"/>
  <c r="AM8" i="76"/>
  <c r="AM14" i="76"/>
  <c r="AM24" i="76"/>
  <c r="AM10" i="76"/>
  <c r="AM6" i="76"/>
  <c r="AM12" i="76"/>
  <c r="AM16" i="76"/>
  <c r="AM5" i="76"/>
  <c r="AM13" i="76"/>
  <c r="AO4" i="76" l="1"/>
  <c r="AN40" i="76"/>
  <c r="AN43" i="76"/>
  <c r="AN42" i="76"/>
  <c r="AN41" i="76"/>
  <c r="AN33" i="76"/>
  <c r="AN32" i="76"/>
  <c r="AN16" i="76"/>
  <c r="AN17" i="76"/>
  <c r="AN25" i="76"/>
  <c r="AN29" i="76"/>
  <c r="AN34" i="76"/>
  <c r="AN38" i="76"/>
  <c r="AN36" i="76"/>
  <c r="AN30" i="76"/>
  <c r="AN39" i="76"/>
  <c r="AN35" i="76"/>
  <c r="AN23" i="76"/>
  <c r="AN24" i="76"/>
  <c r="AN18" i="76"/>
  <c r="AN12" i="76"/>
  <c r="AN44" i="76"/>
  <c r="AN45" i="76"/>
  <c r="AN26" i="76"/>
  <c r="AN27" i="76"/>
  <c r="AN19" i="76"/>
  <c r="AN20" i="76"/>
  <c r="AN37" i="76"/>
  <c r="AN31" i="76"/>
  <c r="AN8" i="76"/>
  <c r="AN22" i="76"/>
  <c r="AN7" i="76"/>
  <c r="AN28" i="76"/>
  <c r="AN15" i="76"/>
  <c r="AN14" i="76"/>
  <c r="AN13" i="76"/>
  <c r="AN5" i="76"/>
  <c r="AN11" i="76"/>
  <c r="AN10" i="76"/>
  <c r="AN9" i="76"/>
  <c r="AN6" i="76"/>
  <c r="AN21" i="76"/>
  <c r="AP4" i="76" l="1"/>
  <c r="AO5" i="76"/>
  <c r="AO40" i="76"/>
  <c r="AO39" i="76"/>
  <c r="AO26" i="76"/>
  <c r="AO31" i="76"/>
  <c r="AO24" i="76"/>
  <c r="AO45" i="76"/>
  <c r="AO27" i="76"/>
  <c r="AO32" i="76"/>
  <c r="AO20" i="76"/>
  <c r="AO25" i="76"/>
  <c r="AO21" i="76"/>
  <c r="AO37" i="76"/>
  <c r="AO41" i="76"/>
  <c r="AO36" i="76"/>
  <c r="AO34" i="76"/>
  <c r="AO17" i="76"/>
  <c r="AO22" i="76"/>
  <c r="AO44" i="76"/>
  <c r="AO43" i="76"/>
  <c r="AO42" i="76"/>
  <c r="AO30" i="76"/>
  <c r="AO35" i="76"/>
  <c r="AO29" i="76"/>
  <c r="AO38" i="76"/>
  <c r="AO28" i="76"/>
  <c r="AO16" i="76"/>
  <c r="AO6" i="76"/>
  <c r="AO19" i="76"/>
  <c r="AO23" i="76"/>
  <c r="AO18" i="76"/>
  <c r="AO13" i="76"/>
  <c r="AO12" i="76"/>
  <c r="AO11" i="76"/>
  <c r="AO10" i="76"/>
  <c r="AO8" i="76"/>
  <c r="AO7" i="76"/>
  <c r="AO9" i="76"/>
  <c r="AO33" i="76"/>
  <c r="AO15" i="76"/>
  <c r="AO14" i="76"/>
  <c r="AP31" i="76" l="1"/>
  <c r="AP29" i="76"/>
  <c r="AP27" i="76"/>
  <c r="AP45" i="76"/>
  <c r="AP44" i="76"/>
  <c r="AP43" i="76"/>
  <c r="AP32" i="76"/>
  <c r="AP34" i="76"/>
  <c r="AP19" i="76"/>
  <c r="AP38" i="76"/>
  <c r="AP28" i="76"/>
  <c r="AP25" i="76"/>
  <c r="AP21" i="76"/>
  <c r="AP26" i="76"/>
  <c r="AP22" i="76"/>
  <c r="AP23" i="76"/>
  <c r="AP16" i="76"/>
  <c r="AP10" i="76"/>
  <c r="AP15" i="76"/>
  <c r="AP6" i="76"/>
  <c r="AP42" i="76"/>
  <c r="AP41" i="76"/>
  <c r="AP40" i="76"/>
  <c r="AP39" i="76"/>
  <c r="AP37" i="76"/>
  <c r="AP35" i="76"/>
  <c r="AP17" i="76"/>
  <c r="AP18" i="76"/>
  <c r="AP36" i="76"/>
  <c r="AP33" i="76"/>
  <c r="AP20" i="76"/>
  <c r="AP24" i="76"/>
  <c r="AP5" i="76"/>
  <c r="AP30" i="76"/>
  <c r="AP9" i="76"/>
  <c r="AP8" i="76"/>
  <c r="AP7" i="76"/>
  <c r="AP14" i="76"/>
  <c r="AP13" i="76"/>
  <c r="AP12" i="76"/>
  <c r="AP11" i="76"/>
  <c r="B47" i="76" l="1"/>
  <c r="AN48" i="76" l="1"/>
  <c r="AM48" i="76"/>
  <c r="AI48" i="76"/>
  <c r="AE48" i="76"/>
  <c r="AA48" i="76"/>
  <c r="W48" i="76"/>
  <c r="S48" i="76"/>
  <c r="O48" i="76"/>
  <c r="K48" i="76"/>
  <c r="G48" i="76"/>
  <c r="C48" i="76"/>
  <c r="AP48" i="76"/>
  <c r="AL48" i="76"/>
  <c r="AH48" i="76"/>
  <c r="AD48" i="76"/>
  <c r="Z48" i="76"/>
  <c r="V48" i="76"/>
  <c r="R48" i="76"/>
  <c r="N48" i="76"/>
  <c r="J48" i="76"/>
  <c r="F48" i="76"/>
  <c r="B48" i="76"/>
  <c r="AR43" i="76"/>
  <c r="AR39" i="76"/>
  <c r="AO48" i="76"/>
  <c r="AJ48" i="76"/>
  <c r="AB48" i="76"/>
  <c r="T48" i="76"/>
  <c r="L48" i="76"/>
  <c r="D48" i="76"/>
  <c r="AG48" i="76"/>
  <c r="Y48" i="76"/>
  <c r="Q48" i="76"/>
  <c r="I48" i="76"/>
  <c r="AR38" i="76"/>
  <c r="AF48" i="76"/>
  <c r="P48" i="76"/>
  <c r="AR45" i="76"/>
  <c r="AR44" i="76"/>
  <c r="AR32" i="76"/>
  <c r="AR28" i="76"/>
  <c r="AC48" i="76"/>
  <c r="M48" i="76"/>
  <c r="AR42" i="76"/>
  <c r="AR41" i="76"/>
  <c r="AR40" i="76"/>
  <c r="AR37" i="76"/>
  <c r="AR36" i="76"/>
  <c r="AR33" i="76"/>
  <c r="AR29" i="76"/>
  <c r="AR25" i="76"/>
  <c r="H48" i="76"/>
  <c r="AK48" i="76"/>
  <c r="E48" i="76"/>
  <c r="X48" i="76"/>
  <c r="AR34" i="76"/>
  <c r="AR26" i="76"/>
  <c r="AR22" i="76"/>
  <c r="AR18" i="76"/>
  <c r="U48" i="76"/>
  <c r="AR31" i="76"/>
  <c r="AR23" i="76"/>
  <c r="AR19" i="76"/>
  <c r="AR30" i="76"/>
  <c r="AR24" i="76"/>
  <c r="AR20" i="76"/>
  <c r="AR35" i="76"/>
  <c r="AR17" i="76"/>
  <c r="AR15" i="76"/>
  <c r="AR11" i="76"/>
  <c r="AR7" i="76"/>
  <c r="AR21" i="76"/>
  <c r="AR16" i="76"/>
  <c r="AR14" i="76"/>
  <c r="AR13" i="76"/>
  <c r="AR12" i="76"/>
  <c r="AR6" i="76"/>
  <c r="AR27" i="76"/>
  <c r="AR10" i="76"/>
  <c r="AR9" i="76"/>
  <c r="AR5" i="76"/>
  <c r="AR8" i="76"/>
  <c r="B50" i="76" l="1"/>
  <c r="L3" i="75" s="1"/>
  <c r="M3" i="75" s="1"/>
  <c r="B51" i="76"/>
  <c r="L2" i="75" s="1"/>
  <c r="M2" i="75" s="1"/>
  <c r="A6" i="75" l="1"/>
  <c r="M9" i="57"/>
  <c r="N9" i="57"/>
</calcChain>
</file>

<file path=xl/sharedStrings.xml><?xml version="1.0" encoding="utf-8"?>
<sst xmlns="http://schemas.openxmlformats.org/spreadsheetml/2006/main" count="2665" uniqueCount="441">
  <si>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</si>
  <si>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</si>
  <si>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</si>
  <si>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</si>
  <si>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</si>
  <si>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</si>
  <si>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</si>
  <si>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</si>
  <si>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</si>
  <si>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</si>
  <si>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</si>
  <si>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</si>
  <si>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</si>
  <si>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</si>
  <si>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</si>
  <si>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</si>
  <si>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</si>
  <si>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</si>
  <si>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</si>
  <si>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</si>
  <si>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</si>
  <si>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</si>
  <si>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</si>
  <si>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</si>
  <si>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</si>
  <si>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</si>
  <si>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</si>
  <si>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</si>
  <si>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</si>
  <si>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</si>
  <si>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</si>
  <si>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</si>
  <si>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</si>
  <si>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</si>
  <si>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</si>
  <si>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</si>
  <si>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</si>
  <si>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</si>
  <si>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</si>
  <si>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</si>
  <si>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</si>
  <si>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</si>
  <si>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</si>
  <si>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</si>
  <si>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</si>
  <si>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</si>
  <si>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</si>
  <si>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</si>
  <si>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</si>
  <si>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</si>
  <si>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</si>
  <si>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</si>
  <si>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</si>
  <si>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</si>
  <si>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</si>
  <si>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</si>
  <si>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</si>
  <si>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</si>
  <si>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</si>
  <si>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</si>
  <si>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</si>
  <si>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</si>
  <si>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</si>
  <si>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</si>
  <si>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</si>
  <si>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</si>
  <si>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</si>
  <si>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</si>
  <si>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</si>
  <si>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</si>
  <si>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</si>
  <si>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</si>
  <si>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</si>
  <si>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</si>
  <si>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</si>
  <si>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</si>
  <si>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</si>
  <si>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</si>
  <si>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</si>
  <si>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</si>
  <si>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</si>
  <si>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</si>
  <si>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</si>
  <si>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</si>
  <si>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</si>
  <si>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</si>
  <si>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</si>
  <si>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</si>
  <si>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</si>
  <si>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</si>
  <si>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</si>
  <si>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</si>
  <si>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</si>
  <si>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</si>
  <si>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</si>
  <si>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</si>
  <si>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</si>
  <si>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</si>
  <si>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</si>
  <si>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</si>
  <si>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</si>
  <si>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</si>
  <si>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</si>
  <si>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</si>
  <si>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</si>
  <si>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</si>
  <si>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</si>
  <si>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</si>
  <si>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</si>
  <si>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</si>
  <si>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</si>
  <si>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</si>
  <si>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</si>
  <si>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</si>
  <si>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</si>
  <si>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</si>
  <si>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</si>
  <si>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</si>
  <si>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</si>
  <si>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</si>
  <si>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</si>
  <si>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</si>
  <si>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</si>
  <si>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</si>
  <si>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</si>
  <si>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</si>
  <si>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</si>
  <si>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</si>
  <si>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</si>
  <si>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</si>
  <si>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</si>
  <si>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</si>
  <si>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</si>
  <si>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</si>
  <si>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</si>
  <si>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</si>
  <si>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</si>
  <si>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</si>
  <si>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</si>
  <si>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</si>
  <si>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</si>
  <si>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</si>
  <si>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</si>
  <si>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</si>
  <si>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</si>
  <si>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</si>
  <si>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</si>
  <si>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</si>
  <si>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</si>
  <si>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</si>
  <si>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</si>
  <si>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</si>
  <si>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</si>
  <si>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</si>
  <si>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</si>
  <si>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</si>
  <si>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</si>
  <si>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</si>
  <si>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</si>
  <si>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</si>
  <si>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</si>
  <si>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</si>
  <si>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</si>
  <si>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</si>
  <si>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</si>
  <si>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</si>
  <si>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</si>
  <si>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</si>
  <si>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</si>
  <si>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</si>
  <si>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</si>
  <si>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</si>
  <si>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</si>
  <si>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</si>
  <si>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</si>
  <si>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</si>
  <si>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</si>
  <si>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</si>
  <si>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</si>
  <si>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</si>
  <si>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</si>
  <si>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</si>
  <si>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</si>
  <si>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</si>
  <si>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</si>
  <si>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</si>
  <si>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</si>
  <si>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</si>
  <si>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</si>
  <si>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</si>
  <si>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</si>
  <si>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</si>
  <si>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When executing OpenSolver from VBA, we can detect infeasibility without showing dialogs if MinimiseUserInteraction is set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</si>
  <si>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</si>
  <si>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</si>
  <si>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</si>
  <si>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</si>
  <si>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</si>
  <si>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</si>
  <si>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</si>
  <si>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</si>
  <si>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</si>
  <si>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</si>
  <si>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</si>
  <si>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</si>
  <si>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</si>
  <si>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</si>
  <si>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</si>
  <si>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</si>
  <si>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</si>
  <si>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</si>
  <si>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</si>
  <si>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</si>
  <si>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</si>
  <si>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</si>
  <si>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</si>
  <si>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Solution</t>
  </si>
  <si>
    <t>A simple LP model. This is unbounded as Assume Non Negative is NOT turned on! The CBC parameters specified will help CBC to find a solution</t>
  </si>
  <si>
    <t>binary,integer,bound constraints</t>
  </si>
  <si>
    <t>a</t>
  </si>
  <si>
    <t>b</t>
  </si>
  <si>
    <t>c</t>
  </si>
  <si>
    <t>max</t>
  </si>
  <si>
    <t>subject to</t>
  </si>
  <si>
    <t>y1</t>
  </si>
  <si>
    <t>y2</t>
  </si>
  <si>
    <t>y3</t>
  </si>
  <si>
    <t>y4</t>
  </si>
  <si>
    <t>Decision Variables</t>
  </si>
  <si>
    <t>Cells</t>
  </si>
  <si>
    <t>Name</t>
  </si>
  <si>
    <t>Final Value</t>
  </si>
  <si>
    <t>Reduced Costs</t>
  </si>
  <si>
    <t>Objective Value</t>
  </si>
  <si>
    <t>Allowable Increase</t>
  </si>
  <si>
    <t>Allowable Decrease</t>
  </si>
  <si>
    <t>hi</t>
  </si>
  <si>
    <t>infeasible</t>
  </si>
  <si>
    <t>Z</t>
  </si>
  <si>
    <t>simple non-linear example</t>
  </si>
  <si>
    <t>x4</t>
  </si>
  <si>
    <t>x5</t>
  </si>
  <si>
    <t>obj</t>
  </si>
  <si>
    <t>Worksheet: [OpenSolver Tester.xlsm] Test31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</si>
  <si>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</si>
  <si>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</si>
  <si>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</si>
  <si>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</si>
  <si>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</si>
  <si>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</si>
  <si>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</si>
  <si>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</si>
  <si>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</si>
  <si>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</si>
  <si>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</si>
  <si>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</si>
  <si>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</si>
  <si>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</si>
  <si>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</si>
  <si>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</si>
  <si>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</si>
  <si>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</si>
  <si>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</si>
  <si>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</si>
  <si>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</si>
  <si>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</si>
  <si>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</si>
  <si>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</si>
  <si>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</si>
  <si>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</si>
  <si>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D14</t>
  </si>
  <si>
    <t>E14</t>
  </si>
  <si>
    <t>F14</t>
  </si>
  <si>
    <t>D15</t>
  </si>
  <si>
    <t>E15</t>
  </si>
  <si>
    <t>F15</t>
  </si>
  <si>
    <t>D16</t>
  </si>
  <si>
    <t>E16</t>
  </si>
  <si>
    <t>F16</t>
  </si>
  <si>
    <t>Shadow Price</t>
  </si>
  <si>
    <t>RHS Value</t>
  </si>
  <si>
    <t>Worksheet: [OpenSolver Tester.xlsm] Test39_SensNames</t>
  </si>
  <si>
    <t>KWR AUCK</t>
  </si>
  <si>
    <t>KWR SYD</t>
  </si>
  <si>
    <t>KWR MEL</t>
  </si>
  <si>
    <t>KWR BRI</t>
  </si>
  <si>
    <t>KWR ADEL</t>
  </si>
  <si>
    <t>BYR AUCK</t>
  </si>
  <si>
    <t>BYR SYD</t>
  </si>
  <si>
    <t>BYR MEL</t>
  </si>
  <si>
    <t>BYR BRI</t>
  </si>
  <si>
    <t>BYR ADEL</t>
  </si>
  <si>
    <t>ALB AUCK</t>
  </si>
  <si>
    <t>ALB SYD</t>
  </si>
  <si>
    <t>ALB MEL</t>
  </si>
  <si>
    <t>ALB BRI</t>
  </si>
  <si>
    <t>ALB ADEL</t>
  </si>
  <si>
    <t>G14</t>
  </si>
  <si>
    <t>H14</t>
  </si>
  <si>
    <t>G15</t>
  </si>
  <si>
    <t>H15</t>
  </si>
  <si>
    <t>G16</t>
  </si>
  <si>
    <t>H16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</si>
  <si>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</si>
  <si>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</si>
  <si>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</si>
  <si>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</si>
  <si>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</si>
  <si>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</si>
  <si>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</si>
  <si>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</si>
  <si>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</si>
  <si>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</si>
  <si>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</si>
  <si>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</si>
  <si>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</si>
  <si>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</si>
  <si>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</si>
  <si>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</si>
  <si>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</si>
  <si>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</si>
  <si>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</si>
  <si>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</si>
  <si>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</si>
  <si>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</si>
  <si>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</si>
  <si>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</si>
  <si>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</si>
  <si>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</si>
  <si>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</si>
  <si>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</si>
  <si>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</si>
  <si>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</si>
  <si>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</si>
  <si>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</si>
  <si>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</si>
  <si>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</si>
  <si>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</si>
  <si>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</si>
  <si>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</si>
  <si>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</si>
  <si>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</si>
  <si>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</si>
  <si>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</si>
  <si>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</si>
  <si>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</si>
  <si>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</si>
  <si>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</si>
  <si>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</si>
  <si>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</si>
  <si>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</si>
  <si>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</si>
  <si>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</si>
  <si>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</si>
  <si>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</si>
  <si>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</si>
  <si>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</si>
  <si>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</si>
  <si>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</si>
  <si>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</si>
  <si>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</si>
  <si>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D4</t>
  </si>
  <si>
    <t>Linear a</t>
  </si>
  <si>
    <t>E4</t>
  </si>
  <si>
    <t>Linear b</t>
  </si>
  <si>
    <t>F4</t>
  </si>
  <si>
    <t>Linear c</t>
  </si>
  <si>
    <t>G8&lt;=I8</t>
  </si>
  <si>
    <t>G10&lt;=I10</t>
  </si>
  <si>
    <t>G11&lt;=I11</t>
  </si>
  <si>
    <t>hello</t>
  </si>
  <si>
    <t>G9&gt;=I9</t>
  </si>
  <si>
    <t>Lowerbound applied by constraint with decision variable as the RHS</t>
  </si>
  <si>
    <t>Solver doesn't count this as applying a bound</t>
  </si>
  <si>
    <t>Tests marked with * are expected to fail. Look at the test whitelist module for info on why they should fail</t>
  </si>
  <si>
    <t>Cons</t>
  </si>
  <si>
    <t>SP</t>
  </si>
  <si>
    <t>Inc</t>
  </si>
  <si>
    <t>Dec</t>
  </si>
  <si>
    <t>G6=I6</t>
  </si>
  <si>
    <t>G7&gt;=I7</t>
  </si>
  <si>
    <t>G9&lt;=I9</t>
  </si>
  <si>
    <t>Vars</t>
  </si>
  <si>
    <t>RC</t>
  </si>
  <si>
    <t>D2</t>
  </si>
  <si>
    <t>E2</t>
  </si>
  <si>
    <t>F2</t>
  </si>
  <si>
    <t>Worksheet: [OpenSolver Tester.xlsm] Test44_Seek</t>
  </si>
  <si>
    <t>Normal A</t>
  </si>
  <si>
    <t>Normal B</t>
  </si>
  <si>
    <t>Normal C</t>
  </si>
  <si>
    <t>This block of constraints tests the parser on certain formulae</t>
  </si>
  <si>
    <t>&lt;- Results</t>
  </si>
  <si>
    <t>PASS</t>
  </si>
  <si>
    <t>Optimal soln (0,0) as found by Bonmin on NEOS</t>
  </si>
  <si>
    <t>FAIL</t>
  </si>
  <si>
    <t>This is an unused variable cell</t>
  </si>
  <si>
    <t>It tests what happens with sensitivity analysis and duals for missing vars</t>
  </si>
  <si>
    <t>I14&lt;=J14</t>
  </si>
  <si>
    <t>KWR Total</t>
  </si>
  <si>
    <t>I15&lt;=J15</t>
  </si>
  <si>
    <t>BYR Total</t>
  </si>
  <si>
    <t>I16&lt;=J16</t>
  </si>
  <si>
    <t>ALB Total</t>
  </si>
  <si>
    <t>D17=D18</t>
  </si>
  <si>
    <t>Total AUCK</t>
  </si>
  <si>
    <t>E17=E18</t>
  </si>
  <si>
    <t>Total SYD</t>
  </si>
  <si>
    <t>F17=F18</t>
  </si>
  <si>
    <t>Total MEL</t>
  </si>
  <si>
    <t>G17=G18</t>
  </si>
  <si>
    <t>Total BRI</t>
  </si>
  <si>
    <t>H17=H18</t>
  </si>
  <si>
    <t>Total ADEL</t>
  </si>
  <si>
    <t>This problem doesn't have AssumeNonNegative, and instead bounds set explicitly</t>
  </si>
  <si>
    <t>Worksheet: [OpenSolver Tester.xlsm] Test39_SensNames2</t>
  </si>
  <si>
    <t>D14&gt;=0</t>
  </si>
  <si>
    <t>E14&gt;=0</t>
  </si>
  <si>
    <t>F14&gt;=0</t>
  </si>
  <si>
    <t>G14&gt;=0</t>
  </si>
  <si>
    <t>H14&gt;=0</t>
  </si>
  <si>
    <t>D15&gt;=0</t>
  </si>
  <si>
    <t>E15&gt;=0</t>
  </si>
  <si>
    <t>F15&gt;=0</t>
  </si>
  <si>
    <t>G15&gt;=0</t>
  </si>
  <si>
    <t>H15&gt;=0</t>
  </si>
  <si>
    <t>D16&gt;=0</t>
  </si>
  <si>
    <t>E16&gt;=0</t>
  </si>
  <si>
    <t>F16&gt;=0</t>
  </si>
  <si>
    <t>G16&gt;=0</t>
  </si>
  <si>
    <t>H16&gt;=0</t>
  </si>
  <si>
    <t>SPARE</t>
  </si>
  <si>
    <t>J21</t>
  </si>
  <si>
    <t>FAIL*</t>
  </si>
  <si>
    <t>PASS*</t>
  </si>
  <si>
    <t>NA</t>
  </si>
  <si>
    <t>OpenSolver Sensitivity Report - Gurobi</t>
  </si>
  <si>
    <t>Report Created: 9/03/2015 10:31:04 a.m.</t>
  </si>
  <si>
    <t>Report Created: 9/03/2015 10:35:13 a.m.</t>
  </si>
  <si>
    <t>Report Created: 9/03/2015 10:35:22 a.m.</t>
  </si>
  <si>
    <t>Report Created: 9/03/2015 10:35:43 a.m.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</si>
</sst>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5" fillId="0" borderId="0"/>
    <xf numFmtId="0" fontId="17" fillId="0" borderId="0"/>
    <xf numFmtId="0" fontId="24" fillId="0" borderId="0"/>
    <xf numFmtId="0" fontId="25" fillId="0" borderId="0" applyNumberFormat="0" applyFill="0" applyBorder="0" applyAlignment="0" applyProtection="0"/>
  </cellStyleXfs>
  <cellXfs count="18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1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0" xfId="0" applyAlignment="1">
      <alignment horizontal="center"/>
    </xf>
    <xf numFmtId="11" fontId="0" fillId="0" borderId="0" xfId="0" applyNumberFormat="1"/>
    <xf numFmtId="11" fontId="0" fillId="0" borderId="0" xfId="0" applyNumberFormat="1" applyAlignment="1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Alignment="1"/>
    <xf numFmtId="0" fontId="13" fillId="0" borderId="0" xfId="0" applyFont="1"/>
    <xf numFmtId="0" fontId="15" fillId="0" borderId="0" xfId="8"/>
    <xf numFmtId="0" fontId="15" fillId="0" borderId="5" xfId="8" applyBorder="1"/>
    <xf numFmtId="0" fontId="15" fillId="0" borderId="6" xfId="8" applyBorder="1"/>
    <xf numFmtId="0" fontId="15" fillId="0" borderId="0" xfId="8" applyAlignment="1">
      <alignment horizontal="right"/>
    </xf>
    <xf numFmtId="0" fontId="15" fillId="0" borderId="7" xfId="8" applyBorder="1" applyAlignment="1">
      <alignment horizontal="center"/>
    </xf>
    <xf numFmtId="2" fontId="15" fillId="0" borderId="8" xfId="8" applyNumberFormat="1" applyBorder="1" applyAlignment="1">
      <alignment horizontal="center"/>
    </xf>
    <xf numFmtId="0" fontId="15" fillId="0" borderId="5" xfId="8" applyBorder="1" applyAlignment="1">
      <alignment horizontal="center"/>
    </xf>
    <xf numFmtId="0" fontId="15" fillId="0" borderId="26" xfId="8" applyBorder="1" applyAlignment="1">
      <alignment horizontal="center"/>
    </xf>
    <xf numFmtId="0" fontId="15" fillId="0" borderId="6" xfId="8" applyBorder="1" applyAlignment="1">
      <alignment horizontal="center"/>
    </xf>
    <xf numFmtId="0" fontId="15" fillId="0" borderId="3" xfId="8" applyBorder="1" applyAlignment="1">
      <alignment horizontal="center"/>
    </xf>
    <xf numFmtId="2" fontId="15" fillId="0" borderId="4" xfId="8" applyNumberFormat="1" applyBorder="1" applyAlignment="1">
      <alignment horizontal="center"/>
    </xf>
    <xf numFmtId="0" fontId="15" fillId="0" borderId="9" xfId="8" applyBorder="1" applyAlignment="1">
      <alignment horizontal="center"/>
    </xf>
    <xf numFmtId="0" fontId="15" fillId="0" borderId="8" xfId="8" applyBorder="1" applyAlignment="1">
      <alignment horizontal="center"/>
    </xf>
    <xf numFmtId="0" fontId="15" fillId="0" borderId="1" xfId="8" applyBorder="1" applyAlignment="1">
      <alignment horizontal="center"/>
    </xf>
    <xf numFmtId="0" fontId="15" fillId="0" borderId="0" xfId="8" applyBorder="1" applyAlignment="1">
      <alignment horizontal="center"/>
    </xf>
    <xf numFmtId="0" fontId="15" fillId="0" borderId="2" xfId="8" applyBorder="1" applyAlignment="1">
      <alignment horizontal="center"/>
    </xf>
    <xf numFmtId="0" fontId="15" fillId="0" borderId="10" xfId="8" applyBorder="1" applyAlignment="1">
      <alignment horizontal="center"/>
    </xf>
    <xf numFmtId="0" fontId="15" fillId="0" borderId="4" xfId="8" applyBorder="1" applyAlignment="1">
      <alignment horizontal="center"/>
    </xf>
    <xf numFmtId="0" fontId="15" fillId="0" borderId="0" xfId="8" applyFont="1"/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14" fillId="0" borderId="27" xfId="0" applyFont="1" applyBorder="1" applyAlignment="1">
      <alignment horizontal="center"/>
    </xf>
    <xf numFmtId="0" fontId="14" fillId="0" borderId="20" xfId="0" applyFont="1" applyBorder="1" applyAlignment="1">
      <alignment horizontal="center"/>
    </xf>
    <xf numFmtId="0" fontId="14" fillId="0" borderId="33" xfId="0" applyFont="1" applyBorder="1" applyAlignment="1">
      <alignment horizontal="center"/>
    </xf>
    <xf numFmtId="0" fontId="15" fillId="0" borderId="0" xfId="8" applyBorder="1"/>
    <xf numFmtId="0" fontId="15" fillId="0" borderId="0" xfId="8" applyBorder="1" applyAlignment="1">
      <alignment horizontal="left"/>
    </xf>
    <xf numFmtId="0" fontId="15" fillId="0" borderId="10" xfId="8" applyBorder="1"/>
    <xf numFmtId="0" fontId="15" fillId="0" borderId="10" xfId="8" applyBorder="1" applyAlignment="1">
      <alignment horizontal="left"/>
    </xf>
    <xf numFmtId="0" fontId="15" fillId="0" borderId="17" xfId="8" applyBorder="1"/>
    <xf numFmtId="0" fontId="15" fillId="0" borderId="17" xfId="8" applyBorder="1" applyAlignment="1">
      <alignment horizontal="left"/>
    </xf>
    <xf numFmtId="0" fontId="15" fillId="0" borderId="1" xfId="8" applyBorder="1"/>
    <xf numFmtId="164" fontId="15" fillId="0" borderId="17" xfId="8" applyNumberFormat="1" applyBorder="1" applyAlignment="1">
      <alignment horizontal="left"/>
    </xf>
    <xf numFmtId="0" fontId="15" fillId="0" borderId="17" xfId="8" applyNumberFormat="1" applyBorder="1" applyAlignment="1">
      <alignment horizontal="left"/>
    </xf>
    <xf numFmtId="2" fontId="15" fillId="18" borderId="17" xfId="8" applyNumberFormat="1" applyFill="1" applyBorder="1" applyAlignment="1">
      <alignment horizontal="left"/>
    </xf>
    <xf numFmtId="0" fontId="15" fillId="0" borderId="17" xfId="8" applyBorder="1" applyAlignment="1">
      <alignment horizontal="center"/>
    </xf>
    <xf numFmtId="0" fontId="15" fillId="0" borderId="0" xfId="8" applyAlignment="1">
      <alignment horizontal="left"/>
    </xf>
    <xf numFmtId="0" fontId="16" fillId="17" borderId="17" xfId="8" applyFont="1" applyFill="1" applyBorder="1" applyAlignment="1">
      <alignment horizontal="center"/>
    </xf>
    <xf numFmtId="0" fontId="15" fillId="0" borderId="1" xfId="8" applyBorder="1" applyAlignment="1">
      <alignment horizontal="left"/>
    </xf>
    <xf numFmtId="0" fontId="16" fillId="0" borderId="0" xfId="8" applyFont="1" applyAlignment="1">
      <alignment horizontal="right"/>
    </xf>
    <xf numFmtId="0" fontId="15" fillId="0" borderId="5" xfId="8" applyBorder="1" applyAlignment="1">
      <alignment horizontal="left"/>
    </xf>
    <xf numFmtId="165" fontId="15" fillId="0" borderId="26" xfId="8" applyNumberFormat="1" applyBorder="1" applyAlignment="1">
      <alignment horizontal="left"/>
    </xf>
    <xf numFmtId="0" fontId="15" fillId="0" borderId="26" xfId="8" applyBorder="1" applyAlignment="1">
      <alignment horizontal="left"/>
    </xf>
    <xf numFmtId="0" fontId="15" fillId="0" borderId="6" xfId="8" applyBorder="1" applyAlignment="1">
      <alignment horizontal="left"/>
    </xf>
    <xf numFmtId="0" fontId="15" fillId="0" borderId="0" xfId="8" applyBorder="1" applyAlignment="1">
      <alignment horizontal="right"/>
    </xf>
    <xf numFmtId="0" fontId="15" fillId="0" borderId="2" xfId="8" applyBorder="1"/>
    <xf numFmtId="0" fontId="15" fillId="18" borderId="17" xfId="8" applyFill="1" applyBorder="1" applyAlignment="1">
      <alignment horizontal="center"/>
    </xf>
    <xf numFmtId="0" fontId="15" fillId="0" borderId="0" xfId="8" applyAlignment="1">
      <alignment horizontal="center"/>
    </xf>
    <xf numFmtId="0" fontId="15" fillId="0" borderId="0" xfId="9" applyFont="1" applyBorder="1"/>
    <xf numFmtId="0" fontId="15" fillId="0" borderId="0" xfId="9" applyFont="1" applyBorder="1" applyAlignment="1">
      <alignment horizontal="right"/>
    </xf>
    <xf numFmtId="0" fontId="20" fillId="0" borderId="0" xfId="9" applyFont="1" applyBorder="1" applyAlignment="1">
      <alignment horizontal="right"/>
    </xf>
    <xf numFmtId="0" fontId="15" fillId="17" borderId="0" xfId="9" applyFont="1" applyFill="1" applyBorder="1"/>
    <xf numFmtId="0" fontId="18" fillId="0" borderId="0" xfId="9" applyFont="1" applyFill="1" applyBorder="1" applyAlignment="1">
      <alignment horizontal="center"/>
    </xf>
    <xf numFmtId="0" fontId="15" fillId="0" borderId="0" xfId="9" applyFont="1" applyBorder="1" applyAlignment="1">
      <alignment horizontal="center"/>
    </xf>
    <xf numFmtId="0" fontId="15" fillId="18" borderId="0" xfId="8" applyFont="1" applyFill="1" applyBorder="1" applyAlignment="1">
      <alignment horizontal="center"/>
    </xf>
    <xf numFmtId="0" fontId="23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25" xfId="0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0" fontId="2" fillId="0" borderId="40" xfId="0" applyFon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14" borderId="41" xfId="0" applyFont="1" applyFill="1" applyBorder="1" applyAlignment="1">
      <alignment horizontal="center"/>
    </xf>
    <xf numFmtId="0" fontId="1" fillId="14" borderId="31" xfId="0" applyFont="1" applyFill="1" applyBorder="1" applyAlignment="1">
      <alignment horizontal="center"/>
    </xf>
    <xf numFmtId="0" fontId="0" fillId="16" borderId="43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16" borderId="42" xfId="0" applyFill="1" applyBorder="1" applyAlignment="1"/>
    <xf numFmtId="0" fontId="1" fillId="14" borderId="44" xfId="0" applyFont="1" applyFill="1" applyBorder="1" applyAlignment="1">
      <alignment horizontal="center"/>
    </xf>
    <xf numFmtId="0" fontId="0" fillId="13" borderId="19" xfId="0" applyFill="1" applyBorder="1" applyAlignment="1"/>
    <xf numFmtId="0" fontId="25" fillId="13" borderId="19" xfId="11" applyFill="1" applyBorder="1" applyAlignment="1"/>
    <xf numFmtId="0" fontId="25" fillId="15" borderId="44" xfId="1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17" xfId="0" applyBorder="1" applyAlignment="1">
      <alignment horizontal="center"/>
    </xf>
    <xf numFmtId="2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1" fontId="15" fillId="17" borderId="17" xfId="8" applyNumberFormat="1" applyFill="1" applyBorder="1" applyAlignment="1">
      <alignment horizontal="left"/>
    </xf>
    <xf numFmtId="0" fontId="0" fillId="16" borderId="43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8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2">
    <cellStyle name="Bad" xfId="2" builtinId="27"/>
    <cellStyle name="Calculation" xfId="5" builtinId="22"/>
    <cellStyle name="Explanatory Text" xfId="7" builtinId="53"/>
    <cellStyle name="Good" xfId="1" builtinId="26"/>
    <cellStyle name="Hyperlink" xfId="11" builtinId="8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7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1"/>
          <c:y val="1.1312229691288801E-2"/>
          <c:w val="0.72478991596638698"/>
          <c:h val="0.88914125373530095"/>
        </c:manualLayout>
      </c:layout>
      <c:surface3DChart>
        <c:wireframe val="0"/>
        <c:ser>
          <c:idx val="0"/>
          <c:order val="0"/>
          <c:tx>
            <c:strRef>
              <c:f>'Test38_(Data)'!$B$4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'Test38_(Data)'!$B$5:$B$45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'Test38_(Data)'!$C$4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'Test38_(Data)'!$C$5:$C$45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'Test38_(Data)'!$D$4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'Test38_(Data)'!$D$5:$D$45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'Test38_(Data)'!$E$4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'Test38_(Data)'!$E$5:$E$45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'Test38_(Data)'!$F$4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'Test38_(Data)'!$F$5:$F$45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'Test38_(Data)'!$G$4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'Test38_(Data)'!$G$5:$G$45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'Test38_(Data)'!$H$4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'Test38_(Data)'!$H$5:$H$45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'Test38_(Data)'!$I$4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'Test38_(Data)'!$I$5:$I$45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'Test38_(Data)'!$J$4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'Test38_(Data)'!$J$5:$J$45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'Test38_(Data)'!$K$4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'Test38_(Data)'!$K$5:$K$45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'Test38_(Data)'!$L$4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'Test38_(Data)'!$L$5:$L$45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'Test38_(Data)'!$M$4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'Test38_(Data)'!$M$5:$M$45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'Test38_(Data)'!$N$4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'Test38_(Data)'!$N$5:$N$45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'Test38_(Data)'!$O$4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'Test38_(Data)'!$O$5:$O$45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'Test38_(Data)'!$P$4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'Test38_(Data)'!$P$5:$P$45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'Test38_(Data)'!$Q$4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'Test38_(Data)'!$Q$5:$Q$45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'Test38_(Data)'!$R$4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'Test38_(Data)'!$R$5:$R$45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'Test38_(Data)'!$S$4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'Test38_(Data)'!$S$5:$S$45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'Test38_(Data)'!$T$4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'Test38_(Data)'!$T$5:$T$45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'Test38_(Data)'!$U$4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'Test38_(Data)'!$U$5:$U$45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'Test38_(Data)'!$V$4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'Test38_(Data)'!$V$5:$V$45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'Test38_(Data)'!$W$4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'Test38_(Data)'!$W$5:$W$45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'Test38_(Data)'!$X$4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'Test38_(Data)'!$X$5:$X$45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'Test38_(Data)'!$Y$4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'Test38_(Data)'!$Y$5:$Y$45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'Test38_(Data)'!$Z$4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'Test38_(Data)'!$Z$5:$Z$45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'Test38_(Data)'!$AA$4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'Test38_(Data)'!$AA$5:$AA$45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'Test38_(Data)'!$AB$4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'Test38_(Data)'!$AB$5:$AB$45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'Test38_(Data)'!$AC$4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'Test38_(Data)'!$AC$5:$AC$45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'Test38_(Data)'!$AD$4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'Test38_(Data)'!$AD$5:$AD$45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'Test38_(Data)'!$AE$4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'Test38_(Data)'!$AE$5:$AE$45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'Test38_(Data)'!$AF$4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'Test38_(Data)'!$AF$5:$AF$45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'Test38_(Data)'!$AG$4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'Test38_(Data)'!$AG$5:$AG$45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'Test38_(Data)'!$AH$4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'Test38_(Data)'!$AH$5:$AH$45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'Test38_(Data)'!$AI$4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'Test38_(Data)'!$AI$5:$AI$45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'Test38_(Data)'!$AJ$4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'Test38_(Data)'!$AJ$5:$AJ$45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'Test38_(Data)'!$AK$4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'Test38_(Data)'!$AK$5:$AK$45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'Test38_(Data)'!$AL$4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'Test38_(Data)'!$AL$5:$AL$45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'Test38_(Data)'!$AM$4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'Test38_(Data)'!$AM$5:$AM$45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'Test38_(Data)'!$AN$4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'Test38_(Data)'!$AN$5:$AN$45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'Test38_(Data)'!$AO$4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'Test38_(Data)'!$AO$5:$AO$45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'Test38_(Data)'!$AP$4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'Test38_(Data)'!$AP$5:$AP$45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386566816"/>
        <c:axId val="386567208"/>
        <c:axId val="441198608"/>
      </c:surface3DChart>
      <c:catAx>
        <c:axId val="386566816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397E-2"/>
              <c:y val="0.721720169594184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567208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386567208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99E-2"/>
              <c:y val="0.337104547451930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566816"/>
        <c:crosses val="min"/>
        <c:crossBetween val="between"/>
        <c:majorUnit val="0.1"/>
      </c:valAx>
      <c:serAx>
        <c:axId val="441198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805"/>
              <c:y val="0.846154796261326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567208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"/>
          <c:y val="6.6420783882005105E-2"/>
          <c:w val="0.80150753768844196"/>
          <c:h val="0.71586844850605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Test41!$E$1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Test41!$D$2:$D$5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Test41!$E$2:$E$5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Test41!$G$1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Test41!$F$2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Test41!$G$2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Test41!$I$1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Test41!$H$2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Test41!$I$2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Test41!$P$1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Test41!$O$2:$O$15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3">
                  <c:v>0</c:v>
                </c:pt>
                <c:pt idx="4">
                  <c:v>1</c:v>
                </c:pt>
                <c:pt idx="6">
                  <c:v>2</c:v>
                </c:pt>
                <c:pt idx="7">
                  <c:v>3</c:v>
                </c:pt>
                <c:pt idx="9">
                  <c:v>2</c:v>
                </c:pt>
                <c:pt idx="10">
                  <c:v>3</c:v>
                </c:pt>
                <c:pt idx="12">
                  <c:v>1</c:v>
                </c:pt>
                <c:pt idx="13">
                  <c:v>3</c:v>
                </c:pt>
              </c:numCache>
            </c:numRef>
          </c:xVal>
          <c:yVal>
            <c:numRef>
              <c:f>Test41!$P$2:$P$15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3">
                  <c:v>1</c:v>
                </c:pt>
                <c:pt idx="4">
                  <c:v>2</c:v>
                </c:pt>
                <c:pt idx="6">
                  <c:v>1</c:v>
                </c:pt>
                <c:pt idx="7">
                  <c:v>4</c:v>
                </c:pt>
                <c:pt idx="9">
                  <c:v>0</c:v>
                </c:pt>
                <c:pt idx="10">
                  <c:v>4</c:v>
                </c:pt>
                <c:pt idx="12">
                  <c:v>2</c:v>
                </c:pt>
                <c:pt idx="13">
                  <c:v>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6573088"/>
        <c:axId val="386566032"/>
      </c:scatterChart>
      <c:valAx>
        <c:axId val="386573088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566032"/>
        <c:crosses val="autoZero"/>
        <c:crossBetween val="midCat"/>
        <c:majorUnit val="0.5"/>
      </c:valAx>
      <c:valAx>
        <c:axId val="386566032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573088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"/>
          <c:y val="6.1776178239959602E-2"/>
          <c:w val="0.85551330798479097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Test42!$H$3:$H$8</c:f>
              <c:numCache>
                <c:formatCode>General</c:formatCode>
                <c:ptCount val="6"/>
                <c:pt idx="0">
                  <c:v>0</c:v>
                </c:pt>
                <c:pt idx="1">
                  <c:v>2.3571428572692561</c:v>
                </c:pt>
                <c:pt idx="2">
                  <c:v>7.0000000001937108</c:v>
                </c:pt>
                <c:pt idx="5">
                  <c:v>7</c:v>
                </c:pt>
              </c:numCache>
            </c:numRef>
          </c:xVal>
          <c:yVal>
            <c:numRef>
              <c:f>Test42!$I$3:$I$8</c:f>
              <c:numCache>
                <c:formatCode>General</c:formatCode>
                <c:ptCount val="6"/>
                <c:pt idx="0">
                  <c:v>0</c:v>
                </c:pt>
                <c:pt idx="1">
                  <c:v>1.8557687222346773</c:v>
                </c:pt>
                <c:pt idx="2">
                  <c:v>7.8557160776426826E-12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6570736"/>
        <c:axId val="386567992"/>
      </c:scatterChart>
      <c:valAx>
        <c:axId val="386570736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567992"/>
        <c:crosses val="autoZero"/>
        <c:crossBetween val="midCat"/>
        <c:majorUnit val="1"/>
      </c:valAx>
      <c:valAx>
        <c:axId val="386567992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570736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chart" Target="../charts/chart2.xml"/><Relationship Id="rId4" Type="http://schemas.openxmlformats.org/officeDocument/2006/relationships/image" Target="../media/image5.em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200025</xdr:rowOff>
        </xdr:from>
        <xdr:to>
          <xdr:col>1</xdr:col>
          <xdr:colOff>447675</xdr:colOff>
          <xdr:row>0</xdr:row>
          <xdr:rowOff>638175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Select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1</xdr:col>
      <xdr:colOff>21665</xdr:colOff>
      <xdr:row>9</xdr:row>
      <xdr:rowOff>0</xdr:rowOff>
    </xdr:to>
    <xdr:sp macro="" textlink="">
      <xdr:nvSpPr>
        <xdr:cNvPr id="40967" name="ListBoxLinear" hidden="1">
          <a:extLst>
            <a:ext uri="{63B3BB69-23CF-44E3-9099-C40C66FF867C}">
              <a14:compatExt xmlns:a14="http://schemas.microsoft.com/office/drawing/2010/main" spid="_x0000_s4096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21665</xdr:colOff>
      <xdr:row>16</xdr:row>
      <xdr:rowOff>63500</xdr:rowOff>
    </xdr:to>
    <xdr:sp macro="" textlink="">
      <xdr:nvSpPr>
        <xdr:cNvPr id="40970" name="ListBoxNonLinear" hidden="1">
          <a:extLst>
            <a:ext uri="{63B3BB69-23CF-44E3-9099-C40C66FF867C}">
              <a14:compatExt xmlns:a14="http://schemas.microsoft.com/office/drawing/2010/main" spid="_x0000_s4097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1536700</xdr:colOff>
      <xdr:row>30</xdr:row>
      <xdr:rowOff>177800</xdr:rowOff>
    </xdr:to>
    <xdr:sp macro="" textlink="">
      <xdr:nvSpPr>
        <xdr:cNvPr id="40971" name="ListBoxTest" hidden="1">
          <a:extLst>
            <a:ext uri="{63B3BB69-23CF-44E3-9099-C40C66FF867C}">
              <a14:compatExt xmlns:a14="http://schemas.microsoft.com/office/drawing/2010/main" spid="_x0000_s4097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0</xdr:row>
          <xdr:rowOff>200025</xdr:rowOff>
        </xdr:from>
        <xdr:to>
          <xdr:col>8</xdr:col>
          <xdr:colOff>457200</xdr:colOff>
          <xdr:row>0</xdr:row>
          <xdr:rowOff>638175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Remove OpenSolver VBA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0</xdr:row>
          <xdr:rowOff>190500</xdr:rowOff>
        </xdr:from>
        <xdr:to>
          <xdr:col>11</xdr:col>
          <xdr:colOff>561975</xdr:colOff>
          <xdr:row>0</xdr:row>
          <xdr:rowOff>638175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Import OpenSolver VBA Modules From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457200</xdr:colOff>
          <xdr:row>0</xdr:row>
          <xdr:rowOff>190500</xdr:rowOff>
        </xdr:from>
        <xdr:to>
          <xdr:col>15</xdr:col>
          <xdr:colOff>161925</xdr:colOff>
          <xdr:row>0</xdr:row>
          <xdr:rowOff>638175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Export Test Results to Google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9527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714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3514725" y="2047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7"/>
        <xdr:cNvSpPr/>
      </xdr:nvSpPr>
      <xdr:spPr>
        <a:xfrm>
          <a:off x="3424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12" name="OpenSolver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95275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7147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3514725" y="1852613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16" name="OpenSolver15"/>
        <xdr:cNvSpPr/>
      </xdr:nvSpPr>
      <xdr:spPr>
        <a:xfrm>
          <a:off x="34242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95275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714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51472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424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12" name="OpenSolver 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95275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714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51472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424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6576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65760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657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27" name="OpenSolver 6"/>
        <xdr:cNvCxnSpPr>
          <a:stCxn id="25" idx="3"/>
          <a:endCxn id="2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2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30" name="OpenSolver9"/>
        <xdr:cNvSpPr/>
      </xdr:nvSpPr>
      <xdr:spPr>
        <a:xfrm>
          <a:off x="3657600" y="1552575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31" name="OpenSolver 10"/>
        <xdr:cNvCxnSpPr>
          <a:stCxn id="29" idx="3"/>
          <a:endCxn id="3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3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4" name="OpenSolver13"/>
        <xdr:cNvSpPr/>
      </xdr:nvSpPr>
      <xdr:spPr>
        <a:xfrm>
          <a:off x="3657600" y="17526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35" name="OpenSolver 14"/>
        <xdr:cNvCxnSpPr>
          <a:stCxn id="33" idx="3"/>
          <a:endCxn id="3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3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8" name="OpenSolver17"/>
        <xdr:cNvSpPr/>
      </xdr:nvSpPr>
      <xdr:spPr>
        <a:xfrm>
          <a:off x="3657600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9" name="OpenSolver 18"/>
        <xdr:cNvCxnSpPr>
          <a:stCxn id="37" idx="3"/>
          <a:endCxn id="3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9335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290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195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6290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391025" y="1362075"/>
          <a:ext cx="11906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1910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6</xdr:row>
      <xdr:rowOff>158750</xdr:rowOff>
    </xdr:from>
    <xdr:to>
      <xdr:col>10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1005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6290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391025" y="1552575"/>
          <a:ext cx="119062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1910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41005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6290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391025" y="1752600"/>
          <a:ext cx="11906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1910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41005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629025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391025" y="1943100"/>
          <a:ext cx="11906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191000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4100513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21" name="OpenSolver20"/>
        <xdr:cNvSpPr/>
      </xdr:nvSpPr>
      <xdr:spPr>
        <a:xfrm>
          <a:off x="21717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22" name="OpenSolver21"/>
        <xdr:cNvSpPr/>
      </xdr:nvSpPr>
      <xdr:spPr>
        <a:xfrm>
          <a:off x="2514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23" name="OpenSolver22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9" name="OpenSolver1"/>
        <xdr:cNvSpPr/>
      </xdr:nvSpPr>
      <xdr:spPr>
        <a:xfrm>
          <a:off x="1485900" y="581025"/>
          <a:ext cx="21812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0" name="OpenSolver2"/>
        <xdr:cNvSpPr/>
      </xdr:nvSpPr>
      <xdr:spPr>
        <a:xfrm>
          <a:off x="74866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1" name="OpenSolver3"/>
        <xdr:cNvSpPr/>
      </xdr:nvSpPr>
      <xdr:spPr>
        <a:xfrm>
          <a:off x="387667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193675</xdr:colOff>
      <xdr:row>4</xdr:row>
      <xdr:rowOff>107950</xdr:rowOff>
    </xdr:from>
    <xdr:to>
      <xdr:col>8</xdr:col>
      <xdr:colOff>215214</xdr:colOff>
      <xdr:row>5</xdr:row>
      <xdr:rowOff>44450</xdr:rowOff>
    </xdr:to>
    <xdr:sp macro="" textlink="">
      <xdr:nvSpPr>
        <xdr:cNvPr id="32" name="OpenSolver4"/>
        <xdr:cNvSpPr/>
      </xdr:nvSpPr>
      <xdr:spPr>
        <a:xfrm>
          <a:off x="3860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33" name="OpenSolver5"/>
        <xdr:cNvSpPr/>
      </xdr:nvSpPr>
      <xdr:spPr>
        <a:xfrm>
          <a:off x="81629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34" name="OpenSolver6"/>
        <xdr:cNvSpPr/>
      </xdr:nvSpPr>
      <xdr:spPr>
        <a:xfrm>
          <a:off x="86296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35" name="OpenSolver 7"/>
        <xdr:cNvCxnSpPr>
          <a:stCxn id="33" idx="3"/>
          <a:endCxn id="34" idx="1"/>
        </xdr:cNvCxnSpPr>
      </xdr:nvCxnSpPr>
      <xdr:spPr>
        <a:xfrm>
          <a:off x="8429625" y="5857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36" name="OpenSolver 8"/>
        <xdr:cNvSpPr/>
      </xdr:nvSpPr>
      <xdr:spPr>
        <a:xfrm>
          <a:off x="83391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37" name="OpenSolver9"/>
        <xdr:cNvSpPr/>
      </xdr:nvSpPr>
      <xdr:spPr>
        <a:xfrm>
          <a:off x="387667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38" name="OpenSolver10"/>
        <xdr:cNvSpPr/>
      </xdr:nvSpPr>
      <xdr:spPr>
        <a:xfrm>
          <a:off x="45339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39" name="OpenSolver 11"/>
        <xdr:cNvCxnSpPr>
          <a:stCxn id="37" idx="3"/>
          <a:endCxn id="38" idx="1"/>
        </xdr:cNvCxnSpPr>
      </xdr:nvCxnSpPr>
      <xdr:spPr>
        <a:xfrm>
          <a:off x="433387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40" name="OpenSolver 12"/>
        <xdr:cNvSpPr/>
      </xdr:nvSpPr>
      <xdr:spPr>
        <a:xfrm>
          <a:off x="42433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1" name="OpenSolver13"/>
        <xdr:cNvSpPr/>
      </xdr:nvSpPr>
      <xdr:spPr>
        <a:xfrm>
          <a:off x="3876675" y="1943100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2" name="OpenSolver14"/>
        <xdr:cNvSpPr/>
      </xdr:nvSpPr>
      <xdr:spPr>
        <a:xfrm>
          <a:off x="45339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43" name="OpenSolver 15"/>
        <xdr:cNvCxnSpPr>
          <a:stCxn id="41" idx="3"/>
          <a:endCxn id="42" idx="1"/>
        </xdr:cNvCxnSpPr>
      </xdr:nvCxnSpPr>
      <xdr:spPr>
        <a:xfrm>
          <a:off x="43338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44" name="OpenSolver 16"/>
        <xdr:cNvSpPr/>
      </xdr:nvSpPr>
      <xdr:spPr>
        <a:xfrm>
          <a:off x="42433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5" name="OpenSolver17"/>
        <xdr:cNvSpPr/>
      </xdr:nvSpPr>
      <xdr:spPr>
        <a:xfrm>
          <a:off x="74866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46" name="OpenSolver18"/>
        <xdr:cNvSpPr/>
      </xdr:nvSpPr>
      <xdr:spPr>
        <a:xfrm>
          <a:off x="74866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47" name="OpenSolver 19"/>
        <xdr:cNvCxnSpPr>
          <a:stCxn id="45" idx="2"/>
          <a:endCxn id="46" idx="0"/>
        </xdr:cNvCxnSpPr>
      </xdr:nvCxnSpPr>
      <xdr:spPr>
        <a:xfrm>
          <a:off x="7824788" y="971550"/>
          <a:ext cx="0" cy="200025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48" name="OpenSolver 20"/>
        <xdr:cNvSpPr/>
      </xdr:nvSpPr>
      <xdr:spPr>
        <a:xfrm>
          <a:off x="76342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49" name="OpenSolver21"/>
        <xdr:cNvSpPr/>
      </xdr:nvSpPr>
      <xdr:spPr>
        <a:xfrm>
          <a:off x="3876675" y="1752600"/>
          <a:ext cx="4572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50" name="OpenSolver22"/>
        <xdr:cNvSpPr/>
      </xdr:nvSpPr>
      <xdr:spPr>
        <a:xfrm>
          <a:off x="45339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51" name="OpenSolver 23"/>
        <xdr:cNvCxnSpPr>
          <a:stCxn id="49" idx="3"/>
          <a:endCxn id="50" idx="1"/>
        </xdr:cNvCxnSpPr>
      </xdr:nvCxnSpPr>
      <xdr:spPr>
        <a:xfrm>
          <a:off x="4333875" y="1847850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52" name="OpenSolver 24"/>
        <xdr:cNvSpPr/>
      </xdr:nvSpPr>
      <xdr:spPr>
        <a:xfrm>
          <a:off x="42433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53" name="OpenSolver25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54" name="OpenSolver26"/>
        <xdr:cNvSpPr/>
      </xdr:nvSpPr>
      <xdr:spPr>
        <a:xfrm>
          <a:off x="24765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55" name="OpenSolver27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6076950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" name="OpenSolver3"/>
        <xdr:cNvSpPr/>
      </xdr:nvSpPr>
      <xdr:spPr>
        <a:xfrm>
          <a:off x="7810500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3067050" y="1171575"/>
          <a:ext cx="15906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6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" name="OpenSolver6"/>
        <xdr:cNvSpPr/>
      </xdr:nvSpPr>
      <xdr:spPr>
        <a:xfrm>
          <a:off x="3067050" y="1552575"/>
          <a:ext cx="15906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8" name="OpenSolver7"/>
        <xdr:cNvSpPr/>
      </xdr:nvSpPr>
      <xdr:spPr>
        <a:xfrm>
          <a:off x="485775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9" name="OpenSolver 8"/>
        <xdr:cNvCxnSpPr>
          <a:stCxn id="7" idx="3"/>
          <a:endCxn id="8" idx="1"/>
        </xdr:cNvCxnSpPr>
      </xdr:nvCxnSpPr>
      <xdr:spPr>
        <a:xfrm>
          <a:off x="46577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0" name="OpenSolver 9"/>
        <xdr:cNvSpPr/>
      </xdr:nvSpPr>
      <xdr:spPr>
        <a:xfrm>
          <a:off x="45672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1" name="OpenSolver10"/>
        <xdr:cNvSpPr/>
      </xdr:nvSpPr>
      <xdr:spPr>
        <a:xfrm>
          <a:off x="3067050" y="1752600"/>
          <a:ext cx="15906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2" name="OpenSolver11"/>
        <xdr:cNvSpPr/>
      </xdr:nvSpPr>
      <xdr:spPr>
        <a:xfrm>
          <a:off x="4857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3" name="OpenSolver 12"/>
        <xdr:cNvCxnSpPr>
          <a:stCxn id="11" idx="3"/>
          <a:endCxn id="12" idx="1"/>
        </xdr:cNvCxnSpPr>
      </xdr:nvCxnSpPr>
      <xdr:spPr>
        <a:xfrm>
          <a:off x="46577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4" name="OpenSolver 13"/>
        <xdr:cNvSpPr/>
      </xdr:nvSpPr>
      <xdr:spPr>
        <a:xfrm>
          <a:off x="4567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3067050" y="1943100"/>
          <a:ext cx="15906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6" name="OpenSolver15"/>
        <xdr:cNvSpPr/>
      </xdr:nvSpPr>
      <xdr:spPr>
        <a:xfrm>
          <a:off x="4857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7" name="OpenSolver 16"/>
        <xdr:cNvCxnSpPr>
          <a:stCxn id="15" idx="3"/>
          <a:endCxn id="16" idx="1"/>
        </xdr:cNvCxnSpPr>
      </xdr:nvCxnSpPr>
      <xdr:spPr>
        <a:xfrm>
          <a:off x="465772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18" name="OpenSolver 17"/>
        <xdr:cNvSpPr/>
      </xdr:nvSpPr>
      <xdr:spPr>
        <a:xfrm>
          <a:off x="4567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19" name="OpenSolver18"/>
        <xdr:cNvSpPr/>
      </xdr:nvSpPr>
      <xdr:spPr>
        <a:xfrm>
          <a:off x="3067050" y="2133600"/>
          <a:ext cx="15906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20" name="OpenSolver19"/>
        <xdr:cNvSpPr/>
      </xdr:nvSpPr>
      <xdr:spPr>
        <a:xfrm>
          <a:off x="485775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21" name="OpenSolver 20"/>
        <xdr:cNvCxnSpPr>
          <a:stCxn id="19" idx="3"/>
          <a:endCxn id="20" idx="1"/>
        </xdr:cNvCxnSpPr>
      </xdr:nvCxnSpPr>
      <xdr:spPr>
        <a:xfrm>
          <a:off x="46577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22" name="OpenSolver 21"/>
        <xdr:cNvSpPr/>
      </xdr:nvSpPr>
      <xdr:spPr>
        <a:xfrm>
          <a:off x="45672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23" name="OpenSolver22"/>
        <xdr:cNvSpPr/>
      </xdr:nvSpPr>
      <xdr:spPr>
        <a:xfrm>
          <a:off x="8486775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4" name="OpenSolver23"/>
        <xdr:cNvSpPr/>
      </xdr:nvSpPr>
      <xdr:spPr>
        <a:xfrm>
          <a:off x="8953500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25" name="OpenSolver 24"/>
        <xdr:cNvCxnSpPr>
          <a:stCxn id="23" idx="3"/>
          <a:endCxn id="24" idx="1"/>
        </xdr:cNvCxnSpPr>
      </xdr:nvCxnSpPr>
      <xdr:spPr>
        <a:xfrm>
          <a:off x="8753475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26" name="OpenSolver 25"/>
        <xdr:cNvSpPr/>
      </xdr:nvSpPr>
      <xdr:spPr>
        <a:xfrm>
          <a:off x="8662988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27" name="OpenSolver26"/>
        <xdr:cNvSpPr/>
      </xdr:nvSpPr>
      <xdr:spPr>
        <a:xfrm>
          <a:off x="7810500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28" name="OpenSolver27"/>
        <xdr:cNvSpPr/>
      </xdr:nvSpPr>
      <xdr:spPr>
        <a:xfrm>
          <a:off x="7810500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29" name="OpenSolver 28"/>
        <xdr:cNvCxnSpPr>
          <a:stCxn id="27" idx="2"/>
          <a:endCxn id="28" idx="0"/>
        </xdr:cNvCxnSpPr>
      </xdr:nvCxnSpPr>
      <xdr:spPr>
        <a:xfrm>
          <a:off x="8148638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30" name="OpenSolver 29"/>
        <xdr:cNvSpPr/>
      </xdr:nvSpPr>
      <xdr:spPr>
        <a:xfrm>
          <a:off x="79581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31" name="OpenSolverI10"/>
        <xdr:cNvSpPr/>
      </xdr:nvSpPr>
      <xdr:spPr>
        <a:xfrm>
          <a:off x="3079750" y="1765300"/>
          <a:ext cx="15906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32" name="OpenSolver31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33" name="OpenSolver32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34" name="OpenSolver33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70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71" name="OpenSolver2"/>
        <xdr:cNvSpPr/>
      </xdr:nvSpPr>
      <xdr:spPr>
        <a:xfrm>
          <a:off x="6353175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72" name="OpenSolver3"/>
        <xdr:cNvSpPr/>
      </xdr:nvSpPr>
      <xdr:spPr>
        <a:xfrm>
          <a:off x="8086725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73" name="OpenSolver4"/>
        <xdr:cNvSpPr/>
      </xdr:nvSpPr>
      <xdr:spPr>
        <a:xfrm>
          <a:off x="3067050" y="1171575"/>
          <a:ext cx="11715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74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5" name="OpenSolver6"/>
        <xdr:cNvSpPr/>
      </xdr:nvSpPr>
      <xdr:spPr>
        <a:xfrm>
          <a:off x="3067050" y="1552575"/>
          <a:ext cx="11715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76" name="OpenSolver7"/>
        <xdr:cNvSpPr/>
      </xdr:nvSpPr>
      <xdr:spPr>
        <a:xfrm>
          <a:off x="4438650" y="1552575"/>
          <a:ext cx="10953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77" name="OpenSolver 8"/>
        <xdr:cNvCxnSpPr>
          <a:stCxn id="75" idx="3"/>
          <a:endCxn id="76" idx="1"/>
        </xdr:cNvCxnSpPr>
      </xdr:nvCxnSpPr>
      <xdr:spPr>
        <a:xfrm>
          <a:off x="42386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78" name="OpenSolver 9"/>
        <xdr:cNvSpPr/>
      </xdr:nvSpPr>
      <xdr:spPr>
        <a:xfrm>
          <a:off x="41481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79" name="OpenSolver10"/>
        <xdr:cNvSpPr/>
      </xdr:nvSpPr>
      <xdr:spPr>
        <a:xfrm>
          <a:off x="3067050" y="1752600"/>
          <a:ext cx="11715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80" name="OpenSolver11"/>
        <xdr:cNvSpPr/>
      </xdr:nvSpPr>
      <xdr:spPr>
        <a:xfrm>
          <a:off x="4438650" y="1752600"/>
          <a:ext cx="1095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81" name="OpenSolver 12"/>
        <xdr:cNvCxnSpPr>
          <a:stCxn id="79" idx="3"/>
          <a:endCxn id="80" idx="1"/>
        </xdr:cNvCxnSpPr>
      </xdr:nvCxnSpPr>
      <xdr:spPr>
        <a:xfrm>
          <a:off x="42386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82" name="OpenSolver 13"/>
        <xdr:cNvSpPr/>
      </xdr:nvSpPr>
      <xdr:spPr>
        <a:xfrm>
          <a:off x="41481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83" name="OpenSolver14"/>
        <xdr:cNvSpPr/>
      </xdr:nvSpPr>
      <xdr:spPr>
        <a:xfrm>
          <a:off x="4438650" y="1943100"/>
          <a:ext cx="10953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11</xdr:row>
      <xdr:rowOff>0</xdr:rowOff>
    </xdr:to>
    <xdr:sp macro="" textlink="">
      <xdr:nvSpPr>
        <xdr:cNvPr id="84" name="OpenSolver15"/>
        <xdr:cNvSpPr/>
      </xdr:nvSpPr>
      <xdr:spPr>
        <a:xfrm>
          <a:off x="6353175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cxnSp macro="">
      <xdr:nvCxnSpPr>
        <xdr:cNvPr id="85" name="OpenSolver 16"/>
        <xdr:cNvCxnSpPr>
          <a:stCxn id="83" idx="3"/>
          <a:endCxn id="84" idx="1"/>
        </xdr:cNvCxnSpPr>
      </xdr:nvCxnSpPr>
      <xdr:spPr>
        <a:xfrm>
          <a:off x="5534025" y="2038350"/>
          <a:ext cx="8191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219075</xdr:colOff>
      <xdr:row>9</xdr:row>
      <xdr:rowOff>158750</xdr:rowOff>
    </xdr:from>
    <xdr:to>
      <xdr:col>11</xdr:col>
      <xdr:colOff>600075</xdr:colOff>
      <xdr:row>11</xdr:row>
      <xdr:rowOff>31750</xdr:rowOff>
    </xdr:to>
    <xdr:sp macro="" textlink="">
      <xdr:nvSpPr>
        <xdr:cNvPr id="86" name="OpenSolver 17"/>
        <xdr:cNvSpPr/>
      </xdr:nvSpPr>
      <xdr:spPr>
        <a:xfrm>
          <a:off x="57531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87" name="OpenSolver18"/>
        <xdr:cNvSpPr/>
      </xdr:nvSpPr>
      <xdr:spPr>
        <a:xfrm>
          <a:off x="3067050" y="2133600"/>
          <a:ext cx="11715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88" name="OpenSolver19"/>
        <xdr:cNvSpPr/>
      </xdr:nvSpPr>
      <xdr:spPr>
        <a:xfrm>
          <a:off x="4438650" y="2133600"/>
          <a:ext cx="10953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89" name="OpenSolver 20"/>
        <xdr:cNvCxnSpPr>
          <a:stCxn id="87" idx="3"/>
          <a:endCxn id="88" idx="1"/>
        </xdr:cNvCxnSpPr>
      </xdr:nvCxnSpPr>
      <xdr:spPr>
        <a:xfrm>
          <a:off x="42386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90" name="OpenSolver 21"/>
        <xdr:cNvSpPr/>
      </xdr:nvSpPr>
      <xdr:spPr>
        <a:xfrm>
          <a:off x="41481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91" name="OpenSolver22"/>
        <xdr:cNvSpPr/>
      </xdr:nvSpPr>
      <xdr:spPr>
        <a:xfrm>
          <a:off x="8763000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92" name="OpenSolver23"/>
        <xdr:cNvSpPr/>
      </xdr:nvSpPr>
      <xdr:spPr>
        <a:xfrm>
          <a:off x="9229725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93" name="OpenSolver 24"/>
        <xdr:cNvCxnSpPr>
          <a:stCxn id="91" idx="3"/>
          <a:endCxn id="92" idx="1"/>
        </xdr:cNvCxnSpPr>
      </xdr:nvCxnSpPr>
      <xdr:spPr>
        <a:xfrm>
          <a:off x="9029700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94" name="OpenSolver 25"/>
        <xdr:cNvSpPr/>
      </xdr:nvSpPr>
      <xdr:spPr>
        <a:xfrm>
          <a:off x="8939213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95" name="OpenSolver26"/>
        <xdr:cNvSpPr/>
      </xdr:nvSpPr>
      <xdr:spPr>
        <a:xfrm>
          <a:off x="8086725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96" name="OpenSolver27"/>
        <xdr:cNvSpPr/>
      </xdr:nvSpPr>
      <xdr:spPr>
        <a:xfrm>
          <a:off x="8086725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97" name="OpenSolver 28"/>
        <xdr:cNvCxnSpPr>
          <a:stCxn id="95" idx="2"/>
          <a:endCxn id="96" idx="0"/>
        </xdr:cNvCxnSpPr>
      </xdr:nvCxnSpPr>
      <xdr:spPr>
        <a:xfrm>
          <a:off x="8424863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98" name="OpenSolver 29"/>
        <xdr:cNvSpPr/>
      </xdr:nvSpPr>
      <xdr:spPr>
        <a:xfrm>
          <a:off x="8234363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99" name="OpenSolverI10"/>
        <xdr:cNvSpPr/>
      </xdr:nvSpPr>
      <xdr:spPr>
        <a:xfrm>
          <a:off x="3079750" y="1765300"/>
          <a:ext cx="11715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14</xdr:row>
      <xdr:rowOff>0</xdr:rowOff>
    </xdr:to>
    <xdr:sp macro="" textlink="">
      <xdr:nvSpPr>
        <xdr:cNvPr id="100" name="OpenSolverI14"/>
        <xdr:cNvSpPr/>
      </xdr:nvSpPr>
      <xdr:spPr>
        <a:xfrm>
          <a:off x="3067050" y="2514600"/>
          <a:ext cx="11715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5*I15-1≥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101" name="OpenSolver32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102" name="OpenSolver33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103" name="OpenSolver34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4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1895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6574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457450" y="1619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158750</xdr:rowOff>
    </xdr:from>
    <xdr:to>
      <xdr:col>9</xdr:col>
      <xdr:colOff>90488</xdr:colOff>
      <xdr:row>9</xdr:row>
      <xdr:rowOff>31750</xdr:rowOff>
    </xdr:to>
    <xdr:sp macro="" textlink="">
      <xdr:nvSpPr>
        <xdr:cNvPr id="8" name="OpenSolver 7"/>
        <xdr:cNvSpPr/>
      </xdr:nvSpPr>
      <xdr:spPr>
        <a:xfrm>
          <a:off x="23669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1895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2657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2457450" y="1809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12" name="OpenSolver 11"/>
        <xdr:cNvSpPr/>
      </xdr:nvSpPr>
      <xdr:spPr>
        <a:xfrm>
          <a:off x="2366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1" name="OpenSolverC5"/>
        <xdr:cNvSpPr/>
      </xdr:nvSpPr>
      <xdr:spPr>
        <a:xfrm>
          <a:off x="485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/>
        <xdr:cNvSpPr/>
      </xdr:nvSpPr>
      <xdr:spPr>
        <a:xfrm>
          <a:off x="2933700" y="752475"/>
          <a:ext cx="609600" cy="5172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/>
        <xdr:cNvSpPr/>
      </xdr:nvSpPr>
      <xdr:spPr>
        <a:xfrm>
          <a:off x="5981700" y="6496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596900</xdr:colOff>
      <xdr:row>37</xdr:row>
      <xdr:rowOff>120650</xdr:rowOff>
    </xdr:from>
    <xdr:to>
      <xdr:col>8</xdr:col>
      <xdr:colOff>218389</xdr:colOff>
      <xdr:row>38</xdr:row>
      <xdr:rowOff>57150</xdr:rowOff>
    </xdr:to>
    <xdr:sp macro="" textlink="">
      <xdr:nvSpPr>
        <xdr:cNvPr id="4" name="OpenSolver3"/>
        <xdr:cNvSpPr/>
      </xdr:nvSpPr>
      <xdr:spPr>
        <a:xfrm>
          <a:off x="5969000" y="6426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/>
        <xdr:cNvSpPr/>
      </xdr:nvSpPr>
      <xdr:spPr>
        <a:xfrm>
          <a:off x="65913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/>
        <xdr:cNvSpPr/>
      </xdr:nvSpPr>
      <xdr:spPr>
        <a:xfrm>
          <a:off x="78105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7200900" y="67818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38</xdr:row>
      <xdr:rowOff>158750</xdr:rowOff>
    </xdr:from>
    <xdr:to>
      <xdr:col>10</xdr:col>
      <xdr:colOff>495300</xdr:colOff>
      <xdr:row>40</xdr:row>
      <xdr:rowOff>31750</xdr:rowOff>
    </xdr:to>
    <xdr:sp macro="" textlink="">
      <xdr:nvSpPr>
        <xdr:cNvPr id="8" name="OpenSolver 7"/>
        <xdr:cNvSpPr/>
      </xdr:nvSpPr>
      <xdr:spPr>
        <a:xfrm>
          <a:off x="7315200" y="6654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/>
        <xdr:cNvSpPr/>
      </xdr:nvSpPr>
      <xdr:spPr>
        <a:xfrm>
          <a:off x="65913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/>
        <xdr:cNvSpPr/>
      </xdr:nvSpPr>
      <xdr:spPr>
        <a:xfrm>
          <a:off x="78105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7200900" y="70675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40</xdr:row>
      <xdr:rowOff>63500</xdr:rowOff>
    </xdr:from>
    <xdr:to>
      <xdr:col>10</xdr:col>
      <xdr:colOff>495300</xdr:colOff>
      <xdr:row>41</xdr:row>
      <xdr:rowOff>127000</xdr:rowOff>
    </xdr:to>
    <xdr:sp macro="" textlink="">
      <xdr:nvSpPr>
        <xdr:cNvPr id="12" name="OpenSolver 11"/>
        <xdr:cNvSpPr/>
      </xdr:nvSpPr>
      <xdr:spPr>
        <a:xfrm>
          <a:off x="7315200" y="6940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/>
        <xdr:cNvSpPr/>
      </xdr:nvSpPr>
      <xdr:spPr>
        <a:xfrm>
          <a:off x="65913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/>
        <xdr:cNvSpPr/>
      </xdr:nvSpPr>
      <xdr:spPr>
        <a:xfrm>
          <a:off x="78105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7200900" y="73533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41</xdr:row>
      <xdr:rowOff>158750</xdr:rowOff>
    </xdr:from>
    <xdr:to>
      <xdr:col>10</xdr:col>
      <xdr:colOff>495300</xdr:colOff>
      <xdr:row>43</xdr:row>
      <xdr:rowOff>31750</xdr:rowOff>
    </xdr:to>
    <xdr:sp macro="" textlink="">
      <xdr:nvSpPr>
        <xdr:cNvPr id="16" name="OpenSolver 15"/>
        <xdr:cNvSpPr/>
      </xdr:nvSpPr>
      <xdr:spPr>
        <a:xfrm>
          <a:off x="7315200" y="7226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/>
        <xdr:cNvSpPr/>
      </xdr:nvSpPr>
      <xdr:spPr>
        <a:xfrm>
          <a:off x="65913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/>
        <xdr:cNvSpPr/>
      </xdr:nvSpPr>
      <xdr:spPr>
        <a:xfrm>
          <a:off x="78105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7200900" y="754380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42</xdr:row>
      <xdr:rowOff>158750</xdr:rowOff>
    </xdr:from>
    <xdr:to>
      <xdr:col>10</xdr:col>
      <xdr:colOff>495300</xdr:colOff>
      <xdr:row>44</xdr:row>
      <xdr:rowOff>31750</xdr:rowOff>
    </xdr:to>
    <xdr:sp macro="" textlink="">
      <xdr:nvSpPr>
        <xdr:cNvPr id="20" name="OpenSolver 19"/>
        <xdr:cNvSpPr/>
      </xdr:nvSpPr>
      <xdr:spPr>
        <a:xfrm>
          <a:off x="7315200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38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39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0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1" name="OpenSolver28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6350</xdr:rowOff>
    </xdr:from>
    <xdr:to>
      <xdr:col>3</xdr:col>
      <xdr:colOff>64830</xdr:colOff>
      <xdr:row>11</xdr:row>
      <xdr:rowOff>120650</xdr:rowOff>
    </xdr:to>
    <xdr:sp macro="" textlink="">
      <xdr:nvSpPr>
        <xdr:cNvPr id="42" name="OpenSolver29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19050</xdr:rowOff>
    </xdr:from>
    <xdr:to>
      <xdr:col>3</xdr:col>
      <xdr:colOff>64830</xdr:colOff>
      <xdr:row>12</xdr:row>
      <xdr:rowOff>133350</xdr:rowOff>
    </xdr:to>
    <xdr:sp macro="" textlink="">
      <xdr:nvSpPr>
        <xdr:cNvPr id="43" name="OpenSolver30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6350</xdr:rowOff>
    </xdr:from>
    <xdr:to>
      <xdr:col>3</xdr:col>
      <xdr:colOff>64830</xdr:colOff>
      <xdr:row>13</xdr:row>
      <xdr:rowOff>120650</xdr:rowOff>
    </xdr:to>
    <xdr:sp macro="" textlink="">
      <xdr:nvSpPr>
        <xdr:cNvPr id="44" name="OpenSolver31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5" name="OpenSolver32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6" name="OpenSolver33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6350</xdr:rowOff>
    </xdr:from>
    <xdr:to>
      <xdr:col>3</xdr:col>
      <xdr:colOff>64830</xdr:colOff>
      <xdr:row>16</xdr:row>
      <xdr:rowOff>120650</xdr:rowOff>
    </xdr:to>
    <xdr:sp macro="" textlink="">
      <xdr:nvSpPr>
        <xdr:cNvPr id="47" name="OpenSolver34"/>
        <xdr:cNvSpPr/>
      </xdr:nvSpPr>
      <xdr:spPr>
        <a:xfrm>
          <a:off x="2946400" y="3073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19050</xdr:rowOff>
    </xdr:from>
    <xdr:to>
      <xdr:col>3</xdr:col>
      <xdr:colOff>64830</xdr:colOff>
      <xdr:row>17</xdr:row>
      <xdr:rowOff>133350</xdr:rowOff>
    </xdr:to>
    <xdr:sp macro="" textlink="">
      <xdr:nvSpPr>
        <xdr:cNvPr id="48" name="OpenSolver35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6350</xdr:rowOff>
    </xdr:from>
    <xdr:to>
      <xdr:col>3</xdr:col>
      <xdr:colOff>64830</xdr:colOff>
      <xdr:row>18</xdr:row>
      <xdr:rowOff>120650</xdr:rowOff>
    </xdr:to>
    <xdr:sp macro="" textlink="">
      <xdr:nvSpPr>
        <xdr:cNvPr id="49" name="OpenSolver36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0" name="OpenSolver37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1" name="OpenSolver38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6350</xdr:rowOff>
    </xdr:from>
    <xdr:to>
      <xdr:col>3</xdr:col>
      <xdr:colOff>64830</xdr:colOff>
      <xdr:row>21</xdr:row>
      <xdr:rowOff>120650</xdr:rowOff>
    </xdr:to>
    <xdr:sp macro="" textlink="">
      <xdr:nvSpPr>
        <xdr:cNvPr id="52" name="OpenSolver39"/>
        <xdr:cNvSpPr/>
      </xdr:nvSpPr>
      <xdr:spPr>
        <a:xfrm>
          <a:off x="2946400" y="3835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19050</xdr:rowOff>
    </xdr:from>
    <xdr:to>
      <xdr:col>3</xdr:col>
      <xdr:colOff>64830</xdr:colOff>
      <xdr:row>22</xdr:row>
      <xdr:rowOff>133350</xdr:rowOff>
    </xdr:to>
    <xdr:sp macro="" textlink="">
      <xdr:nvSpPr>
        <xdr:cNvPr id="53" name="OpenSolver40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4" name="OpenSolver41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5" name="OpenSolver42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19050</xdr:rowOff>
    </xdr:from>
    <xdr:to>
      <xdr:col>3</xdr:col>
      <xdr:colOff>64830</xdr:colOff>
      <xdr:row>25</xdr:row>
      <xdr:rowOff>133350</xdr:rowOff>
    </xdr:to>
    <xdr:sp macro="" textlink="">
      <xdr:nvSpPr>
        <xdr:cNvPr id="56" name="OpenSolver43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6350</xdr:rowOff>
    </xdr:from>
    <xdr:to>
      <xdr:col>3</xdr:col>
      <xdr:colOff>64830</xdr:colOff>
      <xdr:row>26</xdr:row>
      <xdr:rowOff>120650</xdr:rowOff>
    </xdr:to>
    <xdr:sp macro="" textlink="">
      <xdr:nvSpPr>
        <xdr:cNvPr id="57" name="OpenSolver44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19050</xdr:rowOff>
    </xdr:from>
    <xdr:to>
      <xdr:col>3</xdr:col>
      <xdr:colOff>64830</xdr:colOff>
      <xdr:row>27</xdr:row>
      <xdr:rowOff>133350</xdr:rowOff>
    </xdr:to>
    <xdr:sp macro="" textlink="">
      <xdr:nvSpPr>
        <xdr:cNvPr id="58" name="OpenSolver45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59" name="OpenSolver46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60" name="OpenSolver47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19050</xdr:rowOff>
    </xdr:from>
    <xdr:to>
      <xdr:col>3</xdr:col>
      <xdr:colOff>64830</xdr:colOff>
      <xdr:row>30</xdr:row>
      <xdr:rowOff>133350</xdr:rowOff>
    </xdr:to>
    <xdr:sp macro="" textlink="">
      <xdr:nvSpPr>
        <xdr:cNvPr id="61" name="OpenSolver48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6350</xdr:rowOff>
    </xdr:from>
    <xdr:to>
      <xdr:col>3</xdr:col>
      <xdr:colOff>64830</xdr:colOff>
      <xdr:row>31</xdr:row>
      <xdr:rowOff>120650</xdr:rowOff>
    </xdr:to>
    <xdr:sp macro="" textlink="">
      <xdr:nvSpPr>
        <xdr:cNvPr id="62" name="OpenSolver49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19050</xdr:rowOff>
    </xdr:from>
    <xdr:to>
      <xdr:col>3</xdr:col>
      <xdr:colOff>64830</xdr:colOff>
      <xdr:row>32</xdr:row>
      <xdr:rowOff>133350</xdr:rowOff>
    </xdr:to>
    <xdr:sp macro="" textlink="">
      <xdr:nvSpPr>
        <xdr:cNvPr id="63" name="OpenSolver50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4" name="OpenSolver51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5" name="OpenSolver52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47850" y="3905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286250" y="7905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120650</xdr:rowOff>
    </xdr:from>
    <xdr:to>
      <xdr:col>7</xdr:col>
      <xdr:colOff>212039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42862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55054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895850" y="127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</xdr:row>
      <xdr:rowOff>168275</xdr:rowOff>
    </xdr:from>
    <xdr:to>
      <xdr:col>8</xdr:col>
      <xdr:colOff>495300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5010150" y="114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/>
        <xdr:cNvSpPr/>
      </xdr:nvSpPr>
      <xdr:spPr>
        <a:xfrm>
          <a:off x="42862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55054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895850" y="146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2" name="OpenSolver 11"/>
        <xdr:cNvSpPr/>
      </xdr:nvSpPr>
      <xdr:spPr>
        <a:xfrm>
          <a:off x="50101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42862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55054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895850" y="1662113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5010150" y="1535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7" name="OpenSolver16"/>
        <xdr:cNvSpPr/>
      </xdr:nvSpPr>
      <xdr:spPr>
        <a:xfrm>
          <a:off x="42862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8" name="OpenSolver17"/>
        <xdr:cNvSpPr/>
      </xdr:nvSpPr>
      <xdr:spPr>
        <a:xfrm>
          <a:off x="55054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895850" y="1857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20" name="OpenSolver 19"/>
        <xdr:cNvSpPr/>
      </xdr:nvSpPr>
      <xdr:spPr>
        <a:xfrm>
          <a:off x="5010150" y="173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1" name="OpenSolver20"/>
        <xdr:cNvSpPr/>
      </xdr:nvSpPr>
      <xdr:spPr>
        <a:xfrm>
          <a:off x="42862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2" name="OpenSolver21"/>
        <xdr:cNvSpPr/>
      </xdr:nvSpPr>
      <xdr:spPr>
        <a:xfrm>
          <a:off x="55054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4895850" y="2047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24" name="OpenSolver 23"/>
        <xdr:cNvSpPr/>
      </xdr:nvSpPr>
      <xdr:spPr>
        <a:xfrm>
          <a:off x="5010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5" name="OpenSolver24"/>
        <xdr:cNvSpPr/>
      </xdr:nvSpPr>
      <xdr:spPr>
        <a:xfrm>
          <a:off x="42862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6" name="OpenSolver25"/>
        <xdr:cNvSpPr/>
      </xdr:nvSpPr>
      <xdr:spPr>
        <a:xfrm>
          <a:off x="55054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4895850" y="2238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8" name="OpenSolver 27"/>
        <xdr:cNvSpPr/>
      </xdr:nvSpPr>
      <xdr:spPr>
        <a:xfrm>
          <a:off x="5010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9" name="OpenSolver28"/>
        <xdr:cNvSpPr/>
      </xdr:nvSpPr>
      <xdr:spPr>
        <a:xfrm>
          <a:off x="42862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0" name="OpenSolver29"/>
        <xdr:cNvSpPr/>
      </xdr:nvSpPr>
      <xdr:spPr>
        <a:xfrm>
          <a:off x="55054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1" name="OpenSolver 30"/>
        <xdr:cNvCxnSpPr>
          <a:stCxn id="29" idx="3"/>
          <a:endCxn id="30" idx="1"/>
        </xdr:cNvCxnSpPr>
      </xdr:nvCxnSpPr>
      <xdr:spPr>
        <a:xfrm>
          <a:off x="4895850" y="2428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2" name="OpenSolver 31"/>
        <xdr:cNvSpPr/>
      </xdr:nvSpPr>
      <xdr:spPr>
        <a:xfrm>
          <a:off x="5010150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3" name="OpenSolver32"/>
        <xdr:cNvSpPr/>
      </xdr:nvSpPr>
      <xdr:spPr>
        <a:xfrm>
          <a:off x="42862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4" name="OpenSolver33"/>
        <xdr:cNvSpPr/>
      </xdr:nvSpPr>
      <xdr:spPr>
        <a:xfrm>
          <a:off x="55054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5" name="OpenSolver 34"/>
        <xdr:cNvCxnSpPr>
          <a:stCxn id="33" idx="3"/>
          <a:endCxn id="34" idx="1"/>
        </xdr:cNvCxnSpPr>
      </xdr:nvCxnSpPr>
      <xdr:spPr>
        <a:xfrm>
          <a:off x="4895850" y="2619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6" name="OpenSolver 35"/>
        <xdr:cNvSpPr/>
      </xdr:nvSpPr>
      <xdr:spPr>
        <a:xfrm>
          <a:off x="5010150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37" name="OpenSolver36"/>
        <xdr:cNvSpPr/>
      </xdr:nvSpPr>
      <xdr:spPr>
        <a:xfrm>
          <a:off x="42862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38" name="OpenSolver37"/>
        <xdr:cNvSpPr/>
      </xdr:nvSpPr>
      <xdr:spPr>
        <a:xfrm>
          <a:off x="55054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9" name="OpenSolver 38"/>
        <xdr:cNvCxnSpPr>
          <a:stCxn id="37" idx="3"/>
          <a:endCxn id="38" idx="1"/>
        </xdr:cNvCxnSpPr>
      </xdr:nvCxnSpPr>
      <xdr:spPr>
        <a:xfrm>
          <a:off x="4895850" y="2809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40" name="OpenSolver 39"/>
        <xdr:cNvSpPr/>
      </xdr:nvSpPr>
      <xdr:spPr>
        <a:xfrm>
          <a:off x="501015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1" name="OpenSolver40"/>
        <xdr:cNvSpPr/>
      </xdr:nvSpPr>
      <xdr:spPr>
        <a:xfrm>
          <a:off x="42862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42" name="OpenSolver41"/>
        <xdr:cNvSpPr/>
      </xdr:nvSpPr>
      <xdr:spPr>
        <a:xfrm>
          <a:off x="55054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43" name="OpenSolver 42"/>
        <xdr:cNvCxnSpPr>
          <a:stCxn id="41" idx="3"/>
          <a:endCxn id="42" idx="1"/>
        </xdr:cNvCxnSpPr>
      </xdr:nvCxnSpPr>
      <xdr:spPr>
        <a:xfrm>
          <a:off x="4895850" y="3000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44" name="OpenSolver 43"/>
        <xdr:cNvSpPr/>
      </xdr:nvSpPr>
      <xdr:spPr>
        <a:xfrm>
          <a:off x="5010150" y="287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5" name="OpenSolver44"/>
        <xdr:cNvSpPr/>
      </xdr:nvSpPr>
      <xdr:spPr>
        <a:xfrm>
          <a:off x="42862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6" name="OpenSolver45"/>
        <xdr:cNvSpPr/>
      </xdr:nvSpPr>
      <xdr:spPr>
        <a:xfrm>
          <a:off x="55054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47" name="OpenSolver 46"/>
        <xdr:cNvCxnSpPr>
          <a:stCxn id="45" idx="3"/>
          <a:endCxn id="46" idx="1"/>
        </xdr:cNvCxnSpPr>
      </xdr:nvCxnSpPr>
      <xdr:spPr>
        <a:xfrm>
          <a:off x="4895850" y="3190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48" name="OpenSolver 47"/>
        <xdr:cNvSpPr/>
      </xdr:nvSpPr>
      <xdr:spPr>
        <a:xfrm>
          <a:off x="5010150" y="306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9" name="OpenSolver48"/>
        <xdr:cNvSpPr/>
      </xdr:nvSpPr>
      <xdr:spPr>
        <a:xfrm>
          <a:off x="42862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50" name="OpenSolver49"/>
        <xdr:cNvSpPr/>
      </xdr:nvSpPr>
      <xdr:spPr>
        <a:xfrm>
          <a:off x="55054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51" name="OpenSolver 50"/>
        <xdr:cNvCxnSpPr>
          <a:stCxn id="49" idx="3"/>
          <a:endCxn id="50" idx="1"/>
        </xdr:cNvCxnSpPr>
      </xdr:nvCxnSpPr>
      <xdr:spPr>
        <a:xfrm>
          <a:off x="4895850" y="3381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52" name="OpenSolver 51"/>
        <xdr:cNvSpPr/>
      </xdr:nvSpPr>
      <xdr:spPr>
        <a:xfrm>
          <a:off x="5010150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53" name="OpenSolver52"/>
        <xdr:cNvSpPr/>
      </xdr:nvSpPr>
      <xdr:spPr>
        <a:xfrm>
          <a:off x="42862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54" name="OpenSolver53"/>
        <xdr:cNvSpPr/>
      </xdr:nvSpPr>
      <xdr:spPr>
        <a:xfrm>
          <a:off x="55054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55" name="OpenSolver 54"/>
        <xdr:cNvCxnSpPr>
          <a:stCxn id="53" idx="3"/>
          <a:endCxn id="54" idx="1"/>
        </xdr:cNvCxnSpPr>
      </xdr:nvCxnSpPr>
      <xdr:spPr>
        <a:xfrm>
          <a:off x="4895850" y="3571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56" name="OpenSolver 55"/>
        <xdr:cNvSpPr/>
      </xdr:nvSpPr>
      <xdr:spPr>
        <a:xfrm>
          <a:off x="5010150" y="344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7" name="OpenSolver56"/>
        <xdr:cNvSpPr/>
      </xdr:nvSpPr>
      <xdr:spPr>
        <a:xfrm>
          <a:off x="42862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58" name="OpenSolver57"/>
        <xdr:cNvSpPr/>
      </xdr:nvSpPr>
      <xdr:spPr>
        <a:xfrm>
          <a:off x="55054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59" name="OpenSolver 58"/>
        <xdr:cNvCxnSpPr>
          <a:stCxn id="57" idx="3"/>
          <a:endCxn id="58" idx="1"/>
        </xdr:cNvCxnSpPr>
      </xdr:nvCxnSpPr>
      <xdr:spPr>
        <a:xfrm>
          <a:off x="4895850" y="3762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60" name="OpenSolver 59"/>
        <xdr:cNvSpPr/>
      </xdr:nvSpPr>
      <xdr:spPr>
        <a:xfrm>
          <a:off x="5010150" y="363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1" name="OpenSolver60"/>
        <xdr:cNvSpPr/>
      </xdr:nvSpPr>
      <xdr:spPr>
        <a:xfrm>
          <a:off x="42862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62" name="OpenSolver61"/>
        <xdr:cNvSpPr/>
      </xdr:nvSpPr>
      <xdr:spPr>
        <a:xfrm>
          <a:off x="55054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63" name="OpenSolver 62"/>
        <xdr:cNvCxnSpPr>
          <a:stCxn id="61" idx="3"/>
          <a:endCxn id="62" idx="1"/>
        </xdr:cNvCxnSpPr>
      </xdr:nvCxnSpPr>
      <xdr:spPr>
        <a:xfrm>
          <a:off x="4895850" y="3952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256" name="OpenSolver 63"/>
        <xdr:cNvSpPr/>
      </xdr:nvSpPr>
      <xdr:spPr>
        <a:xfrm>
          <a:off x="5010150" y="382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257" name="OpenSolver64"/>
        <xdr:cNvSpPr/>
      </xdr:nvSpPr>
      <xdr:spPr>
        <a:xfrm>
          <a:off x="42862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258" name="OpenSolver65"/>
        <xdr:cNvSpPr/>
      </xdr:nvSpPr>
      <xdr:spPr>
        <a:xfrm>
          <a:off x="55054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259" name="OpenSolver 66"/>
        <xdr:cNvCxnSpPr>
          <a:stCxn id="8257" idx="3"/>
          <a:endCxn id="8258" idx="1"/>
        </xdr:cNvCxnSpPr>
      </xdr:nvCxnSpPr>
      <xdr:spPr>
        <a:xfrm>
          <a:off x="4895850" y="4143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260" name="OpenSolver 67"/>
        <xdr:cNvSpPr/>
      </xdr:nvSpPr>
      <xdr:spPr>
        <a:xfrm>
          <a:off x="5010150" y="401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261" name="OpenSolver68"/>
        <xdr:cNvSpPr/>
      </xdr:nvSpPr>
      <xdr:spPr>
        <a:xfrm>
          <a:off x="42862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788" name="OpenSolver69"/>
        <xdr:cNvSpPr/>
      </xdr:nvSpPr>
      <xdr:spPr>
        <a:xfrm>
          <a:off x="55054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789" name="OpenSolver 70"/>
        <xdr:cNvCxnSpPr>
          <a:stCxn id="8261" idx="3"/>
          <a:endCxn id="8788" idx="1"/>
        </xdr:cNvCxnSpPr>
      </xdr:nvCxnSpPr>
      <xdr:spPr>
        <a:xfrm>
          <a:off x="4895850" y="4333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790" name="OpenSolver 71"/>
        <xdr:cNvSpPr/>
      </xdr:nvSpPr>
      <xdr:spPr>
        <a:xfrm>
          <a:off x="5010150" y="420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791" name="OpenSolver72"/>
        <xdr:cNvSpPr/>
      </xdr:nvSpPr>
      <xdr:spPr>
        <a:xfrm>
          <a:off x="42862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792" name="OpenSolver73"/>
        <xdr:cNvSpPr/>
      </xdr:nvSpPr>
      <xdr:spPr>
        <a:xfrm>
          <a:off x="55054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793" name="OpenSolver 74"/>
        <xdr:cNvCxnSpPr>
          <a:stCxn id="8791" idx="3"/>
          <a:endCxn id="8792" idx="1"/>
        </xdr:cNvCxnSpPr>
      </xdr:nvCxnSpPr>
      <xdr:spPr>
        <a:xfrm>
          <a:off x="4895850" y="4524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794" name="OpenSolver 75"/>
        <xdr:cNvSpPr/>
      </xdr:nvSpPr>
      <xdr:spPr>
        <a:xfrm>
          <a:off x="5010150" y="439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795" name="OpenSolver76"/>
        <xdr:cNvSpPr/>
      </xdr:nvSpPr>
      <xdr:spPr>
        <a:xfrm>
          <a:off x="42862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796" name="OpenSolver77"/>
        <xdr:cNvSpPr/>
      </xdr:nvSpPr>
      <xdr:spPr>
        <a:xfrm>
          <a:off x="55054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797" name="OpenSolver 78"/>
        <xdr:cNvCxnSpPr>
          <a:stCxn id="8795" idx="3"/>
          <a:endCxn id="8796" idx="1"/>
        </xdr:cNvCxnSpPr>
      </xdr:nvCxnSpPr>
      <xdr:spPr>
        <a:xfrm>
          <a:off x="4895850" y="4714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798" name="OpenSolver 79"/>
        <xdr:cNvSpPr/>
      </xdr:nvSpPr>
      <xdr:spPr>
        <a:xfrm>
          <a:off x="5010150" y="458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799" name="OpenSolver80"/>
        <xdr:cNvSpPr/>
      </xdr:nvSpPr>
      <xdr:spPr>
        <a:xfrm>
          <a:off x="42862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800" name="OpenSolver81"/>
        <xdr:cNvSpPr/>
      </xdr:nvSpPr>
      <xdr:spPr>
        <a:xfrm>
          <a:off x="55054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801" name="OpenSolver 82"/>
        <xdr:cNvCxnSpPr>
          <a:stCxn id="8799" idx="3"/>
          <a:endCxn id="8800" idx="1"/>
        </xdr:cNvCxnSpPr>
      </xdr:nvCxnSpPr>
      <xdr:spPr>
        <a:xfrm>
          <a:off x="4895850" y="4905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802" name="OpenSolver 83"/>
        <xdr:cNvSpPr/>
      </xdr:nvSpPr>
      <xdr:spPr>
        <a:xfrm>
          <a:off x="5010150" y="477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803" name="OpenSolver84"/>
        <xdr:cNvSpPr/>
      </xdr:nvSpPr>
      <xdr:spPr>
        <a:xfrm>
          <a:off x="42862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804" name="OpenSolver85"/>
        <xdr:cNvSpPr/>
      </xdr:nvSpPr>
      <xdr:spPr>
        <a:xfrm>
          <a:off x="55054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805" name="OpenSolver 86"/>
        <xdr:cNvCxnSpPr>
          <a:stCxn id="8803" idx="3"/>
          <a:endCxn id="8804" idx="1"/>
        </xdr:cNvCxnSpPr>
      </xdr:nvCxnSpPr>
      <xdr:spPr>
        <a:xfrm>
          <a:off x="4895850" y="5095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806" name="OpenSolver 87"/>
        <xdr:cNvSpPr/>
      </xdr:nvSpPr>
      <xdr:spPr>
        <a:xfrm>
          <a:off x="5010150" y="496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807" name="OpenSolver88"/>
        <xdr:cNvSpPr/>
      </xdr:nvSpPr>
      <xdr:spPr>
        <a:xfrm>
          <a:off x="42862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808" name="OpenSolver89"/>
        <xdr:cNvSpPr/>
      </xdr:nvSpPr>
      <xdr:spPr>
        <a:xfrm>
          <a:off x="55054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809" name="OpenSolver 90"/>
        <xdr:cNvCxnSpPr>
          <a:stCxn id="8807" idx="3"/>
          <a:endCxn id="8808" idx="1"/>
        </xdr:cNvCxnSpPr>
      </xdr:nvCxnSpPr>
      <xdr:spPr>
        <a:xfrm>
          <a:off x="4895850" y="5286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810" name="OpenSolver 91"/>
        <xdr:cNvSpPr/>
      </xdr:nvSpPr>
      <xdr:spPr>
        <a:xfrm>
          <a:off x="5010150" y="515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811" name="OpenSolver92"/>
        <xdr:cNvSpPr/>
      </xdr:nvSpPr>
      <xdr:spPr>
        <a:xfrm>
          <a:off x="42862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812" name="OpenSolver93"/>
        <xdr:cNvSpPr/>
      </xdr:nvSpPr>
      <xdr:spPr>
        <a:xfrm>
          <a:off x="55054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813" name="OpenSolver 94"/>
        <xdr:cNvCxnSpPr>
          <a:stCxn id="8811" idx="3"/>
          <a:endCxn id="8812" idx="1"/>
        </xdr:cNvCxnSpPr>
      </xdr:nvCxnSpPr>
      <xdr:spPr>
        <a:xfrm>
          <a:off x="4895850" y="5476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814" name="OpenSolver 95"/>
        <xdr:cNvSpPr/>
      </xdr:nvSpPr>
      <xdr:spPr>
        <a:xfrm>
          <a:off x="5010150" y="534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815" name="OpenSolver96"/>
        <xdr:cNvSpPr/>
      </xdr:nvSpPr>
      <xdr:spPr>
        <a:xfrm>
          <a:off x="42862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816" name="OpenSolver97"/>
        <xdr:cNvSpPr/>
      </xdr:nvSpPr>
      <xdr:spPr>
        <a:xfrm>
          <a:off x="55054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817" name="OpenSolver 98"/>
        <xdr:cNvCxnSpPr>
          <a:stCxn id="8815" idx="3"/>
          <a:endCxn id="8816" idx="1"/>
        </xdr:cNvCxnSpPr>
      </xdr:nvCxnSpPr>
      <xdr:spPr>
        <a:xfrm>
          <a:off x="4895850" y="5667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818" name="OpenSolver 99"/>
        <xdr:cNvSpPr/>
      </xdr:nvSpPr>
      <xdr:spPr>
        <a:xfrm>
          <a:off x="5010150" y="554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819" name="OpenSolver100"/>
        <xdr:cNvSpPr/>
      </xdr:nvSpPr>
      <xdr:spPr>
        <a:xfrm>
          <a:off x="42862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820" name="OpenSolver101"/>
        <xdr:cNvSpPr/>
      </xdr:nvSpPr>
      <xdr:spPr>
        <a:xfrm>
          <a:off x="55054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821" name="OpenSolver 102"/>
        <xdr:cNvCxnSpPr>
          <a:stCxn id="8819" idx="3"/>
          <a:endCxn id="8820" idx="1"/>
        </xdr:cNvCxnSpPr>
      </xdr:nvCxnSpPr>
      <xdr:spPr>
        <a:xfrm>
          <a:off x="4895850" y="5857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822" name="OpenSolver 103"/>
        <xdr:cNvSpPr/>
      </xdr:nvSpPr>
      <xdr:spPr>
        <a:xfrm>
          <a:off x="5010150" y="573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823" name="OpenSolver104"/>
        <xdr:cNvSpPr/>
      </xdr:nvSpPr>
      <xdr:spPr>
        <a:xfrm>
          <a:off x="42862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824" name="OpenSolver105"/>
        <xdr:cNvSpPr/>
      </xdr:nvSpPr>
      <xdr:spPr>
        <a:xfrm>
          <a:off x="55054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825" name="OpenSolver 106"/>
        <xdr:cNvCxnSpPr>
          <a:stCxn id="8823" idx="3"/>
          <a:endCxn id="8824" idx="1"/>
        </xdr:cNvCxnSpPr>
      </xdr:nvCxnSpPr>
      <xdr:spPr>
        <a:xfrm>
          <a:off x="4895850" y="6048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826" name="OpenSolver 107"/>
        <xdr:cNvSpPr/>
      </xdr:nvSpPr>
      <xdr:spPr>
        <a:xfrm>
          <a:off x="5010150" y="592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827" name="OpenSolver108"/>
        <xdr:cNvSpPr/>
      </xdr:nvSpPr>
      <xdr:spPr>
        <a:xfrm>
          <a:off x="42862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828" name="OpenSolver109"/>
        <xdr:cNvSpPr/>
      </xdr:nvSpPr>
      <xdr:spPr>
        <a:xfrm>
          <a:off x="55054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829" name="OpenSolver 110"/>
        <xdr:cNvCxnSpPr>
          <a:stCxn id="8827" idx="3"/>
          <a:endCxn id="8828" idx="1"/>
        </xdr:cNvCxnSpPr>
      </xdr:nvCxnSpPr>
      <xdr:spPr>
        <a:xfrm>
          <a:off x="4895850" y="6238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830" name="OpenSolver 111"/>
        <xdr:cNvSpPr/>
      </xdr:nvSpPr>
      <xdr:spPr>
        <a:xfrm>
          <a:off x="5010150" y="611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831" name="OpenSolver112"/>
        <xdr:cNvSpPr/>
      </xdr:nvSpPr>
      <xdr:spPr>
        <a:xfrm>
          <a:off x="42862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832" name="OpenSolver113"/>
        <xdr:cNvSpPr/>
      </xdr:nvSpPr>
      <xdr:spPr>
        <a:xfrm>
          <a:off x="55054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833" name="OpenSolver 114"/>
        <xdr:cNvCxnSpPr>
          <a:stCxn id="8831" idx="3"/>
          <a:endCxn id="8832" idx="1"/>
        </xdr:cNvCxnSpPr>
      </xdr:nvCxnSpPr>
      <xdr:spPr>
        <a:xfrm>
          <a:off x="4895850" y="6429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834" name="OpenSolver 115"/>
        <xdr:cNvSpPr/>
      </xdr:nvSpPr>
      <xdr:spPr>
        <a:xfrm>
          <a:off x="5010150" y="630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835" name="OpenSolver116"/>
        <xdr:cNvSpPr/>
      </xdr:nvSpPr>
      <xdr:spPr>
        <a:xfrm>
          <a:off x="42862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836" name="OpenSolver117"/>
        <xdr:cNvSpPr/>
      </xdr:nvSpPr>
      <xdr:spPr>
        <a:xfrm>
          <a:off x="55054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837" name="OpenSolver 118"/>
        <xdr:cNvCxnSpPr>
          <a:stCxn id="8835" idx="3"/>
          <a:endCxn id="8836" idx="1"/>
        </xdr:cNvCxnSpPr>
      </xdr:nvCxnSpPr>
      <xdr:spPr>
        <a:xfrm>
          <a:off x="4895850" y="6619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838" name="OpenSolver 119"/>
        <xdr:cNvSpPr/>
      </xdr:nvSpPr>
      <xdr:spPr>
        <a:xfrm>
          <a:off x="5010150" y="649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839" name="OpenSolver120"/>
        <xdr:cNvSpPr/>
      </xdr:nvSpPr>
      <xdr:spPr>
        <a:xfrm>
          <a:off x="42862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840" name="OpenSolver121"/>
        <xdr:cNvSpPr/>
      </xdr:nvSpPr>
      <xdr:spPr>
        <a:xfrm>
          <a:off x="55054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841" name="OpenSolver 122"/>
        <xdr:cNvCxnSpPr>
          <a:stCxn id="8839" idx="3"/>
          <a:endCxn id="8840" idx="1"/>
        </xdr:cNvCxnSpPr>
      </xdr:nvCxnSpPr>
      <xdr:spPr>
        <a:xfrm>
          <a:off x="4895850" y="6810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842" name="OpenSolver 123"/>
        <xdr:cNvSpPr/>
      </xdr:nvSpPr>
      <xdr:spPr>
        <a:xfrm>
          <a:off x="5010150" y="668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43" name="OpenSolver124"/>
        <xdr:cNvSpPr/>
      </xdr:nvSpPr>
      <xdr:spPr>
        <a:xfrm>
          <a:off x="42862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844" name="OpenSolver125"/>
        <xdr:cNvSpPr/>
      </xdr:nvSpPr>
      <xdr:spPr>
        <a:xfrm>
          <a:off x="55054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845" name="OpenSolver 126"/>
        <xdr:cNvCxnSpPr>
          <a:stCxn id="8843" idx="3"/>
          <a:endCxn id="8844" idx="1"/>
        </xdr:cNvCxnSpPr>
      </xdr:nvCxnSpPr>
      <xdr:spPr>
        <a:xfrm>
          <a:off x="4895850" y="7000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846" name="OpenSolver 127"/>
        <xdr:cNvSpPr/>
      </xdr:nvSpPr>
      <xdr:spPr>
        <a:xfrm>
          <a:off x="5010150" y="687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847" name="OpenSolver128"/>
        <xdr:cNvSpPr/>
      </xdr:nvSpPr>
      <xdr:spPr>
        <a:xfrm>
          <a:off x="42862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848" name="OpenSolver129"/>
        <xdr:cNvSpPr/>
      </xdr:nvSpPr>
      <xdr:spPr>
        <a:xfrm>
          <a:off x="55054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849" name="OpenSolver 130"/>
        <xdr:cNvCxnSpPr>
          <a:stCxn id="8847" idx="3"/>
          <a:endCxn id="8848" idx="1"/>
        </xdr:cNvCxnSpPr>
      </xdr:nvCxnSpPr>
      <xdr:spPr>
        <a:xfrm>
          <a:off x="4895850" y="7191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850" name="OpenSolver 131"/>
        <xdr:cNvSpPr/>
      </xdr:nvSpPr>
      <xdr:spPr>
        <a:xfrm>
          <a:off x="5010150" y="706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51" name="OpenSolver132"/>
        <xdr:cNvSpPr/>
      </xdr:nvSpPr>
      <xdr:spPr>
        <a:xfrm>
          <a:off x="42862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852" name="OpenSolver133"/>
        <xdr:cNvSpPr/>
      </xdr:nvSpPr>
      <xdr:spPr>
        <a:xfrm>
          <a:off x="55054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853" name="OpenSolver 134"/>
        <xdr:cNvCxnSpPr>
          <a:stCxn id="8851" idx="3"/>
          <a:endCxn id="8852" idx="1"/>
        </xdr:cNvCxnSpPr>
      </xdr:nvCxnSpPr>
      <xdr:spPr>
        <a:xfrm>
          <a:off x="4895850" y="7381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854" name="OpenSolver 135"/>
        <xdr:cNvSpPr/>
      </xdr:nvSpPr>
      <xdr:spPr>
        <a:xfrm>
          <a:off x="5010150" y="725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55" name="OpenSolver136"/>
        <xdr:cNvSpPr/>
      </xdr:nvSpPr>
      <xdr:spPr>
        <a:xfrm>
          <a:off x="42862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856" name="OpenSolver137"/>
        <xdr:cNvSpPr/>
      </xdr:nvSpPr>
      <xdr:spPr>
        <a:xfrm>
          <a:off x="55054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857" name="OpenSolver 138"/>
        <xdr:cNvCxnSpPr>
          <a:stCxn id="8855" idx="3"/>
          <a:endCxn id="8856" idx="1"/>
        </xdr:cNvCxnSpPr>
      </xdr:nvCxnSpPr>
      <xdr:spPr>
        <a:xfrm>
          <a:off x="4895850" y="7572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858" name="OpenSolver 139"/>
        <xdr:cNvSpPr/>
      </xdr:nvSpPr>
      <xdr:spPr>
        <a:xfrm>
          <a:off x="5010150" y="744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59" name="OpenSolver140"/>
        <xdr:cNvSpPr/>
      </xdr:nvSpPr>
      <xdr:spPr>
        <a:xfrm>
          <a:off x="42862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60" name="OpenSolver141"/>
        <xdr:cNvSpPr/>
      </xdr:nvSpPr>
      <xdr:spPr>
        <a:xfrm>
          <a:off x="55054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861" name="OpenSolver 142"/>
        <xdr:cNvCxnSpPr>
          <a:stCxn id="8859" idx="3"/>
          <a:endCxn id="8860" idx="1"/>
        </xdr:cNvCxnSpPr>
      </xdr:nvCxnSpPr>
      <xdr:spPr>
        <a:xfrm>
          <a:off x="4895850" y="7762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862" name="OpenSolver 143"/>
        <xdr:cNvSpPr/>
      </xdr:nvSpPr>
      <xdr:spPr>
        <a:xfrm>
          <a:off x="50101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863" name="OpenSolver144"/>
        <xdr:cNvSpPr/>
      </xdr:nvSpPr>
      <xdr:spPr>
        <a:xfrm>
          <a:off x="42862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64" name="OpenSolver145"/>
        <xdr:cNvSpPr/>
      </xdr:nvSpPr>
      <xdr:spPr>
        <a:xfrm>
          <a:off x="55054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865" name="OpenSolver 146"/>
        <xdr:cNvCxnSpPr>
          <a:stCxn id="8863" idx="3"/>
          <a:endCxn id="8864" idx="1"/>
        </xdr:cNvCxnSpPr>
      </xdr:nvCxnSpPr>
      <xdr:spPr>
        <a:xfrm>
          <a:off x="4895850" y="7953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866" name="OpenSolver 147"/>
        <xdr:cNvSpPr/>
      </xdr:nvSpPr>
      <xdr:spPr>
        <a:xfrm>
          <a:off x="50101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867" name="OpenSolver148"/>
        <xdr:cNvSpPr/>
      </xdr:nvSpPr>
      <xdr:spPr>
        <a:xfrm>
          <a:off x="42862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868" name="OpenSolver149"/>
        <xdr:cNvSpPr/>
      </xdr:nvSpPr>
      <xdr:spPr>
        <a:xfrm>
          <a:off x="55054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869" name="OpenSolver 150"/>
        <xdr:cNvCxnSpPr>
          <a:stCxn id="8867" idx="3"/>
          <a:endCxn id="8868" idx="1"/>
        </xdr:cNvCxnSpPr>
      </xdr:nvCxnSpPr>
      <xdr:spPr>
        <a:xfrm>
          <a:off x="4895850" y="8143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870" name="OpenSolver 151"/>
        <xdr:cNvSpPr/>
      </xdr:nvSpPr>
      <xdr:spPr>
        <a:xfrm>
          <a:off x="5010150" y="801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871" name="OpenSolver152"/>
        <xdr:cNvSpPr/>
      </xdr:nvSpPr>
      <xdr:spPr>
        <a:xfrm>
          <a:off x="42862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872" name="OpenSolver153"/>
        <xdr:cNvSpPr/>
      </xdr:nvSpPr>
      <xdr:spPr>
        <a:xfrm>
          <a:off x="55054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873" name="OpenSolver 154"/>
        <xdr:cNvCxnSpPr>
          <a:stCxn id="8871" idx="3"/>
          <a:endCxn id="8872" idx="1"/>
        </xdr:cNvCxnSpPr>
      </xdr:nvCxnSpPr>
      <xdr:spPr>
        <a:xfrm>
          <a:off x="4895850" y="8334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874" name="OpenSolver 155"/>
        <xdr:cNvSpPr/>
      </xdr:nvSpPr>
      <xdr:spPr>
        <a:xfrm>
          <a:off x="5010150" y="820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875" name="OpenSolver156"/>
        <xdr:cNvSpPr/>
      </xdr:nvSpPr>
      <xdr:spPr>
        <a:xfrm>
          <a:off x="42862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876" name="OpenSolver157"/>
        <xdr:cNvSpPr/>
      </xdr:nvSpPr>
      <xdr:spPr>
        <a:xfrm>
          <a:off x="55054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877" name="OpenSolver 158"/>
        <xdr:cNvCxnSpPr>
          <a:stCxn id="8875" idx="3"/>
          <a:endCxn id="8876" idx="1"/>
        </xdr:cNvCxnSpPr>
      </xdr:nvCxnSpPr>
      <xdr:spPr>
        <a:xfrm>
          <a:off x="4895850" y="8524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878" name="OpenSolver 159"/>
        <xdr:cNvSpPr/>
      </xdr:nvSpPr>
      <xdr:spPr>
        <a:xfrm>
          <a:off x="5010150" y="839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879" name="OpenSolver160"/>
        <xdr:cNvSpPr/>
      </xdr:nvSpPr>
      <xdr:spPr>
        <a:xfrm>
          <a:off x="42862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880" name="OpenSolver161"/>
        <xdr:cNvSpPr/>
      </xdr:nvSpPr>
      <xdr:spPr>
        <a:xfrm>
          <a:off x="55054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881" name="OpenSolver 162"/>
        <xdr:cNvCxnSpPr>
          <a:stCxn id="8879" idx="3"/>
          <a:endCxn id="8880" idx="1"/>
        </xdr:cNvCxnSpPr>
      </xdr:nvCxnSpPr>
      <xdr:spPr>
        <a:xfrm>
          <a:off x="4895850" y="8715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882" name="OpenSolver 163"/>
        <xdr:cNvSpPr/>
      </xdr:nvSpPr>
      <xdr:spPr>
        <a:xfrm>
          <a:off x="5010150" y="858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83" name="OpenSolver164"/>
        <xdr:cNvSpPr/>
      </xdr:nvSpPr>
      <xdr:spPr>
        <a:xfrm>
          <a:off x="42862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884" name="OpenSolver165"/>
        <xdr:cNvSpPr/>
      </xdr:nvSpPr>
      <xdr:spPr>
        <a:xfrm>
          <a:off x="55054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885" name="OpenSolver 166"/>
        <xdr:cNvCxnSpPr>
          <a:stCxn id="8883" idx="3"/>
          <a:endCxn id="8884" idx="1"/>
        </xdr:cNvCxnSpPr>
      </xdr:nvCxnSpPr>
      <xdr:spPr>
        <a:xfrm>
          <a:off x="4895850" y="8905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886" name="OpenSolver 167"/>
        <xdr:cNvSpPr/>
      </xdr:nvSpPr>
      <xdr:spPr>
        <a:xfrm>
          <a:off x="5010150" y="877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887" name="OpenSolver168"/>
        <xdr:cNvSpPr/>
      </xdr:nvSpPr>
      <xdr:spPr>
        <a:xfrm>
          <a:off x="42862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888" name="OpenSolver169"/>
        <xdr:cNvSpPr/>
      </xdr:nvSpPr>
      <xdr:spPr>
        <a:xfrm>
          <a:off x="55054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889" name="OpenSolver 170"/>
        <xdr:cNvCxnSpPr>
          <a:stCxn id="8887" idx="3"/>
          <a:endCxn id="8888" idx="1"/>
        </xdr:cNvCxnSpPr>
      </xdr:nvCxnSpPr>
      <xdr:spPr>
        <a:xfrm>
          <a:off x="4895850" y="9096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890" name="OpenSolver 171"/>
        <xdr:cNvSpPr/>
      </xdr:nvSpPr>
      <xdr:spPr>
        <a:xfrm>
          <a:off x="5010150" y="896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891" name="OpenSolver172"/>
        <xdr:cNvSpPr/>
      </xdr:nvSpPr>
      <xdr:spPr>
        <a:xfrm>
          <a:off x="42862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892" name="OpenSolver173"/>
        <xdr:cNvSpPr/>
      </xdr:nvSpPr>
      <xdr:spPr>
        <a:xfrm>
          <a:off x="55054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893" name="OpenSolver 174"/>
        <xdr:cNvCxnSpPr>
          <a:stCxn id="8891" idx="3"/>
          <a:endCxn id="8892" idx="1"/>
        </xdr:cNvCxnSpPr>
      </xdr:nvCxnSpPr>
      <xdr:spPr>
        <a:xfrm>
          <a:off x="4895850" y="9286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894" name="OpenSolver 175"/>
        <xdr:cNvSpPr/>
      </xdr:nvSpPr>
      <xdr:spPr>
        <a:xfrm>
          <a:off x="5010150" y="915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895" name="OpenSolver176"/>
        <xdr:cNvSpPr/>
      </xdr:nvSpPr>
      <xdr:spPr>
        <a:xfrm>
          <a:off x="42862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896" name="OpenSolver177"/>
        <xdr:cNvSpPr/>
      </xdr:nvSpPr>
      <xdr:spPr>
        <a:xfrm>
          <a:off x="55054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897" name="OpenSolver 178"/>
        <xdr:cNvCxnSpPr>
          <a:stCxn id="8895" idx="3"/>
          <a:endCxn id="8896" idx="1"/>
        </xdr:cNvCxnSpPr>
      </xdr:nvCxnSpPr>
      <xdr:spPr>
        <a:xfrm>
          <a:off x="4895850" y="9477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898" name="OpenSolver 179"/>
        <xdr:cNvSpPr/>
      </xdr:nvSpPr>
      <xdr:spPr>
        <a:xfrm>
          <a:off x="5010150" y="935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899" name="OpenSolver180"/>
        <xdr:cNvSpPr/>
      </xdr:nvSpPr>
      <xdr:spPr>
        <a:xfrm>
          <a:off x="42862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900" name="OpenSolver181"/>
        <xdr:cNvSpPr/>
      </xdr:nvSpPr>
      <xdr:spPr>
        <a:xfrm>
          <a:off x="55054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901" name="OpenSolver 182"/>
        <xdr:cNvCxnSpPr>
          <a:stCxn id="8899" idx="3"/>
          <a:endCxn id="8900" idx="1"/>
        </xdr:cNvCxnSpPr>
      </xdr:nvCxnSpPr>
      <xdr:spPr>
        <a:xfrm>
          <a:off x="4895850" y="9667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902" name="OpenSolver 183"/>
        <xdr:cNvSpPr/>
      </xdr:nvSpPr>
      <xdr:spPr>
        <a:xfrm>
          <a:off x="5010150" y="954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903" name="OpenSolver184"/>
        <xdr:cNvSpPr/>
      </xdr:nvSpPr>
      <xdr:spPr>
        <a:xfrm>
          <a:off x="42862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904" name="OpenSolver185"/>
        <xdr:cNvSpPr/>
      </xdr:nvSpPr>
      <xdr:spPr>
        <a:xfrm>
          <a:off x="55054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905" name="OpenSolver 186"/>
        <xdr:cNvCxnSpPr>
          <a:stCxn id="8903" idx="3"/>
          <a:endCxn id="8904" idx="1"/>
        </xdr:cNvCxnSpPr>
      </xdr:nvCxnSpPr>
      <xdr:spPr>
        <a:xfrm>
          <a:off x="4895850" y="9858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906" name="OpenSolver 187"/>
        <xdr:cNvSpPr/>
      </xdr:nvSpPr>
      <xdr:spPr>
        <a:xfrm>
          <a:off x="5010150" y="973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907" name="OpenSolver188"/>
        <xdr:cNvSpPr/>
      </xdr:nvSpPr>
      <xdr:spPr>
        <a:xfrm>
          <a:off x="42862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908" name="OpenSolver189"/>
        <xdr:cNvSpPr/>
      </xdr:nvSpPr>
      <xdr:spPr>
        <a:xfrm>
          <a:off x="55054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909" name="OpenSolver 190"/>
        <xdr:cNvCxnSpPr>
          <a:stCxn id="8907" idx="3"/>
          <a:endCxn id="8908" idx="1"/>
        </xdr:cNvCxnSpPr>
      </xdr:nvCxnSpPr>
      <xdr:spPr>
        <a:xfrm>
          <a:off x="4895850" y="10048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910" name="OpenSolver 191"/>
        <xdr:cNvSpPr/>
      </xdr:nvSpPr>
      <xdr:spPr>
        <a:xfrm>
          <a:off x="5010150" y="992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911" name="OpenSolver192"/>
        <xdr:cNvSpPr/>
      </xdr:nvSpPr>
      <xdr:spPr>
        <a:xfrm>
          <a:off x="42862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912" name="OpenSolver193"/>
        <xdr:cNvSpPr/>
      </xdr:nvSpPr>
      <xdr:spPr>
        <a:xfrm>
          <a:off x="55054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913" name="OpenSolver 194"/>
        <xdr:cNvCxnSpPr>
          <a:stCxn id="8911" idx="3"/>
          <a:endCxn id="8912" idx="1"/>
        </xdr:cNvCxnSpPr>
      </xdr:nvCxnSpPr>
      <xdr:spPr>
        <a:xfrm>
          <a:off x="4895850" y="10239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914" name="OpenSolver 195"/>
        <xdr:cNvSpPr/>
      </xdr:nvSpPr>
      <xdr:spPr>
        <a:xfrm>
          <a:off x="5010150" y="1011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915" name="OpenSolver196"/>
        <xdr:cNvSpPr/>
      </xdr:nvSpPr>
      <xdr:spPr>
        <a:xfrm>
          <a:off x="42862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916" name="OpenSolver197"/>
        <xdr:cNvSpPr/>
      </xdr:nvSpPr>
      <xdr:spPr>
        <a:xfrm>
          <a:off x="55054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917" name="OpenSolver 198"/>
        <xdr:cNvCxnSpPr>
          <a:stCxn id="8915" idx="3"/>
          <a:endCxn id="8916" idx="1"/>
        </xdr:cNvCxnSpPr>
      </xdr:nvCxnSpPr>
      <xdr:spPr>
        <a:xfrm>
          <a:off x="4895850" y="10429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918" name="OpenSolver 199"/>
        <xdr:cNvSpPr/>
      </xdr:nvSpPr>
      <xdr:spPr>
        <a:xfrm>
          <a:off x="5010150" y="1030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919" name="OpenSolver200"/>
        <xdr:cNvSpPr/>
      </xdr:nvSpPr>
      <xdr:spPr>
        <a:xfrm>
          <a:off x="42862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920" name="OpenSolver201"/>
        <xdr:cNvSpPr/>
      </xdr:nvSpPr>
      <xdr:spPr>
        <a:xfrm>
          <a:off x="55054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921" name="OpenSolver 202"/>
        <xdr:cNvCxnSpPr>
          <a:stCxn id="8919" idx="3"/>
          <a:endCxn id="8920" idx="1"/>
        </xdr:cNvCxnSpPr>
      </xdr:nvCxnSpPr>
      <xdr:spPr>
        <a:xfrm>
          <a:off x="4895850" y="10620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922" name="OpenSolver 203"/>
        <xdr:cNvSpPr/>
      </xdr:nvSpPr>
      <xdr:spPr>
        <a:xfrm>
          <a:off x="5010150" y="1049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923" name="OpenSolver204"/>
        <xdr:cNvSpPr/>
      </xdr:nvSpPr>
      <xdr:spPr>
        <a:xfrm>
          <a:off x="42862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24" name="OpenSolver205"/>
        <xdr:cNvSpPr/>
      </xdr:nvSpPr>
      <xdr:spPr>
        <a:xfrm>
          <a:off x="55054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925" name="OpenSolver 206"/>
        <xdr:cNvCxnSpPr>
          <a:stCxn id="8923" idx="3"/>
          <a:endCxn id="8924" idx="1"/>
        </xdr:cNvCxnSpPr>
      </xdr:nvCxnSpPr>
      <xdr:spPr>
        <a:xfrm>
          <a:off x="4895850" y="10810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926" name="OpenSolver 207"/>
        <xdr:cNvSpPr/>
      </xdr:nvSpPr>
      <xdr:spPr>
        <a:xfrm>
          <a:off x="5010150" y="1068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927" name="OpenSolver208"/>
        <xdr:cNvSpPr/>
      </xdr:nvSpPr>
      <xdr:spPr>
        <a:xfrm>
          <a:off x="42862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928" name="OpenSolver209"/>
        <xdr:cNvSpPr/>
      </xdr:nvSpPr>
      <xdr:spPr>
        <a:xfrm>
          <a:off x="55054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929" name="OpenSolver 210"/>
        <xdr:cNvCxnSpPr>
          <a:stCxn id="8927" idx="3"/>
          <a:endCxn id="8928" idx="1"/>
        </xdr:cNvCxnSpPr>
      </xdr:nvCxnSpPr>
      <xdr:spPr>
        <a:xfrm>
          <a:off x="4895850" y="11001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930" name="OpenSolver 211"/>
        <xdr:cNvSpPr/>
      </xdr:nvSpPr>
      <xdr:spPr>
        <a:xfrm>
          <a:off x="5010150" y="1087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931" name="OpenSolver212"/>
        <xdr:cNvSpPr/>
      </xdr:nvSpPr>
      <xdr:spPr>
        <a:xfrm>
          <a:off x="42862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932" name="OpenSolver213"/>
        <xdr:cNvSpPr/>
      </xdr:nvSpPr>
      <xdr:spPr>
        <a:xfrm>
          <a:off x="55054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933" name="OpenSolver 214"/>
        <xdr:cNvCxnSpPr>
          <a:stCxn id="8931" idx="3"/>
          <a:endCxn id="8932" idx="1"/>
        </xdr:cNvCxnSpPr>
      </xdr:nvCxnSpPr>
      <xdr:spPr>
        <a:xfrm>
          <a:off x="4895850" y="11191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934" name="OpenSolver 215"/>
        <xdr:cNvSpPr/>
      </xdr:nvSpPr>
      <xdr:spPr>
        <a:xfrm>
          <a:off x="5010150" y="1106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935" name="OpenSolver216"/>
        <xdr:cNvSpPr/>
      </xdr:nvSpPr>
      <xdr:spPr>
        <a:xfrm>
          <a:off x="42862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936" name="OpenSolver217"/>
        <xdr:cNvSpPr/>
      </xdr:nvSpPr>
      <xdr:spPr>
        <a:xfrm>
          <a:off x="55054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937" name="OpenSolver 218"/>
        <xdr:cNvCxnSpPr>
          <a:stCxn id="8935" idx="3"/>
          <a:endCxn id="8936" idx="1"/>
        </xdr:cNvCxnSpPr>
      </xdr:nvCxnSpPr>
      <xdr:spPr>
        <a:xfrm>
          <a:off x="4895850" y="11382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938" name="OpenSolver 219"/>
        <xdr:cNvSpPr/>
      </xdr:nvSpPr>
      <xdr:spPr>
        <a:xfrm>
          <a:off x="5010150" y="1125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939" name="OpenSolver220"/>
        <xdr:cNvSpPr/>
      </xdr:nvSpPr>
      <xdr:spPr>
        <a:xfrm>
          <a:off x="42862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940" name="OpenSolver221"/>
        <xdr:cNvSpPr/>
      </xdr:nvSpPr>
      <xdr:spPr>
        <a:xfrm>
          <a:off x="55054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941" name="OpenSolver 222"/>
        <xdr:cNvCxnSpPr>
          <a:stCxn id="8939" idx="3"/>
          <a:endCxn id="8940" idx="1"/>
        </xdr:cNvCxnSpPr>
      </xdr:nvCxnSpPr>
      <xdr:spPr>
        <a:xfrm>
          <a:off x="4895850" y="11572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942" name="OpenSolver 223"/>
        <xdr:cNvSpPr/>
      </xdr:nvSpPr>
      <xdr:spPr>
        <a:xfrm>
          <a:off x="5010150" y="1144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943" name="OpenSolver224"/>
        <xdr:cNvSpPr/>
      </xdr:nvSpPr>
      <xdr:spPr>
        <a:xfrm>
          <a:off x="42862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944" name="OpenSolver225"/>
        <xdr:cNvSpPr/>
      </xdr:nvSpPr>
      <xdr:spPr>
        <a:xfrm>
          <a:off x="55054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945" name="OpenSolver 226"/>
        <xdr:cNvCxnSpPr>
          <a:stCxn id="8943" idx="3"/>
          <a:endCxn id="8944" idx="1"/>
        </xdr:cNvCxnSpPr>
      </xdr:nvCxnSpPr>
      <xdr:spPr>
        <a:xfrm>
          <a:off x="4895850" y="11763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946" name="OpenSolver 227"/>
        <xdr:cNvSpPr/>
      </xdr:nvSpPr>
      <xdr:spPr>
        <a:xfrm>
          <a:off x="5010150" y="1163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947" name="OpenSolver228"/>
        <xdr:cNvSpPr/>
      </xdr:nvSpPr>
      <xdr:spPr>
        <a:xfrm>
          <a:off x="42862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948" name="OpenSolver229"/>
        <xdr:cNvSpPr/>
      </xdr:nvSpPr>
      <xdr:spPr>
        <a:xfrm>
          <a:off x="55054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949" name="OpenSolver 230"/>
        <xdr:cNvCxnSpPr>
          <a:stCxn id="8947" idx="3"/>
          <a:endCxn id="8948" idx="1"/>
        </xdr:cNvCxnSpPr>
      </xdr:nvCxnSpPr>
      <xdr:spPr>
        <a:xfrm>
          <a:off x="4895850" y="11953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950" name="OpenSolver 231"/>
        <xdr:cNvSpPr/>
      </xdr:nvSpPr>
      <xdr:spPr>
        <a:xfrm>
          <a:off x="5010150" y="1182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951" name="OpenSolver232"/>
        <xdr:cNvSpPr/>
      </xdr:nvSpPr>
      <xdr:spPr>
        <a:xfrm>
          <a:off x="42862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952" name="OpenSolver233"/>
        <xdr:cNvSpPr/>
      </xdr:nvSpPr>
      <xdr:spPr>
        <a:xfrm>
          <a:off x="55054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953" name="OpenSolver 234"/>
        <xdr:cNvCxnSpPr>
          <a:stCxn id="8951" idx="3"/>
          <a:endCxn id="8952" idx="1"/>
        </xdr:cNvCxnSpPr>
      </xdr:nvCxnSpPr>
      <xdr:spPr>
        <a:xfrm>
          <a:off x="4895850" y="12144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954" name="OpenSolver 235"/>
        <xdr:cNvSpPr/>
      </xdr:nvSpPr>
      <xdr:spPr>
        <a:xfrm>
          <a:off x="5010150" y="1201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955" name="OpenSolver236"/>
        <xdr:cNvSpPr/>
      </xdr:nvSpPr>
      <xdr:spPr>
        <a:xfrm>
          <a:off x="42862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956" name="OpenSolver237"/>
        <xdr:cNvSpPr/>
      </xdr:nvSpPr>
      <xdr:spPr>
        <a:xfrm>
          <a:off x="55054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957" name="OpenSolver 238"/>
        <xdr:cNvCxnSpPr>
          <a:stCxn id="8955" idx="3"/>
          <a:endCxn id="8956" idx="1"/>
        </xdr:cNvCxnSpPr>
      </xdr:nvCxnSpPr>
      <xdr:spPr>
        <a:xfrm>
          <a:off x="4895850" y="12334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958" name="OpenSolver 239"/>
        <xdr:cNvSpPr/>
      </xdr:nvSpPr>
      <xdr:spPr>
        <a:xfrm>
          <a:off x="5010150" y="1220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959" name="OpenSolver240"/>
        <xdr:cNvSpPr/>
      </xdr:nvSpPr>
      <xdr:spPr>
        <a:xfrm>
          <a:off x="42862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960" name="OpenSolver241"/>
        <xdr:cNvSpPr/>
      </xdr:nvSpPr>
      <xdr:spPr>
        <a:xfrm>
          <a:off x="55054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961" name="OpenSolver 242"/>
        <xdr:cNvCxnSpPr>
          <a:stCxn id="8959" idx="3"/>
          <a:endCxn id="8960" idx="1"/>
        </xdr:cNvCxnSpPr>
      </xdr:nvCxnSpPr>
      <xdr:spPr>
        <a:xfrm>
          <a:off x="4895850" y="12525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962" name="OpenSolver 243"/>
        <xdr:cNvSpPr/>
      </xdr:nvSpPr>
      <xdr:spPr>
        <a:xfrm>
          <a:off x="5010150" y="1239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963" name="OpenSolver244"/>
        <xdr:cNvSpPr/>
      </xdr:nvSpPr>
      <xdr:spPr>
        <a:xfrm>
          <a:off x="42862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964" name="OpenSolver245"/>
        <xdr:cNvSpPr/>
      </xdr:nvSpPr>
      <xdr:spPr>
        <a:xfrm>
          <a:off x="55054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965" name="OpenSolver 246"/>
        <xdr:cNvCxnSpPr>
          <a:stCxn id="8963" idx="3"/>
          <a:endCxn id="8964" idx="1"/>
        </xdr:cNvCxnSpPr>
      </xdr:nvCxnSpPr>
      <xdr:spPr>
        <a:xfrm>
          <a:off x="4895850" y="12715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966" name="OpenSolver 247"/>
        <xdr:cNvSpPr/>
      </xdr:nvSpPr>
      <xdr:spPr>
        <a:xfrm>
          <a:off x="5010150" y="1258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967" name="OpenSolver248"/>
        <xdr:cNvSpPr/>
      </xdr:nvSpPr>
      <xdr:spPr>
        <a:xfrm>
          <a:off x="42862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968" name="OpenSolver249"/>
        <xdr:cNvSpPr/>
      </xdr:nvSpPr>
      <xdr:spPr>
        <a:xfrm>
          <a:off x="55054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969" name="OpenSolver 250"/>
        <xdr:cNvCxnSpPr>
          <a:stCxn id="8967" idx="3"/>
          <a:endCxn id="8968" idx="1"/>
        </xdr:cNvCxnSpPr>
      </xdr:nvCxnSpPr>
      <xdr:spPr>
        <a:xfrm>
          <a:off x="4895850" y="12906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970" name="OpenSolver 251"/>
        <xdr:cNvSpPr/>
      </xdr:nvSpPr>
      <xdr:spPr>
        <a:xfrm>
          <a:off x="5010150" y="1277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971" name="OpenSolver252"/>
        <xdr:cNvSpPr/>
      </xdr:nvSpPr>
      <xdr:spPr>
        <a:xfrm>
          <a:off x="42862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972" name="OpenSolver253"/>
        <xdr:cNvSpPr/>
      </xdr:nvSpPr>
      <xdr:spPr>
        <a:xfrm>
          <a:off x="55054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973" name="OpenSolver 254"/>
        <xdr:cNvCxnSpPr>
          <a:stCxn id="8971" idx="3"/>
          <a:endCxn id="8972" idx="1"/>
        </xdr:cNvCxnSpPr>
      </xdr:nvCxnSpPr>
      <xdr:spPr>
        <a:xfrm>
          <a:off x="4895850" y="13096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974" name="OpenSolver 255"/>
        <xdr:cNvSpPr/>
      </xdr:nvSpPr>
      <xdr:spPr>
        <a:xfrm>
          <a:off x="5010150" y="1296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975" name="OpenSolver256"/>
        <xdr:cNvSpPr/>
      </xdr:nvSpPr>
      <xdr:spPr>
        <a:xfrm>
          <a:off x="42862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976" name="OpenSolver257"/>
        <xdr:cNvSpPr/>
      </xdr:nvSpPr>
      <xdr:spPr>
        <a:xfrm>
          <a:off x="55054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977" name="OpenSolver 258"/>
        <xdr:cNvCxnSpPr>
          <a:stCxn id="8975" idx="3"/>
          <a:endCxn id="8976" idx="1"/>
        </xdr:cNvCxnSpPr>
      </xdr:nvCxnSpPr>
      <xdr:spPr>
        <a:xfrm>
          <a:off x="4895850" y="13287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978" name="OpenSolver 259"/>
        <xdr:cNvSpPr/>
      </xdr:nvSpPr>
      <xdr:spPr>
        <a:xfrm>
          <a:off x="5010150" y="1316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979" name="OpenSolver260"/>
        <xdr:cNvSpPr/>
      </xdr:nvSpPr>
      <xdr:spPr>
        <a:xfrm>
          <a:off x="42862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980" name="OpenSolver261"/>
        <xdr:cNvSpPr/>
      </xdr:nvSpPr>
      <xdr:spPr>
        <a:xfrm>
          <a:off x="55054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981" name="OpenSolver 262"/>
        <xdr:cNvCxnSpPr>
          <a:stCxn id="8979" idx="3"/>
          <a:endCxn id="8980" idx="1"/>
        </xdr:cNvCxnSpPr>
      </xdr:nvCxnSpPr>
      <xdr:spPr>
        <a:xfrm>
          <a:off x="4895850" y="13477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982" name="OpenSolver 263"/>
        <xdr:cNvSpPr/>
      </xdr:nvSpPr>
      <xdr:spPr>
        <a:xfrm>
          <a:off x="5010150" y="1335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983" name="OpenSolver264"/>
        <xdr:cNvSpPr/>
      </xdr:nvSpPr>
      <xdr:spPr>
        <a:xfrm>
          <a:off x="42862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984" name="OpenSolver265"/>
        <xdr:cNvSpPr/>
      </xdr:nvSpPr>
      <xdr:spPr>
        <a:xfrm>
          <a:off x="55054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985" name="OpenSolver 266"/>
        <xdr:cNvCxnSpPr>
          <a:stCxn id="8983" idx="3"/>
          <a:endCxn id="8984" idx="1"/>
        </xdr:cNvCxnSpPr>
      </xdr:nvCxnSpPr>
      <xdr:spPr>
        <a:xfrm>
          <a:off x="4895850" y="13668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986" name="OpenSolver 267"/>
        <xdr:cNvSpPr/>
      </xdr:nvSpPr>
      <xdr:spPr>
        <a:xfrm>
          <a:off x="5010150" y="1354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987" name="OpenSolver268"/>
        <xdr:cNvSpPr/>
      </xdr:nvSpPr>
      <xdr:spPr>
        <a:xfrm>
          <a:off x="42862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988" name="OpenSolver269"/>
        <xdr:cNvSpPr/>
      </xdr:nvSpPr>
      <xdr:spPr>
        <a:xfrm>
          <a:off x="55054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989" name="OpenSolver 270"/>
        <xdr:cNvCxnSpPr>
          <a:stCxn id="8987" idx="3"/>
          <a:endCxn id="8988" idx="1"/>
        </xdr:cNvCxnSpPr>
      </xdr:nvCxnSpPr>
      <xdr:spPr>
        <a:xfrm>
          <a:off x="4895850" y="13858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990" name="OpenSolver 271"/>
        <xdr:cNvSpPr/>
      </xdr:nvSpPr>
      <xdr:spPr>
        <a:xfrm>
          <a:off x="5010150" y="1373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991" name="OpenSolver272"/>
        <xdr:cNvSpPr/>
      </xdr:nvSpPr>
      <xdr:spPr>
        <a:xfrm>
          <a:off x="42862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992" name="OpenSolver273"/>
        <xdr:cNvSpPr/>
      </xdr:nvSpPr>
      <xdr:spPr>
        <a:xfrm>
          <a:off x="55054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993" name="OpenSolver 274"/>
        <xdr:cNvCxnSpPr>
          <a:stCxn id="8991" idx="3"/>
          <a:endCxn id="8992" idx="1"/>
        </xdr:cNvCxnSpPr>
      </xdr:nvCxnSpPr>
      <xdr:spPr>
        <a:xfrm>
          <a:off x="4895850" y="14049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72</xdr:row>
      <xdr:rowOff>158750</xdr:rowOff>
    </xdr:from>
    <xdr:to>
      <xdr:col>8</xdr:col>
      <xdr:colOff>495300</xdr:colOff>
      <xdr:row>74</xdr:row>
      <xdr:rowOff>31750</xdr:rowOff>
    </xdr:to>
    <xdr:sp macro="" textlink="">
      <xdr:nvSpPr>
        <xdr:cNvPr id="8994" name="OpenSolver 275"/>
        <xdr:cNvSpPr/>
      </xdr:nvSpPr>
      <xdr:spPr>
        <a:xfrm>
          <a:off x="5010150" y="1392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995" name="OpenSolver276"/>
        <xdr:cNvSpPr/>
      </xdr:nvSpPr>
      <xdr:spPr>
        <a:xfrm>
          <a:off x="42862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996" name="OpenSolver277"/>
        <xdr:cNvSpPr/>
      </xdr:nvSpPr>
      <xdr:spPr>
        <a:xfrm>
          <a:off x="55054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997" name="OpenSolver 278"/>
        <xdr:cNvCxnSpPr>
          <a:stCxn id="8995" idx="3"/>
          <a:endCxn id="8996" idx="1"/>
        </xdr:cNvCxnSpPr>
      </xdr:nvCxnSpPr>
      <xdr:spPr>
        <a:xfrm>
          <a:off x="4895850" y="14239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998" name="OpenSolver 279"/>
        <xdr:cNvSpPr/>
      </xdr:nvSpPr>
      <xdr:spPr>
        <a:xfrm>
          <a:off x="5010150" y="1411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999" name="OpenSolver280"/>
        <xdr:cNvSpPr/>
      </xdr:nvSpPr>
      <xdr:spPr>
        <a:xfrm>
          <a:off x="42862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9000" name="OpenSolver281"/>
        <xdr:cNvSpPr/>
      </xdr:nvSpPr>
      <xdr:spPr>
        <a:xfrm>
          <a:off x="55054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9001" name="OpenSolver 282"/>
        <xdr:cNvCxnSpPr>
          <a:stCxn id="8999" idx="3"/>
          <a:endCxn id="9000" idx="1"/>
        </xdr:cNvCxnSpPr>
      </xdr:nvCxnSpPr>
      <xdr:spPr>
        <a:xfrm>
          <a:off x="4895850" y="14430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9002" name="OpenSolver 283"/>
        <xdr:cNvSpPr/>
      </xdr:nvSpPr>
      <xdr:spPr>
        <a:xfrm>
          <a:off x="5010150" y="1430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9003" name="OpenSolver284"/>
        <xdr:cNvSpPr/>
      </xdr:nvSpPr>
      <xdr:spPr>
        <a:xfrm>
          <a:off x="42862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9004" name="OpenSolver285"/>
        <xdr:cNvSpPr/>
      </xdr:nvSpPr>
      <xdr:spPr>
        <a:xfrm>
          <a:off x="55054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9005" name="OpenSolver 286"/>
        <xdr:cNvCxnSpPr>
          <a:stCxn id="9003" idx="3"/>
          <a:endCxn id="9004" idx="1"/>
        </xdr:cNvCxnSpPr>
      </xdr:nvCxnSpPr>
      <xdr:spPr>
        <a:xfrm>
          <a:off x="4895850" y="14620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9006" name="OpenSolver 287"/>
        <xdr:cNvSpPr/>
      </xdr:nvSpPr>
      <xdr:spPr>
        <a:xfrm>
          <a:off x="5010150" y="1449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9007" name="OpenSolver288"/>
        <xdr:cNvSpPr/>
      </xdr:nvSpPr>
      <xdr:spPr>
        <a:xfrm>
          <a:off x="42862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9008" name="OpenSolver289"/>
        <xdr:cNvSpPr/>
      </xdr:nvSpPr>
      <xdr:spPr>
        <a:xfrm>
          <a:off x="55054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9009" name="OpenSolver 290"/>
        <xdr:cNvCxnSpPr>
          <a:stCxn id="9007" idx="3"/>
          <a:endCxn id="9008" idx="1"/>
        </xdr:cNvCxnSpPr>
      </xdr:nvCxnSpPr>
      <xdr:spPr>
        <a:xfrm>
          <a:off x="4895850" y="14811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9010" name="OpenSolver 291"/>
        <xdr:cNvSpPr/>
      </xdr:nvSpPr>
      <xdr:spPr>
        <a:xfrm>
          <a:off x="5010150" y="1468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9011" name="OpenSolver292"/>
        <xdr:cNvSpPr/>
      </xdr:nvSpPr>
      <xdr:spPr>
        <a:xfrm>
          <a:off x="42862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9012" name="OpenSolver293"/>
        <xdr:cNvSpPr/>
      </xdr:nvSpPr>
      <xdr:spPr>
        <a:xfrm>
          <a:off x="55054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9013" name="OpenSolver 294"/>
        <xdr:cNvCxnSpPr>
          <a:stCxn id="9011" idx="3"/>
          <a:endCxn id="9012" idx="1"/>
        </xdr:cNvCxnSpPr>
      </xdr:nvCxnSpPr>
      <xdr:spPr>
        <a:xfrm>
          <a:off x="4895850" y="15001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9014" name="OpenSolver 295"/>
        <xdr:cNvSpPr/>
      </xdr:nvSpPr>
      <xdr:spPr>
        <a:xfrm>
          <a:off x="5010150" y="1487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015" name="OpenSolver296"/>
        <xdr:cNvSpPr/>
      </xdr:nvSpPr>
      <xdr:spPr>
        <a:xfrm>
          <a:off x="42862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9016" name="OpenSolver297"/>
        <xdr:cNvSpPr/>
      </xdr:nvSpPr>
      <xdr:spPr>
        <a:xfrm>
          <a:off x="55054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9017" name="OpenSolver 298"/>
        <xdr:cNvCxnSpPr>
          <a:stCxn id="9015" idx="3"/>
          <a:endCxn id="9016" idx="1"/>
        </xdr:cNvCxnSpPr>
      </xdr:nvCxnSpPr>
      <xdr:spPr>
        <a:xfrm>
          <a:off x="4895850" y="15192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9018" name="OpenSolver 299"/>
        <xdr:cNvSpPr/>
      </xdr:nvSpPr>
      <xdr:spPr>
        <a:xfrm>
          <a:off x="5010150" y="1506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9019" name="OpenSolver300"/>
        <xdr:cNvSpPr/>
      </xdr:nvSpPr>
      <xdr:spPr>
        <a:xfrm>
          <a:off x="42862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9020" name="OpenSolver301"/>
        <xdr:cNvSpPr/>
      </xdr:nvSpPr>
      <xdr:spPr>
        <a:xfrm>
          <a:off x="55054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9021" name="OpenSolver 302"/>
        <xdr:cNvCxnSpPr>
          <a:stCxn id="9019" idx="3"/>
          <a:endCxn id="9020" idx="1"/>
        </xdr:cNvCxnSpPr>
      </xdr:nvCxnSpPr>
      <xdr:spPr>
        <a:xfrm>
          <a:off x="4895850" y="15382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9022" name="OpenSolver 303"/>
        <xdr:cNvSpPr/>
      </xdr:nvSpPr>
      <xdr:spPr>
        <a:xfrm>
          <a:off x="5010150" y="1525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9023" name="OpenSolver304"/>
        <xdr:cNvSpPr/>
      </xdr:nvSpPr>
      <xdr:spPr>
        <a:xfrm>
          <a:off x="42862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9024" name="OpenSolver305"/>
        <xdr:cNvSpPr/>
      </xdr:nvSpPr>
      <xdr:spPr>
        <a:xfrm>
          <a:off x="55054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9025" name="OpenSolver 306"/>
        <xdr:cNvCxnSpPr>
          <a:stCxn id="9023" idx="3"/>
          <a:endCxn id="9024" idx="1"/>
        </xdr:cNvCxnSpPr>
      </xdr:nvCxnSpPr>
      <xdr:spPr>
        <a:xfrm>
          <a:off x="4895850" y="15573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9026" name="OpenSolver 307"/>
        <xdr:cNvSpPr/>
      </xdr:nvSpPr>
      <xdr:spPr>
        <a:xfrm>
          <a:off x="5010150" y="1544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9027" name="OpenSolver308"/>
        <xdr:cNvSpPr/>
      </xdr:nvSpPr>
      <xdr:spPr>
        <a:xfrm>
          <a:off x="42862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9028" name="OpenSolver309"/>
        <xdr:cNvSpPr/>
      </xdr:nvSpPr>
      <xdr:spPr>
        <a:xfrm>
          <a:off x="55054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9029" name="OpenSolver 310"/>
        <xdr:cNvCxnSpPr>
          <a:stCxn id="9027" idx="3"/>
          <a:endCxn id="9028" idx="1"/>
        </xdr:cNvCxnSpPr>
      </xdr:nvCxnSpPr>
      <xdr:spPr>
        <a:xfrm>
          <a:off x="4895850" y="15763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9030" name="OpenSolver 311"/>
        <xdr:cNvSpPr/>
      </xdr:nvSpPr>
      <xdr:spPr>
        <a:xfrm>
          <a:off x="5010150" y="1563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9031" name="OpenSolver312"/>
        <xdr:cNvSpPr/>
      </xdr:nvSpPr>
      <xdr:spPr>
        <a:xfrm>
          <a:off x="42862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9032" name="OpenSolver313"/>
        <xdr:cNvSpPr/>
      </xdr:nvSpPr>
      <xdr:spPr>
        <a:xfrm>
          <a:off x="55054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9033" name="OpenSolver 314"/>
        <xdr:cNvCxnSpPr>
          <a:stCxn id="9031" idx="3"/>
          <a:endCxn id="9032" idx="1"/>
        </xdr:cNvCxnSpPr>
      </xdr:nvCxnSpPr>
      <xdr:spPr>
        <a:xfrm>
          <a:off x="4895850" y="15954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9034" name="OpenSolver 315"/>
        <xdr:cNvSpPr/>
      </xdr:nvSpPr>
      <xdr:spPr>
        <a:xfrm>
          <a:off x="5010150" y="1582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9035" name="OpenSolver316"/>
        <xdr:cNvSpPr/>
      </xdr:nvSpPr>
      <xdr:spPr>
        <a:xfrm>
          <a:off x="42862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9036" name="OpenSolver317"/>
        <xdr:cNvSpPr/>
      </xdr:nvSpPr>
      <xdr:spPr>
        <a:xfrm>
          <a:off x="55054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9037" name="OpenSolver 318"/>
        <xdr:cNvCxnSpPr>
          <a:stCxn id="9035" idx="3"/>
          <a:endCxn id="9036" idx="1"/>
        </xdr:cNvCxnSpPr>
      </xdr:nvCxnSpPr>
      <xdr:spPr>
        <a:xfrm>
          <a:off x="4895850" y="16144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9038" name="OpenSolver 319"/>
        <xdr:cNvSpPr/>
      </xdr:nvSpPr>
      <xdr:spPr>
        <a:xfrm>
          <a:off x="5010150" y="1601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9039" name="OpenSolver320"/>
        <xdr:cNvSpPr/>
      </xdr:nvSpPr>
      <xdr:spPr>
        <a:xfrm>
          <a:off x="42862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9040" name="OpenSolver321"/>
        <xdr:cNvSpPr/>
      </xdr:nvSpPr>
      <xdr:spPr>
        <a:xfrm>
          <a:off x="55054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9041" name="OpenSolver 322"/>
        <xdr:cNvCxnSpPr>
          <a:stCxn id="9039" idx="3"/>
          <a:endCxn id="9040" idx="1"/>
        </xdr:cNvCxnSpPr>
      </xdr:nvCxnSpPr>
      <xdr:spPr>
        <a:xfrm>
          <a:off x="4895850" y="16335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9042" name="OpenSolver 323"/>
        <xdr:cNvSpPr/>
      </xdr:nvSpPr>
      <xdr:spPr>
        <a:xfrm>
          <a:off x="5010150" y="1620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9043" name="OpenSolver324"/>
        <xdr:cNvSpPr/>
      </xdr:nvSpPr>
      <xdr:spPr>
        <a:xfrm>
          <a:off x="42862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9044" name="OpenSolver325"/>
        <xdr:cNvSpPr/>
      </xdr:nvSpPr>
      <xdr:spPr>
        <a:xfrm>
          <a:off x="55054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9045" name="OpenSolver 326"/>
        <xdr:cNvCxnSpPr>
          <a:stCxn id="9043" idx="3"/>
          <a:endCxn id="9044" idx="1"/>
        </xdr:cNvCxnSpPr>
      </xdr:nvCxnSpPr>
      <xdr:spPr>
        <a:xfrm>
          <a:off x="4895850" y="16525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9046" name="OpenSolver 327"/>
        <xdr:cNvSpPr/>
      </xdr:nvSpPr>
      <xdr:spPr>
        <a:xfrm>
          <a:off x="5010150" y="1639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9047" name="OpenSolver328"/>
        <xdr:cNvSpPr/>
      </xdr:nvSpPr>
      <xdr:spPr>
        <a:xfrm>
          <a:off x="42862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9048" name="OpenSolver329"/>
        <xdr:cNvSpPr/>
      </xdr:nvSpPr>
      <xdr:spPr>
        <a:xfrm>
          <a:off x="55054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9049" name="OpenSolver 330"/>
        <xdr:cNvCxnSpPr>
          <a:stCxn id="9047" idx="3"/>
          <a:endCxn id="9048" idx="1"/>
        </xdr:cNvCxnSpPr>
      </xdr:nvCxnSpPr>
      <xdr:spPr>
        <a:xfrm>
          <a:off x="4895850" y="16716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9050" name="OpenSolver 331"/>
        <xdr:cNvSpPr/>
      </xdr:nvSpPr>
      <xdr:spPr>
        <a:xfrm>
          <a:off x="5010150" y="1658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9051" name="OpenSolver332"/>
        <xdr:cNvSpPr/>
      </xdr:nvSpPr>
      <xdr:spPr>
        <a:xfrm>
          <a:off x="42862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9052" name="OpenSolver333"/>
        <xdr:cNvSpPr/>
      </xdr:nvSpPr>
      <xdr:spPr>
        <a:xfrm>
          <a:off x="55054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9053" name="OpenSolver 334"/>
        <xdr:cNvCxnSpPr>
          <a:stCxn id="9051" idx="3"/>
          <a:endCxn id="9052" idx="1"/>
        </xdr:cNvCxnSpPr>
      </xdr:nvCxnSpPr>
      <xdr:spPr>
        <a:xfrm>
          <a:off x="4895850" y="16906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158752</xdr:rowOff>
    </xdr:from>
    <xdr:to>
      <xdr:col>8</xdr:col>
      <xdr:colOff>495300</xdr:colOff>
      <xdr:row>89</xdr:row>
      <xdr:rowOff>31752</xdr:rowOff>
    </xdr:to>
    <xdr:sp macro="" textlink="">
      <xdr:nvSpPr>
        <xdr:cNvPr id="9054" name="OpenSolver 335"/>
        <xdr:cNvSpPr/>
      </xdr:nvSpPr>
      <xdr:spPr>
        <a:xfrm>
          <a:off x="5010150" y="1677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9055" name="OpenSolver336"/>
        <xdr:cNvSpPr/>
      </xdr:nvSpPr>
      <xdr:spPr>
        <a:xfrm>
          <a:off x="42862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9056" name="OpenSolver337"/>
        <xdr:cNvSpPr/>
      </xdr:nvSpPr>
      <xdr:spPr>
        <a:xfrm>
          <a:off x="55054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9057" name="OpenSolver 338"/>
        <xdr:cNvCxnSpPr>
          <a:stCxn id="9055" idx="3"/>
          <a:endCxn id="9056" idx="1"/>
        </xdr:cNvCxnSpPr>
      </xdr:nvCxnSpPr>
      <xdr:spPr>
        <a:xfrm>
          <a:off x="4895850" y="17097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158752</xdr:rowOff>
    </xdr:from>
    <xdr:to>
      <xdr:col>8</xdr:col>
      <xdr:colOff>495300</xdr:colOff>
      <xdr:row>90</xdr:row>
      <xdr:rowOff>31752</xdr:rowOff>
    </xdr:to>
    <xdr:sp macro="" textlink="">
      <xdr:nvSpPr>
        <xdr:cNvPr id="9058" name="OpenSolver 339"/>
        <xdr:cNvSpPr/>
      </xdr:nvSpPr>
      <xdr:spPr>
        <a:xfrm>
          <a:off x="5010150" y="1697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9059" name="OpenSolver340"/>
        <xdr:cNvSpPr/>
      </xdr:nvSpPr>
      <xdr:spPr>
        <a:xfrm>
          <a:off x="42862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9060" name="OpenSolver341"/>
        <xdr:cNvSpPr/>
      </xdr:nvSpPr>
      <xdr:spPr>
        <a:xfrm>
          <a:off x="55054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9061" name="OpenSolver 342"/>
        <xdr:cNvCxnSpPr>
          <a:stCxn id="9059" idx="3"/>
          <a:endCxn id="9060" idx="1"/>
        </xdr:cNvCxnSpPr>
      </xdr:nvCxnSpPr>
      <xdr:spPr>
        <a:xfrm>
          <a:off x="4895850" y="17287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158752</xdr:rowOff>
    </xdr:from>
    <xdr:to>
      <xdr:col>8</xdr:col>
      <xdr:colOff>495300</xdr:colOff>
      <xdr:row>91</xdr:row>
      <xdr:rowOff>31752</xdr:rowOff>
    </xdr:to>
    <xdr:sp macro="" textlink="">
      <xdr:nvSpPr>
        <xdr:cNvPr id="9062" name="OpenSolver 343"/>
        <xdr:cNvSpPr/>
      </xdr:nvSpPr>
      <xdr:spPr>
        <a:xfrm>
          <a:off x="5010150" y="1716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9063" name="OpenSolver344"/>
        <xdr:cNvSpPr/>
      </xdr:nvSpPr>
      <xdr:spPr>
        <a:xfrm>
          <a:off x="42862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9064" name="OpenSolver345"/>
        <xdr:cNvSpPr/>
      </xdr:nvSpPr>
      <xdr:spPr>
        <a:xfrm>
          <a:off x="55054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9065" name="OpenSolver 346"/>
        <xdr:cNvCxnSpPr>
          <a:stCxn id="9063" idx="3"/>
          <a:endCxn id="9064" idx="1"/>
        </xdr:cNvCxnSpPr>
      </xdr:nvCxnSpPr>
      <xdr:spPr>
        <a:xfrm>
          <a:off x="4895850" y="17478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158752</xdr:rowOff>
    </xdr:from>
    <xdr:to>
      <xdr:col>8</xdr:col>
      <xdr:colOff>495300</xdr:colOff>
      <xdr:row>92</xdr:row>
      <xdr:rowOff>31752</xdr:rowOff>
    </xdr:to>
    <xdr:sp macro="" textlink="">
      <xdr:nvSpPr>
        <xdr:cNvPr id="9066" name="OpenSolver 347"/>
        <xdr:cNvSpPr/>
      </xdr:nvSpPr>
      <xdr:spPr>
        <a:xfrm>
          <a:off x="5010150" y="1735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9067" name="OpenSolver348"/>
        <xdr:cNvSpPr/>
      </xdr:nvSpPr>
      <xdr:spPr>
        <a:xfrm>
          <a:off x="42862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9068" name="OpenSolver349"/>
        <xdr:cNvSpPr/>
      </xdr:nvSpPr>
      <xdr:spPr>
        <a:xfrm>
          <a:off x="55054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9069" name="OpenSolver 350"/>
        <xdr:cNvCxnSpPr>
          <a:stCxn id="9067" idx="3"/>
          <a:endCxn id="9068" idx="1"/>
        </xdr:cNvCxnSpPr>
      </xdr:nvCxnSpPr>
      <xdr:spPr>
        <a:xfrm>
          <a:off x="4895850" y="17668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158752</xdr:rowOff>
    </xdr:from>
    <xdr:to>
      <xdr:col>8</xdr:col>
      <xdr:colOff>495300</xdr:colOff>
      <xdr:row>93</xdr:row>
      <xdr:rowOff>31752</xdr:rowOff>
    </xdr:to>
    <xdr:sp macro="" textlink="">
      <xdr:nvSpPr>
        <xdr:cNvPr id="9070" name="OpenSolver 351"/>
        <xdr:cNvSpPr/>
      </xdr:nvSpPr>
      <xdr:spPr>
        <a:xfrm>
          <a:off x="5010150" y="1754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9071" name="OpenSolver352"/>
        <xdr:cNvSpPr/>
      </xdr:nvSpPr>
      <xdr:spPr>
        <a:xfrm>
          <a:off x="42862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9072" name="OpenSolver353"/>
        <xdr:cNvSpPr/>
      </xdr:nvSpPr>
      <xdr:spPr>
        <a:xfrm>
          <a:off x="55054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9073" name="OpenSolver 354"/>
        <xdr:cNvCxnSpPr>
          <a:stCxn id="9071" idx="3"/>
          <a:endCxn id="9072" idx="1"/>
        </xdr:cNvCxnSpPr>
      </xdr:nvCxnSpPr>
      <xdr:spPr>
        <a:xfrm>
          <a:off x="4895850" y="17859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158752</xdr:rowOff>
    </xdr:from>
    <xdr:to>
      <xdr:col>8</xdr:col>
      <xdr:colOff>495300</xdr:colOff>
      <xdr:row>94</xdr:row>
      <xdr:rowOff>31752</xdr:rowOff>
    </xdr:to>
    <xdr:sp macro="" textlink="">
      <xdr:nvSpPr>
        <xdr:cNvPr id="9074" name="OpenSolver 355"/>
        <xdr:cNvSpPr/>
      </xdr:nvSpPr>
      <xdr:spPr>
        <a:xfrm>
          <a:off x="5010150" y="1773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9075" name="OpenSolver356"/>
        <xdr:cNvSpPr/>
      </xdr:nvSpPr>
      <xdr:spPr>
        <a:xfrm>
          <a:off x="42862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9076" name="OpenSolver357"/>
        <xdr:cNvSpPr/>
      </xdr:nvSpPr>
      <xdr:spPr>
        <a:xfrm>
          <a:off x="55054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9077" name="OpenSolver 358"/>
        <xdr:cNvCxnSpPr>
          <a:stCxn id="9075" idx="3"/>
          <a:endCxn id="9076" idx="1"/>
        </xdr:cNvCxnSpPr>
      </xdr:nvCxnSpPr>
      <xdr:spPr>
        <a:xfrm>
          <a:off x="4895850" y="18049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158752</xdr:rowOff>
    </xdr:from>
    <xdr:to>
      <xdr:col>8</xdr:col>
      <xdr:colOff>495300</xdr:colOff>
      <xdr:row>95</xdr:row>
      <xdr:rowOff>31752</xdr:rowOff>
    </xdr:to>
    <xdr:sp macro="" textlink="">
      <xdr:nvSpPr>
        <xdr:cNvPr id="9078" name="OpenSolver 359"/>
        <xdr:cNvSpPr/>
      </xdr:nvSpPr>
      <xdr:spPr>
        <a:xfrm>
          <a:off x="5010150" y="1792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9079" name="OpenSolver360"/>
        <xdr:cNvSpPr/>
      </xdr:nvSpPr>
      <xdr:spPr>
        <a:xfrm>
          <a:off x="42862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9080" name="OpenSolver361"/>
        <xdr:cNvSpPr/>
      </xdr:nvSpPr>
      <xdr:spPr>
        <a:xfrm>
          <a:off x="55054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9081" name="OpenSolver 362"/>
        <xdr:cNvCxnSpPr>
          <a:stCxn id="9079" idx="3"/>
          <a:endCxn id="9080" idx="1"/>
        </xdr:cNvCxnSpPr>
      </xdr:nvCxnSpPr>
      <xdr:spPr>
        <a:xfrm>
          <a:off x="4895850" y="18240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158752</xdr:rowOff>
    </xdr:from>
    <xdr:to>
      <xdr:col>8</xdr:col>
      <xdr:colOff>495300</xdr:colOff>
      <xdr:row>96</xdr:row>
      <xdr:rowOff>31752</xdr:rowOff>
    </xdr:to>
    <xdr:sp macro="" textlink="">
      <xdr:nvSpPr>
        <xdr:cNvPr id="9082" name="OpenSolver 363"/>
        <xdr:cNvSpPr/>
      </xdr:nvSpPr>
      <xdr:spPr>
        <a:xfrm>
          <a:off x="5010150" y="1811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9083" name="OpenSolver364"/>
        <xdr:cNvSpPr/>
      </xdr:nvSpPr>
      <xdr:spPr>
        <a:xfrm>
          <a:off x="42862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9084" name="OpenSolver365"/>
        <xdr:cNvSpPr/>
      </xdr:nvSpPr>
      <xdr:spPr>
        <a:xfrm>
          <a:off x="55054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9085" name="OpenSolver 366"/>
        <xdr:cNvCxnSpPr>
          <a:stCxn id="9083" idx="3"/>
          <a:endCxn id="9084" idx="1"/>
        </xdr:cNvCxnSpPr>
      </xdr:nvCxnSpPr>
      <xdr:spPr>
        <a:xfrm>
          <a:off x="4895850" y="18430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158752</xdr:rowOff>
    </xdr:from>
    <xdr:to>
      <xdr:col>8</xdr:col>
      <xdr:colOff>495300</xdr:colOff>
      <xdr:row>97</xdr:row>
      <xdr:rowOff>31752</xdr:rowOff>
    </xdr:to>
    <xdr:sp macro="" textlink="">
      <xdr:nvSpPr>
        <xdr:cNvPr id="9086" name="OpenSolver 367"/>
        <xdr:cNvSpPr/>
      </xdr:nvSpPr>
      <xdr:spPr>
        <a:xfrm>
          <a:off x="5010150" y="1830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9087" name="OpenSolver368"/>
        <xdr:cNvSpPr/>
      </xdr:nvSpPr>
      <xdr:spPr>
        <a:xfrm>
          <a:off x="42862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9088" name="OpenSolver369"/>
        <xdr:cNvSpPr/>
      </xdr:nvSpPr>
      <xdr:spPr>
        <a:xfrm>
          <a:off x="55054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9089" name="OpenSolver 370"/>
        <xdr:cNvCxnSpPr>
          <a:stCxn id="9087" idx="3"/>
          <a:endCxn id="9088" idx="1"/>
        </xdr:cNvCxnSpPr>
      </xdr:nvCxnSpPr>
      <xdr:spPr>
        <a:xfrm>
          <a:off x="4895850" y="18621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158752</xdr:rowOff>
    </xdr:from>
    <xdr:to>
      <xdr:col>8</xdr:col>
      <xdr:colOff>495300</xdr:colOff>
      <xdr:row>98</xdr:row>
      <xdr:rowOff>31752</xdr:rowOff>
    </xdr:to>
    <xdr:sp macro="" textlink="">
      <xdr:nvSpPr>
        <xdr:cNvPr id="9090" name="OpenSolver 371"/>
        <xdr:cNvSpPr/>
      </xdr:nvSpPr>
      <xdr:spPr>
        <a:xfrm>
          <a:off x="5010150" y="1849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9091" name="OpenSolver372"/>
        <xdr:cNvSpPr/>
      </xdr:nvSpPr>
      <xdr:spPr>
        <a:xfrm>
          <a:off x="42862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9092" name="OpenSolver373"/>
        <xdr:cNvSpPr/>
      </xdr:nvSpPr>
      <xdr:spPr>
        <a:xfrm>
          <a:off x="55054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9093" name="OpenSolver 374"/>
        <xdr:cNvCxnSpPr>
          <a:stCxn id="9091" idx="3"/>
          <a:endCxn id="9092" idx="1"/>
        </xdr:cNvCxnSpPr>
      </xdr:nvCxnSpPr>
      <xdr:spPr>
        <a:xfrm>
          <a:off x="4895850" y="18811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158752</xdr:rowOff>
    </xdr:from>
    <xdr:to>
      <xdr:col>8</xdr:col>
      <xdr:colOff>495300</xdr:colOff>
      <xdr:row>99</xdr:row>
      <xdr:rowOff>31752</xdr:rowOff>
    </xdr:to>
    <xdr:sp macro="" textlink="">
      <xdr:nvSpPr>
        <xdr:cNvPr id="9094" name="OpenSolver 375"/>
        <xdr:cNvSpPr/>
      </xdr:nvSpPr>
      <xdr:spPr>
        <a:xfrm>
          <a:off x="5010150" y="1868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9095" name="OpenSolver376"/>
        <xdr:cNvSpPr/>
      </xdr:nvSpPr>
      <xdr:spPr>
        <a:xfrm>
          <a:off x="42862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9096" name="OpenSolver377"/>
        <xdr:cNvSpPr/>
      </xdr:nvSpPr>
      <xdr:spPr>
        <a:xfrm>
          <a:off x="55054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9097" name="OpenSolver 378"/>
        <xdr:cNvCxnSpPr>
          <a:stCxn id="9095" idx="3"/>
          <a:endCxn id="9096" idx="1"/>
        </xdr:cNvCxnSpPr>
      </xdr:nvCxnSpPr>
      <xdr:spPr>
        <a:xfrm>
          <a:off x="4895850" y="19002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158752</xdr:rowOff>
    </xdr:from>
    <xdr:to>
      <xdr:col>8</xdr:col>
      <xdr:colOff>495300</xdr:colOff>
      <xdr:row>100</xdr:row>
      <xdr:rowOff>31752</xdr:rowOff>
    </xdr:to>
    <xdr:sp macro="" textlink="">
      <xdr:nvSpPr>
        <xdr:cNvPr id="9098" name="OpenSolver 379"/>
        <xdr:cNvSpPr/>
      </xdr:nvSpPr>
      <xdr:spPr>
        <a:xfrm>
          <a:off x="5010150" y="1887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9099" name="OpenSolver380"/>
        <xdr:cNvSpPr/>
      </xdr:nvSpPr>
      <xdr:spPr>
        <a:xfrm>
          <a:off x="42862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9100" name="OpenSolver381"/>
        <xdr:cNvSpPr/>
      </xdr:nvSpPr>
      <xdr:spPr>
        <a:xfrm>
          <a:off x="55054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9101" name="OpenSolver 382"/>
        <xdr:cNvCxnSpPr>
          <a:stCxn id="9099" idx="3"/>
          <a:endCxn id="9100" idx="1"/>
        </xdr:cNvCxnSpPr>
      </xdr:nvCxnSpPr>
      <xdr:spPr>
        <a:xfrm>
          <a:off x="4895850" y="19192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158752</xdr:rowOff>
    </xdr:from>
    <xdr:to>
      <xdr:col>8</xdr:col>
      <xdr:colOff>495300</xdr:colOff>
      <xdr:row>101</xdr:row>
      <xdr:rowOff>31752</xdr:rowOff>
    </xdr:to>
    <xdr:sp macro="" textlink="">
      <xdr:nvSpPr>
        <xdr:cNvPr id="9102" name="OpenSolver 383"/>
        <xdr:cNvSpPr/>
      </xdr:nvSpPr>
      <xdr:spPr>
        <a:xfrm>
          <a:off x="5010150" y="1906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9103" name="OpenSolver384"/>
        <xdr:cNvSpPr/>
      </xdr:nvSpPr>
      <xdr:spPr>
        <a:xfrm>
          <a:off x="42862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9104" name="OpenSolver385"/>
        <xdr:cNvSpPr/>
      </xdr:nvSpPr>
      <xdr:spPr>
        <a:xfrm>
          <a:off x="55054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9105" name="OpenSolver 386"/>
        <xdr:cNvCxnSpPr>
          <a:stCxn id="9103" idx="3"/>
          <a:endCxn id="9104" idx="1"/>
        </xdr:cNvCxnSpPr>
      </xdr:nvCxnSpPr>
      <xdr:spPr>
        <a:xfrm>
          <a:off x="4895850" y="19383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158752</xdr:rowOff>
    </xdr:from>
    <xdr:to>
      <xdr:col>8</xdr:col>
      <xdr:colOff>495300</xdr:colOff>
      <xdr:row>102</xdr:row>
      <xdr:rowOff>31752</xdr:rowOff>
    </xdr:to>
    <xdr:sp macro="" textlink="">
      <xdr:nvSpPr>
        <xdr:cNvPr id="9106" name="OpenSolver 387"/>
        <xdr:cNvSpPr/>
      </xdr:nvSpPr>
      <xdr:spPr>
        <a:xfrm>
          <a:off x="5010150" y="1925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9107" name="OpenSolver388"/>
        <xdr:cNvSpPr/>
      </xdr:nvSpPr>
      <xdr:spPr>
        <a:xfrm>
          <a:off x="42862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9108" name="OpenSolver389"/>
        <xdr:cNvSpPr/>
      </xdr:nvSpPr>
      <xdr:spPr>
        <a:xfrm>
          <a:off x="55054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9109" name="OpenSolver 390"/>
        <xdr:cNvCxnSpPr>
          <a:stCxn id="9107" idx="3"/>
          <a:endCxn id="9108" idx="1"/>
        </xdr:cNvCxnSpPr>
      </xdr:nvCxnSpPr>
      <xdr:spPr>
        <a:xfrm>
          <a:off x="4895850" y="19573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158752</xdr:rowOff>
    </xdr:from>
    <xdr:to>
      <xdr:col>8</xdr:col>
      <xdr:colOff>495300</xdr:colOff>
      <xdr:row>103</xdr:row>
      <xdr:rowOff>31752</xdr:rowOff>
    </xdr:to>
    <xdr:sp macro="" textlink="">
      <xdr:nvSpPr>
        <xdr:cNvPr id="9110" name="OpenSolver 391"/>
        <xdr:cNvSpPr/>
      </xdr:nvSpPr>
      <xdr:spPr>
        <a:xfrm>
          <a:off x="5010150" y="1944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9111" name="OpenSolver392"/>
        <xdr:cNvSpPr/>
      </xdr:nvSpPr>
      <xdr:spPr>
        <a:xfrm>
          <a:off x="42862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9112" name="OpenSolver393"/>
        <xdr:cNvSpPr/>
      </xdr:nvSpPr>
      <xdr:spPr>
        <a:xfrm>
          <a:off x="55054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9113" name="OpenSolver 394"/>
        <xdr:cNvCxnSpPr>
          <a:stCxn id="9111" idx="3"/>
          <a:endCxn id="9112" idx="1"/>
        </xdr:cNvCxnSpPr>
      </xdr:nvCxnSpPr>
      <xdr:spPr>
        <a:xfrm>
          <a:off x="4895850" y="19764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158752</xdr:rowOff>
    </xdr:from>
    <xdr:to>
      <xdr:col>8</xdr:col>
      <xdr:colOff>495300</xdr:colOff>
      <xdr:row>104</xdr:row>
      <xdr:rowOff>31752</xdr:rowOff>
    </xdr:to>
    <xdr:sp macro="" textlink="">
      <xdr:nvSpPr>
        <xdr:cNvPr id="9114" name="OpenSolver 395"/>
        <xdr:cNvSpPr/>
      </xdr:nvSpPr>
      <xdr:spPr>
        <a:xfrm>
          <a:off x="5010150" y="1963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9115" name="OpenSolver396"/>
        <xdr:cNvSpPr/>
      </xdr:nvSpPr>
      <xdr:spPr>
        <a:xfrm>
          <a:off x="42862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9116" name="OpenSolver397"/>
        <xdr:cNvSpPr/>
      </xdr:nvSpPr>
      <xdr:spPr>
        <a:xfrm>
          <a:off x="55054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9117" name="OpenSolver 398"/>
        <xdr:cNvCxnSpPr>
          <a:stCxn id="9115" idx="3"/>
          <a:endCxn id="9116" idx="1"/>
        </xdr:cNvCxnSpPr>
      </xdr:nvCxnSpPr>
      <xdr:spPr>
        <a:xfrm>
          <a:off x="4895850" y="19954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158752</xdr:rowOff>
    </xdr:from>
    <xdr:to>
      <xdr:col>8</xdr:col>
      <xdr:colOff>495300</xdr:colOff>
      <xdr:row>105</xdr:row>
      <xdr:rowOff>31752</xdr:rowOff>
    </xdr:to>
    <xdr:sp macro="" textlink="">
      <xdr:nvSpPr>
        <xdr:cNvPr id="9118" name="OpenSolver 399"/>
        <xdr:cNvSpPr/>
      </xdr:nvSpPr>
      <xdr:spPr>
        <a:xfrm>
          <a:off x="5010150" y="1982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9119" name="OpenSolver400"/>
        <xdr:cNvSpPr/>
      </xdr:nvSpPr>
      <xdr:spPr>
        <a:xfrm>
          <a:off x="42862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9120" name="OpenSolver401"/>
        <xdr:cNvSpPr/>
      </xdr:nvSpPr>
      <xdr:spPr>
        <a:xfrm>
          <a:off x="55054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9121" name="OpenSolver 402"/>
        <xdr:cNvCxnSpPr>
          <a:stCxn id="9119" idx="3"/>
          <a:endCxn id="9120" idx="1"/>
        </xdr:cNvCxnSpPr>
      </xdr:nvCxnSpPr>
      <xdr:spPr>
        <a:xfrm>
          <a:off x="4895850" y="20145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158752</xdr:rowOff>
    </xdr:from>
    <xdr:to>
      <xdr:col>8</xdr:col>
      <xdr:colOff>495300</xdr:colOff>
      <xdr:row>106</xdr:row>
      <xdr:rowOff>31752</xdr:rowOff>
    </xdr:to>
    <xdr:sp macro="" textlink="">
      <xdr:nvSpPr>
        <xdr:cNvPr id="9122" name="OpenSolver 403"/>
        <xdr:cNvSpPr/>
      </xdr:nvSpPr>
      <xdr:spPr>
        <a:xfrm>
          <a:off x="5010150" y="2001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9123" name="OpenSolver404"/>
        <xdr:cNvSpPr/>
      </xdr:nvSpPr>
      <xdr:spPr>
        <a:xfrm>
          <a:off x="42862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9124" name="OpenSolver405"/>
        <xdr:cNvSpPr/>
      </xdr:nvSpPr>
      <xdr:spPr>
        <a:xfrm>
          <a:off x="55054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9125" name="OpenSolver 406"/>
        <xdr:cNvCxnSpPr>
          <a:stCxn id="9123" idx="3"/>
          <a:endCxn id="9124" idx="1"/>
        </xdr:cNvCxnSpPr>
      </xdr:nvCxnSpPr>
      <xdr:spPr>
        <a:xfrm>
          <a:off x="4895850" y="20335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158752</xdr:rowOff>
    </xdr:from>
    <xdr:to>
      <xdr:col>8</xdr:col>
      <xdr:colOff>495300</xdr:colOff>
      <xdr:row>107</xdr:row>
      <xdr:rowOff>31752</xdr:rowOff>
    </xdr:to>
    <xdr:sp macro="" textlink="">
      <xdr:nvSpPr>
        <xdr:cNvPr id="9126" name="OpenSolver 407"/>
        <xdr:cNvSpPr/>
      </xdr:nvSpPr>
      <xdr:spPr>
        <a:xfrm>
          <a:off x="5010150" y="2020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9127" name="OpenSolver408"/>
        <xdr:cNvSpPr/>
      </xdr:nvSpPr>
      <xdr:spPr>
        <a:xfrm>
          <a:off x="42862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9128" name="OpenSolver409"/>
        <xdr:cNvSpPr/>
      </xdr:nvSpPr>
      <xdr:spPr>
        <a:xfrm>
          <a:off x="55054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9129" name="OpenSolver 410"/>
        <xdr:cNvCxnSpPr>
          <a:stCxn id="9127" idx="3"/>
          <a:endCxn id="9128" idx="1"/>
        </xdr:cNvCxnSpPr>
      </xdr:nvCxnSpPr>
      <xdr:spPr>
        <a:xfrm>
          <a:off x="4895850" y="20526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158752</xdr:rowOff>
    </xdr:from>
    <xdr:to>
      <xdr:col>8</xdr:col>
      <xdr:colOff>495300</xdr:colOff>
      <xdr:row>108</xdr:row>
      <xdr:rowOff>31752</xdr:rowOff>
    </xdr:to>
    <xdr:sp macro="" textlink="">
      <xdr:nvSpPr>
        <xdr:cNvPr id="9130" name="OpenSolver 411"/>
        <xdr:cNvSpPr/>
      </xdr:nvSpPr>
      <xdr:spPr>
        <a:xfrm>
          <a:off x="5010150" y="2039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9131" name="OpenSolver412"/>
        <xdr:cNvSpPr/>
      </xdr:nvSpPr>
      <xdr:spPr>
        <a:xfrm>
          <a:off x="42862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9132" name="OpenSolver413"/>
        <xdr:cNvSpPr/>
      </xdr:nvSpPr>
      <xdr:spPr>
        <a:xfrm>
          <a:off x="55054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9133" name="OpenSolver 414"/>
        <xdr:cNvCxnSpPr>
          <a:stCxn id="9131" idx="3"/>
          <a:endCxn id="9132" idx="1"/>
        </xdr:cNvCxnSpPr>
      </xdr:nvCxnSpPr>
      <xdr:spPr>
        <a:xfrm>
          <a:off x="4895850" y="20716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158752</xdr:rowOff>
    </xdr:from>
    <xdr:to>
      <xdr:col>8</xdr:col>
      <xdr:colOff>495300</xdr:colOff>
      <xdr:row>109</xdr:row>
      <xdr:rowOff>31752</xdr:rowOff>
    </xdr:to>
    <xdr:sp macro="" textlink="">
      <xdr:nvSpPr>
        <xdr:cNvPr id="9134" name="OpenSolver 415"/>
        <xdr:cNvSpPr/>
      </xdr:nvSpPr>
      <xdr:spPr>
        <a:xfrm>
          <a:off x="5010150" y="2058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9135" name="OpenSolver416"/>
        <xdr:cNvSpPr/>
      </xdr:nvSpPr>
      <xdr:spPr>
        <a:xfrm>
          <a:off x="42862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9136" name="OpenSolver417"/>
        <xdr:cNvSpPr/>
      </xdr:nvSpPr>
      <xdr:spPr>
        <a:xfrm>
          <a:off x="55054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9137" name="OpenSolver 418"/>
        <xdr:cNvCxnSpPr>
          <a:stCxn id="9135" idx="3"/>
          <a:endCxn id="9136" idx="1"/>
        </xdr:cNvCxnSpPr>
      </xdr:nvCxnSpPr>
      <xdr:spPr>
        <a:xfrm>
          <a:off x="4895850" y="20907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158752</xdr:rowOff>
    </xdr:from>
    <xdr:to>
      <xdr:col>8</xdr:col>
      <xdr:colOff>495300</xdr:colOff>
      <xdr:row>110</xdr:row>
      <xdr:rowOff>31752</xdr:rowOff>
    </xdr:to>
    <xdr:sp macro="" textlink="">
      <xdr:nvSpPr>
        <xdr:cNvPr id="9138" name="OpenSolver 419"/>
        <xdr:cNvSpPr/>
      </xdr:nvSpPr>
      <xdr:spPr>
        <a:xfrm>
          <a:off x="5010150" y="2078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9139" name="OpenSolver420"/>
        <xdr:cNvSpPr/>
      </xdr:nvSpPr>
      <xdr:spPr>
        <a:xfrm>
          <a:off x="42862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9140" name="OpenSolver421"/>
        <xdr:cNvSpPr/>
      </xdr:nvSpPr>
      <xdr:spPr>
        <a:xfrm>
          <a:off x="55054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9141" name="OpenSolver 422"/>
        <xdr:cNvCxnSpPr>
          <a:stCxn id="9139" idx="3"/>
          <a:endCxn id="9140" idx="1"/>
        </xdr:cNvCxnSpPr>
      </xdr:nvCxnSpPr>
      <xdr:spPr>
        <a:xfrm>
          <a:off x="4895850" y="21097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158752</xdr:rowOff>
    </xdr:from>
    <xdr:to>
      <xdr:col>8</xdr:col>
      <xdr:colOff>495300</xdr:colOff>
      <xdr:row>111</xdr:row>
      <xdr:rowOff>31752</xdr:rowOff>
    </xdr:to>
    <xdr:sp macro="" textlink="">
      <xdr:nvSpPr>
        <xdr:cNvPr id="9142" name="OpenSolver 423"/>
        <xdr:cNvSpPr/>
      </xdr:nvSpPr>
      <xdr:spPr>
        <a:xfrm>
          <a:off x="5010150" y="2097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9143" name="OpenSolver424"/>
        <xdr:cNvSpPr/>
      </xdr:nvSpPr>
      <xdr:spPr>
        <a:xfrm>
          <a:off x="42862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9144" name="OpenSolver425"/>
        <xdr:cNvSpPr/>
      </xdr:nvSpPr>
      <xdr:spPr>
        <a:xfrm>
          <a:off x="55054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9145" name="OpenSolver 426"/>
        <xdr:cNvCxnSpPr>
          <a:stCxn id="9143" idx="3"/>
          <a:endCxn id="9144" idx="1"/>
        </xdr:cNvCxnSpPr>
      </xdr:nvCxnSpPr>
      <xdr:spPr>
        <a:xfrm>
          <a:off x="4895850" y="21288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158752</xdr:rowOff>
    </xdr:from>
    <xdr:to>
      <xdr:col>8</xdr:col>
      <xdr:colOff>495300</xdr:colOff>
      <xdr:row>112</xdr:row>
      <xdr:rowOff>31752</xdr:rowOff>
    </xdr:to>
    <xdr:sp macro="" textlink="">
      <xdr:nvSpPr>
        <xdr:cNvPr id="9146" name="OpenSolver 427"/>
        <xdr:cNvSpPr/>
      </xdr:nvSpPr>
      <xdr:spPr>
        <a:xfrm>
          <a:off x="5010150" y="2116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9147" name="OpenSolver428"/>
        <xdr:cNvSpPr/>
      </xdr:nvSpPr>
      <xdr:spPr>
        <a:xfrm>
          <a:off x="42862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9148" name="OpenSolver429"/>
        <xdr:cNvSpPr/>
      </xdr:nvSpPr>
      <xdr:spPr>
        <a:xfrm>
          <a:off x="55054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9149" name="OpenSolver 430"/>
        <xdr:cNvCxnSpPr>
          <a:stCxn id="9147" idx="3"/>
          <a:endCxn id="9148" idx="1"/>
        </xdr:cNvCxnSpPr>
      </xdr:nvCxnSpPr>
      <xdr:spPr>
        <a:xfrm>
          <a:off x="4895850" y="21478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158752</xdr:rowOff>
    </xdr:from>
    <xdr:to>
      <xdr:col>8</xdr:col>
      <xdr:colOff>495300</xdr:colOff>
      <xdr:row>113</xdr:row>
      <xdr:rowOff>31752</xdr:rowOff>
    </xdr:to>
    <xdr:sp macro="" textlink="">
      <xdr:nvSpPr>
        <xdr:cNvPr id="9150" name="OpenSolver 431"/>
        <xdr:cNvSpPr/>
      </xdr:nvSpPr>
      <xdr:spPr>
        <a:xfrm>
          <a:off x="5010150" y="2135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9151" name="OpenSolver432"/>
        <xdr:cNvSpPr/>
      </xdr:nvSpPr>
      <xdr:spPr>
        <a:xfrm>
          <a:off x="42862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9152" name="OpenSolver433"/>
        <xdr:cNvSpPr/>
      </xdr:nvSpPr>
      <xdr:spPr>
        <a:xfrm>
          <a:off x="55054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9153" name="OpenSolver 434"/>
        <xdr:cNvCxnSpPr>
          <a:stCxn id="9151" idx="3"/>
          <a:endCxn id="9152" idx="1"/>
        </xdr:cNvCxnSpPr>
      </xdr:nvCxnSpPr>
      <xdr:spPr>
        <a:xfrm>
          <a:off x="4895850" y="21669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158752</xdr:rowOff>
    </xdr:from>
    <xdr:to>
      <xdr:col>8</xdr:col>
      <xdr:colOff>495300</xdr:colOff>
      <xdr:row>114</xdr:row>
      <xdr:rowOff>31752</xdr:rowOff>
    </xdr:to>
    <xdr:sp macro="" textlink="">
      <xdr:nvSpPr>
        <xdr:cNvPr id="9154" name="OpenSolver 435"/>
        <xdr:cNvSpPr/>
      </xdr:nvSpPr>
      <xdr:spPr>
        <a:xfrm>
          <a:off x="5010150" y="2154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9155" name="OpenSolver436"/>
        <xdr:cNvSpPr/>
      </xdr:nvSpPr>
      <xdr:spPr>
        <a:xfrm>
          <a:off x="42862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9156" name="OpenSolver437"/>
        <xdr:cNvSpPr/>
      </xdr:nvSpPr>
      <xdr:spPr>
        <a:xfrm>
          <a:off x="55054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9157" name="OpenSolver 438"/>
        <xdr:cNvCxnSpPr>
          <a:stCxn id="9155" idx="3"/>
          <a:endCxn id="9156" idx="1"/>
        </xdr:cNvCxnSpPr>
      </xdr:nvCxnSpPr>
      <xdr:spPr>
        <a:xfrm>
          <a:off x="4895850" y="21859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158752</xdr:rowOff>
    </xdr:from>
    <xdr:to>
      <xdr:col>8</xdr:col>
      <xdr:colOff>495300</xdr:colOff>
      <xdr:row>115</xdr:row>
      <xdr:rowOff>31752</xdr:rowOff>
    </xdr:to>
    <xdr:sp macro="" textlink="">
      <xdr:nvSpPr>
        <xdr:cNvPr id="9158" name="OpenSolver 439"/>
        <xdr:cNvSpPr/>
      </xdr:nvSpPr>
      <xdr:spPr>
        <a:xfrm>
          <a:off x="5010150" y="2173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9159" name="OpenSolver440"/>
        <xdr:cNvSpPr/>
      </xdr:nvSpPr>
      <xdr:spPr>
        <a:xfrm>
          <a:off x="42862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9160" name="OpenSolver441"/>
        <xdr:cNvSpPr/>
      </xdr:nvSpPr>
      <xdr:spPr>
        <a:xfrm>
          <a:off x="55054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9161" name="OpenSolver 442"/>
        <xdr:cNvCxnSpPr>
          <a:stCxn id="9159" idx="3"/>
          <a:endCxn id="9160" idx="1"/>
        </xdr:cNvCxnSpPr>
      </xdr:nvCxnSpPr>
      <xdr:spPr>
        <a:xfrm>
          <a:off x="4895850" y="22050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158752</xdr:rowOff>
    </xdr:from>
    <xdr:to>
      <xdr:col>8</xdr:col>
      <xdr:colOff>495300</xdr:colOff>
      <xdr:row>116</xdr:row>
      <xdr:rowOff>31752</xdr:rowOff>
    </xdr:to>
    <xdr:sp macro="" textlink="">
      <xdr:nvSpPr>
        <xdr:cNvPr id="9162" name="OpenSolver 443"/>
        <xdr:cNvSpPr/>
      </xdr:nvSpPr>
      <xdr:spPr>
        <a:xfrm>
          <a:off x="5010150" y="2192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9163" name="OpenSolver444"/>
        <xdr:cNvSpPr/>
      </xdr:nvSpPr>
      <xdr:spPr>
        <a:xfrm>
          <a:off x="42862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9164" name="OpenSolver445"/>
        <xdr:cNvSpPr/>
      </xdr:nvSpPr>
      <xdr:spPr>
        <a:xfrm>
          <a:off x="55054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9165" name="OpenSolver 446"/>
        <xdr:cNvCxnSpPr>
          <a:stCxn id="9163" idx="3"/>
          <a:endCxn id="9164" idx="1"/>
        </xdr:cNvCxnSpPr>
      </xdr:nvCxnSpPr>
      <xdr:spPr>
        <a:xfrm>
          <a:off x="4895850" y="22240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158752</xdr:rowOff>
    </xdr:from>
    <xdr:to>
      <xdr:col>8</xdr:col>
      <xdr:colOff>495300</xdr:colOff>
      <xdr:row>117</xdr:row>
      <xdr:rowOff>31752</xdr:rowOff>
    </xdr:to>
    <xdr:sp macro="" textlink="">
      <xdr:nvSpPr>
        <xdr:cNvPr id="9166" name="OpenSolver 447"/>
        <xdr:cNvSpPr/>
      </xdr:nvSpPr>
      <xdr:spPr>
        <a:xfrm>
          <a:off x="5010150" y="2211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9167" name="OpenSolver448"/>
        <xdr:cNvSpPr/>
      </xdr:nvSpPr>
      <xdr:spPr>
        <a:xfrm>
          <a:off x="42862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9168" name="OpenSolver449"/>
        <xdr:cNvSpPr/>
      </xdr:nvSpPr>
      <xdr:spPr>
        <a:xfrm>
          <a:off x="55054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9169" name="OpenSolver 450"/>
        <xdr:cNvCxnSpPr>
          <a:stCxn id="9167" idx="3"/>
          <a:endCxn id="9168" idx="1"/>
        </xdr:cNvCxnSpPr>
      </xdr:nvCxnSpPr>
      <xdr:spPr>
        <a:xfrm>
          <a:off x="4895850" y="22431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158752</xdr:rowOff>
    </xdr:from>
    <xdr:to>
      <xdr:col>8</xdr:col>
      <xdr:colOff>495300</xdr:colOff>
      <xdr:row>118</xdr:row>
      <xdr:rowOff>31752</xdr:rowOff>
    </xdr:to>
    <xdr:sp macro="" textlink="">
      <xdr:nvSpPr>
        <xdr:cNvPr id="9170" name="OpenSolver 451"/>
        <xdr:cNvSpPr/>
      </xdr:nvSpPr>
      <xdr:spPr>
        <a:xfrm>
          <a:off x="5010150" y="2230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9171" name="OpenSolver452"/>
        <xdr:cNvSpPr/>
      </xdr:nvSpPr>
      <xdr:spPr>
        <a:xfrm>
          <a:off x="42862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9172" name="OpenSolver453"/>
        <xdr:cNvSpPr/>
      </xdr:nvSpPr>
      <xdr:spPr>
        <a:xfrm>
          <a:off x="55054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9173" name="OpenSolver 454"/>
        <xdr:cNvCxnSpPr>
          <a:stCxn id="9171" idx="3"/>
          <a:endCxn id="9172" idx="1"/>
        </xdr:cNvCxnSpPr>
      </xdr:nvCxnSpPr>
      <xdr:spPr>
        <a:xfrm>
          <a:off x="4895850" y="22621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158752</xdr:rowOff>
    </xdr:from>
    <xdr:to>
      <xdr:col>8</xdr:col>
      <xdr:colOff>495300</xdr:colOff>
      <xdr:row>119</xdr:row>
      <xdr:rowOff>31752</xdr:rowOff>
    </xdr:to>
    <xdr:sp macro="" textlink="">
      <xdr:nvSpPr>
        <xdr:cNvPr id="9174" name="OpenSolver 455"/>
        <xdr:cNvSpPr/>
      </xdr:nvSpPr>
      <xdr:spPr>
        <a:xfrm>
          <a:off x="5010150" y="2249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9175" name="OpenSolver456"/>
        <xdr:cNvSpPr/>
      </xdr:nvSpPr>
      <xdr:spPr>
        <a:xfrm>
          <a:off x="42862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9176" name="OpenSolver457"/>
        <xdr:cNvSpPr/>
      </xdr:nvSpPr>
      <xdr:spPr>
        <a:xfrm>
          <a:off x="55054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9177" name="OpenSolver 458"/>
        <xdr:cNvCxnSpPr>
          <a:stCxn id="9175" idx="3"/>
          <a:endCxn id="9176" idx="1"/>
        </xdr:cNvCxnSpPr>
      </xdr:nvCxnSpPr>
      <xdr:spPr>
        <a:xfrm>
          <a:off x="4895850" y="22812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158752</xdr:rowOff>
    </xdr:from>
    <xdr:to>
      <xdr:col>8</xdr:col>
      <xdr:colOff>495300</xdr:colOff>
      <xdr:row>120</xdr:row>
      <xdr:rowOff>31752</xdr:rowOff>
    </xdr:to>
    <xdr:sp macro="" textlink="">
      <xdr:nvSpPr>
        <xdr:cNvPr id="9178" name="OpenSolver 459"/>
        <xdr:cNvSpPr/>
      </xdr:nvSpPr>
      <xdr:spPr>
        <a:xfrm>
          <a:off x="5010150" y="2268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9179" name="OpenSolver460"/>
        <xdr:cNvSpPr/>
      </xdr:nvSpPr>
      <xdr:spPr>
        <a:xfrm>
          <a:off x="42862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9180" name="OpenSolver461"/>
        <xdr:cNvSpPr/>
      </xdr:nvSpPr>
      <xdr:spPr>
        <a:xfrm>
          <a:off x="55054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9181" name="OpenSolver 462"/>
        <xdr:cNvCxnSpPr>
          <a:stCxn id="9179" idx="3"/>
          <a:endCxn id="9180" idx="1"/>
        </xdr:cNvCxnSpPr>
      </xdr:nvCxnSpPr>
      <xdr:spPr>
        <a:xfrm>
          <a:off x="4895850" y="23002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158752</xdr:rowOff>
    </xdr:from>
    <xdr:to>
      <xdr:col>8</xdr:col>
      <xdr:colOff>495300</xdr:colOff>
      <xdr:row>121</xdr:row>
      <xdr:rowOff>31752</xdr:rowOff>
    </xdr:to>
    <xdr:sp macro="" textlink="">
      <xdr:nvSpPr>
        <xdr:cNvPr id="9182" name="OpenSolver 463"/>
        <xdr:cNvSpPr/>
      </xdr:nvSpPr>
      <xdr:spPr>
        <a:xfrm>
          <a:off x="5010150" y="2287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9183" name="OpenSolver464"/>
        <xdr:cNvSpPr/>
      </xdr:nvSpPr>
      <xdr:spPr>
        <a:xfrm>
          <a:off x="42862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9184" name="OpenSolver465"/>
        <xdr:cNvSpPr/>
      </xdr:nvSpPr>
      <xdr:spPr>
        <a:xfrm>
          <a:off x="55054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9185" name="OpenSolver 466"/>
        <xdr:cNvCxnSpPr>
          <a:stCxn id="9183" idx="3"/>
          <a:endCxn id="9184" idx="1"/>
        </xdr:cNvCxnSpPr>
      </xdr:nvCxnSpPr>
      <xdr:spPr>
        <a:xfrm>
          <a:off x="4895850" y="23193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158752</xdr:rowOff>
    </xdr:from>
    <xdr:to>
      <xdr:col>8</xdr:col>
      <xdr:colOff>495300</xdr:colOff>
      <xdr:row>122</xdr:row>
      <xdr:rowOff>31752</xdr:rowOff>
    </xdr:to>
    <xdr:sp macro="" textlink="">
      <xdr:nvSpPr>
        <xdr:cNvPr id="9186" name="OpenSolver 467"/>
        <xdr:cNvSpPr/>
      </xdr:nvSpPr>
      <xdr:spPr>
        <a:xfrm>
          <a:off x="5010150" y="2306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9187" name="OpenSolver468"/>
        <xdr:cNvSpPr/>
      </xdr:nvSpPr>
      <xdr:spPr>
        <a:xfrm>
          <a:off x="42862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9188" name="OpenSolver469"/>
        <xdr:cNvSpPr/>
      </xdr:nvSpPr>
      <xdr:spPr>
        <a:xfrm>
          <a:off x="55054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9189" name="OpenSolver 470"/>
        <xdr:cNvCxnSpPr>
          <a:stCxn id="9187" idx="3"/>
          <a:endCxn id="9188" idx="1"/>
        </xdr:cNvCxnSpPr>
      </xdr:nvCxnSpPr>
      <xdr:spPr>
        <a:xfrm>
          <a:off x="4895850" y="23383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158752</xdr:rowOff>
    </xdr:from>
    <xdr:to>
      <xdr:col>8</xdr:col>
      <xdr:colOff>495300</xdr:colOff>
      <xdr:row>123</xdr:row>
      <xdr:rowOff>31752</xdr:rowOff>
    </xdr:to>
    <xdr:sp macro="" textlink="">
      <xdr:nvSpPr>
        <xdr:cNvPr id="9190" name="OpenSolver 471"/>
        <xdr:cNvSpPr/>
      </xdr:nvSpPr>
      <xdr:spPr>
        <a:xfrm>
          <a:off x="5010150" y="2325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9191" name="OpenSolver472"/>
        <xdr:cNvSpPr/>
      </xdr:nvSpPr>
      <xdr:spPr>
        <a:xfrm>
          <a:off x="42862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9192" name="OpenSolver473"/>
        <xdr:cNvSpPr/>
      </xdr:nvSpPr>
      <xdr:spPr>
        <a:xfrm>
          <a:off x="55054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9193" name="OpenSolver 474"/>
        <xdr:cNvCxnSpPr>
          <a:stCxn id="9191" idx="3"/>
          <a:endCxn id="9192" idx="1"/>
        </xdr:cNvCxnSpPr>
      </xdr:nvCxnSpPr>
      <xdr:spPr>
        <a:xfrm>
          <a:off x="4895850" y="23574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158752</xdr:rowOff>
    </xdr:from>
    <xdr:to>
      <xdr:col>8</xdr:col>
      <xdr:colOff>495300</xdr:colOff>
      <xdr:row>124</xdr:row>
      <xdr:rowOff>31752</xdr:rowOff>
    </xdr:to>
    <xdr:sp macro="" textlink="">
      <xdr:nvSpPr>
        <xdr:cNvPr id="9194" name="OpenSolver 475"/>
        <xdr:cNvSpPr/>
      </xdr:nvSpPr>
      <xdr:spPr>
        <a:xfrm>
          <a:off x="5010150" y="2344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9195" name="OpenSolver476"/>
        <xdr:cNvSpPr/>
      </xdr:nvSpPr>
      <xdr:spPr>
        <a:xfrm>
          <a:off x="42862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9196" name="OpenSolver477"/>
        <xdr:cNvSpPr/>
      </xdr:nvSpPr>
      <xdr:spPr>
        <a:xfrm>
          <a:off x="55054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9197" name="OpenSolver 478"/>
        <xdr:cNvCxnSpPr>
          <a:stCxn id="9195" idx="3"/>
          <a:endCxn id="9196" idx="1"/>
        </xdr:cNvCxnSpPr>
      </xdr:nvCxnSpPr>
      <xdr:spPr>
        <a:xfrm>
          <a:off x="4895850" y="23764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158752</xdr:rowOff>
    </xdr:from>
    <xdr:to>
      <xdr:col>8</xdr:col>
      <xdr:colOff>495300</xdr:colOff>
      <xdr:row>125</xdr:row>
      <xdr:rowOff>31752</xdr:rowOff>
    </xdr:to>
    <xdr:sp macro="" textlink="">
      <xdr:nvSpPr>
        <xdr:cNvPr id="9198" name="OpenSolver 479"/>
        <xdr:cNvSpPr/>
      </xdr:nvSpPr>
      <xdr:spPr>
        <a:xfrm>
          <a:off x="5010150" y="2363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9199" name="OpenSolver480"/>
        <xdr:cNvSpPr/>
      </xdr:nvSpPr>
      <xdr:spPr>
        <a:xfrm>
          <a:off x="42862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9200" name="OpenSolver481"/>
        <xdr:cNvSpPr/>
      </xdr:nvSpPr>
      <xdr:spPr>
        <a:xfrm>
          <a:off x="55054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9201" name="OpenSolver 482"/>
        <xdr:cNvCxnSpPr>
          <a:stCxn id="9199" idx="3"/>
          <a:endCxn id="9200" idx="1"/>
        </xdr:cNvCxnSpPr>
      </xdr:nvCxnSpPr>
      <xdr:spPr>
        <a:xfrm>
          <a:off x="4895850" y="23955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158752</xdr:rowOff>
    </xdr:from>
    <xdr:to>
      <xdr:col>8</xdr:col>
      <xdr:colOff>495300</xdr:colOff>
      <xdr:row>126</xdr:row>
      <xdr:rowOff>31752</xdr:rowOff>
    </xdr:to>
    <xdr:sp macro="" textlink="">
      <xdr:nvSpPr>
        <xdr:cNvPr id="9202" name="OpenSolver 483"/>
        <xdr:cNvSpPr/>
      </xdr:nvSpPr>
      <xdr:spPr>
        <a:xfrm>
          <a:off x="5010150" y="2382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9203" name="OpenSolver484"/>
        <xdr:cNvSpPr/>
      </xdr:nvSpPr>
      <xdr:spPr>
        <a:xfrm>
          <a:off x="42862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9204" name="OpenSolver485"/>
        <xdr:cNvSpPr/>
      </xdr:nvSpPr>
      <xdr:spPr>
        <a:xfrm>
          <a:off x="55054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9205" name="OpenSolver 486"/>
        <xdr:cNvCxnSpPr>
          <a:stCxn id="9203" idx="3"/>
          <a:endCxn id="9204" idx="1"/>
        </xdr:cNvCxnSpPr>
      </xdr:nvCxnSpPr>
      <xdr:spPr>
        <a:xfrm>
          <a:off x="4895850" y="24145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158752</xdr:rowOff>
    </xdr:from>
    <xdr:to>
      <xdr:col>8</xdr:col>
      <xdr:colOff>495300</xdr:colOff>
      <xdr:row>127</xdr:row>
      <xdr:rowOff>31752</xdr:rowOff>
    </xdr:to>
    <xdr:sp macro="" textlink="">
      <xdr:nvSpPr>
        <xdr:cNvPr id="9206" name="OpenSolver 487"/>
        <xdr:cNvSpPr/>
      </xdr:nvSpPr>
      <xdr:spPr>
        <a:xfrm>
          <a:off x="5010150" y="2401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9207" name="OpenSolver488"/>
        <xdr:cNvSpPr/>
      </xdr:nvSpPr>
      <xdr:spPr>
        <a:xfrm>
          <a:off x="42862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9208" name="OpenSolver489"/>
        <xdr:cNvSpPr/>
      </xdr:nvSpPr>
      <xdr:spPr>
        <a:xfrm>
          <a:off x="55054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9209" name="OpenSolver 490"/>
        <xdr:cNvCxnSpPr>
          <a:stCxn id="9207" idx="3"/>
          <a:endCxn id="9208" idx="1"/>
        </xdr:cNvCxnSpPr>
      </xdr:nvCxnSpPr>
      <xdr:spPr>
        <a:xfrm>
          <a:off x="4895850" y="24336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158752</xdr:rowOff>
    </xdr:from>
    <xdr:to>
      <xdr:col>8</xdr:col>
      <xdr:colOff>495300</xdr:colOff>
      <xdr:row>128</xdr:row>
      <xdr:rowOff>31752</xdr:rowOff>
    </xdr:to>
    <xdr:sp macro="" textlink="">
      <xdr:nvSpPr>
        <xdr:cNvPr id="9210" name="OpenSolver 491"/>
        <xdr:cNvSpPr/>
      </xdr:nvSpPr>
      <xdr:spPr>
        <a:xfrm>
          <a:off x="5010150" y="2420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9211" name="OpenSolver492"/>
        <xdr:cNvSpPr/>
      </xdr:nvSpPr>
      <xdr:spPr>
        <a:xfrm>
          <a:off x="42862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9212" name="OpenSolver493"/>
        <xdr:cNvSpPr/>
      </xdr:nvSpPr>
      <xdr:spPr>
        <a:xfrm>
          <a:off x="55054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9213" name="OpenSolver 494"/>
        <xdr:cNvCxnSpPr>
          <a:stCxn id="9211" idx="3"/>
          <a:endCxn id="9212" idx="1"/>
        </xdr:cNvCxnSpPr>
      </xdr:nvCxnSpPr>
      <xdr:spPr>
        <a:xfrm>
          <a:off x="4895850" y="24526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158752</xdr:rowOff>
    </xdr:from>
    <xdr:to>
      <xdr:col>8</xdr:col>
      <xdr:colOff>495300</xdr:colOff>
      <xdr:row>129</xdr:row>
      <xdr:rowOff>31752</xdr:rowOff>
    </xdr:to>
    <xdr:sp macro="" textlink="">
      <xdr:nvSpPr>
        <xdr:cNvPr id="9214" name="OpenSolver 495"/>
        <xdr:cNvSpPr/>
      </xdr:nvSpPr>
      <xdr:spPr>
        <a:xfrm>
          <a:off x="5010150" y="2439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9215" name="OpenSolver496"/>
        <xdr:cNvSpPr/>
      </xdr:nvSpPr>
      <xdr:spPr>
        <a:xfrm>
          <a:off x="42862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9216" name="OpenSolver497"/>
        <xdr:cNvSpPr/>
      </xdr:nvSpPr>
      <xdr:spPr>
        <a:xfrm>
          <a:off x="55054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9217" name="OpenSolver 498"/>
        <xdr:cNvCxnSpPr>
          <a:stCxn id="9215" idx="3"/>
          <a:endCxn id="9216" idx="1"/>
        </xdr:cNvCxnSpPr>
      </xdr:nvCxnSpPr>
      <xdr:spPr>
        <a:xfrm>
          <a:off x="4895850" y="24717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158752</xdr:rowOff>
    </xdr:from>
    <xdr:to>
      <xdr:col>8</xdr:col>
      <xdr:colOff>495300</xdr:colOff>
      <xdr:row>130</xdr:row>
      <xdr:rowOff>31752</xdr:rowOff>
    </xdr:to>
    <xdr:sp macro="" textlink="">
      <xdr:nvSpPr>
        <xdr:cNvPr id="9218" name="OpenSolver 499"/>
        <xdr:cNvSpPr/>
      </xdr:nvSpPr>
      <xdr:spPr>
        <a:xfrm>
          <a:off x="5010150" y="2459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9219" name="OpenSolver500"/>
        <xdr:cNvSpPr/>
      </xdr:nvSpPr>
      <xdr:spPr>
        <a:xfrm>
          <a:off x="42862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9220" name="OpenSolver501"/>
        <xdr:cNvSpPr/>
      </xdr:nvSpPr>
      <xdr:spPr>
        <a:xfrm>
          <a:off x="55054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9221" name="OpenSolver 502"/>
        <xdr:cNvCxnSpPr>
          <a:stCxn id="9219" idx="3"/>
          <a:endCxn id="9220" idx="1"/>
        </xdr:cNvCxnSpPr>
      </xdr:nvCxnSpPr>
      <xdr:spPr>
        <a:xfrm>
          <a:off x="4895850" y="24907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158752</xdr:rowOff>
    </xdr:from>
    <xdr:to>
      <xdr:col>8</xdr:col>
      <xdr:colOff>495300</xdr:colOff>
      <xdr:row>131</xdr:row>
      <xdr:rowOff>31752</xdr:rowOff>
    </xdr:to>
    <xdr:sp macro="" textlink="">
      <xdr:nvSpPr>
        <xdr:cNvPr id="9222" name="OpenSolver 503"/>
        <xdr:cNvSpPr/>
      </xdr:nvSpPr>
      <xdr:spPr>
        <a:xfrm>
          <a:off x="5010150" y="2478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9223" name="OpenSolver504"/>
        <xdr:cNvSpPr/>
      </xdr:nvSpPr>
      <xdr:spPr>
        <a:xfrm>
          <a:off x="42862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9224" name="OpenSolver505"/>
        <xdr:cNvSpPr/>
      </xdr:nvSpPr>
      <xdr:spPr>
        <a:xfrm>
          <a:off x="55054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9225" name="OpenSolver 506"/>
        <xdr:cNvCxnSpPr>
          <a:stCxn id="9223" idx="3"/>
          <a:endCxn id="9224" idx="1"/>
        </xdr:cNvCxnSpPr>
      </xdr:nvCxnSpPr>
      <xdr:spPr>
        <a:xfrm>
          <a:off x="4895850" y="25098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158752</xdr:rowOff>
    </xdr:from>
    <xdr:to>
      <xdr:col>8</xdr:col>
      <xdr:colOff>495300</xdr:colOff>
      <xdr:row>132</xdr:row>
      <xdr:rowOff>31752</xdr:rowOff>
    </xdr:to>
    <xdr:sp macro="" textlink="">
      <xdr:nvSpPr>
        <xdr:cNvPr id="9226" name="OpenSolver 507"/>
        <xdr:cNvSpPr/>
      </xdr:nvSpPr>
      <xdr:spPr>
        <a:xfrm>
          <a:off x="5010150" y="2497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9227" name="OpenSolver508"/>
        <xdr:cNvSpPr/>
      </xdr:nvSpPr>
      <xdr:spPr>
        <a:xfrm>
          <a:off x="42862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9228" name="OpenSolver509"/>
        <xdr:cNvSpPr/>
      </xdr:nvSpPr>
      <xdr:spPr>
        <a:xfrm>
          <a:off x="55054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9229" name="OpenSolver 510"/>
        <xdr:cNvCxnSpPr>
          <a:stCxn id="9227" idx="3"/>
          <a:endCxn id="9228" idx="1"/>
        </xdr:cNvCxnSpPr>
      </xdr:nvCxnSpPr>
      <xdr:spPr>
        <a:xfrm>
          <a:off x="4895850" y="25288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158752</xdr:rowOff>
    </xdr:from>
    <xdr:to>
      <xdr:col>8</xdr:col>
      <xdr:colOff>495300</xdr:colOff>
      <xdr:row>133</xdr:row>
      <xdr:rowOff>31752</xdr:rowOff>
    </xdr:to>
    <xdr:sp macro="" textlink="">
      <xdr:nvSpPr>
        <xdr:cNvPr id="9230" name="OpenSolver 511"/>
        <xdr:cNvSpPr/>
      </xdr:nvSpPr>
      <xdr:spPr>
        <a:xfrm>
          <a:off x="5010150" y="2516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9231" name="OpenSolver512"/>
        <xdr:cNvSpPr/>
      </xdr:nvSpPr>
      <xdr:spPr>
        <a:xfrm>
          <a:off x="42862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9232" name="OpenSolver513"/>
        <xdr:cNvSpPr/>
      </xdr:nvSpPr>
      <xdr:spPr>
        <a:xfrm>
          <a:off x="55054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9233" name="OpenSolver 514"/>
        <xdr:cNvCxnSpPr>
          <a:stCxn id="9231" idx="3"/>
          <a:endCxn id="9232" idx="1"/>
        </xdr:cNvCxnSpPr>
      </xdr:nvCxnSpPr>
      <xdr:spPr>
        <a:xfrm>
          <a:off x="4895850" y="25479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158752</xdr:rowOff>
    </xdr:from>
    <xdr:to>
      <xdr:col>8</xdr:col>
      <xdr:colOff>495300</xdr:colOff>
      <xdr:row>134</xdr:row>
      <xdr:rowOff>31752</xdr:rowOff>
    </xdr:to>
    <xdr:sp macro="" textlink="">
      <xdr:nvSpPr>
        <xdr:cNvPr id="9234" name="OpenSolver 515"/>
        <xdr:cNvSpPr/>
      </xdr:nvSpPr>
      <xdr:spPr>
        <a:xfrm>
          <a:off x="5010150" y="2535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9235" name="OpenSolver516"/>
        <xdr:cNvSpPr/>
      </xdr:nvSpPr>
      <xdr:spPr>
        <a:xfrm>
          <a:off x="42862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9236" name="OpenSolver517"/>
        <xdr:cNvSpPr/>
      </xdr:nvSpPr>
      <xdr:spPr>
        <a:xfrm>
          <a:off x="55054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9237" name="OpenSolver 518"/>
        <xdr:cNvCxnSpPr>
          <a:stCxn id="9235" idx="3"/>
          <a:endCxn id="9236" idx="1"/>
        </xdr:cNvCxnSpPr>
      </xdr:nvCxnSpPr>
      <xdr:spPr>
        <a:xfrm>
          <a:off x="4895850" y="25669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158752</xdr:rowOff>
    </xdr:from>
    <xdr:to>
      <xdr:col>8</xdr:col>
      <xdr:colOff>495300</xdr:colOff>
      <xdr:row>135</xdr:row>
      <xdr:rowOff>31752</xdr:rowOff>
    </xdr:to>
    <xdr:sp macro="" textlink="">
      <xdr:nvSpPr>
        <xdr:cNvPr id="9238" name="OpenSolver 519"/>
        <xdr:cNvSpPr/>
      </xdr:nvSpPr>
      <xdr:spPr>
        <a:xfrm>
          <a:off x="5010150" y="2554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9239" name="OpenSolver520"/>
        <xdr:cNvSpPr/>
      </xdr:nvSpPr>
      <xdr:spPr>
        <a:xfrm>
          <a:off x="42862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9240" name="OpenSolver521"/>
        <xdr:cNvSpPr/>
      </xdr:nvSpPr>
      <xdr:spPr>
        <a:xfrm>
          <a:off x="55054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9241" name="OpenSolver 522"/>
        <xdr:cNvCxnSpPr>
          <a:stCxn id="9239" idx="3"/>
          <a:endCxn id="9240" idx="1"/>
        </xdr:cNvCxnSpPr>
      </xdr:nvCxnSpPr>
      <xdr:spPr>
        <a:xfrm>
          <a:off x="4895850" y="25860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158752</xdr:rowOff>
    </xdr:from>
    <xdr:to>
      <xdr:col>8</xdr:col>
      <xdr:colOff>495300</xdr:colOff>
      <xdr:row>136</xdr:row>
      <xdr:rowOff>31752</xdr:rowOff>
    </xdr:to>
    <xdr:sp macro="" textlink="">
      <xdr:nvSpPr>
        <xdr:cNvPr id="9242" name="OpenSolver 523"/>
        <xdr:cNvSpPr/>
      </xdr:nvSpPr>
      <xdr:spPr>
        <a:xfrm>
          <a:off x="5010150" y="2573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9243" name="OpenSolver524"/>
        <xdr:cNvSpPr/>
      </xdr:nvSpPr>
      <xdr:spPr>
        <a:xfrm>
          <a:off x="42862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9244" name="OpenSolver525"/>
        <xdr:cNvSpPr/>
      </xdr:nvSpPr>
      <xdr:spPr>
        <a:xfrm>
          <a:off x="55054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9245" name="OpenSolver 526"/>
        <xdr:cNvCxnSpPr>
          <a:stCxn id="9243" idx="3"/>
          <a:endCxn id="9244" idx="1"/>
        </xdr:cNvCxnSpPr>
      </xdr:nvCxnSpPr>
      <xdr:spPr>
        <a:xfrm>
          <a:off x="4895850" y="26050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9246" name="OpenSolver 527"/>
        <xdr:cNvSpPr/>
      </xdr:nvSpPr>
      <xdr:spPr>
        <a:xfrm>
          <a:off x="5010150" y="2592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247" name="OpenSolver528"/>
        <xdr:cNvSpPr/>
      </xdr:nvSpPr>
      <xdr:spPr>
        <a:xfrm>
          <a:off x="42862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248" name="OpenSolver529"/>
        <xdr:cNvSpPr/>
      </xdr:nvSpPr>
      <xdr:spPr>
        <a:xfrm>
          <a:off x="55054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9249" name="OpenSolver 530"/>
        <xdr:cNvCxnSpPr>
          <a:stCxn id="9247" idx="3"/>
          <a:endCxn id="9248" idx="1"/>
        </xdr:cNvCxnSpPr>
      </xdr:nvCxnSpPr>
      <xdr:spPr>
        <a:xfrm>
          <a:off x="4895850" y="26241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9250" name="OpenSolver 531"/>
        <xdr:cNvSpPr/>
      </xdr:nvSpPr>
      <xdr:spPr>
        <a:xfrm>
          <a:off x="5010150" y="2611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251" name="OpenSolver532"/>
        <xdr:cNvSpPr/>
      </xdr:nvSpPr>
      <xdr:spPr>
        <a:xfrm>
          <a:off x="42862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252" name="OpenSolver533"/>
        <xdr:cNvSpPr/>
      </xdr:nvSpPr>
      <xdr:spPr>
        <a:xfrm>
          <a:off x="55054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253" name="OpenSolver 534"/>
        <xdr:cNvCxnSpPr>
          <a:stCxn id="9251" idx="3"/>
          <a:endCxn id="9252" idx="1"/>
        </xdr:cNvCxnSpPr>
      </xdr:nvCxnSpPr>
      <xdr:spPr>
        <a:xfrm>
          <a:off x="4895850" y="26431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9254" name="OpenSolver 535"/>
        <xdr:cNvSpPr/>
      </xdr:nvSpPr>
      <xdr:spPr>
        <a:xfrm>
          <a:off x="5010150" y="2630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0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1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52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3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54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55" name="OpenSolver 6"/>
        <xdr:cNvCxnSpPr>
          <a:stCxn id="53" idx="3"/>
          <a:endCxn id="54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56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7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8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9" name="OpenSolver 10"/>
        <xdr:cNvCxnSpPr>
          <a:stCxn id="57" idx="3"/>
          <a:endCxn id="58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60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1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2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3" name="OpenSolver 14"/>
        <xdr:cNvCxnSpPr>
          <a:stCxn id="61" idx="3"/>
          <a:endCxn id="62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4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65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6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67" name="OpenSolver 18"/>
        <xdr:cNvCxnSpPr>
          <a:stCxn id="65" idx="3"/>
          <a:endCxn id="66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68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69" name="OpenSolverD5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70" name="OpenSolver21"/>
        <xdr:cNvSpPr/>
      </xdr:nvSpPr>
      <xdr:spPr>
        <a:xfrm>
          <a:off x="2247900" y="781050"/>
          <a:ext cx="8572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71" name="OpenSolver22"/>
        <xdr:cNvSpPr/>
      </xdr:nvSpPr>
      <xdr:spPr>
        <a:xfrm>
          <a:off x="2247900" y="971550"/>
          <a:ext cx="857250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3</xdr:col>
      <xdr:colOff>428625</xdr:colOff>
      <xdr:row>5</xdr:row>
      <xdr:rowOff>0</xdr:rowOff>
    </xdr:from>
    <xdr:to>
      <xdr:col>3</xdr:col>
      <xdr:colOff>428625</xdr:colOff>
      <xdr:row>5</xdr:row>
      <xdr:rowOff>0</xdr:rowOff>
    </xdr:to>
    <xdr:cxnSp macro="">
      <xdr:nvCxnSpPr>
        <xdr:cNvPr id="72" name="OpenSolver 23"/>
        <xdr:cNvCxnSpPr>
          <a:stCxn id="70" idx="2"/>
          <a:endCxn id="71" idx="0"/>
        </xdr:cNvCxnSpPr>
      </xdr:nvCxnSpPr>
      <xdr:spPr>
        <a:xfrm>
          <a:off x="2676525" y="97155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238125</xdr:colOff>
      <xdr:row>4</xdr:row>
      <xdr:rowOff>63500</xdr:rowOff>
    </xdr:from>
    <xdr:to>
      <xdr:col>4</xdr:col>
      <xdr:colOff>104775</xdr:colOff>
      <xdr:row>5</xdr:row>
      <xdr:rowOff>127000</xdr:rowOff>
    </xdr:to>
    <xdr:sp macro="" textlink="">
      <xdr:nvSpPr>
        <xdr:cNvPr id="73" name="OpenSolver 24"/>
        <xdr:cNvSpPr/>
      </xdr:nvSpPr>
      <xdr:spPr>
        <a:xfrm>
          <a:off x="2486025" y="844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7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8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39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0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1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2" name="OpenSolver 6"/>
        <xdr:cNvCxnSpPr>
          <a:stCxn id="40" idx="3"/>
          <a:endCxn id="41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3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4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5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6" name="OpenSolver 10"/>
        <xdr:cNvCxnSpPr>
          <a:stCxn id="44" idx="3"/>
          <a:endCxn id="45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7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8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49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0" name="OpenSolver 14"/>
        <xdr:cNvCxnSpPr>
          <a:stCxn id="48" idx="3"/>
          <a:endCxn id="49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1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52" name="OpenSolver16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53" name="OpenSolver17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98425</xdr:colOff>
      <xdr:row>5</xdr:row>
      <xdr:rowOff>0</xdr:rowOff>
    </xdr:to>
    <xdr:cxnSp macro="">
      <xdr:nvCxnSpPr>
        <xdr:cNvPr id="54" name="OpenSolver 18"/>
        <xdr:cNvCxnSpPr>
          <a:stCxn id="52" idx="2"/>
          <a:endCxn id="53" idx="0"/>
        </xdr:cNvCxnSpPr>
      </xdr:nvCxnSpPr>
      <xdr:spPr>
        <a:xfrm flipH="1">
          <a:off x="2847975" y="781050"/>
          <a:ext cx="1270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168275</xdr:rowOff>
    </xdr:from>
    <xdr:to>
      <xdr:col>4</xdr:col>
      <xdr:colOff>282575</xdr:colOff>
      <xdr:row>5</xdr:row>
      <xdr:rowOff>31750</xdr:rowOff>
    </xdr:to>
    <xdr:sp macro="" textlink="">
      <xdr:nvSpPr>
        <xdr:cNvPr id="55" name="OpenSolver 19"/>
        <xdr:cNvSpPr/>
      </xdr:nvSpPr>
      <xdr:spPr>
        <a:xfrm>
          <a:off x="2663825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8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9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20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21" name="OpenSolverD4:F4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-2≤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5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3" name="OpenSolver6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24" name="OpenSolver 7"/>
        <xdr:cNvCxnSpPr>
          <a:stCxn id="22" idx="3"/>
          <a:endCxn id="23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25" name="OpenSolver 8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6" name="OpenSolver9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7" name="OpenSolver10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8" name="OpenSolver 11"/>
        <xdr:cNvCxnSpPr>
          <a:stCxn id="26" idx="3"/>
          <a:endCxn id="27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9" name="OpenSolver 12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0" name="OpenSolver13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1" name="OpenSolver14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2" name="OpenSolver 15"/>
        <xdr:cNvCxnSpPr>
          <a:stCxn id="30" idx="3"/>
          <a:endCxn id="31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3" name="OpenSolver 16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5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66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67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68" name="OpenSolver4"/>
        <xdr:cNvSpPr/>
      </xdr:nvSpPr>
      <xdr:spPr>
        <a:xfrm>
          <a:off x="2260600" y="793750"/>
          <a:ext cx="134302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69" name="OpenSolver5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4</xdr:col>
      <xdr:colOff>169863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70" name="OpenSolver 6"/>
        <xdr:cNvCxnSpPr>
          <a:stCxn id="68" idx="2"/>
          <a:endCxn id="69" idx="0"/>
        </xdr:cNvCxnSpPr>
      </xdr:nvCxnSpPr>
      <xdr:spPr>
        <a:xfrm>
          <a:off x="2932113" y="971550"/>
          <a:ext cx="73025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15876</xdr:colOff>
      <xdr:row>4</xdr:row>
      <xdr:rowOff>163513</xdr:rowOff>
    </xdr:from>
    <xdr:to>
      <xdr:col>4</xdr:col>
      <xdr:colOff>396876</xdr:colOff>
      <xdr:row>6</xdr:row>
      <xdr:rowOff>26988</xdr:rowOff>
    </xdr:to>
    <xdr:sp macro="" textlink="">
      <xdr:nvSpPr>
        <xdr:cNvPr id="71" name="OpenSolver 7"/>
        <xdr:cNvSpPr/>
      </xdr:nvSpPr>
      <xdr:spPr>
        <a:xfrm>
          <a:off x="2778126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2" name="OpenSolver8"/>
        <xdr:cNvSpPr/>
      </xdr:nvSpPr>
      <xdr:spPr>
        <a:xfrm>
          <a:off x="3800475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3" name="OpenSolver9"/>
        <xdr:cNvSpPr/>
      </xdr:nvSpPr>
      <xdr:spPr>
        <a:xfrm>
          <a:off x="4562475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4" name="OpenSolver 10"/>
        <xdr:cNvCxnSpPr>
          <a:stCxn id="72" idx="3"/>
          <a:endCxn id="73" idx="1"/>
        </xdr:cNvCxnSpPr>
      </xdr:nvCxnSpPr>
      <xdr:spPr>
        <a:xfrm>
          <a:off x="4362450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75" name="OpenSolver 11"/>
        <xdr:cNvSpPr/>
      </xdr:nvSpPr>
      <xdr:spPr>
        <a:xfrm>
          <a:off x="4271963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76" name="OpenSolver12"/>
        <xdr:cNvSpPr/>
      </xdr:nvSpPr>
      <xdr:spPr>
        <a:xfrm>
          <a:off x="3800475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77" name="OpenSolver13"/>
        <xdr:cNvSpPr/>
      </xdr:nvSpPr>
      <xdr:spPr>
        <a:xfrm>
          <a:off x="4562475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8" name="OpenSolver 14"/>
        <xdr:cNvCxnSpPr>
          <a:stCxn id="76" idx="3"/>
          <a:endCxn id="77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79" name="OpenSolver 15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80" name="OpenSolver16"/>
        <xdr:cNvSpPr/>
      </xdr:nvSpPr>
      <xdr:spPr>
        <a:xfrm>
          <a:off x="3800475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81" name="OpenSolver17"/>
        <xdr:cNvSpPr/>
      </xdr:nvSpPr>
      <xdr:spPr>
        <a:xfrm>
          <a:off x="4562475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82" name="OpenSolver 18"/>
        <xdr:cNvCxnSpPr>
          <a:stCxn id="80" idx="3"/>
          <a:endCxn id="81" idx="1"/>
        </xdr:cNvCxnSpPr>
      </xdr:nvCxnSpPr>
      <xdr:spPr>
        <a:xfrm>
          <a:off x="4362450" y="24288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83" name="OpenSolver 19"/>
        <xdr:cNvSpPr/>
      </xdr:nvSpPr>
      <xdr:spPr>
        <a:xfrm>
          <a:off x="4271963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84" name="OpenSolver20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85" name="OpenSolver21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60600" y="793750"/>
          <a:ext cx="134302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4</xdr:col>
      <xdr:colOff>169863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932113" y="971550"/>
          <a:ext cx="73025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15876</xdr:colOff>
      <xdr:row>4</xdr:row>
      <xdr:rowOff>163513</xdr:rowOff>
    </xdr:from>
    <xdr:to>
      <xdr:col>4</xdr:col>
      <xdr:colOff>396876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778126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800475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562475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271963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800475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562475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800475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562475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4288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271963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21" name="OpenSolver20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22" name="OpenSolver21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762125" y="952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762125" y="1333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6</xdr:col>
      <xdr:colOff>118269</xdr:colOff>
      <xdr:row>6</xdr:row>
      <xdr:rowOff>794</xdr:rowOff>
    </xdr:from>
    <xdr:to>
      <xdr:col>6</xdr:col>
      <xdr:colOff>119857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471738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271463</xdr:colOff>
      <xdr:row>5</xdr:row>
      <xdr:rowOff>159544</xdr:rowOff>
    </xdr:from>
    <xdr:to>
      <xdr:col>6</xdr:col>
      <xdr:colOff>309563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376488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247775" y="952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247775" y="1333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5</xdr:col>
      <xdr:colOff>203994</xdr:colOff>
      <xdr:row>6</xdr:row>
      <xdr:rowOff>794</xdr:rowOff>
    </xdr:from>
    <xdr:to>
      <xdr:col>5</xdr:col>
      <xdr:colOff>205582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214563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159544</xdr:rowOff>
    </xdr:from>
    <xdr:to>
      <xdr:col>6</xdr:col>
      <xdr:colOff>52388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119313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810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81952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58152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8150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429101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952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8152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8150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429101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952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8152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8150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429101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67640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-10&lt;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1" name="OpenSolver1"/>
        <xdr:cNvSpPr/>
      </xdr:nvSpPr>
      <xdr:spPr>
        <a:xfrm>
          <a:off x="1219200" y="11430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2" name="OpenSolver2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596900</xdr:colOff>
      <xdr:row>7</xdr:row>
      <xdr:rowOff>114300</xdr:rowOff>
    </xdr:from>
    <xdr:to>
      <xdr:col>7</xdr:col>
      <xdr:colOff>218389</xdr:colOff>
      <xdr:row>8</xdr:row>
      <xdr:rowOff>50800</xdr:rowOff>
    </xdr:to>
    <xdr:sp macro="" textlink="">
      <xdr:nvSpPr>
        <xdr:cNvPr id="23" name="OpenSolver3"/>
        <xdr:cNvSpPr/>
      </xdr:nvSpPr>
      <xdr:spPr>
        <a:xfrm>
          <a:off x="36449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4"/>
        <xdr:cNvSpPr/>
      </xdr:nvSpPr>
      <xdr:spPr>
        <a:xfrm>
          <a:off x="36576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5"/>
        <xdr:cNvSpPr/>
      </xdr:nvSpPr>
      <xdr:spPr>
        <a:xfrm>
          <a:off x="48768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11</xdr:row>
      <xdr:rowOff>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67200" y="20955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63500</xdr:rowOff>
    </xdr:from>
    <xdr:to>
      <xdr:col>8</xdr:col>
      <xdr:colOff>495300</xdr:colOff>
      <xdr:row>11</xdr:row>
      <xdr:rowOff>127000</xdr:rowOff>
    </xdr:to>
    <xdr:sp macro="" textlink="">
      <xdr:nvSpPr>
        <xdr:cNvPr id="27" name="OpenSolver 7"/>
        <xdr:cNvSpPr/>
      </xdr:nvSpPr>
      <xdr:spPr>
        <a:xfrm>
          <a:off x="4381500" y="1968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28" name="OpenSolver8"/>
        <xdr:cNvSpPr/>
      </xdr:nvSpPr>
      <xdr:spPr>
        <a:xfrm>
          <a:off x="3657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29" name="OpenSolver9"/>
        <xdr:cNvSpPr/>
      </xdr:nvSpPr>
      <xdr:spPr>
        <a:xfrm>
          <a:off x="4876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67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1" name="OpenSolver 11"/>
        <xdr:cNvSpPr/>
      </xdr:nvSpPr>
      <xdr:spPr>
        <a:xfrm>
          <a:off x="4381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6576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8768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67200" y="2381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5" name="OpenSolver 15"/>
        <xdr:cNvSpPr/>
      </xdr:nvSpPr>
      <xdr:spPr>
        <a:xfrm>
          <a:off x="4381500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4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5" name="OpenSolver2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6" name="OpenSolver3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7" name="OpenSolver 4"/>
        <xdr:cNvCxnSpPr>
          <a:stCxn id="55" idx="3"/>
          <a:endCxn id="56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58" name="OpenSolver 5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9" name="OpenSolver6"/>
        <xdr:cNvSpPr/>
      </xdr:nvSpPr>
      <xdr:spPr>
        <a:xfrm>
          <a:off x="2895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0" name="OpenSolver7"/>
        <xdr:cNvSpPr/>
      </xdr:nvSpPr>
      <xdr:spPr>
        <a:xfrm>
          <a:off x="3657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1" name="OpenSolver 8"/>
        <xdr:cNvCxnSpPr>
          <a:stCxn id="59" idx="3"/>
          <a:endCxn id="60" idx="1"/>
        </xdr:cNvCxnSpPr>
      </xdr:nvCxnSpPr>
      <xdr:spPr>
        <a:xfrm>
          <a:off x="3457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2" name="OpenSolver 9"/>
        <xdr:cNvSpPr/>
      </xdr:nvSpPr>
      <xdr:spPr>
        <a:xfrm>
          <a:off x="3367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63" name="OpenSolver10"/>
        <xdr:cNvSpPr/>
      </xdr:nvSpPr>
      <xdr:spPr>
        <a:xfrm>
          <a:off x="2895600" y="1552575"/>
          <a:ext cx="561975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4" name="OpenSolver11"/>
        <xdr:cNvSpPr/>
      </xdr:nvSpPr>
      <xdr:spPr>
        <a:xfrm>
          <a:off x="3657600" y="1552575"/>
          <a:ext cx="4000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195263</xdr:rowOff>
    </xdr:from>
    <xdr:to>
      <xdr:col>9</xdr:col>
      <xdr:colOff>0</xdr:colOff>
      <xdr:row>8</xdr:row>
      <xdr:rowOff>195263</xdr:rowOff>
    </xdr:to>
    <xdr:cxnSp macro="">
      <xdr:nvCxnSpPr>
        <xdr:cNvPr id="65" name="OpenSolver 12"/>
        <xdr:cNvCxnSpPr>
          <a:stCxn id="63" idx="3"/>
          <a:endCxn id="64" idx="1"/>
        </xdr:cNvCxnSpPr>
      </xdr:nvCxnSpPr>
      <xdr:spPr>
        <a:xfrm>
          <a:off x="3457575" y="1747838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68263</xdr:rowOff>
    </xdr:from>
    <xdr:to>
      <xdr:col>9</xdr:col>
      <xdr:colOff>90488</xdr:colOff>
      <xdr:row>9</xdr:row>
      <xdr:rowOff>122238</xdr:rowOff>
    </xdr:to>
    <xdr:sp macro="" textlink="">
      <xdr:nvSpPr>
        <xdr:cNvPr id="66" name="OpenSolver 13"/>
        <xdr:cNvSpPr/>
      </xdr:nvSpPr>
      <xdr:spPr>
        <a:xfrm>
          <a:off x="3367088" y="16208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12</xdr:row>
      <xdr:rowOff>0</xdr:rowOff>
    </xdr:from>
    <xdr:to>
      <xdr:col>6</xdr:col>
      <xdr:colOff>0</xdr:colOff>
      <xdr:row>13</xdr:row>
      <xdr:rowOff>0</xdr:rowOff>
    </xdr:to>
    <xdr:sp macro="" textlink="">
      <xdr:nvSpPr>
        <xdr:cNvPr id="122" name="OpenSolver1"/>
        <xdr:cNvSpPr/>
      </xdr:nvSpPr>
      <xdr:spPr>
        <a:xfrm>
          <a:off x="2114550" y="23241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123" name="OpenSolver2"/>
        <xdr:cNvSpPr/>
      </xdr:nvSpPr>
      <xdr:spPr>
        <a:xfrm>
          <a:off x="45529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603250</xdr:colOff>
      <xdr:row>13</xdr:row>
      <xdr:rowOff>114300</xdr:rowOff>
    </xdr:from>
    <xdr:to>
      <xdr:col>7</xdr:col>
      <xdr:colOff>224739</xdr:colOff>
      <xdr:row>14</xdr:row>
      <xdr:rowOff>50800</xdr:rowOff>
    </xdr:to>
    <xdr:sp macro="" textlink="">
      <xdr:nvSpPr>
        <xdr:cNvPr id="124" name="OpenSolver3"/>
        <xdr:cNvSpPr/>
      </xdr:nvSpPr>
      <xdr:spPr>
        <a:xfrm>
          <a:off x="4546600" y="2628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125" name="OpenSolver4"/>
        <xdr:cNvSpPr/>
      </xdr:nvSpPr>
      <xdr:spPr>
        <a:xfrm>
          <a:off x="45529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126" name="OpenSolver5"/>
        <xdr:cNvSpPr/>
      </xdr:nvSpPr>
      <xdr:spPr>
        <a:xfrm>
          <a:off x="57721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127" name="OpenSolver 6"/>
        <xdr:cNvCxnSpPr>
          <a:stCxn id="125" idx="3"/>
          <a:endCxn id="126" idx="1"/>
        </xdr:cNvCxnSpPr>
      </xdr:nvCxnSpPr>
      <xdr:spPr>
        <a:xfrm>
          <a:off x="5162550" y="3752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128" name="OpenSolver 7"/>
        <xdr:cNvSpPr/>
      </xdr:nvSpPr>
      <xdr:spPr>
        <a:xfrm>
          <a:off x="5276850" y="362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29" name="OpenSolver8"/>
        <xdr:cNvSpPr/>
      </xdr:nvSpPr>
      <xdr:spPr>
        <a:xfrm>
          <a:off x="45529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130" name="OpenSolver9"/>
        <xdr:cNvSpPr/>
      </xdr:nvSpPr>
      <xdr:spPr>
        <a:xfrm>
          <a:off x="57721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17</xdr:row>
      <xdr:rowOff>0</xdr:rowOff>
    </xdr:to>
    <xdr:cxnSp macro="">
      <xdr:nvCxnSpPr>
        <xdr:cNvPr id="131" name="OpenSolver 10"/>
        <xdr:cNvCxnSpPr>
          <a:stCxn id="129" idx="3"/>
          <a:endCxn id="130" idx="1"/>
        </xdr:cNvCxnSpPr>
      </xdr:nvCxnSpPr>
      <xdr:spPr>
        <a:xfrm>
          <a:off x="5162550" y="32766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63500</xdr:rowOff>
    </xdr:from>
    <xdr:to>
      <xdr:col>8</xdr:col>
      <xdr:colOff>495300</xdr:colOff>
      <xdr:row>17</xdr:row>
      <xdr:rowOff>127000</xdr:rowOff>
    </xdr:to>
    <xdr:sp macro="" textlink="">
      <xdr:nvSpPr>
        <xdr:cNvPr id="132" name="OpenSolver 11"/>
        <xdr:cNvSpPr/>
      </xdr:nvSpPr>
      <xdr:spPr>
        <a:xfrm>
          <a:off x="52768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133" name="OpenSolver12"/>
        <xdr:cNvSpPr/>
      </xdr:nvSpPr>
      <xdr:spPr>
        <a:xfrm>
          <a:off x="45529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134" name="OpenSolver13"/>
        <xdr:cNvSpPr/>
      </xdr:nvSpPr>
      <xdr:spPr>
        <a:xfrm>
          <a:off x="57721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135" name="OpenSolver 14"/>
        <xdr:cNvCxnSpPr>
          <a:stCxn id="133" idx="3"/>
          <a:endCxn id="134" idx="1"/>
        </xdr:cNvCxnSpPr>
      </xdr:nvCxnSpPr>
      <xdr:spPr>
        <a:xfrm>
          <a:off x="5162550" y="3562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136" name="OpenSolver 15"/>
        <xdr:cNvSpPr/>
      </xdr:nvSpPr>
      <xdr:spPr>
        <a:xfrm>
          <a:off x="5276850" y="343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457450" y="581025"/>
          <a:ext cx="2324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4" name="OpenSolver2"/>
        <xdr:cNvSpPr/>
      </xdr:nvSpPr>
      <xdr:spPr>
        <a:xfrm>
          <a:off x="4781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1098550</xdr:colOff>
      <xdr:row>4</xdr:row>
      <xdr:rowOff>107950</xdr:rowOff>
    </xdr:from>
    <xdr:to>
      <xdr:col>7</xdr:col>
      <xdr:colOff>242885</xdr:colOff>
      <xdr:row>5</xdr:row>
      <xdr:rowOff>44450</xdr:rowOff>
    </xdr:to>
    <xdr:sp macro="" textlink="">
      <xdr:nvSpPr>
        <xdr:cNvPr id="15" name="OpenSolver3"/>
        <xdr:cNvSpPr/>
      </xdr:nvSpPr>
      <xdr:spPr>
        <a:xfrm>
          <a:off x="4775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6" name="OpenSolver4"/>
        <xdr:cNvSpPr/>
      </xdr:nvSpPr>
      <xdr:spPr>
        <a:xfrm>
          <a:off x="47815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5"/>
        <xdr:cNvSpPr/>
      </xdr:nvSpPr>
      <xdr:spPr>
        <a:xfrm>
          <a:off x="60007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391150" y="2038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19" name="OpenSolver 7"/>
        <xdr:cNvSpPr/>
      </xdr:nvSpPr>
      <xdr:spPr>
        <a:xfrm>
          <a:off x="550545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8"/>
        <xdr:cNvSpPr/>
      </xdr:nvSpPr>
      <xdr:spPr>
        <a:xfrm>
          <a:off x="47815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1" name="OpenSolver9"/>
        <xdr:cNvSpPr/>
      </xdr:nvSpPr>
      <xdr:spPr>
        <a:xfrm>
          <a:off x="60007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22" name="OpenSolver 10"/>
        <xdr:cNvCxnSpPr>
          <a:stCxn id="20" idx="3"/>
          <a:endCxn id="21" idx="1"/>
        </xdr:cNvCxnSpPr>
      </xdr:nvCxnSpPr>
      <xdr:spPr>
        <a:xfrm>
          <a:off x="539115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23" name="OpenSolver 11"/>
        <xdr:cNvSpPr/>
      </xdr:nvSpPr>
      <xdr:spPr>
        <a:xfrm>
          <a:off x="55054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10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819275" y="581025"/>
          <a:ext cx="4267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11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608647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593725</xdr:colOff>
      <xdr:row>4</xdr:row>
      <xdr:rowOff>107950</xdr:rowOff>
    </xdr:from>
    <xdr:to>
      <xdr:col>10</xdr:col>
      <xdr:colOff>215214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6070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60864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12</xdr:col>
      <xdr:colOff>0</xdr:colOff>
      <xdr:row>7</xdr:row>
      <xdr:rowOff>0</xdr:rowOff>
    </xdr:from>
    <xdr:to>
      <xdr:col>13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73056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7</xdr:row>
      <xdr:rowOff>95250</xdr:rowOff>
    </xdr:from>
    <xdr:to>
      <xdr:col>12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669607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6</xdr:row>
      <xdr:rowOff>158750</xdr:rowOff>
    </xdr:from>
    <xdr:to>
      <xdr:col>11</xdr:col>
      <xdr:colOff>495300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68103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39" name="OpenSolver8"/>
        <xdr:cNvSpPr/>
      </xdr:nvSpPr>
      <xdr:spPr>
        <a:xfrm>
          <a:off x="60864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12</xdr:col>
      <xdr:colOff>0</xdr:colOff>
      <xdr:row>9</xdr:row>
      <xdr:rowOff>0</xdr:rowOff>
    </xdr:from>
    <xdr:to>
      <xdr:col>13</xdr:col>
      <xdr:colOff>0</xdr:colOff>
      <xdr:row>11</xdr:row>
      <xdr:rowOff>0</xdr:rowOff>
    </xdr:to>
    <xdr:sp macro="" textlink="">
      <xdr:nvSpPr>
        <xdr:cNvPr id="40" name="OpenSolver9"/>
        <xdr:cNvSpPr/>
      </xdr:nvSpPr>
      <xdr:spPr>
        <a:xfrm>
          <a:off x="73056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10</xdr:row>
      <xdr:rowOff>0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669607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9</xdr:row>
      <xdr:rowOff>63500</xdr:rowOff>
    </xdr:from>
    <xdr:to>
      <xdr:col>11</xdr:col>
      <xdr:colOff>495300</xdr:colOff>
      <xdr:row>10</xdr:row>
      <xdr:rowOff>127000</xdr:rowOff>
    </xdr:to>
    <xdr:sp macro="" textlink="">
      <xdr:nvSpPr>
        <xdr:cNvPr id="42" name="OpenSolver 11"/>
        <xdr:cNvSpPr/>
      </xdr:nvSpPr>
      <xdr:spPr>
        <a:xfrm>
          <a:off x="681037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43" name="OpenSolver12"/>
        <xdr:cNvSpPr/>
      </xdr:nvSpPr>
      <xdr:spPr>
        <a:xfrm>
          <a:off x="60864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12</xdr:col>
      <xdr:colOff>0</xdr:colOff>
      <xdr:row>8</xdr:row>
      <xdr:rowOff>0</xdr:rowOff>
    </xdr:from>
    <xdr:to>
      <xdr:col>13</xdr:col>
      <xdr:colOff>0</xdr:colOff>
      <xdr:row>9</xdr:row>
      <xdr:rowOff>0</xdr:rowOff>
    </xdr:to>
    <xdr:sp macro="" textlink="">
      <xdr:nvSpPr>
        <xdr:cNvPr id="44" name="OpenSolver13"/>
        <xdr:cNvSpPr/>
      </xdr:nvSpPr>
      <xdr:spPr>
        <a:xfrm>
          <a:off x="73056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11</xdr:col>
      <xdr:colOff>0</xdr:colOff>
      <xdr:row>8</xdr:row>
      <xdr:rowOff>100013</xdr:rowOff>
    </xdr:from>
    <xdr:to>
      <xdr:col>12</xdr:col>
      <xdr:colOff>0</xdr:colOff>
      <xdr:row>8</xdr:row>
      <xdr:rowOff>100013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669607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</xdr:row>
      <xdr:rowOff>163513</xdr:rowOff>
    </xdr:from>
    <xdr:to>
      <xdr:col>11</xdr:col>
      <xdr:colOff>495300</xdr:colOff>
      <xdr:row>9</xdr:row>
      <xdr:rowOff>26988</xdr:rowOff>
    </xdr:to>
    <xdr:sp macro="" textlink="">
      <xdr:nvSpPr>
        <xdr:cNvPr id="46" name="OpenSolver 15"/>
        <xdr:cNvSpPr/>
      </xdr:nvSpPr>
      <xdr:spPr>
        <a:xfrm>
          <a:off x="68103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838325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366712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600075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3657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20" name="OpenSolver4"/>
        <xdr:cNvSpPr/>
      </xdr:nvSpPr>
      <xdr:spPr>
        <a:xfrm>
          <a:off x="36671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21" name="OpenSolver5"/>
        <xdr:cNvSpPr/>
      </xdr:nvSpPr>
      <xdr:spPr>
        <a:xfrm>
          <a:off x="48863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22" name="OpenSolver 6"/>
        <xdr:cNvCxnSpPr>
          <a:stCxn id="20" idx="3"/>
          <a:endCxn id="21" idx="1"/>
        </xdr:cNvCxnSpPr>
      </xdr:nvCxnSpPr>
      <xdr:spPr>
        <a:xfrm>
          <a:off x="42767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23" name="OpenSolver 7"/>
        <xdr:cNvSpPr/>
      </xdr:nvSpPr>
      <xdr:spPr>
        <a:xfrm>
          <a:off x="43910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24" name="OpenSolver8"/>
        <xdr:cNvSpPr/>
      </xdr:nvSpPr>
      <xdr:spPr>
        <a:xfrm>
          <a:off x="36671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25" name="OpenSolver9"/>
        <xdr:cNvSpPr/>
      </xdr:nvSpPr>
      <xdr:spPr>
        <a:xfrm>
          <a:off x="48863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10</xdr:row>
      <xdr:rowOff>0</xdr:rowOff>
    </xdr:to>
    <xdr:cxnSp macro="">
      <xdr:nvCxnSpPr>
        <xdr:cNvPr id="26" name="OpenSolver 10"/>
        <xdr:cNvCxnSpPr>
          <a:stCxn id="24" idx="3"/>
          <a:endCxn id="25" idx="1"/>
        </xdr:cNvCxnSpPr>
      </xdr:nvCxnSpPr>
      <xdr:spPr>
        <a:xfrm>
          <a:off x="427672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9</xdr:row>
      <xdr:rowOff>63500</xdr:rowOff>
    </xdr:from>
    <xdr:to>
      <xdr:col>7</xdr:col>
      <xdr:colOff>495300</xdr:colOff>
      <xdr:row>10</xdr:row>
      <xdr:rowOff>127000</xdr:rowOff>
    </xdr:to>
    <xdr:sp macro="" textlink="">
      <xdr:nvSpPr>
        <xdr:cNvPr id="27" name="OpenSolver 11"/>
        <xdr:cNvSpPr/>
      </xdr:nvSpPr>
      <xdr:spPr>
        <a:xfrm>
          <a:off x="439102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12"/>
        <xdr:cNvSpPr/>
      </xdr:nvSpPr>
      <xdr:spPr>
        <a:xfrm>
          <a:off x="36671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13"/>
        <xdr:cNvSpPr/>
      </xdr:nvSpPr>
      <xdr:spPr>
        <a:xfrm>
          <a:off x="48863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30" name="OpenSolver 14"/>
        <xdr:cNvCxnSpPr>
          <a:stCxn id="28" idx="3"/>
          <a:endCxn id="29" idx="1"/>
        </xdr:cNvCxnSpPr>
      </xdr:nvCxnSpPr>
      <xdr:spPr>
        <a:xfrm>
          <a:off x="427672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163513</xdr:rowOff>
    </xdr:from>
    <xdr:to>
      <xdr:col>7</xdr:col>
      <xdr:colOff>495300</xdr:colOff>
      <xdr:row>9</xdr:row>
      <xdr:rowOff>26988</xdr:rowOff>
    </xdr:to>
    <xdr:sp macro="" textlink="">
      <xdr:nvSpPr>
        <xdr:cNvPr id="31" name="OpenSolver 15"/>
        <xdr:cNvSpPr/>
      </xdr:nvSpPr>
      <xdr:spPr>
        <a:xfrm>
          <a:off x="439102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41" name="OpenSolver1"/>
        <xdr:cNvSpPr/>
      </xdr:nvSpPr>
      <xdr:spPr>
        <a:xfrm>
          <a:off x="1885950" y="581025"/>
          <a:ext cx="30480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2" name="OpenSolver2"/>
        <xdr:cNvSpPr/>
      </xdr:nvSpPr>
      <xdr:spPr>
        <a:xfrm>
          <a:off x="49339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43" name="OpenSolver3"/>
        <xdr:cNvSpPr/>
      </xdr:nvSpPr>
      <xdr:spPr>
        <a:xfrm>
          <a:off x="4927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4" name="OpenSolver4"/>
        <xdr:cNvSpPr/>
      </xdr:nvSpPr>
      <xdr:spPr>
        <a:xfrm>
          <a:off x="49339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5" name="OpenSolver5"/>
        <xdr:cNvSpPr/>
      </xdr:nvSpPr>
      <xdr:spPr>
        <a:xfrm>
          <a:off x="61531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46" name="OpenSolver 6"/>
        <xdr:cNvCxnSpPr>
          <a:stCxn id="44" idx="3"/>
          <a:endCxn id="45" idx="1"/>
        </xdr:cNvCxnSpPr>
      </xdr:nvCxnSpPr>
      <xdr:spPr>
        <a:xfrm>
          <a:off x="5543550" y="2228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10</xdr:row>
      <xdr:rowOff>158750</xdr:rowOff>
    </xdr:from>
    <xdr:to>
      <xdr:col>9</xdr:col>
      <xdr:colOff>495300</xdr:colOff>
      <xdr:row>12</xdr:row>
      <xdr:rowOff>31750</xdr:rowOff>
    </xdr:to>
    <xdr:sp macro="" textlink="">
      <xdr:nvSpPr>
        <xdr:cNvPr id="47" name="OpenSolver 7"/>
        <xdr:cNvSpPr/>
      </xdr:nvSpPr>
      <xdr:spPr>
        <a:xfrm>
          <a:off x="5657850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8" name="OpenSolver8"/>
        <xdr:cNvSpPr/>
      </xdr:nvSpPr>
      <xdr:spPr>
        <a:xfrm>
          <a:off x="49339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49" name="OpenSolver9"/>
        <xdr:cNvSpPr/>
      </xdr:nvSpPr>
      <xdr:spPr>
        <a:xfrm>
          <a:off x="61531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50" name="OpenSolver 10"/>
        <xdr:cNvCxnSpPr>
          <a:stCxn id="48" idx="3"/>
          <a:endCxn id="49" idx="1"/>
        </xdr:cNvCxnSpPr>
      </xdr:nvCxnSpPr>
      <xdr:spPr>
        <a:xfrm>
          <a:off x="5543550" y="145732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158750</xdr:rowOff>
    </xdr:from>
    <xdr:to>
      <xdr:col>9</xdr:col>
      <xdr:colOff>495300</xdr:colOff>
      <xdr:row>8</xdr:row>
      <xdr:rowOff>31750</xdr:rowOff>
    </xdr:to>
    <xdr:sp macro="" textlink="">
      <xdr:nvSpPr>
        <xdr:cNvPr id="51" name="OpenSolver 11"/>
        <xdr:cNvSpPr/>
      </xdr:nvSpPr>
      <xdr:spPr>
        <a:xfrm>
          <a:off x="56578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2" name="OpenSolver12"/>
        <xdr:cNvSpPr/>
      </xdr:nvSpPr>
      <xdr:spPr>
        <a:xfrm>
          <a:off x="49339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53" name="OpenSolver13"/>
        <xdr:cNvSpPr/>
      </xdr:nvSpPr>
      <xdr:spPr>
        <a:xfrm>
          <a:off x="61531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10</xdr:row>
      <xdr:rowOff>0</xdr:rowOff>
    </xdr:to>
    <xdr:cxnSp macro="">
      <xdr:nvCxnSpPr>
        <xdr:cNvPr id="54" name="OpenSolver 14"/>
        <xdr:cNvCxnSpPr>
          <a:stCxn id="52" idx="3"/>
          <a:endCxn id="53" idx="1"/>
        </xdr:cNvCxnSpPr>
      </xdr:nvCxnSpPr>
      <xdr:spPr>
        <a:xfrm>
          <a:off x="5543550" y="19431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9</xdr:row>
      <xdr:rowOff>63500</xdr:rowOff>
    </xdr:from>
    <xdr:to>
      <xdr:col>9</xdr:col>
      <xdr:colOff>495300</xdr:colOff>
      <xdr:row>10</xdr:row>
      <xdr:rowOff>127000</xdr:rowOff>
    </xdr:to>
    <xdr:sp macro="" textlink="">
      <xdr:nvSpPr>
        <xdr:cNvPr id="55" name="OpenSolver 15"/>
        <xdr:cNvSpPr/>
      </xdr:nvSpPr>
      <xdr:spPr>
        <a:xfrm>
          <a:off x="5657850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6" name="OpenSolver16"/>
        <xdr:cNvSpPr/>
      </xdr:nvSpPr>
      <xdr:spPr>
        <a:xfrm>
          <a:off x="49339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57" name="OpenSolver17"/>
        <xdr:cNvSpPr/>
      </xdr:nvSpPr>
      <xdr:spPr>
        <a:xfrm>
          <a:off x="61531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58" name="OpenSolver 18"/>
        <xdr:cNvCxnSpPr>
          <a:stCxn id="56" idx="3"/>
          <a:endCxn id="57" idx="1"/>
        </xdr:cNvCxnSpPr>
      </xdr:nvCxnSpPr>
      <xdr:spPr>
        <a:xfrm>
          <a:off x="5543550" y="1652588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</xdr:row>
      <xdr:rowOff>163513</xdr:rowOff>
    </xdr:from>
    <xdr:to>
      <xdr:col>9</xdr:col>
      <xdr:colOff>495300</xdr:colOff>
      <xdr:row>9</xdr:row>
      <xdr:rowOff>26988</xdr:rowOff>
    </xdr:to>
    <xdr:sp macro="" textlink="">
      <xdr:nvSpPr>
        <xdr:cNvPr id="59" name="OpenSolver 19"/>
        <xdr:cNvSpPr/>
      </xdr:nvSpPr>
      <xdr:spPr>
        <a:xfrm>
          <a:off x="56578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28800" y="571500"/>
          <a:ext cx="1924050" cy="219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752850" y="9810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4</xdr:row>
      <xdr:rowOff>111125</xdr:rowOff>
    </xdr:from>
    <xdr:to>
      <xdr:col>7</xdr:col>
      <xdr:colOff>212039</xdr:colOff>
      <xdr:row>5</xdr:row>
      <xdr:rowOff>47625</xdr:rowOff>
    </xdr:to>
    <xdr:sp macro="" textlink="">
      <xdr:nvSpPr>
        <xdr:cNvPr id="4" name="OpenSolver3"/>
        <xdr:cNvSpPr/>
      </xdr:nvSpPr>
      <xdr:spPr>
        <a:xfrm>
          <a:off x="3733800" y="901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7528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972050" y="1362075"/>
          <a:ext cx="7334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624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4767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752850" y="1743075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972050" y="1743075"/>
          <a:ext cx="73342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19335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63500</xdr:rowOff>
    </xdr:from>
    <xdr:to>
      <xdr:col>8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476750" y="1806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752850" y="1552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972050" y="1552575"/>
          <a:ext cx="7334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1647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158750</xdr:rowOff>
    </xdr:from>
    <xdr:to>
      <xdr:col>8</xdr:col>
      <xdr:colOff>495300</xdr:colOff>
      <xdr:row>9</xdr:row>
      <xdr:rowOff>31750</xdr:rowOff>
    </xdr:to>
    <xdr:sp macro="" textlink="">
      <xdr:nvSpPr>
        <xdr:cNvPr id="16" name="OpenSolver 15"/>
        <xdr:cNvSpPr/>
      </xdr:nvSpPr>
      <xdr:spPr>
        <a:xfrm>
          <a:off x="4476750" y="1520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3752850" y="212407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4972050" y="2124075"/>
          <a:ext cx="7334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21932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4476750" y="2092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38250" y="581025"/>
          <a:ext cx="1219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3067050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590550</xdr:colOff>
      <xdr:row>2</xdr:row>
      <xdr:rowOff>117475</xdr:rowOff>
    </xdr:from>
    <xdr:to>
      <xdr:col>5</xdr:col>
      <xdr:colOff>212039</xdr:colOff>
      <xdr:row>3</xdr:row>
      <xdr:rowOff>53975</xdr:rowOff>
    </xdr:to>
    <xdr:sp macro="" textlink="">
      <xdr:nvSpPr>
        <xdr:cNvPr id="4" name="OpenSolver3"/>
        <xdr:cNvSpPr/>
      </xdr:nvSpPr>
      <xdr:spPr>
        <a:xfrm>
          <a:off x="30480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24574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38671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67050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8" name="OpenSolver 7"/>
        <xdr:cNvSpPr/>
      </xdr:nvSpPr>
      <xdr:spPr>
        <a:xfrm>
          <a:off x="3276600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981200" y="733425"/>
          <a:ext cx="1266825" cy="1809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248025" y="914400"/>
          <a:ext cx="633413" cy="185738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623887</xdr:colOff>
      <xdr:row>4</xdr:row>
      <xdr:rowOff>104775</xdr:rowOff>
    </xdr:from>
    <xdr:to>
      <xdr:col>5</xdr:col>
      <xdr:colOff>239710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3238500" y="8382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248025" y="1281113"/>
          <a:ext cx="633413" cy="18097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514850" y="1281113"/>
          <a:ext cx="633413" cy="18097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7</xdr:row>
      <xdr:rowOff>90488</xdr:rowOff>
    </xdr:from>
    <xdr:to>
      <xdr:col>7</xdr:col>
      <xdr:colOff>0</xdr:colOff>
      <xdr:row>7</xdr:row>
      <xdr:rowOff>90488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881438" y="1371601"/>
          <a:ext cx="633412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6</xdr:row>
      <xdr:rowOff>144463</xdr:rowOff>
    </xdr:from>
    <xdr:to>
      <xdr:col>6</xdr:col>
      <xdr:colOff>507206</xdr:colOff>
      <xdr:row>8</xdr:row>
      <xdr:rowOff>36513</xdr:rowOff>
    </xdr:to>
    <xdr:sp macro="" textlink="">
      <xdr:nvSpPr>
        <xdr:cNvPr id="8" name="OpenSolver 7"/>
        <xdr:cNvSpPr/>
      </xdr:nvSpPr>
      <xdr:spPr>
        <a:xfrm>
          <a:off x="4007644" y="1244601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248025" y="1462088"/>
          <a:ext cx="633413" cy="185737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514850" y="1462088"/>
          <a:ext cx="633413" cy="185737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92869</xdr:rowOff>
    </xdr:from>
    <xdr:to>
      <xdr:col>7</xdr:col>
      <xdr:colOff>0</xdr:colOff>
      <xdr:row>8</xdr:row>
      <xdr:rowOff>92869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881438" y="1554957"/>
          <a:ext cx="633412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7</xdr:row>
      <xdr:rowOff>146844</xdr:rowOff>
    </xdr:from>
    <xdr:to>
      <xdr:col>6</xdr:col>
      <xdr:colOff>507206</xdr:colOff>
      <xdr:row>9</xdr:row>
      <xdr:rowOff>34132</xdr:rowOff>
    </xdr:to>
    <xdr:sp macro="" textlink="">
      <xdr:nvSpPr>
        <xdr:cNvPr id="12" name="OpenSolver 11"/>
        <xdr:cNvSpPr/>
      </xdr:nvSpPr>
      <xdr:spPr>
        <a:xfrm>
          <a:off x="4007644" y="142795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248025" y="1647825"/>
          <a:ext cx="633413" cy="18097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514850" y="1647825"/>
          <a:ext cx="633413" cy="18097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90488</xdr:rowOff>
    </xdr:from>
    <xdr:to>
      <xdr:col>7</xdr:col>
      <xdr:colOff>0</xdr:colOff>
      <xdr:row>9</xdr:row>
      <xdr:rowOff>90488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881438" y="1738313"/>
          <a:ext cx="633412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8</xdr:row>
      <xdr:rowOff>149225</xdr:rowOff>
    </xdr:from>
    <xdr:to>
      <xdr:col>6</xdr:col>
      <xdr:colOff>507206</xdr:colOff>
      <xdr:row>10</xdr:row>
      <xdr:rowOff>36513</xdr:rowOff>
    </xdr:to>
    <xdr:sp macro="" textlink="">
      <xdr:nvSpPr>
        <xdr:cNvPr id="16" name="OpenSolver 15"/>
        <xdr:cNvSpPr/>
      </xdr:nvSpPr>
      <xdr:spPr>
        <a:xfrm>
          <a:off x="4007644" y="16113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10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248025" y="1828800"/>
          <a:ext cx="633413" cy="18097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514850" y="1828800"/>
          <a:ext cx="633413" cy="18097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10</xdr:row>
      <xdr:rowOff>90488</xdr:rowOff>
    </xdr:from>
    <xdr:to>
      <xdr:col>7</xdr:col>
      <xdr:colOff>0</xdr:colOff>
      <xdr:row>10</xdr:row>
      <xdr:rowOff>90488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881438" y="1919288"/>
          <a:ext cx="633412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9</xdr:row>
      <xdr:rowOff>144463</xdr:rowOff>
    </xdr:from>
    <xdr:to>
      <xdr:col>6</xdr:col>
      <xdr:colOff>507206</xdr:colOff>
      <xdr:row>11</xdr:row>
      <xdr:rowOff>36513</xdr:rowOff>
    </xdr:to>
    <xdr:sp macro="" textlink="">
      <xdr:nvSpPr>
        <xdr:cNvPr id="20" name="OpenSolver 19"/>
        <xdr:cNvSpPr/>
      </xdr:nvSpPr>
      <xdr:spPr>
        <a:xfrm>
          <a:off x="4007644" y="1792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21" name="OpenSolver20"/>
        <xdr:cNvSpPr/>
      </xdr:nvSpPr>
      <xdr:spPr>
        <a:xfrm>
          <a:off x="3248025" y="2009775"/>
          <a:ext cx="633413" cy="1104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2" name="OpenSolver21"/>
        <xdr:cNvSpPr/>
      </xdr:nvSpPr>
      <xdr:spPr>
        <a:xfrm>
          <a:off x="4514850" y="2009775"/>
          <a:ext cx="633413" cy="1104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9525</xdr:rowOff>
    </xdr:from>
    <xdr:to>
      <xdr:col>7</xdr:col>
      <xdr:colOff>0</xdr:colOff>
      <xdr:row>14</xdr:row>
      <xdr:rowOff>9525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3881438" y="2562225"/>
          <a:ext cx="633412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13</xdr:row>
      <xdr:rowOff>63500</xdr:rowOff>
    </xdr:from>
    <xdr:to>
      <xdr:col>6</xdr:col>
      <xdr:colOff>507206</xdr:colOff>
      <xdr:row>14</xdr:row>
      <xdr:rowOff>136525</xdr:rowOff>
    </xdr:to>
    <xdr:sp macro="" textlink="">
      <xdr:nvSpPr>
        <xdr:cNvPr id="24" name="OpenSolver 23"/>
        <xdr:cNvSpPr/>
      </xdr:nvSpPr>
      <xdr:spPr>
        <a:xfrm>
          <a:off x="4007644" y="24352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17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25" name="OpenSolver24"/>
        <xdr:cNvSpPr/>
      </xdr:nvSpPr>
      <xdr:spPr>
        <a:xfrm>
          <a:off x="3248025" y="3114675"/>
          <a:ext cx="633413" cy="18097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6" name="OpenSolver25"/>
        <xdr:cNvSpPr/>
      </xdr:nvSpPr>
      <xdr:spPr>
        <a:xfrm>
          <a:off x="4514850" y="3114675"/>
          <a:ext cx="633413" cy="18097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17</xdr:row>
      <xdr:rowOff>90488</xdr:rowOff>
    </xdr:from>
    <xdr:to>
      <xdr:col>7</xdr:col>
      <xdr:colOff>0</xdr:colOff>
      <xdr:row>17</xdr:row>
      <xdr:rowOff>90488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3881438" y="3205163"/>
          <a:ext cx="633412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16</xdr:row>
      <xdr:rowOff>144463</xdr:rowOff>
    </xdr:from>
    <xdr:to>
      <xdr:col>6</xdr:col>
      <xdr:colOff>507206</xdr:colOff>
      <xdr:row>18</xdr:row>
      <xdr:rowOff>36513</xdr:rowOff>
    </xdr:to>
    <xdr:sp macro="" textlink="">
      <xdr:nvSpPr>
        <xdr:cNvPr id="28" name="OpenSolver 27"/>
        <xdr:cNvSpPr/>
      </xdr:nvSpPr>
      <xdr:spPr>
        <a:xfrm>
          <a:off x="4007644" y="30781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9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0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1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2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3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14" name="OpenSolver 6"/>
        <xdr:cNvCxnSpPr>
          <a:stCxn id="12" idx="3"/>
          <a:endCxn id="13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15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63500</xdr:colOff>
      <xdr:row>4</xdr:row>
      <xdr:rowOff>25400</xdr:rowOff>
    </xdr:from>
    <xdr:to>
      <xdr:col>2</xdr:col>
      <xdr:colOff>228600</xdr:colOff>
      <xdr:row>25</xdr:row>
      <xdr:rowOff>15875</xdr:rowOff>
    </xdr:to>
    <xdr:sp macro="" textlink="">
      <xdr:nvSpPr>
        <xdr:cNvPr id="105473" name="ScrollBar1" hidden="1">
          <a:extLst>
            <a:ext uri="{63B3BB69-23CF-44E3-9099-C40C66FF867C}">
              <a14:compatExt xmlns:a14="http://schemas.microsoft.com/office/drawing/2010/main" spid="_x0000_s10547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101600</xdr:colOff>
      <xdr:row>4</xdr:row>
      <xdr:rowOff>25400</xdr:rowOff>
    </xdr:from>
    <xdr:to>
      <xdr:col>3</xdr:col>
      <xdr:colOff>279400</xdr:colOff>
      <xdr:row>25</xdr:row>
      <xdr:rowOff>15875</xdr:rowOff>
    </xdr:to>
    <xdr:sp macro="" textlink="">
      <xdr:nvSpPr>
        <xdr:cNvPr id="105474" name="ScrollBar2" hidden="1">
          <a:extLst>
            <a:ext uri="{63B3BB69-23CF-44E3-9099-C40C66FF867C}">
              <a14:compatExt xmlns:a14="http://schemas.microsoft.com/office/drawing/2010/main" spid="_x0000_s10547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3" name="OpenSolver1"/>
        <xdr:cNvSpPr/>
      </xdr:nvSpPr>
      <xdr:spPr>
        <a:xfrm>
          <a:off x="9420225" y="1752600"/>
          <a:ext cx="609600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4" name="OpenSolver2"/>
        <xdr:cNvSpPr/>
      </xdr:nvSpPr>
      <xdr:spPr>
        <a:xfrm>
          <a:off x="9420225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600075</xdr:colOff>
      <xdr:row>11</xdr:row>
      <xdr:rowOff>114300</xdr:rowOff>
    </xdr:from>
    <xdr:to>
      <xdr:col>18</xdr:col>
      <xdr:colOff>221564</xdr:colOff>
      <xdr:row>12</xdr:row>
      <xdr:rowOff>50800</xdr:rowOff>
    </xdr:to>
    <xdr:sp macro="" textlink="">
      <xdr:nvSpPr>
        <xdr:cNvPr id="16" name="OpenSolver3"/>
        <xdr:cNvSpPr/>
      </xdr:nvSpPr>
      <xdr:spPr>
        <a:xfrm>
          <a:off x="9410700" y="2247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17" name="OpenSolver4"/>
        <xdr:cNvSpPr/>
      </xdr:nvSpPr>
      <xdr:spPr>
        <a:xfrm>
          <a:off x="9432925" y="1765300"/>
          <a:ext cx="609600" cy="368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18" name="OpenSolver5"/>
        <xdr:cNvSpPr/>
      </xdr:nvSpPr>
      <xdr:spPr>
        <a:xfrm>
          <a:off x="106394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10</xdr:row>
      <xdr:rowOff>0</xdr:rowOff>
    </xdr:from>
    <xdr:to>
      <xdr:col>20</xdr:col>
      <xdr:colOff>0</xdr:colOff>
      <xdr:row>10</xdr:row>
      <xdr:rowOff>6350</xdr:rowOff>
    </xdr:to>
    <xdr:cxnSp macro="">
      <xdr:nvCxnSpPr>
        <xdr:cNvPr id="19" name="OpenSolver 6"/>
        <xdr:cNvCxnSpPr>
          <a:stCxn id="17" idx="3"/>
          <a:endCxn id="18" idx="1"/>
        </xdr:cNvCxnSpPr>
      </xdr:nvCxnSpPr>
      <xdr:spPr>
        <a:xfrm flipV="1">
          <a:off x="10042525" y="1943100"/>
          <a:ext cx="59690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120650</xdr:colOff>
      <xdr:row>9</xdr:row>
      <xdr:rowOff>66675</xdr:rowOff>
    </xdr:from>
    <xdr:to>
      <xdr:col>19</xdr:col>
      <xdr:colOff>501650</xdr:colOff>
      <xdr:row>10</xdr:row>
      <xdr:rowOff>130175</xdr:rowOff>
    </xdr:to>
    <xdr:sp macro="" textlink="">
      <xdr:nvSpPr>
        <xdr:cNvPr id="20" name="OpenSolver 7"/>
        <xdr:cNvSpPr/>
      </xdr:nvSpPr>
      <xdr:spPr>
        <a:xfrm>
          <a:off x="10150475" y="1819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21" name="OpenSolver8"/>
        <xdr:cNvSpPr/>
      </xdr:nvSpPr>
      <xdr:spPr>
        <a:xfrm>
          <a:off x="82010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22" name="OpenSolver9"/>
        <xdr:cNvSpPr/>
      </xdr:nvSpPr>
      <xdr:spPr>
        <a:xfrm>
          <a:off x="9445625" y="1778000"/>
          <a:ext cx="609600" cy="3556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10</xdr:row>
      <xdr:rowOff>0</xdr:rowOff>
    </xdr:from>
    <xdr:to>
      <xdr:col>18</xdr:col>
      <xdr:colOff>25400</xdr:colOff>
      <xdr:row>10</xdr:row>
      <xdr:rowOff>12700</xdr:rowOff>
    </xdr:to>
    <xdr:cxnSp macro="">
      <xdr:nvCxnSpPr>
        <xdr:cNvPr id="23" name="OpenSolver 10"/>
        <xdr:cNvCxnSpPr>
          <a:stCxn id="21" idx="3"/>
          <a:endCxn id="22" idx="1"/>
        </xdr:cNvCxnSpPr>
      </xdr:nvCxnSpPr>
      <xdr:spPr>
        <a:xfrm>
          <a:off x="8810625" y="1943100"/>
          <a:ext cx="63500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127000</xdr:colOff>
      <xdr:row>9</xdr:row>
      <xdr:rowOff>69850</xdr:rowOff>
    </xdr:from>
    <xdr:to>
      <xdr:col>17</xdr:col>
      <xdr:colOff>508000</xdr:colOff>
      <xdr:row>10</xdr:row>
      <xdr:rowOff>133350</xdr:rowOff>
    </xdr:to>
    <xdr:sp macro="" textlink="">
      <xdr:nvSpPr>
        <xdr:cNvPr id="24" name="OpenSolver 11"/>
        <xdr:cNvSpPr/>
      </xdr:nvSpPr>
      <xdr:spPr>
        <a:xfrm>
          <a:off x="8937625" y="1822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2</xdr:col>
      <xdr:colOff>47625</xdr:colOff>
      <xdr:row>4</xdr:row>
      <xdr:rowOff>19050</xdr:rowOff>
    </xdr:from>
    <xdr:to>
      <xdr:col>2</xdr:col>
      <xdr:colOff>171450</xdr:colOff>
      <xdr:row>25</xdr:row>
      <xdr:rowOff>9525</xdr:rowOff>
    </xdr:to>
    <xdr:pic>
      <xdr:nvPicPr>
        <xdr:cNvPr id="5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800100"/>
          <a:ext cx="123825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76200</xdr:colOff>
      <xdr:row>4</xdr:row>
      <xdr:rowOff>19050</xdr:rowOff>
    </xdr:from>
    <xdr:to>
      <xdr:col>3</xdr:col>
      <xdr:colOff>209550</xdr:colOff>
      <xdr:row>25</xdr:row>
      <xdr:rowOff>9525</xdr:rowOff>
    </xdr:to>
    <xdr:pic>
      <xdr:nvPicPr>
        <xdr:cNvPr id="6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00100"/>
          <a:ext cx="133350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26" name="OpenSolver1"/>
        <xdr:cNvSpPr/>
      </xdr:nvSpPr>
      <xdr:spPr>
        <a:xfrm>
          <a:off x="1790700" y="2524125"/>
          <a:ext cx="295275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27" name="OpenSolver2"/>
        <xdr:cNvSpPr/>
      </xdr:nvSpPr>
      <xdr:spPr>
        <a:xfrm>
          <a:off x="4743450" y="4048125"/>
          <a:ext cx="5905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28" name="OpenSolver3"/>
        <xdr:cNvSpPr/>
      </xdr:nvSpPr>
      <xdr:spPr>
        <a:xfrm>
          <a:off x="1790700" y="36671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577850</xdr:colOff>
      <xdr:row>18</xdr:row>
      <xdr:rowOff>117475</xdr:rowOff>
    </xdr:from>
    <xdr:to>
      <xdr:col>3</xdr:col>
      <xdr:colOff>218389</xdr:colOff>
      <xdr:row>19</xdr:row>
      <xdr:rowOff>53975</xdr:rowOff>
    </xdr:to>
    <xdr:sp macro="" textlink="">
      <xdr:nvSpPr>
        <xdr:cNvPr id="29" name="OpenSolver4"/>
        <xdr:cNvSpPr/>
      </xdr:nvSpPr>
      <xdr:spPr>
        <a:xfrm>
          <a:off x="1778000" y="3594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30" name="OpenSolver5"/>
        <xdr:cNvSpPr/>
      </xdr:nvSpPr>
      <xdr:spPr>
        <a:xfrm>
          <a:off x="4743450" y="2524125"/>
          <a:ext cx="5905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31" name="OpenSolver6"/>
        <xdr:cNvSpPr/>
      </xdr:nvSpPr>
      <xdr:spPr>
        <a:xfrm>
          <a:off x="5334000" y="2524125"/>
          <a:ext cx="5905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2" name="OpenSolver 7"/>
        <xdr:cNvCxnSpPr>
          <a:stCxn id="30" idx="3"/>
          <a:endCxn id="31" idx="1"/>
        </xdr:cNvCxnSpPr>
      </xdr:nvCxnSpPr>
      <xdr:spPr>
        <a:xfrm>
          <a:off x="5334000" y="2809875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400050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33" name="OpenSolver 8"/>
        <xdr:cNvSpPr/>
      </xdr:nvSpPr>
      <xdr:spPr>
        <a:xfrm>
          <a:off x="514350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34" name="OpenSolver9"/>
        <xdr:cNvSpPr/>
      </xdr:nvSpPr>
      <xdr:spPr>
        <a:xfrm>
          <a:off x="1790700" y="3095625"/>
          <a:ext cx="29527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35" name="OpenSolver10"/>
        <xdr:cNvSpPr/>
      </xdr:nvSpPr>
      <xdr:spPr>
        <a:xfrm>
          <a:off x="1790700" y="3286125"/>
          <a:ext cx="29527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295275</xdr:colOff>
      <xdr:row>17</xdr:row>
      <xdr:rowOff>0</xdr:rowOff>
    </xdr:from>
    <xdr:to>
      <xdr:col>5</xdr:col>
      <xdr:colOff>295275</xdr:colOff>
      <xdr:row>17</xdr:row>
      <xdr:rowOff>0</xdr:rowOff>
    </xdr:to>
    <xdr:cxnSp macro="">
      <xdr:nvCxnSpPr>
        <xdr:cNvPr id="36" name="OpenSolver 11"/>
        <xdr:cNvCxnSpPr>
          <a:stCxn id="34" idx="2"/>
          <a:endCxn id="35" idx="0"/>
        </xdr:cNvCxnSpPr>
      </xdr:nvCxnSpPr>
      <xdr:spPr>
        <a:xfrm>
          <a:off x="3267075" y="3286125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104775</xdr:colOff>
      <xdr:row>16</xdr:row>
      <xdr:rowOff>63500</xdr:rowOff>
    </xdr:from>
    <xdr:to>
      <xdr:col>5</xdr:col>
      <xdr:colOff>485775</xdr:colOff>
      <xdr:row>17</xdr:row>
      <xdr:rowOff>127000</xdr:rowOff>
    </xdr:to>
    <xdr:sp macro="" textlink="">
      <xdr:nvSpPr>
        <xdr:cNvPr id="37" name="OpenSolver 12"/>
        <xdr:cNvSpPr/>
      </xdr:nvSpPr>
      <xdr:spPr>
        <a:xfrm>
          <a:off x="3076575" y="31591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15" name="OpenSolver1"/>
        <xdr:cNvSpPr/>
      </xdr:nvSpPr>
      <xdr:spPr>
        <a:xfrm>
          <a:off x="1790700" y="2524125"/>
          <a:ext cx="295275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6" name="OpenSolver2"/>
        <xdr:cNvSpPr/>
      </xdr:nvSpPr>
      <xdr:spPr>
        <a:xfrm>
          <a:off x="5334000" y="3857625"/>
          <a:ext cx="5905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7" name="OpenSolver3"/>
        <xdr:cNvSpPr/>
      </xdr:nvSpPr>
      <xdr:spPr>
        <a:xfrm>
          <a:off x="1790700" y="36671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577850</xdr:colOff>
      <xdr:row>18</xdr:row>
      <xdr:rowOff>117475</xdr:rowOff>
    </xdr:from>
    <xdr:to>
      <xdr:col>3</xdr:col>
      <xdr:colOff>218389</xdr:colOff>
      <xdr:row>19</xdr:row>
      <xdr:rowOff>53975</xdr:rowOff>
    </xdr:to>
    <xdr:sp macro="" textlink="">
      <xdr:nvSpPr>
        <xdr:cNvPr id="18" name="OpenSolver4"/>
        <xdr:cNvSpPr/>
      </xdr:nvSpPr>
      <xdr:spPr>
        <a:xfrm>
          <a:off x="1778000" y="3594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19" name="OpenSolver5"/>
        <xdr:cNvSpPr/>
      </xdr:nvSpPr>
      <xdr:spPr>
        <a:xfrm>
          <a:off x="4743450" y="2524125"/>
          <a:ext cx="5905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20" name="OpenSolver6"/>
        <xdr:cNvSpPr/>
      </xdr:nvSpPr>
      <xdr:spPr>
        <a:xfrm>
          <a:off x="5334000" y="2524125"/>
          <a:ext cx="5905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21" name="OpenSolver 7"/>
        <xdr:cNvCxnSpPr>
          <a:stCxn id="19" idx="3"/>
          <a:endCxn id="20" idx="1"/>
        </xdr:cNvCxnSpPr>
      </xdr:nvCxnSpPr>
      <xdr:spPr>
        <a:xfrm>
          <a:off x="5334000" y="2809875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400050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22" name="OpenSolver 8"/>
        <xdr:cNvSpPr/>
      </xdr:nvSpPr>
      <xdr:spPr>
        <a:xfrm>
          <a:off x="514350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3" name="OpenSolver9"/>
        <xdr:cNvSpPr/>
      </xdr:nvSpPr>
      <xdr:spPr>
        <a:xfrm>
          <a:off x="1790700" y="3095625"/>
          <a:ext cx="29527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4" name="OpenSolver10"/>
        <xdr:cNvSpPr/>
      </xdr:nvSpPr>
      <xdr:spPr>
        <a:xfrm>
          <a:off x="1790700" y="3286125"/>
          <a:ext cx="29527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295275</xdr:colOff>
      <xdr:row>17</xdr:row>
      <xdr:rowOff>0</xdr:rowOff>
    </xdr:from>
    <xdr:to>
      <xdr:col>5</xdr:col>
      <xdr:colOff>295275</xdr:colOff>
      <xdr:row>17</xdr:row>
      <xdr:rowOff>0</xdr:rowOff>
    </xdr:to>
    <xdr:cxnSp macro="">
      <xdr:nvCxnSpPr>
        <xdr:cNvPr id="25" name="OpenSolver 11"/>
        <xdr:cNvCxnSpPr>
          <a:stCxn id="23" idx="2"/>
          <a:endCxn id="24" idx="0"/>
        </xdr:cNvCxnSpPr>
      </xdr:nvCxnSpPr>
      <xdr:spPr>
        <a:xfrm>
          <a:off x="3267075" y="3286125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104775</xdr:colOff>
      <xdr:row>16</xdr:row>
      <xdr:rowOff>63500</xdr:rowOff>
    </xdr:from>
    <xdr:to>
      <xdr:col>5</xdr:col>
      <xdr:colOff>485775</xdr:colOff>
      <xdr:row>17</xdr:row>
      <xdr:rowOff>127000</xdr:rowOff>
    </xdr:to>
    <xdr:sp macro="" textlink="">
      <xdr:nvSpPr>
        <xdr:cNvPr id="26" name="OpenSolver 12"/>
        <xdr:cNvSpPr/>
      </xdr:nvSpPr>
      <xdr:spPr>
        <a:xfrm>
          <a:off x="3076575" y="31591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13</xdr:row>
      <xdr:rowOff>12700</xdr:rowOff>
    </xdr:from>
    <xdr:to>
      <xdr:col>8</xdr:col>
      <xdr:colOff>12700</xdr:colOff>
      <xdr:row>16</xdr:row>
      <xdr:rowOff>0</xdr:rowOff>
    </xdr:to>
    <xdr:sp macro="" textlink="">
      <xdr:nvSpPr>
        <xdr:cNvPr id="27" name="OpenSolverD14:H16"/>
        <xdr:cNvSpPr/>
      </xdr:nvSpPr>
      <xdr:spPr>
        <a:xfrm>
          <a:off x="1803400" y="2536825"/>
          <a:ext cx="2952750" cy="558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0≤</a:t>
          </a: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317500</xdr:colOff>
      <xdr:row>1</xdr:row>
      <xdr:rowOff>101600</xdr:rowOff>
    </xdr:from>
    <xdr:to>
      <xdr:col>11</xdr:col>
      <xdr:colOff>482600</xdr:colOff>
      <xdr:row>15</xdr:row>
      <xdr:rowOff>130175</xdr:rowOff>
    </xdr:to>
    <xdr:sp macro="" textlink="">
      <xdr:nvSpPr>
        <xdr:cNvPr id="111617" name="ScrollBar1" hidden="1">
          <a:extLst>
            <a:ext uri="{63B3BB69-23CF-44E3-9099-C40C66FF867C}">
              <a14:compatExt xmlns:a14="http://schemas.microsoft.com/office/drawing/2010/main" spid="_x0000_s11161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520700</xdr:colOff>
      <xdr:row>1</xdr:row>
      <xdr:rowOff>101600</xdr:rowOff>
    </xdr:from>
    <xdr:to>
      <xdr:col>12</xdr:col>
      <xdr:colOff>88900</xdr:colOff>
      <xdr:row>15</xdr:row>
      <xdr:rowOff>130175</xdr:rowOff>
    </xdr:to>
    <xdr:sp macro="" textlink="">
      <xdr:nvSpPr>
        <xdr:cNvPr id="111618" name="ScrollBar2" hidden="1">
          <a:extLst>
            <a:ext uri="{63B3BB69-23CF-44E3-9099-C40C66FF867C}">
              <a14:compatExt xmlns:a14="http://schemas.microsoft.com/office/drawing/2010/main" spid="_x0000_s11161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127000</xdr:colOff>
      <xdr:row>1</xdr:row>
      <xdr:rowOff>101600</xdr:rowOff>
    </xdr:from>
    <xdr:to>
      <xdr:col>12</xdr:col>
      <xdr:colOff>292100</xdr:colOff>
      <xdr:row>15</xdr:row>
      <xdr:rowOff>130175</xdr:rowOff>
    </xdr:to>
    <xdr:sp macro="" textlink="">
      <xdr:nvSpPr>
        <xdr:cNvPr id="111619" name="ScrollBar3" hidden="1">
          <a:extLst>
            <a:ext uri="{63B3BB69-23CF-44E3-9099-C40C66FF867C}">
              <a14:compatExt xmlns:a14="http://schemas.microsoft.com/office/drawing/2010/main" spid="_x0000_s11161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342900</xdr:colOff>
      <xdr:row>1</xdr:row>
      <xdr:rowOff>101600</xdr:rowOff>
    </xdr:from>
    <xdr:to>
      <xdr:col>12</xdr:col>
      <xdr:colOff>520700</xdr:colOff>
      <xdr:row>15</xdr:row>
      <xdr:rowOff>130175</xdr:rowOff>
    </xdr:to>
    <xdr:sp macro="" textlink="">
      <xdr:nvSpPr>
        <xdr:cNvPr id="111620" name="ScrollBar4" hidden="1">
          <a:extLst>
            <a:ext uri="{63B3BB69-23CF-44E3-9099-C40C66FF867C}">
              <a14:compatExt xmlns:a14="http://schemas.microsoft.com/office/drawing/2010/main" spid="_x0000_s11162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238125</xdr:colOff>
      <xdr:row>1</xdr:row>
      <xdr:rowOff>76200</xdr:rowOff>
    </xdr:from>
    <xdr:to>
      <xdr:col>11</xdr:col>
      <xdr:colOff>361950</xdr:colOff>
      <xdr:row>15</xdr:row>
      <xdr:rowOff>95250</xdr:rowOff>
    </xdr:to>
    <xdr:pic>
      <xdr:nvPicPr>
        <xdr:cNvPr id="3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390525</xdr:colOff>
      <xdr:row>1</xdr:row>
      <xdr:rowOff>76200</xdr:rowOff>
    </xdr:from>
    <xdr:to>
      <xdr:col>12</xdr:col>
      <xdr:colOff>66675</xdr:colOff>
      <xdr:row>15</xdr:row>
      <xdr:rowOff>95250</xdr:rowOff>
    </xdr:to>
    <xdr:pic>
      <xdr:nvPicPr>
        <xdr:cNvPr id="4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266700"/>
          <a:ext cx="26670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95250</xdr:colOff>
      <xdr:row>1</xdr:row>
      <xdr:rowOff>76200</xdr:rowOff>
    </xdr:from>
    <xdr:to>
      <xdr:col>12</xdr:col>
      <xdr:colOff>219075</xdr:colOff>
      <xdr:row>15</xdr:row>
      <xdr:rowOff>95250</xdr:rowOff>
    </xdr:to>
    <xdr:pic>
      <xdr:nvPicPr>
        <xdr:cNvPr id="5" name="ScrollBar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257175</xdr:colOff>
      <xdr:row>1</xdr:row>
      <xdr:rowOff>76200</xdr:rowOff>
    </xdr:from>
    <xdr:to>
      <xdr:col>12</xdr:col>
      <xdr:colOff>390525</xdr:colOff>
      <xdr:row>15</xdr:row>
      <xdr:rowOff>95250</xdr:rowOff>
    </xdr:to>
    <xdr:pic>
      <xdr:nvPicPr>
        <xdr:cNvPr id="6" name="ScrollBar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0" y="266700"/>
          <a:ext cx="13335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67050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809750" y="190500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638550" y="581025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6322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48150" y="1071563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163513</xdr:rowOff>
    </xdr:from>
    <xdr:to>
      <xdr:col>7</xdr:col>
      <xdr:colOff>495300</xdr:colOff>
      <xdr:row>6</xdr:row>
      <xdr:rowOff>26988</xdr:rowOff>
    </xdr:to>
    <xdr:sp macro="" textlink="">
      <xdr:nvSpPr>
        <xdr:cNvPr id="27" name="OpenSolver 7"/>
        <xdr:cNvSpPr/>
      </xdr:nvSpPr>
      <xdr:spPr>
        <a:xfrm>
          <a:off x="4362450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36385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48577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48150" y="155733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68263</xdr:rowOff>
    </xdr:from>
    <xdr:to>
      <xdr:col>7</xdr:col>
      <xdr:colOff>495300</xdr:colOff>
      <xdr:row>8</xdr:row>
      <xdr:rowOff>131763</xdr:rowOff>
    </xdr:to>
    <xdr:sp macro="" textlink="">
      <xdr:nvSpPr>
        <xdr:cNvPr id="31" name="OpenSolver 11"/>
        <xdr:cNvSpPr/>
      </xdr:nvSpPr>
      <xdr:spPr>
        <a:xfrm>
          <a:off x="4362450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32" name="OpenSolver12"/>
        <xdr:cNvSpPr/>
      </xdr:nvSpPr>
      <xdr:spPr>
        <a:xfrm>
          <a:off x="36385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3" name="OpenSolver13"/>
        <xdr:cNvSpPr/>
      </xdr:nvSpPr>
      <xdr:spPr>
        <a:xfrm>
          <a:off x="48577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48150" y="1266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168275</xdr:rowOff>
    </xdr:from>
    <xdr:to>
      <xdr:col>7</xdr:col>
      <xdr:colOff>495300</xdr:colOff>
      <xdr:row>7</xdr:row>
      <xdr:rowOff>31750</xdr:rowOff>
    </xdr:to>
    <xdr:sp macro="" textlink="">
      <xdr:nvSpPr>
        <xdr:cNvPr id="35" name="OpenSolver 15"/>
        <xdr:cNvSpPr/>
      </xdr:nvSpPr>
      <xdr:spPr>
        <a:xfrm>
          <a:off x="4362450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72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73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74" name="OpenSolver3"/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75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76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77" name="OpenSolver 6"/>
        <xdr:cNvCxnSpPr>
          <a:stCxn id="75" idx="3"/>
          <a:endCxn id="76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78" name="OpenSolver 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79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80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81" name="OpenSolver 10"/>
        <xdr:cNvCxnSpPr>
          <a:stCxn id="79" idx="3"/>
          <a:endCxn id="80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82" name="OpenSolver 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83" name="OpenSolver12"/>
        <xdr:cNvSpPr/>
      </xdr:nvSpPr>
      <xdr:spPr>
        <a:xfrm>
          <a:off x="35623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84" name="OpenSolver13"/>
        <xdr:cNvSpPr/>
      </xdr:nvSpPr>
      <xdr:spPr>
        <a:xfrm>
          <a:off x="47434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85" name="OpenSolver 14"/>
        <xdr:cNvCxnSpPr>
          <a:stCxn id="83" idx="3"/>
          <a:endCxn id="84" idx="1"/>
        </xdr:cNvCxnSpPr>
      </xdr:nvCxnSpPr>
      <xdr:spPr>
        <a:xfrm>
          <a:off x="4152900" y="1457325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86" name="OpenSolver 15"/>
        <xdr:cNvSpPr/>
      </xdr:nvSpPr>
      <xdr:spPr>
        <a:xfrm>
          <a:off x="42576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87" name="OpenSolver16"/>
        <xdr:cNvSpPr/>
      </xdr:nvSpPr>
      <xdr:spPr>
        <a:xfrm>
          <a:off x="35623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88" name="OpenSolver17"/>
        <xdr:cNvSpPr/>
      </xdr:nvSpPr>
      <xdr:spPr>
        <a:xfrm>
          <a:off x="47434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89" name="OpenSolver 18"/>
        <xdr:cNvCxnSpPr>
          <a:stCxn id="87" idx="3"/>
          <a:endCxn id="88" idx="1"/>
        </xdr:cNvCxnSpPr>
      </xdr:nvCxnSpPr>
      <xdr:spPr>
        <a:xfrm>
          <a:off x="4152900" y="1652588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90" name="OpenSolver 19"/>
        <xdr:cNvSpPr/>
      </xdr:nvSpPr>
      <xdr:spPr>
        <a:xfrm>
          <a:off x="42576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0" name="OpenSolver4"/>
        <xdr:cNvSpPr/>
      </xdr:nvSpPr>
      <xdr:spPr>
        <a:xfrm>
          <a:off x="29527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1" name="OpenSolver5"/>
        <xdr:cNvSpPr/>
      </xdr:nvSpPr>
      <xdr:spPr>
        <a:xfrm>
          <a:off x="3714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2" name="OpenSolver6"/>
        <xdr:cNvCxnSpPr>
          <a:stCxn id="20" idx="3"/>
          <a:endCxn id="21" idx="1"/>
        </xdr:cNvCxnSpPr>
      </xdr:nvCxnSpPr>
      <xdr:spPr>
        <a:xfrm>
          <a:off x="3514725" y="2047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23" name="OpenSolver7"/>
        <xdr:cNvSpPr/>
      </xdr:nvSpPr>
      <xdr:spPr>
        <a:xfrm>
          <a:off x="3424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4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5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26" name="OpenSolver10"/>
        <xdr:cNvCxnSpPr>
          <a:stCxn id="24" idx="3"/>
          <a:endCxn id="25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27" name="OpenSolver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8" name="OpenSolver12"/>
        <xdr:cNvSpPr/>
      </xdr:nvSpPr>
      <xdr:spPr>
        <a:xfrm>
          <a:off x="295275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9" name="OpenSolver13"/>
        <xdr:cNvSpPr/>
      </xdr:nvSpPr>
      <xdr:spPr>
        <a:xfrm>
          <a:off x="37147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30" name="OpenSolver14"/>
        <xdr:cNvCxnSpPr>
          <a:stCxn id="28" idx="3"/>
          <a:endCxn id="29" idx="1"/>
        </xdr:cNvCxnSpPr>
      </xdr:nvCxnSpPr>
      <xdr:spPr>
        <a:xfrm>
          <a:off x="3514725" y="1852613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31" name="OpenSolver15"/>
        <xdr:cNvSpPr/>
      </xdr:nvSpPr>
      <xdr:spPr>
        <a:xfrm>
          <a:off x="34242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971550" y="571500"/>
          <a:ext cx="12382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971550" y="952500"/>
          <a:ext cx="61912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355600</xdr:colOff>
      <xdr:row>4</xdr:row>
      <xdr:rowOff>114300</xdr:rowOff>
    </xdr:from>
    <xdr:to>
      <xdr:col>2</xdr:col>
      <xdr:colOff>224739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9652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2209800" y="1333500"/>
          <a:ext cx="3619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819400" y="1333500"/>
          <a:ext cx="190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8</xdr:row>
      <xdr:rowOff>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571750" y="1524000"/>
          <a:ext cx="247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295275</xdr:colOff>
      <xdr:row>7</xdr:row>
      <xdr:rowOff>63500</xdr:rowOff>
    </xdr:from>
    <xdr:to>
      <xdr:col>6</xdr:col>
      <xdr:colOff>66675</xdr:colOff>
      <xdr:row>8</xdr:row>
      <xdr:rowOff>127000</xdr:rowOff>
    </xdr:to>
    <xdr:sp macro="" textlink="">
      <xdr:nvSpPr>
        <xdr:cNvPr id="8" name="OpenSolver 7"/>
        <xdr:cNvSpPr/>
      </xdr:nvSpPr>
      <xdr:spPr>
        <a:xfrm>
          <a:off x="2505075" y="1397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</xdr:col>
      <xdr:colOff>19050</xdr:colOff>
      <xdr:row>3</xdr:row>
      <xdr:rowOff>12700</xdr:rowOff>
    </xdr:from>
    <xdr:to>
      <xdr:col>2</xdr:col>
      <xdr:colOff>105356</xdr:colOff>
      <xdr:row>3</xdr:row>
      <xdr:rowOff>127000</xdr:rowOff>
    </xdr:to>
    <xdr:sp macro="" textlink="">
      <xdr:nvSpPr>
        <xdr:cNvPr id="9" name="OpenSolver8"/>
        <xdr:cNvSpPr/>
      </xdr:nvSpPr>
      <xdr:spPr>
        <a:xfrm>
          <a:off x="9906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9525</xdr:colOff>
      <xdr:row>3</xdr:row>
      <xdr:rowOff>12700</xdr:rowOff>
    </xdr:from>
    <xdr:to>
      <xdr:col>3</xdr:col>
      <xdr:colOff>95831</xdr:colOff>
      <xdr:row>3</xdr:row>
      <xdr:rowOff>127000</xdr:rowOff>
    </xdr:to>
    <xdr:sp macro="" textlink="">
      <xdr:nvSpPr>
        <xdr:cNvPr id="10" name="OpenSolver9"/>
        <xdr:cNvSpPr/>
      </xdr:nvSpPr>
      <xdr:spPr>
        <a:xfrm>
          <a:off x="16002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ck/Documents/psf/Dropbox/Jack/Dropbox/Scratch/OpenSolverNew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Step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7"/>
  <sheetViews>
    <sheetView workbookViewId="0">
      <selection activeCell="O11" sqref="O11"/>
    </sheetView>
  </sheetViews>
  <sheetFormatPr defaultColWidth="8.85546875" defaultRowHeight="15" x14ac:dyDescent="0.25"/>
  <cols>
    <col min="1" max="2" width="8.85546875" style="62"/>
    <col min="4" max="5" width="8.85546875" style="62"/>
    <col min="7" max="8" width="8.85546875" style="62"/>
    <col min="10" max="10" width="8.85546875" style="62"/>
    <col min="12" max="12" width="8.85546875" style="62"/>
  </cols>
  <sheetData>
    <row r="1" spans="1:12" x14ac:dyDescent="0.25">
      <c r="A1" s="62" t="s">
        <v>198</v>
      </c>
      <c r="B1" s="62">
        <v>-3</v>
      </c>
      <c r="D1" s="62" t="s">
        <v>205</v>
      </c>
      <c r="G1" s="62" t="s">
        <v>207</v>
      </c>
      <c r="J1" s="62" t="s">
        <v>195</v>
      </c>
      <c r="L1" s="62" t="s">
        <v>244</v>
      </c>
    </row>
    <row r="2" spans="1:12" x14ac:dyDescent="0.25">
      <c r="A2" s="62" t="s">
        <v>200</v>
      </c>
      <c r="B2" s="62">
        <v>-2</v>
      </c>
      <c r="D2" s="62" t="s">
        <v>206</v>
      </c>
      <c r="G2" s="62" t="s">
        <v>208</v>
      </c>
      <c r="J2" s="62" t="s">
        <v>196</v>
      </c>
      <c r="L2" s="62" t="s">
        <v>245</v>
      </c>
    </row>
    <row r="3" spans="1:12" x14ac:dyDescent="0.25">
      <c r="A3" s="62" t="s">
        <v>199</v>
      </c>
      <c r="B3" s="62">
        <v>-1</v>
      </c>
      <c r="J3" s="62" t="s">
        <v>215</v>
      </c>
      <c r="L3" s="62" t="s">
        <v>197</v>
      </c>
    </row>
    <row r="4" spans="1:12" x14ac:dyDescent="0.25">
      <c r="A4" s="62" t="s">
        <v>201</v>
      </c>
      <c r="B4" s="62">
        <v>0</v>
      </c>
      <c r="L4" s="62" t="s">
        <v>352</v>
      </c>
    </row>
    <row r="5" spans="1:12" x14ac:dyDescent="0.25">
      <c r="A5" s="62" t="s">
        <v>202</v>
      </c>
      <c r="B5" s="62">
        <v>4</v>
      </c>
      <c r="L5" s="62" t="s">
        <v>358</v>
      </c>
    </row>
    <row r="6" spans="1:12" x14ac:dyDescent="0.25">
      <c r="A6" s="62" t="s">
        <v>27</v>
      </c>
      <c r="B6" s="62">
        <v>5</v>
      </c>
    </row>
    <row r="7" spans="1:12" x14ac:dyDescent="0.25">
      <c r="A7" s="62" t="s">
        <v>203</v>
      </c>
      <c r="B7" s="62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I71"/>
  <sheetViews>
    <sheetView tabSelected="1" zoomScale="85" zoomScaleNormal="85" zoomScalePageLayoutView="85" workbookViewId="0">
      <selection activeCell="H18" sqref="H18"/>
    </sheetView>
  </sheetViews>
  <sheetFormatPr defaultColWidth="9.140625" defaultRowHeight="15" x14ac:dyDescent="0.25"/>
  <cols>
    <col min="1" max="1" width="26.7109375" style="166" customWidth="1"/>
    <col min="2" max="16384" width="9.140625" style="60"/>
  </cols>
  <sheetData>
    <row r="1" spans="1:9" s="162" customFormat="1" ht="63" customHeight="1" thickBot="1" x14ac:dyDescent="0.3">
      <c r="A1" s="164"/>
      <c r="C1" s="178" t="s">
        <v>374</v>
      </c>
      <c r="D1" s="178"/>
      <c r="E1" s="178"/>
      <c r="F1" s="178"/>
    </row>
    <row r="2" spans="1:9" s="161" customFormat="1" ht="15.75" thickBot="1" x14ac:dyDescent="0.3">
      <c r="A2" s="165" t="s">
        <v>194</v>
      </c>
      <c r="B2" s="160" t="s">
        <v>195</v>
      </c>
      <c r="C2" s="161" t="s">
        <v>196</v>
      </c>
      <c r="D2" s="161" t="s">
        <v>215</v>
      </c>
      <c r="E2" s="161" t="s">
        <v>244</v>
      </c>
      <c r="F2" s="161" t="s">
        <v>245</v>
      </c>
      <c r="G2" s="161" t="s">
        <v>197</v>
      </c>
      <c r="H2" s="161" t="s">
        <v>352</v>
      </c>
      <c r="I2" s="161" t="s">
        <v>358</v>
      </c>
    </row>
    <row r="3" spans="1:9" x14ac:dyDescent="0.25">
      <c r="A3" s="167" t="str">
        <f>HYPERLINK("[OpenSolver Tester.xlsm]'Test1'!A1", "Test1")</f>
        <v>Test1</v>
      </c>
      <c r="B3" s="60" t="s">
        <v>393</v>
      </c>
      <c r="C3" s="60" t="s">
        <v>393</v>
      </c>
      <c r="D3" s="60" t="s">
        <v>393</v>
      </c>
      <c r="E3" s="60" t="s">
        <v>393</v>
      </c>
      <c r="F3" s="60" t="s">
        <v>393</v>
      </c>
      <c r="G3" s="60" t="s">
        <v>393</v>
      </c>
      <c r="H3" s="60" t="s">
        <v>393</v>
      </c>
      <c r="I3" s="60" t="s">
        <v>393</v>
      </c>
    </row>
    <row r="4" spans="1:9" x14ac:dyDescent="0.25">
      <c r="A4" s="167" t="str">
        <f>HYPERLINK("[OpenSolver Tester.xlsm]'Test1b'!A1", "Test1b")</f>
        <v>Test1b</v>
      </c>
      <c r="B4" s="60" t="s">
        <v>393</v>
      </c>
      <c r="C4" s="60" t="s">
        <v>393</v>
      </c>
      <c r="D4" s="60" t="s">
        <v>393</v>
      </c>
      <c r="E4" s="60" t="s">
        <v>393</v>
      </c>
      <c r="F4" s="60" t="s">
        <v>393</v>
      </c>
      <c r="G4" s="60" t="s">
        <v>393</v>
      </c>
      <c r="H4" s="60" t="s">
        <v>393</v>
      </c>
      <c r="I4" s="60" t="s">
        <v>393</v>
      </c>
    </row>
    <row r="5" spans="1:9" x14ac:dyDescent="0.25">
      <c r="A5" s="167" t="str">
        <f>HYPERLINK("[OpenSolver Tester.xlsm]'Test1c'!A1", "Test1c")</f>
        <v>Test1c</v>
      </c>
      <c r="B5" s="60" t="s">
        <v>393</v>
      </c>
      <c r="C5" s="60" t="s">
        <v>393</v>
      </c>
      <c r="D5" s="60" t="s">
        <v>393</v>
      </c>
      <c r="E5" s="60" t="s">
        <v>393</v>
      </c>
      <c r="F5" s="60" t="s">
        <v>393</v>
      </c>
      <c r="G5" s="60" t="s">
        <v>393</v>
      </c>
      <c r="H5" s="60" t="s">
        <v>393</v>
      </c>
      <c r="I5" s="60" t="s">
        <v>393</v>
      </c>
    </row>
    <row r="6" spans="1:9" x14ac:dyDescent="0.25">
      <c r="A6" s="167" t="str">
        <f>HYPERLINK("[OpenSolver Tester.xlsm]'Test1c2'!A1", "Test1c2")</f>
        <v>Test1c2</v>
      </c>
      <c r="B6" s="60" t="s">
        <v>393</v>
      </c>
      <c r="C6" s="60" t="s">
        <v>393</v>
      </c>
      <c r="D6" s="60" t="s">
        <v>393</v>
      </c>
      <c r="E6" s="60" t="s">
        <v>393</v>
      </c>
      <c r="F6" s="60" t="s">
        <v>393</v>
      </c>
      <c r="G6" s="60" t="s">
        <v>393</v>
      </c>
      <c r="H6" s="60" t="s">
        <v>393</v>
      </c>
      <c r="I6" s="60" t="s">
        <v>393</v>
      </c>
    </row>
    <row r="7" spans="1:9" x14ac:dyDescent="0.25">
      <c r="A7" s="167" t="str">
        <f>HYPERLINK("[OpenSolver Tester.xlsm]'Test1d'!A1", "Test1d")</f>
        <v>Test1d</v>
      </c>
      <c r="B7" s="60" t="s">
        <v>393</v>
      </c>
      <c r="C7" s="60" t="s">
        <v>393</v>
      </c>
      <c r="D7" s="60" t="s">
        <v>393</v>
      </c>
      <c r="E7" s="60" t="s">
        <v>393</v>
      </c>
      <c r="F7" s="60" t="s">
        <v>393</v>
      </c>
      <c r="G7" s="60" t="s">
        <v>393</v>
      </c>
      <c r="H7" s="60" t="s">
        <v>393</v>
      </c>
      <c r="I7" s="60" t="s">
        <v>393</v>
      </c>
    </row>
    <row r="8" spans="1:9" x14ac:dyDescent="0.25">
      <c r="A8" s="167" t="str">
        <f>HYPERLINK("[OpenSolver Tester.xlsm]'Test1e'!A1", "Test1e")</f>
        <v>Test1e</v>
      </c>
      <c r="B8" s="60" t="s">
        <v>393</v>
      </c>
      <c r="C8" s="60" t="s">
        <v>393</v>
      </c>
      <c r="D8" s="60" t="s">
        <v>393</v>
      </c>
      <c r="E8" s="60" t="s">
        <v>393</v>
      </c>
      <c r="F8" s="60" t="s">
        <v>393</v>
      </c>
      <c r="G8" s="60" t="s">
        <v>393</v>
      </c>
      <c r="H8" s="60" t="s">
        <v>393</v>
      </c>
      <c r="I8" s="60" t="s">
        <v>393</v>
      </c>
    </row>
    <row r="9" spans="1:9" x14ac:dyDescent="0.25">
      <c r="A9" s="167" t="str">
        <f>HYPERLINK("[OpenSolver Tester.xlsm]'Test1f'!A1", "Test1f")</f>
        <v>Test1f</v>
      </c>
      <c r="B9" s="60" t="s">
        <v>393</v>
      </c>
      <c r="C9" s="60" t="s">
        <v>393</v>
      </c>
      <c r="D9" s="60" t="s">
        <v>393</v>
      </c>
      <c r="E9" s="60" t="s">
        <v>393</v>
      </c>
      <c r="F9" s="60" t="s">
        <v>393</v>
      </c>
      <c r="G9" s="60" t="s">
        <v>393</v>
      </c>
      <c r="H9" s="60" t="s">
        <v>393</v>
      </c>
      <c r="I9" s="60" t="s">
        <v>393</v>
      </c>
    </row>
    <row r="10" spans="1:9" x14ac:dyDescent="0.25">
      <c r="A10" s="167" t="str">
        <f>HYPERLINK("[OpenSolver Tester.xlsm]'Test1g'!A1", "Test1g")</f>
        <v>Test1g</v>
      </c>
      <c r="B10" s="60" t="s">
        <v>393</v>
      </c>
      <c r="C10" s="60" t="s">
        <v>393</v>
      </c>
      <c r="D10" s="60" t="s">
        <v>393</v>
      </c>
      <c r="E10" s="60" t="s">
        <v>393</v>
      </c>
      <c r="F10" s="60" t="s">
        <v>393</v>
      </c>
      <c r="G10" s="60" t="s">
        <v>393</v>
      </c>
      <c r="H10" s="60" t="s">
        <v>393</v>
      </c>
      <c r="I10" s="60" t="s">
        <v>393</v>
      </c>
    </row>
    <row r="11" spans="1:9" x14ac:dyDescent="0.25">
      <c r="A11" s="167" t="str">
        <f>HYPERLINK("[OpenSolver Tester.xlsm]'Test1h'!A1", "Test1h")</f>
        <v>Test1h</v>
      </c>
      <c r="B11" s="60" t="s">
        <v>393</v>
      </c>
      <c r="C11" s="60" t="s">
        <v>393</v>
      </c>
      <c r="D11" s="60" t="s">
        <v>393</v>
      </c>
      <c r="E11" s="60" t="s">
        <v>393</v>
      </c>
      <c r="F11" s="60" t="s">
        <v>393</v>
      </c>
      <c r="G11" s="60" t="s">
        <v>393</v>
      </c>
      <c r="H11" s="60" t="s">
        <v>393</v>
      </c>
      <c r="I11" s="60" t="s">
        <v>393</v>
      </c>
    </row>
    <row r="12" spans="1:9" x14ac:dyDescent="0.25">
      <c r="A12" s="167" t="str">
        <f>HYPERLINK("[OpenSolver Tester.xlsm]'Test1i'!A1", "Test1i")</f>
        <v>Test1i</v>
      </c>
      <c r="B12" s="60" t="s">
        <v>393</v>
      </c>
      <c r="C12" s="60" t="s">
        <v>393</v>
      </c>
      <c r="D12" s="60" t="s">
        <v>393</v>
      </c>
      <c r="E12" s="60" t="s">
        <v>393</v>
      </c>
      <c r="F12" s="60" t="s">
        <v>393</v>
      </c>
      <c r="G12" s="60" t="s">
        <v>393</v>
      </c>
      <c r="H12" s="60" t="s">
        <v>393</v>
      </c>
      <c r="I12" s="60" t="s">
        <v>393</v>
      </c>
    </row>
    <row r="13" spans="1:9" x14ac:dyDescent="0.25">
      <c r="A13" s="167" t="str">
        <f>HYPERLINK("[OpenSolver Tester.xlsm]'Test1j'!A1", "Test1j")</f>
        <v>Test1j</v>
      </c>
      <c r="B13" s="60" t="s">
        <v>393</v>
      </c>
      <c r="C13" s="60" t="s">
        <v>393</v>
      </c>
      <c r="D13" s="60" t="s">
        <v>393</v>
      </c>
      <c r="E13" s="60" t="s">
        <v>393</v>
      </c>
      <c r="F13" s="60" t="s">
        <v>393</v>
      </c>
      <c r="G13" s="60" t="s">
        <v>393</v>
      </c>
      <c r="H13" s="60" t="s">
        <v>393</v>
      </c>
      <c r="I13" s="60" t="s">
        <v>393</v>
      </c>
    </row>
    <row r="14" spans="1:9" x14ac:dyDescent="0.25">
      <c r="A14" s="167" t="str">
        <f>HYPERLINK("[OpenSolver Tester.xlsm]'Test1j2'!A1", "Test1j2")</f>
        <v>Test1j2</v>
      </c>
      <c r="B14" s="60" t="s">
        <v>393</v>
      </c>
      <c r="C14" s="60" t="s">
        <v>393</v>
      </c>
      <c r="D14" s="60" t="s">
        <v>393</v>
      </c>
      <c r="E14" s="60" t="s">
        <v>393</v>
      </c>
      <c r="F14" s="60" t="s">
        <v>393</v>
      </c>
      <c r="G14" s="60" t="s">
        <v>393</v>
      </c>
      <c r="H14" s="60" t="s">
        <v>393</v>
      </c>
      <c r="I14" s="60" t="s">
        <v>393</v>
      </c>
    </row>
    <row r="15" spans="1:9" x14ac:dyDescent="0.25">
      <c r="A15" s="167" t="str">
        <f>HYPERLINK("[OpenSolver Tester.xlsm]'Test1k'!A1", "Test1k")</f>
        <v>Test1k</v>
      </c>
      <c r="B15" s="60" t="s">
        <v>393</v>
      </c>
      <c r="C15" s="60" t="s">
        <v>393</v>
      </c>
      <c r="D15" s="60" t="s">
        <v>393</v>
      </c>
      <c r="E15" s="60" t="s">
        <v>393</v>
      </c>
      <c r="F15" s="60" t="s">
        <v>393</v>
      </c>
      <c r="G15" s="60" t="s">
        <v>393</v>
      </c>
      <c r="H15" s="60" t="s">
        <v>393</v>
      </c>
      <c r="I15" s="60" t="s">
        <v>393</v>
      </c>
    </row>
    <row r="16" spans="1:9" x14ac:dyDescent="0.25">
      <c r="A16" s="167" t="str">
        <f>HYPERLINK("[OpenSolver Tester.xlsm]'Test1l'!A1", "Test1l")</f>
        <v>Test1l</v>
      </c>
      <c r="B16" s="60" t="s">
        <v>393</v>
      </c>
      <c r="C16" s="60" t="s">
        <v>393</v>
      </c>
      <c r="D16" s="60" t="s">
        <v>393</v>
      </c>
      <c r="E16" s="60" t="s">
        <v>393</v>
      </c>
      <c r="F16" s="60" t="s">
        <v>393</v>
      </c>
      <c r="G16" s="60" t="s">
        <v>393</v>
      </c>
      <c r="H16" s="60" t="s">
        <v>393</v>
      </c>
      <c r="I16" s="60" t="s">
        <v>393</v>
      </c>
    </row>
    <row r="17" spans="1:9" x14ac:dyDescent="0.25">
      <c r="A17" s="167" t="str">
        <f>HYPERLINK("[OpenSolver Tester.xlsm]'Test1m'!A1", "Test1m")</f>
        <v>Test1m</v>
      </c>
      <c r="B17" s="60" t="s">
        <v>393</v>
      </c>
      <c r="C17" s="60" t="s">
        <v>393</v>
      </c>
      <c r="D17" s="60" t="s">
        <v>393</v>
      </c>
      <c r="E17" s="60" t="s">
        <v>393</v>
      </c>
      <c r="F17" s="60" t="s">
        <v>393</v>
      </c>
      <c r="G17" s="60" t="s">
        <v>393</v>
      </c>
      <c r="H17" s="60" t="s">
        <v>393</v>
      </c>
      <c r="I17" s="60" t="s">
        <v>393</v>
      </c>
    </row>
    <row r="18" spans="1:9" x14ac:dyDescent="0.25">
      <c r="A18" s="167" t="str">
        <f>HYPERLINK("[OpenSolver Tester.xlsm]'Test2'!A1", "Test2")</f>
        <v>Test2</v>
      </c>
      <c r="B18" s="60" t="s">
        <v>393</v>
      </c>
      <c r="C18" s="60" t="s">
        <v>393</v>
      </c>
      <c r="D18" s="60" t="s">
        <v>393</v>
      </c>
      <c r="E18" s="60" t="s">
        <v>393</v>
      </c>
      <c r="F18" s="60" t="s">
        <v>393</v>
      </c>
      <c r="G18" s="60" t="s">
        <v>393</v>
      </c>
      <c r="H18" s="60" t="s">
        <v>393</v>
      </c>
      <c r="I18" s="60" t="s">
        <v>393</v>
      </c>
    </row>
    <row r="19" spans="1:9" x14ac:dyDescent="0.25">
      <c r="A19" s="167" t="str">
        <f>HYPERLINK("[OpenSolver Tester.xlsm]'Test3'!A1", "Test3")</f>
        <v>Test3</v>
      </c>
      <c r="B19" s="60" t="s">
        <v>393</v>
      </c>
      <c r="C19" s="60" t="s">
        <v>393</v>
      </c>
      <c r="D19" s="60" t="s">
        <v>393</v>
      </c>
      <c r="E19" s="60" t="s">
        <v>393</v>
      </c>
      <c r="F19" s="60" t="s">
        <v>393</v>
      </c>
      <c r="G19" s="60" t="s">
        <v>393</v>
      </c>
      <c r="H19" s="60" t="s">
        <v>393</v>
      </c>
      <c r="I19" s="60" t="s">
        <v>393</v>
      </c>
    </row>
    <row r="20" spans="1:9" x14ac:dyDescent="0.25">
      <c r="A20" s="167" t="str">
        <f>HYPERLINK("[OpenSolver Tester.xlsm]'Test4'!A1", "Test4")</f>
        <v>Test4</v>
      </c>
      <c r="B20" s="60" t="s">
        <v>393</v>
      </c>
      <c r="C20" s="60" t="s">
        <v>393</v>
      </c>
      <c r="D20" s="60" t="s">
        <v>393</v>
      </c>
      <c r="E20" s="60" t="s">
        <v>393</v>
      </c>
      <c r="F20" s="60" t="s">
        <v>393</v>
      </c>
      <c r="G20" s="60" t="s">
        <v>393</v>
      </c>
      <c r="H20" s="60" t="s">
        <v>393</v>
      </c>
      <c r="I20" s="60" t="s">
        <v>393</v>
      </c>
    </row>
    <row r="21" spans="1:9" x14ac:dyDescent="0.25">
      <c r="A21" s="167" t="str">
        <f>HYPERLINK("[OpenSolver Tester.xlsm]'Test5'!A1", "Test5")</f>
        <v>Test5</v>
      </c>
      <c r="B21" s="60" t="s">
        <v>393</v>
      </c>
      <c r="C21" s="60" t="s">
        <v>393</v>
      </c>
      <c r="D21" s="60" t="s">
        <v>393</v>
      </c>
      <c r="E21" s="60" t="s">
        <v>393</v>
      </c>
      <c r="F21" s="60" t="s">
        <v>393</v>
      </c>
      <c r="G21" s="60" t="s">
        <v>393</v>
      </c>
      <c r="H21" s="60" t="s">
        <v>393</v>
      </c>
      <c r="I21" s="60" t="s">
        <v>393</v>
      </c>
    </row>
    <row r="22" spans="1:9" x14ac:dyDescent="0.25">
      <c r="A22" s="167" t="str">
        <f>HYPERLINK("[OpenSolver Tester.xlsm]'Test!6'!A1", "Test!6")</f>
        <v>Test!6</v>
      </c>
      <c r="B22" s="60" t="s">
        <v>393</v>
      </c>
      <c r="C22" s="60" t="s">
        <v>393</v>
      </c>
      <c r="D22" s="60" t="s">
        <v>393</v>
      </c>
      <c r="E22" s="60" t="s">
        <v>393</v>
      </c>
      <c r="F22" s="60" t="s">
        <v>393</v>
      </c>
      <c r="G22" s="60" t="s">
        <v>393</v>
      </c>
      <c r="H22" s="60" t="s">
        <v>393</v>
      </c>
      <c r="I22" s="60" t="s">
        <v>393</v>
      </c>
    </row>
    <row r="23" spans="1:9" x14ac:dyDescent="0.25">
      <c r="A23" s="167" t="str">
        <f>HYPERLINK("[OpenSolver Tester.xlsm]'Test7'!A1", "Test7")</f>
        <v>Test7</v>
      </c>
      <c r="B23" s="60" t="s">
        <v>393</v>
      </c>
      <c r="C23" s="60" t="s">
        <v>393</v>
      </c>
      <c r="D23" s="60" t="s">
        <v>393</v>
      </c>
      <c r="E23" s="60" t="s">
        <v>393</v>
      </c>
      <c r="F23" s="60" t="s">
        <v>393</v>
      </c>
      <c r="G23" s="60" t="s">
        <v>393</v>
      </c>
      <c r="H23" s="60" t="s">
        <v>393</v>
      </c>
      <c r="I23" s="60" t="s">
        <v>393</v>
      </c>
    </row>
    <row r="24" spans="1:9" x14ac:dyDescent="0.25">
      <c r="A24" s="167" t="str">
        <f>HYPERLINK("[OpenSolver Tester.xlsm]'Test8'!A1", "Test8")</f>
        <v>Test8</v>
      </c>
      <c r="B24" s="60" t="s">
        <v>393</v>
      </c>
      <c r="C24" s="60" t="s">
        <v>393</v>
      </c>
      <c r="D24" s="60" t="s">
        <v>393</v>
      </c>
      <c r="E24" s="60" t="s">
        <v>393</v>
      </c>
      <c r="F24" s="60" t="s">
        <v>393</v>
      </c>
      <c r="G24" s="60" t="s">
        <v>393</v>
      </c>
      <c r="H24" s="60" t="s">
        <v>393</v>
      </c>
      <c r="I24" s="60" t="s">
        <v>393</v>
      </c>
    </row>
    <row r="25" spans="1:9" x14ac:dyDescent="0.25">
      <c r="A25" s="167" t="str">
        <f>HYPERLINK("[OpenSolver Tester.xlsm]'Test8B'!A1", "Test8B")</f>
        <v>Test8B</v>
      </c>
      <c r="B25" s="60" t="s">
        <v>393</v>
      </c>
      <c r="C25" s="60" t="s">
        <v>393</v>
      </c>
      <c r="D25" s="60" t="s">
        <v>393</v>
      </c>
      <c r="E25" s="60" t="s">
        <v>393</v>
      </c>
      <c r="F25" s="60" t="s">
        <v>393</v>
      </c>
      <c r="G25" s="60" t="s">
        <v>393</v>
      </c>
      <c r="H25" s="60" t="s">
        <v>393</v>
      </c>
      <c r="I25" s="60" t="s">
        <v>393</v>
      </c>
    </row>
    <row r="26" spans="1:9" x14ac:dyDescent="0.25">
      <c r="A26" s="167" t="str">
        <f>HYPERLINK("[OpenSolver Tester.xlsm]'Test9A'!A1", "Test9A")</f>
        <v>Test9A</v>
      </c>
      <c r="B26" s="60" t="s">
        <v>393</v>
      </c>
      <c r="C26" s="60" t="s">
        <v>393</v>
      </c>
      <c r="D26" s="60" t="s">
        <v>393</v>
      </c>
      <c r="E26" s="60" t="s">
        <v>393</v>
      </c>
      <c r="F26" s="60" t="s">
        <v>393</v>
      </c>
      <c r="G26" s="60" t="s">
        <v>393</v>
      </c>
      <c r="H26" s="60" t="s">
        <v>433</v>
      </c>
      <c r="I26" s="60" t="s">
        <v>393</v>
      </c>
    </row>
    <row r="27" spans="1:9" x14ac:dyDescent="0.25">
      <c r="A27" s="167" t="str">
        <f>HYPERLINK("[OpenSolver Tester.xlsm]'Test9B'!A1", "Test9B")</f>
        <v>Test9B</v>
      </c>
      <c r="B27" s="60" t="s">
        <v>393</v>
      </c>
      <c r="C27" s="60" t="s">
        <v>393</v>
      </c>
      <c r="D27" s="60" t="s">
        <v>393</v>
      </c>
      <c r="E27" s="60" t="s">
        <v>393</v>
      </c>
      <c r="F27" s="60" t="s">
        <v>393</v>
      </c>
      <c r="G27" s="60" t="s">
        <v>393</v>
      </c>
      <c r="H27" s="60" t="s">
        <v>393</v>
      </c>
      <c r="I27" s="60" t="s">
        <v>393</v>
      </c>
    </row>
    <row r="28" spans="1:9" x14ac:dyDescent="0.25">
      <c r="A28" s="167" t="str">
        <f>HYPERLINK("[OpenSolver Tester.xlsm]'Test10'!A1", "Test10")</f>
        <v>Test10</v>
      </c>
      <c r="B28" s="60" t="s">
        <v>393</v>
      </c>
      <c r="C28" s="60" t="s">
        <v>393</v>
      </c>
      <c r="D28" s="60" t="s">
        <v>393</v>
      </c>
      <c r="E28" s="60" t="s">
        <v>393</v>
      </c>
      <c r="F28" s="60" t="s">
        <v>393</v>
      </c>
      <c r="G28" s="60" t="s">
        <v>393</v>
      </c>
      <c r="H28" s="60" t="s">
        <v>393</v>
      </c>
      <c r="I28" s="60" t="s">
        <v>393</v>
      </c>
    </row>
    <row r="29" spans="1:9" x14ac:dyDescent="0.25">
      <c r="A29" s="167" t="str">
        <f>HYPERLINK("[OpenSolver Tester.xlsm]'Test11'!A1", "Test11")</f>
        <v>Test11</v>
      </c>
      <c r="B29" s="60" t="s">
        <v>393</v>
      </c>
      <c r="C29" s="60" t="s">
        <v>393</v>
      </c>
      <c r="D29" s="60" t="s">
        <v>393</v>
      </c>
      <c r="E29" s="60" t="s">
        <v>393</v>
      </c>
      <c r="F29" s="60" t="s">
        <v>393</v>
      </c>
      <c r="G29" s="60" t="s">
        <v>434</v>
      </c>
      <c r="H29" s="60" t="s">
        <v>393</v>
      </c>
      <c r="I29" s="60" t="s">
        <v>393</v>
      </c>
    </row>
    <row r="30" spans="1:9" x14ac:dyDescent="0.25">
      <c r="A30" s="167" t="str">
        <f>HYPERLINK("[OpenSolver Tester.xlsm]'Test12'!A1", "Test12")</f>
        <v>Test12</v>
      </c>
      <c r="B30" s="60" t="s">
        <v>393</v>
      </c>
      <c r="C30" s="60" t="s">
        <v>393</v>
      </c>
      <c r="D30" s="60" t="s">
        <v>393</v>
      </c>
      <c r="E30" s="60" t="s">
        <v>393</v>
      </c>
      <c r="F30" s="60" t="s">
        <v>393</v>
      </c>
      <c r="G30" s="60" t="s">
        <v>434</v>
      </c>
      <c r="H30" s="60" t="s">
        <v>393</v>
      </c>
      <c r="I30" s="60" t="s">
        <v>393</v>
      </c>
    </row>
    <row r="31" spans="1:9" x14ac:dyDescent="0.25">
      <c r="A31" s="167" t="str">
        <f>HYPERLINK("[OpenSolver Tester.xlsm]'Test13'!A1", "Test13")</f>
        <v>Test13</v>
      </c>
      <c r="B31" s="60" t="s">
        <v>393</v>
      </c>
      <c r="C31" s="60" t="s">
        <v>393</v>
      </c>
      <c r="D31" s="60" t="s">
        <v>393</v>
      </c>
      <c r="E31" s="60" t="s">
        <v>393</v>
      </c>
      <c r="F31" s="60" t="s">
        <v>393</v>
      </c>
      <c r="G31" s="60" t="s">
        <v>434</v>
      </c>
      <c r="H31" s="60" t="s">
        <v>393</v>
      </c>
      <c r="I31" s="60" t="s">
        <v>393</v>
      </c>
    </row>
    <row r="32" spans="1:9" x14ac:dyDescent="0.25">
      <c r="A32" s="167" t="str">
        <f>HYPERLINK("[OpenSolver Tester.xlsm]'Test13b'!A1", "Test13b")</f>
        <v>Test13b</v>
      </c>
      <c r="B32" s="60" t="s">
        <v>393</v>
      </c>
      <c r="C32" s="60" t="s">
        <v>393</v>
      </c>
      <c r="D32" s="60" t="s">
        <v>393</v>
      </c>
      <c r="E32" s="60" t="s">
        <v>393</v>
      </c>
      <c r="F32" s="60" t="s">
        <v>393</v>
      </c>
      <c r="G32" s="60" t="s">
        <v>434</v>
      </c>
      <c r="H32" s="60" t="s">
        <v>393</v>
      </c>
      <c r="I32" s="60" t="s">
        <v>393</v>
      </c>
    </row>
    <row r="33" spans="1:9" x14ac:dyDescent="0.25">
      <c r="A33" s="167" t="str">
        <f>HYPERLINK("[OpenSolver Tester.xlsm]'Test14'!A1", "Test14")</f>
        <v>Test14</v>
      </c>
      <c r="B33" s="60" t="s">
        <v>393</v>
      </c>
      <c r="C33" s="60" t="s">
        <v>393</v>
      </c>
      <c r="D33" s="60" t="s">
        <v>393</v>
      </c>
      <c r="E33" s="60" t="s">
        <v>393</v>
      </c>
      <c r="F33" s="60" t="s">
        <v>393</v>
      </c>
      <c r="G33" s="60" t="s">
        <v>393</v>
      </c>
      <c r="H33" s="60" t="s">
        <v>393</v>
      </c>
      <c r="I33" s="60" t="s">
        <v>393</v>
      </c>
    </row>
    <row r="34" spans="1:9" x14ac:dyDescent="0.25">
      <c r="A34" s="167" t="str">
        <f>HYPERLINK("[OpenSolver Tester.xlsm]'Test15'!A1", "Test15")</f>
        <v>Test15</v>
      </c>
      <c r="B34" s="60" t="s">
        <v>393</v>
      </c>
      <c r="C34" s="60" t="s">
        <v>393</v>
      </c>
      <c r="D34" s="60" t="s">
        <v>393</v>
      </c>
      <c r="E34" s="60" t="s">
        <v>393</v>
      </c>
      <c r="F34" s="60" t="s">
        <v>393</v>
      </c>
      <c r="G34" s="60" t="s">
        <v>393</v>
      </c>
      <c r="H34" s="60" t="s">
        <v>393</v>
      </c>
      <c r="I34" s="60" t="s">
        <v>393</v>
      </c>
    </row>
    <row r="35" spans="1:9" x14ac:dyDescent="0.25">
      <c r="A35" s="167" t="str">
        <f>HYPERLINK("[OpenSolver Tester.xlsm]'Test15b'!A1", "Test15b")</f>
        <v>Test15b</v>
      </c>
      <c r="B35" s="60" t="s">
        <v>393</v>
      </c>
      <c r="C35" s="60" t="s">
        <v>393</v>
      </c>
      <c r="D35" s="60" t="s">
        <v>393</v>
      </c>
      <c r="E35" s="60" t="s">
        <v>393</v>
      </c>
      <c r="F35" s="60" t="s">
        <v>393</v>
      </c>
      <c r="G35" s="60" t="s">
        <v>393</v>
      </c>
      <c r="H35" s="60" t="s">
        <v>393</v>
      </c>
      <c r="I35" s="60" t="s">
        <v>393</v>
      </c>
    </row>
    <row r="36" spans="1:9" x14ac:dyDescent="0.25">
      <c r="A36" s="167" t="str">
        <f>HYPERLINK("[OpenSolver Tester.xlsm]'Test15c'!A1", "Test15c")</f>
        <v>Test15c</v>
      </c>
      <c r="B36" s="60" t="s">
        <v>393</v>
      </c>
      <c r="C36" s="60" t="s">
        <v>393</v>
      </c>
      <c r="D36" s="60" t="s">
        <v>393</v>
      </c>
      <c r="E36" s="60" t="s">
        <v>393</v>
      </c>
      <c r="F36" s="60" t="s">
        <v>393</v>
      </c>
      <c r="G36" s="60" t="s">
        <v>393</v>
      </c>
      <c r="H36" s="60" t="s">
        <v>433</v>
      </c>
      <c r="I36" s="60" t="s">
        <v>393</v>
      </c>
    </row>
    <row r="37" spans="1:9" x14ac:dyDescent="0.25">
      <c r="A37" s="167" t="str">
        <f>HYPERLINK("[OpenSolver Tester.xlsm]'Test15d'!A1", "Test15d")</f>
        <v>Test15d</v>
      </c>
      <c r="B37" s="60" t="s">
        <v>393</v>
      </c>
      <c r="C37" s="60" t="s">
        <v>393</v>
      </c>
      <c r="D37" s="60" t="s">
        <v>393</v>
      </c>
      <c r="E37" s="60" t="s">
        <v>393</v>
      </c>
      <c r="F37" s="60" t="s">
        <v>393</v>
      </c>
      <c r="G37" s="60" t="s">
        <v>393</v>
      </c>
      <c r="H37" s="60" t="s">
        <v>433</v>
      </c>
      <c r="I37" s="60" t="s">
        <v>393</v>
      </c>
    </row>
    <row r="38" spans="1:9" x14ac:dyDescent="0.25">
      <c r="A38" s="167" t="str">
        <f>HYPERLINK("[OpenSolver Tester.xlsm]'Test15e_Relax'!A1", "Test15e_Relax")</f>
        <v>Test15e_Relax</v>
      </c>
      <c r="B38" s="60" t="s">
        <v>393</v>
      </c>
      <c r="C38" s="174" t="s">
        <v>393</v>
      </c>
      <c r="D38" s="60" t="s">
        <v>393</v>
      </c>
      <c r="E38" s="60" t="s">
        <v>393</v>
      </c>
      <c r="F38" s="60" t="s">
        <v>393</v>
      </c>
      <c r="G38" s="60" t="s">
        <v>393</v>
      </c>
      <c r="H38" s="60" t="s">
        <v>393</v>
      </c>
      <c r="I38" s="60" t="s">
        <v>393</v>
      </c>
    </row>
    <row r="39" spans="1:9" x14ac:dyDescent="0.25">
      <c r="A39" s="167" t="str">
        <f>HYPERLINK("[OpenSolver Tester.xlsm]'Test16'!A1", "Test16")</f>
        <v>Test16</v>
      </c>
      <c r="B39" s="60" t="s">
        <v>393</v>
      </c>
      <c r="C39" s="60" t="s">
        <v>393</v>
      </c>
      <c r="D39" s="60" t="s">
        <v>393</v>
      </c>
      <c r="E39" s="60" t="s">
        <v>393</v>
      </c>
      <c r="F39" s="60" t="s">
        <v>393</v>
      </c>
      <c r="G39" s="60" t="s">
        <v>393</v>
      </c>
      <c r="H39" s="60" t="s">
        <v>393</v>
      </c>
      <c r="I39" s="60" t="s">
        <v>393</v>
      </c>
    </row>
    <row r="40" spans="1:9" x14ac:dyDescent="0.25">
      <c r="A40" s="167" t="str">
        <f>HYPERLINK("[OpenSolver Tester.xlsm]'Test16b'!A1", "Test16b")</f>
        <v>Test16b</v>
      </c>
      <c r="B40" s="60" t="s">
        <v>393</v>
      </c>
      <c r="C40" s="60" t="s">
        <v>393</v>
      </c>
      <c r="D40" s="60" t="s">
        <v>393</v>
      </c>
      <c r="E40" s="60" t="s">
        <v>393</v>
      </c>
      <c r="F40" s="60" t="s">
        <v>393</v>
      </c>
      <c r="G40" s="60" t="s">
        <v>393</v>
      </c>
      <c r="H40" s="60" t="s">
        <v>393</v>
      </c>
      <c r="I40" s="60" t="s">
        <v>393</v>
      </c>
    </row>
    <row r="41" spans="1:9" x14ac:dyDescent="0.25">
      <c r="A41" s="167" t="str">
        <f>HYPERLINK("[OpenSolver Tester.xlsm]'Test17'!A1", "Test17")</f>
        <v>Test17</v>
      </c>
      <c r="B41" s="60" t="s">
        <v>393</v>
      </c>
      <c r="C41" s="60" t="s">
        <v>393</v>
      </c>
      <c r="D41" s="60" t="s">
        <v>393</v>
      </c>
      <c r="E41" s="60" t="s">
        <v>393</v>
      </c>
      <c r="F41" s="60" t="s">
        <v>393</v>
      </c>
      <c r="G41" s="60" t="s">
        <v>393</v>
      </c>
      <c r="H41" s="60" t="s">
        <v>393</v>
      </c>
      <c r="I41" s="60" t="s">
        <v>393</v>
      </c>
    </row>
    <row r="42" spans="1:9" x14ac:dyDescent="0.25">
      <c r="A42" s="167" t="str">
        <f>HYPERLINK("[OpenSolver Tester.xlsm]'Test18'!A1", "Test18")</f>
        <v>Test18</v>
      </c>
      <c r="B42" s="60" t="s">
        <v>393</v>
      </c>
      <c r="C42" s="60" t="s">
        <v>393</v>
      </c>
      <c r="D42" s="60" t="s">
        <v>393</v>
      </c>
      <c r="E42" s="60" t="s">
        <v>393</v>
      </c>
      <c r="F42" s="60" t="s">
        <v>393</v>
      </c>
      <c r="G42" s="60" t="s">
        <v>393</v>
      </c>
      <c r="H42" s="60" t="s">
        <v>393</v>
      </c>
      <c r="I42" s="60" t="s">
        <v>393</v>
      </c>
    </row>
    <row r="43" spans="1:9" x14ac:dyDescent="0.25">
      <c r="A43" s="167" t="str">
        <f>HYPERLINK("[OpenSolver Tester.xlsm]'Test19'!A1", "Test19")</f>
        <v>Test19</v>
      </c>
      <c r="B43" s="60" t="s">
        <v>393</v>
      </c>
      <c r="C43" s="60" t="s">
        <v>393</v>
      </c>
      <c r="D43" s="60" t="s">
        <v>393</v>
      </c>
      <c r="E43" s="60" t="s">
        <v>393</v>
      </c>
      <c r="F43" s="60" t="s">
        <v>393</v>
      </c>
      <c r="G43" s="60" t="s">
        <v>393</v>
      </c>
      <c r="H43" s="60" t="s">
        <v>393</v>
      </c>
      <c r="I43" s="60" t="s">
        <v>393</v>
      </c>
    </row>
    <row r="44" spans="1:9" x14ac:dyDescent="0.25">
      <c r="A44" s="167" t="str">
        <f>HYPERLINK("[OpenSolver Tester.xlsm]'Test20'!A1", "Test20")</f>
        <v>Test20</v>
      </c>
      <c r="B44" s="60" t="s">
        <v>393</v>
      </c>
      <c r="C44" s="60" t="s">
        <v>393</v>
      </c>
      <c r="D44" s="60" t="s">
        <v>393</v>
      </c>
      <c r="E44" s="60" t="s">
        <v>393</v>
      </c>
      <c r="F44" s="60" t="s">
        <v>393</v>
      </c>
      <c r="G44" s="60" t="s">
        <v>393</v>
      </c>
      <c r="H44" s="60" t="s">
        <v>393</v>
      </c>
      <c r="I44" s="60" t="s">
        <v>393</v>
      </c>
    </row>
    <row r="45" spans="1:9" x14ac:dyDescent="0.25">
      <c r="A45" s="167" t="str">
        <f>HYPERLINK("[OpenSolver Tester.xlsm]'Test21'!A1", "Test21")</f>
        <v>Test21</v>
      </c>
      <c r="B45" s="60" t="s">
        <v>393</v>
      </c>
      <c r="C45" s="60" t="s">
        <v>393</v>
      </c>
      <c r="D45" s="60" t="s">
        <v>393</v>
      </c>
      <c r="E45" s="60" t="s">
        <v>393</v>
      </c>
      <c r="F45" s="60" t="s">
        <v>393</v>
      </c>
      <c r="G45" s="60" t="s">
        <v>393</v>
      </c>
      <c r="H45" s="60" t="s">
        <v>393</v>
      </c>
      <c r="I45" s="60" t="s">
        <v>393</v>
      </c>
    </row>
    <row r="46" spans="1:9" x14ac:dyDescent="0.25">
      <c r="A46" s="167" t="str">
        <f>HYPERLINK("[OpenSolver Tester.xlsm]'Test22'!A1", "Test22")</f>
        <v>Test22</v>
      </c>
      <c r="B46" s="60" t="s">
        <v>393</v>
      </c>
      <c r="C46" s="60" t="s">
        <v>393</v>
      </c>
      <c r="D46" s="60" t="s">
        <v>393</v>
      </c>
      <c r="E46" s="60" t="s">
        <v>393</v>
      </c>
      <c r="F46" s="60" t="s">
        <v>393</v>
      </c>
      <c r="G46" s="60" t="s">
        <v>393</v>
      </c>
      <c r="H46" s="60" t="s">
        <v>433</v>
      </c>
      <c r="I46" s="60" t="s">
        <v>393</v>
      </c>
    </row>
    <row r="47" spans="1:9" x14ac:dyDescent="0.25">
      <c r="A47" s="167" t="str">
        <f>HYPERLINK("[OpenSolver Tester.xlsm]'Test23'!A1", "Test23")</f>
        <v>Test23</v>
      </c>
      <c r="B47" s="60" t="s">
        <v>393</v>
      </c>
      <c r="C47" s="60" t="s">
        <v>393</v>
      </c>
      <c r="D47" s="60" t="s">
        <v>393</v>
      </c>
      <c r="E47" s="60" t="s">
        <v>393</v>
      </c>
      <c r="F47" s="60" t="s">
        <v>393</v>
      </c>
      <c r="G47" s="60" t="s">
        <v>393</v>
      </c>
      <c r="H47" s="60" t="s">
        <v>433</v>
      </c>
      <c r="I47" s="60" t="s">
        <v>393</v>
      </c>
    </row>
    <row r="48" spans="1:9" x14ac:dyDescent="0.25">
      <c r="A48" s="167" t="str">
        <f>HYPERLINK("[OpenSolver Tester.xlsm]'Test24_IterativeCalc'!A1", "Test24_IterativeCalc")</f>
        <v>Test24_IterativeCalc</v>
      </c>
      <c r="B48" s="60" t="s">
        <v>393</v>
      </c>
      <c r="C48" s="60" t="s">
        <v>393</v>
      </c>
      <c r="D48" s="60" t="s">
        <v>393</v>
      </c>
      <c r="E48" s="60" t="s">
        <v>393</v>
      </c>
      <c r="F48" s="60" t="s">
        <v>393</v>
      </c>
      <c r="G48" s="60" t="s">
        <v>393</v>
      </c>
      <c r="H48" s="60" t="s">
        <v>393</v>
      </c>
      <c r="I48" s="60" t="s">
        <v>393</v>
      </c>
    </row>
    <row r="49" spans="1:9" x14ac:dyDescent="0.25">
      <c r="A49" s="167" t="str">
        <f>HYPERLINK("[OpenSolver Tester.xlsm]'Test25'!A1", "Test25")</f>
        <v>Test25</v>
      </c>
      <c r="B49" s="60" t="s">
        <v>393</v>
      </c>
      <c r="C49" s="60" t="s">
        <v>393</v>
      </c>
      <c r="D49" s="60" t="s">
        <v>393</v>
      </c>
      <c r="E49" s="60" t="s">
        <v>393</v>
      </c>
      <c r="F49" s="60" t="s">
        <v>393</v>
      </c>
      <c r="G49" s="60" t="s">
        <v>393</v>
      </c>
      <c r="H49" s="60" t="s">
        <v>393</v>
      </c>
      <c r="I49" s="60" t="s">
        <v>393</v>
      </c>
    </row>
    <row r="50" spans="1:9" x14ac:dyDescent="0.25">
      <c r="A50" s="167" t="str">
        <f>HYPERLINK("[OpenSolver Tester.xlsm]'Test26'!A1", "Test26")</f>
        <v>Test26</v>
      </c>
      <c r="B50" s="60" t="s">
        <v>393</v>
      </c>
      <c r="C50" s="60" t="s">
        <v>393</v>
      </c>
      <c r="D50" s="60" t="s">
        <v>393</v>
      </c>
      <c r="E50" s="60" t="s">
        <v>393</v>
      </c>
      <c r="F50" s="60" t="s">
        <v>393</v>
      </c>
      <c r="G50" s="60" t="s">
        <v>393</v>
      </c>
      <c r="H50" s="60" t="s">
        <v>393</v>
      </c>
      <c r="I50" s="60" t="s">
        <v>393</v>
      </c>
    </row>
    <row r="51" spans="1:9" x14ac:dyDescent="0.25">
      <c r="A51" s="167" t="str">
        <f>HYPERLINK("[OpenSolver Tester.xlsm]'Test27_Parameters'!A1", "Test27_Parameters")</f>
        <v>Test27_Parameters</v>
      </c>
      <c r="B51" s="60" t="s">
        <v>393</v>
      </c>
      <c r="C51" s="60" t="s">
        <v>393</v>
      </c>
      <c r="D51" s="60" t="s">
        <v>393</v>
      </c>
      <c r="E51" s="60" t="s">
        <v>435</v>
      </c>
      <c r="F51" s="60" t="s">
        <v>435</v>
      </c>
      <c r="G51" s="60" t="s">
        <v>435</v>
      </c>
      <c r="H51" s="60" t="s">
        <v>435</v>
      </c>
      <c r="I51" s="60" t="s">
        <v>435</v>
      </c>
    </row>
    <row r="52" spans="1:9" x14ac:dyDescent="0.25">
      <c r="A52" s="167" t="str">
        <f>HYPERLINK("[OpenSolver Tester.xlsm]'Test28_CBCOptions'!A1", "Test28_CBCOptions")</f>
        <v>Test28_CBCOptions</v>
      </c>
      <c r="B52" s="60" t="s">
        <v>393</v>
      </c>
      <c r="C52" s="60" t="s">
        <v>393</v>
      </c>
      <c r="D52" s="60" t="s">
        <v>393</v>
      </c>
      <c r="E52" s="60" t="s">
        <v>433</v>
      </c>
      <c r="F52" s="60" t="s">
        <v>393</v>
      </c>
      <c r="G52" s="60" t="s">
        <v>433</v>
      </c>
      <c r="H52" s="60" t="s">
        <v>433</v>
      </c>
      <c r="I52" s="60" t="s">
        <v>395</v>
      </c>
    </row>
    <row r="53" spans="1:9" x14ac:dyDescent="0.25">
      <c r="A53" s="167" t="str">
        <f>HYPERLINK("[OpenSolver Tester.xlsm]'Test29'!A1", "Test29")</f>
        <v>Test29</v>
      </c>
      <c r="B53" s="60" t="s">
        <v>393</v>
      </c>
      <c r="C53" s="60" t="s">
        <v>393</v>
      </c>
      <c r="D53" s="60" t="s">
        <v>393</v>
      </c>
      <c r="E53" s="60" t="s">
        <v>393</v>
      </c>
      <c r="F53" s="60" t="s">
        <v>393</v>
      </c>
      <c r="G53" s="60" t="s">
        <v>393</v>
      </c>
      <c r="H53" s="60" t="s">
        <v>393</v>
      </c>
      <c r="I53" s="60" t="s">
        <v>393</v>
      </c>
    </row>
    <row r="54" spans="1:9" x14ac:dyDescent="0.25">
      <c r="A54" s="167" t="str">
        <f>HYPERLINK("[OpenSolver Tester.xlsm]'Test30'!A1", "Test30")</f>
        <v>Test30</v>
      </c>
      <c r="B54" s="60" t="s">
        <v>393</v>
      </c>
      <c r="C54" s="60" t="s">
        <v>393</v>
      </c>
      <c r="D54" s="60" t="s">
        <v>393</v>
      </c>
      <c r="E54" s="60" t="s">
        <v>393</v>
      </c>
      <c r="F54" s="60" t="s">
        <v>393</v>
      </c>
      <c r="G54" s="60" t="s">
        <v>393</v>
      </c>
      <c r="H54" s="60" t="s">
        <v>393</v>
      </c>
      <c r="I54" s="60" t="s">
        <v>393</v>
      </c>
    </row>
    <row r="55" spans="1:9" x14ac:dyDescent="0.25">
      <c r="A55" s="167" t="str">
        <f>HYPERLINK("[OpenSolver Tester.xlsm]'Test31'!A1", "Test31")</f>
        <v>Test31</v>
      </c>
      <c r="B55" s="60" t="s">
        <v>393</v>
      </c>
      <c r="C55" s="60" t="s">
        <v>393</v>
      </c>
      <c r="D55" s="60" t="s">
        <v>393</v>
      </c>
      <c r="E55" s="60" t="s">
        <v>393</v>
      </c>
      <c r="F55" s="60" t="s">
        <v>393</v>
      </c>
      <c r="G55" s="60" t="s">
        <v>393</v>
      </c>
      <c r="H55" s="60" t="s">
        <v>393</v>
      </c>
      <c r="I55" s="60" t="s">
        <v>393</v>
      </c>
    </row>
    <row r="56" spans="1:9" x14ac:dyDescent="0.25">
      <c r="A56" s="167" t="str">
        <f>HYPERLINK("[OpenSolver Tester.xlsm]'Test32'!A1", "Test32")</f>
        <v>Test32</v>
      </c>
      <c r="B56" s="60" t="s">
        <v>393</v>
      </c>
      <c r="C56" s="60" t="s">
        <v>393</v>
      </c>
      <c r="D56" s="60" t="s">
        <v>393</v>
      </c>
      <c r="E56" s="60" t="s">
        <v>393</v>
      </c>
      <c r="F56" s="60" t="s">
        <v>393</v>
      </c>
      <c r="G56" s="60" t="s">
        <v>393</v>
      </c>
      <c r="H56" s="60" t="s">
        <v>393</v>
      </c>
      <c r="I56" s="60" t="s">
        <v>393</v>
      </c>
    </row>
    <row r="57" spans="1:9" x14ac:dyDescent="0.25">
      <c r="A57" s="167" t="str">
        <f>HYPERLINK("[OpenSolver Tester.xlsm]'Test33'!A1", "Test33")</f>
        <v>Test33</v>
      </c>
      <c r="B57" s="60" t="s">
        <v>393</v>
      </c>
      <c r="C57" s="60" t="s">
        <v>393</v>
      </c>
      <c r="D57" s="60" t="s">
        <v>393</v>
      </c>
      <c r="E57" s="60" t="s">
        <v>393</v>
      </c>
      <c r="F57" s="60" t="s">
        <v>393</v>
      </c>
      <c r="G57" s="60" t="s">
        <v>393</v>
      </c>
      <c r="H57" s="60" t="s">
        <v>393</v>
      </c>
      <c r="I57" s="60" t="s">
        <v>393</v>
      </c>
    </row>
    <row r="58" spans="1:9" x14ac:dyDescent="0.25">
      <c r="A58" s="167" t="str">
        <f>HYPERLINK("[OpenSolver Tester.xlsm]'Test34'!A1", "Test34")</f>
        <v>Test34</v>
      </c>
      <c r="B58" s="60" t="s">
        <v>393</v>
      </c>
      <c r="C58" s="60" t="s">
        <v>393</v>
      </c>
      <c r="D58" s="60" t="s">
        <v>393</v>
      </c>
      <c r="E58" s="60" t="s">
        <v>393</v>
      </c>
      <c r="F58" s="60" t="s">
        <v>393</v>
      </c>
      <c r="G58" s="60" t="s">
        <v>393</v>
      </c>
      <c r="H58" s="60" t="s">
        <v>393</v>
      </c>
      <c r="I58" s="60" t="s">
        <v>393</v>
      </c>
    </row>
    <row r="59" spans="1:9" x14ac:dyDescent="0.25">
      <c r="A59" s="167" t="str">
        <f>HYPERLINK("[OpenSolver Tester.xlsm]'Test35'!A1", "Test35")</f>
        <v>Test35</v>
      </c>
      <c r="B59" s="60" t="s">
        <v>393</v>
      </c>
      <c r="C59" s="60" t="s">
        <v>393</v>
      </c>
      <c r="D59" s="60" t="s">
        <v>393</v>
      </c>
      <c r="E59" s="60" t="s">
        <v>393</v>
      </c>
      <c r="F59" s="60" t="s">
        <v>393</v>
      </c>
      <c r="G59" s="60" t="s">
        <v>434</v>
      </c>
      <c r="H59" s="60" t="s">
        <v>393</v>
      </c>
      <c r="I59" s="60" t="s">
        <v>393</v>
      </c>
    </row>
    <row r="60" spans="1:9" x14ac:dyDescent="0.25">
      <c r="A60" s="167" t="str">
        <f>HYPERLINK("[OpenSolver Tester.xlsm]'Test36'!A1", "Test36")</f>
        <v>Test36</v>
      </c>
      <c r="B60" s="60" t="s">
        <v>393</v>
      </c>
      <c r="C60" s="60" t="s">
        <v>393</v>
      </c>
      <c r="D60" s="60" t="s">
        <v>393</v>
      </c>
      <c r="E60" s="60" t="s">
        <v>433</v>
      </c>
      <c r="F60" s="60" t="s">
        <v>393</v>
      </c>
      <c r="G60" s="60" t="s">
        <v>393</v>
      </c>
      <c r="H60" s="60" t="s">
        <v>433</v>
      </c>
      <c r="I60" s="60" t="s">
        <v>393</v>
      </c>
    </row>
    <row r="61" spans="1:9" x14ac:dyDescent="0.25">
      <c r="A61" s="167" t="str">
        <f>HYPERLINK("[OpenSolver Tester.xlsm]'Test37'!A1", "Test37")</f>
        <v>Test37</v>
      </c>
      <c r="B61" s="60" t="s">
        <v>393</v>
      </c>
      <c r="C61" s="60" t="s">
        <v>393</v>
      </c>
      <c r="D61" s="60" t="s">
        <v>393</v>
      </c>
      <c r="E61" s="60" t="s">
        <v>393</v>
      </c>
      <c r="F61" s="60" t="s">
        <v>393</v>
      </c>
      <c r="G61" s="60" t="s">
        <v>393</v>
      </c>
      <c r="H61" s="60" t="s">
        <v>393</v>
      </c>
      <c r="I61" s="60" t="s">
        <v>393</v>
      </c>
    </row>
    <row r="62" spans="1:9" x14ac:dyDescent="0.25">
      <c r="A62" s="167" t="str">
        <f>HYPERLINK("[OpenSolver Tester.xlsm]'Test38'!A1", "Test38")</f>
        <v>Test38</v>
      </c>
      <c r="B62" s="60" t="s">
        <v>393</v>
      </c>
      <c r="C62" s="60" t="s">
        <v>393</v>
      </c>
      <c r="D62" s="60" t="s">
        <v>393</v>
      </c>
      <c r="E62" s="60" t="s">
        <v>393</v>
      </c>
      <c r="F62" s="60" t="s">
        <v>393</v>
      </c>
      <c r="G62" s="60" t="s">
        <v>393</v>
      </c>
      <c r="H62" s="60" t="s">
        <v>393</v>
      </c>
      <c r="I62" s="60" t="s">
        <v>393</v>
      </c>
    </row>
    <row r="63" spans="1:9" x14ac:dyDescent="0.25">
      <c r="A63" s="167" t="str">
        <f>HYPERLINK("[OpenSolver Tester.xlsm]'Test39_SensNames'!A1", "Test39_SensNames")</f>
        <v>Test39_SensNames</v>
      </c>
      <c r="B63" s="60" t="s">
        <v>393</v>
      </c>
      <c r="C63" s="60" t="s">
        <v>393</v>
      </c>
      <c r="D63" s="60" t="s">
        <v>393</v>
      </c>
      <c r="E63" s="60" t="s">
        <v>393</v>
      </c>
      <c r="F63" s="60" t="s">
        <v>393</v>
      </c>
      <c r="G63" s="60" t="s">
        <v>393</v>
      </c>
      <c r="H63" s="60" t="s">
        <v>393</v>
      </c>
      <c r="I63" s="60" t="s">
        <v>393</v>
      </c>
    </row>
    <row r="64" spans="1:9" x14ac:dyDescent="0.25">
      <c r="A64" s="167" t="str">
        <f>HYPERLINK("[OpenSolver Tester.xlsm]'Test39_SensNames2'!A1", "Test39_SensNames2")</f>
        <v>Test39_SensNames2</v>
      </c>
      <c r="B64" s="60" t="s">
        <v>393</v>
      </c>
      <c r="C64" s="60" t="s">
        <v>393</v>
      </c>
      <c r="D64" s="60" t="s">
        <v>393</v>
      </c>
      <c r="E64" s="60" t="s">
        <v>393</v>
      </c>
      <c r="F64" s="60" t="s">
        <v>393</v>
      </c>
      <c r="G64" s="60" t="s">
        <v>393</v>
      </c>
      <c r="H64" s="60" t="s">
        <v>393</v>
      </c>
      <c r="I64" s="60" t="s">
        <v>393</v>
      </c>
    </row>
    <row r="65" spans="1:9" x14ac:dyDescent="0.25">
      <c r="A65" s="167" t="str">
        <f>HYPERLINK("[OpenSolver Tester.xlsm]'Test40'!A1", "Test40")</f>
        <v>Test40</v>
      </c>
      <c r="B65" s="60" t="s">
        <v>393</v>
      </c>
      <c r="C65" s="60" t="s">
        <v>393</v>
      </c>
      <c r="D65" s="60" t="s">
        <v>393</v>
      </c>
      <c r="E65" s="60" t="s">
        <v>393</v>
      </c>
      <c r="F65" s="60" t="s">
        <v>434</v>
      </c>
      <c r="G65" s="60" t="s">
        <v>393</v>
      </c>
      <c r="H65" s="60" t="s">
        <v>393</v>
      </c>
      <c r="I65" s="60" t="s">
        <v>393</v>
      </c>
    </row>
    <row r="66" spans="1:9" x14ac:dyDescent="0.25">
      <c r="A66" s="167" t="str">
        <f>HYPERLINK("[OpenSolver Tester.xlsm]'Test41'!A1", "Test41")</f>
        <v>Test41</v>
      </c>
      <c r="B66" s="60" t="s">
        <v>393</v>
      </c>
      <c r="C66" s="60" t="s">
        <v>393</v>
      </c>
      <c r="D66" s="60" t="s">
        <v>393</v>
      </c>
      <c r="E66" s="60" t="s">
        <v>393</v>
      </c>
      <c r="F66" s="60" t="s">
        <v>433</v>
      </c>
      <c r="G66" s="175" t="s">
        <v>393</v>
      </c>
      <c r="H66" s="60" t="s">
        <v>393</v>
      </c>
      <c r="I66" s="60" t="s">
        <v>433</v>
      </c>
    </row>
    <row r="67" spans="1:9" x14ac:dyDescent="0.25">
      <c r="A67" s="167" t="str">
        <f>HYPERLINK("[OpenSolver Tester.xlsm]'Test42'!A1", "Test42")</f>
        <v>Test42</v>
      </c>
      <c r="B67" s="60" t="s">
        <v>393</v>
      </c>
      <c r="C67" s="60" t="s">
        <v>393</v>
      </c>
      <c r="D67" s="60" t="s">
        <v>393</v>
      </c>
      <c r="E67" s="60" t="s">
        <v>393</v>
      </c>
      <c r="F67" s="60" t="s">
        <v>393</v>
      </c>
      <c r="G67" s="60" t="s">
        <v>393</v>
      </c>
      <c r="H67" s="60" t="s">
        <v>393</v>
      </c>
      <c r="I67" s="60" t="s">
        <v>393</v>
      </c>
    </row>
    <row r="68" spans="1:9" x14ac:dyDescent="0.25">
      <c r="A68" s="167" t="str">
        <f>HYPERLINK("[OpenSolver Tester.xlsm]'Test43'!A1", "Test43")</f>
        <v>Test43</v>
      </c>
      <c r="B68" s="60" t="s">
        <v>393</v>
      </c>
      <c r="C68" s="60" t="s">
        <v>393</v>
      </c>
      <c r="D68" s="60" t="s">
        <v>393</v>
      </c>
      <c r="E68" s="60" t="s">
        <v>393</v>
      </c>
      <c r="F68" s="60" t="s">
        <v>393</v>
      </c>
      <c r="G68" s="60" t="s">
        <v>393</v>
      </c>
      <c r="H68" s="60" t="s">
        <v>393</v>
      </c>
      <c r="I68" s="60" t="s">
        <v>393</v>
      </c>
    </row>
    <row r="69" spans="1:9" x14ac:dyDescent="0.25">
      <c r="A69" s="167" t="str">
        <f>HYPERLINK("[OpenSolver Tester.xlsm]'Test44_Seek'!A1", "Test44_Seek")</f>
        <v>Test44_Seek</v>
      </c>
      <c r="B69" s="60" t="s">
        <v>393</v>
      </c>
      <c r="C69" s="60" t="s">
        <v>393</v>
      </c>
      <c r="D69" s="60" t="s">
        <v>393</v>
      </c>
      <c r="E69" s="60" t="s">
        <v>393</v>
      </c>
      <c r="F69" s="60" t="s">
        <v>393</v>
      </c>
      <c r="G69" s="60" t="s">
        <v>393</v>
      </c>
      <c r="H69" s="60" t="s">
        <v>393</v>
      </c>
      <c r="I69" s="60" t="s">
        <v>393</v>
      </c>
    </row>
    <row r="70" spans="1:9" x14ac:dyDescent="0.25">
      <c r="A70" s="167" t="str">
        <f>HYPERLINK("[OpenSolver Tester.xlsm]'Test45_SheetName(1)+2-1'!A1", "Test45_SheetName(1)+2-1")</f>
        <v>Test45_SheetName(1)+2-1</v>
      </c>
      <c r="B70" s="60" t="s">
        <v>393</v>
      </c>
      <c r="C70" s="60" t="s">
        <v>393</v>
      </c>
      <c r="D70" s="60" t="s">
        <v>393</v>
      </c>
      <c r="E70" s="60" t="s">
        <v>393</v>
      </c>
      <c r="F70" s="60" t="s">
        <v>393</v>
      </c>
      <c r="G70" s="60" t="s">
        <v>393</v>
      </c>
      <c r="H70" s="60" t="s">
        <v>393</v>
      </c>
      <c r="I70" s="60" t="s">
        <v>393</v>
      </c>
    </row>
    <row r="71" spans="1:9" x14ac:dyDescent="0.25">
      <c r="A71" s="167" t="str">
        <f>HYPERLINK("[OpenSolver Tester.xlsm]'Test46_NonLinBinary'!A1", "Test46_NonLinBinary")</f>
        <v>Test46_NonLinBinary</v>
      </c>
      <c r="B71" s="60" t="s">
        <v>393</v>
      </c>
      <c r="C71" s="60" t="s">
        <v>393</v>
      </c>
      <c r="D71" s="60" t="s">
        <v>393</v>
      </c>
      <c r="E71" s="60" t="s">
        <v>393</v>
      </c>
      <c r="F71" s="60" t="s">
        <v>393</v>
      </c>
      <c r="G71" s="60" t="s">
        <v>393</v>
      </c>
      <c r="H71" s="60" t="s">
        <v>393</v>
      </c>
      <c r="I71" s="60" t="s">
        <v>393</v>
      </c>
    </row>
  </sheetData>
  <mergeCells count="1">
    <mergeCell ref="C1:F1"/>
  </mergeCells>
  <conditionalFormatting sqref="B3:XFD1048576">
    <cfRule type="cellIs" dxfId="6" priority="1" operator="equal">
      <formula>"NA*"</formula>
    </cfRule>
    <cfRule type="cellIs" dxfId="5" priority="2" operator="equal">
      <formula>"PASS*"</formula>
    </cfRule>
    <cfRule type="cellIs" dxfId="4" priority="3" operator="equal">
      <formula>"FAIL*"</formula>
    </cfRule>
    <cfRule type="cellIs" dxfId="3" priority="4" operator="equal">
      <formula>"NA"</formula>
    </cfRule>
    <cfRule type="cellIs" dxfId="2" priority="5" operator="equal">
      <formula>"FAIL"</formula>
    </cfRule>
    <cfRule type="cellIs" dxfId="1" priority="6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LaunchForm">
                <anchor moveWithCells="1" sizeWithCells="1">
                  <from>
                    <xdr:col>0</xdr:col>
                    <xdr:colOff>152400</xdr:colOff>
                    <xdr:row>0</xdr:row>
                    <xdr:rowOff>200025</xdr:rowOff>
                  </from>
                  <to>
                    <xdr:col>1</xdr:col>
                    <xdr:colOff>447675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RemoveOS">
                <anchor moveWithCells="1" sizeWithCells="1">
                  <from>
                    <xdr:col>6</xdr:col>
                    <xdr:colOff>142875</xdr:colOff>
                    <xdr:row>0</xdr:row>
                    <xdr:rowOff>200025</xdr:rowOff>
                  </from>
                  <to>
                    <xdr:col>8</xdr:col>
                    <xdr:colOff>457200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ImportOS">
                <anchor moveWithCells="1" sizeWithCells="1">
                  <from>
                    <xdr:col>9</xdr:col>
                    <xdr:colOff>257175</xdr:colOff>
                    <xdr:row>0</xdr:row>
                    <xdr:rowOff>190500</xdr:rowOff>
                  </from>
                  <to>
                    <xdr:col>11</xdr:col>
                    <xdr:colOff>561975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ExportResults.ExportResults">
                <anchor moveWithCells="1" sizeWithCells="1">
                  <from>
                    <xdr:col>12</xdr:col>
                    <xdr:colOff>457200</xdr:colOff>
                    <xdr:row>0</xdr:row>
                    <xdr:rowOff>190500</xdr:rowOff>
                  </from>
                  <to>
                    <xdr:col>15</xdr:col>
                    <xdr:colOff>161925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31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59">
        <v>0</v>
      </c>
      <c r="E4" s="159">
        <v>5.2941176470588198</v>
      </c>
      <c r="F4" s="159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AND(C20,D20,E20,C24)</f>
        <v>1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disablePrompts="1"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84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">
        <v>0</v>
      </c>
      <c r="E4" s="1">
        <v>5.2941176432133004</v>
      </c>
      <c r="F4" s="1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15.8823529296399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58.235294075346303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116.47058815069261</v>
      </c>
      <c r="I9" s="1" t="s">
        <v>8</v>
      </c>
      <c r="J9" s="1">
        <v>150</v>
      </c>
    </row>
    <row r="10" spans="1:10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116.47058815069261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179.99999986925221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21"/>
  <sheetViews>
    <sheetView workbookViewId="0">
      <selection activeCell="M18" sqref="M1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212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5.2941176432193897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15.882352929658168</v>
      </c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58.235294075413286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116.47058815082657</v>
      </c>
      <c r="I9" s="1" t="s">
        <v>8</v>
      </c>
      <c r="J9" s="1">
        <v>150</v>
      </c>
    </row>
    <row r="10" spans="1:12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116.47058815082657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179.99999986945926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L21"/>
  <sheetViews>
    <sheetView workbookViewId="0">
      <selection activeCell="N21" sqref="N2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213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5.29411764321907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15.882352929657209</v>
      </c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58.235294075409769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116.47058815081954</v>
      </c>
      <c r="I9" s="1" t="s">
        <v>8</v>
      </c>
      <c r="J9" s="1">
        <v>150</v>
      </c>
    </row>
    <row r="10" spans="1:12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179.99999986944837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93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95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105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97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97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100</v>
      </c>
    </row>
    <row r="2" spans="1:12" ht="15.75" thickBot="1" x14ac:dyDescent="0.3">
      <c r="A2" s="64" t="s">
        <v>205</v>
      </c>
      <c r="D2" s="18" t="s">
        <v>102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3" t="s">
        <v>210</v>
      </c>
      <c r="D5" s="1">
        <v>0</v>
      </c>
      <c r="E5" s="179">
        <v>5.2941175999999999</v>
      </c>
      <c r="F5" s="179"/>
      <c r="H5"/>
      <c r="I5"/>
      <c r="J5"/>
      <c r="L5" t="s">
        <v>103</v>
      </c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5" t="s">
        <v>200</v>
      </c>
    </row>
    <row r="9" spans="1:12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22"/>
  <sheetViews>
    <sheetView workbookViewId="0">
      <selection activeCell="P28" sqref="P2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101</v>
      </c>
    </row>
    <row r="2" spans="1:12" ht="15.75" thickBot="1" x14ac:dyDescent="0.3">
      <c r="A2" s="64" t="s">
        <v>205</v>
      </c>
      <c r="D2" s="18" t="s">
        <v>111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46">
        <v>0</v>
      </c>
      <c r="E5" s="179">
        <v>5.2941176526297902</v>
      </c>
      <c r="F5" s="179"/>
      <c r="H5"/>
      <c r="I5"/>
      <c r="J5"/>
      <c r="L5" t="s">
        <v>109</v>
      </c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15.882352957889371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58.235294178927688</v>
      </c>
      <c r="I9" s="1" t="s">
        <v>8</v>
      </c>
      <c r="J9" s="1">
        <v>60</v>
      </c>
    </row>
    <row r="10" spans="1:12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116.47058835785538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116.47058835785538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180.00000018941287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101</v>
      </c>
    </row>
    <row r="2" spans="1:12" ht="15.75" thickBot="1" x14ac:dyDescent="0.3">
      <c r="A2" s="64" t="s">
        <v>205</v>
      </c>
      <c r="D2" s="18" t="s">
        <v>102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C5" s="179">
        <v>2</v>
      </c>
      <c r="D5" s="179"/>
      <c r="E5" s="1">
        <v>0</v>
      </c>
      <c r="H5"/>
      <c r="I5"/>
      <c r="J5"/>
      <c r="L5" t="s">
        <v>110</v>
      </c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5" t="s">
        <v>200</v>
      </c>
    </row>
    <row r="9" spans="1:12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107</v>
      </c>
    </row>
    <row r="2" spans="1:12" ht="15.75" thickBot="1" x14ac:dyDescent="0.3">
      <c r="A2" s="64" t="s">
        <v>205</v>
      </c>
      <c r="D2" s="18"/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46">
        <v>0</v>
      </c>
      <c r="E5" s="1">
        <v>5.2941176526297902</v>
      </c>
      <c r="H5"/>
      <c r="I5"/>
      <c r="J5"/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15.882352957889371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58.235294178927688</v>
      </c>
      <c r="I9" s="1" t="s">
        <v>8</v>
      </c>
      <c r="J9" s="1">
        <v>60</v>
      </c>
    </row>
    <row r="10" spans="1:12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116.47058835785538</v>
      </c>
      <c r="I10" s="1" t="s">
        <v>8</v>
      </c>
      <c r="J10" s="179">
        <v>150</v>
      </c>
      <c r="K10" s="179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116.47058835785538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180.00000018941287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3" t="s">
        <v>204</v>
      </c>
      <c r="D1" s="18" t="s">
        <v>108</v>
      </c>
    </row>
    <row r="2" spans="1:12" ht="15.75" thickBot="1" x14ac:dyDescent="0.3">
      <c r="A2" s="64" t="s">
        <v>205</v>
      </c>
      <c r="D2" s="18"/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46">
        <v>0</v>
      </c>
      <c r="E5" s="1">
        <v>5.2941176526297902</v>
      </c>
      <c r="H5"/>
      <c r="I5"/>
      <c r="J5"/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15.882352957889371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58.235294178927688</v>
      </c>
      <c r="I9" s="1" t="s">
        <v>8</v>
      </c>
      <c r="J9" s="1">
        <v>60</v>
      </c>
    </row>
    <row r="10" spans="1:12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G10" s="179">
        <f>SUMPRODUCT($D$5:$F$5,D10:F10)</f>
        <v>116.47058835785538</v>
      </c>
      <c r="H10" s="179"/>
      <c r="I10" s="1" t="s">
        <v>8</v>
      </c>
      <c r="J10" s="1">
        <v>200</v>
      </c>
      <c r="K10" s="1"/>
      <c r="L10" t="s">
        <v>360</v>
      </c>
    </row>
    <row r="11" spans="1:12" x14ac:dyDescent="0.25">
      <c r="D11" s="1">
        <v>21</v>
      </c>
      <c r="E11" s="1">
        <v>22</v>
      </c>
      <c r="H11" s="1">
        <f>SUMPRODUCT($D$5:$F$5,D11:F11)</f>
        <v>116.47058835785538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180.00000018941287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3" t="s">
        <v>204</v>
      </c>
      <c r="D1" s="18" t="s">
        <v>108</v>
      </c>
    </row>
    <row r="2" spans="1:12" ht="15.75" thickBot="1" x14ac:dyDescent="0.3">
      <c r="A2" s="64" t="s">
        <v>205</v>
      </c>
      <c r="D2" s="18" t="s">
        <v>184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">
        <v>0</v>
      </c>
      <c r="E5" s="1">
        <v>0</v>
      </c>
      <c r="H5"/>
      <c r="I5"/>
      <c r="J5"/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5" t="s">
        <v>27</v>
      </c>
    </row>
    <row r="9" spans="1:12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0</v>
      </c>
      <c r="I9" s="1" t="s">
        <v>8</v>
      </c>
      <c r="J9" s="1">
        <v>60</v>
      </c>
    </row>
    <row r="10" spans="1:12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G10" s="180">
        <v>5</v>
      </c>
      <c r="H10" s="180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80"/>
      <c r="H11" s="180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1"/>
  <sheetViews>
    <sheetView workbookViewId="0">
      <selection activeCell="N8" sqref="N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42578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3" t="s">
        <v>204</v>
      </c>
      <c r="D1" s="18" t="s">
        <v>25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4" t="s">
        <v>207</v>
      </c>
      <c r="D4" s="146">
        <v>0</v>
      </c>
      <c r="E4" s="1">
        <v>1</v>
      </c>
      <c r="F4" s="1">
        <v>1</v>
      </c>
      <c r="G4" s="146">
        <v>0</v>
      </c>
      <c r="I4"/>
      <c r="J4"/>
      <c r="K4"/>
    </row>
    <row r="5" spans="1:11" x14ac:dyDescent="0.25">
      <c r="A5" s="63" t="s">
        <v>210</v>
      </c>
    </row>
    <row r="6" spans="1:11" ht="15.75" thickBot="1" x14ac:dyDescent="0.3">
      <c r="A6" s="64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25">
      <c r="A7" s="63" t="s">
        <v>211</v>
      </c>
    </row>
    <row r="8" spans="1:11" x14ac:dyDescent="0.25">
      <c r="A8" s="65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.75" thickBot="1" x14ac:dyDescent="0.3">
      <c r="A9" s="64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ht="15.75" thickBot="1" x14ac:dyDescent="0.3">
      <c r="A10" s="168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38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9.42578125" style="1" customWidth="1"/>
    <col min="5" max="5" width="5.140625" style="1" customWidth="1"/>
    <col min="6" max="6" width="7.42578125" style="1" customWidth="1"/>
    <col min="7" max="7" width="10.42578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3" t="s">
        <v>204</v>
      </c>
      <c r="D1" s="18" t="s">
        <v>30</v>
      </c>
    </row>
    <row r="2" spans="1:23" ht="15.75" thickBot="1" x14ac:dyDescent="0.3">
      <c r="A2" s="64" t="s">
        <v>205</v>
      </c>
      <c r="Q2" t="s">
        <v>21</v>
      </c>
    </row>
    <row r="3" spans="1:23" x14ac:dyDescent="0.25">
      <c r="A3" s="63" t="s">
        <v>209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6.8545357391304318</v>
      </c>
      <c r="Q3" s="9">
        <v>0</v>
      </c>
      <c r="R3" s="10">
        <v>10.999999108660299</v>
      </c>
      <c r="S3" s="9">
        <f>SUM(Q3:R3)</f>
        <v>10.999999108660299</v>
      </c>
      <c r="T3" s="11" t="s">
        <v>8</v>
      </c>
      <c r="U3" s="10">
        <v>55</v>
      </c>
    </row>
    <row r="4" spans="1:23" ht="15.75" thickBot="1" x14ac:dyDescent="0.3">
      <c r="A4" s="64" t="s">
        <v>207</v>
      </c>
      <c r="D4" s="146">
        <v>0</v>
      </c>
      <c r="E4" s="1">
        <v>1</v>
      </c>
      <c r="F4" s="1">
        <v>1</v>
      </c>
      <c r="G4" s="146">
        <v>0</v>
      </c>
      <c r="H4" s="1">
        <v>0</v>
      </c>
      <c r="I4"/>
      <c r="J4"/>
      <c r="K4"/>
      <c r="M4" t="s">
        <v>20</v>
      </c>
      <c r="N4">
        <v>0</v>
      </c>
      <c r="Q4" s="4">
        <v>43.999999568492498</v>
      </c>
      <c r="R4" s="5">
        <v>22.0000005613689</v>
      </c>
      <c r="S4" s="4">
        <f>SUM(Q4:R4)</f>
        <v>66.000000129861405</v>
      </c>
      <c r="T4" s="12" t="s">
        <v>8</v>
      </c>
      <c r="U4" s="5">
        <v>66</v>
      </c>
    </row>
    <row r="5" spans="1:23" x14ac:dyDescent="0.25">
      <c r="A5" s="63" t="s">
        <v>210</v>
      </c>
      <c r="D5" s="1" t="s">
        <v>156</v>
      </c>
      <c r="E5" s="1" t="s">
        <v>186</v>
      </c>
      <c r="F5" s="1" t="s">
        <v>186</v>
      </c>
      <c r="Q5" s="9">
        <f>SUM(Q3:Q4)</f>
        <v>43.999999568492498</v>
      </c>
      <c r="R5" s="10">
        <f>SUM(R3:R4)</f>
        <v>32.999999670029197</v>
      </c>
    </row>
    <row r="6" spans="1:23" ht="15.75" thickBot="1" x14ac:dyDescent="0.3">
      <c r="A6" s="64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712.5356666117458</v>
      </c>
      <c r="Q6" s="13" t="s">
        <v>9</v>
      </c>
      <c r="R6" s="14" t="s">
        <v>9</v>
      </c>
    </row>
    <row r="7" spans="1:23" x14ac:dyDescent="0.25">
      <c r="A7" s="63" t="s">
        <v>211</v>
      </c>
      <c r="Q7" s="4">
        <v>44</v>
      </c>
      <c r="R7" s="5">
        <v>33</v>
      </c>
    </row>
    <row r="8" spans="1:23" x14ac:dyDescent="0.25">
      <c r="A8" s="65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10.999999870138595</v>
      </c>
    </row>
    <row r="9" spans="1:23" ht="15.75" thickBot="1" x14ac:dyDescent="0.3">
      <c r="A9" s="64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ht="15.75" thickBot="1" x14ac:dyDescent="0.3">
      <c r="A10" s="168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1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1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1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2"/>
  <sheetViews>
    <sheetView workbookViewId="0">
      <selection activeCell="J22" sqref="J22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3" t="s">
        <v>204</v>
      </c>
      <c r="C1" t="s">
        <v>23</v>
      </c>
    </row>
    <row r="2" spans="1:21" ht="15.75" thickBot="1" x14ac:dyDescent="0.3">
      <c r="A2" s="64" t="s">
        <v>205</v>
      </c>
      <c r="C2" t="s">
        <v>24</v>
      </c>
      <c r="Q2" t="s">
        <v>21</v>
      </c>
    </row>
    <row r="3" spans="1:21" x14ac:dyDescent="0.25">
      <c r="A3" s="63" t="s">
        <v>209</v>
      </c>
    </row>
    <row r="4" spans="1:21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8.3970691012126597</v>
      </c>
      <c r="Q4" s="157">
        <v>0</v>
      </c>
      <c r="R4" s="10">
        <v>10.9999985799722</v>
      </c>
      <c r="S4" s="9">
        <f>SUM(Q4:R4)</f>
        <v>10.9999985799722</v>
      </c>
      <c r="T4" s="11" t="s">
        <v>8</v>
      </c>
      <c r="U4" s="10">
        <v>55</v>
      </c>
    </row>
    <row r="5" spans="1:21" x14ac:dyDescent="0.25">
      <c r="A5" s="63" t="s">
        <v>210</v>
      </c>
      <c r="D5" s="146">
        <v>0</v>
      </c>
      <c r="E5" s="1">
        <v>1</v>
      </c>
      <c r="F5" s="1">
        <v>1</v>
      </c>
      <c r="G5" s="1">
        <v>0.29565217356555001</v>
      </c>
      <c r="J5"/>
      <c r="K5"/>
      <c r="M5" t="s">
        <v>20</v>
      </c>
      <c r="N5">
        <v>0</v>
      </c>
      <c r="Q5" s="4">
        <v>43.999999569969503</v>
      </c>
      <c r="R5" s="5">
        <v>22.000001090028402</v>
      </c>
      <c r="S5" s="4">
        <f>SUM(Q5:R5)</f>
        <v>66.000000659997909</v>
      </c>
      <c r="T5" s="12" t="s">
        <v>8</v>
      </c>
      <c r="U5" s="5">
        <v>66</v>
      </c>
    </row>
    <row r="6" spans="1:21" ht="15.75" thickBot="1" x14ac:dyDescent="0.3">
      <c r="A6" s="64" t="b">
        <f>AND(D18,E18,F18,G18,D22,O17,O18,V17,V18,W17,W18)</f>
        <v>1</v>
      </c>
      <c r="Q6" s="9">
        <f>SUM(Q4:Q5)</f>
        <v>43.999999569969503</v>
      </c>
      <c r="R6" s="10">
        <f>SUM(R4:R5)</f>
        <v>32.999999670000605</v>
      </c>
    </row>
    <row r="7" spans="1:21" x14ac:dyDescent="0.25">
      <c r="A7" s="63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721.43093843475447</v>
      </c>
      <c r="Q7" s="13" t="s">
        <v>9</v>
      </c>
      <c r="R7" s="14" t="s">
        <v>9</v>
      </c>
    </row>
    <row r="8" spans="1:21" x14ac:dyDescent="0.25">
      <c r="A8" s="65" t="s">
        <v>201</v>
      </c>
      <c r="Q8" s="4">
        <v>44</v>
      </c>
      <c r="R8" s="5">
        <v>33</v>
      </c>
    </row>
    <row r="9" spans="1:21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14.547826082786599</v>
      </c>
      <c r="J9" s="1" t="s">
        <v>8</v>
      </c>
      <c r="K9" s="1">
        <f>61.2345678+2.3*N4-S5</f>
        <v>14.54782607279121</v>
      </c>
    </row>
    <row r="10" spans="1:21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28.799999992007649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115.20000000799234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-9.4608695540976004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28.800000001998086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2"/>
  <sheetViews>
    <sheetView workbookViewId="0">
      <selection activeCell="P24" sqref="P24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42578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3" t="s">
        <v>204</v>
      </c>
      <c r="C1" t="s">
        <v>158</v>
      </c>
    </row>
    <row r="2" spans="1:21" ht="15.75" thickBot="1" x14ac:dyDescent="0.3">
      <c r="A2" s="64" t="s">
        <v>205</v>
      </c>
      <c r="C2" t="s">
        <v>33</v>
      </c>
      <c r="Q2" t="s">
        <v>21</v>
      </c>
    </row>
    <row r="3" spans="1:21" x14ac:dyDescent="0.25">
      <c r="A3" s="63" t="s">
        <v>209</v>
      </c>
    </row>
    <row r="4" spans="1:21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0</v>
      </c>
      <c r="Q4" s="157">
        <v>0</v>
      </c>
      <c r="R4" s="10">
        <v>0</v>
      </c>
      <c r="S4" s="9">
        <f>SUM(Q4:R4)</f>
        <v>0</v>
      </c>
      <c r="T4" s="11" t="s">
        <v>8</v>
      </c>
      <c r="U4" s="10">
        <v>55</v>
      </c>
    </row>
    <row r="5" spans="1:21" x14ac:dyDescent="0.25">
      <c r="A5" s="63" t="s">
        <v>210</v>
      </c>
      <c r="D5" s="1">
        <v>0</v>
      </c>
      <c r="E5" s="1">
        <v>0</v>
      </c>
      <c r="F5" s="1">
        <v>0</v>
      </c>
      <c r="G5" s="1">
        <v>0</v>
      </c>
      <c r="J5"/>
      <c r="K5"/>
      <c r="M5" t="s">
        <v>20</v>
      </c>
      <c r="N5">
        <v>0</v>
      </c>
      <c r="Q5" s="4">
        <v>0</v>
      </c>
      <c r="R5" s="5">
        <v>0</v>
      </c>
      <c r="S5" s="4">
        <f>SUM(Q5:R5)</f>
        <v>0</v>
      </c>
      <c r="T5" s="12" t="s">
        <v>8</v>
      </c>
      <c r="U5" s="5">
        <v>66</v>
      </c>
    </row>
    <row r="6" spans="1:21" ht="15.75" thickBot="1" x14ac:dyDescent="0.3">
      <c r="A6" s="64" t="b">
        <v>1</v>
      </c>
      <c r="Q6" s="9">
        <f>SUM(Q4:Q5)</f>
        <v>0</v>
      </c>
      <c r="R6" s="10">
        <f>SUM(R4:R5)</f>
        <v>0</v>
      </c>
    </row>
    <row r="7" spans="1:21" x14ac:dyDescent="0.25">
      <c r="A7" s="63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0</v>
      </c>
      <c r="Q7" s="13" t="s">
        <v>9</v>
      </c>
      <c r="R7" s="14" t="s">
        <v>9</v>
      </c>
    </row>
    <row r="8" spans="1:21" x14ac:dyDescent="0.25">
      <c r="A8" s="65" t="s">
        <v>27</v>
      </c>
      <c r="Q8" s="4">
        <v>44</v>
      </c>
      <c r="R8" s="5">
        <v>33</v>
      </c>
    </row>
    <row r="9" spans="1:21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0</v>
      </c>
      <c r="J9" s="1" t="s">
        <v>8</v>
      </c>
      <c r="K9" s="1">
        <f>61.2345678+2.3*N4-S5</f>
        <v>61.234567800000001</v>
      </c>
    </row>
    <row r="10" spans="1:21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0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0</v>
      </c>
      <c r="Q11" t="s">
        <v>22</v>
      </c>
    </row>
    <row r="12" spans="1:21" x14ac:dyDescent="0.25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0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32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1"/>
      <c r="C20" s="17" t="s">
        <v>16</v>
      </c>
    </row>
    <row r="21" spans="1:6" s="1" customFormat="1" x14ac:dyDescent="0.25">
      <c r="A21" s="61"/>
      <c r="C21"/>
      <c r="D21" s="1">
        <v>15.882352941176622</v>
      </c>
    </row>
    <row r="22" spans="1:6" s="1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21"/>
  <sheetViews>
    <sheetView workbookViewId="0">
      <selection activeCell="P30" sqref="P3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27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5" t="s">
        <v>27</v>
      </c>
    </row>
    <row r="9" spans="1:10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 s="1">
        <v>60</v>
      </c>
    </row>
    <row r="10" spans="1:10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29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C1" t="s">
        <v>183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ht="15.75" thickBot="1" x14ac:dyDescent="0.3">
      <c r="A10" s="168" t="str">
        <f>HYPERLINK("[OpenSolver Tester.xlsm]Results!A1", "&lt;- Results")</f>
        <v>&lt;- Results</v>
      </c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1"/>
      <c r="C19" s="17" t="s">
        <v>16</v>
      </c>
    </row>
    <row r="20" spans="1:4" s="54" customFormat="1" x14ac:dyDescent="0.25">
      <c r="A20" s="61"/>
      <c r="C20" t="s">
        <v>28</v>
      </c>
    </row>
    <row r="21" spans="1:4" s="54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3" t="s">
        <v>204</v>
      </c>
      <c r="D1" t="s">
        <v>159</v>
      </c>
    </row>
    <row r="2" spans="1:14" ht="15.75" thickBot="1" x14ac:dyDescent="0.3">
      <c r="A2" s="64" t="s">
        <v>205</v>
      </c>
    </row>
    <row r="3" spans="1:14" x14ac:dyDescent="0.25">
      <c r="A3" s="63" t="s">
        <v>209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4" t="s">
        <v>207</v>
      </c>
      <c r="D4" s="1">
        <v>0</v>
      </c>
      <c r="E4" s="1">
        <v>0</v>
      </c>
      <c r="F4" s="1">
        <v>0</v>
      </c>
      <c r="H4" s="1">
        <v>5</v>
      </c>
      <c r="K4"/>
      <c r="L4"/>
    </row>
    <row r="5" spans="1:14" x14ac:dyDescent="0.25">
      <c r="A5" s="63" t="s">
        <v>210</v>
      </c>
    </row>
    <row r="6" spans="1:14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20</v>
      </c>
    </row>
    <row r="7" spans="1:14" x14ac:dyDescent="0.25">
      <c r="A7" s="63" t="s">
        <v>211</v>
      </c>
    </row>
    <row r="8" spans="1:14" x14ac:dyDescent="0.25">
      <c r="A8" s="65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60</v>
      </c>
      <c r="K8" s="1" t="s">
        <v>8</v>
      </c>
      <c r="L8" s="1">
        <v>80</v>
      </c>
    </row>
    <row r="9" spans="1:14" ht="15.75" thickBot="1" x14ac:dyDescent="0.3">
      <c r="A9" s="64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115</v>
      </c>
      <c r="K9" s="1" t="s">
        <v>8</v>
      </c>
      <c r="L9" s="1">
        <v>150</v>
      </c>
    </row>
    <row r="10" spans="1:14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500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21"/>
  <sheetViews>
    <sheetView workbookViewId="0">
      <selection activeCell="P9" sqref="P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3" t="s">
        <v>204</v>
      </c>
      <c r="D1" t="s">
        <v>214</v>
      </c>
    </row>
    <row r="2" spans="1:14" ht="15.75" thickBot="1" x14ac:dyDescent="0.3">
      <c r="A2" s="64" t="s">
        <v>205</v>
      </c>
    </row>
    <row r="3" spans="1:14" x14ac:dyDescent="0.25">
      <c r="A3" s="63" t="s">
        <v>209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4" t="s">
        <v>207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3" t="s">
        <v>210</v>
      </c>
    </row>
    <row r="6" spans="1:14" ht="15.75" thickBot="1" x14ac:dyDescent="0.3">
      <c r="A6" s="64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3" t="s">
        <v>211</v>
      </c>
    </row>
    <row r="8" spans="1:14" x14ac:dyDescent="0.25">
      <c r="A8" s="65" t="s">
        <v>201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4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ht="15.75" thickBot="1" x14ac:dyDescent="0.3">
      <c r="A10" s="168" t="str">
        <f>HYPERLINK("[OpenSolver Tester.xlsm]Results!A1", "&lt;- Results")</f>
        <v>&lt;- Results</v>
      </c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21"/>
  <sheetViews>
    <sheetView workbookViewId="0">
      <selection activeCell="D21" sqref="D2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36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3" t="s">
        <v>211</v>
      </c>
    </row>
    <row r="8" spans="1:10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4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85546875" customWidth="1"/>
    <col min="3" max="3" width="26.140625" customWidth="1"/>
  </cols>
  <sheetData>
    <row r="1" spans="1:15" x14ac:dyDescent="0.25">
      <c r="A1" s="63" t="s">
        <v>204</v>
      </c>
      <c r="C1" t="s">
        <v>37</v>
      </c>
    </row>
    <row r="2" spans="1:15" ht="44.25" thickBot="1" x14ac:dyDescent="0.3">
      <c r="A2" s="64" t="s">
        <v>205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3" t="s">
        <v>209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4" t="s">
        <v>208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3" t="s">
        <v>210</v>
      </c>
      <c r="C5" s="21" t="s">
        <v>46</v>
      </c>
      <c r="D5" s="22">
        <v>3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5.75" thickBot="1" x14ac:dyDescent="0.3">
      <c r="A6" s="64" t="b">
        <f>AND(K37)</f>
        <v>1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3" t="s">
        <v>211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5" t="s">
        <v>201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4">
        <f>VLOOKUP(A8,OpenSolverResultCodes,2,FALSE)</f>
        <v>0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t="15" customHeight="1" thickBot="1" x14ac:dyDescent="0.3">
      <c r="A10" s="168" t="str">
        <f>HYPERLINK("[OpenSolver Tester.xlsm]Results!A1", "&lt;- Results")</f>
        <v>&lt;- Results</v>
      </c>
      <c r="C10" s="21"/>
      <c r="D10" s="22">
        <v>100000</v>
      </c>
      <c r="E10" s="21"/>
      <c r="F10" s="21"/>
      <c r="G10" s="21"/>
      <c r="H10" s="21"/>
      <c r="I10" s="23"/>
      <c r="N10">
        <v>0</v>
      </c>
      <c r="O10" t="b">
        <f t="shared" si="0"/>
        <v>0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100000</v>
      </c>
      <c r="E15" s="21"/>
      <c r="F15" s="21"/>
      <c r="G15" s="21"/>
      <c r="H15" s="21"/>
      <c r="I15" s="23"/>
      <c r="N15">
        <v>0</v>
      </c>
      <c r="O15" t="b">
        <f t="shared" si="0"/>
        <v>0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4</v>
      </c>
      <c r="E18" s="28">
        <f>46*D18</f>
        <v>184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100000</v>
      </c>
      <c r="E20" s="21"/>
      <c r="F20" s="21"/>
      <c r="G20" s="21"/>
      <c r="H20" s="21"/>
      <c r="I20" s="23"/>
      <c r="N20">
        <v>0</v>
      </c>
      <c r="O20" t="b">
        <f t="shared" si="0"/>
        <v>0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100000</v>
      </c>
      <c r="E24" s="21"/>
      <c r="F24" s="21"/>
      <c r="G24" s="21"/>
      <c r="H24" s="21"/>
      <c r="I24" s="23"/>
      <c r="N24">
        <v>0</v>
      </c>
      <c r="O24" t="b">
        <f t="shared" si="0"/>
        <v>0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100000</v>
      </c>
      <c r="E29" s="21"/>
      <c r="F29" s="21"/>
      <c r="G29" s="21"/>
      <c r="H29" s="21"/>
      <c r="I29" s="23"/>
      <c r="N29">
        <v>0</v>
      </c>
      <c r="O29" t="b">
        <f t="shared" si="0"/>
        <v>0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3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100000</v>
      </c>
      <c r="E34" s="21"/>
      <c r="F34" s="21"/>
      <c r="G34" s="21"/>
      <c r="H34" s="21"/>
      <c r="I34" s="23"/>
      <c r="N34">
        <v>0</v>
      </c>
      <c r="O34" t="b">
        <f t="shared" si="0"/>
        <v>0</v>
      </c>
    </row>
    <row r="35" spans="3:17" x14ac:dyDescent="0.25">
      <c r="C35" s="24" t="s">
        <v>70</v>
      </c>
      <c r="D35" s="148">
        <v>0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1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1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1978</v>
      </c>
      <c r="F39">
        <f>SUMPRODUCT($D$3:$D$35,F3:F35)</f>
        <v>36</v>
      </c>
      <c r="G39">
        <f>SUMPRODUCT($D$3:$D$35,G3:G35)</f>
        <v>57</v>
      </c>
      <c r="H39">
        <f>SUMPRODUCT($D$3:$D$35,H3:H35)</f>
        <v>3024</v>
      </c>
      <c r="I39">
        <f>SUMPRODUCT($D$3:$D$35,I3:I35)</f>
        <v>4.3499999999999996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1978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1978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-368.29999999999995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57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3024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.42578125" style="66" customWidth="1"/>
  </cols>
  <sheetData>
    <row r="1" spans="1:10" x14ac:dyDescent="0.25">
      <c r="A1" s="63" t="s">
        <v>204</v>
      </c>
      <c r="C1" t="s">
        <v>80</v>
      </c>
    </row>
    <row r="2" spans="1:10" ht="15.75" thickBot="1" x14ac:dyDescent="0.3">
      <c r="A2" s="64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3" t="s">
        <v>209</v>
      </c>
      <c r="D3" s="1">
        <v>0</v>
      </c>
      <c r="E3" s="1">
        <v>5.2941176432347898</v>
      </c>
      <c r="F3" s="146">
        <v>0</v>
      </c>
      <c r="G3" s="1"/>
    </row>
    <row r="4" spans="1:10" ht="15.75" thickBot="1" x14ac:dyDescent="0.3">
      <c r="A4" s="64" t="s">
        <v>208</v>
      </c>
      <c r="D4" s="1"/>
      <c r="E4" s="1"/>
      <c r="F4" s="1"/>
      <c r="G4" s="1"/>
      <c r="H4" s="1"/>
      <c r="I4" s="1"/>
      <c r="J4" s="1"/>
    </row>
    <row r="5" spans="1:10" x14ac:dyDescent="0.25">
      <c r="A5" s="63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252.24913458368897</v>
      </c>
      <c r="I5" s="1"/>
      <c r="J5" s="1"/>
    </row>
    <row r="6" spans="1:10" ht="15.75" thickBot="1" x14ac:dyDescent="0.3">
      <c r="A6" s="64" t="b">
        <f>AND(D16,E16,F16,D20)</f>
        <v>1</v>
      </c>
      <c r="D6" s="1"/>
      <c r="E6" s="1"/>
      <c r="F6" s="1"/>
      <c r="G6" s="1"/>
      <c r="H6" s="1"/>
      <c r="I6" s="1"/>
      <c r="J6" s="1"/>
    </row>
    <row r="7" spans="1:10" x14ac:dyDescent="0.25">
      <c r="A7" s="63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58.235294075582686</v>
      </c>
      <c r="I7" s="1" t="s">
        <v>8</v>
      </c>
      <c r="J7" s="1">
        <v>60</v>
      </c>
    </row>
    <row r="8" spans="1:10" x14ac:dyDescent="0.25">
      <c r="A8" s="65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</f>
        <v>116.47058815116537</v>
      </c>
      <c r="I8" s="1" t="s">
        <v>8</v>
      </c>
      <c r="J8" s="1">
        <v>150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116.47058815116537</v>
      </c>
      <c r="I9" s="1" t="s">
        <v>9</v>
      </c>
      <c r="J9" s="1">
        <v>110</v>
      </c>
    </row>
    <row r="10" spans="1:10" ht="15.75" thickBot="1" x14ac:dyDescent="0.3">
      <c r="A10" s="168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179.99999986998284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20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85546875" customWidth="1"/>
  </cols>
  <sheetData>
    <row r="1" spans="1:12" x14ac:dyDescent="0.25">
      <c r="A1" s="63" t="s">
        <v>204</v>
      </c>
      <c r="C1" t="s">
        <v>82</v>
      </c>
    </row>
    <row r="2" spans="1:12" ht="15.75" thickBot="1" x14ac:dyDescent="0.3">
      <c r="A2" s="64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3" t="s">
        <v>209</v>
      </c>
      <c r="D3" s="1">
        <v>0</v>
      </c>
      <c r="E3" s="1">
        <v>5.2941176432347898</v>
      </c>
      <c r="F3" s="146">
        <v>0</v>
      </c>
      <c r="G3" s="1"/>
    </row>
    <row r="4" spans="1:12" ht="15.75" thickBot="1" x14ac:dyDescent="0.3">
      <c r="A4" s="64" t="s">
        <v>208</v>
      </c>
      <c r="D4" s="1"/>
      <c r="E4" s="1"/>
      <c r="F4" s="1"/>
      <c r="G4" s="1"/>
      <c r="H4" s="1"/>
      <c r="I4" s="1"/>
      <c r="J4" s="1"/>
    </row>
    <row r="5" spans="1:12" x14ac:dyDescent="0.25">
      <c r="A5" s="63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252.24913458368897</v>
      </c>
      <c r="I5" s="1"/>
      <c r="J5" s="1"/>
    </row>
    <row r="6" spans="1:12" ht="15.75" thickBot="1" x14ac:dyDescent="0.3">
      <c r="A6" s="64" t="b">
        <f>AND(D16,E16,F16,D20)</f>
        <v>1</v>
      </c>
      <c r="D6" s="1"/>
      <c r="E6" s="1"/>
      <c r="F6" s="1"/>
      <c r="G6" s="1"/>
      <c r="H6" s="1"/>
      <c r="I6" s="1"/>
      <c r="J6" s="1"/>
    </row>
    <row r="7" spans="1:12" x14ac:dyDescent="0.25">
      <c r="A7" s="63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58.235294075582686</v>
      </c>
      <c r="I7" s="1" t="s">
        <v>8</v>
      </c>
      <c r="J7" s="1">
        <v>60</v>
      </c>
    </row>
    <row r="8" spans="1:12" x14ac:dyDescent="0.25">
      <c r="A8" s="65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SUMPRODUCT($D$3:$F$3,D8:F8)*F3</f>
        <v>0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116.47058815116537</v>
      </c>
      <c r="I9" s="1" t="s">
        <v>9</v>
      </c>
      <c r="J9" s="1">
        <v>110</v>
      </c>
    </row>
    <row r="10" spans="1:12" ht="15.75" thickBot="1" x14ac:dyDescent="0.3">
      <c r="A10" s="168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179.99999986998284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O139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.42578125" style="66" customWidth="1"/>
  </cols>
  <sheetData>
    <row r="1" spans="1:15" x14ac:dyDescent="0.25">
      <c r="A1" s="63" t="s">
        <v>204</v>
      </c>
      <c r="C1" t="s">
        <v>357</v>
      </c>
      <c r="I1" s="149" t="s">
        <v>1</v>
      </c>
      <c r="J1" s="150" t="s">
        <v>2</v>
      </c>
      <c r="K1" s="150" t="s">
        <v>3</v>
      </c>
      <c r="L1" s="151" t="s">
        <v>356</v>
      </c>
    </row>
    <row r="2" spans="1:15" ht="15.75" thickBot="1" x14ac:dyDescent="0.3">
      <c r="A2" s="64" t="s">
        <v>205</v>
      </c>
      <c r="D2" s="31" t="s">
        <v>1</v>
      </c>
      <c r="E2" s="31" t="s">
        <v>2</v>
      </c>
      <c r="F2" s="31" t="s">
        <v>3</v>
      </c>
      <c r="G2" s="31"/>
      <c r="I2" s="152">
        <v>2.6182822537839598</v>
      </c>
      <c r="J2" s="35">
        <v>0</v>
      </c>
      <c r="K2" s="35">
        <v>0</v>
      </c>
      <c r="L2" s="153">
        <v>27.42160784192005</v>
      </c>
    </row>
    <row r="3" spans="1:15" ht="15.75" thickBot="1" x14ac:dyDescent="0.3">
      <c r="A3" s="63" t="s">
        <v>209</v>
      </c>
      <c r="D3" s="31">
        <v>2.6182822537944399</v>
      </c>
      <c r="E3" s="31">
        <v>0</v>
      </c>
      <c r="F3" s="31">
        <v>0</v>
      </c>
      <c r="G3" s="31"/>
      <c r="I3" s="154" t="b">
        <f>ABS(D3-I2)/(1+ABS(I2))&lt;=0.000001</f>
        <v>1</v>
      </c>
      <c r="J3" s="155" t="b">
        <f>ABS(E3-J2)/(1+ABS(J2))&lt;=0.000001</f>
        <v>1</v>
      </c>
      <c r="K3" s="155" t="b">
        <f>ABS(F3-K2)/(1+ABS(K2))&lt;=0.000001</f>
        <v>1</v>
      </c>
      <c r="L3" s="156" t="b">
        <f>ABS(L2-H5)/(1+ABS(L2))&lt;=0.000001</f>
        <v>1</v>
      </c>
      <c r="O3" s="147"/>
    </row>
    <row r="4" spans="1:15" ht="15.75" thickBot="1" x14ac:dyDescent="0.3">
      <c r="A4" s="64" t="s">
        <v>208</v>
      </c>
      <c r="D4" s="31"/>
      <c r="E4" s="31"/>
      <c r="F4" s="31"/>
      <c r="G4" s="31"/>
      <c r="O4" s="8"/>
    </row>
    <row r="5" spans="1:15" x14ac:dyDescent="0.25">
      <c r="A5" s="63" t="s">
        <v>210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27.421607842139569</v>
      </c>
      <c r="I5" s="31"/>
      <c r="J5" s="31"/>
      <c r="M5" s="147"/>
      <c r="N5" s="147"/>
      <c r="O5" s="147"/>
    </row>
    <row r="6" spans="1:15" ht="15.75" thickBot="1" x14ac:dyDescent="0.3">
      <c r="A6" s="64" t="b">
        <f>AND(I3,J3,K3,L3)</f>
        <v>1</v>
      </c>
      <c r="D6" s="31"/>
      <c r="E6" s="31"/>
      <c r="F6" s="31"/>
      <c r="G6" s="31"/>
      <c r="H6" s="31"/>
      <c r="I6" s="31"/>
      <c r="J6" s="31"/>
      <c r="L6" s="17"/>
      <c r="M6" s="147"/>
      <c r="N6" s="147"/>
      <c r="O6" s="147"/>
    </row>
    <row r="7" spans="1:15" x14ac:dyDescent="0.25">
      <c r="A7" s="63" t="s">
        <v>211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26.1828225379444</v>
      </c>
      <c r="I7" s="31" t="s">
        <v>8</v>
      </c>
      <c r="J7" s="31">
        <v>60</v>
      </c>
      <c r="M7" s="147"/>
      <c r="N7" s="147"/>
      <c r="O7" s="147"/>
    </row>
    <row r="8" spans="1:15" x14ac:dyDescent="0.25">
      <c r="A8" s="65" t="s">
        <v>201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0</v>
      </c>
      <c r="I8" s="31" t="s">
        <v>8</v>
      </c>
      <c r="J8" s="31">
        <v>150</v>
      </c>
      <c r="M8" s="8"/>
      <c r="N8" s="147"/>
      <c r="O8" s="147"/>
    </row>
    <row r="9" spans="1:15" ht="15.75" thickBot="1" x14ac:dyDescent="0.3">
      <c r="A9" s="64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198.94736850091599</v>
      </c>
      <c r="I9" s="31" t="s">
        <v>9</v>
      </c>
      <c r="J9" s="31">
        <v>110</v>
      </c>
    </row>
    <row r="10" spans="1:15" ht="15.75" thickBot="1" x14ac:dyDescent="0.3">
      <c r="A10" s="168" t="str">
        <f>HYPERLINK("[OpenSolver Tester.xlsm]Results!A1", "&lt;- Results")</f>
        <v>&lt;- Results</v>
      </c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198.94736850091599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198.94736850091599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198.94736850091599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198.94736850091599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198.94736850091599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198.94736850091599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198.94736850091599</v>
      </c>
      <c r="I16" s="31" t="s">
        <v>9</v>
      </c>
      <c r="J16" s="31">
        <v>110</v>
      </c>
      <c r="M16" s="147"/>
      <c r="N16" s="147"/>
      <c r="O16" s="147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198.94736850091599</v>
      </c>
      <c r="I17" s="31" t="s">
        <v>9</v>
      </c>
      <c r="J17" s="31">
        <v>110</v>
      </c>
      <c r="L17" s="17"/>
      <c r="M17" s="147"/>
      <c r="N17" s="147"/>
      <c r="O17" s="147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198.94736850091599</v>
      </c>
      <c r="I18" s="31" t="s">
        <v>9</v>
      </c>
      <c r="J18" s="31">
        <v>110</v>
      </c>
      <c r="N18" s="147"/>
      <c r="O18" s="147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198.94736850091599</v>
      </c>
      <c r="I19" s="31" t="s">
        <v>9</v>
      </c>
      <c r="J19" s="31">
        <v>110</v>
      </c>
      <c r="N19" s="147"/>
      <c r="O19" s="147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198.94736850091599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198.94736850091599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198.94736850091599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198.94736850091599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198.94736850091599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198.94736850091599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198.94736850091599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198.94736850091599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198.94736850091599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198.94736850091599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198.94736850091599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198.94736850091599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198.94736850091599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198.94736850091599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198.94736850091599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198.94736850091599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198.94736850091599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198.94736850091599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198.94736850091599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198.94736850091599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198.94736850091599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198.94736850091599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198.94736850091599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198.94736850091599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198.94736850091599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198.94736850091599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198.94736850091599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198.94736850091599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198.94736850091599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198.94736850091599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198.94736850091599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198.94736850091599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198.94736850091599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198.94736850091599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198.94736850091599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198.94736850091599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198.94736850091599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198.94736850091599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198.94736850091599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198.94736850091599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198.94736850091599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198.94736850091599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198.94736850091599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198.94736850091599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198.94736850091599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198.94736850091599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198.94736850091599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198.94736850091599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198.94736850091599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198.94736850091599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198.94736850091599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198.94736850091599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198.94736850091599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180.00000007225731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-1264.6303285827146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198.94736850091599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198.94736850091599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198.94736850091599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198.94736850091599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198.94736850091599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198.94736850091599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198.94736850091599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198.94736850091599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198.94736850091599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198.94736850091599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198.94736850091599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198.94736850091599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198.94736850091599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198.94736850091599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198.94736850091599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198.94736850091599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198.94736850091599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198.94736850091599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198.94736850091599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198.94736850091599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198.94736850091599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198.94736850091599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198.94736850091599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198.94736850091599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198.94736850091599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198.94736850091599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198.94736850091599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198.94736850091599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198.94736850091599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198.94736850091599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198.94736850091599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198.94736850091599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198.94736850091599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198.94736850091599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198.94736850091599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198.94736850091599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198.94736850091599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198.94736850091599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198.94736850091599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198.94736850091599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198.94736850091599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198.94736850091599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198.94736850091599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198.94736850091599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198.94736850091599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198.94736850091599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198.94736850091599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198.94736850091599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198.94736850091599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198.94736850091599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198.94736850091599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198.94736850091599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198.94736850091599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198.94736850091599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198.94736850091599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198.94736850091599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198.94736850091599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198.94736850091599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198.94736850091599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198.94736850091599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198.94736850091599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198.94736850091599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198.94736850091599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198.94736850091599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180.00000007225731</v>
      </c>
      <c r="I139" s="31" t="s">
        <v>10</v>
      </c>
      <c r="J139" s="31">
        <v>180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86</v>
      </c>
    </row>
    <row r="2" spans="1:12" ht="15.75" thickBot="1" x14ac:dyDescent="0.3">
      <c r="A2" s="64" t="s">
        <v>205</v>
      </c>
      <c r="D2" s="18" t="s">
        <v>88</v>
      </c>
    </row>
    <row r="3" spans="1:12" x14ac:dyDescent="0.25">
      <c r="A3" s="63" t="s">
        <v>209</v>
      </c>
    </row>
    <row r="4" spans="1:12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3" t="s">
        <v>210</v>
      </c>
      <c r="D5" s="1">
        <v>-4.0000000399690903</v>
      </c>
      <c r="E5" s="1">
        <v>7.52941177763116</v>
      </c>
      <c r="F5" s="1">
        <v>0</v>
      </c>
      <c r="H5"/>
      <c r="I5"/>
      <c r="J5"/>
    </row>
    <row r="6" spans="1:12" ht="15.75" thickBot="1" x14ac:dyDescent="0.3">
      <c r="A6" s="64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14.588235252955299</v>
      </c>
    </row>
    <row r="9" spans="1:12" ht="15.75" thickBot="1" x14ac:dyDescent="0.3">
      <c r="A9" s="64">
        <f>VLOOKUP(A8,OpenSolverResultCodes,2,FALSE)</f>
        <v>0</v>
      </c>
    </row>
    <row r="10" spans="1:12" ht="15.75" thickBot="1" x14ac:dyDescent="0.3">
      <c r="A10" s="168" t="str">
        <f>HYPERLINK("[OpenSolver Tester.xlsm]Results!A1", "&lt;- Results")</f>
        <v>&lt;- Results</v>
      </c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42.823529154251858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81.647058268534636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179.9999996800467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1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1"/>
      <c r="C21" s="17" t="s">
        <v>16</v>
      </c>
    </row>
    <row r="22" spans="1:6" s="1" customFormat="1" x14ac:dyDescent="0.25">
      <c r="A22" s="61"/>
      <c r="C22"/>
      <c r="D22" s="1">
        <v>14.588235294117649</v>
      </c>
    </row>
    <row r="23" spans="1:6" s="1" customFormat="1" x14ac:dyDescent="0.25">
      <c r="A23" s="61"/>
      <c r="C23" t="s">
        <v>17</v>
      </c>
      <c r="D23" s="8" t="b">
        <f>ABS(D22-H8)/(1+ABS(D22))&lt;=0.000001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J22"/>
  <sheetViews>
    <sheetView workbookViewId="0">
      <selection activeCell="K6" sqref="K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4" t="s">
        <v>207</v>
      </c>
      <c r="D4" s="54">
        <v>-1.0000000099949999</v>
      </c>
      <c r="E4" s="54">
        <v>-2.0000000199966701</v>
      </c>
      <c r="F4" s="146">
        <v>-9.9975000000010297E-9</v>
      </c>
      <c r="H4"/>
      <c r="I4"/>
      <c r="J4"/>
    </row>
    <row r="5" spans="1:10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4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3" t="s">
        <v>211</v>
      </c>
    </row>
    <row r="8" spans="1:10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-8.0000001199700108</v>
      </c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68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-1.0000000099949999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-2.0000000199966701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-9.9975000000010297E-9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J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4" t="s">
        <v>207</v>
      </c>
      <c r="D4" s="146">
        <v>-2.0000000199949999</v>
      </c>
      <c r="E4" s="54">
        <v>-2.0000000199966701</v>
      </c>
      <c r="F4" s="54">
        <v>-2.0000000199975001</v>
      </c>
      <c r="H4"/>
      <c r="I4"/>
      <c r="J4"/>
    </row>
    <row r="5" spans="1:10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4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3" t="s">
        <v>211</v>
      </c>
    </row>
    <row r="8" spans="1:10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-18.000000179970009</v>
      </c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68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-2.0000000199949999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-2.0000000199966701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-2.0000000199975001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0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  <c r="D2" s="18" t="s">
        <v>164</v>
      </c>
    </row>
    <row r="3" spans="1:10" x14ac:dyDescent="0.25">
      <c r="A3" s="63" t="s">
        <v>209</v>
      </c>
      <c r="D3" s="18"/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146">
        <v>-2.0000000199949999</v>
      </c>
      <c r="E5" s="54">
        <v>-2.0000000199966701</v>
      </c>
      <c r="F5" s="54">
        <v>0</v>
      </c>
      <c r="H5"/>
      <c r="I5"/>
      <c r="J5"/>
    </row>
    <row r="6" spans="1:10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3" t="s">
        <v>211</v>
      </c>
      <c r="C7" s="16" t="s">
        <v>162</v>
      </c>
      <c r="E7" s="54">
        <v>-2</v>
      </c>
      <c r="H7"/>
      <c r="I7"/>
      <c r="J7"/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-10.00000009998001</v>
      </c>
    </row>
    <row r="10" spans="1:10" ht="15.75" thickBot="1" x14ac:dyDescent="0.3">
      <c r="A10" s="168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-2.0000000199949999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-2.0000000199966701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-10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J23"/>
  <sheetViews>
    <sheetView workbookViewId="0">
      <selection activeCell="N11" sqref="N1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  <c r="D2" s="18" t="s">
        <v>164</v>
      </c>
    </row>
    <row r="3" spans="1:10" x14ac:dyDescent="0.25">
      <c r="A3" s="63" t="s">
        <v>209</v>
      </c>
      <c r="D3" s="18" t="s">
        <v>165</v>
      </c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146">
        <v>-1.9000000189950099</v>
      </c>
      <c r="E5" s="54">
        <v>-1</v>
      </c>
      <c r="F5" s="54">
        <v>0</v>
      </c>
      <c r="H5"/>
      <c r="I5"/>
      <c r="J5"/>
    </row>
    <row r="6" spans="1:10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3" t="s">
        <v>211</v>
      </c>
      <c r="C7" s="16" t="s">
        <v>162</v>
      </c>
      <c r="E7" s="54">
        <v>-1.9</v>
      </c>
      <c r="H7"/>
      <c r="I7"/>
      <c r="J7"/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-6.8000000379900198</v>
      </c>
    </row>
    <row r="10" spans="1:10" ht="15.75" thickBot="1" x14ac:dyDescent="0.3">
      <c r="A10" s="168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-1.9000000189950099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-6.8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173" customWidth="1"/>
    <col min="5" max="5" width="7.28515625" style="173" customWidth="1"/>
    <col min="6" max="6" width="5.140625" style="173" customWidth="1"/>
    <col min="7" max="7" width="3.140625" style="173" customWidth="1"/>
    <col min="8" max="8" width="8.42578125" style="173" customWidth="1"/>
    <col min="9" max="9" width="3" style="173" bestFit="1" customWidth="1"/>
    <col min="10" max="10" width="6" style="173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206</v>
      </c>
      <c r="D2" s="18" t="s">
        <v>164</v>
      </c>
    </row>
    <row r="3" spans="1:10" x14ac:dyDescent="0.25">
      <c r="A3" s="63" t="s">
        <v>209</v>
      </c>
      <c r="D3" s="18" t="s">
        <v>165</v>
      </c>
    </row>
    <row r="4" spans="1:10" ht="15.75" thickBot="1" x14ac:dyDescent="0.3">
      <c r="A4" s="64" t="s">
        <v>207</v>
      </c>
      <c r="D4" s="173" t="s">
        <v>1</v>
      </c>
      <c r="E4" s="173" t="s">
        <v>2</v>
      </c>
      <c r="F4" s="173" t="s">
        <v>3</v>
      </c>
    </row>
    <row r="5" spans="1:10" x14ac:dyDescent="0.25">
      <c r="A5" s="63" t="s">
        <v>210</v>
      </c>
      <c r="D5" s="146">
        <v>-1.9000000189949999</v>
      </c>
      <c r="E5" s="173">
        <v>-1.9000000189966699</v>
      </c>
      <c r="F5" s="173">
        <v>0</v>
      </c>
      <c r="H5"/>
      <c r="I5"/>
      <c r="J5"/>
    </row>
    <row r="6" spans="1:10" ht="15.75" thickBot="1" x14ac:dyDescent="0.3">
      <c r="A6" s="64" t="b">
        <f>AND(D19,E19,F19,D23)</f>
        <v>1</v>
      </c>
      <c r="D6" s="173" t="s">
        <v>9</v>
      </c>
      <c r="E6" s="173" t="s">
        <v>9</v>
      </c>
      <c r="F6" s="173" t="s">
        <v>9</v>
      </c>
      <c r="H6"/>
      <c r="I6"/>
      <c r="J6"/>
    </row>
    <row r="7" spans="1:10" x14ac:dyDescent="0.25">
      <c r="A7" s="63" t="s">
        <v>211</v>
      </c>
      <c r="C7" s="16" t="s">
        <v>162</v>
      </c>
      <c r="E7" s="173">
        <v>-1.9</v>
      </c>
      <c r="H7"/>
      <c r="I7"/>
      <c r="J7"/>
    </row>
    <row r="8" spans="1:10" x14ac:dyDescent="0.25">
      <c r="A8" s="65"/>
    </row>
    <row r="9" spans="1:10" ht="15.75" thickBot="1" x14ac:dyDescent="0.3">
      <c r="A9" s="64" t="e">
        <f>VLOOKUP(A8,OpenSolverResultCodes,2,FALSE)</f>
        <v>#N/A</v>
      </c>
      <c r="C9" s="16" t="s">
        <v>0</v>
      </c>
      <c r="D9" s="173">
        <v>2</v>
      </c>
      <c r="E9" s="173">
        <v>3</v>
      </c>
      <c r="F9" s="173">
        <v>4</v>
      </c>
      <c r="H9" s="173">
        <f>SUMPRODUCT($D$5:$F$5,D9:F9)</f>
        <v>-9.5000000949800096</v>
      </c>
    </row>
    <row r="10" spans="1:10" ht="15.75" thickBot="1" x14ac:dyDescent="0.3">
      <c r="A10" s="168" t="str">
        <f>HYPERLINK("[OpenSolver Tester.xlsm]Results!A1", "&lt;- Results")</f>
        <v>&lt;- Results</v>
      </c>
    </row>
    <row r="11" spans="1:10" x14ac:dyDescent="0.25">
      <c r="C11" s="16" t="s">
        <v>4</v>
      </c>
      <c r="D11" s="173">
        <v>1</v>
      </c>
      <c r="H11" s="173">
        <f>SUMPRODUCT($D$5:$F$5,D11:F11)+5*P10</f>
        <v>-1.9000000189949999</v>
      </c>
      <c r="I11" s="173" t="s">
        <v>9</v>
      </c>
      <c r="J11" s="173">
        <v>-50</v>
      </c>
    </row>
    <row r="12" spans="1:10" x14ac:dyDescent="0.25">
      <c r="E12" s="173">
        <v>1</v>
      </c>
      <c r="H12" s="173">
        <f>SUMPRODUCT($D$5:$F$5,D12:F12)</f>
        <v>-1.9000000189966699</v>
      </c>
      <c r="I12" s="173" t="s">
        <v>9</v>
      </c>
      <c r="J12" s="173">
        <v>-50</v>
      </c>
    </row>
    <row r="13" spans="1:10" x14ac:dyDescent="0.25">
      <c r="F13" s="173">
        <v>1</v>
      </c>
      <c r="H13" s="173">
        <f>SUMPRODUCT($D$5:$F$5,D13:F13)</f>
        <v>0</v>
      </c>
      <c r="I13" s="173" t="s">
        <v>9</v>
      </c>
      <c r="J13" s="173">
        <v>-50</v>
      </c>
    </row>
    <row r="17" spans="1:6" x14ac:dyDescent="0.25">
      <c r="C17" s="56" t="s">
        <v>15</v>
      </c>
    </row>
    <row r="18" spans="1:6" s="173" customFormat="1" x14ac:dyDescent="0.25">
      <c r="A18" s="61"/>
      <c r="C18" s="16"/>
      <c r="D18" s="173">
        <v>-1.9</v>
      </c>
      <c r="E18" s="173">
        <v>-1.9</v>
      </c>
      <c r="F18" s="173">
        <v>0</v>
      </c>
    </row>
    <row r="19" spans="1:6" s="173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73" customFormat="1" x14ac:dyDescent="0.25">
      <c r="A21" s="61"/>
      <c r="C21" s="56" t="s">
        <v>16</v>
      </c>
    </row>
    <row r="22" spans="1:6" s="173" customFormat="1" x14ac:dyDescent="0.25">
      <c r="A22" s="61"/>
      <c r="C22" s="16"/>
      <c r="D22" s="173">
        <v>-9.5</v>
      </c>
    </row>
    <row r="23" spans="1:6" s="173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J24"/>
  <sheetViews>
    <sheetView workbookViewId="0">
      <selection activeCell="L51" sqref="L5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166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4" t="b">
        <f>AND(D20,E20,F20,D24)</f>
        <v>1</v>
      </c>
      <c r="D6" s="54">
        <v>-1.0000000099949999</v>
      </c>
      <c r="E6" s="54">
        <v>-2.0000000199966701</v>
      </c>
      <c r="F6" s="146">
        <v>-9.9975000000010297E-9</v>
      </c>
      <c r="G6" s="54">
        <v>0</v>
      </c>
      <c r="H6">
        <v>0</v>
      </c>
      <c r="I6"/>
      <c r="J6"/>
    </row>
    <row r="7" spans="1:10" x14ac:dyDescent="0.25">
      <c r="A7" s="63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68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-8.0000001199700108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-1.0000000099949999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-2.0000000199966701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-9.9975000000010297E-9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J24"/>
  <sheetViews>
    <sheetView workbookViewId="0">
      <selection activeCell="J20" sqref="J2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170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4" t="b">
        <f>AND(D20,E20,F20,D24)</f>
        <v>1</v>
      </c>
      <c r="D6" s="54">
        <v>0</v>
      </c>
      <c r="E6" s="54">
        <v>-2.0000000199966701</v>
      </c>
      <c r="F6" s="146">
        <v>-9.9975000000010198E-9</v>
      </c>
      <c r="G6" s="54">
        <v>0</v>
      </c>
      <c r="H6">
        <v>0</v>
      </c>
      <c r="I6"/>
      <c r="J6"/>
    </row>
    <row r="7" spans="1:10" x14ac:dyDescent="0.25">
      <c r="A7" s="63" t="s">
        <v>211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68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-6.00000009998001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-2.0000000199966701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-9.9975000000010198E-9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J24"/>
  <sheetViews>
    <sheetView workbookViewId="0">
      <selection activeCell="K21" sqref="K2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171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4" t="b">
        <f>AND(D20,E20,F20,D24)</f>
        <v>1</v>
      </c>
      <c r="D6" s="54">
        <v>-1.0000000099949999</v>
      </c>
      <c r="E6" s="54">
        <v>-2.0000000199966701</v>
      </c>
      <c r="F6" s="146">
        <v>-9.9975000000022605E-9</v>
      </c>
      <c r="G6" s="54">
        <v>0</v>
      </c>
      <c r="H6">
        <f>SUM(D6:F6)</f>
        <v>-3.0000000399891702</v>
      </c>
      <c r="I6" t="s">
        <v>172</v>
      </c>
      <c r="J6"/>
    </row>
    <row r="7" spans="1:10" x14ac:dyDescent="0.25">
      <c r="A7" s="63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68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-8.0000001199700108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-1.0000000099949999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-2.0000000199966701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-9.9975000000022605E-9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M22"/>
  <sheetViews>
    <sheetView workbookViewId="0">
      <selection activeCell="Q29" sqref="Q2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174</v>
      </c>
    </row>
    <row r="2" spans="1:13" ht="15.75" thickBot="1" x14ac:dyDescent="0.3">
      <c r="A2" s="64" t="s">
        <v>205</v>
      </c>
    </row>
    <row r="3" spans="1:13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4" t="s">
        <v>207</v>
      </c>
      <c r="D4" s="146">
        <v>-2.0000000099949999</v>
      </c>
      <c r="E4" s="146">
        <v>-2.0000000099966702</v>
      </c>
      <c r="F4" s="54">
        <v>-2.0000000099975002</v>
      </c>
      <c r="H4"/>
      <c r="I4"/>
      <c r="J4"/>
    </row>
    <row r="5" spans="1:13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4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3" t="s">
        <v>211</v>
      </c>
    </row>
    <row r="8" spans="1:13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-18.000000089970008</v>
      </c>
    </row>
    <row r="9" spans="1:13" ht="15.75" thickBot="1" x14ac:dyDescent="0.3">
      <c r="A9" s="64">
        <f>VLOOKUP(A8,OpenSolverResultCodes,2,FALSE)</f>
        <v>0</v>
      </c>
    </row>
    <row r="10" spans="1:13" ht="15.75" thickBot="1" x14ac:dyDescent="0.3">
      <c r="A10" s="168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-2.0000000099949999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-2.0000000099966702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-2.0000000099975002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M23"/>
  <sheetViews>
    <sheetView workbookViewId="0">
      <selection activeCell="L8" sqref="L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42578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176</v>
      </c>
    </row>
    <row r="2" spans="1:13" ht="15.75" thickBot="1" x14ac:dyDescent="0.3">
      <c r="A2" s="64" t="s">
        <v>205</v>
      </c>
      <c r="D2" s="18" t="s">
        <v>177</v>
      </c>
    </row>
    <row r="3" spans="1:13" x14ac:dyDescent="0.25">
      <c r="A3" s="63" t="s">
        <v>209</v>
      </c>
      <c r="D3" s="18" t="s">
        <v>359</v>
      </c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-2.0000000099101101</v>
      </c>
      <c r="E5" s="146">
        <v>0</v>
      </c>
      <c r="F5" s="146">
        <v>0</v>
      </c>
      <c r="H5"/>
      <c r="I5"/>
      <c r="J5"/>
    </row>
    <row r="6" spans="1:13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3" t="s">
        <v>211</v>
      </c>
      <c r="C7" s="16" t="s">
        <v>162</v>
      </c>
      <c r="D7" s="54">
        <f>L7</f>
        <v>-2</v>
      </c>
      <c r="E7" s="54">
        <f>D5</f>
        <v>-2.0000000099101101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-4.0000000198202201</v>
      </c>
    </row>
    <row r="10" spans="1:13" ht="15.75" thickBot="1" x14ac:dyDescent="0.3">
      <c r="A10" s="168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-2.0000000099101101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-4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M23"/>
  <sheetViews>
    <sheetView workbookViewId="0">
      <selection activeCell="H13" sqref="H13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178</v>
      </c>
    </row>
    <row r="2" spans="1:13" ht="15.75" thickBot="1" x14ac:dyDescent="0.3">
      <c r="A2" s="64" t="s">
        <v>205</v>
      </c>
      <c r="D2" s="18" t="s">
        <v>177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68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179</v>
      </c>
    </row>
    <row r="2" spans="1:13" ht="15.75" thickBot="1" x14ac:dyDescent="0.3">
      <c r="A2" s="64" t="s">
        <v>205</v>
      </c>
      <c r="D2" s="18" t="s">
        <v>180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146">
        <v>-10.000000099995001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-20.000000199990001</v>
      </c>
    </row>
    <row r="10" spans="1:13" ht="15.75" thickBot="1" x14ac:dyDescent="0.3">
      <c r="A10" s="168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-10.000000099995001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-20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M23"/>
  <sheetViews>
    <sheetView workbookViewId="0">
      <selection activeCell="N15" sqref="N15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181</v>
      </c>
    </row>
    <row r="2" spans="1:13" ht="15.75" thickBot="1" x14ac:dyDescent="0.3">
      <c r="A2" s="64" t="s">
        <v>205</v>
      </c>
      <c r="D2" s="18" t="s">
        <v>182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146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68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372</v>
      </c>
    </row>
    <row r="2" spans="1:13" ht="15.75" thickBot="1" x14ac:dyDescent="0.3">
      <c r="A2" s="64" t="s">
        <v>205</v>
      </c>
      <c r="D2" s="18" t="s">
        <v>373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3" t="s">
        <v>211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68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N22"/>
  <sheetViews>
    <sheetView workbookViewId="0">
      <selection activeCell="N9" sqref="N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42578125" bestFit="1" customWidth="1"/>
  </cols>
  <sheetData>
    <row r="1" spans="1:14" x14ac:dyDescent="0.25">
      <c r="A1" s="63" t="s">
        <v>204</v>
      </c>
      <c r="C1" t="s">
        <v>187</v>
      </c>
    </row>
    <row r="2" spans="1:14" ht="15.75" thickBot="1" x14ac:dyDescent="0.3">
      <c r="A2" s="64" t="s">
        <v>206</v>
      </c>
      <c r="C2" t="s">
        <v>188</v>
      </c>
    </row>
    <row r="3" spans="1:14" x14ac:dyDescent="0.25">
      <c r="A3" s="63" t="s">
        <v>209</v>
      </c>
    </row>
    <row r="4" spans="1:14" ht="15.75" thickBot="1" x14ac:dyDescent="0.3">
      <c r="A4" s="64" t="s">
        <v>207</v>
      </c>
      <c r="D4" s="55" t="s">
        <v>1</v>
      </c>
      <c r="E4" s="55" t="s">
        <v>2</v>
      </c>
      <c r="F4" s="55" t="s">
        <v>3</v>
      </c>
    </row>
    <row r="5" spans="1:14" x14ac:dyDescent="0.25">
      <c r="A5" s="63" t="s">
        <v>210</v>
      </c>
      <c r="D5" s="55">
        <v>0</v>
      </c>
      <c r="E5" s="55">
        <v>5.2941176432133004</v>
      </c>
      <c r="F5" s="55">
        <v>0</v>
      </c>
      <c r="H5"/>
      <c r="I5"/>
      <c r="J5"/>
    </row>
    <row r="6" spans="1:14" ht="15.75" thickBot="1" x14ac:dyDescent="0.3">
      <c r="A6" s="64" t="b">
        <f>AND(D18,E18,F18,D22)</f>
        <v>1</v>
      </c>
    </row>
    <row r="7" spans="1:14" x14ac:dyDescent="0.25">
      <c r="A7" s="63" t="s">
        <v>211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15.8823529296399</v>
      </c>
      <c r="M7" t="s">
        <v>189</v>
      </c>
    </row>
    <row r="8" spans="1:14" x14ac:dyDescent="0.25">
      <c r="A8" s="65" t="s">
        <v>201</v>
      </c>
      <c r="M8" s="58" t="s">
        <v>191</v>
      </c>
      <c r="N8" s="58" t="s">
        <v>190</v>
      </c>
    </row>
    <row r="9" spans="1:14" ht="15.75" thickBot="1" x14ac:dyDescent="0.3">
      <c r="A9" s="64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58.235294075346303</v>
      </c>
      <c r="I9" s="55" t="s">
        <v>8</v>
      </c>
      <c r="J9" s="55">
        <v>60</v>
      </c>
      <c r="M9" s="58">
        <f ca="1">N9+1</f>
        <v>408999</v>
      </c>
      <c r="N9" s="58">
        <f ca="1">M9+1</f>
        <v>409000</v>
      </c>
    </row>
    <row r="10" spans="1:14" ht="15.75" thickBot="1" x14ac:dyDescent="0.3">
      <c r="A10" s="168" t="str">
        <f>HYPERLINK("[OpenSolver Tester.xlsm]Results!A1", "&lt;- Results")</f>
        <v>&lt;- Results</v>
      </c>
      <c r="D10" s="55">
        <v>21</v>
      </c>
      <c r="E10" s="55">
        <v>22</v>
      </c>
      <c r="F10" s="55">
        <v>23</v>
      </c>
      <c r="H10" s="55">
        <f>SUMPRODUCT($D$5:$F$5,D10:F10)</f>
        <v>116.47058815069261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116.47058815069261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179.99999986925221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1"/>
      <c r="C20" s="17" t="s">
        <v>16</v>
      </c>
    </row>
    <row r="21" spans="1:6" s="55" customFormat="1" x14ac:dyDescent="0.25">
      <c r="A21" s="61"/>
      <c r="C21"/>
      <c r="D21" s="55">
        <v>15.882352941176622</v>
      </c>
    </row>
    <row r="22" spans="1:6" s="55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J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4.42578125" customWidth="1"/>
  </cols>
  <sheetData>
    <row r="1" spans="1:10" x14ac:dyDescent="0.25">
      <c r="A1" s="63" t="s">
        <v>204</v>
      </c>
      <c r="B1" t="s">
        <v>192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C3" t="s">
        <v>27</v>
      </c>
      <c r="D3" s="57"/>
      <c r="E3" s="57"/>
      <c r="F3" s="57"/>
      <c r="G3" s="57"/>
      <c r="H3" s="57"/>
      <c r="I3" s="57"/>
      <c r="J3" s="57"/>
    </row>
    <row r="4" spans="1:10" ht="15.75" thickBot="1" x14ac:dyDescent="0.3">
      <c r="A4" s="64" t="s">
        <v>207</v>
      </c>
      <c r="D4" s="57"/>
      <c r="E4" s="57"/>
      <c r="F4" s="57"/>
      <c r="G4" s="57"/>
      <c r="H4" s="57"/>
      <c r="I4" s="57"/>
      <c r="J4" s="57"/>
    </row>
    <row r="5" spans="1:10" x14ac:dyDescent="0.25">
      <c r="A5" s="63" t="s">
        <v>210</v>
      </c>
      <c r="D5" s="57"/>
      <c r="E5" s="57"/>
      <c r="F5" s="57"/>
      <c r="G5" s="57"/>
      <c r="H5" s="57"/>
      <c r="I5" s="57"/>
      <c r="J5" s="57"/>
    </row>
    <row r="6" spans="1:10" ht="15.75" thickBot="1" x14ac:dyDescent="0.3">
      <c r="A6" s="64" t="b">
        <v>1</v>
      </c>
      <c r="D6" s="57" t="s">
        <v>1</v>
      </c>
      <c r="E6" s="57" t="s">
        <v>2</v>
      </c>
      <c r="F6" s="57" t="s">
        <v>3</v>
      </c>
      <c r="G6" s="57"/>
      <c r="H6" s="57"/>
      <c r="I6" s="57"/>
      <c r="J6" s="57"/>
    </row>
    <row r="7" spans="1:10" x14ac:dyDescent="0.25">
      <c r="A7" s="63" t="s">
        <v>211</v>
      </c>
      <c r="D7" s="57">
        <v>0</v>
      </c>
      <c r="E7" s="57">
        <v>0</v>
      </c>
      <c r="F7" s="57">
        <v>0</v>
      </c>
      <c r="G7" s="57"/>
    </row>
    <row r="8" spans="1:10" x14ac:dyDescent="0.25">
      <c r="A8" s="65" t="s">
        <v>27</v>
      </c>
      <c r="D8" s="57"/>
      <c r="E8" s="57"/>
      <c r="F8" s="57"/>
      <c r="G8" s="57"/>
      <c r="H8" s="57"/>
      <c r="I8" s="57"/>
      <c r="J8" s="57"/>
    </row>
    <row r="9" spans="1:10" ht="15.75" thickBot="1" x14ac:dyDescent="0.3">
      <c r="A9" s="64">
        <f>VLOOKUP(A8,OpenSolverResultCodes,2,FALSE)</f>
        <v>5</v>
      </c>
      <c r="C9" t="s">
        <v>0</v>
      </c>
      <c r="D9" s="57">
        <v>2</v>
      </c>
      <c r="E9" s="57">
        <v>3</v>
      </c>
      <c r="F9" s="57">
        <v>4</v>
      </c>
      <c r="G9" s="57"/>
      <c r="H9" s="57">
        <f>SUMPRODUCT($D$7:$F$7,D9:F9)+5*P8</f>
        <v>0</v>
      </c>
      <c r="I9" s="57"/>
      <c r="J9" s="57"/>
    </row>
    <row r="10" spans="1:10" ht="15.75" thickBot="1" x14ac:dyDescent="0.3">
      <c r="A10" s="168" t="str">
        <f>HYPERLINK("[OpenSolver Tester.xlsm]Results!A1", "&lt;- Results")</f>
        <v>&lt;- Results</v>
      </c>
      <c r="D10" s="57"/>
      <c r="E10" s="57"/>
      <c r="F10" s="57"/>
      <c r="G10" s="57"/>
      <c r="H10" s="57"/>
      <c r="I10" s="57"/>
      <c r="J10" s="57"/>
    </row>
    <row r="11" spans="1:10" x14ac:dyDescent="0.25">
      <c r="C11" t="s">
        <v>4</v>
      </c>
      <c r="D11" s="57">
        <v>10</v>
      </c>
      <c r="E11" s="57">
        <v>11</v>
      </c>
      <c r="F11" s="57">
        <v>12</v>
      </c>
      <c r="G11" s="57"/>
      <c r="H11" s="57">
        <f>SUMPRODUCT($D$7:$F$7,D11:F11)+5*P10</f>
        <v>0</v>
      </c>
      <c r="I11" s="57" t="s">
        <v>8</v>
      </c>
      <c r="J11" s="57">
        <v>60</v>
      </c>
    </row>
    <row r="12" spans="1:10" x14ac:dyDescent="0.25">
      <c r="D12" s="57">
        <v>21</v>
      </c>
      <c r="E12" s="57">
        <v>22</v>
      </c>
      <c r="F12" s="57">
        <v>23</v>
      </c>
      <c r="G12" s="57"/>
      <c r="H12" s="57">
        <f>SUMPRODUCT($D$7:$F$7,D12:F12)+5*P11</f>
        <v>0</v>
      </c>
      <c r="I12" s="57" t="s">
        <v>8</v>
      </c>
      <c r="J12" s="57">
        <v>150</v>
      </c>
    </row>
    <row r="13" spans="1:10" x14ac:dyDescent="0.25">
      <c r="D13" s="57">
        <v>21</v>
      </c>
      <c r="E13" s="57">
        <v>22</v>
      </c>
      <c r="F13" s="57">
        <v>-23</v>
      </c>
      <c r="G13" s="57"/>
      <c r="H13" s="57">
        <f>SUMPRODUCT($D$7:$F$7,D13:F13)+5*P12</f>
        <v>0</v>
      </c>
      <c r="I13" s="57" t="s">
        <v>9</v>
      </c>
      <c r="J13" s="57">
        <v>200</v>
      </c>
    </row>
    <row r="14" spans="1:10" x14ac:dyDescent="0.25">
      <c r="D14" s="57">
        <v>19</v>
      </c>
      <c r="E14" s="57">
        <v>34</v>
      </c>
      <c r="F14" s="57">
        <v>-32</v>
      </c>
      <c r="G14" s="57"/>
      <c r="H14" s="57">
        <f>SUMPRODUCT($D$7:$F$7,D14:F14)+5*P13</f>
        <v>0</v>
      </c>
      <c r="I14" s="57" t="s">
        <v>8</v>
      </c>
      <c r="J14" s="57">
        <v>180</v>
      </c>
    </row>
    <row r="15" spans="1:10" x14ac:dyDescent="0.25">
      <c r="D15" s="57"/>
      <c r="E15" s="57"/>
      <c r="F15" s="57"/>
      <c r="G15" s="57"/>
      <c r="H15" s="57"/>
      <c r="I15" s="57"/>
      <c r="J15" s="57"/>
    </row>
    <row r="16" spans="1:10" x14ac:dyDescent="0.25">
      <c r="D16" s="57"/>
      <c r="E16" s="57"/>
      <c r="F16" s="57"/>
      <c r="G16" s="57"/>
      <c r="H16" s="57"/>
      <c r="I16" s="57"/>
      <c r="J16" s="57"/>
    </row>
    <row r="17" spans="3:10" x14ac:dyDescent="0.25">
      <c r="D17" s="57"/>
      <c r="E17" s="57"/>
      <c r="F17" s="57"/>
      <c r="G17" s="57"/>
      <c r="H17" s="57"/>
      <c r="I17" s="57"/>
      <c r="J17" s="57"/>
    </row>
    <row r="18" spans="3:10" x14ac:dyDescent="0.25">
      <c r="C18" s="17" t="s">
        <v>15</v>
      </c>
      <c r="D18" s="57"/>
      <c r="E18" s="57"/>
      <c r="F18" s="57"/>
      <c r="G18" s="57"/>
      <c r="H18" s="57"/>
      <c r="I18" s="57"/>
      <c r="J18" s="57"/>
    </row>
    <row r="19" spans="3:10" x14ac:dyDescent="0.25">
      <c r="C19" t="s">
        <v>28</v>
      </c>
      <c r="D19" s="57"/>
      <c r="E19" s="57"/>
      <c r="F19" s="57"/>
      <c r="G19" s="57"/>
      <c r="H19" s="57"/>
      <c r="I19" s="57"/>
      <c r="J19" s="57"/>
    </row>
    <row r="20" spans="3:10" x14ac:dyDescent="0.25">
      <c r="D20" s="57"/>
      <c r="E20" s="57"/>
      <c r="F20" s="57"/>
      <c r="G20" s="57"/>
      <c r="H20" s="57"/>
      <c r="I20" s="57"/>
      <c r="J20" s="57"/>
    </row>
    <row r="21" spans="3:10" x14ac:dyDescent="0.25">
      <c r="C21" s="17" t="s">
        <v>16</v>
      </c>
      <c r="D21" s="57"/>
      <c r="E21" s="57"/>
      <c r="F21" s="57"/>
      <c r="G21" s="57"/>
      <c r="H21" s="57"/>
      <c r="I21" s="57"/>
      <c r="J21" s="57"/>
    </row>
    <row r="22" spans="3:10" x14ac:dyDescent="0.25">
      <c r="C22" t="s">
        <v>28</v>
      </c>
      <c r="D22" s="57"/>
      <c r="E22" s="57"/>
      <c r="F22" s="57"/>
      <c r="G22" s="57"/>
      <c r="H22" s="57"/>
      <c r="I22" s="57"/>
      <c r="J22" s="5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J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9" customWidth="1"/>
    <col min="5" max="6" width="5.140625" style="59" customWidth="1"/>
    <col min="7" max="7" width="3.140625" style="59" customWidth="1"/>
    <col min="8" max="8" width="8.42578125" style="59" customWidth="1"/>
    <col min="9" max="9" width="3" style="59" bestFit="1" customWidth="1"/>
    <col min="10" max="10" width="6" style="59" customWidth="1"/>
    <col min="14" max="14" width="8.42578125" bestFit="1" customWidth="1"/>
  </cols>
  <sheetData>
    <row r="1" spans="1:10" x14ac:dyDescent="0.25">
      <c r="A1" s="63" t="s">
        <v>204</v>
      </c>
      <c r="C1" t="s">
        <v>193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59" t="s">
        <v>1</v>
      </c>
      <c r="E4" s="59" t="s">
        <v>2</v>
      </c>
      <c r="F4" s="59" t="s">
        <v>3</v>
      </c>
    </row>
    <row r="5" spans="1:10" x14ac:dyDescent="0.25">
      <c r="A5" s="63" t="s">
        <v>210</v>
      </c>
      <c r="D5" s="59">
        <v>0.16387950916791499</v>
      </c>
      <c r="E5" s="59">
        <v>5.2261757755666496</v>
      </c>
      <c r="F5" s="59">
        <v>2.51152201080149E-2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59">
        <v>2</v>
      </c>
      <c r="E7" s="59">
        <v>3</v>
      </c>
      <c r="F7" s="59">
        <v>4</v>
      </c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t="s">
        <v>4</v>
      </c>
      <c r="D9" s="59">
        <v>10</v>
      </c>
      <c r="E9" s="59">
        <v>11</v>
      </c>
      <c r="F9" s="59">
        <v>12</v>
      </c>
      <c r="H9" s="59">
        <f>SUMPRODUCT($D$5:$F$5,D9:F9)+5*M8</f>
        <v>59.428111264208475</v>
      </c>
      <c r="I9" s="59" t="s">
        <v>8</v>
      </c>
      <c r="J9" s="59">
        <v>60</v>
      </c>
    </row>
    <row r="10" spans="1:10" ht="15.75" thickBot="1" x14ac:dyDescent="0.3">
      <c r="A10" s="168" t="str">
        <f>HYPERLINK("[OpenSolver Tester.xlsm]Results!A1", "&lt;- Results")</f>
        <v>&lt;- Results</v>
      </c>
      <c r="D10" s="59">
        <v>21</v>
      </c>
      <c r="E10" s="59">
        <v>22</v>
      </c>
      <c r="F10" s="59">
        <v>23</v>
      </c>
      <c r="H10" s="59">
        <f>SUMPRODUCT($D$5:$F$5,D10:F10)</f>
        <v>118.99498681747684</v>
      </c>
      <c r="I10" s="59" t="s">
        <v>8</v>
      </c>
      <c r="J10" s="59">
        <v>150</v>
      </c>
    </row>
    <row r="11" spans="1:10" x14ac:dyDescent="0.25">
      <c r="D11" s="59">
        <v>21</v>
      </c>
      <c r="E11" s="59">
        <v>22</v>
      </c>
      <c r="F11" s="59">
        <v>-23</v>
      </c>
      <c r="H11" s="59">
        <f>SUMPRODUCT($D$5:$F$5,D11:F11)</f>
        <v>117.83968669250817</v>
      </c>
      <c r="I11" s="59" t="s">
        <v>9</v>
      </c>
      <c r="J11" s="59">
        <v>110</v>
      </c>
    </row>
    <row r="12" spans="1:10" x14ac:dyDescent="0.25">
      <c r="D12" s="59">
        <v>19</v>
      </c>
      <c r="E12" s="59">
        <v>34</v>
      </c>
      <c r="F12" s="59">
        <v>-32</v>
      </c>
      <c r="H12" s="59">
        <f>SUMPRODUCT($D$5:$F$5,D12:F12)</f>
        <v>179.99999999999997</v>
      </c>
      <c r="I12" s="59" t="s">
        <v>10</v>
      </c>
      <c r="J12" s="59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9" customFormat="1" x14ac:dyDescent="0.25">
      <c r="A20" s="61"/>
      <c r="C20" s="17"/>
    </row>
    <row r="21" spans="1:6" s="59" customFormat="1" x14ac:dyDescent="0.25">
      <c r="A21" s="61"/>
      <c r="C21"/>
    </row>
    <row r="22" spans="1:6" s="59" customFormat="1" x14ac:dyDescent="0.25">
      <c r="A22" s="61"/>
      <c r="C22"/>
      <c r="D22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20"/>
  <sheetViews>
    <sheetView workbookViewId="0">
      <selection activeCell="M16" sqref="M1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2" customWidth="1"/>
    <col min="4" max="4" width="7.42578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3" t="s">
        <v>204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4" t="s">
        <v>206</v>
      </c>
      <c r="D2" s="30"/>
      <c r="E2" s="30"/>
      <c r="F2" s="30"/>
      <c r="G2" s="30"/>
      <c r="H2" s="30"/>
      <c r="I2" s="30"/>
      <c r="J2" s="30"/>
    </row>
    <row r="3" spans="1:2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4" t="s">
        <v>207</v>
      </c>
      <c r="D4" s="1">
        <v>12.3809523809523</v>
      </c>
      <c r="E4" s="1">
        <v>0</v>
      </c>
      <c r="F4" s="1">
        <v>10.869565217391299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3" t="s">
        <v>210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4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68.240165631469793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3" t="s">
        <v>211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5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4.2443064182185992</v>
      </c>
      <c r="I8" s="1" t="s">
        <v>8</v>
      </c>
      <c r="J8" s="1">
        <v>180</v>
      </c>
    </row>
    <row r="9" spans="1:20" ht="15.75" thickBot="1" x14ac:dyDescent="0.3">
      <c r="A9" s="64" t="e">
        <f>VLOOKUP(A8,OpenSolverResultCodes,2,FALSE)</f>
        <v>#N/A</v>
      </c>
      <c r="E9" s="1">
        <v>2</v>
      </c>
      <c r="F9" s="1">
        <v>23</v>
      </c>
      <c r="H9" s="1">
        <f>SUMPRODUCT($D$4:$F$4,D9:F9)</f>
        <v>249.99999999999989</v>
      </c>
      <c r="I9" s="30" t="s">
        <v>9</v>
      </c>
      <c r="J9" s="1">
        <f>120*Scale+P7</f>
        <v>250</v>
      </c>
      <c r="O9" t="s">
        <v>118</v>
      </c>
    </row>
    <row r="10" spans="1:20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9.9999999999984084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>ABS(E4-E15)/(1+ABS(E15))&lt;=0.000001</f>
        <v>1</v>
      </c>
      <c r="F16" s="8" t="b">
        <f>ABS(F4-F15)/(1+ABS(F15))&lt;=0.000001</f>
        <v>0</v>
      </c>
      <c r="H16" s="67" t="b">
        <f>AND(F16,E16,D16)</f>
        <v>0</v>
      </c>
      <c r="I16" s="67"/>
      <c r="J16" s="67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>ABS(E4-E19)/(1+ABS(E19))&lt;=0.000001</f>
        <v>1</v>
      </c>
      <c r="F20" s="8" t="b">
        <f>ABS(F4-F19)/(1+ABS(F19))&lt;=0.000001</f>
        <v>1</v>
      </c>
      <c r="H20" s="67" t="b">
        <f>AND(F20,E20,D20)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customWidth="1"/>
    <col min="3" max="3" width="13.7109375" bestFit="1" customWidth="1"/>
  </cols>
  <sheetData>
    <row r="1" spans="1:10" x14ac:dyDescent="0.25">
      <c r="A1" s="63" t="s">
        <v>204</v>
      </c>
      <c r="C1" t="s">
        <v>123</v>
      </c>
    </row>
    <row r="2" spans="1:10" ht="15.75" thickBot="1" x14ac:dyDescent="0.3">
      <c r="A2" s="64" t="s">
        <v>206</v>
      </c>
      <c r="C2" t="s">
        <v>124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C4" s="6" t="s">
        <v>11</v>
      </c>
      <c r="D4" s="7"/>
    </row>
    <row r="5" spans="1:10" x14ac:dyDescent="0.25">
      <c r="A5" s="63" t="s">
        <v>210</v>
      </c>
      <c r="C5" s="2" t="s">
        <v>12</v>
      </c>
      <c r="D5" s="3">
        <v>0.21</v>
      </c>
    </row>
    <row r="6" spans="1:10" ht="15.75" thickBot="1" x14ac:dyDescent="0.3">
      <c r="A6" s="64" t="b">
        <f>AND(D24,E24,F24,H24)</f>
        <v>0</v>
      </c>
      <c r="C6" s="2" t="s">
        <v>13</v>
      </c>
      <c r="D6" s="3">
        <v>0.7</v>
      </c>
    </row>
    <row r="7" spans="1:10" x14ac:dyDescent="0.25">
      <c r="A7" s="63" t="s">
        <v>211</v>
      </c>
      <c r="C7" s="4" t="s">
        <v>14</v>
      </c>
      <c r="D7" s="5">
        <v>1</v>
      </c>
    </row>
    <row r="8" spans="1:10" x14ac:dyDescent="0.25">
      <c r="A8" s="65"/>
    </row>
    <row r="9" spans="1:10" ht="15.75" thickBot="1" x14ac:dyDescent="0.3">
      <c r="A9" s="64" t="e">
        <f>VLOOKUP(A8,OpenSolverResultCodes,2,FALSE)</f>
        <v>#N/A</v>
      </c>
    </row>
    <row r="10" spans="1:10" ht="15.75" thickBot="1" x14ac:dyDescent="0.3">
      <c r="A10" s="168" t="str">
        <f>HYPERLINK("[OpenSolver Tester.xlsm]Results!A1", "&lt;- Results")</f>
        <v>&lt;- Results</v>
      </c>
      <c r="D10" s="18" t="s">
        <v>217</v>
      </c>
      <c r="E10" s="30"/>
      <c r="F10" s="30"/>
      <c r="G10" s="30"/>
      <c r="H10" s="30"/>
      <c r="I10" s="30"/>
      <c r="J10" s="30"/>
    </row>
    <row r="11" spans="1:10" x14ac:dyDescent="0.25">
      <c r="D11" s="30"/>
      <c r="E11" s="30"/>
      <c r="F11" s="30"/>
      <c r="G11" s="30"/>
      <c r="H11" s="30"/>
      <c r="I11" s="30"/>
      <c r="J11" s="30"/>
    </row>
    <row r="12" spans="1:10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10" x14ac:dyDescent="0.25">
      <c r="D13" s="30">
        <v>-381036674817.96399</v>
      </c>
      <c r="E13" s="30">
        <v>-1147995110020.54</v>
      </c>
      <c r="F13" s="30">
        <v>-1445985330075.6101</v>
      </c>
      <c r="G13" s="30"/>
    </row>
    <row r="14" spans="1:10" x14ac:dyDescent="0.25">
      <c r="D14" s="30"/>
      <c r="E14" s="30"/>
      <c r="F14" s="30"/>
      <c r="G14" s="30"/>
      <c r="H14" s="30"/>
      <c r="I14" s="30"/>
      <c r="J14" s="30"/>
    </row>
    <row r="15" spans="1:10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-9989999999999.9883</v>
      </c>
      <c r="I15" s="30"/>
      <c r="J15" s="30"/>
    </row>
    <row r="16" spans="1:10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-33790136919312.902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-66515325183368.156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109.90625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179.8515625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8" t="s">
        <v>1</v>
      </c>
      <c r="E22" s="74" t="s">
        <v>2</v>
      </c>
      <c r="F22" s="69" t="s">
        <v>3</v>
      </c>
      <c r="G22" s="77"/>
      <c r="H22" s="70" t="s">
        <v>216</v>
      </c>
    </row>
    <row r="23" spans="3:10" x14ac:dyDescent="0.25">
      <c r="D23" s="34">
        <v>-0.74324323999999997</v>
      </c>
      <c r="E23" s="75">
        <v>5.7094595000000004</v>
      </c>
      <c r="F23" s="35">
        <v>0</v>
      </c>
      <c r="G23" s="78"/>
      <c r="H23" s="3">
        <v>15.64189202</v>
      </c>
    </row>
    <row r="24" spans="3:10" x14ac:dyDescent="0.25">
      <c r="D24" s="71" t="b">
        <f>ABS(D13-D23)/(1+ABS(D23))&lt;=0.000001</f>
        <v>0</v>
      </c>
      <c r="E24" s="76" t="b">
        <f>ABS(E13-E23)/(1+ABS(E23))&lt;=0.000001</f>
        <v>0</v>
      </c>
      <c r="F24" s="72" t="b">
        <f>ABS(F13-F23)/(1+ABS(F23))&lt;=0.000001</f>
        <v>0</v>
      </c>
      <c r="G24" s="79"/>
      <c r="H24" s="73" t="b">
        <f>ABS(H15-H23)/(1+ABS(H23))&lt;=0.000001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Q39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.42578125" customWidth="1"/>
    <col min="7" max="7" width="16.42578125" customWidth="1"/>
  </cols>
  <sheetData>
    <row r="1" spans="1:17" x14ac:dyDescent="0.25">
      <c r="A1" s="63" t="s">
        <v>204</v>
      </c>
      <c r="C1" t="s">
        <v>218</v>
      </c>
    </row>
    <row r="2" spans="1:17" ht="15.75" thickBot="1" x14ac:dyDescent="0.3">
      <c r="A2" s="64" t="s">
        <v>205</v>
      </c>
    </row>
    <row r="3" spans="1:17" x14ac:dyDescent="0.25">
      <c r="A3" s="63" t="s">
        <v>209</v>
      </c>
      <c r="E3" t="s">
        <v>219</v>
      </c>
      <c r="F3" t="s">
        <v>220</v>
      </c>
      <c r="G3" t="s">
        <v>221</v>
      </c>
      <c r="P3" s="81"/>
    </row>
    <row r="4" spans="1:17" ht="15.75" thickBot="1" x14ac:dyDescent="0.3">
      <c r="A4" s="64" t="s">
        <v>207</v>
      </c>
      <c r="C4">
        <v>0</v>
      </c>
      <c r="E4">
        <v>4.9999999500100003</v>
      </c>
      <c r="F4">
        <v>3.9999999600099998</v>
      </c>
      <c r="G4">
        <v>5.0000002299749999</v>
      </c>
      <c r="P4" s="81"/>
    </row>
    <row r="5" spans="1:17" x14ac:dyDescent="0.25">
      <c r="A5" s="63" t="s">
        <v>210</v>
      </c>
      <c r="P5" s="81"/>
    </row>
    <row r="6" spans="1:17" ht="15.75" thickBot="1" x14ac:dyDescent="0.3">
      <c r="A6" s="64" t="b">
        <f>AND(E16,F16,G16,H16)</f>
        <v>1</v>
      </c>
      <c r="D6" t="s">
        <v>222</v>
      </c>
      <c r="E6">
        <v>1</v>
      </c>
      <c r="F6">
        <v>1</v>
      </c>
      <c r="G6">
        <v>2</v>
      </c>
      <c r="H6">
        <f>SUMPRODUCT(E6:G6,E4:G4)+C4</f>
        <v>19.00000036997</v>
      </c>
    </row>
    <row r="7" spans="1:17" x14ac:dyDescent="0.25">
      <c r="A7" s="63" t="s">
        <v>211</v>
      </c>
      <c r="D7" t="s">
        <v>223</v>
      </c>
    </row>
    <row r="8" spans="1:17" x14ac:dyDescent="0.25">
      <c r="A8" s="65" t="s">
        <v>201</v>
      </c>
      <c r="E8">
        <v>1</v>
      </c>
      <c r="F8">
        <v>0</v>
      </c>
      <c r="G8">
        <v>0</v>
      </c>
      <c r="H8">
        <f>SUMPRODUCT($E$4:$G$4,E8:G8)</f>
        <v>4.9999999500100003</v>
      </c>
      <c r="I8" t="s">
        <v>9</v>
      </c>
      <c r="J8">
        <v>5</v>
      </c>
      <c r="Q8" s="81"/>
    </row>
    <row r="9" spans="1:17" ht="15.75" thickBot="1" x14ac:dyDescent="0.3">
      <c r="A9" s="64">
        <f>VLOOKUP(A8,OpenSolverResultCodes,2,FALSE)</f>
        <v>0</v>
      </c>
      <c r="E9">
        <v>0</v>
      </c>
      <c r="F9">
        <v>1</v>
      </c>
      <c r="G9">
        <v>0</v>
      </c>
      <c r="H9">
        <f>SUMPRODUCT($E$4:$G$4,E9:G9)</f>
        <v>3.9999999600099998</v>
      </c>
      <c r="I9" t="s">
        <v>9</v>
      </c>
      <c r="J9">
        <v>4</v>
      </c>
      <c r="Q9" s="81"/>
    </row>
    <row r="10" spans="1:17" ht="15.75" thickBot="1" x14ac:dyDescent="0.3">
      <c r="A10" s="168" t="str">
        <f>HYPERLINK("[OpenSolver Tester.xlsm]Results!A1", "&lt;- Results")</f>
        <v>&lt;- Results</v>
      </c>
      <c r="E10">
        <v>0</v>
      </c>
      <c r="F10">
        <v>0</v>
      </c>
      <c r="G10">
        <v>1</v>
      </c>
      <c r="H10">
        <f>SUMPRODUCT($E$4:$G$4,E10:G10)</f>
        <v>5.0000002299749999</v>
      </c>
      <c r="I10" t="s">
        <v>9</v>
      </c>
      <c r="J10">
        <v>3</v>
      </c>
      <c r="Q10" s="81"/>
    </row>
    <row r="11" spans="1:17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14.000000139994999</v>
      </c>
      <c r="I11" t="s">
        <v>8</v>
      </c>
      <c r="J11">
        <v>14</v>
      </c>
    </row>
    <row r="12" spans="1:17" x14ac:dyDescent="0.25">
      <c r="D12" s="81"/>
    </row>
    <row r="14" spans="1:17" x14ac:dyDescent="0.25">
      <c r="E14" s="80" t="s">
        <v>1</v>
      </c>
      <c r="F14" s="80" t="s">
        <v>2</v>
      </c>
      <c r="G14" s="80" t="s">
        <v>3</v>
      </c>
      <c r="H14" s="80" t="s">
        <v>242</v>
      </c>
    </row>
    <row r="15" spans="1:17" x14ac:dyDescent="0.25">
      <c r="E15" s="80">
        <v>5</v>
      </c>
      <c r="F15" s="80">
        <v>4</v>
      </c>
      <c r="G15" s="80">
        <v>5</v>
      </c>
      <c r="H15" s="80">
        <v>19</v>
      </c>
    </row>
    <row r="16" spans="1:17" x14ac:dyDescent="0.25"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ABS(H6-H15)/(1+ABS(H15))&lt;=0.000001</f>
        <v>1</v>
      </c>
    </row>
    <row r="22" spans="4:10" x14ac:dyDescent="0.25">
      <c r="D22" s="82"/>
    </row>
    <row r="23" spans="4:10" x14ac:dyDescent="0.25">
      <c r="D23" s="81"/>
    </row>
    <row r="25" spans="4:10" x14ac:dyDescent="0.25">
      <c r="D25" s="83"/>
      <c r="G25" s="83"/>
    </row>
    <row r="32" spans="4:10" x14ac:dyDescent="0.25">
      <c r="E32" s="81"/>
      <c r="J32" s="81"/>
    </row>
    <row r="33" spans="5:10" x14ac:dyDescent="0.25">
      <c r="E33" s="81"/>
      <c r="J33" s="81"/>
    </row>
    <row r="34" spans="5:10" x14ac:dyDescent="0.25">
      <c r="E34" s="81"/>
      <c r="J34" s="81"/>
    </row>
    <row r="37" spans="5:10" x14ac:dyDescent="0.25">
      <c r="E37" s="81"/>
      <c r="J37" s="81"/>
    </row>
    <row r="38" spans="5:10" x14ac:dyDescent="0.25">
      <c r="E38" s="81"/>
      <c r="J38" s="81"/>
    </row>
    <row r="39" spans="5:10" x14ac:dyDescent="0.25">
      <c r="E39" s="81"/>
      <c r="J39" s="81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M16"/>
  <sheetViews>
    <sheetView workbookViewId="0">
      <selection activeCell="D53" sqref="D53"/>
    </sheetView>
  </sheetViews>
  <sheetFormatPr defaultColWidth="8.85546875" defaultRowHeight="15" x14ac:dyDescent="0.25"/>
  <cols>
    <col min="1" max="1" width="15" style="61" bestFit="1" customWidth="1"/>
    <col min="2" max="2" width="3.140625" customWidth="1"/>
  </cols>
  <sheetData>
    <row r="1" spans="1:13" x14ac:dyDescent="0.25">
      <c r="A1" s="63" t="s">
        <v>204</v>
      </c>
    </row>
    <row r="2" spans="1:13" ht="15.75" thickBot="1" x14ac:dyDescent="0.3">
      <c r="A2" s="64" t="s">
        <v>205</v>
      </c>
    </row>
    <row r="3" spans="1:13" x14ac:dyDescent="0.25">
      <c r="A3" s="63" t="s">
        <v>209</v>
      </c>
      <c r="D3" t="s">
        <v>126</v>
      </c>
      <c r="E3" t="s">
        <v>128</v>
      </c>
      <c r="F3" t="s">
        <v>130</v>
      </c>
      <c r="G3" t="s">
        <v>224</v>
      </c>
      <c r="H3" t="s">
        <v>225</v>
      </c>
      <c r="I3" t="s">
        <v>226</v>
      </c>
      <c r="J3" t="s">
        <v>227</v>
      </c>
    </row>
    <row r="4" spans="1:13" ht="15.75" thickBot="1" x14ac:dyDescent="0.3">
      <c r="A4" s="64" t="s">
        <v>207</v>
      </c>
      <c r="D4">
        <v>9.8056607159732797E-3</v>
      </c>
      <c r="E4">
        <v>4.03886987039182</v>
      </c>
      <c r="F4">
        <v>9.8056607159732797E-3</v>
      </c>
      <c r="G4">
        <v>0</v>
      </c>
      <c r="H4">
        <v>0</v>
      </c>
      <c r="I4">
        <v>0</v>
      </c>
      <c r="J4">
        <v>0</v>
      </c>
    </row>
    <row r="5" spans="1:13" x14ac:dyDescent="0.25">
      <c r="A5" s="63" t="s">
        <v>210</v>
      </c>
    </row>
    <row r="6" spans="1:13" ht="15.75" thickBot="1" x14ac:dyDescent="0.3">
      <c r="A6" s="64" t="b">
        <f>AND(K16)</f>
        <v>1</v>
      </c>
      <c r="C6" t="s">
        <v>0</v>
      </c>
      <c r="D6">
        <v>0</v>
      </c>
      <c r="E6">
        <v>0</v>
      </c>
      <c r="F6">
        <v>0</v>
      </c>
      <c r="G6">
        <v>1</v>
      </c>
      <c r="H6">
        <v>1</v>
      </c>
      <c r="I6">
        <v>1</v>
      </c>
      <c r="J6">
        <v>1</v>
      </c>
      <c r="K6">
        <f>SUMPRODUCT(D6:J6,D4:J4)</f>
        <v>0</v>
      </c>
    </row>
    <row r="7" spans="1:13" x14ac:dyDescent="0.25">
      <c r="A7" s="63" t="s">
        <v>211</v>
      </c>
      <c r="C7" t="s">
        <v>223</v>
      </c>
    </row>
    <row r="8" spans="1:13" x14ac:dyDescent="0.25">
      <c r="A8" s="65" t="s">
        <v>201</v>
      </c>
      <c r="D8">
        <v>1</v>
      </c>
      <c r="E8">
        <v>0</v>
      </c>
      <c r="F8">
        <v>0</v>
      </c>
      <c r="G8">
        <v>1</v>
      </c>
      <c r="K8">
        <f>SUMPRODUCT($D$4:$J$4,D8:J8)</f>
        <v>9.8056607159732797E-3</v>
      </c>
      <c r="L8" t="s">
        <v>8</v>
      </c>
      <c r="M8">
        <v>5</v>
      </c>
    </row>
    <row r="9" spans="1:13" ht="15.75" thickBot="1" x14ac:dyDescent="0.3">
      <c r="A9" s="64">
        <f>VLOOKUP(A8,OpenSolverResultCodes,2,FALSE)</f>
        <v>0</v>
      </c>
      <c r="D9">
        <v>0</v>
      </c>
      <c r="E9">
        <v>1</v>
      </c>
      <c r="F9">
        <v>0</v>
      </c>
      <c r="H9">
        <v>-1</v>
      </c>
      <c r="K9">
        <f>SUMPRODUCT($D$4:$J$4,D9:J9)</f>
        <v>4.03886987039182</v>
      </c>
      <c r="L9" t="s">
        <v>9</v>
      </c>
      <c r="M9">
        <v>4</v>
      </c>
    </row>
    <row r="10" spans="1:13" ht="15.75" thickBot="1" x14ac:dyDescent="0.3">
      <c r="A10" s="168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I10">
        <v>1</v>
      </c>
      <c r="K10">
        <f>SUMPRODUCT($D$4:$J$4,D10:J10)</f>
        <v>9.8056607159732797E-3</v>
      </c>
      <c r="L10" t="s">
        <v>8</v>
      </c>
      <c r="M10">
        <v>5</v>
      </c>
    </row>
    <row r="11" spans="1:13" x14ac:dyDescent="0.25">
      <c r="C11" t="str">
        <f>"hello"</f>
        <v>hello</v>
      </c>
      <c r="D11">
        <v>1</v>
      </c>
      <c r="E11">
        <v>1</v>
      </c>
      <c r="F11">
        <v>1</v>
      </c>
      <c r="J11">
        <v>1</v>
      </c>
      <c r="K11">
        <f>SUMPRODUCT($D$4:$J$4,D11:J11)</f>
        <v>4.0584811918237671</v>
      </c>
      <c r="L11" t="s">
        <v>8</v>
      </c>
      <c r="M11">
        <v>7</v>
      </c>
    </row>
    <row r="14" spans="1:13" x14ac:dyDescent="0.25">
      <c r="D14" s="80"/>
      <c r="E14" s="80"/>
      <c r="F14" s="80"/>
      <c r="K14" s="80" t="s">
        <v>242</v>
      </c>
    </row>
    <row r="15" spans="1:13" x14ac:dyDescent="0.25">
      <c r="D15" s="80"/>
      <c r="E15" s="80"/>
      <c r="F15" s="80"/>
      <c r="G15" s="80"/>
      <c r="H15" s="80"/>
      <c r="I15" s="80"/>
      <c r="J15" s="80"/>
      <c r="K15">
        <v>0</v>
      </c>
    </row>
    <row r="16" spans="1:13" x14ac:dyDescent="0.25">
      <c r="D16" s="8"/>
      <c r="E16" s="8"/>
      <c r="F16" s="8"/>
      <c r="G16" s="8"/>
      <c r="H16" s="8"/>
      <c r="I16" s="8"/>
      <c r="J16" s="8"/>
      <c r="K16" s="8" t="b">
        <f>ABS(K6-K15)/(1+ABS(K15))&lt;=0.000001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H17"/>
  <sheetViews>
    <sheetView showGridLines="0" topLeftCell="CP72" workbookViewId="0">
      <selection activeCell="CV100" sqref="CV100"/>
    </sheetView>
  </sheetViews>
  <sheetFormatPr defaultColWidth="8.85546875" defaultRowHeight="15" x14ac:dyDescent="0.25"/>
  <cols>
    <col min="1" max="1" width="5.7109375" style="17" customWidth="1"/>
    <col min="3" max="3" width="9.570312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436</v>
      </c>
    </row>
    <row r="2" spans="1:8" x14ac:dyDescent="0.25">
      <c r="A2" s="17" t="s">
        <v>243</v>
      </c>
      <c r="B2" s="176"/>
      <c r="C2" s="176"/>
      <c r="D2" s="176"/>
      <c r="E2" s="176"/>
      <c r="F2" s="176"/>
      <c r="G2" s="176"/>
      <c r="H2" s="176"/>
    </row>
    <row r="3" spans="1:8" x14ac:dyDescent="0.25">
      <c r="A3" s="17" t="s">
        <v>437</v>
      </c>
      <c r="B3" s="176"/>
      <c r="C3" s="176"/>
      <c r="D3" s="176"/>
      <c r="E3" s="176"/>
      <c r="F3" s="176"/>
      <c r="G3" s="176"/>
      <c r="H3" s="176"/>
    </row>
    <row r="4" spans="1:8" x14ac:dyDescent="0.25">
      <c r="B4" s="176"/>
      <c r="C4" s="176"/>
      <c r="D4" s="176"/>
      <c r="E4" s="176"/>
      <c r="F4" s="176"/>
      <c r="G4" s="176"/>
      <c r="H4" s="176"/>
    </row>
    <row r="5" spans="1:8" ht="15.75" thickBot="1" x14ac:dyDescent="0.3">
      <c r="A5" s="17" t="s">
        <v>228</v>
      </c>
      <c r="B5" s="176"/>
      <c r="C5" s="176"/>
      <c r="D5" s="176"/>
      <c r="E5" s="176"/>
      <c r="F5" s="176"/>
      <c r="G5" s="176"/>
      <c r="H5" s="176"/>
    </row>
    <row r="6" spans="1:8" ht="15.75" thickBot="1" x14ac:dyDescent="0.3">
      <c r="B6" s="111" t="s">
        <v>229</v>
      </c>
      <c r="C6" s="112" t="s">
        <v>230</v>
      </c>
      <c r="D6" s="112" t="s">
        <v>231</v>
      </c>
      <c r="E6" s="112" t="s">
        <v>232</v>
      </c>
      <c r="F6" s="112" t="s">
        <v>233</v>
      </c>
      <c r="G6" s="112" t="s">
        <v>234</v>
      </c>
      <c r="H6" s="113" t="s">
        <v>235</v>
      </c>
    </row>
    <row r="7" spans="1:8" x14ac:dyDescent="0.25">
      <c r="B7" s="106" t="s">
        <v>361</v>
      </c>
      <c r="C7" s="75" t="s">
        <v>362</v>
      </c>
      <c r="D7" s="75">
        <v>0</v>
      </c>
      <c r="E7" s="75">
        <v>-1</v>
      </c>
      <c r="F7" s="75">
        <v>1</v>
      </c>
      <c r="G7" s="75">
        <v>1</v>
      </c>
      <c r="H7" s="107">
        <v>1E+100</v>
      </c>
    </row>
    <row r="8" spans="1:8" x14ac:dyDescent="0.25">
      <c r="B8" s="106" t="s">
        <v>363</v>
      </c>
      <c r="C8" s="75" t="s">
        <v>364</v>
      </c>
      <c r="D8" s="75">
        <v>4</v>
      </c>
      <c r="E8" s="75">
        <v>0</v>
      </c>
      <c r="F8" s="75">
        <v>1</v>
      </c>
      <c r="G8" s="75">
        <v>1</v>
      </c>
      <c r="H8" s="107">
        <v>1E+100</v>
      </c>
    </row>
    <row r="9" spans="1:8" ht="15.75" thickBot="1" x14ac:dyDescent="0.3">
      <c r="B9" s="108" t="s">
        <v>365</v>
      </c>
      <c r="C9" s="109" t="s">
        <v>366</v>
      </c>
      <c r="D9" s="109">
        <v>3</v>
      </c>
      <c r="E9" s="109">
        <v>0</v>
      </c>
      <c r="F9" s="109">
        <v>2</v>
      </c>
      <c r="G9" s="109">
        <v>1E+100</v>
      </c>
      <c r="H9" s="110">
        <v>1</v>
      </c>
    </row>
    <row r="10" spans="1:8" x14ac:dyDescent="0.25">
      <c r="B10" s="176"/>
      <c r="C10" s="176"/>
      <c r="D10" s="176"/>
      <c r="E10" s="176"/>
      <c r="F10" s="176"/>
      <c r="G10" s="176"/>
      <c r="H10" s="176"/>
    </row>
    <row r="11" spans="1:8" ht="15.75" thickBot="1" x14ac:dyDescent="0.3">
      <c r="A11" s="17" t="s">
        <v>134</v>
      </c>
      <c r="B11" s="176"/>
      <c r="C11" s="176"/>
      <c r="D11" s="176"/>
      <c r="E11" s="176"/>
      <c r="F11" s="176"/>
      <c r="G11" s="176"/>
      <c r="H11" s="176"/>
    </row>
    <row r="12" spans="1:8" ht="15.75" thickBot="1" x14ac:dyDescent="0.3">
      <c r="B12" s="111" t="s">
        <v>229</v>
      </c>
      <c r="C12" s="112" t="s">
        <v>230</v>
      </c>
      <c r="D12" s="112" t="s">
        <v>231</v>
      </c>
      <c r="E12" s="112" t="s">
        <v>279</v>
      </c>
      <c r="F12" s="112" t="s">
        <v>280</v>
      </c>
      <c r="G12" s="112" t="s">
        <v>234</v>
      </c>
      <c r="H12" s="113" t="s">
        <v>235</v>
      </c>
    </row>
    <row r="13" spans="1:8" x14ac:dyDescent="0.25">
      <c r="B13" s="106" t="s">
        <v>367</v>
      </c>
      <c r="C13" s="75" t="s">
        <v>201</v>
      </c>
      <c r="D13" s="75">
        <v>0</v>
      </c>
      <c r="E13" s="75">
        <v>0</v>
      </c>
      <c r="F13" s="75">
        <v>5</v>
      </c>
      <c r="G13" s="75">
        <v>1E+100</v>
      </c>
      <c r="H13" s="107">
        <v>5</v>
      </c>
    </row>
    <row r="14" spans="1:8" x14ac:dyDescent="0.25">
      <c r="B14" s="106" t="s">
        <v>368</v>
      </c>
      <c r="C14" s="75" t="s">
        <v>392</v>
      </c>
      <c r="D14" s="75">
        <v>3</v>
      </c>
      <c r="E14" s="75">
        <v>0</v>
      </c>
      <c r="F14" s="75">
        <v>5</v>
      </c>
      <c r="G14" s="75">
        <v>1E+100</v>
      </c>
      <c r="H14" s="107">
        <v>2</v>
      </c>
    </row>
    <row r="15" spans="1:8" x14ac:dyDescent="0.25">
      <c r="B15" s="106" t="s">
        <v>369</v>
      </c>
      <c r="C15" s="75" t="s">
        <v>370</v>
      </c>
      <c r="D15" s="75">
        <v>7</v>
      </c>
      <c r="E15" s="75">
        <v>2</v>
      </c>
      <c r="F15" s="75">
        <v>7</v>
      </c>
      <c r="G15" s="75">
        <v>2</v>
      </c>
      <c r="H15" s="107">
        <v>3</v>
      </c>
    </row>
    <row r="16" spans="1:8" ht="15.75" thickBot="1" x14ac:dyDescent="0.3">
      <c r="B16" s="108" t="s">
        <v>371</v>
      </c>
      <c r="C16" s="109" t="s">
        <v>236</v>
      </c>
      <c r="D16" s="109">
        <v>4</v>
      </c>
      <c r="E16" s="109">
        <v>-1</v>
      </c>
      <c r="F16" s="109">
        <v>4</v>
      </c>
      <c r="G16" s="109">
        <v>3</v>
      </c>
      <c r="H16" s="110">
        <v>2</v>
      </c>
    </row>
    <row r="17" spans="2:8" x14ac:dyDescent="0.25">
      <c r="B17" s="176"/>
      <c r="C17" s="176"/>
      <c r="D17" s="176"/>
      <c r="E17" s="176"/>
      <c r="F17" s="176"/>
      <c r="G17" s="176"/>
      <c r="H17" s="176"/>
    </row>
  </sheetData>
  <pageMargins left="0.7" right="0.7" top="0.75" bottom="0.75" header="0.3" footer="0.3"/>
  <pageSetup paperSize="9" orientation="portrait" horizontalDpi="0" verticalDpi="0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P15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3.42578125" customWidth="1"/>
  </cols>
  <sheetData>
    <row r="1" spans="1:16" x14ac:dyDescent="0.25">
      <c r="A1" s="63" t="s">
        <v>204</v>
      </c>
    </row>
    <row r="2" spans="1:16" ht="15.75" thickBot="1" x14ac:dyDescent="0.3">
      <c r="A2" s="64" t="s">
        <v>205</v>
      </c>
    </row>
    <row r="3" spans="1:16" x14ac:dyDescent="0.25">
      <c r="A3" s="63" t="s">
        <v>209</v>
      </c>
      <c r="D3" t="s">
        <v>219</v>
      </c>
      <c r="E3" t="s">
        <v>220</v>
      </c>
      <c r="F3" t="s">
        <v>221</v>
      </c>
      <c r="O3" s="81"/>
    </row>
    <row r="4" spans="1:16" ht="15.75" thickBot="1" x14ac:dyDescent="0.3">
      <c r="A4" s="64" t="s">
        <v>207</v>
      </c>
      <c r="D4">
        <v>0</v>
      </c>
      <c r="E4">
        <v>3.9999999600099998</v>
      </c>
      <c r="F4">
        <v>3.0000001199750002</v>
      </c>
      <c r="O4" s="81"/>
    </row>
    <row r="5" spans="1:16" x14ac:dyDescent="0.25">
      <c r="A5" s="63" t="s">
        <v>210</v>
      </c>
      <c r="O5" s="81"/>
    </row>
    <row r="6" spans="1:16" ht="15.75" thickBot="1" x14ac:dyDescent="0.3">
      <c r="A6" s="64" t="b">
        <f>AND(D15,E15,F15,G15)</f>
        <v>1</v>
      </c>
      <c r="C6" t="s">
        <v>0</v>
      </c>
      <c r="D6">
        <v>1</v>
      </c>
      <c r="E6">
        <v>1</v>
      </c>
      <c r="F6">
        <v>2</v>
      </c>
      <c r="G6">
        <f>SUMPRODUCT(D6:F6,D4:F4)</f>
        <v>10.000000199960001</v>
      </c>
    </row>
    <row r="7" spans="1:16" x14ac:dyDescent="0.25">
      <c r="A7" s="63" t="s">
        <v>211</v>
      </c>
      <c r="C7" t="s">
        <v>223</v>
      </c>
    </row>
    <row r="8" spans="1:16" x14ac:dyDescent="0.25">
      <c r="A8" s="65" t="s">
        <v>201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1"/>
    </row>
    <row r="9" spans="1:16" ht="15.75" thickBot="1" x14ac:dyDescent="0.3">
      <c r="A9" s="64">
        <f>VLOOKUP(A8,OpenSolverResultCodes,2,FALSE)</f>
        <v>0</v>
      </c>
      <c r="C9" t="s">
        <v>236</v>
      </c>
      <c r="D9">
        <v>0</v>
      </c>
      <c r="E9">
        <v>1</v>
      </c>
      <c r="F9">
        <v>0</v>
      </c>
      <c r="G9">
        <f>SUMPRODUCT($D$4:$F$4,D9:F9)</f>
        <v>3.9999999600099998</v>
      </c>
      <c r="H9" t="s">
        <v>9</v>
      </c>
      <c r="I9">
        <v>4</v>
      </c>
      <c r="P9" s="81"/>
    </row>
    <row r="10" spans="1:16" ht="15.75" thickBot="1" x14ac:dyDescent="0.3">
      <c r="A10" s="168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G10">
        <f>SUMPRODUCT($D$4:$F$4,D10:F10)</f>
        <v>3.0000001199750002</v>
      </c>
      <c r="H10" t="s">
        <v>8</v>
      </c>
      <c r="I10">
        <v>5</v>
      </c>
      <c r="P10" s="81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7.000000079985</v>
      </c>
      <c r="H11" t="s">
        <v>8</v>
      </c>
      <c r="I11">
        <v>7</v>
      </c>
    </row>
    <row r="13" spans="1:16" x14ac:dyDescent="0.25">
      <c r="D13" s="80" t="s">
        <v>1</v>
      </c>
      <c r="E13" s="80" t="s">
        <v>2</v>
      </c>
      <c r="F13" s="80" t="s">
        <v>3</v>
      </c>
      <c r="G13" s="80" t="s">
        <v>242</v>
      </c>
    </row>
    <row r="14" spans="1:16" x14ac:dyDescent="0.25">
      <c r="D14" s="80">
        <v>0</v>
      </c>
      <c r="E14" s="80">
        <v>4</v>
      </c>
      <c r="F14" s="80">
        <v>3</v>
      </c>
      <c r="G14" s="80">
        <v>10</v>
      </c>
    </row>
    <row r="15" spans="1:16" x14ac:dyDescent="0.25">
      <c r="D15" s="8" t="b">
        <f>ABS(D4-D14)/(1+ABS(D14))&lt;=0.000001</f>
        <v>1</v>
      </c>
      <c r="E15" s="8" t="b">
        <f>ABS(E4-E14)/(1+ABS(E14))&lt;=0.000001</f>
        <v>1</v>
      </c>
      <c r="F15" s="8" t="b">
        <f>ABS(F4-F14)/(1+ABS(F14))&lt;=0.000001</f>
        <v>1</v>
      </c>
      <c r="G15" s="8" t="b">
        <f>ABS(G6-G14)/(1+ABS(G14))&lt;=0.000001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6"/>
  <sheetViews>
    <sheetView workbookViewId="0">
      <selection activeCell="O15" sqref="O15"/>
    </sheetView>
  </sheetViews>
  <sheetFormatPr defaultColWidth="8.85546875" defaultRowHeight="15" x14ac:dyDescent="0.25"/>
  <cols>
    <col min="1" max="1" width="15" style="61" bestFit="1" customWidth="1"/>
    <col min="2" max="2" width="4.140625" style="66" customWidth="1"/>
  </cols>
  <sheetData>
    <row r="1" spans="1:11" x14ac:dyDescent="0.25">
      <c r="A1" s="63" t="s">
        <v>204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  <c r="F3" t="s">
        <v>219</v>
      </c>
      <c r="G3" t="s">
        <v>220</v>
      </c>
      <c r="H3" t="s">
        <v>221</v>
      </c>
    </row>
    <row r="4" spans="1:11" ht="15.75" thickBot="1" x14ac:dyDescent="0.3">
      <c r="A4" s="64" t="s">
        <v>207</v>
      </c>
      <c r="D4">
        <v>0</v>
      </c>
      <c r="E4">
        <v>5</v>
      </c>
      <c r="F4">
        <v>0</v>
      </c>
      <c r="G4">
        <v>3.9999999599565599</v>
      </c>
      <c r="H4">
        <v>0</v>
      </c>
    </row>
    <row r="5" spans="1:11" x14ac:dyDescent="0.25">
      <c r="A5" s="63" t="s">
        <v>210</v>
      </c>
    </row>
    <row r="6" spans="1:11" ht="15.75" thickBot="1" x14ac:dyDescent="0.3">
      <c r="A6" s="64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8.9999999599565594</v>
      </c>
    </row>
    <row r="7" spans="1:11" x14ac:dyDescent="0.25">
      <c r="A7" s="63" t="s">
        <v>211</v>
      </c>
    </row>
    <row r="8" spans="1:11" x14ac:dyDescent="0.25">
      <c r="A8" s="65" t="s">
        <v>201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4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3.9999999599565599</v>
      </c>
      <c r="J9" t="s">
        <v>9</v>
      </c>
      <c r="K9">
        <v>4</v>
      </c>
    </row>
    <row r="10" spans="1:11" ht="15.75" thickBot="1" x14ac:dyDescent="0.3">
      <c r="A10" s="168" t="str">
        <f>HYPERLINK("[OpenSolver Tester.xlsm]Results!A1", "&lt;- Results")</f>
        <v>&lt;- Results</v>
      </c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3.9999999599565599</v>
      </c>
      <c r="J11" t="s">
        <v>8</v>
      </c>
      <c r="K11">
        <v>7</v>
      </c>
    </row>
    <row r="12" spans="1:11" x14ac:dyDescent="0.25">
      <c r="D12" s="84">
        <v>0</v>
      </c>
      <c r="E12" s="84">
        <v>1</v>
      </c>
      <c r="F12" s="84">
        <v>0</v>
      </c>
      <c r="G12" s="84">
        <v>0</v>
      </c>
      <c r="H12" s="84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80" t="s">
        <v>1</v>
      </c>
      <c r="E14" s="80" t="s">
        <v>2</v>
      </c>
      <c r="F14" s="80" t="s">
        <v>3</v>
      </c>
      <c r="G14" t="s">
        <v>224</v>
      </c>
      <c r="H14" t="s">
        <v>225</v>
      </c>
      <c r="I14" s="80" t="s">
        <v>242</v>
      </c>
    </row>
    <row r="15" spans="1:11" x14ac:dyDescent="0.25">
      <c r="D15" s="80">
        <v>0</v>
      </c>
      <c r="E15" s="80">
        <v>5</v>
      </c>
      <c r="F15" s="80">
        <v>0</v>
      </c>
      <c r="G15" s="80">
        <v>4</v>
      </c>
      <c r="H15" s="80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ABS(H4-H15)/(1+ABS(H15))&lt;=0.000001</f>
        <v>1</v>
      </c>
      <c r="I16" s="8" t="b">
        <f>ABS(I6-I15)/(1+ABS(I15))&lt;=0.000001</f>
        <v>1</v>
      </c>
    </row>
  </sheetData>
  <dataConsolidate link="1"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/>
  <drawing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.140625" customWidth="1"/>
    <col min="5" max="5" width="10.42578125" customWidth="1"/>
    <col min="10" max="10" width="11" customWidth="1"/>
  </cols>
  <sheetData>
    <row r="1" spans="1:11" x14ac:dyDescent="0.25">
      <c r="A1" s="63" t="s">
        <v>204</v>
      </c>
      <c r="C1" t="s">
        <v>237</v>
      </c>
    </row>
    <row r="2" spans="1:11" ht="15.75" thickBot="1" x14ac:dyDescent="0.3">
      <c r="A2" s="64" t="s">
        <v>205</v>
      </c>
    </row>
    <row r="3" spans="1:11" ht="15" customHeight="1" x14ac:dyDescent="0.25">
      <c r="A3" s="63" t="s">
        <v>209</v>
      </c>
      <c r="E3" t="s">
        <v>219</v>
      </c>
      <c r="F3" t="s">
        <v>220</v>
      </c>
      <c r="G3" t="s">
        <v>221</v>
      </c>
    </row>
    <row r="4" spans="1:11" ht="17.25" customHeight="1" thickBot="1" x14ac:dyDescent="0.3">
      <c r="A4" s="64" t="s">
        <v>207</v>
      </c>
      <c r="D4">
        <v>1</v>
      </c>
      <c r="E4">
        <v>0</v>
      </c>
      <c r="F4">
        <v>0</v>
      </c>
      <c r="G4">
        <v>0</v>
      </c>
    </row>
    <row r="5" spans="1:11" x14ac:dyDescent="0.25">
      <c r="A5" s="63" t="s">
        <v>210</v>
      </c>
    </row>
    <row r="6" spans="1:11" ht="15.75" thickBot="1" x14ac:dyDescent="0.3">
      <c r="A6" s="64" t="b">
        <v>1</v>
      </c>
      <c r="D6" t="s">
        <v>0</v>
      </c>
      <c r="E6">
        <v>1</v>
      </c>
      <c r="F6">
        <v>1</v>
      </c>
      <c r="G6">
        <v>2</v>
      </c>
      <c r="H6">
        <f>SUMPRODUCT(E6:G6,E4:G4)</f>
        <v>0</v>
      </c>
    </row>
    <row r="7" spans="1:11" ht="15" customHeight="1" x14ac:dyDescent="0.25">
      <c r="A7" s="63" t="s">
        <v>211</v>
      </c>
      <c r="D7" t="s">
        <v>223</v>
      </c>
    </row>
    <row r="8" spans="1:11" ht="15" customHeight="1" x14ac:dyDescent="0.25">
      <c r="A8" s="65" t="s">
        <v>27</v>
      </c>
      <c r="E8">
        <v>1</v>
      </c>
      <c r="F8">
        <v>0</v>
      </c>
      <c r="G8">
        <v>0</v>
      </c>
      <c r="H8">
        <f>SUMPRODUCT($E$4:$G$4,E8:G8)</f>
        <v>0</v>
      </c>
      <c r="I8" t="s">
        <v>8</v>
      </c>
      <c r="J8" s="85">
        <v>5</v>
      </c>
      <c r="K8" s="85"/>
    </row>
    <row r="9" spans="1:11" ht="15.75" thickBot="1" x14ac:dyDescent="0.3">
      <c r="A9" s="64">
        <f>VLOOKUP(A8,OpenSolverResultCodes,2,FALSE)</f>
        <v>5</v>
      </c>
      <c r="E9">
        <v>0</v>
      </c>
      <c r="F9">
        <v>1</v>
      </c>
      <c r="G9">
        <v>0</v>
      </c>
      <c r="H9">
        <f>SUMPRODUCT($E$4:$G$4,E9:G9)</f>
        <v>0</v>
      </c>
      <c r="I9" t="s">
        <v>9</v>
      </c>
      <c r="J9">
        <v>4</v>
      </c>
    </row>
    <row r="10" spans="1:11" ht="15.75" thickBot="1" x14ac:dyDescent="0.3">
      <c r="A10" s="168" t="str">
        <f>HYPERLINK("[OpenSolver Tester.xlsm]Results!A1", "&lt;- Results")</f>
        <v>&lt;- Results</v>
      </c>
      <c r="E10">
        <v>0</v>
      </c>
      <c r="F10">
        <v>0</v>
      </c>
      <c r="G10">
        <v>1</v>
      </c>
      <c r="H10">
        <f>SUMPRODUCT($E$4:$G$4,E10:G10)</f>
        <v>0</v>
      </c>
      <c r="I10" t="s">
        <v>8</v>
      </c>
      <c r="J10">
        <v>5</v>
      </c>
    </row>
    <row r="11" spans="1:11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0</v>
      </c>
      <c r="I11" t="s">
        <v>8</v>
      </c>
      <c r="J11">
        <v>7</v>
      </c>
    </row>
    <row r="12" spans="1:11" x14ac:dyDescent="0.25">
      <c r="E12">
        <v>0</v>
      </c>
      <c r="F12">
        <v>1</v>
      </c>
      <c r="G12">
        <v>0</v>
      </c>
      <c r="H12">
        <f>SUMPRODUCT($E$4:$G$4,E12:G12)</f>
        <v>0</v>
      </c>
      <c r="I12" t="s">
        <v>9</v>
      </c>
      <c r="J12">
        <v>8</v>
      </c>
    </row>
    <row r="17" spans="9:9" x14ac:dyDescent="0.25">
      <c r="I17" s="86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horizontalDpi="1200" verticalDpi="1200"/>
  <drawing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1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3.42578125" customWidth="1"/>
    <col min="6" max="6" width="12" bestFit="1" customWidth="1"/>
  </cols>
  <sheetData>
    <row r="1" spans="1:8" x14ac:dyDescent="0.25">
      <c r="A1" s="63" t="s">
        <v>204</v>
      </c>
    </row>
    <row r="2" spans="1:8" ht="15.75" thickBot="1" x14ac:dyDescent="0.3">
      <c r="A2" s="64" t="s">
        <v>205</v>
      </c>
    </row>
    <row r="3" spans="1:8" x14ac:dyDescent="0.25">
      <c r="A3" s="63" t="s">
        <v>209</v>
      </c>
      <c r="C3" t="s">
        <v>126</v>
      </c>
      <c r="D3" t="s">
        <v>128</v>
      </c>
      <c r="F3" t="s">
        <v>238</v>
      </c>
    </row>
    <row r="4" spans="1:8" ht="15.75" thickBot="1" x14ac:dyDescent="0.3">
      <c r="A4" s="64" t="s">
        <v>208</v>
      </c>
      <c r="C4">
        <v>1.00000000002</v>
      </c>
      <c r="D4" s="81">
        <v>1.00000000004005</v>
      </c>
      <c r="F4">
        <f>100*(D4-C4^2)^2+(1-C4)^2</f>
        <v>4.0024966671309212E-22</v>
      </c>
    </row>
    <row r="5" spans="1:8" x14ac:dyDescent="0.25">
      <c r="A5" s="63" t="s">
        <v>210</v>
      </c>
    </row>
    <row r="6" spans="1:8" ht="15.75" thickBot="1" x14ac:dyDescent="0.3">
      <c r="A6" s="64" t="b">
        <f>AND(C11,D11,F11)</f>
        <v>1</v>
      </c>
      <c r="C6">
        <v>1</v>
      </c>
      <c r="D6">
        <v>0</v>
      </c>
      <c r="E6">
        <f>SUMPRODUCT(C6:D6,$C$4:$D$4)</f>
        <v>1.00000000002</v>
      </c>
      <c r="F6" t="s">
        <v>9</v>
      </c>
      <c r="G6">
        <v>0</v>
      </c>
    </row>
    <row r="7" spans="1:8" x14ac:dyDescent="0.25">
      <c r="A7" s="63" t="s">
        <v>211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5" t="s">
        <v>201</v>
      </c>
    </row>
    <row r="9" spans="1:8" ht="15.75" thickBot="1" x14ac:dyDescent="0.3">
      <c r="A9" s="64">
        <f>VLOOKUP(A8,OpenSolverResultCodes,2,FALSE)</f>
        <v>0</v>
      </c>
      <c r="C9" s="80" t="s">
        <v>1</v>
      </c>
      <c r="D9" s="80" t="s">
        <v>2</v>
      </c>
      <c r="E9" s="80"/>
      <c r="F9" t="s">
        <v>242</v>
      </c>
      <c r="H9" s="80"/>
    </row>
    <row r="10" spans="1:8" ht="15.75" thickBot="1" x14ac:dyDescent="0.3">
      <c r="A10" s="168" t="str">
        <f>HYPERLINK("[OpenSolver Tester.xlsm]Results!A1", "&lt;- Results")</f>
        <v>&lt;- Results</v>
      </c>
      <c r="C10" s="80">
        <v>1</v>
      </c>
      <c r="D10" s="80">
        <v>1</v>
      </c>
      <c r="E10" s="80"/>
      <c r="F10" s="80">
        <v>0</v>
      </c>
      <c r="G10" s="80"/>
    </row>
    <row r="11" spans="1:8" x14ac:dyDescent="0.25">
      <c r="C11" s="8" t="b">
        <f>ABS(C4-C10)/(1+ABS(C10))&lt;=0.001</f>
        <v>1</v>
      </c>
      <c r="D11" s="8" t="b">
        <f>ABS(D4-D10)/(1+ABS(D10))&lt;=0.001</f>
        <v>1</v>
      </c>
      <c r="E11" s="8"/>
      <c r="F11" s="8" t="b">
        <f>ABS(F4-F10)/(1+ABS(F10))&lt;=0.0001</f>
        <v>1</v>
      </c>
      <c r="G11" s="8"/>
      <c r="H1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O8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.85546875" customWidth="1"/>
    <col min="15" max="15" width="9.28515625" customWidth="1"/>
  </cols>
  <sheetData>
    <row r="1" spans="1:15" x14ac:dyDescent="0.25">
      <c r="A1" s="63" t="s">
        <v>204</v>
      </c>
      <c r="C1" t="s">
        <v>239</v>
      </c>
    </row>
    <row r="2" spans="1:15" ht="15.75" thickBot="1" x14ac:dyDescent="0.3">
      <c r="A2" s="64" t="s">
        <v>205</v>
      </c>
    </row>
    <row r="3" spans="1:15" x14ac:dyDescent="0.25">
      <c r="A3" s="63" t="s">
        <v>209</v>
      </c>
    </row>
    <row r="4" spans="1:15" ht="15.75" thickBot="1" x14ac:dyDescent="0.3">
      <c r="A4" s="64" t="s">
        <v>208</v>
      </c>
    </row>
    <row r="5" spans="1:15" x14ac:dyDescent="0.25">
      <c r="A5" s="63" t="s">
        <v>210</v>
      </c>
      <c r="D5">
        <v>25.9085182355517</v>
      </c>
      <c r="E5">
        <v>0.77194689476560097</v>
      </c>
    </row>
    <row r="6" spans="1:15" ht="15.75" thickBot="1" x14ac:dyDescent="0.3">
      <c r="A6" s="64" t="b">
        <f>AND(F22)</f>
        <v>1</v>
      </c>
      <c r="F6">
        <f>D5^2*E5^2</f>
        <v>400.00000799648325</v>
      </c>
    </row>
    <row r="7" spans="1:15" x14ac:dyDescent="0.25">
      <c r="A7" s="63" t="s">
        <v>211</v>
      </c>
    </row>
    <row r="8" spans="1:15" x14ac:dyDescent="0.25">
      <c r="A8" s="65" t="s">
        <v>201</v>
      </c>
      <c r="F8">
        <f>D5*E5</f>
        <v>20.000000199912083</v>
      </c>
      <c r="G8" t="s">
        <v>8</v>
      </c>
      <c r="H8">
        <v>20</v>
      </c>
    </row>
    <row r="9" spans="1:15" ht="15.75" thickBot="1" x14ac:dyDescent="0.3">
      <c r="A9" s="64">
        <f>VLOOKUP(A8,OpenSolverResultCodes,2,FALSE)</f>
        <v>0</v>
      </c>
      <c r="F9">
        <f>E5+D5</f>
        <v>26.680465130317302</v>
      </c>
      <c r="H9">
        <v>40</v>
      </c>
    </row>
    <row r="10" spans="1:15" ht="15.75" thickBot="1" x14ac:dyDescent="0.3">
      <c r="A10" s="168" t="str">
        <f>HYPERLINK("[OpenSolver Tester.xlsm]Results!A1", "&lt;- Results")</f>
        <v>&lt;- Results</v>
      </c>
      <c r="F10">
        <f>D5</f>
        <v>25.9085182355517</v>
      </c>
      <c r="G10" t="s">
        <v>9</v>
      </c>
      <c r="H10">
        <v>0</v>
      </c>
    </row>
    <row r="11" spans="1:15" x14ac:dyDescent="0.25">
      <c r="F11">
        <f>E5</f>
        <v>0.77194689476560097</v>
      </c>
      <c r="H11">
        <v>0</v>
      </c>
    </row>
    <row r="12" spans="1:15" x14ac:dyDescent="0.25">
      <c r="F12">
        <f>E5*D5+E5+D5</f>
        <v>46.680465330229381</v>
      </c>
      <c r="G12" t="s">
        <v>8</v>
      </c>
      <c r="H12">
        <v>60</v>
      </c>
      <c r="I12" t="s">
        <v>353</v>
      </c>
    </row>
    <row r="13" spans="1:15" x14ac:dyDescent="0.25">
      <c r="F13">
        <f>E5+D5*E5+D5</f>
        <v>46.680465330229381</v>
      </c>
      <c r="G13" t="s">
        <v>8</v>
      </c>
      <c r="H13">
        <v>60</v>
      </c>
      <c r="I13" t="s">
        <v>354</v>
      </c>
    </row>
    <row r="14" spans="1:15" x14ac:dyDescent="0.25">
      <c r="F14">
        <f>E5+D5+E5*D5</f>
        <v>46.680465330229381</v>
      </c>
      <c r="G14" t="s">
        <v>8</v>
      </c>
      <c r="H14">
        <v>60</v>
      </c>
      <c r="I14" t="s">
        <v>355</v>
      </c>
    </row>
    <row r="15" spans="1:15" ht="15.75" customHeight="1" x14ac:dyDescent="0.25">
      <c r="F15">
        <f>E5*D5-E5-D5</f>
        <v>-6.6804649304052184</v>
      </c>
      <c r="G15" t="s">
        <v>8</v>
      </c>
      <c r="H15">
        <v>0</v>
      </c>
      <c r="O15" s="83"/>
    </row>
    <row r="16" spans="1:15" x14ac:dyDescent="0.25">
      <c r="F16">
        <f>E5-D5*E5+D5</f>
        <v>6.6804649304052184</v>
      </c>
      <c r="G16" t="s">
        <v>8</v>
      </c>
      <c r="H16">
        <v>60</v>
      </c>
      <c r="O16" s="83"/>
    </row>
    <row r="17" spans="6:15" x14ac:dyDescent="0.25">
      <c r="F17">
        <f>E5-D5+E5*D5</f>
        <v>-5.1365711408740147</v>
      </c>
      <c r="G17" t="s">
        <v>8</v>
      </c>
      <c r="H17">
        <v>0</v>
      </c>
      <c r="O17" s="83"/>
    </row>
    <row r="18" spans="6:15" x14ac:dyDescent="0.25">
      <c r="F18">
        <f>ROW()</f>
        <v>18</v>
      </c>
      <c r="G18" t="s">
        <v>8</v>
      </c>
      <c r="H18">
        <v>20</v>
      </c>
      <c r="I18" t="s">
        <v>391</v>
      </c>
      <c r="O18" s="83"/>
    </row>
    <row r="19" spans="6:15" x14ac:dyDescent="0.25">
      <c r="O19" s="83"/>
    </row>
    <row r="20" spans="6:15" x14ac:dyDescent="0.25">
      <c r="F20" t="s">
        <v>242</v>
      </c>
      <c r="O20" s="83"/>
    </row>
    <row r="21" spans="6:15" x14ac:dyDescent="0.25">
      <c r="F21" s="80">
        <v>400</v>
      </c>
      <c r="O21" s="83"/>
    </row>
    <row r="22" spans="6:15" x14ac:dyDescent="0.25">
      <c r="F22" s="8" t="b">
        <f>ABS(F6-F21)/(1+ABS(F21))&lt;=0.000001</f>
        <v>1</v>
      </c>
      <c r="O22" s="83"/>
    </row>
    <row r="23" spans="6:15" x14ac:dyDescent="0.25">
      <c r="O23" s="83"/>
    </row>
    <row r="24" spans="6:15" x14ac:dyDescent="0.25">
      <c r="O24" s="83"/>
    </row>
    <row r="25" spans="6:15" x14ac:dyDescent="0.25">
      <c r="O25" s="83"/>
    </row>
    <row r="26" spans="6:15" x14ac:dyDescent="0.25">
      <c r="J26" t="e">
        <f>solve</f>
        <v>#NAME?</v>
      </c>
      <c r="O26" s="83"/>
    </row>
    <row r="27" spans="6:15" x14ac:dyDescent="0.25">
      <c r="O27" s="83"/>
    </row>
    <row r="28" spans="6:15" x14ac:dyDescent="0.25">
      <c r="O28" s="83"/>
    </row>
    <row r="29" spans="6:15" x14ac:dyDescent="0.25">
      <c r="O29" s="83"/>
    </row>
    <row r="30" spans="6:15" x14ac:dyDescent="0.25">
      <c r="O30" s="83"/>
    </row>
    <row r="31" spans="6:15" x14ac:dyDescent="0.25">
      <c r="O31" s="83"/>
    </row>
    <row r="32" spans="6:15" x14ac:dyDescent="0.25">
      <c r="O32" s="83"/>
    </row>
    <row r="33" spans="15:15" x14ac:dyDescent="0.25">
      <c r="O33" s="83"/>
    </row>
    <row r="34" spans="15:15" x14ac:dyDescent="0.25">
      <c r="O34" s="83"/>
    </row>
    <row r="35" spans="15:15" x14ac:dyDescent="0.25">
      <c r="O35" s="83"/>
    </row>
    <row r="36" spans="15:15" x14ac:dyDescent="0.25">
      <c r="O36" s="83"/>
    </row>
    <row r="37" spans="15:15" x14ac:dyDescent="0.25">
      <c r="O37" s="83"/>
    </row>
    <row r="38" spans="15:15" x14ac:dyDescent="0.25">
      <c r="O38" s="83"/>
    </row>
    <row r="39" spans="15:15" x14ac:dyDescent="0.25">
      <c r="O39" s="83"/>
    </row>
    <row r="40" spans="15:15" x14ac:dyDescent="0.25">
      <c r="O40" s="83"/>
    </row>
    <row r="41" spans="15:15" x14ac:dyDescent="0.25">
      <c r="O41" s="83"/>
    </row>
    <row r="42" spans="15:15" x14ac:dyDescent="0.25">
      <c r="O42" s="83"/>
    </row>
    <row r="43" spans="15:15" x14ac:dyDescent="0.25">
      <c r="O43" s="83"/>
    </row>
    <row r="44" spans="15:15" x14ac:dyDescent="0.25">
      <c r="O44" s="83"/>
    </row>
    <row r="45" spans="15:15" x14ac:dyDescent="0.25">
      <c r="O45" s="83"/>
    </row>
    <row r="46" spans="15:15" x14ac:dyDescent="0.25">
      <c r="O46" s="83"/>
    </row>
    <row r="47" spans="15:15" x14ac:dyDescent="0.25">
      <c r="O47" s="83"/>
    </row>
    <row r="48" spans="15:15" x14ac:dyDescent="0.25">
      <c r="O48" s="83"/>
    </row>
    <row r="49" spans="15:15" x14ac:dyDescent="0.25">
      <c r="O49" s="83"/>
    </row>
    <row r="50" spans="15:15" x14ac:dyDescent="0.25">
      <c r="O50" s="83"/>
    </row>
    <row r="51" spans="15:15" x14ac:dyDescent="0.25">
      <c r="O51" s="83"/>
    </row>
    <row r="52" spans="15:15" x14ac:dyDescent="0.25">
      <c r="O52" s="83"/>
    </row>
    <row r="53" spans="15:15" x14ac:dyDescent="0.25">
      <c r="O53" s="83"/>
    </row>
    <row r="54" spans="15:15" x14ac:dyDescent="0.25">
      <c r="O54" s="83"/>
    </row>
    <row r="55" spans="15:15" x14ac:dyDescent="0.25">
      <c r="O55" s="83"/>
    </row>
    <row r="56" spans="15:15" x14ac:dyDescent="0.25">
      <c r="O56" s="83"/>
    </row>
    <row r="57" spans="15:15" x14ac:dyDescent="0.25">
      <c r="O57" s="83"/>
    </row>
    <row r="58" spans="15:15" x14ac:dyDescent="0.25">
      <c r="O58" s="83"/>
    </row>
    <row r="59" spans="15:15" x14ac:dyDescent="0.25">
      <c r="O59" s="83"/>
    </row>
    <row r="60" spans="15:15" x14ac:dyDescent="0.25">
      <c r="O60" s="83"/>
    </row>
    <row r="61" spans="15:15" x14ac:dyDescent="0.25">
      <c r="O61" s="83"/>
    </row>
    <row r="62" spans="15:15" x14ac:dyDescent="0.25">
      <c r="O62" s="83"/>
    </row>
    <row r="63" spans="15:15" x14ac:dyDescent="0.25">
      <c r="O63" s="83"/>
    </row>
    <row r="64" spans="15:15" x14ac:dyDescent="0.25">
      <c r="O64" s="83"/>
    </row>
    <row r="65" spans="15:15" x14ac:dyDescent="0.25">
      <c r="O65" s="83"/>
    </row>
    <row r="66" spans="15:15" x14ac:dyDescent="0.25">
      <c r="O66" s="83"/>
    </row>
    <row r="67" spans="15:15" x14ac:dyDescent="0.25">
      <c r="O67" s="83"/>
    </row>
    <row r="68" spans="15:15" x14ac:dyDescent="0.25">
      <c r="O68" s="83"/>
    </row>
    <row r="69" spans="15:15" x14ac:dyDescent="0.25">
      <c r="O69" s="83"/>
    </row>
    <row r="70" spans="15:15" x14ac:dyDescent="0.25">
      <c r="O70" s="83"/>
    </row>
    <row r="71" spans="15:15" x14ac:dyDescent="0.25">
      <c r="O71" s="83"/>
    </row>
    <row r="72" spans="15:15" x14ac:dyDescent="0.25">
      <c r="O72" s="83"/>
    </row>
    <row r="73" spans="15:15" x14ac:dyDescent="0.25">
      <c r="O73" s="83"/>
    </row>
    <row r="74" spans="15:15" x14ac:dyDescent="0.25">
      <c r="O74" s="83"/>
    </row>
    <row r="75" spans="15:15" x14ac:dyDescent="0.25">
      <c r="O75" s="83"/>
    </row>
    <row r="76" spans="15:15" x14ac:dyDescent="0.25">
      <c r="O76" s="83"/>
    </row>
    <row r="77" spans="15:15" x14ac:dyDescent="0.25">
      <c r="O77" s="83"/>
    </row>
    <row r="78" spans="15:15" x14ac:dyDescent="0.25">
      <c r="O78" s="83"/>
    </row>
    <row r="79" spans="15:15" x14ac:dyDescent="0.25">
      <c r="O79" s="83"/>
    </row>
    <row r="80" spans="15:15" x14ac:dyDescent="0.25">
      <c r="O80" s="83"/>
    </row>
    <row r="81" spans="15:15" x14ac:dyDescent="0.25">
      <c r="O81" s="83"/>
    </row>
    <row r="82" spans="15:15" x14ac:dyDescent="0.25">
      <c r="O82" s="83"/>
    </row>
    <row r="83" spans="15:15" x14ac:dyDescent="0.25">
      <c r="O83" s="83"/>
    </row>
    <row r="84" spans="15:15" x14ac:dyDescent="0.25">
      <c r="O84" s="83"/>
    </row>
    <row r="85" spans="15:15" x14ac:dyDescent="0.25">
      <c r="O85" s="83"/>
    </row>
    <row r="86" spans="15:15" x14ac:dyDescent="0.25">
      <c r="O86" s="83"/>
    </row>
    <row r="87" spans="15:15" x14ac:dyDescent="0.25">
      <c r="O87" s="83"/>
    </row>
  </sheetData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I1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3" customWidth="1"/>
  </cols>
  <sheetData>
    <row r="1" spans="1:9" x14ac:dyDescent="0.25">
      <c r="A1" s="63" t="s">
        <v>204</v>
      </c>
    </row>
    <row r="2" spans="1:9" ht="15.75" thickBot="1" x14ac:dyDescent="0.3">
      <c r="A2" s="64" t="s">
        <v>205</v>
      </c>
    </row>
    <row r="3" spans="1:9" x14ac:dyDescent="0.25">
      <c r="A3" s="63" t="s">
        <v>209</v>
      </c>
      <c r="D3" t="s">
        <v>219</v>
      </c>
      <c r="E3" t="s">
        <v>220</v>
      </c>
      <c r="F3" t="s">
        <v>221</v>
      </c>
    </row>
    <row r="4" spans="1:9" ht="15.75" thickBot="1" x14ac:dyDescent="0.3">
      <c r="A4" s="64" t="s">
        <v>208</v>
      </c>
      <c r="D4">
        <v>2</v>
      </c>
      <c r="E4">
        <v>0</v>
      </c>
      <c r="F4">
        <v>81887</v>
      </c>
    </row>
    <row r="5" spans="1:9" x14ac:dyDescent="0.25">
      <c r="A5" s="63" t="s">
        <v>210</v>
      </c>
    </row>
    <row r="6" spans="1:9" ht="15.75" thickBot="1" x14ac:dyDescent="0.3">
      <c r="A6" s="64" t="b">
        <f>AND(D12,E12,G12)</f>
        <v>1</v>
      </c>
      <c r="C6" t="s">
        <v>222</v>
      </c>
      <c r="D6">
        <v>1</v>
      </c>
      <c r="E6">
        <v>1</v>
      </c>
      <c r="F6">
        <v>2</v>
      </c>
      <c r="G6">
        <f>D4^2+5*D4+E4+MAX(D4:E4,MIN(D4,1))</f>
        <v>16</v>
      </c>
    </row>
    <row r="7" spans="1:9" x14ac:dyDescent="0.25">
      <c r="A7" s="63" t="s">
        <v>211</v>
      </c>
      <c r="C7" t="s">
        <v>223</v>
      </c>
    </row>
    <row r="8" spans="1:9" x14ac:dyDescent="0.25">
      <c r="A8" s="65" t="s">
        <v>201</v>
      </c>
      <c r="D8">
        <v>1</v>
      </c>
      <c r="E8">
        <v>1</v>
      </c>
      <c r="F8">
        <v>0</v>
      </c>
      <c r="G8">
        <f>SUMPRODUCT($D$4:$F$4,D8:F8)^2</f>
        <v>4</v>
      </c>
      <c r="H8" t="s">
        <v>8</v>
      </c>
      <c r="I8">
        <v>5</v>
      </c>
    </row>
    <row r="9" spans="1:9" ht="15.75" thickBot="1" x14ac:dyDescent="0.3">
      <c r="A9" s="64">
        <f>VLOOKUP(A8,OpenSolverResultCodes,2,FALSE)</f>
        <v>0</v>
      </c>
    </row>
    <row r="10" spans="1:9" ht="15.75" thickBot="1" x14ac:dyDescent="0.3">
      <c r="A10" s="168" t="str">
        <f>HYPERLINK("[OpenSolver Tester.xlsm]Results!A1", "&lt;- Results")</f>
        <v>&lt;- Results</v>
      </c>
      <c r="D10" s="158" t="s">
        <v>1</v>
      </c>
      <c r="E10" s="158" t="s">
        <v>2</v>
      </c>
      <c r="F10" s="158"/>
      <c r="G10" t="s">
        <v>242</v>
      </c>
    </row>
    <row r="11" spans="1:9" x14ac:dyDescent="0.25">
      <c r="D11" s="158">
        <v>2</v>
      </c>
      <c r="E11" s="158">
        <v>0</v>
      </c>
      <c r="F11" s="158"/>
      <c r="G11" s="158">
        <v>16</v>
      </c>
    </row>
    <row r="12" spans="1:9" x14ac:dyDescent="0.25">
      <c r="C12" s="81"/>
      <c r="D12" s="8" t="b">
        <f>ABS(D4-D11)/(1+ABS(D11))&lt;=0.0001</f>
        <v>1</v>
      </c>
      <c r="E12" s="8" t="b">
        <f>ABS(E4-E11)/(1+ABS(E11))&lt;=0.0001</f>
        <v>1</v>
      </c>
      <c r="F12" s="8"/>
      <c r="G12" s="8" t="b">
        <f>ABS(G6-G11)/(1+ABS(G11))&lt;=0.000001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K30"/>
  <sheetViews>
    <sheetView workbookViewId="0">
      <selection activeCell="I44" sqref="I44"/>
    </sheetView>
  </sheetViews>
  <sheetFormatPr defaultColWidth="8.85546875" defaultRowHeight="15" x14ac:dyDescent="0.25"/>
  <cols>
    <col min="1" max="1" width="15" style="61" bestFit="1" customWidth="1"/>
    <col min="2" max="2" width="3" style="66" customWidth="1"/>
  </cols>
  <sheetData>
    <row r="1" spans="1:11" x14ac:dyDescent="0.25">
      <c r="A1" s="63" t="s">
        <v>204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</row>
    <row r="4" spans="1:11" ht="15.75" thickBot="1" x14ac:dyDescent="0.3">
      <c r="A4" s="64" t="s">
        <v>208</v>
      </c>
      <c r="D4" t="s">
        <v>126</v>
      </c>
      <c r="E4" t="s">
        <v>128</v>
      </c>
      <c r="F4" t="s">
        <v>130</v>
      </c>
      <c r="G4" t="s">
        <v>240</v>
      </c>
      <c r="H4" t="s">
        <v>241</v>
      </c>
    </row>
    <row r="5" spans="1:11" x14ac:dyDescent="0.25">
      <c r="A5" s="63" t="s">
        <v>210</v>
      </c>
      <c r="D5">
        <v>3.4489792209494801</v>
      </c>
      <c r="E5">
        <v>3.4489792209494801</v>
      </c>
      <c r="F5">
        <v>3.4489792209494898</v>
      </c>
      <c r="G5">
        <v>3.4489792209494801</v>
      </c>
      <c r="H5">
        <v>0</v>
      </c>
    </row>
    <row r="6" spans="1:11" ht="15.75" thickBot="1" x14ac:dyDescent="0.3">
      <c r="A6" s="64" t="b">
        <f>AND(I16)</f>
        <v>1</v>
      </c>
      <c r="C6" t="s">
        <v>0</v>
      </c>
      <c r="I6">
        <f>H5</f>
        <v>0</v>
      </c>
    </row>
    <row r="7" spans="1:11" x14ac:dyDescent="0.25">
      <c r="A7" s="63" t="s">
        <v>211</v>
      </c>
      <c r="I7">
        <f>(D5-1)^2+(E5-1)^2+(F5-1)^2+(G5-1)^2+(H5-1)^2-25</f>
        <v>-1.0003101430665851E-2</v>
      </c>
      <c r="J7" t="s">
        <v>8</v>
      </c>
      <c r="K7">
        <v>0</v>
      </c>
    </row>
    <row r="8" spans="1:11" x14ac:dyDescent="0.25">
      <c r="A8" s="65" t="s">
        <v>201</v>
      </c>
      <c r="I8">
        <f>25-((D5+1)^2+(E5+1)^2+(F5+1)^2+(G5+1)^2+(H5+1)^2)</f>
        <v>-55.173664433761076</v>
      </c>
      <c r="J8" t="s">
        <v>8</v>
      </c>
      <c r="K8">
        <v>0</v>
      </c>
    </row>
    <row r="9" spans="1:11" ht="15.75" thickBot="1" x14ac:dyDescent="0.3">
      <c r="A9" s="64">
        <f>VLOOKUP(A8,OpenSolverResultCodes,2,FALSE)</f>
        <v>0</v>
      </c>
      <c r="I9">
        <f>SUM(D5:H5)+I8</f>
        <v>-41.377747549963146</v>
      </c>
      <c r="J9" t="s">
        <v>8</v>
      </c>
      <c r="K9">
        <v>0</v>
      </c>
    </row>
    <row r="10" spans="1:11" ht="15.75" thickBot="1" x14ac:dyDescent="0.3">
      <c r="A10" s="168" t="str">
        <f>HYPERLINK("[OpenSolver Tester.xlsm]Results!A1", "&lt;- Results")</f>
        <v>&lt;- Results</v>
      </c>
    </row>
    <row r="14" spans="1:11" x14ac:dyDescent="0.25">
      <c r="D14" s="80"/>
      <c r="E14" s="80"/>
      <c r="F14" s="80"/>
      <c r="I14" s="80" t="s">
        <v>242</v>
      </c>
    </row>
    <row r="15" spans="1:11" x14ac:dyDescent="0.25">
      <c r="D15" s="80"/>
      <c r="E15" s="80"/>
      <c r="F15" s="80"/>
      <c r="G15" s="80"/>
      <c r="H15" s="80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U13"/>
  <sheetViews>
    <sheetView showGridLines="0"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8.85546875" style="87"/>
    <col min="3" max="3" width="3.7109375" style="87" customWidth="1"/>
    <col min="4" max="4" width="4.28515625" style="87" customWidth="1"/>
    <col min="5" max="5" width="1.42578125" style="87" customWidth="1"/>
    <col min="6" max="7" width="12.140625" style="87" customWidth="1"/>
    <col min="8" max="8" width="1.28515625" style="87" customWidth="1"/>
    <col min="9" max="13" width="8.85546875" style="87"/>
    <col min="14" max="15" width="5.85546875" style="87" customWidth="1"/>
    <col min="16" max="16" width="6.42578125" style="87" customWidth="1"/>
    <col min="17" max="258" width="8.85546875" style="87"/>
    <col min="259" max="259" width="3.7109375" style="87" customWidth="1"/>
    <col min="260" max="260" width="4.28515625" style="87" customWidth="1"/>
    <col min="261" max="261" width="1.42578125" style="87" customWidth="1"/>
    <col min="262" max="263" width="12.140625" style="87" customWidth="1"/>
    <col min="264" max="264" width="1.28515625" style="87" customWidth="1"/>
    <col min="265" max="269" width="8.85546875" style="87"/>
    <col min="270" max="271" width="5.85546875" style="87" customWidth="1"/>
    <col min="272" max="272" width="6.42578125" style="87" customWidth="1"/>
    <col min="273" max="514" width="8.85546875" style="87"/>
    <col min="515" max="515" width="3.7109375" style="87" customWidth="1"/>
    <col min="516" max="516" width="4.28515625" style="87" customWidth="1"/>
    <col min="517" max="517" width="1.42578125" style="87" customWidth="1"/>
    <col min="518" max="519" width="12.140625" style="87" customWidth="1"/>
    <col min="520" max="520" width="1.28515625" style="87" customWidth="1"/>
    <col min="521" max="525" width="8.85546875" style="87"/>
    <col min="526" max="527" width="5.85546875" style="87" customWidth="1"/>
    <col min="528" max="528" width="6.42578125" style="87" customWidth="1"/>
    <col min="529" max="770" width="8.85546875" style="87"/>
    <col min="771" max="771" width="3.7109375" style="87" customWidth="1"/>
    <col min="772" max="772" width="4.28515625" style="87" customWidth="1"/>
    <col min="773" max="773" width="1.42578125" style="87" customWidth="1"/>
    <col min="774" max="775" width="12.140625" style="87" customWidth="1"/>
    <col min="776" max="776" width="1.28515625" style="87" customWidth="1"/>
    <col min="777" max="781" width="8.85546875" style="87"/>
    <col min="782" max="783" width="5.85546875" style="87" customWidth="1"/>
    <col min="784" max="784" width="6.42578125" style="87" customWidth="1"/>
    <col min="785" max="1026" width="8.85546875" style="87"/>
    <col min="1027" max="1027" width="3.7109375" style="87" customWidth="1"/>
    <col min="1028" max="1028" width="4.28515625" style="87" customWidth="1"/>
    <col min="1029" max="1029" width="1.42578125" style="87" customWidth="1"/>
    <col min="1030" max="1031" width="12.140625" style="87" customWidth="1"/>
    <col min="1032" max="1032" width="1.28515625" style="87" customWidth="1"/>
    <col min="1033" max="1037" width="8.85546875" style="87"/>
    <col min="1038" max="1039" width="5.85546875" style="87" customWidth="1"/>
    <col min="1040" max="1040" width="6.42578125" style="87" customWidth="1"/>
    <col min="1041" max="1282" width="8.85546875" style="87"/>
    <col min="1283" max="1283" width="3.7109375" style="87" customWidth="1"/>
    <col min="1284" max="1284" width="4.28515625" style="87" customWidth="1"/>
    <col min="1285" max="1285" width="1.42578125" style="87" customWidth="1"/>
    <col min="1286" max="1287" width="12.140625" style="87" customWidth="1"/>
    <col min="1288" max="1288" width="1.28515625" style="87" customWidth="1"/>
    <col min="1289" max="1293" width="8.85546875" style="87"/>
    <col min="1294" max="1295" width="5.85546875" style="87" customWidth="1"/>
    <col min="1296" max="1296" width="6.42578125" style="87" customWidth="1"/>
    <col min="1297" max="1538" width="8.85546875" style="87"/>
    <col min="1539" max="1539" width="3.7109375" style="87" customWidth="1"/>
    <col min="1540" max="1540" width="4.28515625" style="87" customWidth="1"/>
    <col min="1541" max="1541" width="1.42578125" style="87" customWidth="1"/>
    <col min="1542" max="1543" width="12.140625" style="87" customWidth="1"/>
    <col min="1544" max="1544" width="1.28515625" style="87" customWidth="1"/>
    <col min="1545" max="1549" width="8.85546875" style="87"/>
    <col min="1550" max="1551" width="5.85546875" style="87" customWidth="1"/>
    <col min="1552" max="1552" width="6.42578125" style="87" customWidth="1"/>
    <col min="1553" max="1794" width="8.85546875" style="87"/>
    <col min="1795" max="1795" width="3.7109375" style="87" customWidth="1"/>
    <col min="1796" max="1796" width="4.28515625" style="87" customWidth="1"/>
    <col min="1797" max="1797" width="1.42578125" style="87" customWidth="1"/>
    <col min="1798" max="1799" width="12.140625" style="87" customWidth="1"/>
    <col min="1800" max="1800" width="1.28515625" style="87" customWidth="1"/>
    <col min="1801" max="1805" width="8.85546875" style="87"/>
    <col min="1806" max="1807" width="5.85546875" style="87" customWidth="1"/>
    <col min="1808" max="1808" width="6.42578125" style="87" customWidth="1"/>
    <col min="1809" max="2050" width="8.85546875" style="87"/>
    <col min="2051" max="2051" width="3.7109375" style="87" customWidth="1"/>
    <col min="2052" max="2052" width="4.28515625" style="87" customWidth="1"/>
    <col min="2053" max="2053" width="1.42578125" style="87" customWidth="1"/>
    <col min="2054" max="2055" width="12.140625" style="87" customWidth="1"/>
    <col min="2056" max="2056" width="1.28515625" style="87" customWidth="1"/>
    <col min="2057" max="2061" width="8.85546875" style="87"/>
    <col min="2062" max="2063" width="5.85546875" style="87" customWidth="1"/>
    <col min="2064" max="2064" width="6.42578125" style="87" customWidth="1"/>
    <col min="2065" max="2306" width="8.85546875" style="87"/>
    <col min="2307" max="2307" width="3.7109375" style="87" customWidth="1"/>
    <col min="2308" max="2308" width="4.28515625" style="87" customWidth="1"/>
    <col min="2309" max="2309" width="1.42578125" style="87" customWidth="1"/>
    <col min="2310" max="2311" width="12.140625" style="87" customWidth="1"/>
    <col min="2312" max="2312" width="1.28515625" style="87" customWidth="1"/>
    <col min="2313" max="2317" width="8.85546875" style="87"/>
    <col min="2318" max="2319" width="5.85546875" style="87" customWidth="1"/>
    <col min="2320" max="2320" width="6.42578125" style="87" customWidth="1"/>
    <col min="2321" max="2562" width="8.85546875" style="87"/>
    <col min="2563" max="2563" width="3.7109375" style="87" customWidth="1"/>
    <col min="2564" max="2564" width="4.28515625" style="87" customWidth="1"/>
    <col min="2565" max="2565" width="1.42578125" style="87" customWidth="1"/>
    <col min="2566" max="2567" width="12.140625" style="87" customWidth="1"/>
    <col min="2568" max="2568" width="1.28515625" style="87" customWidth="1"/>
    <col min="2569" max="2573" width="8.85546875" style="87"/>
    <col min="2574" max="2575" width="5.85546875" style="87" customWidth="1"/>
    <col min="2576" max="2576" width="6.42578125" style="87" customWidth="1"/>
    <col min="2577" max="2818" width="8.85546875" style="87"/>
    <col min="2819" max="2819" width="3.7109375" style="87" customWidth="1"/>
    <col min="2820" max="2820" width="4.28515625" style="87" customWidth="1"/>
    <col min="2821" max="2821" width="1.42578125" style="87" customWidth="1"/>
    <col min="2822" max="2823" width="12.140625" style="87" customWidth="1"/>
    <col min="2824" max="2824" width="1.28515625" style="87" customWidth="1"/>
    <col min="2825" max="2829" width="8.85546875" style="87"/>
    <col min="2830" max="2831" width="5.85546875" style="87" customWidth="1"/>
    <col min="2832" max="2832" width="6.42578125" style="87" customWidth="1"/>
    <col min="2833" max="3074" width="8.85546875" style="87"/>
    <col min="3075" max="3075" width="3.7109375" style="87" customWidth="1"/>
    <col min="3076" max="3076" width="4.28515625" style="87" customWidth="1"/>
    <col min="3077" max="3077" width="1.42578125" style="87" customWidth="1"/>
    <col min="3078" max="3079" width="12.140625" style="87" customWidth="1"/>
    <col min="3080" max="3080" width="1.28515625" style="87" customWidth="1"/>
    <col min="3081" max="3085" width="8.85546875" style="87"/>
    <col min="3086" max="3087" width="5.85546875" style="87" customWidth="1"/>
    <col min="3088" max="3088" width="6.42578125" style="87" customWidth="1"/>
    <col min="3089" max="3330" width="8.85546875" style="87"/>
    <col min="3331" max="3331" width="3.7109375" style="87" customWidth="1"/>
    <col min="3332" max="3332" width="4.28515625" style="87" customWidth="1"/>
    <col min="3333" max="3333" width="1.42578125" style="87" customWidth="1"/>
    <col min="3334" max="3335" width="12.140625" style="87" customWidth="1"/>
    <col min="3336" max="3336" width="1.28515625" style="87" customWidth="1"/>
    <col min="3337" max="3341" width="8.85546875" style="87"/>
    <col min="3342" max="3343" width="5.85546875" style="87" customWidth="1"/>
    <col min="3344" max="3344" width="6.42578125" style="87" customWidth="1"/>
    <col min="3345" max="3586" width="8.85546875" style="87"/>
    <col min="3587" max="3587" width="3.7109375" style="87" customWidth="1"/>
    <col min="3588" max="3588" width="4.28515625" style="87" customWidth="1"/>
    <col min="3589" max="3589" width="1.42578125" style="87" customWidth="1"/>
    <col min="3590" max="3591" width="12.140625" style="87" customWidth="1"/>
    <col min="3592" max="3592" width="1.28515625" style="87" customWidth="1"/>
    <col min="3593" max="3597" width="8.85546875" style="87"/>
    <col min="3598" max="3599" width="5.85546875" style="87" customWidth="1"/>
    <col min="3600" max="3600" width="6.42578125" style="87" customWidth="1"/>
    <col min="3601" max="3842" width="8.85546875" style="87"/>
    <col min="3843" max="3843" width="3.7109375" style="87" customWidth="1"/>
    <col min="3844" max="3844" width="4.28515625" style="87" customWidth="1"/>
    <col min="3845" max="3845" width="1.42578125" style="87" customWidth="1"/>
    <col min="3846" max="3847" width="12.140625" style="87" customWidth="1"/>
    <col min="3848" max="3848" width="1.28515625" style="87" customWidth="1"/>
    <col min="3849" max="3853" width="8.85546875" style="87"/>
    <col min="3854" max="3855" width="5.85546875" style="87" customWidth="1"/>
    <col min="3856" max="3856" width="6.42578125" style="87" customWidth="1"/>
    <col min="3857" max="4098" width="8.85546875" style="87"/>
    <col min="4099" max="4099" width="3.7109375" style="87" customWidth="1"/>
    <col min="4100" max="4100" width="4.28515625" style="87" customWidth="1"/>
    <col min="4101" max="4101" width="1.42578125" style="87" customWidth="1"/>
    <col min="4102" max="4103" width="12.140625" style="87" customWidth="1"/>
    <col min="4104" max="4104" width="1.28515625" style="87" customWidth="1"/>
    <col min="4105" max="4109" width="8.85546875" style="87"/>
    <col min="4110" max="4111" width="5.85546875" style="87" customWidth="1"/>
    <col min="4112" max="4112" width="6.42578125" style="87" customWidth="1"/>
    <col min="4113" max="4354" width="8.85546875" style="87"/>
    <col min="4355" max="4355" width="3.7109375" style="87" customWidth="1"/>
    <col min="4356" max="4356" width="4.28515625" style="87" customWidth="1"/>
    <col min="4357" max="4357" width="1.42578125" style="87" customWidth="1"/>
    <col min="4358" max="4359" width="12.140625" style="87" customWidth="1"/>
    <col min="4360" max="4360" width="1.28515625" style="87" customWidth="1"/>
    <col min="4361" max="4365" width="8.85546875" style="87"/>
    <col min="4366" max="4367" width="5.85546875" style="87" customWidth="1"/>
    <col min="4368" max="4368" width="6.42578125" style="87" customWidth="1"/>
    <col min="4369" max="4610" width="8.85546875" style="87"/>
    <col min="4611" max="4611" width="3.7109375" style="87" customWidth="1"/>
    <col min="4612" max="4612" width="4.28515625" style="87" customWidth="1"/>
    <col min="4613" max="4613" width="1.42578125" style="87" customWidth="1"/>
    <col min="4614" max="4615" width="12.140625" style="87" customWidth="1"/>
    <col min="4616" max="4616" width="1.28515625" style="87" customWidth="1"/>
    <col min="4617" max="4621" width="8.85546875" style="87"/>
    <col min="4622" max="4623" width="5.85546875" style="87" customWidth="1"/>
    <col min="4624" max="4624" width="6.42578125" style="87" customWidth="1"/>
    <col min="4625" max="4866" width="8.85546875" style="87"/>
    <col min="4867" max="4867" width="3.7109375" style="87" customWidth="1"/>
    <col min="4868" max="4868" width="4.28515625" style="87" customWidth="1"/>
    <col min="4869" max="4869" width="1.42578125" style="87" customWidth="1"/>
    <col min="4870" max="4871" width="12.140625" style="87" customWidth="1"/>
    <col min="4872" max="4872" width="1.28515625" style="87" customWidth="1"/>
    <col min="4873" max="4877" width="8.85546875" style="87"/>
    <col min="4878" max="4879" width="5.85546875" style="87" customWidth="1"/>
    <col min="4880" max="4880" width="6.42578125" style="87" customWidth="1"/>
    <col min="4881" max="5122" width="8.85546875" style="87"/>
    <col min="5123" max="5123" width="3.7109375" style="87" customWidth="1"/>
    <col min="5124" max="5124" width="4.28515625" style="87" customWidth="1"/>
    <col min="5125" max="5125" width="1.42578125" style="87" customWidth="1"/>
    <col min="5126" max="5127" width="12.140625" style="87" customWidth="1"/>
    <col min="5128" max="5128" width="1.28515625" style="87" customWidth="1"/>
    <col min="5129" max="5133" width="8.85546875" style="87"/>
    <col min="5134" max="5135" width="5.85546875" style="87" customWidth="1"/>
    <col min="5136" max="5136" width="6.42578125" style="87" customWidth="1"/>
    <col min="5137" max="5378" width="8.85546875" style="87"/>
    <col min="5379" max="5379" width="3.7109375" style="87" customWidth="1"/>
    <col min="5380" max="5380" width="4.28515625" style="87" customWidth="1"/>
    <col min="5381" max="5381" width="1.42578125" style="87" customWidth="1"/>
    <col min="5382" max="5383" width="12.140625" style="87" customWidth="1"/>
    <col min="5384" max="5384" width="1.28515625" style="87" customWidth="1"/>
    <col min="5385" max="5389" width="8.85546875" style="87"/>
    <col min="5390" max="5391" width="5.85546875" style="87" customWidth="1"/>
    <col min="5392" max="5392" width="6.42578125" style="87" customWidth="1"/>
    <col min="5393" max="5634" width="8.85546875" style="87"/>
    <col min="5635" max="5635" width="3.7109375" style="87" customWidth="1"/>
    <col min="5636" max="5636" width="4.28515625" style="87" customWidth="1"/>
    <col min="5637" max="5637" width="1.42578125" style="87" customWidth="1"/>
    <col min="5638" max="5639" width="12.140625" style="87" customWidth="1"/>
    <col min="5640" max="5640" width="1.28515625" style="87" customWidth="1"/>
    <col min="5641" max="5645" width="8.85546875" style="87"/>
    <col min="5646" max="5647" width="5.85546875" style="87" customWidth="1"/>
    <col min="5648" max="5648" width="6.42578125" style="87" customWidth="1"/>
    <col min="5649" max="5890" width="8.85546875" style="87"/>
    <col min="5891" max="5891" width="3.7109375" style="87" customWidth="1"/>
    <col min="5892" max="5892" width="4.28515625" style="87" customWidth="1"/>
    <col min="5893" max="5893" width="1.42578125" style="87" customWidth="1"/>
    <col min="5894" max="5895" width="12.140625" style="87" customWidth="1"/>
    <col min="5896" max="5896" width="1.28515625" style="87" customWidth="1"/>
    <col min="5897" max="5901" width="8.85546875" style="87"/>
    <col min="5902" max="5903" width="5.85546875" style="87" customWidth="1"/>
    <col min="5904" max="5904" width="6.42578125" style="87" customWidth="1"/>
    <col min="5905" max="6146" width="8.85546875" style="87"/>
    <col min="6147" max="6147" width="3.7109375" style="87" customWidth="1"/>
    <col min="6148" max="6148" width="4.28515625" style="87" customWidth="1"/>
    <col min="6149" max="6149" width="1.42578125" style="87" customWidth="1"/>
    <col min="6150" max="6151" width="12.140625" style="87" customWidth="1"/>
    <col min="6152" max="6152" width="1.28515625" style="87" customWidth="1"/>
    <col min="6153" max="6157" width="8.85546875" style="87"/>
    <col min="6158" max="6159" width="5.85546875" style="87" customWidth="1"/>
    <col min="6160" max="6160" width="6.42578125" style="87" customWidth="1"/>
    <col min="6161" max="6402" width="8.85546875" style="87"/>
    <col min="6403" max="6403" width="3.7109375" style="87" customWidth="1"/>
    <col min="6404" max="6404" width="4.28515625" style="87" customWidth="1"/>
    <col min="6405" max="6405" width="1.42578125" style="87" customWidth="1"/>
    <col min="6406" max="6407" width="12.140625" style="87" customWidth="1"/>
    <col min="6408" max="6408" width="1.28515625" style="87" customWidth="1"/>
    <col min="6409" max="6413" width="8.85546875" style="87"/>
    <col min="6414" max="6415" width="5.85546875" style="87" customWidth="1"/>
    <col min="6416" max="6416" width="6.42578125" style="87" customWidth="1"/>
    <col min="6417" max="6658" width="8.85546875" style="87"/>
    <col min="6659" max="6659" width="3.7109375" style="87" customWidth="1"/>
    <col min="6660" max="6660" width="4.28515625" style="87" customWidth="1"/>
    <col min="6661" max="6661" width="1.42578125" style="87" customWidth="1"/>
    <col min="6662" max="6663" width="12.140625" style="87" customWidth="1"/>
    <col min="6664" max="6664" width="1.28515625" style="87" customWidth="1"/>
    <col min="6665" max="6669" width="8.85546875" style="87"/>
    <col min="6670" max="6671" width="5.85546875" style="87" customWidth="1"/>
    <col min="6672" max="6672" width="6.42578125" style="87" customWidth="1"/>
    <col min="6673" max="6914" width="8.85546875" style="87"/>
    <col min="6915" max="6915" width="3.7109375" style="87" customWidth="1"/>
    <col min="6916" max="6916" width="4.28515625" style="87" customWidth="1"/>
    <col min="6917" max="6917" width="1.42578125" style="87" customWidth="1"/>
    <col min="6918" max="6919" width="12.140625" style="87" customWidth="1"/>
    <col min="6920" max="6920" width="1.28515625" style="87" customWidth="1"/>
    <col min="6921" max="6925" width="8.85546875" style="87"/>
    <col min="6926" max="6927" width="5.85546875" style="87" customWidth="1"/>
    <col min="6928" max="6928" width="6.42578125" style="87" customWidth="1"/>
    <col min="6929" max="7170" width="8.85546875" style="87"/>
    <col min="7171" max="7171" width="3.7109375" style="87" customWidth="1"/>
    <col min="7172" max="7172" width="4.28515625" style="87" customWidth="1"/>
    <col min="7173" max="7173" width="1.42578125" style="87" customWidth="1"/>
    <col min="7174" max="7175" width="12.140625" style="87" customWidth="1"/>
    <col min="7176" max="7176" width="1.28515625" style="87" customWidth="1"/>
    <col min="7177" max="7181" width="8.85546875" style="87"/>
    <col min="7182" max="7183" width="5.85546875" style="87" customWidth="1"/>
    <col min="7184" max="7184" width="6.42578125" style="87" customWidth="1"/>
    <col min="7185" max="7426" width="8.85546875" style="87"/>
    <col min="7427" max="7427" width="3.7109375" style="87" customWidth="1"/>
    <col min="7428" max="7428" width="4.28515625" style="87" customWidth="1"/>
    <col min="7429" max="7429" width="1.42578125" style="87" customWidth="1"/>
    <col min="7430" max="7431" width="12.140625" style="87" customWidth="1"/>
    <col min="7432" max="7432" width="1.28515625" style="87" customWidth="1"/>
    <col min="7433" max="7437" width="8.85546875" style="87"/>
    <col min="7438" max="7439" width="5.85546875" style="87" customWidth="1"/>
    <col min="7440" max="7440" width="6.42578125" style="87" customWidth="1"/>
    <col min="7441" max="7682" width="8.85546875" style="87"/>
    <col min="7683" max="7683" width="3.7109375" style="87" customWidth="1"/>
    <col min="7684" max="7684" width="4.28515625" style="87" customWidth="1"/>
    <col min="7685" max="7685" width="1.42578125" style="87" customWidth="1"/>
    <col min="7686" max="7687" width="12.140625" style="87" customWidth="1"/>
    <col min="7688" max="7688" width="1.28515625" style="87" customWidth="1"/>
    <col min="7689" max="7693" width="8.85546875" style="87"/>
    <col min="7694" max="7695" width="5.85546875" style="87" customWidth="1"/>
    <col min="7696" max="7696" width="6.42578125" style="87" customWidth="1"/>
    <col min="7697" max="7938" width="8.85546875" style="87"/>
    <col min="7939" max="7939" width="3.7109375" style="87" customWidth="1"/>
    <col min="7940" max="7940" width="4.28515625" style="87" customWidth="1"/>
    <col min="7941" max="7941" width="1.42578125" style="87" customWidth="1"/>
    <col min="7942" max="7943" width="12.140625" style="87" customWidth="1"/>
    <col min="7944" max="7944" width="1.28515625" style="87" customWidth="1"/>
    <col min="7945" max="7949" width="8.85546875" style="87"/>
    <col min="7950" max="7951" width="5.85546875" style="87" customWidth="1"/>
    <col min="7952" max="7952" width="6.42578125" style="87" customWidth="1"/>
    <col min="7953" max="8194" width="8.85546875" style="87"/>
    <col min="8195" max="8195" width="3.7109375" style="87" customWidth="1"/>
    <col min="8196" max="8196" width="4.28515625" style="87" customWidth="1"/>
    <col min="8197" max="8197" width="1.42578125" style="87" customWidth="1"/>
    <col min="8198" max="8199" width="12.140625" style="87" customWidth="1"/>
    <col min="8200" max="8200" width="1.28515625" style="87" customWidth="1"/>
    <col min="8201" max="8205" width="8.85546875" style="87"/>
    <col min="8206" max="8207" width="5.85546875" style="87" customWidth="1"/>
    <col min="8208" max="8208" width="6.42578125" style="87" customWidth="1"/>
    <col min="8209" max="8450" width="8.85546875" style="87"/>
    <col min="8451" max="8451" width="3.7109375" style="87" customWidth="1"/>
    <col min="8452" max="8452" width="4.28515625" style="87" customWidth="1"/>
    <col min="8453" max="8453" width="1.42578125" style="87" customWidth="1"/>
    <col min="8454" max="8455" width="12.140625" style="87" customWidth="1"/>
    <col min="8456" max="8456" width="1.28515625" style="87" customWidth="1"/>
    <col min="8457" max="8461" width="8.85546875" style="87"/>
    <col min="8462" max="8463" width="5.85546875" style="87" customWidth="1"/>
    <col min="8464" max="8464" width="6.42578125" style="87" customWidth="1"/>
    <col min="8465" max="8706" width="8.85546875" style="87"/>
    <col min="8707" max="8707" width="3.7109375" style="87" customWidth="1"/>
    <col min="8708" max="8708" width="4.28515625" style="87" customWidth="1"/>
    <col min="8709" max="8709" width="1.42578125" style="87" customWidth="1"/>
    <col min="8710" max="8711" width="12.140625" style="87" customWidth="1"/>
    <col min="8712" max="8712" width="1.28515625" style="87" customWidth="1"/>
    <col min="8713" max="8717" width="8.85546875" style="87"/>
    <col min="8718" max="8719" width="5.85546875" style="87" customWidth="1"/>
    <col min="8720" max="8720" width="6.42578125" style="87" customWidth="1"/>
    <col min="8721" max="8962" width="8.85546875" style="87"/>
    <col min="8963" max="8963" width="3.7109375" style="87" customWidth="1"/>
    <col min="8964" max="8964" width="4.28515625" style="87" customWidth="1"/>
    <col min="8965" max="8965" width="1.42578125" style="87" customWidth="1"/>
    <col min="8966" max="8967" width="12.140625" style="87" customWidth="1"/>
    <col min="8968" max="8968" width="1.28515625" style="87" customWidth="1"/>
    <col min="8969" max="8973" width="8.85546875" style="87"/>
    <col min="8974" max="8975" width="5.85546875" style="87" customWidth="1"/>
    <col min="8976" max="8976" width="6.42578125" style="87" customWidth="1"/>
    <col min="8977" max="9218" width="8.85546875" style="87"/>
    <col min="9219" max="9219" width="3.7109375" style="87" customWidth="1"/>
    <col min="9220" max="9220" width="4.28515625" style="87" customWidth="1"/>
    <col min="9221" max="9221" width="1.42578125" style="87" customWidth="1"/>
    <col min="9222" max="9223" width="12.140625" style="87" customWidth="1"/>
    <col min="9224" max="9224" width="1.28515625" style="87" customWidth="1"/>
    <col min="9225" max="9229" width="8.85546875" style="87"/>
    <col min="9230" max="9231" width="5.85546875" style="87" customWidth="1"/>
    <col min="9232" max="9232" width="6.42578125" style="87" customWidth="1"/>
    <col min="9233" max="9474" width="8.85546875" style="87"/>
    <col min="9475" max="9475" width="3.7109375" style="87" customWidth="1"/>
    <col min="9476" max="9476" width="4.28515625" style="87" customWidth="1"/>
    <col min="9477" max="9477" width="1.42578125" style="87" customWidth="1"/>
    <col min="9478" max="9479" width="12.140625" style="87" customWidth="1"/>
    <col min="9480" max="9480" width="1.28515625" style="87" customWidth="1"/>
    <col min="9481" max="9485" width="8.85546875" style="87"/>
    <col min="9486" max="9487" width="5.85546875" style="87" customWidth="1"/>
    <col min="9488" max="9488" width="6.42578125" style="87" customWidth="1"/>
    <col min="9489" max="9730" width="8.85546875" style="87"/>
    <col min="9731" max="9731" width="3.7109375" style="87" customWidth="1"/>
    <col min="9732" max="9732" width="4.28515625" style="87" customWidth="1"/>
    <col min="9733" max="9733" width="1.42578125" style="87" customWidth="1"/>
    <col min="9734" max="9735" width="12.140625" style="87" customWidth="1"/>
    <col min="9736" max="9736" width="1.28515625" style="87" customWidth="1"/>
    <col min="9737" max="9741" width="8.85546875" style="87"/>
    <col min="9742" max="9743" width="5.85546875" style="87" customWidth="1"/>
    <col min="9744" max="9744" width="6.42578125" style="87" customWidth="1"/>
    <col min="9745" max="9986" width="8.85546875" style="87"/>
    <col min="9987" max="9987" width="3.7109375" style="87" customWidth="1"/>
    <col min="9988" max="9988" width="4.28515625" style="87" customWidth="1"/>
    <col min="9989" max="9989" width="1.42578125" style="87" customWidth="1"/>
    <col min="9990" max="9991" width="12.140625" style="87" customWidth="1"/>
    <col min="9992" max="9992" width="1.28515625" style="87" customWidth="1"/>
    <col min="9993" max="9997" width="8.85546875" style="87"/>
    <col min="9998" max="9999" width="5.85546875" style="87" customWidth="1"/>
    <col min="10000" max="10000" width="6.42578125" style="87" customWidth="1"/>
    <col min="10001" max="10242" width="8.85546875" style="87"/>
    <col min="10243" max="10243" width="3.7109375" style="87" customWidth="1"/>
    <col min="10244" max="10244" width="4.28515625" style="87" customWidth="1"/>
    <col min="10245" max="10245" width="1.42578125" style="87" customWidth="1"/>
    <col min="10246" max="10247" width="12.140625" style="87" customWidth="1"/>
    <col min="10248" max="10248" width="1.28515625" style="87" customWidth="1"/>
    <col min="10249" max="10253" width="8.85546875" style="87"/>
    <col min="10254" max="10255" width="5.85546875" style="87" customWidth="1"/>
    <col min="10256" max="10256" width="6.42578125" style="87" customWidth="1"/>
    <col min="10257" max="10498" width="8.85546875" style="87"/>
    <col min="10499" max="10499" width="3.7109375" style="87" customWidth="1"/>
    <col min="10500" max="10500" width="4.28515625" style="87" customWidth="1"/>
    <col min="10501" max="10501" width="1.42578125" style="87" customWidth="1"/>
    <col min="10502" max="10503" width="12.140625" style="87" customWidth="1"/>
    <col min="10504" max="10504" width="1.28515625" style="87" customWidth="1"/>
    <col min="10505" max="10509" width="8.85546875" style="87"/>
    <col min="10510" max="10511" width="5.85546875" style="87" customWidth="1"/>
    <col min="10512" max="10512" width="6.42578125" style="87" customWidth="1"/>
    <col min="10513" max="10754" width="8.85546875" style="87"/>
    <col min="10755" max="10755" width="3.7109375" style="87" customWidth="1"/>
    <col min="10756" max="10756" width="4.28515625" style="87" customWidth="1"/>
    <col min="10757" max="10757" width="1.42578125" style="87" customWidth="1"/>
    <col min="10758" max="10759" width="12.140625" style="87" customWidth="1"/>
    <col min="10760" max="10760" width="1.28515625" style="87" customWidth="1"/>
    <col min="10761" max="10765" width="8.85546875" style="87"/>
    <col min="10766" max="10767" width="5.85546875" style="87" customWidth="1"/>
    <col min="10768" max="10768" width="6.42578125" style="87" customWidth="1"/>
    <col min="10769" max="11010" width="8.85546875" style="87"/>
    <col min="11011" max="11011" width="3.7109375" style="87" customWidth="1"/>
    <col min="11012" max="11012" width="4.28515625" style="87" customWidth="1"/>
    <col min="11013" max="11013" width="1.42578125" style="87" customWidth="1"/>
    <col min="11014" max="11015" width="12.140625" style="87" customWidth="1"/>
    <col min="11016" max="11016" width="1.28515625" style="87" customWidth="1"/>
    <col min="11017" max="11021" width="8.85546875" style="87"/>
    <col min="11022" max="11023" width="5.85546875" style="87" customWidth="1"/>
    <col min="11024" max="11024" width="6.42578125" style="87" customWidth="1"/>
    <col min="11025" max="11266" width="8.85546875" style="87"/>
    <col min="11267" max="11267" width="3.7109375" style="87" customWidth="1"/>
    <col min="11268" max="11268" width="4.28515625" style="87" customWidth="1"/>
    <col min="11269" max="11269" width="1.42578125" style="87" customWidth="1"/>
    <col min="11270" max="11271" width="12.140625" style="87" customWidth="1"/>
    <col min="11272" max="11272" width="1.28515625" style="87" customWidth="1"/>
    <col min="11273" max="11277" width="8.85546875" style="87"/>
    <col min="11278" max="11279" width="5.85546875" style="87" customWidth="1"/>
    <col min="11280" max="11280" width="6.42578125" style="87" customWidth="1"/>
    <col min="11281" max="11522" width="8.85546875" style="87"/>
    <col min="11523" max="11523" width="3.7109375" style="87" customWidth="1"/>
    <col min="11524" max="11524" width="4.28515625" style="87" customWidth="1"/>
    <col min="11525" max="11525" width="1.42578125" style="87" customWidth="1"/>
    <col min="11526" max="11527" width="12.140625" style="87" customWidth="1"/>
    <col min="11528" max="11528" width="1.28515625" style="87" customWidth="1"/>
    <col min="11529" max="11533" width="8.85546875" style="87"/>
    <col min="11534" max="11535" width="5.85546875" style="87" customWidth="1"/>
    <col min="11536" max="11536" width="6.42578125" style="87" customWidth="1"/>
    <col min="11537" max="11778" width="8.85546875" style="87"/>
    <col min="11779" max="11779" width="3.7109375" style="87" customWidth="1"/>
    <col min="11780" max="11780" width="4.28515625" style="87" customWidth="1"/>
    <col min="11781" max="11781" width="1.42578125" style="87" customWidth="1"/>
    <col min="11782" max="11783" width="12.140625" style="87" customWidth="1"/>
    <col min="11784" max="11784" width="1.28515625" style="87" customWidth="1"/>
    <col min="11785" max="11789" width="8.85546875" style="87"/>
    <col min="11790" max="11791" width="5.85546875" style="87" customWidth="1"/>
    <col min="11792" max="11792" width="6.42578125" style="87" customWidth="1"/>
    <col min="11793" max="12034" width="8.85546875" style="87"/>
    <col min="12035" max="12035" width="3.7109375" style="87" customWidth="1"/>
    <col min="12036" max="12036" width="4.28515625" style="87" customWidth="1"/>
    <col min="12037" max="12037" width="1.42578125" style="87" customWidth="1"/>
    <col min="12038" max="12039" width="12.140625" style="87" customWidth="1"/>
    <col min="12040" max="12040" width="1.28515625" style="87" customWidth="1"/>
    <col min="12041" max="12045" width="8.85546875" style="87"/>
    <col min="12046" max="12047" width="5.85546875" style="87" customWidth="1"/>
    <col min="12048" max="12048" width="6.42578125" style="87" customWidth="1"/>
    <col min="12049" max="12290" width="8.85546875" style="87"/>
    <col min="12291" max="12291" width="3.7109375" style="87" customWidth="1"/>
    <col min="12292" max="12292" width="4.28515625" style="87" customWidth="1"/>
    <col min="12293" max="12293" width="1.42578125" style="87" customWidth="1"/>
    <col min="12294" max="12295" width="12.140625" style="87" customWidth="1"/>
    <col min="12296" max="12296" width="1.28515625" style="87" customWidth="1"/>
    <col min="12297" max="12301" width="8.85546875" style="87"/>
    <col min="12302" max="12303" width="5.85546875" style="87" customWidth="1"/>
    <col min="12304" max="12304" width="6.42578125" style="87" customWidth="1"/>
    <col min="12305" max="12546" width="8.85546875" style="87"/>
    <col min="12547" max="12547" width="3.7109375" style="87" customWidth="1"/>
    <col min="12548" max="12548" width="4.28515625" style="87" customWidth="1"/>
    <col min="12549" max="12549" width="1.42578125" style="87" customWidth="1"/>
    <col min="12550" max="12551" width="12.140625" style="87" customWidth="1"/>
    <col min="12552" max="12552" width="1.28515625" style="87" customWidth="1"/>
    <col min="12553" max="12557" width="8.85546875" style="87"/>
    <col min="12558" max="12559" width="5.85546875" style="87" customWidth="1"/>
    <col min="12560" max="12560" width="6.42578125" style="87" customWidth="1"/>
    <col min="12561" max="12802" width="8.85546875" style="87"/>
    <col min="12803" max="12803" width="3.7109375" style="87" customWidth="1"/>
    <col min="12804" max="12804" width="4.28515625" style="87" customWidth="1"/>
    <col min="12805" max="12805" width="1.42578125" style="87" customWidth="1"/>
    <col min="12806" max="12807" width="12.140625" style="87" customWidth="1"/>
    <col min="12808" max="12808" width="1.28515625" style="87" customWidth="1"/>
    <col min="12809" max="12813" width="8.85546875" style="87"/>
    <col min="12814" max="12815" width="5.85546875" style="87" customWidth="1"/>
    <col min="12816" max="12816" width="6.42578125" style="87" customWidth="1"/>
    <col min="12817" max="13058" width="8.85546875" style="87"/>
    <col min="13059" max="13059" width="3.7109375" style="87" customWidth="1"/>
    <col min="13060" max="13060" width="4.28515625" style="87" customWidth="1"/>
    <col min="13061" max="13061" width="1.42578125" style="87" customWidth="1"/>
    <col min="13062" max="13063" width="12.140625" style="87" customWidth="1"/>
    <col min="13064" max="13064" width="1.28515625" style="87" customWidth="1"/>
    <col min="13065" max="13069" width="8.85546875" style="87"/>
    <col min="13070" max="13071" width="5.85546875" style="87" customWidth="1"/>
    <col min="13072" max="13072" width="6.42578125" style="87" customWidth="1"/>
    <col min="13073" max="13314" width="8.85546875" style="87"/>
    <col min="13315" max="13315" width="3.7109375" style="87" customWidth="1"/>
    <col min="13316" max="13316" width="4.28515625" style="87" customWidth="1"/>
    <col min="13317" max="13317" width="1.42578125" style="87" customWidth="1"/>
    <col min="13318" max="13319" width="12.140625" style="87" customWidth="1"/>
    <col min="13320" max="13320" width="1.28515625" style="87" customWidth="1"/>
    <col min="13321" max="13325" width="8.85546875" style="87"/>
    <col min="13326" max="13327" width="5.85546875" style="87" customWidth="1"/>
    <col min="13328" max="13328" width="6.42578125" style="87" customWidth="1"/>
    <col min="13329" max="13570" width="8.85546875" style="87"/>
    <col min="13571" max="13571" width="3.7109375" style="87" customWidth="1"/>
    <col min="13572" max="13572" width="4.28515625" style="87" customWidth="1"/>
    <col min="13573" max="13573" width="1.42578125" style="87" customWidth="1"/>
    <col min="13574" max="13575" width="12.140625" style="87" customWidth="1"/>
    <col min="13576" max="13576" width="1.28515625" style="87" customWidth="1"/>
    <col min="13577" max="13581" width="8.85546875" style="87"/>
    <col min="13582" max="13583" width="5.85546875" style="87" customWidth="1"/>
    <col min="13584" max="13584" width="6.42578125" style="87" customWidth="1"/>
    <col min="13585" max="13826" width="8.85546875" style="87"/>
    <col min="13827" max="13827" width="3.7109375" style="87" customWidth="1"/>
    <col min="13828" max="13828" width="4.28515625" style="87" customWidth="1"/>
    <col min="13829" max="13829" width="1.42578125" style="87" customWidth="1"/>
    <col min="13830" max="13831" width="12.140625" style="87" customWidth="1"/>
    <col min="13832" max="13832" width="1.28515625" style="87" customWidth="1"/>
    <col min="13833" max="13837" width="8.85546875" style="87"/>
    <col min="13838" max="13839" width="5.85546875" style="87" customWidth="1"/>
    <col min="13840" max="13840" width="6.42578125" style="87" customWidth="1"/>
    <col min="13841" max="14082" width="8.85546875" style="87"/>
    <col min="14083" max="14083" width="3.7109375" style="87" customWidth="1"/>
    <col min="14084" max="14084" width="4.28515625" style="87" customWidth="1"/>
    <col min="14085" max="14085" width="1.42578125" style="87" customWidth="1"/>
    <col min="14086" max="14087" width="12.140625" style="87" customWidth="1"/>
    <col min="14088" max="14088" width="1.28515625" style="87" customWidth="1"/>
    <col min="14089" max="14093" width="8.85546875" style="87"/>
    <col min="14094" max="14095" width="5.85546875" style="87" customWidth="1"/>
    <col min="14096" max="14096" width="6.42578125" style="87" customWidth="1"/>
    <col min="14097" max="14338" width="8.85546875" style="87"/>
    <col min="14339" max="14339" width="3.7109375" style="87" customWidth="1"/>
    <col min="14340" max="14340" width="4.28515625" style="87" customWidth="1"/>
    <col min="14341" max="14341" width="1.42578125" style="87" customWidth="1"/>
    <col min="14342" max="14343" width="12.140625" style="87" customWidth="1"/>
    <col min="14344" max="14344" width="1.28515625" style="87" customWidth="1"/>
    <col min="14345" max="14349" width="8.85546875" style="87"/>
    <col min="14350" max="14351" width="5.85546875" style="87" customWidth="1"/>
    <col min="14352" max="14352" width="6.42578125" style="87" customWidth="1"/>
    <col min="14353" max="14594" width="8.85546875" style="87"/>
    <col min="14595" max="14595" width="3.7109375" style="87" customWidth="1"/>
    <col min="14596" max="14596" width="4.28515625" style="87" customWidth="1"/>
    <col min="14597" max="14597" width="1.42578125" style="87" customWidth="1"/>
    <col min="14598" max="14599" width="12.140625" style="87" customWidth="1"/>
    <col min="14600" max="14600" width="1.28515625" style="87" customWidth="1"/>
    <col min="14601" max="14605" width="8.85546875" style="87"/>
    <col min="14606" max="14607" width="5.85546875" style="87" customWidth="1"/>
    <col min="14608" max="14608" width="6.42578125" style="87" customWidth="1"/>
    <col min="14609" max="14850" width="8.85546875" style="87"/>
    <col min="14851" max="14851" width="3.7109375" style="87" customWidth="1"/>
    <col min="14852" max="14852" width="4.28515625" style="87" customWidth="1"/>
    <col min="14853" max="14853" width="1.42578125" style="87" customWidth="1"/>
    <col min="14854" max="14855" width="12.140625" style="87" customWidth="1"/>
    <col min="14856" max="14856" width="1.28515625" style="87" customWidth="1"/>
    <col min="14857" max="14861" width="8.85546875" style="87"/>
    <col min="14862" max="14863" width="5.85546875" style="87" customWidth="1"/>
    <col min="14864" max="14864" width="6.42578125" style="87" customWidth="1"/>
    <col min="14865" max="15106" width="8.85546875" style="87"/>
    <col min="15107" max="15107" width="3.7109375" style="87" customWidth="1"/>
    <col min="15108" max="15108" width="4.28515625" style="87" customWidth="1"/>
    <col min="15109" max="15109" width="1.42578125" style="87" customWidth="1"/>
    <col min="15110" max="15111" width="12.140625" style="87" customWidth="1"/>
    <col min="15112" max="15112" width="1.28515625" style="87" customWidth="1"/>
    <col min="15113" max="15117" width="8.85546875" style="87"/>
    <col min="15118" max="15119" width="5.85546875" style="87" customWidth="1"/>
    <col min="15120" max="15120" width="6.42578125" style="87" customWidth="1"/>
    <col min="15121" max="15362" width="8.85546875" style="87"/>
    <col min="15363" max="15363" width="3.7109375" style="87" customWidth="1"/>
    <col min="15364" max="15364" width="4.28515625" style="87" customWidth="1"/>
    <col min="15365" max="15365" width="1.42578125" style="87" customWidth="1"/>
    <col min="15366" max="15367" width="12.140625" style="87" customWidth="1"/>
    <col min="15368" max="15368" width="1.28515625" style="87" customWidth="1"/>
    <col min="15369" max="15373" width="8.85546875" style="87"/>
    <col min="15374" max="15375" width="5.85546875" style="87" customWidth="1"/>
    <col min="15376" max="15376" width="6.42578125" style="87" customWidth="1"/>
    <col min="15377" max="15618" width="8.85546875" style="87"/>
    <col min="15619" max="15619" width="3.7109375" style="87" customWidth="1"/>
    <col min="15620" max="15620" width="4.28515625" style="87" customWidth="1"/>
    <col min="15621" max="15621" width="1.42578125" style="87" customWidth="1"/>
    <col min="15622" max="15623" width="12.140625" style="87" customWidth="1"/>
    <col min="15624" max="15624" width="1.28515625" style="87" customWidth="1"/>
    <col min="15625" max="15629" width="8.85546875" style="87"/>
    <col min="15630" max="15631" width="5.85546875" style="87" customWidth="1"/>
    <col min="15632" max="15632" width="6.42578125" style="87" customWidth="1"/>
    <col min="15633" max="15874" width="8.85546875" style="87"/>
    <col min="15875" max="15875" width="3.7109375" style="87" customWidth="1"/>
    <col min="15876" max="15876" width="4.28515625" style="87" customWidth="1"/>
    <col min="15877" max="15877" width="1.42578125" style="87" customWidth="1"/>
    <col min="15878" max="15879" width="12.140625" style="87" customWidth="1"/>
    <col min="15880" max="15880" width="1.28515625" style="87" customWidth="1"/>
    <col min="15881" max="15885" width="8.85546875" style="87"/>
    <col min="15886" max="15887" width="5.85546875" style="87" customWidth="1"/>
    <col min="15888" max="15888" width="6.42578125" style="87" customWidth="1"/>
    <col min="15889" max="16130" width="8.85546875" style="87"/>
    <col min="16131" max="16131" width="3.7109375" style="87" customWidth="1"/>
    <col min="16132" max="16132" width="4.28515625" style="87" customWidth="1"/>
    <col min="16133" max="16133" width="1.42578125" style="87" customWidth="1"/>
    <col min="16134" max="16135" width="12.140625" style="87" customWidth="1"/>
    <col min="16136" max="16136" width="1.28515625" style="87" customWidth="1"/>
    <col min="16137" max="16141" width="8.85546875" style="87"/>
    <col min="16142" max="16143" width="5.85546875" style="87" customWidth="1"/>
    <col min="16144" max="16144" width="6.42578125" style="87" customWidth="1"/>
    <col min="16145" max="16384" width="8.85546875" style="87"/>
  </cols>
  <sheetData>
    <row r="1" spans="1:21" x14ac:dyDescent="0.25">
      <c r="A1" s="63" t="s">
        <v>204</v>
      </c>
      <c r="C1" s="87" t="s">
        <v>246</v>
      </c>
      <c r="K1" s="88" t="s">
        <v>247</v>
      </c>
      <c r="L1" s="89"/>
    </row>
    <row r="2" spans="1:21" ht="15.75" thickBot="1" x14ac:dyDescent="0.3">
      <c r="A2" s="64" t="s">
        <v>205</v>
      </c>
      <c r="C2" s="90" t="s">
        <v>248</v>
      </c>
      <c r="D2" s="90" t="s">
        <v>249</v>
      </c>
      <c r="K2" s="91" t="s">
        <v>250</v>
      </c>
      <c r="L2" s="92">
        <f>'Test38_(Data)'!B51</f>
        <v>0.95000000000000029</v>
      </c>
      <c r="M2" s="87" t="b">
        <f>ABS(L2-S10)&lt;'Test38_(Data)'!B2</f>
        <v>1</v>
      </c>
      <c r="N2" s="93" t="s">
        <v>251</v>
      </c>
      <c r="O2" s="94" t="s">
        <v>252</v>
      </c>
      <c r="P2" s="95" t="s">
        <v>253</v>
      </c>
    </row>
    <row r="3" spans="1:21" x14ac:dyDescent="0.25">
      <c r="A3" s="63" t="s">
        <v>209</v>
      </c>
      <c r="K3" s="96" t="s">
        <v>254</v>
      </c>
      <c r="L3" s="97">
        <f>'Test38_(Data)'!B50</f>
        <v>0.4250000000000001</v>
      </c>
      <c r="M3" s="87" t="b">
        <f>ABS(L3-S11)&lt;'Test38_(Data)'!A2</f>
        <v>1</v>
      </c>
      <c r="N3" s="91">
        <v>0</v>
      </c>
      <c r="O3" s="98">
        <v>0</v>
      </c>
      <c r="P3" s="99">
        <f>1+C4/20</f>
        <v>1.35</v>
      </c>
    </row>
    <row r="4" spans="1:21" ht="15.75" thickBot="1" x14ac:dyDescent="0.3">
      <c r="A4" s="64" t="s">
        <v>208</v>
      </c>
      <c r="C4" s="87">
        <v>7</v>
      </c>
      <c r="D4" s="87">
        <v>6</v>
      </c>
      <c r="N4" s="100">
        <v>2</v>
      </c>
      <c r="O4" s="101">
        <v>0</v>
      </c>
      <c r="P4" s="102">
        <f>1+D4/20</f>
        <v>1.3</v>
      </c>
    </row>
    <row r="5" spans="1:21" x14ac:dyDescent="0.25">
      <c r="A5" s="63" t="s">
        <v>210</v>
      </c>
      <c r="N5" s="100">
        <v>0</v>
      </c>
      <c r="O5" s="101">
        <v>1</v>
      </c>
      <c r="P5" s="102">
        <v>1</v>
      </c>
    </row>
    <row r="6" spans="1:21" ht="15.75" thickBot="1" x14ac:dyDescent="0.3">
      <c r="A6" s="64" t="b">
        <f>AND(M2,M3)</f>
        <v>1</v>
      </c>
      <c r="N6" s="96">
        <v>2</v>
      </c>
      <c r="O6" s="103">
        <v>1</v>
      </c>
      <c r="P6" s="104">
        <v>1</v>
      </c>
    </row>
    <row r="7" spans="1:21" x14ac:dyDescent="0.25">
      <c r="A7" s="63" t="s">
        <v>211</v>
      </c>
      <c r="R7" s="105"/>
    </row>
    <row r="8" spans="1:21" x14ac:dyDescent="0.25">
      <c r="A8" s="65" t="s">
        <v>201</v>
      </c>
      <c r="R8" s="105"/>
    </row>
    <row r="9" spans="1:21" ht="15.75" thickBot="1" x14ac:dyDescent="0.3">
      <c r="A9" s="64">
        <f>VLOOKUP(A8,OpenSolverResultCodes,2,FALSE)</f>
        <v>0</v>
      </c>
    </row>
    <row r="10" spans="1:21" ht="15.75" thickBot="1" x14ac:dyDescent="0.3">
      <c r="A10" s="168" t="str">
        <f>HYPERLINK("[OpenSolver Tester.xlsm]Results!A1", "&lt;- Results")</f>
        <v>&lt;- Results</v>
      </c>
      <c r="P10" s="105" t="s">
        <v>255</v>
      </c>
      <c r="Q10" s="87">
        <v>0</v>
      </c>
      <c r="R10" s="105" t="s">
        <v>8</v>
      </c>
      <c r="S10" s="87">
        <v>0.94240514092658101</v>
      </c>
      <c r="T10" s="105" t="s">
        <v>8</v>
      </c>
      <c r="U10" s="87">
        <v>2</v>
      </c>
    </row>
    <row r="11" spans="1:21" x14ac:dyDescent="0.25">
      <c r="P11" s="105" t="s">
        <v>256</v>
      </c>
      <c r="Q11" s="87">
        <v>0</v>
      </c>
      <c r="R11" s="105" t="s">
        <v>8</v>
      </c>
      <c r="S11" s="87">
        <v>0.41277404754643199</v>
      </c>
      <c r="T11" s="105" t="s">
        <v>8</v>
      </c>
      <c r="U11" s="87">
        <v>1</v>
      </c>
    </row>
    <row r="13" spans="1:21" x14ac:dyDescent="0.25">
      <c r="R13" s="105" t="s">
        <v>257</v>
      </c>
      <c r="S13" s="87">
        <f>wa*SQRT((xa-S10)^2+(ya-S11)^2)+wb*SQRT((xb-S10)^2+(yb-S11)^2)+wc*SQRT((xc-S10)^2+(yc-S11)^2)+wd*SQRT((xd-S10)^2+(yd-S11)^2)</f>
        <v>5.1848876768566905</v>
      </c>
    </row>
  </sheetData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drawing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R51"/>
  <sheetViews>
    <sheetView topLeftCell="A4" workbookViewId="0">
      <selection activeCell="B51" sqref="B51"/>
    </sheetView>
  </sheetViews>
  <sheetFormatPr defaultColWidth="8.85546875" defaultRowHeight="12.75" x14ac:dyDescent="0.2"/>
  <cols>
    <col min="1" max="4" width="8.85546875" style="87"/>
    <col min="5" max="5" width="1.42578125" style="87" customWidth="1"/>
    <col min="6" max="260" width="8.85546875" style="87"/>
    <col min="261" max="261" width="1.42578125" style="87" customWidth="1"/>
    <col min="262" max="516" width="8.85546875" style="87"/>
    <col min="517" max="517" width="1.42578125" style="87" customWidth="1"/>
    <col min="518" max="772" width="8.85546875" style="87"/>
    <col min="773" max="773" width="1.42578125" style="87" customWidth="1"/>
    <col min="774" max="1028" width="8.85546875" style="87"/>
    <col min="1029" max="1029" width="1.42578125" style="87" customWidth="1"/>
    <col min="1030" max="1284" width="8.85546875" style="87"/>
    <col min="1285" max="1285" width="1.42578125" style="87" customWidth="1"/>
    <col min="1286" max="1540" width="8.85546875" style="87"/>
    <col min="1541" max="1541" width="1.42578125" style="87" customWidth="1"/>
    <col min="1542" max="1796" width="8.85546875" style="87"/>
    <col min="1797" max="1797" width="1.42578125" style="87" customWidth="1"/>
    <col min="1798" max="2052" width="8.85546875" style="87"/>
    <col min="2053" max="2053" width="1.42578125" style="87" customWidth="1"/>
    <col min="2054" max="2308" width="8.85546875" style="87"/>
    <col min="2309" max="2309" width="1.42578125" style="87" customWidth="1"/>
    <col min="2310" max="2564" width="8.85546875" style="87"/>
    <col min="2565" max="2565" width="1.42578125" style="87" customWidth="1"/>
    <col min="2566" max="2820" width="8.85546875" style="87"/>
    <col min="2821" max="2821" width="1.42578125" style="87" customWidth="1"/>
    <col min="2822" max="3076" width="8.85546875" style="87"/>
    <col min="3077" max="3077" width="1.42578125" style="87" customWidth="1"/>
    <col min="3078" max="3332" width="8.85546875" style="87"/>
    <col min="3333" max="3333" width="1.42578125" style="87" customWidth="1"/>
    <col min="3334" max="3588" width="8.85546875" style="87"/>
    <col min="3589" max="3589" width="1.42578125" style="87" customWidth="1"/>
    <col min="3590" max="3844" width="8.85546875" style="87"/>
    <col min="3845" max="3845" width="1.42578125" style="87" customWidth="1"/>
    <col min="3846" max="4100" width="8.85546875" style="87"/>
    <col min="4101" max="4101" width="1.42578125" style="87" customWidth="1"/>
    <col min="4102" max="4356" width="8.85546875" style="87"/>
    <col min="4357" max="4357" width="1.42578125" style="87" customWidth="1"/>
    <col min="4358" max="4612" width="8.85546875" style="87"/>
    <col min="4613" max="4613" width="1.42578125" style="87" customWidth="1"/>
    <col min="4614" max="4868" width="8.85546875" style="87"/>
    <col min="4869" max="4869" width="1.42578125" style="87" customWidth="1"/>
    <col min="4870" max="5124" width="8.85546875" style="87"/>
    <col min="5125" max="5125" width="1.42578125" style="87" customWidth="1"/>
    <col min="5126" max="5380" width="8.85546875" style="87"/>
    <col min="5381" max="5381" width="1.42578125" style="87" customWidth="1"/>
    <col min="5382" max="5636" width="8.85546875" style="87"/>
    <col min="5637" max="5637" width="1.42578125" style="87" customWidth="1"/>
    <col min="5638" max="5892" width="8.85546875" style="87"/>
    <col min="5893" max="5893" width="1.42578125" style="87" customWidth="1"/>
    <col min="5894" max="6148" width="8.85546875" style="87"/>
    <col min="6149" max="6149" width="1.42578125" style="87" customWidth="1"/>
    <col min="6150" max="6404" width="8.85546875" style="87"/>
    <col min="6405" max="6405" width="1.42578125" style="87" customWidth="1"/>
    <col min="6406" max="6660" width="8.85546875" style="87"/>
    <col min="6661" max="6661" width="1.42578125" style="87" customWidth="1"/>
    <col min="6662" max="6916" width="8.85546875" style="87"/>
    <col min="6917" max="6917" width="1.42578125" style="87" customWidth="1"/>
    <col min="6918" max="7172" width="8.85546875" style="87"/>
    <col min="7173" max="7173" width="1.42578125" style="87" customWidth="1"/>
    <col min="7174" max="7428" width="8.85546875" style="87"/>
    <col min="7429" max="7429" width="1.42578125" style="87" customWidth="1"/>
    <col min="7430" max="7684" width="8.85546875" style="87"/>
    <col min="7685" max="7685" width="1.42578125" style="87" customWidth="1"/>
    <col min="7686" max="7940" width="8.85546875" style="87"/>
    <col min="7941" max="7941" width="1.42578125" style="87" customWidth="1"/>
    <col min="7942" max="8196" width="8.85546875" style="87"/>
    <col min="8197" max="8197" width="1.42578125" style="87" customWidth="1"/>
    <col min="8198" max="8452" width="8.85546875" style="87"/>
    <col min="8453" max="8453" width="1.42578125" style="87" customWidth="1"/>
    <col min="8454" max="8708" width="8.85546875" style="87"/>
    <col min="8709" max="8709" width="1.42578125" style="87" customWidth="1"/>
    <col min="8710" max="8964" width="8.85546875" style="87"/>
    <col min="8965" max="8965" width="1.42578125" style="87" customWidth="1"/>
    <col min="8966" max="9220" width="8.85546875" style="87"/>
    <col min="9221" max="9221" width="1.42578125" style="87" customWidth="1"/>
    <col min="9222" max="9476" width="8.85546875" style="87"/>
    <col min="9477" max="9477" width="1.42578125" style="87" customWidth="1"/>
    <col min="9478" max="9732" width="8.85546875" style="87"/>
    <col min="9733" max="9733" width="1.42578125" style="87" customWidth="1"/>
    <col min="9734" max="9988" width="8.85546875" style="87"/>
    <col min="9989" max="9989" width="1.42578125" style="87" customWidth="1"/>
    <col min="9990" max="10244" width="8.85546875" style="87"/>
    <col min="10245" max="10245" width="1.42578125" style="87" customWidth="1"/>
    <col min="10246" max="10500" width="8.85546875" style="87"/>
    <col min="10501" max="10501" width="1.42578125" style="87" customWidth="1"/>
    <col min="10502" max="10756" width="8.85546875" style="87"/>
    <col min="10757" max="10757" width="1.42578125" style="87" customWidth="1"/>
    <col min="10758" max="11012" width="8.85546875" style="87"/>
    <col min="11013" max="11013" width="1.42578125" style="87" customWidth="1"/>
    <col min="11014" max="11268" width="8.85546875" style="87"/>
    <col min="11269" max="11269" width="1.42578125" style="87" customWidth="1"/>
    <col min="11270" max="11524" width="8.85546875" style="87"/>
    <col min="11525" max="11525" width="1.42578125" style="87" customWidth="1"/>
    <col min="11526" max="11780" width="8.85546875" style="87"/>
    <col min="11781" max="11781" width="1.42578125" style="87" customWidth="1"/>
    <col min="11782" max="12036" width="8.85546875" style="87"/>
    <col min="12037" max="12037" width="1.42578125" style="87" customWidth="1"/>
    <col min="12038" max="12292" width="8.85546875" style="87"/>
    <col min="12293" max="12293" width="1.42578125" style="87" customWidth="1"/>
    <col min="12294" max="12548" width="8.85546875" style="87"/>
    <col min="12549" max="12549" width="1.42578125" style="87" customWidth="1"/>
    <col min="12550" max="12804" width="8.85546875" style="87"/>
    <col min="12805" max="12805" width="1.42578125" style="87" customWidth="1"/>
    <col min="12806" max="13060" width="8.85546875" style="87"/>
    <col min="13061" max="13061" width="1.42578125" style="87" customWidth="1"/>
    <col min="13062" max="13316" width="8.85546875" style="87"/>
    <col min="13317" max="13317" width="1.42578125" style="87" customWidth="1"/>
    <col min="13318" max="13572" width="8.85546875" style="87"/>
    <col min="13573" max="13573" width="1.42578125" style="87" customWidth="1"/>
    <col min="13574" max="13828" width="8.85546875" style="87"/>
    <col min="13829" max="13829" width="1.42578125" style="87" customWidth="1"/>
    <col min="13830" max="14084" width="8.85546875" style="87"/>
    <col min="14085" max="14085" width="1.42578125" style="87" customWidth="1"/>
    <col min="14086" max="14340" width="8.85546875" style="87"/>
    <col min="14341" max="14341" width="1.42578125" style="87" customWidth="1"/>
    <col min="14342" max="14596" width="8.85546875" style="87"/>
    <col min="14597" max="14597" width="1.42578125" style="87" customWidth="1"/>
    <col min="14598" max="14852" width="8.85546875" style="87"/>
    <col min="14853" max="14853" width="1.42578125" style="87" customWidth="1"/>
    <col min="14854" max="15108" width="8.85546875" style="87"/>
    <col min="15109" max="15109" width="1.42578125" style="87" customWidth="1"/>
    <col min="15110" max="15364" width="8.85546875" style="87"/>
    <col min="15365" max="15365" width="1.42578125" style="87" customWidth="1"/>
    <col min="15366" max="15620" width="8.85546875" style="87"/>
    <col min="15621" max="15621" width="1.42578125" style="87" customWidth="1"/>
    <col min="15622" max="15876" width="8.85546875" style="87"/>
    <col min="15877" max="15877" width="1.42578125" style="87" customWidth="1"/>
    <col min="15878" max="16132" width="8.85546875" style="87"/>
    <col min="16133" max="16133" width="1.42578125" style="87" customWidth="1"/>
    <col min="16134" max="16384" width="8.85546875" style="87"/>
  </cols>
  <sheetData>
    <row r="1" spans="1:44" x14ac:dyDescent="0.2">
      <c r="A1" s="87" t="s">
        <v>258</v>
      </c>
      <c r="B1" s="87" t="s">
        <v>259</v>
      </c>
    </row>
    <row r="2" spans="1:44" x14ac:dyDescent="0.2">
      <c r="A2" s="87">
        <v>2.5000000000000001E-2</v>
      </c>
      <c r="B2" s="87">
        <v>0.05</v>
      </c>
    </row>
    <row r="3" spans="1:44" x14ac:dyDescent="0.2">
      <c r="A3" s="87" t="s">
        <v>256</v>
      </c>
      <c r="B3" s="87" t="s">
        <v>255</v>
      </c>
    </row>
    <row r="4" spans="1:44" x14ac:dyDescent="0.2">
      <c r="B4" s="87">
        <v>0</v>
      </c>
      <c r="C4" s="87">
        <f t="shared" ref="C4:AP4" si="0">B4+$B2</f>
        <v>0.05</v>
      </c>
      <c r="D4" s="87">
        <f t="shared" si="0"/>
        <v>0.1</v>
      </c>
      <c r="E4" s="87">
        <f t="shared" si="0"/>
        <v>0.15000000000000002</v>
      </c>
      <c r="F4" s="87">
        <f t="shared" si="0"/>
        <v>0.2</v>
      </c>
      <c r="G4" s="87">
        <f t="shared" si="0"/>
        <v>0.25</v>
      </c>
      <c r="H4" s="87">
        <f t="shared" si="0"/>
        <v>0.3</v>
      </c>
      <c r="I4" s="87">
        <f t="shared" si="0"/>
        <v>0.35</v>
      </c>
      <c r="J4" s="87">
        <f t="shared" si="0"/>
        <v>0.39999999999999997</v>
      </c>
      <c r="K4" s="87">
        <f t="shared" si="0"/>
        <v>0.44999999999999996</v>
      </c>
      <c r="L4" s="87">
        <f t="shared" si="0"/>
        <v>0.49999999999999994</v>
      </c>
      <c r="M4" s="87">
        <f t="shared" si="0"/>
        <v>0.54999999999999993</v>
      </c>
      <c r="N4" s="87">
        <f t="shared" si="0"/>
        <v>0.6</v>
      </c>
      <c r="O4" s="87">
        <f t="shared" si="0"/>
        <v>0.65</v>
      </c>
      <c r="P4" s="87">
        <f t="shared" si="0"/>
        <v>0.70000000000000007</v>
      </c>
      <c r="Q4" s="87">
        <f t="shared" si="0"/>
        <v>0.75000000000000011</v>
      </c>
      <c r="R4" s="87">
        <f t="shared" si="0"/>
        <v>0.80000000000000016</v>
      </c>
      <c r="S4" s="87">
        <f t="shared" si="0"/>
        <v>0.8500000000000002</v>
      </c>
      <c r="T4" s="87">
        <f t="shared" si="0"/>
        <v>0.90000000000000024</v>
      </c>
      <c r="U4" s="87">
        <f t="shared" si="0"/>
        <v>0.95000000000000029</v>
      </c>
      <c r="V4" s="87">
        <f t="shared" si="0"/>
        <v>1.0000000000000002</v>
      </c>
      <c r="W4" s="87">
        <f t="shared" si="0"/>
        <v>1.0500000000000003</v>
      </c>
      <c r="X4" s="87">
        <f t="shared" si="0"/>
        <v>1.1000000000000003</v>
      </c>
      <c r="Y4" s="87">
        <f t="shared" si="0"/>
        <v>1.1500000000000004</v>
      </c>
      <c r="Z4" s="87">
        <f t="shared" si="0"/>
        <v>1.2000000000000004</v>
      </c>
      <c r="AA4" s="87">
        <f t="shared" si="0"/>
        <v>1.2500000000000004</v>
      </c>
      <c r="AB4" s="87">
        <f t="shared" si="0"/>
        <v>1.3000000000000005</v>
      </c>
      <c r="AC4" s="87">
        <f t="shared" si="0"/>
        <v>1.3500000000000005</v>
      </c>
      <c r="AD4" s="87">
        <f t="shared" si="0"/>
        <v>1.4000000000000006</v>
      </c>
      <c r="AE4" s="87">
        <f t="shared" si="0"/>
        <v>1.4500000000000006</v>
      </c>
      <c r="AF4" s="87">
        <f t="shared" si="0"/>
        <v>1.5000000000000007</v>
      </c>
      <c r="AG4" s="87">
        <f t="shared" si="0"/>
        <v>1.5500000000000007</v>
      </c>
      <c r="AH4" s="87">
        <f t="shared" si="0"/>
        <v>1.6000000000000008</v>
      </c>
      <c r="AI4" s="87">
        <f t="shared" si="0"/>
        <v>1.6500000000000008</v>
      </c>
      <c r="AJ4" s="87">
        <f t="shared" si="0"/>
        <v>1.7000000000000008</v>
      </c>
      <c r="AK4" s="87">
        <f t="shared" si="0"/>
        <v>1.7500000000000009</v>
      </c>
      <c r="AL4" s="87">
        <f t="shared" si="0"/>
        <v>1.8000000000000009</v>
      </c>
      <c r="AM4" s="87">
        <f t="shared" si="0"/>
        <v>1.850000000000001</v>
      </c>
      <c r="AN4" s="87">
        <f t="shared" si="0"/>
        <v>1.900000000000001</v>
      </c>
      <c r="AO4" s="87">
        <f t="shared" si="0"/>
        <v>1.9500000000000011</v>
      </c>
      <c r="AP4" s="87">
        <f t="shared" si="0"/>
        <v>2.0000000000000009</v>
      </c>
      <c r="AR4" s="87" t="s">
        <v>260</v>
      </c>
    </row>
    <row r="5" spans="1:44" x14ac:dyDescent="0.2">
      <c r="A5" s="87">
        <v>0</v>
      </c>
      <c r="C5" s="87">
        <f t="shared" ref="C5:R20" si="1">wa*SQRT((xa-x)^2+(ya-y)^2)+wb*SQRT((xb-x)^2+(yb-y)^2)+wc*SQRT((xc-x)^2+(yc-y)^2)+wd*SQRT((xd-x)^2+(yd-y)^2)</f>
        <v>5.7952099198061529</v>
      </c>
      <c r="D5" s="87">
        <f t="shared" si="1"/>
        <v>5.7570786174704773</v>
      </c>
      <c r="E5" s="87">
        <f t="shared" si="1"/>
        <v>5.7216615052891431</v>
      </c>
      <c r="F5" s="87">
        <f t="shared" si="1"/>
        <v>5.6889299309159576</v>
      </c>
      <c r="G5" s="87">
        <f t="shared" si="1"/>
        <v>5.6588408434790525</v>
      </c>
      <c r="H5" s="87">
        <f t="shared" si="1"/>
        <v>5.6313389432226568</v>
      </c>
      <c r="I5" s="87">
        <f t="shared" si="1"/>
        <v>5.6063591431783282</v>
      </c>
      <c r="J5" s="87">
        <f t="shared" si="1"/>
        <v>5.583829187838222</v>
      </c>
      <c r="K5" s="87">
        <f t="shared" si="1"/>
        <v>5.5636722845427373</v>
      </c>
      <c r="L5" s="87">
        <f t="shared" si="1"/>
        <v>5.5458096264818897</v>
      </c>
      <c r="M5" s="87">
        <f t="shared" si="1"/>
        <v>5.5301627164321872</v>
      </c>
      <c r="N5" s="87">
        <f t="shared" si="1"/>
        <v>5.5166554323775854</v>
      </c>
      <c r="O5" s="87">
        <f t="shared" si="1"/>
        <v>5.5052158058288008</v>
      </c>
      <c r="P5" s="87">
        <f t="shared" si="1"/>
        <v>5.4957775082590423</v>
      </c>
      <c r="Q5" s="87">
        <f t="shared" si="1"/>
        <v>5.4882810593582123</v>
      </c>
      <c r="R5" s="87">
        <f t="shared" si="1"/>
        <v>5.4826747826678996</v>
      </c>
      <c r="S5" s="87">
        <f t="shared" ref="S5:AH20" si="2">wa*SQRT((xa-x)^2+(ya-y)^2)+wb*SQRT((xb-x)^2+(yb-y)^2)+wc*SQRT((xc-x)^2+(yc-y)^2)+wd*SQRT((xd-x)^2+(yd-y)^2)</f>
        <v>5.4789155402534853</v>
      </c>
      <c r="T5" s="87">
        <f t="shared" si="2"/>
        <v>5.4769692794392206</v>
      </c>
      <c r="U5" s="87">
        <f t="shared" si="2"/>
        <v>5.4768114224133724</v>
      </c>
      <c r="V5" s="87">
        <f t="shared" si="2"/>
        <v>5.4784271247461902</v>
      </c>
      <c r="W5" s="87">
        <f t="shared" si="2"/>
        <v>5.4818114224133723</v>
      </c>
      <c r="X5" s="87">
        <f t="shared" si="2"/>
        <v>5.4869692794392222</v>
      </c>
      <c r="Y5" s="87">
        <f t="shared" si="2"/>
        <v>5.4939155402534858</v>
      </c>
      <c r="Z5" s="87">
        <f t="shared" si="2"/>
        <v>5.502674782667901</v>
      </c>
      <c r="AA5" s="87">
        <f t="shared" si="2"/>
        <v>5.5132810593582127</v>
      </c>
      <c r="AB5" s="87">
        <f t="shared" si="2"/>
        <v>5.5257775082590426</v>
      </c>
      <c r="AC5" s="87">
        <f t="shared" si="2"/>
        <v>5.5402158058288018</v>
      </c>
      <c r="AD5" s="87">
        <f t="shared" si="2"/>
        <v>5.5566554323775863</v>
      </c>
      <c r="AE5" s="87">
        <f t="shared" si="2"/>
        <v>5.5751627164321871</v>
      </c>
      <c r="AF5" s="87">
        <f t="shared" si="2"/>
        <v>5.5958096264818895</v>
      </c>
      <c r="AG5" s="87">
        <f t="shared" si="2"/>
        <v>5.6186722845427379</v>
      </c>
      <c r="AH5" s="87">
        <f t="shared" si="2"/>
        <v>5.6438291878382225</v>
      </c>
      <c r="AI5" s="87">
        <f t="shared" ref="AI5:AP20" si="3">wa*SQRT((xa-x)^2+(ya-y)^2)+wb*SQRT((xb-x)^2+(yb-y)^2)+wc*SQRT((xc-x)^2+(yc-y)^2)+wd*SQRT((xd-x)^2+(yd-y)^2)</f>
        <v>5.6713591431783286</v>
      </c>
      <c r="AJ5" s="87">
        <f t="shared" si="3"/>
        <v>5.701338943222658</v>
      </c>
      <c r="AK5" s="87">
        <f t="shared" si="3"/>
        <v>5.7338408434790527</v>
      </c>
      <c r="AL5" s="87">
        <f t="shared" si="3"/>
        <v>5.7689299309159576</v>
      </c>
      <c r="AM5" s="87">
        <f t="shared" si="3"/>
        <v>5.8066615052891439</v>
      </c>
      <c r="AN5" s="87">
        <f t="shared" si="3"/>
        <v>5.847078617470479</v>
      </c>
      <c r="AO5" s="87">
        <f t="shared" si="3"/>
        <v>5.8902099198061535</v>
      </c>
      <c r="AP5" s="87">
        <f t="shared" si="3"/>
        <v>5.9360679774997935</v>
      </c>
      <c r="AR5" s="87">
        <f>1*(MIN(B5:AP5)=MinValue)</f>
        <v>0</v>
      </c>
    </row>
    <row r="6" spans="1:44" x14ac:dyDescent="0.2">
      <c r="A6" s="87">
        <f t="shared" ref="A6:A45" si="4">A5+A$2</f>
        <v>2.5000000000000001E-2</v>
      </c>
      <c r="B6" s="87">
        <f t="shared" ref="B6:B21" si="5">wa*SQRT((xa-x)^2+(ya-y)^2)+wb*SQRT((xb-x)^2+(yb-y)^2)+wc*SQRT((xc-x)^2+(yc-y)^2)+wd*SQRT((xd-x)^2+(yd-y)^2)</f>
        <v>5.8339531170660504</v>
      </c>
      <c r="C6" s="87">
        <f t="shared" si="1"/>
        <v>5.7671231065645756</v>
      </c>
      <c r="D6" s="87">
        <f t="shared" si="1"/>
        <v>5.7250453975212334</v>
      </c>
      <c r="E6" s="87">
        <f t="shared" si="1"/>
        <v>5.6881856103890156</v>
      </c>
      <c r="F6" s="87">
        <f t="shared" si="1"/>
        <v>5.6547299540295324</v>
      </c>
      <c r="G6" s="87">
        <f t="shared" si="1"/>
        <v>5.6242351029435902</v>
      </c>
      <c r="H6" s="87">
        <f t="shared" si="1"/>
        <v>5.5965043225855089</v>
      </c>
      <c r="I6" s="87">
        <f t="shared" si="1"/>
        <v>5.5714073402314455</v>
      </c>
      <c r="J6" s="87">
        <f t="shared" si="1"/>
        <v>5.548835687966255</v>
      </c>
      <c r="K6" s="87">
        <f t="shared" si="1"/>
        <v>5.528689444933848</v>
      </c>
      <c r="L6" s="87">
        <f t="shared" si="1"/>
        <v>5.5108734541645168</v>
      </c>
      <c r="M6" s="87">
        <f t="shared" si="1"/>
        <v>5.4952968356202252</v>
      </c>
      <c r="N6" s="87">
        <f t="shared" si="1"/>
        <v>5.4818736815489117</v>
      </c>
      <c r="O6" s="87">
        <f t="shared" si="1"/>
        <v>5.4705241116045809</v>
      </c>
      <c r="P6" s="87">
        <f t="shared" si="1"/>
        <v>5.4611753460419683</v>
      </c>
      <c r="Q6" s="87">
        <f t="shared" si="1"/>
        <v>5.4537626576062674</v>
      </c>
      <c r="R6" s="87">
        <f t="shared" si="1"/>
        <v>5.4482301551768737</v>
      </c>
      <c r="S6" s="87">
        <f t="shared" si="2"/>
        <v>5.4445313957410768</v>
      </c>
      <c r="T6" s="87">
        <f t="shared" si="2"/>
        <v>5.4426298406961342</v>
      </c>
      <c r="U6" s="87">
        <f t="shared" si="2"/>
        <v>5.4424991791314135</v>
      </c>
      <c r="V6" s="87">
        <f t="shared" si="2"/>
        <v>5.4441235403385742</v>
      </c>
      <c r="W6" s="87">
        <f t="shared" si="2"/>
        <v>5.4474976134535424</v>
      </c>
      <c r="X6" s="87">
        <f t="shared" si="2"/>
        <v>5.4526266856443755</v>
      </c>
      <c r="Y6" s="87">
        <f t="shared" si="2"/>
        <v>5.4595266027134759</v>
      </c>
      <c r="Z6" s="87">
        <f t="shared" si="2"/>
        <v>5.4682236481137085</v>
      </c>
      <c r="AA6" s="87">
        <f t="shared" si="2"/>
        <v>5.4787543288070077</v>
      </c>
      <c r="AB6" s="87">
        <f t="shared" si="2"/>
        <v>5.4911650498463924</v>
      </c>
      <c r="AC6" s="87">
        <f t="shared" si="2"/>
        <v>5.50551165510839</v>
      </c>
      <c r="AD6" s="87">
        <f t="shared" si="2"/>
        <v>5.5218588109999542</v>
      </c>
      <c r="AE6" s="87">
        <f t="shared" si="2"/>
        <v>5.5402792162496599</v>
      </c>
      <c r="AF6" s="87">
        <f t="shared" si="2"/>
        <v>5.5608526396147795</v>
      </c>
      <c r="AG6" s="87">
        <f t="shared" si="2"/>
        <v>5.583664829451835</v>
      </c>
      <c r="AH6" s="87">
        <f t="shared" si="2"/>
        <v>5.6088064285679282</v>
      </c>
      <c r="AI6" s="87">
        <f t="shared" si="3"/>
        <v>5.6363722233254698</v>
      </c>
      <c r="AJ6" s="87">
        <f t="shared" si="3"/>
        <v>5.666461520041616</v>
      </c>
      <c r="AK6" s="87">
        <f t="shared" si="3"/>
        <v>5.6991816865331257</v>
      </c>
      <c r="AL6" s="87">
        <f t="shared" si="3"/>
        <v>5.7346608119811329</v>
      </c>
      <c r="AM6" s="87">
        <f t="shared" si="3"/>
        <v>5.7730906027865352</v>
      </c>
      <c r="AN6" s="87">
        <f t="shared" si="3"/>
        <v>5.8148997388175117</v>
      </c>
      <c r="AO6" s="87">
        <f t="shared" si="3"/>
        <v>5.8618360340839848</v>
      </c>
      <c r="AP6" s="87">
        <f t="shared" si="3"/>
        <v>5.9327109292608995</v>
      </c>
      <c r="AR6" s="87">
        <f t="shared" ref="AR6:AR45" si="6">1*(MIN(B6:AP6)=MinValue)</f>
        <v>0</v>
      </c>
    </row>
    <row r="7" spans="1:44" x14ac:dyDescent="0.2">
      <c r="A7" s="87">
        <f t="shared" si="4"/>
        <v>0.05</v>
      </c>
      <c r="B7" s="87">
        <f t="shared" si="5"/>
        <v>5.8324713556349854</v>
      </c>
      <c r="C7" s="87">
        <f t="shared" si="1"/>
        <v>5.7517086877376435</v>
      </c>
      <c r="D7" s="87">
        <f t="shared" si="1"/>
        <v>5.7013029409704439</v>
      </c>
      <c r="E7" s="87">
        <f t="shared" si="1"/>
        <v>5.6607645974853025</v>
      </c>
      <c r="F7" s="87">
        <f t="shared" si="1"/>
        <v>5.6253498690793178</v>
      </c>
      <c r="G7" s="87">
        <f t="shared" si="1"/>
        <v>5.593687109562433</v>
      </c>
      <c r="H7" s="87">
        <f t="shared" si="1"/>
        <v>5.5652192981890813</v>
      </c>
      <c r="I7" s="87">
        <f t="shared" si="1"/>
        <v>5.5396478128312188</v>
      </c>
      <c r="J7" s="87">
        <f t="shared" si="1"/>
        <v>5.5167735881730833</v>
      </c>
      <c r="K7" s="87">
        <f t="shared" si="1"/>
        <v>5.4964423096806989</v>
      </c>
      <c r="L7" s="87">
        <f t="shared" si="1"/>
        <v>5.478523255135797</v>
      </c>
      <c r="M7" s="87">
        <f t="shared" si="1"/>
        <v>5.4629007277122179</v>
      </c>
      <c r="N7" s="87">
        <f t="shared" si="1"/>
        <v>5.4494706627454015</v>
      </c>
      <c r="O7" s="87">
        <f t="shared" si="1"/>
        <v>5.4381394611402278</v>
      </c>
      <c r="P7" s="87">
        <f t="shared" si="1"/>
        <v>5.4288237762087839</v>
      </c>
      <c r="Q7" s="87">
        <f t="shared" si="1"/>
        <v>5.4214506764575354</v>
      </c>
      <c r="R7" s="87">
        <f t="shared" si="1"/>
        <v>5.415957919846174</v>
      </c>
      <c r="S7" s="87">
        <f t="shared" si="2"/>
        <v>5.4122942234346327</v>
      </c>
      <c r="T7" s="87">
        <f t="shared" si="2"/>
        <v>5.4104194841346409</v>
      </c>
      <c r="U7" s="87">
        <f t="shared" si="2"/>
        <v>5.4103049401656618</v>
      </c>
      <c r="V7" s="87">
        <f t="shared" si="2"/>
        <v>5.4119332770980986</v>
      </c>
      <c r="W7" s="87">
        <f t="shared" si="2"/>
        <v>5.4152986862936325</v>
      </c>
      <c r="X7" s="87">
        <f t="shared" si="2"/>
        <v>5.4204068820552038</v>
      </c>
      <c r="Y7" s="87">
        <f t="shared" si="2"/>
        <v>5.4272750796859226</v>
      </c>
      <c r="Z7" s="87">
        <f t="shared" si="2"/>
        <v>5.4359319317387929</v>
      </c>
      <c r="AA7" s="87">
        <f t="shared" si="2"/>
        <v>5.4464174155275868</v>
      </c>
      <c r="AB7" s="87">
        <f t="shared" si="2"/>
        <v>5.4587826632460272</v>
      </c>
      <c r="AC7" s="87">
        <f t="shared" si="2"/>
        <v>5.4730897295447463</v>
      </c>
      <c r="AD7" s="87">
        <f t="shared" si="2"/>
        <v>5.489411304929031</v>
      </c>
      <c r="AE7" s="87">
        <f t="shared" si="2"/>
        <v>5.5078304158119842</v>
      </c>
      <c r="AF7" s="87">
        <f t="shared" si="2"/>
        <v>5.5284402211820129</v>
      </c>
      <c r="AG7" s="87">
        <f t="shared" si="2"/>
        <v>5.5513441589317098</v>
      </c>
      <c r="AH7" s="87">
        <f t="shared" si="2"/>
        <v>5.5766569967702466</v>
      </c>
      <c r="AI7" s="87">
        <f t="shared" si="3"/>
        <v>5.6045080133976519</v>
      </c>
      <c r="AJ7" s="87">
        <f t="shared" si="3"/>
        <v>5.6350491486218113</v>
      </c>
      <c r="AK7" s="87">
        <f t="shared" si="3"/>
        <v>5.6684752677785095</v>
      </c>
      <c r="AL7" s="87">
        <f t="shared" si="3"/>
        <v>5.7050768205421196</v>
      </c>
      <c r="AM7" s="87">
        <f t="shared" si="3"/>
        <v>5.7453926809514906</v>
      </c>
      <c r="AN7" s="87">
        <f t="shared" si="3"/>
        <v>5.7907456600704359</v>
      </c>
      <c r="AO7" s="87">
        <f t="shared" si="3"/>
        <v>5.8457051998473677</v>
      </c>
      <c r="AP7" s="87">
        <f t="shared" si="3"/>
        <v>5.9300026007537001</v>
      </c>
      <c r="AR7" s="87">
        <f t="shared" si="6"/>
        <v>0</v>
      </c>
    </row>
    <row r="8" spans="1:44" x14ac:dyDescent="0.2">
      <c r="A8" s="87">
        <f t="shared" si="4"/>
        <v>7.5000000000000011E-2</v>
      </c>
      <c r="B8" s="87">
        <f t="shared" si="5"/>
        <v>5.8316257576933381</v>
      </c>
      <c r="C8" s="87">
        <f t="shared" si="1"/>
        <v>5.7431810106342702</v>
      </c>
      <c r="D8" s="87">
        <f t="shared" si="1"/>
        <v>5.684265842271671</v>
      </c>
      <c r="E8" s="87">
        <f t="shared" si="1"/>
        <v>5.6388235425758433</v>
      </c>
      <c r="F8" s="87">
        <f t="shared" si="1"/>
        <v>5.6005302126212619</v>
      </c>
      <c r="G8" s="87">
        <f t="shared" si="1"/>
        <v>5.5670624884227644</v>
      </c>
      <c r="H8" s="87">
        <f t="shared" si="1"/>
        <v>5.5374083746102274</v>
      </c>
      <c r="I8" s="87">
        <f t="shared" si="1"/>
        <v>5.5110364926215567</v>
      </c>
      <c r="J8" s="87">
        <f t="shared" si="1"/>
        <v>5.4876172738366815</v>
      </c>
      <c r="K8" s="87">
        <f t="shared" si="1"/>
        <v>5.4669169292522186</v>
      </c>
      <c r="L8" s="87">
        <f t="shared" si="1"/>
        <v>5.4487528846074804</v>
      </c>
      <c r="M8" s="87">
        <f t="shared" si="1"/>
        <v>5.4329736979804801</v>
      </c>
      <c r="N8" s="87">
        <f t="shared" si="1"/>
        <v>5.4194496060955029</v>
      </c>
      <c r="O8" s="87">
        <f t="shared" si="1"/>
        <v>5.4080679693139233</v>
      </c>
      <c r="P8" s="87">
        <f t="shared" si="1"/>
        <v>5.3987310571987956</v>
      </c>
      <c r="Q8" s="87">
        <f t="shared" si="1"/>
        <v>5.3913549692562093</v>
      </c>
      <c r="R8" s="87">
        <f t="shared" si="1"/>
        <v>5.3858691045463161</v>
      </c>
      <c r="S8" s="87">
        <f t="shared" si="2"/>
        <v>5.3822158924613808</v>
      </c>
      <c r="T8" s="87">
        <f t="shared" si="2"/>
        <v>5.3803506458252279</v>
      </c>
      <c r="U8" s="87">
        <f t="shared" si="2"/>
        <v>5.3802414724728891</v>
      </c>
      <c r="V8" s="87">
        <f t="shared" si="2"/>
        <v>5.3818692185824899</v>
      </c>
      <c r="W8" s="87">
        <f t="shared" si="2"/>
        <v>5.3852274342700923</v>
      </c>
      <c r="X8" s="87">
        <f t="shared" si="2"/>
        <v>5.3903223588327567</v>
      </c>
      <c r="Y8" s="87">
        <f t="shared" si="2"/>
        <v>5.3971729249047717</v>
      </c>
      <c r="Z8" s="87">
        <f t="shared" si="2"/>
        <v>5.4058107811284017</v>
      </c>
      <c r="AA8" s="87">
        <f t="shared" si="2"/>
        <v>5.4162803346088468</v>
      </c>
      <c r="AB8" s="87">
        <f t="shared" si="2"/>
        <v>5.4286388208135019</v>
      </c>
      <c r="AC8" s="87">
        <f t="shared" si="2"/>
        <v>5.4429564249081164</v>
      </c>
      <c r="AD8" s="87">
        <f t="shared" si="2"/>
        <v>5.4593165140034339</v>
      </c>
      <c r="AE8" s="87">
        <f t="shared" si="2"/>
        <v>5.4778161118201698</v>
      </c>
      <c r="AF8" s="87">
        <f t="shared" si="2"/>
        <v>5.4985668905666634</v>
      </c>
      <c r="AG8" s="87">
        <f t="shared" si="2"/>
        <v>5.521697242527793</v>
      </c>
      <c r="AH8" s="87">
        <f t="shared" si="2"/>
        <v>5.5473565904897635</v>
      </c>
      <c r="AI8" s="87">
        <f t="shared" si="3"/>
        <v>5.5757243995882559</v>
      </c>
      <c r="AJ8" s="87">
        <f t="shared" si="3"/>
        <v>5.6070294088903703</v>
      </c>
      <c r="AK8" s="87">
        <f t="shared" si="3"/>
        <v>5.6415924255646432</v>
      </c>
      <c r="AL8" s="87">
        <f t="shared" si="3"/>
        <v>5.6799282990605979</v>
      </c>
      <c r="AM8" s="87">
        <f t="shared" si="3"/>
        <v>5.7230142699666482</v>
      </c>
      <c r="AN8" s="87">
        <f t="shared" si="3"/>
        <v>5.7730898266207031</v>
      </c>
      <c r="AO8" s="87">
        <f t="shared" si="3"/>
        <v>5.8362461602743743</v>
      </c>
      <c r="AP8" s="87">
        <f t="shared" si="3"/>
        <v>5.9279460454914661</v>
      </c>
      <c r="AR8" s="87">
        <f t="shared" si="6"/>
        <v>0</v>
      </c>
    </row>
    <row r="9" spans="1:44" x14ac:dyDescent="0.2">
      <c r="A9" s="87">
        <f t="shared" si="4"/>
        <v>0.1</v>
      </c>
      <c r="B9" s="87">
        <f t="shared" si="5"/>
        <v>5.8314191912312339</v>
      </c>
      <c r="C9" s="87">
        <f t="shared" si="1"/>
        <v>5.7383267115083489</v>
      </c>
      <c r="D9" s="87">
        <f t="shared" si="1"/>
        <v>5.6722556356542313</v>
      </c>
      <c r="E9" s="87">
        <f t="shared" si="1"/>
        <v>5.6216041025570078</v>
      </c>
      <c r="F9" s="87">
        <f t="shared" si="1"/>
        <v>5.579893131493165</v>
      </c>
      <c r="G9" s="87">
        <f t="shared" si="1"/>
        <v>5.5441538330950451</v>
      </c>
      <c r="H9" s="87">
        <f t="shared" si="1"/>
        <v>5.5129494159108114</v>
      </c>
      <c r="I9" s="87">
        <f t="shared" si="1"/>
        <v>5.4854982093652334</v>
      </c>
      <c r="J9" s="87">
        <f t="shared" si="1"/>
        <v>5.4613195551511584</v>
      </c>
      <c r="K9" s="87">
        <f t="shared" si="1"/>
        <v>5.4400838673468463</v>
      </c>
      <c r="L9" s="87">
        <f t="shared" si="1"/>
        <v>5.421544746075794</v>
      </c>
      <c r="M9" s="87">
        <f t="shared" si="1"/>
        <v>5.4055063554675522</v>
      </c>
      <c r="N9" s="87">
        <f t="shared" si="1"/>
        <v>5.3918069721291459</v>
      </c>
      <c r="O9" s="87">
        <f t="shared" si="1"/>
        <v>5.3803103522687348</v>
      </c>
      <c r="P9" s="87">
        <f t="shared" si="1"/>
        <v>5.3709010351378552</v>
      </c>
      <c r="Q9" s="87">
        <f t="shared" si="1"/>
        <v>5.3634816896323692</v>
      </c>
      <c r="R9" s="87">
        <f t="shared" si="1"/>
        <v>5.3579715491425324</v>
      </c>
      <c r="S9" s="87">
        <f t="shared" si="2"/>
        <v>5.3543054433270925</v>
      </c>
      <c r="T9" s="87">
        <f t="shared" si="2"/>
        <v>5.3524331723738703</v>
      </c>
      <c r="U9" s="87">
        <f t="shared" si="2"/>
        <v>5.3523190928381972</v>
      </c>
      <c r="V9" s="87">
        <f t="shared" si="2"/>
        <v>5.3539418490117772</v>
      </c>
      <c r="W9" s="87">
        <f t="shared" si="2"/>
        <v>5.3572942176761611</v>
      </c>
      <c r="X9" s="87">
        <f t="shared" si="2"/>
        <v>5.36238305176912</v>
      </c>
      <c r="Y9" s="87">
        <f t="shared" si="2"/>
        <v>5.3692293183086104</v>
      </c>
      <c r="Z9" s="87">
        <f t="shared" si="2"/>
        <v>5.3778682332950014</v>
      </c>
      <c r="AA9" s="87">
        <f t="shared" si="2"/>
        <v>5.3883495057762367</v>
      </c>
      <c r="AB9" s="87">
        <f t="shared" si="2"/>
        <v>5.4007377201305546</v>
      </c>
      <c r="AC9" s="87">
        <f t="shared" si="2"/>
        <v>5.4151129180272246</v>
      </c>
      <c r="AD9" s="87">
        <f t="shared" si="2"/>
        <v>5.4315715037157473</v>
      </c>
      <c r="AE9" s="87">
        <f t="shared" si="2"/>
        <v>5.4502277150175482</v>
      </c>
      <c r="AF9" s="87">
        <f t="shared" si="2"/>
        <v>5.4712161303996947</v>
      </c>
      <c r="AG9" s="87">
        <f t="shared" si="2"/>
        <v>5.4946961290386591</v>
      </c>
      <c r="AH9" s="87">
        <f t="shared" si="2"/>
        <v>5.5208601247324776</v>
      </c>
      <c r="AI9" s="87">
        <f t="shared" si="3"/>
        <v>5.5499493109161158</v>
      </c>
      <c r="AJ9" s="87">
        <f t="shared" si="3"/>
        <v>5.5822849594396029</v>
      </c>
      <c r="AK9" s="87">
        <f t="shared" si="3"/>
        <v>5.6183336617920006</v>
      </c>
      <c r="AL9" s="87">
        <f t="shared" si="3"/>
        <v>5.6588515734922655</v>
      </c>
      <c r="AM9" s="87">
        <f t="shared" si="3"/>
        <v>5.7052252609365937</v>
      </c>
      <c r="AN9" s="87">
        <f t="shared" si="3"/>
        <v>5.7603160557945703</v>
      </c>
      <c r="AO9" s="87">
        <f t="shared" si="3"/>
        <v>5.8303646625134338</v>
      </c>
      <c r="AP9" s="87">
        <f t="shared" si="3"/>
        <v>5.9265441132037395</v>
      </c>
      <c r="AR9" s="87">
        <f t="shared" si="6"/>
        <v>0</v>
      </c>
    </row>
    <row r="10" spans="1:44" x14ac:dyDescent="0.2">
      <c r="A10" s="87">
        <f t="shared" si="4"/>
        <v>0.125</v>
      </c>
      <c r="B10" s="87">
        <f t="shared" si="5"/>
        <v>5.8318543251273498</v>
      </c>
      <c r="C10" s="87">
        <f t="shared" si="1"/>
        <v>5.7356969568948326</v>
      </c>
      <c r="D10" s="87">
        <f t="shared" si="1"/>
        <v>5.6639402784425297</v>
      </c>
      <c r="E10" s="87">
        <f t="shared" si="1"/>
        <v>5.6083344841683918</v>
      </c>
      <c r="F10" s="87">
        <f t="shared" si="1"/>
        <v>5.563004347569863</v>
      </c>
      <c r="G10" s="87">
        <f t="shared" si="1"/>
        <v>5.5247058754134279</v>
      </c>
      <c r="H10" s="87">
        <f t="shared" si="1"/>
        <v>5.4916850918848912</v>
      </c>
      <c r="I10" s="87">
        <f t="shared" si="1"/>
        <v>5.4629324276709923</v>
      </c>
      <c r="J10" s="87">
        <f t="shared" si="1"/>
        <v>5.437814785900513</v>
      </c>
      <c r="K10" s="87">
        <f t="shared" si="1"/>
        <v>5.4159000161654882</v>
      </c>
      <c r="L10" s="87">
        <f t="shared" si="1"/>
        <v>5.3968709105952719</v>
      </c>
      <c r="M10" s="87">
        <f t="shared" si="1"/>
        <v>5.3804813376471365</v>
      </c>
      <c r="N10" s="87">
        <f t="shared" si="1"/>
        <v>5.3665329407680904</v>
      </c>
      <c r="O10" s="87">
        <f t="shared" si="1"/>
        <v>5.3548622692374881</v>
      </c>
      <c r="P10" s="87">
        <f t="shared" si="1"/>
        <v>5.3453333903310298</v>
      </c>
      <c r="Q10" s="87">
        <f t="shared" si="1"/>
        <v>5.3378334745482938</v>
      </c>
      <c r="R10" s="87">
        <f t="shared" si="1"/>
        <v>5.3322700457249876</v>
      </c>
      <c r="S10" s="87">
        <f t="shared" si="2"/>
        <v>5.3285691994283058</v>
      </c>
      <c r="T10" s="87">
        <f t="shared" si="2"/>
        <v>5.3266744139704452</v>
      </c>
      <c r="U10" s="87">
        <f t="shared" si="2"/>
        <v>5.3265457504885276</v>
      </c>
      <c r="V10" s="87">
        <f t="shared" si="2"/>
        <v>5.3281593323075569</v>
      </c>
      <c r="W10" s="87">
        <f t="shared" si="2"/>
        <v>5.3315070457030771</v>
      </c>
      <c r="X10" s="87">
        <f t="shared" si="2"/>
        <v>5.3365964339206915</v>
      </c>
      <c r="Y10" s="87">
        <f t="shared" si="2"/>
        <v>5.3434507752410028</v>
      </c>
      <c r="Z10" s="87">
        <f t="shared" si="2"/>
        <v>5.3521093514333025</v>
      </c>
      <c r="AA10" s="87">
        <f t="shared" si="2"/>
        <v>5.3626279313659353</v>
      </c>
      <c r="AB10" s="87">
        <f t="shared" si="2"/>
        <v>5.3750795231307551</v>
      </c>
      <c r="AC10" s="87">
        <f t="shared" si="2"/>
        <v>5.3895554978150848</v>
      </c>
      <c r="AD10" s="87">
        <f t="shared" si="2"/>
        <v>5.4061672780721164</v>
      </c>
      <c r="AE10" s="87">
        <f t="shared" si="2"/>
        <v>5.4250489501045802</v>
      </c>
      <c r="AF10" s="87">
        <f t="shared" si="2"/>
        <v>5.4463614665526148</v>
      </c>
      <c r="AG10" s="87">
        <f t="shared" si="2"/>
        <v>5.4702996967505717</v>
      </c>
      <c r="AH10" s="87">
        <f t="shared" si="2"/>
        <v>5.4971047368612327</v>
      </c>
      <c r="AI10" s="87">
        <f t="shared" si="3"/>
        <v>5.5270862454537095</v>
      </c>
      <c r="AJ10" s="87">
        <f t="shared" si="3"/>
        <v>5.5606645615535459</v>
      </c>
      <c r="AK10" s="87">
        <f t="shared" si="3"/>
        <v>5.5984533808516685</v>
      </c>
      <c r="AL10" s="87">
        <f t="shared" si="3"/>
        <v>5.6414286240336233</v>
      </c>
      <c r="AM10" s="87">
        <f t="shared" si="3"/>
        <v>5.6912825802774529</v>
      </c>
      <c r="AN10" s="87">
        <f t="shared" si="3"/>
        <v>5.7511417432673877</v>
      </c>
      <c r="AO10" s="87">
        <f t="shared" si="3"/>
        <v>5.8266656160342611</v>
      </c>
      <c r="AP10" s="87">
        <f t="shared" si="3"/>
        <v>5.9257994472641107</v>
      </c>
      <c r="AR10" s="87">
        <f t="shared" si="6"/>
        <v>0</v>
      </c>
    </row>
    <row r="11" spans="1:44" x14ac:dyDescent="0.2">
      <c r="A11" s="87">
        <f t="shared" si="4"/>
        <v>0.15</v>
      </c>
      <c r="B11" s="87">
        <f t="shared" si="5"/>
        <v>5.8329336268271783</v>
      </c>
      <c r="C11" s="87">
        <f t="shared" si="1"/>
        <v>5.7346167370049841</v>
      </c>
      <c r="D11" s="87">
        <f t="shared" si="1"/>
        <v>5.6583880910058379</v>
      </c>
      <c r="E11" s="87">
        <f t="shared" si="1"/>
        <v>5.5983318337375652</v>
      </c>
      <c r="F11" s="87">
        <f t="shared" si="1"/>
        <v>5.5494263264325854</v>
      </c>
      <c r="G11" s="87">
        <f t="shared" si="1"/>
        <v>5.5084410052024362</v>
      </c>
      <c r="H11" s="87">
        <f t="shared" si="1"/>
        <v>5.4734356267484072</v>
      </c>
      <c r="I11" s="87">
        <f t="shared" si="1"/>
        <v>5.4432200178668992</v>
      </c>
      <c r="J11" s="87">
        <f t="shared" si="1"/>
        <v>5.4170226858095401</v>
      </c>
      <c r="K11" s="87">
        <f t="shared" si="1"/>
        <v>5.3943108775457</v>
      </c>
      <c r="L11" s="87">
        <f t="shared" si="1"/>
        <v>5.3746945465925045</v>
      </c>
      <c r="M11" s="87">
        <f t="shared" si="1"/>
        <v>5.3578742457296311</v>
      </c>
      <c r="N11" s="87">
        <f t="shared" si="1"/>
        <v>5.3436120461804713</v>
      </c>
      <c r="O11" s="87">
        <f t="shared" si="1"/>
        <v>5.3317147675713397</v>
      </c>
      <c r="P11" s="87">
        <f t="shared" si="1"/>
        <v>5.322023958428634</v>
      </c>
      <c r="Q11" s="87">
        <f t="shared" si="1"/>
        <v>5.3144096827229426</v>
      </c>
      <c r="R11" s="87">
        <f t="shared" si="1"/>
        <v>5.308766521133097</v>
      </c>
      <c r="S11" s="87">
        <f t="shared" si="2"/>
        <v>5.3050109121014213</v>
      </c>
      <c r="T11" s="87">
        <f t="shared" si="2"/>
        <v>5.3030793453715113</v>
      </c>
      <c r="U11" s="87">
        <f t="shared" si="2"/>
        <v>5.3029271344854099</v>
      </c>
      <c r="V11" s="87">
        <f t="shared" si="2"/>
        <v>5.3045276148220983</v>
      </c>
      <c r="W11" s="87">
        <f t="shared" si="2"/>
        <v>5.3078716829202222</v>
      </c>
      <c r="X11" s="87">
        <f t="shared" si="2"/>
        <v>5.3129676346722121</v>
      </c>
      <c r="Y11" s="87">
        <f t="shared" si="2"/>
        <v>5.3198412883710571</v>
      </c>
      <c r="Z11" s="87">
        <f t="shared" si="2"/>
        <v>5.3285364027550877</v>
      </c>
      <c r="AA11" s="87">
        <f t="shared" si="2"/>
        <v>5.3391154279310671</v>
      </c>
      <c r="AB11" s="87">
        <f t="shared" si="2"/>
        <v>5.3516606674119558</v>
      </c>
      <c r="AC11" s="87">
        <f t="shared" si="2"/>
        <v>5.3662759959470554</v>
      </c>
      <c r="AD11" s="87">
        <f t="shared" si="2"/>
        <v>5.3830893931899819</v>
      </c>
      <c r="AE11" s="87">
        <f t="shared" si="2"/>
        <v>5.4022567587877193</v>
      </c>
      <c r="AF11" s="87">
        <f t="shared" si="2"/>
        <v>5.4239678474786341</v>
      </c>
      <c r="AG11" s="87">
        <f t="shared" si="2"/>
        <v>5.4484558526064246</v>
      </c>
      <c r="AH11" s="87">
        <f t="shared" si="2"/>
        <v>5.4760134698461878</v>
      </c>
      <c r="AI11" s="87">
        <f t="shared" si="3"/>
        <v>5.5070207927311454</v>
      </c>
      <c r="AJ11" s="87">
        <f t="shared" si="3"/>
        <v>5.54199535774654</v>
      </c>
      <c r="AK11" s="87">
        <f t="shared" si="3"/>
        <v>5.5816844658165747</v>
      </c>
      <c r="AL11" s="87">
        <f t="shared" si="3"/>
        <v>5.6272382857735277</v>
      </c>
      <c r="AM11" s="87">
        <f t="shared" si="3"/>
        <v>5.6805287879861206</v>
      </c>
      <c r="AN11" s="87">
        <f t="shared" si="3"/>
        <v>5.7446698055799095</v>
      </c>
      <c r="AO11" s="87">
        <f t="shared" si="3"/>
        <v>5.8244990789326039</v>
      </c>
      <c r="AP11" s="87">
        <f t="shared" si="3"/>
        <v>5.9257144824278374</v>
      </c>
      <c r="AR11" s="87">
        <f t="shared" si="6"/>
        <v>0</v>
      </c>
    </row>
    <row r="12" spans="1:44" x14ac:dyDescent="0.2">
      <c r="A12" s="87">
        <f t="shared" si="4"/>
        <v>0.17499999999999999</v>
      </c>
      <c r="B12" s="87">
        <f t="shared" si="5"/>
        <v>5.8346593603107948</v>
      </c>
      <c r="C12" s="87">
        <f t="shared" si="1"/>
        <v>5.7347444649637822</v>
      </c>
      <c r="D12" s="87">
        <f t="shared" si="1"/>
        <v>5.654976941984529</v>
      </c>
      <c r="E12" s="87">
        <f t="shared" si="1"/>
        <v>5.5910384783307787</v>
      </c>
      <c r="F12" s="87">
        <f t="shared" si="1"/>
        <v>5.5387535984967773</v>
      </c>
      <c r="G12" s="87">
        <f t="shared" si="1"/>
        <v>5.4950806797089333</v>
      </c>
      <c r="H12" s="87">
        <f t="shared" si="1"/>
        <v>5.4580109269102319</v>
      </c>
      <c r="I12" s="87">
        <f t="shared" si="1"/>
        <v>5.4262302133542626</v>
      </c>
      <c r="J12" s="87">
        <f t="shared" si="1"/>
        <v>5.3988524725350029</v>
      </c>
      <c r="K12" s="87">
        <f t="shared" si="1"/>
        <v>5.3752531160599517</v>
      </c>
      <c r="L12" s="87">
        <f t="shared" si="1"/>
        <v>5.3549715594148779</v>
      </c>
      <c r="M12" s="87">
        <f t="shared" si="1"/>
        <v>5.3376547354816193</v>
      </c>
      <c r="N12" s="87">
        <f t="shared" si="1"/>
        <v>5.3230239258930778</v>
      </c>
      <c r="O12" s="87">
        <f t="shared" si="1"/>
        <v>5.3108548120216792</v>
      </c>
      <c r="P12" s="87">
        <f t="shared" si="1"/>
        <v>5.3009651143924126</v>
      </c>
      <c r="Q12" s="87">
        <f t="shared" si="1"/>
        <v>5.2932066806518492</v>
      </c>
      <c r="R12" s="87">
        <f t="shared" si="1"/>
        <v>5.2874602564154731</v>
      </c>
      <c r="S12" s="87">
        <f t="shared" si="2"/>
        <v>5.2836319353025791</v>
      </c>
      <c r="T12" s="87">
        <f t="shared" si="2"/>
        <v>5.2816507117641596</v>
      </c>
      <c r="U12" s="87">
        <f t="shared" si="2"/>
        <v>5.2814668032957837</v>
      </c>
      <c r="V12" s="87">
        <f t="shared" si="2"/>
        <v>5.283050549305556</v>
      </c>
      <c r="W12" s="87">
        <f t="shared" si="2"/>
        <v>5.286391777719988</v>
      </c>
      <c r="X12" s="87">
        <f t="shared" si="2"/>
        <v>5.2914995832367921</v>
      </c>
      <c r="Y12" s="87">
        <f t="shared" si="2"/>
        <v>5.2984024985289633</v>
      </c>
      <c r="Z12" s="87">
        <f t="shared" si="2"/>
        <v>5.3071490722082508</v>
      </c>
      <c r="AA12" s="87">
        <f t="shared" si="2"/>
        <v>5.3178089039567986</v>
      </c>
      <c r="AB12" s="87">
        <f t="shared" si="2"/>
        <v>5.3304742382799821</v>
      </c>
      <c r="AC12" s="87">
        <f t="shared" si="2"/>
        <v>5.3452622989273983</v>
      </c>
      <c r="AD12" s="87">
        <f t="shared" si="2"/>
        <v>5.3623186811906898</v>
      </c>
      <c r="AE12" s="87">
        <f t="shared" si="2"/>
        <v>5.3818223528749733</v>
      </c>
      <c r="AF12" s="87">
        <f t="shared" si="2"/>
        <v>5.4039932258420507</v>
      </c>
      <c r="AG12" s="87">
        <f t="shared" si="2"/>
        <v>5.4291039936141985</v>
      </c>
      <c r="AH12" s="87">
        <f t="shared" si="2"/>
        <v>5.4574992540533867</v>
      </c>
      <c r="AI12" s="87">
        <f t="shared" si="3"/>
        <v>5.4896273360813659</v>
      </c>
      <c r="AJ12" s="87">
        <f t="shared" si="3"/>
        <v>5.5260945527269829</v>
      </c>
      <c r="AK12" s="87">
        <f t="shared" si="3"/>
        <v>5.567758896874075</v>
      </c>
      <c r="AL12" s="87">
        <f t="shared" si="3"/>
        <v>5.6158902630628935</v>
      </c>
      <c r="AM12" s="87">
        <f t="shared" si="3"/>
        <v>5.672426977429903</v>
      </c>
      <c r="AN12" s="87">
        <f t="shared" si="3"/>
        <v>5.7403012293146194</v>
      </c>
      <c r="AO12" s="87">
        <f t="shared" si="3"/>
        <v>5.8235361684266369</v>
      </c>
      <c r="AP12" s="87">
        <f t="shared" si="3"/>
        <v>5.9262914428753666</v>
      </c>
      <c r="AR12" s="87">
        <f t="shared" si="6"/>
        <v>0</v>
      </c>
    </row>
    <row r="13" spans="1:44" x14ac:dyDescent="0.2">
      <c r="A13" s="87">
        <f t="shared" si="4"/>
        <v>0.19999999999999998</v>
      </c>
      <c r="B13" s="87">
        <f t="shared" si="5"/>
        <v>5.8370335843452335</v>
      </c>
      <c r="C13" s="87">
        <f t="shared" si="1"/>
        <v>5.7358929495677069</v>
      </c>
      <c r="D13" s="87">
        <f t="shared" si="1"/>
        <v>5.653294277291721</v>
      </c>
      <c r="E13" s="87">
        <f t="shared" si="1"/>
        <v>5.5860186954503135</v>
      </c>
      <c r="F13" s="87">
        <f t="shared" si="1"/>
        <v>5.530630483239217</v>
      </c>
      <c r="G13" s="87">
        <f t="shared" si="1"/>
        <v>5.4843607012232232</v>
      </c>
      <c r="H13" s="87">
        <f t="shared" si="1"/>
        <v>5.445220779446065</v>
      </c>
      <c r="I13" s="87">
        <f t="shared" si="1"/>
        <v>5.4118270579453318</v>
      </c>
      <c r="J13" s="87">
        <f t="shared" si="1"/>
        <v>5.3832069414823138</v>
      </c>
      <c r="K13" s="87">
        <f t="shared" si="1"/>
        <v>5.3586571924581818</v>
      </c>
      <c r="L13" s="87">
        <f t="shared" si="1"/>
        <v>5.3376523357236207</v>
      </c>
      <c r="M13" s="87">
        <f t="shared" si="1"/>
        <v>5.3197877039684522</v>
      </c>
      <c r="N13" s="87">
        <f t="shared" si="1"/>
        <v>5.3047441489901956</v>
      </c>
      <c r="O13" s="87">
        <f t="shared" si="1"/>
        <v>5.2922658767058834</v>
      </c>
      <c r="P13" s="87">
        <f t="shared" si="1"/>
        <v>5.2821462055092772</v>
      </c>
      <c r="Q13" s="87">
        <f t="shared" si="1"/>
        <v>5.2742181670885815</v>
      </c>
      <c r="R13" s="87">
        <f t="shared" si="1"/>
        <v>5.2683481368783767</v>
      </c>
      <c r="S13" s="87">
        <f t="shared" si="2"/>
        <v>5.2644314252644797</v>
      </c>
      <c r="T13" s="87">
        <f t="shared" si="2"/>
        <v>5.2623891958621769</v>
      </c>
      <c r="U13" s="87">
        <f t="shared" si="2"/>
        <v>5.2621663334288709</v>
      </c>
      <c r="V13" s="87">
        <f t="shared" si="2"/>
        <v>5.2637300371773161</v>
      </c>
      <c r="W13" s="87">
        <f t="shared" si="2"/>
        <v>5.2670690096475816</v>
      </c>
      <c r="X13" s="87">
        <f t="shared" si="2"/>
        <v>5.2721931730132079</v>
      </c>
      <c r="Y13" s="87">
        <f t="shared" si="2"/>
        <v>5.2791338899226909</v>
      </c>
      <c r="Z13" s="87">
        <f t="shared" si="2"/>
        <v>5.2879447059251827</v>
      </c>
      <c r="AA13" s="87">
        <f t="shared" si="2"/>
        <v>5.298702674853792</v>
      </c>
      <c r="AB13" s="87">
        <f t="shared" si="2"/>
        <v>5.3115103882527048</v>
      </c>
      <c r="AC13" s="87">
        <f t="shared" si="2"/>
        <v>5.326498920753826</v>
      </c>
      <c r="AD13" s="87">
        <f t="shared" si="2"/>
        <v>5.3438320505071673</v>
      </c>
      <c r="AE13" s="87">
        <f t="shared" si="2"/>
        <v>5.3637123600331762</v>
      </c>
      <c r="AF13" s="87">
        <f t="shared" si="2"/>
        <v>5.386390241440056</v>
      </c>
      <c r="AG13" s="87">
        <f t="shared" si="2"/>
        <v>5.4121775459941297</v>
      </c>
      <c r="AH13" s="87">
        <f t="shared" si="2"/>
        <v>5.4414688391903026</v>
      </c>
      <c r="AI13" s="87">
        <f t="shared" si="3"/>
        <v>5.47477526426756</v>
      </c>
      <c r="AJ13" s="87">
        <f t="shared" si="3"/>
        <v>5.5127792369118644</v>
      </c>
      <c r="AK13" s="87">
        <f t="shared" si="3"/>
        <v>5.5564224653986853</v>
      </c>
      <c r="AL13" s="87">
        <f t="shared" si="3"/>
        <v>5.6070421989968615</v>
      </c>
      <c r="AM13" s="87">
        <f t="shared" si="3"/>
        <v>5.6665576657799566</v>
      </c>
      <c r="AN13" s="87">
        <f t="shared" si="3"/>
        <v>5.737638803276937</v>
      </c>
      <c r="AO13" s="87">
        <f t="shared" si="3"/>
        <v>5.8235966644232278</v>
      </c>
      <c r="AP13" s="87">
        <f t="shared" si="3"/>
        <v>5.9275323405564437</v>
      </c>
      <c r="AR13" s="87">
        <f t="shared" si="6"/>
        <v>0</v>
      </c>
    </row>
    <row r="14" spans="1:44" x14ac:dyDescent="0.2">
      <c r="A14" s="87">
        <f t="shared" si="4"/>
        <v>0.22499999999999998</v>
      </c>
      <c r="B14" s="87">
        <f t="shared" si="5"/>
        <v>5.8400581510154002</v>
      </c>
      <c r="C14" s="87">
        <f t="shared" si="1"/>
        <v>5.7379525145773869</v>
      </c>
      <c r="D14" s="87">
        <f t="shared" si="1"/>
        <v>5.6530634638862214</v>
      </c>
      <c r="E14" s="87">
        <f t="shared" si="1"/>
        <v>5.5829395232514223</v>
      </c>
      <c r="F14" s="87">
        <f t="shared" si="1"/>
        <v>5.5247559978172731</v>
      </c>
      <c r="G14" s="87">
        <f t="shared" si="1"/>
        <v>5.4760403883933808</v>
      </c>
      <c r="H14" s="87">
        <f t="shared" si="1"/>
        <v>5.4348825292365985</v>
      </c>
      <c r="I14" s="87">
        <f t="shared" si="1"/>
        <v>5.3998748858145742</v>
      </c>
      <c r="J14" s="87">
        <f t="shared" si="1"/>
        <v>5.3699862106347185</v>
      </c>
      <c r="K14" s="87">
        <f t="shared" si="1"/>
        <v>5.3444499111726653</v>
      </c>
      <c r="L14" s="87">
        <f t="shared" si="1"/>
        <v>5.3226834950822361</v>
      </c>
      <c r="M14" s="87">
        <f t="shared" si="1"/>
        <v>5.3042345138612621</v>
      </c>
      <c r="N14" s="87">
        <f t="shared" si="1"/>
        <v>5.2887450876128996</v>
      </c>
      <c r="O14" s="87">
        <f t="shared" si="1"/>
        <v>5.2759285771485729</v>
      </c>
      <c r="P14" s="87">
        <f t="shared" si="1"/>
        <v>5.2655540186965011</v>
      </c>
      <c r="Q14" s="87">
        <f t="shared" si="1"/>
        <v>5.2574355260060859</v>
      </c>
      <c r="R14" s="87">
        <f t="shared" si="1"/>
        <v>5.2514249256882994</v>
      </c>
      <c r="S14" s="87">
        <f t="shared" si="2"/>
        <v>5.2474065599192921</v>
      </c>
      <c r="T14" s="87">
        <f t="shared" si="2"/>
        <v>5.2452936021206886</v>
      </c>
      <c r="U14" s="87">
        <f t="shared" si="2"/>
        <v>5.2450254836164341</v>
      </c>
      <c r="V14" s="87">
        <f t="shared" si="2"/>
        <v>5.2465661857759986</v>
      </c>
      <c r="W14" s="87">
        <f t="shared" si="2"/>
        <v>5.2499032521293039</v>
      </c>
      <c r="X14" s="87">
        <f t="shared" si="2"/>
        <v>5.2550474427647043</v>
      </c>
      <c r="Y14" s="87">
        <f t="shared" si="2"/>
        <v>5.2620330046579094</v>
      </c>
      <c r="Z14" s="87">
        <f t="shared" si="2"/>
        <v>5.2709185775771861</v>
      </c>
      <c r="AA14" s="87">
        <f t="shared" si="2"/>
        <v>5.2817888055770741</v>
      </c>
      <c r="AB14" s="87">
        <f t="shared" si="2"/>
        <v>5.2947567897816636</v>
      </c>
      <c r="AC14" s="87">
        <f t="shared" si="2"/>
        <v>5.3099676143839343</v>
      </c>
      <c r="AD14" s="87">
        <f t="shared" si="2"/>
        <v>5.3276033281303947</v>
      </c>
      <c r="AE14" s="87">
        <f t="shared" si="2"/>
        <v>5.3478900060053949</v>
      </c>
      <c r="AF14" s="87">
        <f t="shared" si="2"/>
        <v>5.3711079113934979</v>
      </c>
      <c r="AG14" s="87">
        <f t="shared" si="2"/>
        <v>5.3976064219641779</v>
      </c>
      <c r="AH14" s="87">
        <f t="shared" si="2"/>
        <v>5.4278264041066429</v>
      </c>
      <c r="AI14" s="87">
        <f t="shared" si="3"/>
        <v>5.4623342520101126</v>
      </c>
      <c r="AJ14" s="87">
        <f t="shared" si="3"/>
        <v>5.5018737824348118</v>
      </c>
      <c r="AK14" s="87">
        <f t="shared" si="3"/>
        <v>5.5474436082775087</v>
      </c>
      <c r="AL14" s="87">
        <f t="shared" si="3"/>
        <v>5.600404404262143</v>
      </c>
      <c r="AM14" s="87">
        <f t="shared" si="3"/>
        <v>5.6626003162786231</v>
      </c>
      <c r="AN14" s="87">
        <f t="shared" si="3"/>
        <v>5.7364161909522151</v>
      </c>
      <c r="AO14" s="87">
        <f t="shared" si="3"/>
        <v>5.8245749764680399</v>
      </c>
      <c r="AP14" s="87">
        <f t="shared" si="3"/>
        <v>5.9294389738282955</v>
      </c>
      <c r="AR14" s="87">
        <f t="shared" si="6"/>
        <v>0</v>
      </c>
    </row>
    <row r="15" spans="1:44" x14ac:dyDescent="0.2">
      <c r="A15" s="87">
        <f t="shared" si="4"/>
        <v>0.24999999999999997</v>
      </c>
      <c r="B15" s="87">
        <f t="shared" si="5"/>
        <v>5.843734704526411</v>
      </c>
      <c r="C15" s="87">
        <f t="shared" si="1"/>
        <v>5.7408553003376515</v>
      </c>
      <c r="D15" s="87">
        <f t="shared" si="1"/>
        <v>5.6540955701599911</v>
      </c>
      <c r="E15" s="87">
        <f t="shared" si="1"/>
        <v>5.5815487690459697</v>
      </c>
      <c r="F15" s="87">
        <f t="shared" si="1"/>
        <v>5.5208812607399302</v>
      </c>
      <c r="G15" s="87">
        <f t="shared" si="1"/>
        <v>5.4699068076652715</v>
      </c>
      <c r="H15" s="87">
        <f t="shared" si="1"/>
        <v>5.4268262278672248</v>
      </c>
      <c r="I15" s="87">
        <f t="shared" si="1"/>
        <v>5.3902426243031281</v>
      </c>
      <c r="J15" s="87">
        <f t="shared" si="1"/>
        <v>5.3590909474122652</v>
      </c>
      <c r="K15" s="87">
        <f t="shared" si="1"/>
        <v>5.3325567553696596</v>
      </c>
      <c r="L15" s="87">
        <f t="shared" si="1"/>
        <v>5.3100095667439398</v>
      </c>
      <c r="M15" s="87">
        <f t="shared" si="1"/>
        <v>5.290954202879079</v>
      </c>
      <c r="N15" s="87">
        <f t="shared" si="1"/>
        <v>5.2749967979744126</v>
      </c>
      <c r="O15" s="87">
        <f t="shared" si="1"/>
        <v>5.2618213202289166</v>
      </c>
      <c r="P15" s="87">
        <f t="shared" si="1"/>
        <v>5.2511732671921063</v>
      </c>
      <c r="Q15" s="87">
        <f t="shared" si="1"/>
        <v>5.24284819771563</v>
      </c>
      <c r="R15" s="87">
        <f t="shared" si="1"/>
        <v>5.2366835536198346</v>
      </c>
      <c r="S15" s="87">
        <f t="shared" si="2"/>
        <v>5.2325527725224195</v>
      </c>
      <c r="T15" s="87">
        <f t="shared" si="2"/>
        <v>5.2303610536318201</v>
      </c>
      <c r="U15" s="87">
        <f t="shared" si="2"/>
        <v>5.2300423707136279</v>
      </c>
      <c r="V15" s="87">
        <f t="shared" si="2"/>
        <v>5.2315574769717008</v>
      </c>
      <c r="W15" s="87">
        <f t="shared" si="2"/>
        <v>5.2348927468149631</v>
      </c>
      <c r="X15" s="87">
        <f t="shared" si="2"/>
        <v>5.240059770264538</v>
      </c>
      <c r="Y15" s="87">
        <f t="shared" si="2"/>
        <v>5.2470956711354448</v>
      </c>
      <c r="Z15" s="87">
        <f t="shared" si="2"/>
        <v>5.2560641704448905</v>
      </c>
      <c r="AA15" s="87">
        <f t="shared" si="2"/>
        <v>5.2670574708834348</v>
      </c>
      <c r="AB15" s="87">
        <f t="shared" si="2"/>
        <v>5.2801991067981788</v>
      </c>
      <c r="AC15" s="87">
        <f t="shared" si="2"/>
        <v>5.295648000624686</v>
      </c>
      <c r="AD15" s="87">
        <f t="shared" si="2"/>
        <v>5.3136041112410517</v>
      </c>
      <c r="AE15" s="87">
        <f t="shared" si="2"/>
        <v>5.334316282792904</v>
      </c>
      <c r="AF15" s="87">
        <f t="shared" si="2"/>
        <v>5.3580932486539208</v>
      </c>
      <c r="AG15" s="87">
        <f t="shared" si="2"/>
        <v>5.3853192723577301</v>
      </c>
      <c r="AH15" s="87">
        <f t="shared" si="2"/>
        <v>5.4164766682856316</v>
      </c>
      <c r="AI15" s="87">
        <f t="shared" si="3"/>
        <v>5.4521784074769153</v>
      </c>
      <c r="AJ15" s="87">
        <f t="shared" si="3"/>
        <v>5.4932148050646576</v>
      </c>
      <c r="AK15" s="87">
        <f t="shared" si="3"/>
        <v>5.540617485783927</v>
      </c>
      <c r="AL15" s="87">
        <f t="shared" si="3"/>
        <v>5.5957373593732811</v>
      </c>
      <c r="AM15" s="87">
        <f t="shared" si="3"/>
        <v>5.66031216282183</v>
      </c>
      <c r="AN15" s="87">
        <f t="shared" si="3"/>
        <v>5.7364514976258398</v>
      </c>
      <c r="AO15" s="87">
        <f t="shared" si="3"/>
        <v>5.8264057678103596</v>
      </c>
      <c r="AP15" s="87">
        <f t="shared" si="3"/>
        <v>5.9320129263801444</v>
      </c>
      <c r="AR15" s="87">
        <f t="shared" si="6"/>
        <v>0</v>
      </c>
    </row>
    <row r="16" spans="1:44" x14ac:dyDescent="0.2">
      <c r="A16" s="87">
        <f t="shared" si="4"/>
        <v>0.27499999999999997</v>
      </c>
      <c r="B16" s="87">
        <f t="shared" si="5"/>
        <v>5.8480646802693954</v>
      </c>
      <c r="C16" s="87">
        <f t="shared" si="1"/>
        <v>5.7445574131572137</v>
      </c>
      <c r="D16" s="87">
        <f t="shared" si="1"/>
        <v>5.6562589099787726</v>
      </c>
      <c r="E16" s="87">
        <f t="shared" si="1"/>
        <v>5.5816556255115373</v>
      </c>
      <c r="F16" s="87">
        <f t="shared" si="1"/>
        <v>5.5188034200288092</v>
      </c>
      <c r="G16" s="87">
        <f t="shared" si="1"/>
        <v>5.4657755626297533</v>
      </c>
      <c r="H16" s="87">
        <f t="shared" si="1"/>
        <v>5.4208976071780359</v>
      </c>
      <c r="I16" s="87">
        <f t="shared" si="1"/>
        <v>5.3828069115070143</v>
      </c>
      <c r="J16" s="87">
        <f t="shared" si="1"/>
        <v>5.3504249920646076</v>
      </c>
      <c r="K16" s="87">
        <f t="shared" si="1"/>
        <v>5.3229039279979666</v>
      </c>
      <c r="L16" s="87">
        <f t="shared" si="1"/>
        <v>5.2995745300546906</v>
      </c>
      <c r="M16" s="87">
        <f t="shared" si="1"/>
        <v>5.2799046351031169</v>
      </c>
      <c r="N16" s="87">
        <f t="shared" si="1"/>
        <v>5.2634678811331028</v>
      </c>
      <c r="O16" s="87">
        <f t="shared" si="1"/>
        <v>5.2499209515396332</v>
      </c>
      <c r="P16" s="87">
        <f t="shared" si="1"/>
        <v>5.2389870823302829</v>
      </c>
      <c r="Q16" s="87">
        <f t="shared" si="1"/>
        <v>5.2304440579504785</v>
      </c>
      <c r="R16" s="87">
        <f t="shared" si="1"/>
        <v>5.2241154174663045</v>
      </c>
      <c r="S16" s="87">
        <f t="shared" si="2"/>
        <v>5.2198639937589606</v>
      </c>
      <c r="T16" s="87">
        <f t="shared" si="2"/>
        <v>5.2175871970849883</v>
      </c>
      <c r="U16" s="87">
        <f t="shared" si="2"/>
        <v>5.2172136533127462</v>
      </c>
      <c r="V16" s="87">
        <f t="shared" si="2"/>
        <v>5.2187009433387548</v>
      </c>
      <c r="W16" s="87">
        <f t="shared" si="2"/>
        <v>5.2220342855658455</v>
      </c>
      <c r="X16" s="87">
        <f t="shared" si="2"/>
        <v>5.2272260738754337</v>
      </c>
      <c r="Y16" s="87">
        <f t="shared" si="2"/>
        <v>5.2343162407478729</v>
      </c>
      <c r="Z16" s="87">
        <f t="shared" si="2"/>
        <v>5.2433734679383077</v>
      </c>
      <c r="AA16" s="87">
        <f t="shared" si="2"/>
        <v>5.2544973233596526</v>
      </c>
      <c r="AB16" s="87">
        <f t="shared" si="2"/>
        <v>5.2678214712686469</v>
      </c>
      <c r="AC16" s="87">
        <f t="shared" si="2"/>
        <v>5.2835181946731753</v>
      </c>
      <c r="AD16" s="87">
        <f t="shared" si="2"/>
        <v>5.3018045995438952</v>
      </c>
      <c r="AE16" s="87">
        <f t="shared" si="2"/>
        <v>5.3229510611282222</v>
      </c>
      <c r="AF16" s="87">
        <f t="shared" si="2"/>
        <v>5.3472927495284068</v>
      </c>
      <c r="AG16" s="87">
        <f t="shared" si="2"/>
        <v>5.3752454565679617</v>
      </c>
      <c r="AH16" s="87">
        <f t="shared" si="2"/>
        <v>5.4073274227411936</v>
      </c>
      <c r="AI16" s="87">
        <f t="shared" si="3"/>
        <v>5.4441892790301605</v>
      </c>
      <c r="AJ16" s="87">
        <f t="shared" si="3"/>
        <v>5.4866540319293851</v>
      </c>
      <c r="AK16" s="87">
        <f t="shared" si="3"/>
        <v>5.5357667453858905</v>
      </c>
      <c r="AL16" s="87">
        <f t="shared" si="3"/>
        <v>5.592845870566042</v>
      </c>
      <c r="AM16" s="87">
        <f t="shared" si="3"/>
        <v>5.6595095459752018</v>
      </c>
      <c r="AN16" s="87">
        <f t="shared" si="3"/>
        <v>5.737617943414115</v>
      </c>
      <c r="AO16" s="87">
        <f t="shared" si="3"/>
        <v>5.8290467662643817</v>
      </c>
      <c r="AP16" s="87">
        <f t="shared" si="3"/>
        <v>5.9352555664355098</v>
      </c>
      <c r="AR16" s="87">
        <f t="shared" si="6"/>
        <v>0</v>
      </c>
    </row>
    <row r="17" spans="1:44" x14ac:dyDescent="0.2">
      <c r="A17" s="87">
        <f t="shared" si="4"/>
        <v>0.3</v>
      </c>
      <c r="B17" s="87">
        <f t="shared" si="5"/>
        <v>5.853049304142079</v>
      </c>
      <c r="C17" s="87">
        <f t="shared" si="1"/>
        <v>5.7490294040894572</v>
      </c>
      <c r="D17" s="87">
        <f t="shared" si="1"/>
        <v>5.6594598664582119</v>
      </c>
      <c r="E17" s="87">
        <f t="shared" si="1"/>
        <v>5.5831152889116442</v>
      </c>
      <c r="F17" s="87">
        <f t="shared" si="1"/>
        <v>5.5183585895147926</v>
      </c>
      <c r="G17" s="87">
        <f t="shared" si="1"/>
        <v>5.4634894905801126</v>
      </c>
      <c r="H17" s="87">
        <f t="shared" si="1"/>
        <v>5.4169593796446867</v>
      </c>
      <c r="I17" s="87">
        <f t="shared" si="1"/>
        <v>5.3774541539479834</v>
      </c>
      <c r="J17" s="87">
        <f t="shared" si="1"/>
        <v>5.3438973719801153</v>
      </c>
      <c r="K17" s="87">
        <f t="shared" si="1"/>
        <v>5.3154200598057173</v>
      </c>
      <c r="L17" s="87">
        <f t="shared" si="1"/>
        <v>5.2913231785342489</v>
      </c>
      <c r="M17" s="87">
        <f t="shared" si="1"/>
        <v>5.2710435617081774</v>
      </c>
      <c r="N17" s="87">
        <f t="shared" si="1"/>
        <v>5.2541262990924817</v>
      </c>
      <c r="O17" s="87">
        <f t="shared" si="1"/>
        <v>5.2402033822449621</v>
      </c>
      <c r="P17" s="87">
        <f t="shared" si="1"/>
        <v>5.2289774973125578</v>
      </c>
      <c r="Q17" s="87">
        <f t="shared" si="1"/>
        <v>5.220209795252055</v>
      </c>
      <c r="R17" s="87">
        <f t="shared" si="1"/>
        <v>5.2137106798271988</v>
      </c>
      <c r="S17" s="87">
        <f t="shared" si="2"/>
        <v>5.2093328966505981</v>
      </c>
      <c r="T17" s="87">
        <f t="shared" si="2"/>
        <v>5.2069664111367402</v>
      </c>
      <c r="U17" s="87">
        <f t="shared" si="2"/>
        <v>5.2065347189917528</v>
      </c>
      <c r="V17" s="87">
        <f t="shared" si="2"/>
        <v>5.2079923480080366</v>
      </c>
      <c r="W17" s="87">
        <f t="shared" si="2"/>
        <v>5.211323396048428</v>
      </c>
      <c r="X17" s="87">
        <f t="shared" si="2"/>
        <v>5.2165410174891713</v>
      </c>
      <c r="Y17" s="87">
        <f t="shared" si="2"/>
        <v>5.2236878273273213</v>
      </c>
      <c r="Z17" s="87">
        <f t="shared" si="2"/>
        <v>5.2328372454848777</v>
      </c>
      <c r="AA17" s="87">
        <f t="shared" si="2"/>
        <v>5.244095859859458</v>
      </c>
      <c r="AB17" s="87">
        <f t="shared" si="2"/>
        <v>5.2576069521038704</v>
      </c>
      <c r="AC17" s="87">
        <f t="shared" si="2"/>
        <v>5.2735554130164681</v>
      </c>
      <c r="AD17" s="87">
        <f t="shared" si="2"/>
        <v>5.2921743847463674</v>
      </c>
      <c r="AE17" s="87">
        <f t="shared" si="2"/>
        <v>5.3137541159676278</v>
      </c>
      <c r="AF17" s="87">
        <f t="shared" si="2"/>
        <v>5.3386537117639143</v>
      </c>
      <c r="AG17" s="87">
        <f t="shared" si="2"/>
        <v>5.3673166922589726</v>
      </c>
      <c r="AH17" s="87">
        <f t="shared" si="2"/>
        <v>5.4002914749606141</v>
      </c>
      <c r="AI17" s="87">
        <f t="shared" si="3"/>
        <v>5.4382578419609935</v>
      </c>
      <c r="AJ17" s="87">
        <f t="shared" si="3"/>
        <v>5.4820595587172516</v>
      </c>
      <c r="AK17" s="87">
        <f t="shared" si="3"/>
        <v>5.5327402709131697</v>
      </c>
      <c r="AL17" s="87">
        <f t="shared" si="3"/>
        <v>5.5915722710919473</v>
      </c>
      <c r="AM17" s="87">
        <f t="shared" si="3"/>
        <v>5.6600531031503536</v>
      </c>
      <c r="AN17" s="87">
        <f t="shared" si="3"/>
        <v>5.7398253984657286</v>
      </c>
      <c r="AO17" s="87">
        <f t="shared" si="3"/>
        <v>5.8324695960484583</v>
      </c>
      <c r="AP17" s="87">
        <f t="shared" si="3"/>
        <v>5.9391680462228633</v>
      </c>
      <c r="AR17" s="87">
        <f t="shared" si="6"/>
        <v>0</v>
      </c>
    </row>
    <row r="18" spans="1:44" x14ac:dyDescent="0.2">
      <c r="A18" s="87">
        <f t="shared" si="4"/>
        <v>0.32500000000000001</v>
      </c>
      <c r="B18" s="87">
        <f t="shared" si="5"/>
        <v>5.8586895921149473</v>
      </c>
      <c r="C18" s="87">
        <f t="shared" si="1"/>
        <v>5.7542509036960325</v>
      </c>
      <c r="D18" s="87">
        <f t="shared" si="1"/>
        <v>5.6636306864167114</v>
      </c>
      <c r="E18" s="87">
        <f t="shared" si="1"/>
        <v>5.5858173428273803</v>
      </c>
      <c r="F18" s="87">
        <f t="shared" si="1"/>
        <v>5.5194150901956149</v>
      </c>
      <c r="G18" s="87">
        <f t="shared" si="1"/>
        <v>5.4629162841136658</v>
      </c>
      <c r="H18" s="87">
        <f t="shared" si="1"/>
        <v>5.4148913714431712</v>
      </c>
      <c r="I18" s="87">
        <f t="shared" si="1"/>
        <v>5.3740817171782815</v>
      </c>
      <c r="J18" s="87">
        <f t="shared" si="1"/>
        <v>5.3394237570712075</v>
      </c>
      <c r="K18" s="87">
        <f t="shared" si="1"/>
        <v>5.3100375804137503</v>
      </c>
      <c r="L18" s="87">
        <f t="shared" si="1"/>
        <v>5.2852022877690459</v>
      </c>
      <c r="M18" s="87">
        <f t="shared" si="1"/>
        <v>5.2643295696531904</v>
      </c>
      <c r="N18" s="87">
        <f t="shared" si="1"/>
        <v>5.2469401276980454</v>
      </c>
      <c r="O18" s="87">
        <f t="shared" si="1"/>
        <v>5.2326441806498032</v>
      </c>
      <c r="P18" s="87">
        <f t="shared" si="1"/>
        <v>5.2211259115205593</v>
      </c>
      <c r="Q18" s="87">
        <f t="shared" si="1"/>
        <v>5.2121312778380471</v>
      </c>
      <c r="R18" s="87">
        <f t="shared" si="1"/>
        <v>5.2054585634086905</v>
      </c>
      <c r="S18" s="87">
        <f t="shared" si="2"/>
        <v>5.2009511387833918</v>
      </c>
      <c r="T18" s="87">
        <f t="shared" si="2"/>
        <v>5.1984920136259234</v>
      </c>
      <c r="U18" s="87">
        <f t="shared" si="2"/>
        <v>5.1979998711579647</v>
      </c>
      <c r="V18" s="87">
        <f t="shared" si="2"/>
        <v>5.1994263643404652</v>
      </c>
      <c r="W18" s="87">
        <f t="shared" si="2"/>
        <v>5.2027545269303594</v>
      </c>
      <c r="X18" s="87">
        <f t="shared" si="2"/>
        <v>5.2079982143381844</v>
      </c>
      <c r="Y18" s="87">
        <f t="shared" si="2"/>
        <v>5.2152025439889753</v>
      </c>
      <c r="Z18" s="87">
        <f t="shared" si="2"/>
        <v>5.2244453571065463</v>
      </c>
      <c r="AA18" s="87">
        <f t="shared" si="2"/>
        <v>5.2358397777928154</v>
      </c>
      <c r="AB18" s="87">
        <f t="shared" si="2"/>
        <v>5.2495380053357641</v>
      </c>
      <c r="AC18" s="87">
        <f t="shared" si="2"/>
        <v>5.2657365464004249</v>
      </c>
      <c r="AD18" s="87">
        <f t="shared" si="2"/>
        <v>5.2846831792971791</v>
      </c>
      <c r="AE18" s="87">
        <f t="shared" si="2"/>
        <v>5.3066860443138069</v>
      </c>
      <c r="AF18" s="87">
        <f t="shared" si="2"/>
        <v>5.3321253640552095</v>
      </c>
      <c r="AG18" s="87">
        <f t="shared" si="2"/>
        <v>5.3614683810983417</v>
      </c>
      <c r="AH18" s="87">
        <f t="shared" si="2"/>
        <v>5.3952880562473755</v>
      </c>
      <c r="AI18" s="87">
        <f t="shared" si="3"/>
        <v>5.4342856510043154</v>
      </c>
      <c r="AJ18" s="87">
        <f t="shared" si="3"/>
        <v>5.4793159835803351</v>
      </c>
      <c r="AK18" s="87">
        <f t="shared" si="3"/>
        <v>5.531410897336734</v>
      </c>
      <c r="AL18" s="87">
        <f t="shared" si="3"/>
        <v>5.5917899169117256</v>
      </c>
      <c r="AM18" s="87">
        <f t="shared" si="3"/>
        <v>5.6618365852795955</v>
      </c>
      <c r="AN18" s="87">
        <f t="shared" si="3"/>
        <v>5.7430086309118016</v>
      </c>
      <c r="AO18" s="87">
        <f t="shared" si="3"/>
        <v>5.8366546117659226</v>
      </c>
      <c r="AP18" s="87">
        <f t="shared" si="3"/>
        <v>5.943751301704709</v>
      </c>
      <c r="AR18" s="87">
        <f t="shared" si="6"/>
        <v>0</v>
      </c>
    </row>
    <row r="19" spans="1:44" x14ac:dyDescent="0.2">
      <c r="A19" s="87">
        <f t="shared" si="4"/>
        <v>0.35000000000000003</v>
      </c>
      <c r="B19" s="87">
        <f t="shared" si="5"/>
        <v>5.864986350033413</v>
      </c>
      <c r="C19" s="87">
        <f t="shared" si="1"/>
        <v>5.7602074552312938</v>
      </c>
      <c r="D19" s="87">
        <f t="shared" si="1"/>
        <v>5.6687215834540661</v>
      </c>
      <c r="E19" s="87">
        <f t="shared" si="1"/>
        <v>5.589677192854043</v>
      </c>
      <c r="F19" s="87">
        <f t="shared" si="1"/>
        <v>5.521867551063381</v>
      </c>
      <c r="G19" s="87">
        <f t="shared" si="1"/>
        <v>5.4639457183287465</v>
      </c>
      <c r="H19" s="87">
        <f t="shared" si="1"/>
        <v>5.414589920853488</v>
      </c>
      <c r="I19" s="87">
        <f t="shared" si="1"/>
        <v>5.3725984594760678</v>
      </c>
      <c r="J19" s="87">
        <f t="shared" si="1"/>
        <v>5.3369274384410268</v>
      </c>
      <c r="K19" s="87">
        <f t="shared" si="1"/>
        <v>5.3066937740503661</v>
      </c>
      <c r="L19" s="87">
        <f t="shared" si="1"/>
        <v>5.2811615839294603</v>
      </c>
      <c r="M19" s="87">
        <f t="shared" si="1"/>
        <v>5.2597229069286673</v>
      </c>
      <c r="N19" s="87">
        <f t="shared" si="1"/>
        <v>5.2418782336349166</v>
      </c>
      <c r="O19" s="87">
        <f t="shared" si="1"/>
        <v>5.2272191170130125</v>
      </c>
      <c r="P19" s="87">
        <f t="shared" si="1"/>
        <v>5.2154135257893675</v>
      </c>
      <c r="Q19" s="87">
        <f t="shared" si="1"/>
        <v>5.2061939021857917</v>
      </c>
      <c r="R19" s="87">
        <f t="shared" si="1"/>
        <v>5.199347633568709</v>
      </c>
      <c r="S19" s="87">
        <f t="shared" si="2"/>
        <v>5.1947095967185861</v>
      </c>
      <c r="T19" s="87">
        <f t="shared" si="2"/>
        <v>5.1921564632751522</v>
      </c>
      <c r="U19" s="87">
        <f t="shared" si="2"/>
        <v>5.1916025115854634</v>
      </c>
      <c r="V19" s="87">
        <f t="shared" si="2"/>
        <v>5.1929967516805773</v>
      </c>
      <c r="W19" s="87">
        <f t="shared" si="2"/>
        <v>5.1963212288101186</v>
      </c>
      <c r="X19" s="87">
        <f t="shared" si="2"/>
        <v>5.2015904253886589</v>
      </c>
      <c r="Y19" s="87">
        <f t="shared" si="2"/>
        <v>5.2088517323423176</v>
      </c>
      <c r="Z19" s="87">
        <f t="shared" si="2"/>
        <v>5.2181870105772772</v>
      </c>
      <c r="AA19" s="87">
        <f t="shared" si="2"/>
        <v>5.2297153137214112</v>
      </c>
      <c r="AB19" s="87">
        <f t="shared" si="2"/>
        <v>5.2435968962723027</v>
      </c>
      <c r="AC19" s="87">
        <f t="shared" si="2"/>
        <v>5.2600386877673362</v>
      </c>
      <c r="AD19" s="87">
        <f t="shared" si="2"/>
        <v>5.2793014721096014</v>
      </c>
      <c r="AE19" s="87">
        <f t="shared" si="2"/>
        <v>5.3017090643535356</v>
      </c>
      <c r="AF19" s="87">
        <f t="shared" si="2"/>
        <v>5.3276598038938721</v>
      </c>
      <c r="AG19" s="87">
        <f t="shared" si="2"/>
        <v>5.3576406313332416</v>
      </c>
      <c r="AH19" s="87">
        <f t="shared" si="2"/>
        <v>5.3922437706799871</v>
      </c>
      <c r="AI19" s="87">
        <f t="shared" si="3"/>
        <v>5.4321853611017046</v>
      </c>
      <c r="AJ19" s="87">
        <f t="shared" si="3"/>
        <v>5.4783238344988066</v>
      </c>
      <c r="AK19" s="87">
        <f t="shared" si="3"/>
        <v>5.531672746649015</v>
      </c>
      <c r="AL19" s="87">
        <f t="shared" si="3"/>
        <v>5.5933975107970966</v>
      </c>
      <c r="AM19" s="87">
        <f t="shared" si="3"/>
        <v>5.6647786120081989</v>
      </c>
      <c r="AN19" s="87">
        <f t="shared" si="3"/>
        <v>5.7471197041626745</v>
      </c>
      <c r="AO19" s="87">
        <f t="shared" si="3"/>
        <v>5.8415878494824272</v>
      </c>
      <c r="AP19" s="87">
        <f t="shared" si="3"/>
        <v>5.9490060525546493</v>
      </c>
      <c r="AR19" s="87">
        <f t="shared" si="6"/>
        <v>0</v>
      </c>
    </row>
    <row r="20" spans="1:44" x14ac:dyDescent="0.2">
      <c r="A20" s="87">
        <f t="shared" si="4"/>
        <v>0.37500000000000006</v>
      </c>
      <c r="B20" s="87">
        <f t="shared" si="5"/>
        <v>5.8719401736462284</v>
      </c>
      <c r="C20" s="87">
        <f t="shared" si="1"/>
        <v>5.7668885714988498</v>
      </c>
      <c r="D20" s="87">
        <f t="shared" si="1"/>
        <v>5.6746955378467057</v>
      </c>
      <c r="E20" s="87">
        <f t="shared" si="1"/>
        <v>5.5946298203809892</v>
      </c>
      <c r="F20" s="87">
        <f t="shared" si="1"/>
        <v>5.5256320197150535</v>
      </c>
      <c r="G20" s="87">
        <f t="shared" si="1"/>
        <v>5.4664868948235821</v>
      </c>
      <c r="H20" s="87">
        <f t="shared" si="1"/>
        <v>5.4159668755131527</v>
      </c>
      <c r="I20" s="87">
        <f t="shared" si="1"/>
        <v>5.37292480446947</v>
      </c>
      <c r="J20" s="87">
        <f t="shared" si="1"/>
        <v>5.3363399251856229</v>
      </c>
      <c r="K20" s="87">
        <f t="shared" si="1"/>
        <v>5.3053315574550624</v>
      </c>
      <c r="L20" s="87">
        <f t="shared" si="1"/>
        <v>5.2791545221677154</v>
      </c>
      <c r="M20" s="87">
        <f t="shared" si="1"/>
        <v>5.2571861813380378</v>
      </c>
      <c r="N20" s="87">
        <f t="shared" si="1"/>
        <v>5.2389108681077472</v>
      </c>
      <c r="O20" s="87">
        <f t="shared" si="1"/>
        <v>5.223904653357768</v>
      </c>
      <c r="P20" s="87">
        <f t="shared" si="1"/>
        <v>5.2118217409999934</v>
      </c>
      <c r="Q20" s="87">
        <f t="shared" si="1"/>
        <v>5.2023829167329332</v>
      </c>
      <c r="R20" s="87">
        <f t="shared" ref="R20:AG35" si="7">wa*SQRT((xa-x)^2+(ya-y)^2)+wb*SQRT((xb-x)^2+(yb-y)^2)+wc*SQRT((xc-x)^2+(yc-y)^2)+wd*SQRT((xd-x)^2+(yd-y)^2)</f>
        <v>5.1953660635516279</v>
      </c>
      <c r="S20" s="87">
        <f t="shared" si="2"/>
        <v>5.190598587897874</v>
      </c>
      <c r="T20" s="87">
        <f t="shared" si="2"/>
        <v>5.1879515518205856</v>
      </c>
      <c r="U20" s="87">
        <f t="shared" si="2"/>
        <v>5.1873353149705101</v>
      </c>
      <c r="V20" s="87">
        <f t="shared" si="2"/>
        <v>5.1886965236505826</v>
      </c>
      <c r="W20" s="87">
        <f t="shared" si="2"/>
        <v>5.1920163272334161</v>
      </c>
      <c r="X20" s="87">
        <f t="shared" si="2"/>
        <v>5.1973097483164334</v>
      </c>
      <c r="Y20" s="87">
        <f t="shared" si="2"/>
        <v>5.204626179474733</v>
      </c>
      <c r="Z20" s="87">
        <f t="shared" si="2"/>
        <v>5.2140510257373496</v>
      </c>
      <c r="AA20" s="87">
        <f t="shared" si="2"/>
        <v>5.225708557835504</v>
      </c>
      <c r="AB20" s="87">
        <f t="shared" si="2"/>
        <v>5.2397660862029962</v>
      </c>
      <c r="AC20" s="87">
        <f t="shared" si="2"/>
        <v>5.2564396071542694</v>
      </c>
      <c r="AD20" s="87">
        <f t="shared" si="2"/>
        <v>5.2760011040657142</v>
      </c>
      <c r="AE20" s="87">
        <f t="shared" si="2"/>
        <v>5.298787692952553</v>
      </c>
      <c r="AF20" s="87">
        <f t="shared" si="2"/>
        <v>5.3252127526480475</v>
      </c>
      <c r="AG20" s="87">
        <f t="shared" si="2"/>
        <v>5.3557790133394976</v>
      </c>
      <c r="AH20" s="87">
        <f t="shared" ref="AH20:AP35" si="8">wa*SQRT((xa-x)^2+(ya-y)^2)+wb*SQRT((xb-x)^2+(yb-y)^2)+wc*SQRT((xc-x)^2+(yc-y)^2)+wd*SQRT((xd-x)^2+(yd-y)^2)</f>
        <v>5.39109317708402</v>
      </c>
      <c r="AI20" s="87">
        <f t="shared" si="3"/>
        <v>5.4318808051037051</v>
      </c>
      <c r="AJ20" s="87">
        <f t="shared" si="3"/>
        <v>5.4789986114155491</v>
      </c>
      <c r="AK20" s="87">
        <f t="shared" si="3"/>
        <v>5.5334385809974105</v>
      </c>
      <c r="AL20" s="87">
        <f t="shared" si="3"/>
        <v>5.5963143997560394</v>
      </c>
      <c r="AM20" s="87">
        <f t="shared" si="3"/>
        <v>5.6688166607592994</v>
      </c>
      <c r="AN20" s="87">
        <f t="shared" si="3"/>
        <v>5.7521229715107038</v>
      </c>
      <c r="AO20" s="87">
        <f t="shared" si="3"/>
        <v>5.8472591562723784</v>
      </c>
      <c r="AP20" s="87">
        <f t="shared" si="3"/>
        <v>5.9549328023718537</v>
      </c>
      <c r="AR20" s="87">
        <f t="shared" si="6"/>
        <v>0</v>
      </c>
    </row>
    <row r="21" spans="1:44" x14ac:dyDescent="0.2">
      <c r="A21" s="87">
        <f t="shared" si="4"/>
        <v>0.40000000000000008</v>
      </c>
      <c r="B21" s="87">
        <f t="shared" si="5"/>
        <v>5.8795514488503589</v>
      </c>
      <c r="C21" s="87">
        <f t="shared" ref="C21:Q21" si="9">wa*SQRT((xa-x)^2+(ya-y)^2)+wb*SQRT((xb-x)^2+(yb-y)^2)+wc*SQRT((xc-x)^2+(yc-y)^2)+wd*SQRT((xd-x)^2+(yd-y)^2)</f>
        <v>5.7742865041213527</v>
      </c>
      <c r="D21" s="87">
        <f t="shared" si="9"/>
        <v>5.6815248160685217</v>
      </c>
      <c r="E21" s="87">
        <f t="shared" si="9"/>
        <v>5.6006252505264555</v>
      </c>
      <c r="F21" s="87">
        <f t="shared" si="9"/>
        <v>5.5306420409557973</v>
      </c>
      <c r="G21" s="87">
        <f t="shared" si="9"/>
        <v>5.4704657256459326</v>
      </c>
      <c r="H21" s="87">
        <f t="shared" si="9"/>
        <v>5.4189484265364189</v>
      </c>
      <c r="I21" s="87">
        <f t="shared" si="9"/>
        <v>5.3749925184654765</v>
      </c>
      <c r="J21" s="87">
        <f t="shared" si="9"/>
        <v>5.3376012531589598</v>
      </c>
      <c r="K21" s="87">
        <f t="shared" si="9"/>
        <v>5.3059000250936226</v>
      </c>
      <c r="L21" s="87">
        <f t="shared" si="9"/>
        <v>5.2791388922982545</v>
      </c>
      <c r="M21" s="87">
        <f t="shared" si="9"/>
        <v>5.2566849361360219</v>
      </c>
      <c r="N21" s="87">
        <f t="shared" si="9"/>
        <v>5.2380101741848506</v>
      </c>
      <c r="O21" s="87">
        <f t="shared" si="9"/>
        <v>5.2226783729268345</v>
      </c>
      <c r="P21" s="87">
        <f t="shared" si="9"/>
        <v>5.2103325142128352</v>
      </c>
      <c r="Q21" s="87">
        <f t="shared" si="9"/>
        <v>5.2006837152940015</v>
      </c>
      <c r="R21" s="87">
        <f t="shared" si="7"/>
        <v>5.193501877637317</v>
      </c>
      <c r="S21" s="87">
        <f t="shared" si="7"/>
        <v>5.1886080758804702</v>
      </c>
      <c r="T21" s="87">
        <f t="shared" si="7"/>
        <v>5.1858685828893893</v>
      </c>
      <c r="U21" s="87">
        <f t="shared" si="7"/>
        <v>5.1851903921288294</v>
      </c>
      <c r="V21" s="87">
        <f t="shared" si="7"/>
        <v>5.1865181057194079</v>
      </c>
      <c r="W21" s="87">
        <f t="shared" si="7"/>
        <v>5.1898320844442196</v>
      </c>
      <c r="X21" s="87">
        <f t="shared" si="7"/>
        <v>5.1951477934340069</v>
      </c>
      <c r="Y21" s="87">
        <f t="shared" si="7"/>
        <v>5.2025163186197609</v>
      </c>
      <c r="Z21" s="87">
        <f t="shared" si="7"/>
        <v>5.2120260712906887</v>
      </c>
      <c r="AA21" s="87">
        <f t="shared" si="7"/>
        <v>5.2238057390360346</v>
      </c>
      <c r="AB21" s="87">
        <f t="shared" si="7"/>
        <v>5.2380285780150206</v>
      </c>
      <c r="AC21" s="87">
        <f t="shared" si="7"/>
        <v>5.2549181683222939</v>
      </c>
      <c r="AD21" s="87">
        <f t="shared" si="7"/>
        <v>5.2747557603230151</v>
      </c>
      <c r="AE21" s="87">
        <f t="shared" si="7"/>
        <v>5.29788930464664</v>
      </c>
      <c r="AF21" s="87">
        <f t="shared" si="7"/>
        <v>5.3247441445923904</v>
      </c>
      <c r="AG21" s="87">
        <f t="shared" si="7"/>
        <v>5.3558350916145514</v>
      </c>
      <c r="AH21" s="87">
        <f t="shared" si="8"/>
        <v>5.3917790944238506</v>
      </c>
      <c r="AI21" s="87">
        <f t="shared" si="8"/>
        <v>5.4333067881653898</v>
      </c>
      <c r="AJ21" s="87">
        <f t="shared" si="8"/>
        <v>5.4812696725192849</v>
      </c>
      <c r="AK21" s="87">
        <f t="shared" si="8"/>
        <v>5.536637388170873</v>
      </c>
      <c r="AL21" s="87">
        <f t="shared" si="8"/>
        <v>5.60047680575373</v>
      </c>
      <c r="AM21" s="87">
        <f t="shared" si="8"/>
        <v>5.6739027073169019</v>
      </c>
      <c r="AN21" s="87">
        <f t="shared" si="8"/>
        <v>5.757991727135173</v>
      </c>
      <c r="AO21" s="87">
        <f t="shared" si="8"/>
        <v>5.8536610059375809</v>
      </c>
      <c r="AP21" s="87">
        <f t="shared" si="8"/>
        <v>5.9615318391222161</v>
      </c>
      <c r="AR21" s="87">
        <f t="shared" si="6"/>
        <v>0</v>
      </c>
    </row>
    <row r="22" spans="1:44" x14ac:dyDescent="0.2">
      <c r="A22" s="87">
        <f t="shared" si="4"/>
        <v>0.4250000000000001</v>
      </c>
      <c r="B22" s="87">
        <f t="shared" ref="B22:Q37" si="10">wa*SQRT((xa-x)^2+(ya-y)^2)+wb*SQRT((xb-x)^2+(yb-y)^2)+wc*SQRT((xc-x)^2+(yc-y)^2)+wd*SQRT((xd-x)^2+(yd-y)^2)</f>
        <v>5.8878203521426808</v>
      </c>
      <c r="C22" s="87">
        <f t="shared" si="10"/>
        <v>5.7823954448277206</v>
      </c>
      <c r="D22" s="87">
        <f t="shared" si="10"/>
        <v>5.6891886114081878</v>
      </c>
      <c r="E22" s="87">
        <f t="shared" si="10"/>
        <v>5.6076252759953897</v>
      </c>
      <c r="F22" s="87">
        <f t="shared" si="10"/>
        <v>5.5368455873244926</v>
      </c>
      <c r="G22" s="87">
        <f t="shared" si="10"/>
        <v>5.4758227610887635</v>
      </c>
      <c r="H22" s="87">
        <f t="shared" si="10"/>
        <v>5.4234739387673239</v>
      </c>
      <c r="I22" s="87">
        <f t="shared" si="10"/>
        <v>5.3787443235351553</v>
      </c>
      <c r="J22" s="87">
        <f t="shared" si="10"/>
        <v>5.3406600902168462</v>
      </c>
      <c r="K22" s="87">
        <f t="shared" si="10"/>
        <v>5.3083548081319076</v>
      </c>
      <c r="L22" s="87">
        <f t="shared" si="10"/>
        <v>5.2810772734625466</v>
      </c>
      <c r="M22" s="87">
        <f t="shared" si="10"/>
        <v>5.2581881101125365</v>
      </c>
      <c r="N22" s="87">
        <f t="shared" si="10"/>
        <v>5.2391506081532633</v>
      </c>
      <c r="O22" s="87">
        <f t="shared" si="10"/>
        <v>5.2235193463548812</v>
      </c>
      <c r="P22" s="87">
        <f t="shared" si="10"/>
        <v>5.2109286682450584</v>
      </c>
      <c r="Q22" s="87">
        <f t="shared" si="10"/>
        <v>5.2010820959456581</v>
      </c>
      <c r="R22" s="87">
        <f t="shared" si="7"/>
        <v>5.1937431682302071</v>
      </c>
      <c r="S22" s="87">
        <f t="shared" si="7"/>
        <v>5.1887278553226732</v>
      </c>
      <c r="T22" s="87">
        <f t="shared" si="7"/>
        <v>5.1858985343786514</v>
      </c>
      <c r="U22" s="87">
        <f t="shared" si="7"/>
        <v>5.1851594388177826</v>
      </c>
      <c r="V22" s="87">
        <f t="shared" si="7"/>
        <v>5.1864534791152117</v>
      </c>
      <c r="W22" s="87">
        <f t="shared" si="7"/>
        <v>5.1897603468725819</v>
      </c>
      <c r="X22" s="87">
        <f t="shared" si="7"/>
        <v>5.1950958433605194</v>
      </c>
      <c r="Y22" s="87">
        <f t="shared" si="7"/>
        <v>5.2025124099769986</v>
      </c>
      <c r="Z22" s="87">
        <f t="shared" si="7"/>
        <v>5.2121008761825944</v>
      </c>
      <c r="AA22" s="87">
        <f t="shared" si="7"/>
        <v>5.2239934764542957</v>
      </c>
      <c r="AB22" s="87">
        <f t="shared" si="7"/>
        <v>5.2383682166926109</v>
      </c>
      <c r="AC22" s="87">
        <f t="shared" si="7"/>
        <v>5.2554546842109495</v>
      </c>
      <c r="AD22" s="87">
        <f t="shared" si="7"/>
        <v>5.2755413796706296</v>
      </c>
      <c r="AE22" s="87">
        <f t="shared" si="7"/>
        <v>5.2989845793577004</v>
      </c>
      <c r="AF22" s="87">
        <f t="shared" si="7"/>
        <v>5.3262185707298757</v>
      </c>
      <c r="AG22" s="87">
        <f t="shared" si="7"/>
        <v>5.3577667779262867</v>
      </c>
      <c r="AH22" s="87">
        <f t="shared" si="8"/>
        <v>5.3942527120477415</v>
      </c>
      <c r="AI22" s="87">
        <f t="shared" si="8"/>
        <v>5.4364087251601685</v>
      </c>
      <c r="AJ22" s="87">
        <f t="shared" si="8"/>
        <v>5.4850791182533438</v>
      </c>
      <c r="AK22" s="87">
        <f t="shared" si="8"/>
        <v>5.54121229975188</v>
      </c>
      <c r="AL22" s="87">
        <f t="shared" si="8"/>
        <v>5.6058348782303336</v>
      </c>
      <c r="AM22" s="87">
        <f t="shared" si="8"/>
        <v>5.6800000768873815</v>
      </c>
      <c r="AN22" s="87">
        <f t="shared" si="8"/>
        <v>5.7647059372746607</v>
      </c>
      <c r="AO22" s="87">
        <f t="shared" si="8"/>
        <v>5.8607877309232785</v>
      </c>
      <c r="AP22" s="87">
        <f t="shared" si="8"/>
        <v>5.9688032357956438</v>
      </c>
      <c r="AR22" s="87">
        <f t="shared" si="6"/>
        <v>1</v>
      </c>
    </row>
    <row r="23" spans="1:44" x14ac:dyDescent="0.2">
      <c r="A23" s="87">
        <f t="shared" si="4"/>
        <v>0.45000000000000012</v>
      </c>
      <c r="B23" s="87">
        <f t="shared" si="10"/>
        <v>5.8967468512691532</v>
      </c>
      <c r="C23" s="87">
        <f t="shared" si="10"/>
        <v>5.7912109991237539</v>
      </c>
      <c r="D23" s="87">
        <f t="shared" si="10"/>
        <v>5.6976714343971278</v>
      </c>
      <c r="E23" s="87">
        <f t="shared" si="10"/>
        <v>5.615601104701315</v>
      </c>
      <c r="F23" s="87">
        <f t="shared" si="10"/>
        <v>5.544202710615421</v>
      </c>
      <c r="G23" s="87">
        <f t="shared" si="10"/>
        <v>5.4825113959278102</v>
      </c>
      <c r="H23" s="87">
        <f t="shared" si="10"/>
        <v>5.4294948774680716</v>
      </c>
      <c r="I23" s="87">
        <f t="shared" si="10"/>
        <v>5.3841334444981106</v>
      </c>
      <c r="J23" s="87">
        <f t="shared" si="10"/>
        <v>5.3454737090914213</v>
      </c>
      <c r="K23" s="87">
        <f t="shared" si="10"/>
        <v>5.3126582905630695</v>
      </c>
      <c r="L23" s="87">
        <f t="shared" si="10"/>
        <v>5.2849373606480041</v>
      </c>
      <c r="M23" s="87">
        <f t="shared" si="10"/>
        <v>5.2616683920616047</v>
      </c>
      <c r="N23" s="87">
        <f t="shared" si="10"/>
        <v>5.2423092775349751</v>
      </c>
      <c r="O23" s="87">
        <f t="shared" si="10"/>
        <v>5.2264084335129759</v>
      </c>
      <c r="P23" s="87">
        <f t="shared" si="10"/>
        <v>5.213594152027035</v>
      </c>
      <c r="Q23" s="87">
        <f t="shared" si="10"/>
        <v>5.2035644821940883</v>
      </c>
      <c r="R23" s="87">
        <f t="shared" si="7"/>
        <v>5.1960782836999995</v>
      </c>
      <c r="S23" s="87">
        <f t="shared" si="7"/>
        <v>5.1909477137065432</v>
      </c>
      <c r="T23" s="87">
        <f t="shared" si="7"/>
        <v>5.1880322015630682</v>
      </c>
      <c r="U23" s="87">
        <f t="shared" si="7"/>
        <v>5.1872338675713729</v>
      </c>
      <c r="V23" s="87">
        <f t="shared" si="7"/>
        <v>5.1884943085312889</v>
      </c>
      <c r="W23" s="87">
        <f t="shared" si="7"/>
        <v>5.1917926757612793</v>
      </c>
      <c r="X23" s="87">
        <f t="shared" si="7"/>
        <v>5.1971449936893466</v>
      </c>
      <c r="Y23" s="87">
        <f t="shared" si="7"/>
        <v>5.2046046987285068</v>
      </c>
      <c r="Z23" s="87">
        <f t="shared" si="7"/>
        <v>5.2142644124131667</v>
      </c>
      <c r="AA23" s="87">
        <f t="shared" si="7"/>
        <v>5.2262589942606805</v>
      </c>
      <c r="AB23" s="87">
        <f t="shared" si="7"/>
        <v>5.2407699420452909</v>
      </c>
      <c r="AC23" s="87">
        <f t="shared" si="7"/>
        <v>5.2580312101146598</v>
      </c>
      <c r="AD23" s="87">
        <f t="shared" si="7"/>
        <v>5.2783364833842388</v>
      </c>
      <c r="AE23" s="87">
        <f t="shared" si="7"/>
        <v>5.3020478483061702</v>
      </c>
      <c r="AF23" s="87">
        <f t="shared" si="7"/>
        <v>5.3296055993471496</v>
      </c>
      <c r="AG23" s="87">
        <f t="shared" si="7"/>
        <v>5.3615385473675197</v>
      </c>
      <c r="AH23" s="87">
        <f t="shared" si="8"/>
        <v>5.398473573337415</v>
      </c>
      <c r="AI23" s="87">
        <f t="shared" si="8"/>
        <v>5.4411422157530689</v>
      </c>
      <c r="AJ23" s="87">
        <f t="shared" si="8"/>
        <v>5.4903807698774383</v>
      </c>
      <c r="AK23" s="87">
        <f t="shared" si="8"/>
        <v>5.5471188755733065</v>
      </c>
      <c r="AL23" s="87">
        <f t="shared" si="8"/>
        <v>5.6123504426873296</v>
      </c>
      <c r="AM23" s="87">
        <f t="shared" si="8"/>
        <v>5.6870811860733514</v>
      </c>
      <c r="AN23" s="87">
        <f t="shared" si="8"/>
        <v>5.7722506942027314</v>
      </c>
      <c r="AO23" s="87">
        <f t="shared" si="8"/>
        <v>5.8686350167593613</v>
      </c>
      <c r="AP23" s="87">
        <f t="shared" si="8"/>
        <v>5.9767468512691559</v>
      </c>
      <c r="AR23" s="87">
        <f t="shared" si="6"/>
        <v>0</v>
      </c>
    </row>
    <row r="24" spans="1:44" x14ac:dyDescent="0.2">
      <c r="A24" s="87">
        <f t="shared" si="4"/>
        <v>0.47500000000000014</v>
      </c>
      <c r="B24" s="87">
        <f t="shared" si="10"/>
        <v>5.9063307060625441</v>
      </c>
      <c r="C24" s="87">
        <f t="shared" si="10"/>
        <v>5.8007298387949024</v>
      </c>
      <c r="D24" s="87">
        <f t="shared" si="10"/>
        <v>5.7069620203263307</v>
      </c>
      <c r="E24" s="87">
        <f t="shared" si="10"/>
        <v>5.6245316969226167</v>
      </c>
      <c r="F24" s="87">
        <f t="shared" si="10"/>
        <v>5.5526837955261765</v>
      </c>
      <c r="G24" s="87">
        <f t="shared" si="10"/>
        <v>5.4904964524759698</v>
      </c>
      <c r="H24" s="87">
        <f t="shared" si="10"/>
        <v>5.4369738906224434</v>
      </c>
      <c r="I24" s="87">
        <f t="shared" si="10"/>
        <v>5.391123159859939</v>
      </c>
      <c r="J24" s="87">
        <f t="shared" si="10"/>
        <v>5.3520078845040429</v>
      </c>
      <c r="K24" s="87">
        <f t="shared" si="10"/>
        <v>5.318779720156245</v>
      </c>
      <c r="L24" s="87">
        <f t="shared" si="10"/>
        <v>5.290692184743051</v>
      </c>
      <c r="M24" s="87">
        <f t="shared" si="10"/>
        <v>5.2671024803011512</v>
      </c>
      <c r="N24" s="87">
        <f t="shared" si="10"/>
        <v>5.2474661997305372</v>
      </c>
      <c r="O24" s="87">
        <f t="shared" si="10"/>
        <v>5.2313285213146026</v>
      </c>
      <c r="P24" s="87">
        <f t="shared" si="10"/>
        <v>5.2183142502266104</v>
      </c>
      <c r="Q24" s="87">
        <f t="shared" si="10"/>
        <v>5.2081181041748934</v>
      </c>
      <c r="R24" s="87">
        <f t="shared" si="7"/>
        <v>5.2004959845316119</v>
      </c>
      <c r="S24" s="87">
        <f t="shared" si="7"/>
        <v>5.1952575674234227</v>
      </c>
      <c r="T24" s="87">
        <f t="shared" si="7"/>
        <v>5.1922603186561691</v>
      </c>
      <c r="U24" s="87">
        <f t="shared" si="7"/>
        <v>5.1914049203738442</v>
      </c>
      <c r="V24" s="87">
        <f t="shared" si="7"/>
        <v>5.1926320514920032</v>
      </c>
      <c r="W24" s="87">
        <f t="shared" si="7"/>
        <v>5.195920458766305</v>
      </c>
      <c r="X24" s="87">
        <f t="shared" si="7"/>
        <v>5.2012862723951594</v>
      </c>
      <c r="Y24" s="87">
        <f t="shared" si="7"/>
        <v>5.208783547878693</v>
      </c>
      <c r="Z24" s="87">
        <f t="shared" si="7"/>
        <v>5.2185060468624931</v>
      </c>
      <c r="AA24" s="87">
        <f t="shared" si="7"/>
        <v>5.2305902975150635</v>
      </c>
      <c r="AB24" s="87">
        <f t="shared" si="7"/>
        <v>5.2452199921157217</v>
      </c>
      <c r="AC24" s="87">
        <f t="shared" si="7"/>
        <v>5.2626317747511493</v>
      </c>
      <c r="AD24" s="87">
        <f t="shared" si="7"/>
        <v>5.2831224272778652</v>
      </c>
      <c r="AE24" s="87">
        <f t="shared" si="7"/>
        <v>5.3070573482651158</v>
      </c>
      <c r="AF24" s="87">
        <f t="shared" si="7"/>
        <v>5.3348799940705156</v>
      </c>
      <c r="AG24" s="87">
        <f t="shared" si="7"/>
        <v>5.3671215535198558</v>
      </c>
      <c r="AH24" s="87">
        <f t="shared" si="8"/>
        <v>5.4044094872854815</v>
      </c>
      <c r="AI24" s="87">
        <f t="shared" si="8"/>
        <v>5.44747262472539</v>
      </c>
      <c r="AJ24" s="87">
        <f t="shared" si="8"/>
        <v>5.4971392998451591</v>
      </c>
      <c r="AK24" s="87">
        <f t="shared" si="8"/>
        <v>5.554323753312933</v>
      </c>
      <c r="AL24" s="87">
        <f t="shared" si="8"/>
        <v>5.619995331321725</v>
      </c>
      <c r="AM24" s="87">
        <f t="shared" si="8"/>
        <v>5.6951259505907244</v>
      </c>
      <c r="AN24" s="87">
        <f t="shared" si="8"/>
        <v>5.7806151691360688</v>
      </c>
      <c r="AO24" s="87">
        <f t="shared" si="8"/>
        <v>5.8771995690088579</v>
      </c>
      <c r="AP24" s="87">
        <f t="shared" si="8"/>
        <v>5.9853623313659057</v>
      </c>
      <c r="AR24" s="87">
        <f t="shared" si="6"/>
        <v>0</v>
      </c>
    </row>
    <row r="25" spans="1:44" x14ac:dyDescent="0.2">
      <c r="A25" s="87">
        <f t="shared" si="4"/>
        <v>0.50000000000000011</v>
      </c>
      <c r="B25" s="87">
        <f t="shared" si="10"/>
        <v>5.91657146946031</v>
      </c>
      <c r="C25" s="87">
        <f t="shared" si="10"/>
        <v>5.8109494774971058</v>
      </c>
      <c r="D25" s="87">
        <f t="shared" si="10"/>
        <v>5.7170526077036596</v>
      </c>
      <c r="E25" s="87">
        <f t="shared" si="10"/>
        <v>5.6344026310464548</v>
      </c>
      <c r="F25" s="87">
        <f t="shared" si="10"/>
        <v>5.5622683188985711</v>
      </c>
      <c r="G25" s="87">
        <f t="shared" si="10"/>
        <v>5.4997531231174248</v>
      </c>
      <c r="H25" s="87">
        <f t="shared" si="10"/>
        <v>5.445884079022596</v>
      </c>
      <c r="I25" s="87">
        <f t="shared" si="10"/>
        <v>5.3996864042490431</v>
      </c>
      <c r="J25" s="87">
        <f t="shared" si="10"/>
        <v>5.3602367570719682</v>
      </c>
      <c r="K25" s="87">
        <f t="shared" si="10"/>
        <v>5.3266952447586977</v>
      </c>
      <c r="L25" s="87">
        <f t="shared" si="10"/>
        <v>5.2983202449820235</v>
      </c>
      <c r="M25" s="87">
        <f t="shared" si="10"/>
        <v>5.2744712573508572</v>
      </c>
      <c r="N25" s="87">
        <f t="shared" si="10"/>
        <v>5.2546044857213197</v>
      </c>
      <c r="O25" s="87">
        <f t="shared" si="10"/>
        <v>5.2382646985998988</v>
      </c>
      <c r="P25" s="87">
        <f t="shared" si="10"/>
        <v>5.2250757415073652</v>
      </c>
      <c r="Q25" s="87">
        <f t="shared" si="10"/>
        <v>5.2147311384374335</v>
      </c>
      <c r="R25" s="87">
        <f t="shared" si="7"/>
        <v>5.2069855660333015</v>
      </c>
      <c r="S25" s="87">
        <f t="shared" si="7"/>
        <v>5.201647570406057</v>
      </c>
      <c r="T25" s="87">
        <f t="shared" si="7"/>
        <v>5.1985736570586969</v>
      </c>
      <c r="U25" s="87">
        <f t="shared" si="7"/>
        <v>5.1976637604570985</v>
      </c>
      <c r="V25" s="87">
        <f t="shared" si="7"/>
        <v>5.1988580476870112</v>
      </c>
      <c r="W25" s="87">
        <f t="shared" si="7"/>
        <v>5.2021350008212037</v>
      </c>
      <c r="X25" s="87">
        <f t="shared" si="7"/>
        <v>5.2075107362217343</v>
      </c>
      <c r="Y25" s="87">
        <f t="shared" si="7"/>
        <v>5.2150395441176887</v>
      </c>
      <c r="Z25" s="87">
        <f t="shared" si="7"/>
        <v>5.2248156603730198</v>
      </c>
      <c r="AA25" s="87">
        <f t="shared" si="7"/>
        <v>5.2369763075833156</v>
      </c>
      <c r="AB25" s="87">
        <f t="shared" si="7"/>
        <v>5.2517060565580724</v>
      </c>
      <c r="AC25" s="87">
        <f t="shared" si="7"/>
        <v>5.2692425501771964</v>
      </c>
      <c r="AD25" s="87">
        <f t="shared" si="7"/>
        <v>5.2898835810783789</v>
      </c>
      <c r="AE25" s="87">
        <f t="shared" si="7"/>
        <v>5.3139953937334505</v>
      </c>
      <c r="AF25" s="87">
        <f t="shared" si="7"/>
        <v>5.3420218474269054</v>
      </c>
      <c r="AG25" s="87">
        <f t="shared" si="7"/>
        <v>5.3744936720155252</v>
      </c>
      <c r="AH25" s="87">
        <f t="shared" si="8"/>
        <v>5.4120364089560056</v>
      </c>
      <c r="AI25" s="87">
        <f t="shared" si="8"/>
        <v>5.4553747134575437</v>
      </c>
      <c r="AJ25" s="87">
        <f t="shared" si="8"/>
        <v>5.5053295452817173</v>
      </c>
      <c r="AK25" s="87">
        <f t="shared" si="8"/>
        <v>5.5628036470146842</v>
      </c>
      <c r="AL25" s="87">
        <f t="shared" si="8"/>
        <v>5.6287502033242474</v>
      </c>
      <c r="AM25" s="87">
        <f t="shared" si="8"/>
        <v>5.7041207042578632</v>
      </c>
      <c r="AN25" s="87">
        <f t="shared" si="8"/>
        <v>5.7897919236576403</v>
      </c>
      <c r="AO25" s="87">
        <f t="shared" si="8"/>
        <v>5.8864788991402932</v>
      </c>
      <c r="AP25" s="87">
        <f t="shared" si="8"/>
        <v>5.9946491101007542</v>
      </c>
      <c r="AR25" s="87">
        <f t="shared" si="6"/>
        <v>0</v>
      </c>
    </row>
    <row r="26" spans="1:44" x14ac:dyDescent="0.2">
      <c r="A26" s="87">
        <f t="shared" si="4"/>
        <v>0.52500000000000013</v>
      </c>
      <c r="B26" s="87">
        <f t="shared" si="10"/>
        <v>5.9274684886949593</v>
      </c>
      <c r="C26" s="87">
        <f t="shared" si="10"/>
        <v>5.8218681364376241</v>
      </c>
      <c r="D26" s="87">
        <f t="shared" si="10"/>
        <v>5.7279384975759466</v>
      </c>
      <c r="E26" s="87">
        <f t="shared" si="10"/>
        <v>5.6452053916825253</v>
      </c>
      <c r="F26" s="87">
        <f t="shared" si="10"/>
        <v>5.5729440428960979</v>
      </c>
      <c r="G26" s="87">
        <f t="shared" si="10"/>
        <v>5.5102662512944844</v>
      </c>
      <c r="H26" s="87">
        <f t="shared" si="10"/>
        <v>5.4562084695072706</v>
      </c>
      <c r="I26" s="87">
        <f t="shared" si="10"/>
        <v>5.4098054524779053</v>
      </c>
      <c r="J26" s="87">
        <f t="shared" si="10"/>
        <v>5.3701426937574972</v>
      </c>
      <c r="K26" s="87">
        <f t="shared" si="10"/>
        <v>5.3363878967802814</v>
      </c>
      <c r="L26" s="87">
        <f t="shared" si="10"/>
        <v>5.3078055687533094</v>
      </c>
      <c r="M26" s="87">
        <f t="shared" si="10"/>
        <v>5.2837598883698167</v>
      </c>
      <c r="N26" s="87">
        <f t="shared" si="10"/>
        <v>5.2637104530470715</v>
      </c>
      <c r="O26" s="87">
        <f t="shared" si="10"/>
        <v>5.2472043696117465</v>
      </c>
      <c r="P26" s="87">
        <f t="shared" si="10"/>
        <v>5.2338670054163661</v>
      </c>
      <c r="Q26" s="87">
        <f t="shared" si="10"/>
        <v>5.2233928055372187</v>
      </c>
      <c r="R26" s="87">
        <f t="shared" si="7"/>
        <v>5.2155369464841286</v>
      </c>
      <c r="S26" s="87">
        <f t="shared" si="7"/>
        <v>5.2101081940720677</v>
      </c>
      <c r="T26" s="87">
        <f t="shared" si="7"/>
        <v>5.2069630990387079</v>
      </c>
      <c r="U26" s="87">
        <f t="shared" si="7"/>
        <v>5.2060015419788552</v>
      </c>
      <c r="V26" s="87">
        <f t="shared" si="7"/>
        <v>5.2071635870387301</v>
      </c>
      <c r="W26" s="87">
        <f t="shared" si="7"/>
        <v>5.2104275930229944</v>
      </c>
      <c r="X26" s="87">
        <f t="shared" si="7"/>
        <v>5.2158095427945153</v>
      </c>
      <c r="Y26" s="87">
        <f t="shared" si="7"/>
        <v>5.2233635754641998</v>
      </c>
      <c r="Z26" s="87">
        <f t="shared" si="7"/>
        <v>5.233183732948766</v>
      </c>
      <c r="AA26" s="87">
        <f t="shared" si="7"/>
        <v>5.2454069562929977</v>
      </c>
      <c r="AB26" s="87">
        <f t="shared" si="7"/>
        <v>5.2602173798804168</v>
      </c>
      <c r="AC26" s="87">
        <f t="shared" si="7"/>
        <v>5.2778519618784303</v>
      </c>
      <c r="AD26" s="87">
        <f t="shared" si="7"/>
        <v>5.298607439020846</v>
      </c>
      <c r="AE26" s="87">
        <f t="shared" si="7"/>
        <v>5.3228484751219085</v>
      </c>
      <c r="AF26" s="87">
        <f t="shared" si="7"/>
        <v>5.3510166441298734</v>
      </c>
      <c r="AG26" s="87">
        <f t="shared" si="7"/>
        <v>5.3836394943106978</v>
      </c>
      <c r="AH26" s="87">
        <f t="shared" si="8"/>
        <v>5.421338317396633</v>
      </c>
      <c r="AI26" s="87">
        <f t="shared" si="8"/>
        <v>5.4648323516722108</v>
      </c>
      <c r="AJ26" s="87">
        <f t="shared" si="8"/>
        <v>5.5149360196944421</v>
      </c>
      <c r="AK26" s="87">
        <f t="shared" si="8"/>
        <v>5.5725446748734209</v>
      </c>
      <c r="AL26" s="87">
        <f t="shared" si="8"/>
        <v>5.638603786578293</v>
      </c>
      <c r="AM26" s="87">
        <f t="shared" si="8"/>
        <v>5.7140575276658856</v>
      </c>
      <c r="AN26" s="87">
        <f t="shared" si="8"/>
        <v>5.7997764933570162</v>
      </c>
      <c r="AO26" s="87">
        <f t="shared" si="8"/>
        <v>5.896471197684237</v>
      </c>
      <c r="AP26" s="87">
        <f t="shared" si="8"/>
        <v>6.0046064111037225</v>
      </c>
      <c r="AR26" s="87">
        <f t="shared" si="6"/>
        <v>0</v>
      </c>
    </row>
    <row r="27" spans="1:44" x14ac:dyDescent="0.2">
      <c r="A27" s="87">
        <f t="shared" si="4"/>
        <v>0.55000000000000016</v>
      </c>
      <c r="B27" s="87">
        <f t="shared" si="10"/>
        <v>5.9390209066498993</v>
      </c>
      <c r="C27" s="87">
        <f t="shared" si="10"/>
        <v>5.8334846818020871</v>
      </c>
      <c r="D27" s="87">
        <f t="shared" si="10"/>
        <v>5.7396178420783102</v>
      </c>
      <c r="E27" s="87">
        <f t="shared" si="10"/>
        <v>5.6569370159635941</v>
      </c>
      <c r="F27" s="87">
        <f t="shared" si="10"/>
        <v>5.5847065948047598</v>
      </c>
      <c r="G27" s="87">
        <f t="shared" si="10"/>
        <v>5.522029932845987</v>
      </c>
      <c r="H27" s="87">
        <f t="shared" si="10"/>
        <v>5.4679396967177913</v>
      </c>
      <c r="I27" s="87">
        <f t="shared" si="10"/>
        <v>5.4214717019210248</v>
      </c>
      <c r="J27" s="87">
        <f t="shared" si="10"/>
        <v>5.381716163178246</v>
      </c>
      <c r="K27" s="87">
        <f t="shared" si="10"/>
        <v>5.3478475409063515</v>
      </c>
      <c r="L27" s="87">
        <f t="shared" si="10"/>
        <v>5.3191377092614269</v>
      </c>
      <c r="M27" s="87">
        <f t="shared" si="10"/>
        <v>5.2949578498137226</v>
      </c>
      <c r="N27" s="87">
        <f t="shared" si="10"/>
        <v>5.2747736715658764</v>
      </c>
      <c r="O27" s="87">
        <f t="shared" si="10"/>
        <v>5.2581373076426203</v>
      </c>
      <c r="P27" s="87">
        <f t="shared" si="10"/>
        <v>5.244678078325153</v>
      </c>
      <c r="Q27" s="87">
        <f t="shared" si="10"/>
        <v>5.2340934252199682</v>
      </c>
      <c r="R27" s="87">
        <f t="shared" si="7"/>
        <v>5.2261407201786145</v>
      </c>
      <c r="S27" s="87">
        <f t="shared" si="7"/>
        <v>5.2206302778879392</v>
      </c>
      <c r="T27" s="87">
        <f t="shared" si="7"/>
        <v>5.2174196860944333</v>
      </c>
      <c r="U27" s="87">
        <f t="shared" si="7"/>
        <v>5.21640945681464</v>
      </c>
      <c r="V27" s="87">
        <f t="shared" si="7"/>
        <v>5.2175399557321622</v>
      </c>
      <c r="W27" s="87">
        <f t="shared" si="7"/>
        <v>5.2207895587700364</v>
      </c>
      <c r="X27" s="87">
        <f t="shared" si="7"/>
        <v>5.2261739977013555</v>
      </c>
      <c r="Y27" s="87">
        <f t="shared" si="7"/>
        <v>5.2337468799795577</v>
      </c>
      <c r="Z27" s="87">
        <f t="shared" si="7"/>
        <v>5.2436013944934663</v>
      </c>
      <c r="AA27" s="87">
        <f t="shared" si="7"/>
        <v>5.2558732385443596</v>
      </c>
      <c r="AB27" s="87">
        <f t="shared" si="7"/>
        <v>5.270744814855707</v>
      </c>
      <c r="AC27" s="87">
        <f t="shared" si="7"/>
        <v>5.2884507404133707</v>
      </c>
      <c r="AD27" s="87">
        <f t="shared" si="7"/>
        <v>5.309284664858084</v>
      </c>
      <c r="AE27" s="87">
        <f t="shared" si="7"/>
        <v>5.3336072889448172</v>
      </c>
      <c r="AF27" s="87">
        <f t="shared" si="7"/>
        <v>5.3618552639364827</v>
      </c>
      <c r="AG27" s="87">
        <f t="shared" si="7"/>
        <v>5.3945502859144652</v>
      </c>
      <c r="AH27" s="87">
        <f t="shared" si="8"/>
        <v>5.4323071084848511</v>
      </c>
      <c r="AI27" s="87">
        <f t="shared" si="8"/>
        <v>5.4758383255496428</v>
      </c>
      <c r="AJ27" s="87">
        <f t="shared" si="8"/>
        <v>5.5259526284284668</v>
      </c>
      <c r="AK27" s="87">
        <f t="shared" si="8"/>
        <v>5.5835419995512225</v>
      </c>
      <c r="AL27" s="87">
        <f t="shared" si="8"/>
        <v>5.6495524961515562</v>
      </c>
      <c r="AM27" s="87">
        <f t="shared" si="8"/>
        <v>5.7249339256642111</v>
      </c>
      <c r="AN27" s="87">
        <f t="shared" si="8"/>
        <v>5.8105671945838271</v>
      </c>
      <c r="AO27" s="87">
        <f t="shared" si="8"/>
        <v>5.9071752772058943</v>
      </c>
      <c r="AP27" s="87">
        <f t="shared" si="8"/>
        <v>6.0152332492133604</v>
      </c>
      <c r="AR27" s="87">
        <f t="shared" si="6"/>
        <v>0</v>
      </c>
    </row>
    <row r="28" spans="1:44" x14ac:dyDescent="0.2">
      <c r="A28" s="87">
        <f t="shared" si="4"/>
        <v>0.57500000000000018</v>
      </c>
      <c r="B28" s="87">
        <f t="shared" si="10"/>
        <v>5.9512276633746133</v>
      </c>
      <c r="C28" s="87">
        <f t="shared" si="10"/>
        <v>5.8457986260923782</v>
      </c>
      <c r="D28" s="87">
        <f t="shared" si="10"/>
        <v>5.7520916394719608</v>
      </c>
      <c r="E28" s="87">
        <f t="shared" si="10"/>
        <v>5.6696000681638576</v>
      </c>
      <c r="F28" s="87">
        <f t="shared" si="10"/>
        <v>5.5975594091874648</v>
      </c>
      <c r="G28" s="87">
        <f t="shared" si="10"/>
        <v>5.5350474257695756</v>
      </c>
      <c r="H28" s="87">
        <f t="shared" si="10"/>
        <v>5.4810798927316489</v>
      </c>
      <c r="I28" s="87">
        <f t="shared" si="10"/>
        <v>5.4346855591323049</v>
      </c>
      <c r="J28" s="87">
        <f t="shared" si="10"/>
        <v>5.3949556337935061</v>
      </c>
      <c r="K28" s="87">
        <f t="shared" si="10"/>
        <v>5.3610707924484888</v>
      </c>
      <c r="L28" s="87">
        <f t="shared" si="10"/>
        <v>5.3323116867751272</v>
      </c>
      <c r="M28" s="87">
        <f t="shared" si="10"/>
        <v>5.3080588922655636</v>
      </c>
      <c r="N28" s="87">
        <f t="shared" si="10"/>
        <v>5.2877869444842203</v>
      </c>
      <c r="O28" s="87">
        <f t="shared" si="10"/>
        <v>5.2710556502754748</v>
      </c>
      <c r="P28" s="87">
        <f t="shared" si="10"/>
        <v>5.2575006591343456</v>
      </c>
      <c r="Q28" s="87">
        <f t="shared" si="10"/>
        <v>5.2468244294575515</v>
      </c>
      <c r="R28" s="87">
        <f t="shared" si="7"/>
        <v>5.2387881753579046</v>
      </c>
      <c r="S28" s="87">
        <f t="shared" si="7"/>
        <v>5.2332050503871574</v>
      </c>
      <c r="T28" s="87">
        <f t="shared" si="7"/>
        <v>5.2299346417489607</v>
      </c>
      <c r="U28" s="87">
        <f t="shared" si="7"/>
        <v>5.2288787581711409</v>
      </c>
      <c r="V28" s="87">
        <f t="shared" si="7"/>
        <v>5.2299784599007957</v>
      </c>
      <c r="W28" s="87">
        <f t="shared" si="7"/>
        <v>5.2332122768539238</v>
      </c>
      <c r="X28" s="87">
        <f t="shared" si="7"/>
        <v>5.2385955762772589</v>
      </c>
      <c r="Y28" s="87">
        <f t="shared" si="7"/>
        <v>5.2461810653608421</v>
      </c>
      <c r="Z28" s="87">
        <f t="shared" si="7"/>
        <v>5.2560604410306659</v>
      </c>
      <c r="AA28" s="87">
        <f t="shared" si="7"/>
        <v>5.2683672235580463</v>
      </c>
      <c r="AB28" s="87">
        <f t="shared" si="7"/>
        <v>5.2832808266835096</v>
      </c>
      <c r="AC28" s="87">
        <f t="shared" si="7"/>
        <v>5.3010319158353463</v>
      </c>
      <c r="AD28" s="87">
        <f t="shared" si="7"/>
        <v>5.3219090734760606</v>
      </c>
      <c r="AE28" s="87">
        <f t="shared" si="7"/>
        <v>5.3462667035574984</v>
      </c>
      <c r="AF28" s="87">
        <f t="shared" si="7"/>
        <v>5.3745339292718937</v>
      </c>
      <c r="AG28" s="87">
        <f t="shared" si="7"/>
        <v>5.4072239158690412</v>
      </c>
      <c r="AH28" s="87">
        <f t="shared" si="8"/>
        <v>5.444942510157798</v>
      </c>
      <c r="AI28" s="87">
        <f t="shared" si="8"/>
        <v>5.4883942478627477</v>
      </c>
      <c r="AJ28" s="87">
        <f t="shared" si="8"/>
        <v>5.538382587578182</v>
      </c>
      <c r="AK28" s="87">
        <f t="shared" si="8"/>
        <v>5.5957997703585596</v>
      </c>
      <c r="AL28" s="87">
        <f t="shared" si="8"/>
        <v>5.6616004074362349</v>
      </c>
      <c r="AM28" s="87">
        <f t="shared" si="8"/>
        <v>5.7367528261841443</v>
      </c>
      <c r="AN28" s="87">
        <f t="shared" si="8"/>
        <v>5.8221651333026667</v>
      </c>
      <c r="AO28" s="87">
        <f t="shared" si="8"/>
        <v>5.9185905778354009</v>
      </c>
      <c r="AP28" s="87">
        <f t="shared" si="8"/>
        <v>6.0265284322328982</v>
      </c>
      <c r="AR28" s="87">
        <f t="shared" si="6"/>
        <v>0</v>
      </c>
    </row>
    <row r="29" spans="1:44" x14ac:dyDescent="0.2">
      <c r="A29" s="87">
        <f t="shared" si="4"/>
        <v>0.6000000000000002</v>
      </c>
      <c r="B29" s="87">
        <f t="shared" si="10"/>
        <v>5.9640874977538578</v>
      </c>
      <c r="C29" s="87">
        <f t="shared" si="10"/>
        <v>5.8588101944262574</v>
      </c>
      <c r="D29" s="87">
        <f t="shared" si="10"/>
        <v>5.7653639379190516</v>
      </c>
      <c r="E29" s="87">
        <f t="shared" si="10"/>
        <v>5.6832029435691975</v>
      </c>
      <c r="F29" s="87">
        <f t="shared" si="10"/>
        <v>5.6115140301353339</v>
      </c>
      <c r="G29" s="87">
        <f t="shared" si="10"/>
        <v>5.5493313637044546</v>
      </c>
      <c r="H29" s="87">
        <f t="shared" si="10"/>
        <v>5.4956407795963065</v>
      </c>
      <c r="I29" s="87">
        <f t="shared" si="10"/>
        <v>5.4494564271498858</v>
      </c>
      <c r="J29" s="87">
        <f t="shared" si="10"/>
        <v>5.4098674933541382</v>
      </c>
      <c r="K29" s="87">
        <f t="shared" si="10"/>
        <v>5.3760609063151339</v>
      </c>
      <c r="L29" s="87">
        <f t="shared" si="10"/>
        <v>5.3473278743991424</v>
      </c>
      <c r="M29" s="87">
        <f t="shared" si="10"/>
        <v>5.3230609387644137</v>
      </c>
      <c r="N29" s="87">
        <f t="shared" si="10"/>
        <v>5.3027462259957243</v>
      </c>
      <c r="O29" s="87">
        <f t="shared" si="10"/>
        <v>5.2859538373812045</v>
      </c>
      <c r="P29" s="87">
        <f t="shared" si="10"/>
        <v>5.2723280656638654</v>
      </c>
      <c r="Q29" s="87">
        <f t="shared" si="10"/>
        <v>5.2615783340228877</v>
      </c>
      <c r="R29" s="87">
        <f t="shared" si="7"/>
        <v>5.2534712775171029</v>
      </c>
      <c r="S29" s="87">
        <f t="shared" si="7"/>
        <v>5.2478241209820844</v>
      </c>
      <c r="T29" s="87">
        <f t="shared" si="7"/>
        <v>5.2444993690129058</v>
      </c>
      <c r="U29" s="87">
        <f t="shared" si="7"/>
        <v>5.2434007611963303</v>
      </c>
      <c r="V29" s="87">
        <f t="shared" si="7"/>
        <v>5.2444704271218114</v>
      </c>
      <c r="W29" s="87">
        <f t="shared" si="7"/>
        <v>5.2476871816729584</v>
      </c>
      <c r="X29" s="87">
        <f t="shared" si="7"/>
        <v>5.2530659203116548</v>
      </c>
      <c r="Y29" s="87">
        <f t="shared" si="7"/>
        <v>5.2606580997207359</v>
      </c>
      <c r="Z29" s="87">
        <f t="shared" si="7"/>
        <v>5.2705533168420979</v>
      </c>
      <c r="AA29" s="87">
        <f t="shared" si="7"/>
        <v>5.2828820253614506</v>
      </c>
      <c r="AB29" s="87">
        <f t="shared" si="7"/>
        <v>5.2978194486937831</v>
      </c>
      <c r="AC29" s="87">
        <f t="shared" si="7"/>
        <v>5.3155907558622904</v>
      </c>
      <c r="AD29" s="87">
        <f t="shared" si="7"/>
        <v>5.3364775501831714</v>
      </c>
      <c r="AE29" s="87">
        <f t="shared" si="7"/>
        <v>5.3608256614065404</v>
      </c>
      <c r="AF29" s="87">
        <f t="shared" si="7"/>
        <v>5.3890540981266266</v>
      </c>
      <c r="AG29" s="87">
        <f t="shared" si="7"/>
        <v>5.4216647570081076</v>
      </c>
      <c r="AH29" s="87">
        <f t="shared" si="8"/>
        <v>5.4592520180526733</v>
      </c>
      <c r="AI29" s="87">
        <f t="shared" si="8"/>
        <v>5.5025105665066603</v>
      </c>
      <c r="AJ29" s="87">
        <f t="shared" si="8"/>
        <v>5.5522385418204099</v>
      </c>
      <c r="AK29" s="87">
        <f t="shared" si="8"/>
        <v>5.6093313637044551</v>
      </c>
      <c r="AL29" s="87">
        <f t="shared" si="8"/>
        <v>5.6747595833387026</v>
      </c>
      <c r="AM29" s="87">
        <f t="shared" si="8"/>
        <v>5.7495229030709494</v>
      </c>
      <c r="AN29" s="87">
        <f t="shared" si="8"/>
        <v>5.8345744194934195</v>
      </c>
      <c r="AO29" s="87">
        <f t="shared" si="8"/>
        <v>5.9307172367947949</v>
      </c>
      <c r="AP29" s="87">
        <f t="shared" si="8"/>
        <v>6.0384905628429646</v>
      </c>
      <c r="AR29" s="87">
        <f t="shared" si="6"/>
        <v>0</v>
      </c>
    </row>
    <row r="30" spans="1:44" x14ac:dyDescent="0.2">
      <c r="A30" s="87">
        <f t="shared" si="4"/>
        <v>0.62500000000000022</v>
      </c>
      <c r="B30" s="87">
        <f t="shared" si="10"/>
        <v>5.9775989493264978</v>
      </c>
      <c r="C30" s="87">
        <f t="shared" si="10"/>
        <v>5.8725204661248291</v>
      </c>
      <c r="D30" s="87">
        <f t="shared" si="10"/>
        <v>5.779442275988103</v>
      </c>
      <c r="E30" s="87">
        <f t="shared" si="10"/>
        <v>5.6977605336318762</v>
      </c>
      <c r="F30" s="87">
        <f t="shared" si="10"/>
        <v>5.6265907929350005</v>
      </c>
      <c r="G30" s="87">
        <f t="shared" si="10"/>
        <v>5.5649042749857482</v>
      </c>
      <c r="H30" s="87">
        <f t="shared" si="10"/>
        <v>5.5116439550419143</v>
      </c>
      <c r="I30" s="87">
        <f t="shared" si="10"/>
        <v>5.4658027804139291</v>
      </c>
      <c r="J30" s="87">
        <f t="shared" si="10"/>
        <v>5.4264659785370268</v>
      </c>
      <c r="K30" s="87">
        <f t="shared" si="10"/>
        <v>5.3928276293618627</v>
      </c>
      <c r="L30" s="87">
        <f t="shared" si="10"/>
        <v>5.3641918246734157</v>
      </c>
      <c r="M30" s="87">
        <f t="shared" si="10"/>
        <v>5.3399659174235943</v>
      </c>
      <c r="N30" s="87">
        <f t="shared" si="10"/>
        <v>5.3196504757614083</v>
      </c>
      <c r="O30" s="87">
        <f t="shared" si="10"/>
        <v>5.3028284927847489</v>
      </c>
      <c r="P30" s="87">
        <f t="shared" si="10"/>
        <v>5.2891551428554591</v>
      </c>
      <c r="Q30" s="87">
        <f t="shared" si="10"/>
        <v>5.2783486697040676</v>
      </c>
      <c r="R30" s="87">
        <f t="shared" si="7"/>
        <v>5.2701826190638252</v>
      </c>
      <c r="S30" s="87">
        <f t="shared" si="7"/>
        <v>5.2644794434011128</v>
      </c>
      <c r="T30" s="87">
        <f t="shared" si="7"/>
        <v>5.2611054232260965</v>
      </c>
      <c r="U30" s="87">
        <f t="shared" si="7"/>
        <v>5.2599668212186161</v>
      </c>
      <c r="V30" s="87">
        <f t="shared" si="7"/>
        <v>5.261007186323134</v>
      </c>
      <c r="W30" s="87">
        <f t="shared" si="7"/>
        <v>5.2642057411901453</v>
      </c>
      <c r="X30" s="87">
        <f t="shared" si="7"/>
        <v>5.2695768103684681</v>
      </c>
      <c r="Y30" s="87">
        <f t="shared" si="7"/>
        <v>5.2771702743496318</v>
      </c>
      <c r="Z30" s="87">
        <f t="shared" si="7"/>
        <v>5.2870730634418823</v>
      </c>
      <c r="AA30" s="87">
        <f t="shared" si="7"/>
        <v>5.2994117335265196</v>
      </c>
      <c r="AB30" s="87">
        <f t="shared" si="7"/>
        <v>5.3143561905914103</v>
      </c>
      <c r="AC30" s="87">
        <f t="shared" si="7"/>
        <v>5.3321246485266283</v>
      </c>
      <c r="AD30" s="87">
        <f t="shared" si="7"/>
        <v>5.3529899076658101</v>
      </c>
      <c r="AE30" s="87">
        <f t="shared" si="7"/>
        <v>5.3772870162834181</v>
      </c>
      <c r="AF30" s="87">
        <f t="shared" si="7"/>
        <v>5.4054222981894613</v>
      </c>
      <c r="AG30" s="87">
        <f t="shared" si="7"/>
        <v>5.4378835494267808</v>
      </c>
      <c r="AH30" s="87">
        <f t="shared" si="8"/>
        <v>5.4752508402693962</v>
      </c>
      <c r="AI30" s="87">
        <f t="shared" si="8"/>
        <v>5.5182066584021641</v>
      </c>
      <c r="AJ30" s="87">
        <f t="shared" si="8"/>
        <v>5.5675428719156601</v>
      </c>
      <c r="AK30" s="87">
        <f t="shared" si="8"/>
        <v>5.6241599246118987</v>
      </c>
      <c r="AL30" s="87">
        <f t="shared" si="8"/>
        <v>5.6890507761254412</v>
      </c>
      <c r="AM30" s="87">
        <f t="shared" si="8"/>
        <v>5.7632592562273137</v>
      </c>
      <c r="AN30" s="87">
        <f t="shared" si="8"/>
        <v>5.8478026159300214</v>
      </c>
      <c r="AO30" s="87">
        <f t="shared" si="8"/>
        <v>5.9435562325134956</v>
      </c>
      <c r="AP30" s="87">
        <f t="shared" si="8"/>
        <v>6.0511180406655019</v>
      </c>
      <c r="AR30" s="87">
        <f t="shared" si="6"/>
        <v>0</v>
      </c>
    </row>
    <row r="31" spans="1:44" x14ac:dyDescent="0.2">
      <c r="A31" s="87">
        <f t="shared" si="4"/>
        <v>0.65000000000000024</v>
      </c>
      <c r="B31" s="87">
        <f t="shared" si="10"/>
        <v>5.9917603602503977</v>
      </c>
      <c r="C31" s="87">
        <f t="shared" si="10"/>
        <v>5.8869316137538075</v>
      </c>
      <c r="D31" s="87">
        <f t="shared" si="10"/>
        <v>5.7943384193059071</v>
      </c>
      <c r="E31" s="87">
        <f t="shared" si="10"/>
        <v>5.7132953196445815</v>
      </c>
      <c r="F31" s="87">
        <f t="shared" si="10"/>
        <v>5.6428199260143979</v>
      </c>
      <c r="G31" s="87">
        <f t="shared" si="10"/>
        <v>5.5817994131568156</v>
      </c>
      <c r="H31" s="87">
        <f t="shared" si="10"/>
        <v>5.5291213544229452</v>
      </c>
      <c r="I31" s="87">
        <f t="shared" si="10"/>
        <v>5.4837523033655042</v>
      </c>
      <c r="J31" s="87">
        <f t="shared" si="10"/>
        <v>5.4447730939118015</v>
      </c>
      <c r="K31" s="87">
        <f t="shared" si="10"/>
        <v>5.4113870018797776</v>
      </c>
      <c r="L31" s="87">
        <f t="shared" si="10"/>
        <v>5.3829140290297861</v>
      </c>
      <c r="M31" s="87">
        <f t="shared" si="10"/>
        <v>5.3587795249071188</v>
      </c>
      <c r="N31" s="87">
        <f t="shared" si="10"/>
        <v>5.3385014495693826</v>
      </c>
      <c r="O31" s="87">
        <f t="shared" si="10"/>
        <v>5.3216782503825169</v>
      </c>
      <c r="P31" s="87">
        <f t="shared" si="10"/>
        <v>5.3079781241775148</v>
      </c>
      <c r="Q31" s="87">
        <f t="shared" si="10"/>
        <v>5.2971298746921045</v>
      </c>
      <c r="R31" s="87">
        <f t="shared" si="7"/>
        <v>5.2889153367889126</v>
      </c>
      <c r="S31" s="87">
        <f t="shared" si="7"/>
        <v>5.2831632520653287</v>
      </c>
      <c r="T31" s="87">
        <f t="shared" si="7"/>
        <v>5.2797444614506812</v>
      </c>
      <c r="U31" s="87">
        <f t="shared" si="7"/>
        <v>5.2785682906893436</v>
      </c>
      <c r="V31" s="87">
        <f t="shared" si="7"/>
        <v>5.2795800271389997</v>
      </c>
      <c r="W31" s="87">
        <f t="shared" si="7"/>
        <v>5.2827594136993801</v>
      </c>
      <c r="X31" s="87">
        <f t="shared" si="7"/>
        <v>5.2881201148686472</v>
      </c>
      <c r="Y31" s="87">
        <f t="shared" si="7"/>
        <v>5.2957101397358599</v>
      </c>
      <c r="Z31" s="87">
        <f t="shared" si="7"/>
        <v>5.3056132367884743</v>
      </c>
      <c r="AA31" s="87">
        <f t="shared" si="7"/>
        <v>5.3179513056069334</v>
      </c>
      <c r="AB31" s="87">
        <f t="shared" si="7"/>
        <v>5.3328879005098999</v>
      </c>
      <c r="AC31" s="87">
        <f t="shared" si="7"/>
        <v>5.3506329299242505</v>
      </c>
      <c r="AD31" s="87">
        <f t="shared" si="7"/>
        <v>5.3714486797391645</v>
      </c>
      <c r="AE31" s="87">
        <f t="shared" si="7"/>
        <v>5.3956573019026557</v>
      </c>
      <c r="AF31" s="87">
        <f t="shared" si="7"/>
        <v>5.4236498939840043</v>
      </c>
      <c r="AG31" s="87">
        <f t="shared" si="7"/>
        <v>5.4558972126975309</v>
      </c>
      <c r="AH31" s="87">
        <f t="shared" si="8"/>
        <v>5.4929618303014704</v>
      </c>
      <c r="AI31" s="87">
        <f t="shared" si="8"/>
        <v>5.5355109849697621</v>
      </c>
      <c r="AJ31" s="87">
        <f t="shared" si="8"/>
        <v>5.5843281753807616</v>
      </c>
      <c r="AK31" s="87">
        <f t="shared" si="8"/>
        <v>5.6403192159768283</v>
      </c>
      <c r="AL31" s="87">
        <f t="shared" si="8"/>
        <v>5.7045045457875831</v>
      </c>
      <c r="AM31" s="87">
        <f t="shared" si="8"/>
        <v>5.7779845172399042</v>
      </c>
      <c r="AN31" s="87">
        <f t="shared" si="8"/>
        <v>5.8618614813511094</v>
      </c>
      <c r="AO31" s="87">
        <f t="shared" si="8"/>
        <v>5.9571096256832679</v>
      </c>
      <c r="AP31" s="87">
        <f t="shared" si="8"/>
        <v>6.0644090644744644</v>
      </c>
      <c r="AR31" s="87">
        <f t="shared" si="6"/>
        <v>0</v>
      </c>
    </row>
    <row r="32" spans="1:44" x14ac:dyDescent="0.2">
      <c r="A32" s="87">
        <f t="shared" si="4"/>
        <v>0.67500000000000027</v>
      </c>
      <c r="B32" s="87">
        <f t="shared" si="10"/>
        <v>6.0065698774107332</v>
      </c>
      <c r="C32" s="87">
        <f t="shared" si="10"/>
        <v>5.9020472792955614</v>
      </c>
      <c r="D32" s="87">
        <f t="shared" si="10"/>
        <v>5.8100694963413497</v>
      </c>
      <c r="E32" s="87">
        <f t="shared" si="10"/>
        <v>5.7298390056390351</v>
      </c>
      <c r="F32" s="87">
        <f t="shared" si="10"/>
        <v>5.6602431351734461</v>
      </c>
      <c r="G32" s="87">
        <f t="shared" si="10"/>
        <v>5.6000619037514623</v>
      </c>
      <c r="H32" s="87">
        <f t="shared" si="10"/>
        <v>5.5481158599220519</v>
      </c>
      <c r="I32" s="87">
        <f t="shared" si="10"/>
        <v>5.5033420554165282</v>
      </c>
      <c r="J32" s="87">
        <f t="shared" si="10"/>
        <v>5.4648184890004474</v>
      </c>
      <c r="K32" s="87">
        <f t="shared" si="10"/>
        <v>5.4317610873233075</v>
      </c>
      <c r="L32" s="87">
        <f t="shared" si="10"/>
        <v>5.4035095984661616</v>
      </c>
      <c r="M32" s="87">
        <f t="shared" si="10"/>
        <v>5.3795109156450112</v>
      </c>
      <c r="N32" s="87">
        <f t="shared" si="10"/>
        <v>5.3593034249890517</v>
      </c>
      <c r="O32" s="87">
        <f t="shared" si="10"/>
        <v>5.3425035255877926</v>
      </c>
      <c r="P32" s="87">
        <f t="shared" si="10"/>
        <v>5.328794448002558</v>
      </c>
      <c r="Q32" s="87">
        <f t="shared" si="10"/>
        <v>5.3179171501615521</v>
      </c>
      <c r="R32" s="87">
        <f t="shared" si="7"/>
        <v>5.3096629991094675</v>
      </c>
      <c r="S32" s="87">
        <f t="shared" si="7"/>
        <v>5.3038679731953113</v>
      </c>
      <c r="T32" s="87">
        <f t="shared" si="7"/>
        <v>5.3004081700339185</v>
      </c>
      <c r="U32" s="87">
        <f t="shared" si="7"/>
        <v>5.2991964563256824</v>
      </c>
      <c r="V32" s="87">
        <f t="shared" si="7"/>
        <v>5.3001801401649278</v>
      </c>
      <c r="W32" s="87">
        <f t="shared" si="7"/>
        <v>5.3033395848857481</v>
      </c>
      <c r="X32" s="87">
        <f t="shared" si="7"/>
        <v>5.3086877175296205</v>
      </c>
      <c r="Y32" s="87">
        <f t="shared" si="7"/>
        <v>5.3162704165955539</v>
      </c>
      <c r="Z32" s="87">
        <f t="shared" si="7"/>
        <v>5.3261677946358938</v>
      </c>
      <c r="AA32" s="87">
        <f t="shared" si="7"/>
        <v>5.338496423210902</v>
      </c>
      <c r="AB32" s="87">
        <f t="shared" si="7"/>
        <v>5.3534125825320684</v>
      </c>
      <c r="AC32" s="87">
        <f t="shared" si="7"/>
        <v>5.3711166577934319</v>
      </c>
      <c r="AD32" s="87">
        <f t="shared" si="7"/>
        <v>5.3918588505304292</v>
      </c>
      <c r="AE32" s="87">
        <f t="shared" si="7"/>
        <v>5.4159464264854575</v>
      </c>
      <c r="AF32" s="87">
        <f t="shared" si="7"/>
        <v>5.4437527751731132</v>
      </c>
      <c r="AG32" s="87">
        <f t="shared" si="7"/>
        <v>5.475728585787822</v>
      </c>
      <c r="AH32" s="87">
        <f t="shared" si="8"/>
        <v>5.5124153768683222</v>
      </c>
      <c r="AI32" s="87">
        <f t="shared" si="8"/>
        <v>5.5544612720322002</v>
      </c>
      <c r="AJ32" s="87">
        <f t="shared" si="8"/>
        <v>5.6026378917845197</v>
      </c>
      <c r="AK32" s="87">
        <f t="shared" si="8"/>
        <v>5.6578547810387576</v>
      </c>
      <c r="AL32" s="87">
        <f t="shared" si="8"/>
        <v>5.7211628577074469</v>
      </c>
      <c r="AM32" s="87">
        <f t="shared" si="8"/>
        <v>5.7937304918907273</v>
      </c>
      <c r="AN32" s="87">
        <f t="shared" si="8"/>
        <v>5.876768111438607</v>
      </c>
      <c r="AO32" s="87">
        <f t="shared" si="8"/>
        <v>5.9713809370603439</v>
      </c>
      <c r="AP32" s="87">
        <f t="shared" si="8"/>
        <v>6.0783616345497933</v>
      </c>
      <c r="AR32" s="87">
        <f t="shared" si="6"/>
        <v>0</v>
      </c>
    </row>
    <row r="33" spans="1:44" x14ac:dyDescent="0.2">
      <c r="A33" s="87">
        <f t="shared" si="4"/>
        <v>0.70000000000000029</v>
      </c>
      <c r="B33" s="87">
        <f t="shared" si="10"/>
        <v>6.0220254546698904</v>
      </c>
      <c r="C33" s="87">
        <f t="shared" si="10"/>
        <v>5.9178731555871114</v>
      </c>
      <c r="D33" s="87">
        <f t="shared" si="10"/>
        <v>5.8266597018569684</v>
      </c>
      <c r="E33" s="87">
        <f t="shared" si="10"/>
        <v>5.747434857626077</v>
      </c>
      <c r="F33" s="87">
        <f t="shared" si="10"/>
        <v>5.6789157507463708</v>
      </c>
      <c r="G33" s="87">
        <f t="shared" si="10"/>
        <v>5.6197502019420016</v>
      </c>
      <c r="H33" s="87">
        <f t="shared" si="10"/>
        <v>5.5686820085772943</v>
      </c>
      <c r="I33" s="87">
        <f t="shared" si="10"/>
        <v>5.5246186081196766</v>
      </c>
      <c r="J33" s="87">
        <f t="shared" si="10"/>
        <v>5.486639251184763</v>
      </c>
      <c r="K33" s="87">
        <f t="shared" si="10"/>
        <v>5.45397760337843</v>
      </c>
      <c r="L33" s="87">
        <f t="shared" si="10"/>
        <v>5.4259978510552109</v>
      </c>
      <c r="M33" s="87">
        <f t="shared" si="10"/>
        <v>5.4021723107533965</v>
      </c>
      <c r="N33" s="87">
        <f t="shared" si="10"/>
        <v>5.3820628608369203</v>
      </c>
      <c r="O33" s="87">
        <f t="shared" si="10"/>
        <v>5.3653062333863115</v>
      </c>
      <c r="P33" s="87">
        <f t="shared" si="10"/>
        <v>5.3516025312719409</v>
      </c>
      <c r="Q33" s="87">
        <f t="shared" si="10"/>
        <v>5.3407062816208075</v>
      </c>
      <c r="R33" s="87">
        <f t="shared" si="7"/>
        <v>5.332419465564703</v>
      </c>
      <c r="S33" s="87">
        <f t="shared" si="7"/>
        <v>5.326586112909486</v>
      </c>
      <c r="T33" s="87">
        <f t="shared" si="7"/>
        <v>5.3230881723861767</v>
      </c>
      <c r="U33" s="87">
        <f t="shared" si="7"/>
        <v>5.3218424583495603</v>
      </c>
      <c r="V33" s="87">
        <f t="shared" si="7"/>
        <v>5.3227985399515418</v>
      </c>
      <c r="W33" s="87">
        <f t="shared" si="7"/>
        <v>5.3259374870641496</v>
      </c>
      <c r="X33" s="87">
        <f t="shared" si="7"/>
        <v>5.331271425183246</v>
      </c>
      <c r="Y33" s="87">
        <f t="shared" si="7"/>
        <v>5.3388438841348052</v>
      </c>
      <c r="Z33" s="87">
        <f t="shared" si="7"/>
        <v>5.3487309564482794</v>
      </c>
      <c r="AA33" s="87">
        <f t="shared" si="7"/>
        <v>5.3610433142085725</v>
      </c>
      <c r="AB33" s="87">
        <f t="shared" si="7"/>
        <v>5.3759291718900499</v>
      </c>
      <c r="AC33" s="87">
        <f t="shared" si="7"/>
        <v>5.3935783320786825</v>
      </c>
      <c r="AD33" s="87">
        <f t="shared" si="7"/>
        <v>5.4142275177629493</v>
      </c>
      <c r="AE33" s="87">
        <f t="shared" si="7"/>
        <v>5.4381672871570084</v>
      </c>
      <c r="AF33" s="87">
        <f t="shared" si="7"/>
        <v>5.4657509515062319</v>
      </c>
      <c r="AG33" s="87">
        <f t="shared" si="7"/>
        <v>5.4974060676941727</v>
      </c>
      <c r="AH33" s="87">
        <f t="shared" si="8"/>
        <v>5.5336492084261346</v>
      </c>
      <c r="AI33" s="87">
        <f t="shared" si="8"/>
        <v>5.5751046601581065</v>
      </c>
      <c r="AJ33" s="87">
        <f t="shared" si="8"/>
        <v>5.6225270246022259</v>
      </c>
      <c r="AK33" s="87">
        <f t="shared" si="8"/>
        <v>5.6768254141985608</v>
      </c>
      <c r="AL33" s="87">
        <f t="shared" si="8"/>
        <v>5.7390812408791092</v>
      </c>
      <c r="AM33" s="87">
        <f t="shared" si="8"/>
        <v>5.8105405071921492</v>
      </c>
      <c r="AN33" s="87">
        <f t="shared" si="8"/>
        <v>5.8925466464542255</v>
      </c>
      <c r="AO33" s="87">
        <f t="shared" si="8"/>
        <v>5.9863757302435712</v>
      </c>
      <c r="AP33" s="87">
        <f t="shared" si="8"/>
        <v>6.0929735551719775</v>
      </c>
      <c r="AR33" s="87">
        <f t="shared" si="6"/>
        <v>0</v>
      </c>
    </row>
    <row r="34" spans="1:44" x14ac:dyDescent="0.2">
      <c r="A34" s="87">
        <f t="shared" si="4"/>
        <v>0.72500000000000031</v>
      </c>
      <c r="B34" s="87">
        <f t="shared" si="10"/>
        <v>6.0381248552578679</v>
      </c>
      <c r="C34" s="87">
        <f t="shared" si="10"/>
        <v>5.9344178904239557</v>
      </c>
      <c r="D34" s="87">
        <f t="shared" si="10"/>
        <v>5.8441428402107221</v>
      </c>
      <c r="E34" s="87">
        <f t="shared" si="10"/>
        <v>5.7661409903919782</v>
      </c>
      <c r="F34" s="87">
        <f t="shared" si="10"/>
        <v>5.6989095288868192</v>
      </c>
      <c r="G34" s="87">
        <f t="shared" si="10"/>
        <v>5.6409378300125637</v>
      </c>
      <c r="H34" s="87">
        <f t="shared" si="10"/>
        <v>5.5908867207949307</v>
      </c>
      <c r="I34" s="87">
        <f t="shared" si="10"/>
        <v>5.5476380795516063</v>
      </c>
      <c r="J34" s="87">
        <f t="shared" si="10"/>
        <v>5.5102795610693107</v>
      </c>
      <c r="K34" s="87">
        <f t="shared" si="10"/>
        <v>5.4780694227071614</v>
      </c>
      <c r="L34" s="87">
        <f t="shared" si="10"/>
        <v>5.4504017905087405</v>
      </c>
      <c r="M34" s="87">
        <f t="shared" si="10"/>
        <v>5.4267785207366259</v>
      </c>
      <c r="N34" s="87">
        <f t="shared" si="10"/>
        <v>5.4067879899343279</v>
      </c>
      <c r="O34" s="87">
        <f t="shared" si="10"/>
        <v>5.39008945506915</v>
      </c>
      <c r="P34" s="87">
        <f t="shared" si="10"/>
        <v>5.3764015035003228</v>
      </c>
      <c r="Q34" s="87">
        <f t="shared" si="10"/>
        <v>5.3654934292501313</v>
      </c>
      <c r="R34" s="87">
        <f t="shared" si="7"/>
        <v>5.3571787215882578</v>
      </c>
      <c r="S34" s="87">
        <f t="shared" si="7"/>
        <v>5.3513101250372994</v>
      </c>
      <c r="T34" s="87">
        <f t="shared" si="7"/>
        <v>5.3477759194230341</v>
      </c>
      <c r="U34" s="87">
        <f t="shared" si="7"/>
        <v>5.3464971940867869</v>
      </c>
      <c r="V34" s="87">
        <f t="shared" si="7"/>
        <v>5.3474259729335953</v>
      </c>
      <c r="W34" s="87">
        <f t="shared" si="7"/>
        <v>5.3505441028490752</v>
      </c>
      <c r="X34" s="87">
        <f t="shared" si="7"/>
        <v>5.3558628583976793</v>
      </c>
      <c r="Y34" s="87">
        <f t="shared" si="7"/>
        <v>5.363423248230152</v>
      </c>
      <c r="Z34" s="87">
        <f t="shared" si="7"/>
        <v>5.3732970388480856</v>
      </c>
      <c r="AA34" s="87">
        <f t="shared" si="7"/>
        <v>5.3855885442206608</v>
      </c>
      <c r="AB34" s="87">
        <f t="shared" si="7"/>
        <v>5.4004372708064787</v>
      </c>
      <c r="AC34" s="87">
        <f t="shared" si="7"/>
        <v>5.4180215644373844</v>
      </c>
      <c r="AD34" s="87">
        <f t="shared" si="7"/>
        <v>5.4385634894996704</v>
      </c>
      <c r="AE34" s="87">
        <f t="shared" si="7"/>
        <v>5.4623352981129907</v>
      </c>
      <c r="AF34" s="87">
        <f t="shared" si="7"/>
        <v>5.4896680385319501</v>
      </c>
      <c r="AG34" s="87">
        <f t="shared" si="7"/>
        <v>5.52096312708571</v>
      </c>
      <c r="AH34" s="87">
        <f t="shared" si="8"/>
        <v>5.5567080590180682</v>
      </c>
      <c r="AI34" s="87">
        <f t="shared" si="8"/>
        <v>5.5974977506449397</v>
      </c>
      <c r="AJ34" s="87">
        <f t="shared" si="8"/>
        <v>5.6440628816201244</v>
      </c>
      <c r="AK34" s="87">
        <f t="shared" si="8"/>
        <v>5.6973049095846928</v>
      </c>
      <c r="AL34" s="87">
        <f t="shared" si="8"/>
        <v>5.7583315983472172</v>
      </c>
      <c r="AM34" s="87">
        <f t="shared" si="8"/>
        <v>5.8284727045546445</v>
      </c>
      <c r="AN34" s="87">
        <f t="shared" si="8"/>
        <v>5.9092308179479396</v>
      </c>
      <c r="AO34" s="87">
        <f t="shared" si="8"/>
        <v>6.0021025168964197</v>
      </c>
      <c r="AP34" s="87">
        <f t="shared" si="8"/>
        <v>6.1082424372553934</v>
      </c>
      <c r="AR34" s="87">
        <f t="shared" si="6"/>
        <v>0</v>
      </c>
    </row>
    <row r="35" spans="1:44" x14ac:dyDescent="0.2">
      <c r="A35" s="87">
        <f t="shared" si="4"/>
        <v>0.75000000000000033</v>
      </c>
      <c r="B35" s="87">
        <f t="shared" si="10"/>
        <v>6.0548656543028354</v>
      </c>
      <c r="C35" s="87">
        <f t="shared" si="10"/>
        <v>5.9516945204044642</v>
      </c>
      <c r="D35" s="87">
        <f t="shared" si="10"/>
        <v>5.8625661497398758</v>
      </c>
      <c r="E35" s="87">
        <f t="shared" si="10"/>
        <v>5.7860349376022784</v>
      </c>
      <c r="F35" s="87">
        <f t="shared" si="10"/>
        <v>5.7203161884078195</v>
      </c>
      <c r="G35" s="87">
        <f t="shared" si="10"/>
        <v>5.6637153132722418</v>
      </c>
      <c r="H35" s="87">
        <f t="shared" si="10"/>
        <v>5.6148099278720949</v>
      </c>
      <c r="I35" s="87">
        <f t="shared" si="10"/>
        <v>5.5724659666450984</v>
      </c>
      <c r="J35" s="87">
        <f t="shared" si="10"/>
        <v>5.5357901467923938</v>
      </c>
      <c r="K35" s="87">
        <f t="shared" si="10"/>
        <v>5.5040739090702155</v>
      </c>
      <c r="L35" s="87">
        <f t="shared" si="10"/>
        <v>5.4767474604808939</v>
      </c>
      <c r="M35" s="87">
        <f t="shared" si="10"/>
        <v>5.4533463774341655</v>
      </c>
      <c r="N35" s="87">
        <f t="shared" si="10"/>
        <v>5.4334883460678585</v>
      </c>
      <c r="O35" s="87">
        <f t="shared" si="10"/>
        <v>5.4168570569126162</v>
      </c>
      <c r="P35" s="87">
        <f t="shared" si="10"/>
        <v>5.4031909051138864</v>
      </c>
      <c r="Q35" s="87">
        <f t="shared" si="10"/>
        <v>5.3922748911677729</v>
      </c>
      <c r="R35" s="87">
        <f t="shared" si="7"/>
        <v>5.383934692139813</v>
      </c>
      <c r="S35" s="87">
        <f t="shared" si="7"/>
        <v>5.378032261816303</v>
      </c>
      <c r="T35" s="87">
        <f t="shared" si="7"/>
        <v>5.3744625654926805</v>
      </c>
      <c r="U35" s="87">
        <f t="shared" si="7"/>
        <v>5.3731512085217608</v>
      </c>
      <c r="V35" s="87">
        <f t="shared" si="7"/>
        <v>5.3740528128088307</v>
      </c>
      <c r="W35" s="87">
        <f t="shared" si="7"/>
        <v>5.3771500558400289</v>
      </c>
      <c r="X35" s="87">
        <f t="shared" si="7"/>
        <v>5.3824533277018523</v>
      </c>
      <c r="Y35" s="87">
        <f t="shared" si="7"/>
        <v>5.3900009926612604</v>
      </c>
      <c r="Z35" s="87">
        <f t="shared" si="7"/>
        <v>5.399860270131585</v>
      </c>
      <c r="AA35" s="87">
        <f t="shared" si="7"/>
        <v>5.4121287812643484</v>
      </c>
      <c r="AB35" s="87">
        <f t="shared" si="7"/>
        <v>5.4269368488911978</v>
      </c>
      <c r="AC35" s="87">
        <f t="shared" si="7"/>
        <v>5.4444506998668203</v>
      </c>
      <c r="AD35" s="87">
        <f t="shared" si="7"/>
        <v>5.4648768151584557</v>
      </c>
      <c r="AE35" s="87">
        <f t="shared" si="7"/>
        <v>5.4884678279263923</v>
      </c>
      <c r="AF35" s="87">
        <f t="shared" si="7"/>
        <v>5.5155306186938367</v>
      </c>
      <c r="AG35" s="87">
        <f t="shared" si="7"/>
        <v>5.5464376466474885</v>
      </c>
      <c r="AH35" s="87">
        <f t="shared" si="8"/>
        <v>5.5816431320277546</v>
      </c>
      <c r="AI35" s="87">
        <f t="shared" si="8"/>
        <v>5.621706448053942</v>
      </c>
      <c r="AJ35" s="87">
        <f t="shared" si="8"/>
        <v>5.6673257126988972</v>
      </c>
      <c r="AK35" s="87">
        <f t="shared" si="8"/>
        <v>5.7193840063434367</v>
      </c>
      <c r="AL35" s="87">
        <f t="shared" si="8"/>
        <v>5.7790057516671709</v>
      </c>
      <c r="AM35" s="87">
        <f t="shared" si="8"/>
        <v>5.8476046151387191</v>
      </c>
      <c r="AN35" s="87">
        <f t="shared" si="8"/>
        <v>5.9268677759429007</v>
      </c>
      <c r="AO35" s="87">
        <f t="shared" si="8"/>
        <v>6.0185741915374145</v>
      </c>
      <c r="AP35" s="87">
        <f t="shared" si="8"/>
        <v>6.1241657011193062</v>
      </c>
      <c r="AR35" s="87">
        <f t="shared" si="6"/>
        <v>0</v>
      </c>
    </row>
    <row r="36" spans="1:44" x14ac:dyDescent="0.2">
      <c r="A36" s="87">
        <f t="shared" si="4"/>
        <v>0.77500000000000036</v>
      </c>
      <c r="B36" s="87">
        <f t="shared" si="10"/>
        <v>6.0722452415020882</v>
      </c>
      <c r="C36" s="87">
        <f t="shared" si="10"/>
        <v>5.9697228127574231</v>
      </c>
      <c r="D36" s="87">
        <f t="shared" si="10"/>
        <v>5.8819961304717285</v>
      </c>
      <c r="E36" s="87">
        <f t="shared" si="10"/>
        <v>5.8072199504827049</v>
      </c>
      <c r="F36" s="87">
        <f t="shared" si="10"/>
        <v>5.743251710548356</v>
      </c>
      <c r="G36" s="87">
        <f t="shared" si="10"/>
        <v>5.6881921454971556</v>
      </c>
      <c r="H36" s="87">
        <f t="shared" si="10"/>
        <v>5.6405449192187316</v>
      </c>
      <c r="I36" s="87">
        <f t="shared" si="10"/>
        <v>5.5991766506422671</v>
      </c>
      <c r="J36" s="87">
        <f t="shared" si="10"/>
        <v>5.5632274667753192</v>
      </c>
      <c r="K36" s="87">
        <f t="shared" si="10"/>
        <v>5.5320320552393065</v>
      </c>
      <c r="L36" s="87">
        <f t="shared" si="10"/>
        <v>5.5050631621702077</v>
      </c>
      <c r="M36" s="87">
        <f t="shared" si="10"/>
        <v>5.4818940735431196</v>
      </c>
      <c r="N36" s="87">
        <f t="shared" si="10"/>
        <v>5.4621742283163268</v>
      </c>
      <c r="O36" s="87">
        <f t="shared" si="10"/>
        <v>5.4456132656942469</v>
      </c>
      <c r="P36" s="87">
        <f t="shared" si="10"/>
        <v>5.4319703552438696</v>
      </c>
      <c r="Q36" s="87">
        <f t="shared" si="10"/>
        <v>5.4210468443504016</v>
      </c>
      <c r="R36" s="87">
        <f t="shared" ref="R36:AG45" si="11">wa*SQRT((xa-x)^2+(ya-y)^2)+wb*SQRT((xb-x)^2+(yb-y)^2)+wc*SQRT((xc-x)^2+(yc-y)^2)+wd*SQRT((xd-x)^2+(yd-y)^2)</f>
        <v>5.4126810383395449</v>
      </c>
      <c r="S36" s="87">
        <f t="shared" si="11"/>
        <v>5.4067444110600631</v>
      </c>
      <c r="T36" s="87">
        <f t="shared" si="11"/>
        <v>5.4031388329416403</v>
      </c>
      <c r="U36" s="87">
        <f t="shared" si="11"/>
        <v>5.401794574689319</v>
      </c>
      <c r="V36" s="87">
        <f t="shared" si="11"/>
        <v>5.4026689461531987</v>
      </c>
      <c r="W36" s="87">
        <f t="shared" si="11"/>
        <v>5.4057454911938141</v>
      </c>
      <c r="X36" s="87">
        <f t="shared" si="11"/>
        <v>5.4110336985445313</v>
      </c>
      <c r="Y36" s="87">
        <f t="shared" si="11"/>
        <v>5.4185692169502193</v>
      </c>
      <c r="Z36" s="87">
        <f t="shared" si="11"/>
        <v>5.4284145879504901</v>
      </c>
      <c r="AA36" s="87">
        <f t="shared" si="11"/>
        <v>5.4406605382255089</v>
      </c>
      <c r="AB36" s="87">
        <f t="shared" si="11"/>
        <v>5.455427913146683</v>
      </c>
      <c r="AC36" s="87">
        <f t="shared" si="11"/>
        <v>5.4728703952641773</v>
      </c>
      <c r="AD36" s="87">
        <f t="shared" si="11"/>
        <v>5.4931782538855725</v>
      </c>
      <c r="AE36" s="87">
        <f t="shared" si="11"/>
        <v>5.5165835442585358</v>
      </c>
      <c r="AF36" s="87">
        <f t="shared" si="11"/>
        <v>5.5433674653304816</v>
      </c>
      <c r="AG36" s="87">
        <f t="shared" si="11"/>
        <v>5.5738710685450865</v>
      </c>
      <c r="AH36" s="87">
        <f t="shared" ref="AH36:AP45" si="12">wa*SQRT((xa-x)^2+(ya-y)^2)+wb*SQRT((xb-x)^2+(yb-y)^2)+wc*SQRT((xc-x)^2+(yc-y)^2)+wd*SQRT((xd-x)^2+(yd-y)^2)</f>
        <v>5.6085112914068436</v>
      </c>
      <c r="AI36" s="87">
        <f t="shared" si="12"/>
        <v>5.647805474633703</v>
      </c>
      <c r="AJ36" s="87">
        <f t="shared" si="12"/>
        <v>5.6924090658299127</v>
      </c>
      <c r="AK36" s="87">
        <f t="shared" si="12"/>
        <v>5.7431723620370168</v>
      </c>
      <c r="AL36" s="87">
        <f t="shared" si="12"/>
        <v>5.8012197470507312</v>
      </c>
      <c r="AM36" s="87">
        <f t="shared" si="12"/>
        <v>5.8680394628907599</v>
      </c>
      <c r="AN36" s="87">
        <f t="shared" si="12"/>
        <v>5.9455239189713636</v>
      </c>
      <c r="AO36" s="87">
        <f t="shared" si="12"/>
        <v>6.0358103741786193</v>
      </c>
      <c r="AP36" s="87">
        <f t="shared" si="12"/>
        <v>6.1407405793960983</v>
      </c>
      <c r="AR36" s="87">
        <f t="shared" si="6"/>
        <v>0</v>
      </c>
    </row>
    <row r="37" spans="1:44" x14ac:dyDescent="0.2">
      <c r="A37" s="87">
        <f t="shared" si="4"/>
        <v>0.80000000000000038</v>
      </c>
      <c r="B37" s="87">
        <f t="shared" si="10"/>
        <v>6.0902608239341198</v>
      </c>
      <c r="C37" s="87">
        <f t="shared" si="10"/>
        <v>5.9885332368356821</v>
      </c>
      <c r="D37" s="87">
        <f t="shared" si="10"/>
        <v>5.9025275678760423</v>
      </c>
      <c r="E37" s="87">
        <f t="shared" si="10"/>
        <v>5.8298335650265996</v>
      </c>
      <c r="F37" s="87">
        <f t="shared" si="10"/>
        <v>5.767861287485859</v>
      </c>
      <c r="G37" s="87">
        <f t="shared" si="10"/>
        <v>5.7144984763499123</v>
      </c>
      <c r="H37" s="87">
        <f t="shared" si="10"/>
        <v>5.6681981596739064</v>
      </c>
      <c r="I37" s="87">
        <f t="shared" si="10"/>
        <v>5.6278524287590628</v>
      </c>
      <c r="J37" s="87">
        <f t="shared" si="10"/>
        <v>5.5926525496093369</v>
      </c>
      <c r="K37" s="87">
        <f t="shared" si="10"/>
        <v>5.5619873945964899</v>
      </c>
      <c r="L37" s="87">
        <f t="shared" si="10"/>
        <v>5.535378528583248</v>
      </c>
      <c r="M37" s="87">
        <f t="shared" si="10"/>
        <v>5.5124404125136852</v>
      </c>
      <c r="N37" s="87">
        <f t="shared" si="10"/>
        <v>5.4928561089643946</v>
      </c>
      <c r="O37" s="87">
        <f t="shared" si="10"/>
        <v>5.47636220792013</v>
      </c>
      <c r="P37" s="87">
        <f t="shared" si="10"/>
        <v>5.4627391953654074</v>
      </c>
      <c r="Q37" s="87">
        <f t="shared" ref="Q37:Q45" si="13">wa*SQRT((xa-x)^2+(ya-y)^2)+wb*SQRT((xb-x)^2+(yb-y)^2)+wc*SQRT((xc-x)^2+(yc-y)^2)+wd*SQRT((xd-x)^2+(yd-y)^2)</f>
        <v>5.4518050687491142</v>
      </c>
      <c r="R37" s="87">
        <f t="shared" si="11"/>
        <v>5.443410941787393</v>
      </c>
      <c r="S37" s="87">
        <f t="shared" si="11"/>
        <v>5.4374379237577539</v>
      </c>
      <c r="T37" s="87">
        <f t="shared" si="11"/>
        <v>5.4337948687517521</v>
      </c>
      <c r="U37" s="87">
        <f t="shared" si="11"/>
        <v>5.4324167670172283</v>
      </c>
      <c r="V37" s="87">
        <f t="shared" si="11"/>
        <v>5.4332636512765244</v>
      </c>
      <c r="W37" s="87">
        <f t="shared" si="11"/>
        <v>5.4363199491875784</v>
      </c>
      <c r="X37" s="87">
        <f t="shared" si="11"/>
        <v>5.4415942484014677</v>
      </c>
      <c r="Y37" s="87">
        <f t="shared" si="11"/>
        <v>5.4491194647387191</v>
      </c>
      <c r="Z37" s="87">
        <f t="shared" si="11"/>
        <v>5.4589534248017495</v>
      </c>
      <c r="AA37" s="87">
        <f t="shared" si="11"/>
        <v>5.4711798986487405</v>
      </c>
      <c r="AB37" s="87">
        <f t="shared" si="11"/>
        <v>5.4859101539141033</v>
      </c>
      <c r="AC37" s="87">
        <f t="shared" si="11"/>
        <v>5.5032851617322844</v>
      </c>
      <c r="AD37" s="87">
        <f t="shared" si="11"/>
        <v>5.5234786864473806</v>
      </c>
      <c r="AE37" s="87">
        <f t="shared" si="11"/>
        <v>5.5467016687247117</v>
      </c>
      <c r="AF37" s="87">
        <f t="shared" si="11"/>
        <v>5.5732086229229649</v>
      </c>
      <c r="AG37" s="87">
        <f t="shared" si="11"/>
        <v>5.6033073129323379</v>
      </c>
      <c r="AH37" s="87">
        <f t="shared" si="12"/>
        <v>5.6373739091593329</v>
      </c>
      <c r="AI37" s="87">
        <f t="shared" si="12"/>
        <v>5.6758774098720925</v>
      </c>
      <c r="AJ37" s="87">
        <f t="shared" si="12"/>
        <v>5.7194196120875995</v>
      </c>
      <c r="AK37" s="87">
        <f t="shared" si="12"/>
        <v>5.768800246838782</v>
      </c>
      <c r="AL37" s="87">
        <f t="shared" si="12"/>
        <v>5.8251188092476447</v>
      </c>
      <c r="AM37" s="87">
        <f t="shared" si="12"/>
        <v>5.8899147353900823</v>
      </c>
      <c r="AN37" s="87">
        <f t="shared" si="12"/>
        <v>5.965293919774993</v>
      </c>
      <c r="AO37" s="87">
        <f t="shared" si="12"/>
        <v>6.053841382522771</v>
      </c>
      <c r="AP37" s="87">
        <f t="shared" si="12"/>
        <v>6.1579641200768123</v>
      </c>
      <c r="AR37" s="87">
        <f t="shared" si="6"/>
        <v>0</v>
      </c>
    </row>
    <row r="38" spans="1:44" x14ac:dyDescent="0.2">
      <c r="A38" s="87">
        <f t="shared" si="4"/>
        <v>0.8250000000000004</v>
      </c>
      <c r="B38" s="87">
        <f t="shared" ref="B38:P45" si="14">wa*SQRT((xa-x)^2+(ya-y)^2)+wb*SQRT((xb-x)^2+(yb-y)^2)+wc*SQRT((xc-x)^2+(yc-y)^2)+wd*SQRT((xd-x)^2+(yd-y)^2)</f>
        <v>6.1089094290129786</v>
      </c>
      <c r="C38" s="87">
        <f t="shared" si="14"/>
        <v>6.0081740150523411</v>
      </c>
      <c r="D38" s="87">
        <f t="shared" si="14"/>
        <v>5.9242977236138792</v>
      </c>
      <c r="E38" s="87">
        <f t="shared" si="14"/>
        <v>5.8540589653205091</v>
      </c>
      <c r="F38" s="87">
        <f t="shared" si="14"/>
        <v>5.794324506664247</v>
      </c>
      <c r="G38" s="87">
        <f t="shared" si="14"/>
        <v>5.7427860142482094</v>
      </c>
      <c r="H38" s="87">
        <f t="shared" si="14"/>
        <v>5.6978882542584657</v>
      </c>
      <c r="I38" s="87">
        <f t="shared" si="14"/>
        <v>5.6585819147386065</v>
      </c>
      <c r="J38" s="87">
        <f t="shared" si="14"/>
        <v>5.6241294291678487</v>
      </c>
      <c r="K38" s="87">
        <f t="shared" si="14"/>
        <v>5.5939846699930671</v>
      </c>
      <c r="L38" s="87">
        <f t="shared" si="14"/>
        <v>5.5677234578707182</v>
      </c>
      <c r="M38" s="87">
        <f t="shared" si="14"/>
        <v>5.545003977635993</v>
      </c>
      <c r="N38" s="87">
        <f t="shared" si="14"/>
        <v>5.5255439949617102</v>
      </c>
      <c r="O38" s="87">
        <f t="shared" si="14"/>
        <v>5.5091074218845888</v>
      </c>
      <c r="P38" s="87">
        <f t="shared" si="14"/>
        <v>5.4954961165045608</v>
      </c>
      <c r="Q38" s="87">
        <f t="shared" si="13"/>
        <v>5.4845446609374235</v>
      </c>
      <c r="R38" s="87">
        <f t="shared" si="11"/>
        <v>5.4761168817346038</v>
      </c>
      <c r="S38" s="87">
        <f t="shared" si="11"/>
        <v>5.4701034363771228</v>
      </c>
      <c r="T38" s="87">
        <f t="shared" si="11"/>
        <v>5.4664200968969814</v>
      </c>
      <c r="U38" s="87">
        <f t="shared" si="11"/>
        <v>5.4650065309016647</v>
      </c>
      <c r="V38" s="87">
        <f t="shared" si="11"/>
        <v>5.4658254734777021</v>
      </c>
      <c r="W38" s="87">
        <f t="shared" si="11"/>
        <v>5.4688622350462248</v>
      </c>
      <c r="X38" s="87">
        <f t="shared" si="11"/>
        <v>5.4741245196616077</v>
      </c>
      <c r="Y38" s="87">
        <f t="shared" si="11"/>
        <v>5.4816425469483034</v>
      </c>
      <c r="Z38" s="87">
        <f t="shared" si="11"/>
        <v>5.4914694864578522</v>
      </c>
      <c r="AA38" s="87">
        <f t="shared" si="11"/>
        <v>5.5036822321387282</v>
      </c>
      <c r="AB38" s="87">
        <f t="shared" si="11"/>
        <v>5.518382574434419</v>
      </c>
      <c r="AC38" s="87">
        <f t="shared" si="11"/>
        <v>5.5356988797020721</v>
      </c>
      <c r="AD38" s="87">
        <f t="shared" si="11"/>
        <v>5.5557884805539528</v>
      </c>
      <c r="AE38" s="87">
        <f t="shared" si="11"/>
        <v>5.5788411507018782</v>
      </c>
      <c r="AF38" s="87">
        <f t="shared" si="11"/>
        <v>5.6050843459956301</v>
      </c>
      <c r="AG38" s="87">
        <f t="shared" si="11"/>
        <v>5.634791453108301</v>
      </c>
      <c r="AH38" s="87">
        <f t="shared" si="12"/>
        <v>5.6682953072525919</v>
      </c>
      <c r="AI38" s="87">
        <f t="shared" si="12"/>
        <v>5.7060110979881369</v>
      </c>
      <c r="AJ38" s="87">
        <f t="shared" si="12"/>
        <v>5.7484761169967529</v>
      </c>
      <c r="AK38" s="87">
        <f t="shared" si="12"/>
        <v>5.7964194521940229</v>
      </c>
      <c r="AL38" s="87">
        <f t="shared" si="12"/>
        <v>5.8508825304167038</v>
      </c>
      <c r="AM38" s="87">
        <f t="shared" si="12"/>
        <v>5.9134135502371628</v>
      </c>
      <c r="AN38" s="87">
        <f t="shared" si="12"/>
        <v>5.9863149176997803</v>
      </c>
      <c r="AO38" s="87">
        <f t="shared" si="12"/>
        <v>6.0727152835164997</v>
      </c>
      <c r="AP38" s="87">
        <f t="shared" si="12"/>
        <v>6.1758331896945782</v>
      </c>
      <c r="AR38" s="87">
        <f t="shared" si="6"/>
        <v>0</v>
      </c>
    </row>
    <row r="39" spans="1:44" x14ac:dyDescent="0.2">
      <c r="A39" s="87">
        <f t="shared" si="4"/>
        <v>0.85000000000000042</v>
      </c>
      <c r="B39" s="87">
        <f t="shared" si="14"/>
        <v>6.1281879075862538</v>
      </c>
      <c r="C39" s="87">
        <f t="shared" si="14"/>
        <v>6.0287243444729901</v>
      </c>
      <c r="D39" s="87">
        <f t="shared" si="14"/>
        <v>5.9475088844547148</v>
      </c>
      <c r="E39" s="87">
        <f t="shared" si="14"/>
        <v>5.8801393168384921</v>
      </c>
      <c r="F39" s="87">
        <f t="shared" si="14"/>
        <v>5.8228598084487917</v>
      </c>
      <c r="G39" s="87">
        <f t="shared" si="14"/>
        <v>5.7732273887521597</v>
      </c>
      <c r="H39" s="87">
        <f t="shared" si="14"/>
        <v>5.7297436838189348</v>
      </c>
      <c r="I39" s="87">
        <f t="shared" si="14"/>
        <v>5.6914576639788521</v>
      </c>
      <c r="J39" s="87">
        <f t="shared" si="14"/>
        <v>5.6577231368176202</v>
      </c>
      <c r="K39" s="87">
        <f t="shared" si="14"/>
        <v>5.6280682622840965</v>
      </c>
      <c r="L39" s="87">
        <f t="shared" si="14"/>
        <v>5.602126920381159</v>
      </c>
      <c r="M39" s="87">
        <f t="shared" si="14"/>
        <v>5.5796022364410742</v>
      </c>
      <c r="N39" s="87">
        <f t="shared" si="14"/>
        <v>5.5602467570674428</v>
      </c>
      <c r="O39" s="87">
        <f t="shared" si="14"/>
        <v>5.5438513540223333</v>
      </c>
      <c r="P39" s="87">
        <f t="shared" si="14"/>
        <v>5.5302387790295402</v>
      </c>
      <c r="Q39" s="87">
        <f t="shared" si="13"/>
        <v>5.5192597443402382</v>
      </c>
      <c r="R39" s="87">
        <f t="shared" si="11"/>
        <v>5.5107904106710066</v>
      </c>
      <c r="S39" s="87">
        <f t="shared" si="11"/>
        <v>5.5047306923688133</v>
      </c>
      <c r="T39" s="87">
        <f t="shared" si="11"/>
        <v>5.5010030702068722</v>
      </c>
      <c r="U39" s="87">
        <f t="shared" si="11"/>
        <v>5.4995517518947725</v>
      </c>
      <c r="V39" s="87">
        <f t="shared" si="11"/>
        <v>5.5003420999434418</v>
      </c>
      <c r="W39" s="87">
        <f t="shared" si="11"/>
        <v>5.5033602884053945</v>
      </c>
      <c r="X39" s="87">
        <f t="shared" si="11"/>
        <v>5.5086131720634617</v>
      </c>
      <c r="Y39" s="87">
        <f t="shared" si="11"/>
        <v>5.5161283641983321</v>
      </c>
      <c r="Z39" s="87">
        <f t="shared" si="11"/>
        <v>5.5259545288706269</v>
      </c>
      <c r="AA39" s="87">
        <f t="shared" si="11"/>
        <v>5.5381619063856196</v>
      </c>
      <c r="AB39" s="87">
        <f t="shared" si="11"/>
        <v>5.5528431130007236</v>
      </c>
      <c r="AC39" s="87">
        <f t="shared" si="11"/>
        <v>5.5701142982924701</v>
      </c>
      <c r="AD39" s="87">
        <f t="shared" si="11"/>
        <v>5.5901168237215275</v>
      </c>
      <c r="AE39" s="87">
        <f t="shared" si="11"/>
        <v>5.6130197761826413</v>
      </c>
      <c r="AF39" s="87">
        <f t="shared" si="11"/>
        <v>5.6390239113207032</v>
      </c>
      <c r="AG39" s="87">
        <f t="shared" si="11"/>
        <v>5.668368149778237</v>
      </c>
      <c r="AH39" s="87">
        <f t="shared" si="12"/>
        <v>5.7013407559074478</v>
      </c>
      <c r="AI39" s="87">
        <f t="shared" si="12"/>
        <v>5.7382992791680802</v>
      </c>
      <c r="AJ39" s="87">
        <f t="shared" si="12"/>
        <v>5.7797071819193766</v>
      </c>
      <c r="AK39" s="87">
        <f t="shared" si="12"/>
        <v>5.8262026581772064</v>
      </c>
      <c r="AL39" s="87">
        <f t="shared" si="12"/>
        <v>5.8787293316443314</v>
      </c>
      <c r="AM39" s="87">
        <f t="shared" si="12"/>
        <v>5.9387789909419242</v>
      </c>
      <c r="AN39" s="87">
        <f t="shared" si="12"/>
        <v>6.0087890690156502</v>
      </c>
      <c r="AO39" s="87">
        <f t="shared" si="12"/>
        <v>6.0925111154890903</v>
      </c>
      <c r="AP39" s="87">
        <f t="shared" si="12"/>
        <v>6.1943444766467595</v>
      </c>
      <c r="AR39" s="87">
        <f t="shared" si="6"/>
        <v>0</v>
      </c>
    </row>
    <row r="40" spans="1:44" x14ac:dyDescent="0.2">
      <c r="A40" s="87">
        <f t="shared" si="4"/>
        <v>0.87500000000000044</v>
      </c>
      <c r="B40" s="87">
        <f t="shared" si="14"/>
        <v>6.1480929371782853</v>
      </c>
      <c r="C40" s="87">
        <f t="shared" si="14"/>
        <v>6.0503208395388421</v>
      </c>
      <c r="D40" s="87">
        <f t="shared" si="14"/>
        <v>5.9724640716995232</v>
      </c>
      <c r="E40" s="87">
        <f t="shared" si="14"/>
        <v>5.908394035833167</v>
      </c>
      <c r="F40" s="87">
        <f t="shared" si="14"/>
        <v>5.8537263759229319</v>
      </c>
      <c r="G40" s="87">
        <f t="shared" si="14"/>
        <v>5.8060129713618478</v>
      </c>
      <c r="H40" s="87">
        <f t="shared" si="14"/>
        <v>5.763898938022936</v>
      </c>
      <c r="I40" s="87">
        <f t="shared" si="14"/>
        <v>5.7265729291363501</v>
      </c>
      <c r="J40" s="87">
        <f t="shared" si="14"/>
        <v>5.6934972539855409</v>
      </c>
      <c r="K40" s="87">
        <f t="shared" si="14"/>
        <v>5.6642804069431421</v>
      </c>
      <c r="L40" s="87">
        <f t="shared" si="14"/>
        <v>5.6386156688622187</v>
      </c>
      <c r="M40" s="87">
        <f t="shared" si="14"/>
        <v>5.6162506045740272</v>
      </c>
      <c r="N40" s="87">
        <f t="shared" si="14"/>
        <v>5.5969714450762993</v>
      </c>
      <c r="O40" s="87">
        <f t="shared" si="14"/>
        <v>5.5805948532247509</v>
      </c>
      <c r="P40" s="87">
        <f t="shared" si="14"/>
        <v>5.5669634351687307</v>
      </c>
      <c r="Q40" s="87">
        <f t="shared" si="13"/>
        <v>5.5559431836522917</v>
      </c>
      <c r="R40" s="87">
        <f t="shared" si="11"/>
        <v>5.5474219341589528</v>
      </c>
      <c r="S40" s="87">
        <f t="shared" si="11"/>
        <v>5.5413083674903429</v>
      </c>
      <c r="T40" s="87">
        <f t="shared" si="11"/>
        <v>5.5375313255721981</v>
      </c>
      <c r="U40" s="87">
        <f t="shared" si="11"/>
        <v>5.5360393279005162</v>
      </c>
      <c r="V40" s="87">
        <f t="shared" si="11"/>
        <v>5.536800237542991</v>
      </c>
      <c r="W40" s="87">
        <f t="shared" si="11"/>
        <v>5.5398010557992521</v>
      </c>
      <c r="X40" s="87">
        <f t="shared" si="11"/>
        <v>5.5450478385033852</v>
      </c>
      <c r="Y40" s="87">
        <f t="shared" si="11"/>
        <v>5.5525657330796552</v>
      </c>
      <c r="Z40" s="87">
        <f t="shared" si="11"/>
        <v>5.5623991393534524</v>
      </c>
      <c r="AA40" s="87">
        <f t="shared" si="11"/>
        <v>5.5746120033925459</v>
      </c>
      <c r="AB40" s="87">
        <f t="shared" si="11"/>
        <v>5.5892882678122673</v>
      </c>
      <c r="AC40" s="87">
        <f t="shared" si="11"/>
        <v>5.6065325325492505</v>
      </c>
      <c r="AD40" s="87">
        <f t="shared" si="11"/>
        <v>5.6264710420469877</v>
      </c>
      <c r="AE40" s="87">
        <f t="shared" si="11"/>
        <v>5.6492532358247418</v>
      </c>
      <c r="AF40" s="87">
        <f t="shared" si="11"/>
        <v>5.6750543328694141</v>
      </c>
      <c r="AG40" s="87">
        <f t="shared" si="11"/>
        <v>5.7040798728643942</v>
      </c>
      <c r="AH40" s="87">
        <f t="shared" si="12"/>
        <v>5.73657403159749</v>
      </c>
      <c r="AI40" s="87">
        <f t="shared" si="12"/>
        <v>5.7728353505520236</v>
      </c>
      <c r="AJ40" s="87">
        <f t="shared" si="12"/>
        <v>5.8132473820479307</v>
      </c>
      <c r="AK40" s="87">
        <f t="shared" si="12"/>
        <v>5.8583402585694611</v>
      </c>
      <c r="AL40" s="87">
        <f t="shared" si="12"/>
        <v>5.908918356043519</v>
      </c>
      <c r="AM40" s="87">
        <f t="shared" si="12"/>
        <v>5.9663303785255444</v>
      </c>
      <c r="AN40" s="87">
        <f t="shared" si="12"/>
        <v>6.0330192575437982</v>
      </c>
      <c r="AO40" s="87">
        <f t="shared" si="12"/>
        <v>6.1133653313639069</v>
      </c>
      <c r="AP40" s="87">
        <f t="shared" si="12"/>
        <v>6.2134944946568673</v>
      </c>
      <c r="AR40" s="87">
        <f t="shared" si="6"/>
        <v>0</v>
      </c>
    </row>
    <row r="41" spans="1:44" x14ac:dyDescent="0.2">
      <c r="A41" s="87">
        <f t="shared" si="4"/>
        <v>0.90000000000000047</v>
      </c>
      <c r="B41" s="87">
        <f t="shared" si="14"/>
        <v>6.16862102538005</v>
      </c>
      <c r="C41" s="87">
        <f t="shared" si="14"/>
        <v>6.0732144806596393</v>
      </c>
      <c r="D41" s="87">
        <f t="shared" si="14"/>
        <v>5.9996215943416296</v>
      </c>
      <c r="E41" s="87">
        <f t="shared" si="14"/>
        <v>5.9392329870108078</v>
      </c>
      <c r="F41" s="87">
        <f t="shared" si="14"/>
        <v>5.8872204708912692</v>
      </c>
      <c r="G41" s="87">
        <f t="shared" si="14"/>
        <v>5.8413440439207971</v>
      </c>
      <c r="H41" s="87">
        <f t="shared" si="14"/>
        <v>5.8004887829949467</v>
      </c>
      <c r="I41" s="87">
        <f t="shared" si="14"/>
        <v>5.7640175510616931</v>
      </c>
      <c r="J41" s="87">
        <f t="shared" si="14"/>
        <v>5.7315110875815378</v>
      </c>
      <c r="K41" s="87">
        <f t="shared" si="14"/>
        <v>5.7026592586582137</v>
      </c>
      <c r="L41" s="87">
        <f t="shared" si="14"/>
        <v>5.6772128972194826</v>
      </c>
      <c r="M41" s="87">
        <f t="shared" si="14"/>
        <v>5.6549615012204004</v>
      </c>
      <c r="N41" s="87">
        <f t="shared" si="14"/>
        <v>5.6357226113766794</v>
      </c>
      <c r="O41" s="87">
        <f t="shared" si="14"/>
        <v>5.6193366786170991</v>
      </c>
      <c r="P41" s="87">
        <f t="shared" si="14"/>
        <v>5.6056645652203612</v>
      </c>
      <c r="Q41" s="87">
        <f t="shared" si="13"/>
        <v>5.5945863113880385</v>
      </c>
      <c r="R41" s="87">
        <f t="shared" si="11"/>
        <v>5.5860005008460449</v>
      </c>
      <c r="S41" s="87">
        <f t="shared" si="11"/>
        <v>5.5798239035629287</v>
      </c>
      <c r="T41" s="87">
        <f t="shared" si="11"/>
        <v>5.5759912462775247</v>
      </c>
      <c r="U41" s="87">
        <f t="shared" si="11"/>
        <v>5.574455047706528</v>
      </c>
      <c r="V41" s="87">
        <f t="shared" si="11"/>
        <v>5.5751854966987118</v>
      </c>
      <c r="W41" s="87">
        <f t="shared" si="11"/>
        <v>5.5781703694947122</v>
      </c>
      <c r="X41" s="87">
        <f t="shared" si="11"/>
        <v>5.5834149879884958</v>
      </c>
      <c r="Y41" s="87">
        <f t="shared" si="11"/>
        <v>5.5909422208797794</v>
      </c>
      <c r="Z41" s="87">
        <f t="shared" si="11"/>
        <v>5.600792527952084</v>
      </c>
      <c r="AA41" s="87">
        <f t="shared" si="11"/>
        <v>5.6130240478224858</v>
      </c>
      <c r="AB41" s="87">
        <f t="shared" si="11"/>
        <v>5.6277127354696139</v>
      </c>
      <c r="AC41" s="87">
        <f t="shared" si="11"/>
        <v>5.6449525740371014</v>
      </c>
      <c r="AD41" s="87">
        <f t="shared" si="11"/>
        <v>5.6648559271301862</v>
      </c>
      <c r="AE41" s="87">
        <f t="shared" si="11"/>
        <v>5.6875541842754576</v>
      </c>
      <c r="AF41" s="87">
        <f t="shared" si="11"/>
        <v>5.7131990249372269</v>
      </c>
      <c r="AG41" s="87">
        <f t="shared" si="11"/>
        <v>5.7419649708091436</v>
      </c>
      <c r="AH41" s="87">
        <f t="shared" si="12"/>
        <v>5.7740545973259865</v>
      </c>
      <c r="AI41" s="87">
        <f t="shared" si="12"/>
        <v>5.8097092619181865</v>
      </c>
      <c r="AJ41" s="87">
        <f t="shared" si="12"/>
        <v>5.8492315384007796</v>
      </c>
      <c r="AK41" s="87">
        <f t="shared" si="12"/>
        <v>5.8930335329608967</v>
      </c>
      <c r="AL41" s="87">
        <f t="shared" si="12"/>
        <v>5.9417458075922962</v>
      </c>
      <c r="AM41" s="87">
        <f t="shared" si="12"/>
        <v>5.9964774710907767</v>
      </c>
      <c r="AN41" s="87">
        <f t="shared" si="12"/>
        <v>6.0594636488590865</v>
      </c>
      <c r="AO41" s="87">
        <f t="shared" si="12"/>
        <v>6.1355287476909126</v>
      </c>
      <c r="AP41" s="87">
        <f t="shared" si="12"/>
        <v>6.2332795863773587</v>
      </c>
      <c r="AR41" s="87">
        <f t="shared" si="6"/>
        <v>0</v>
      </c>
    </row>
    <row r="42" spans="1:44" x14ac:dyDescent="0.2">
      <c r="A42" s="87">
        <f t="shared" si="4"/>
        <v>0.92500000000000049</v>
      </c>
      <c r="B42" s="87">
        <f t="shared" si="14"/>
        <v>6.1897685133871834</v>
      </c>
      <c r="C42" s="87">
        <f t="shared" si="14"/>
        <v>6.0979032272491196</v>
      </c>
      <c r="D42" s="87">
        <f t="shared" si="14"/>
        <v>6.029669096101351</v>
      </c>
      <c r="E42" s="87">
        <f t="shared" si="14"/>
        <v>5.9731588623289484</v>
      </c>
      <c r="F42" s="87">
        <f t="shared" si="14"/>
        <v>5.9236622813220841</v>
      </c>
      <c r="G42" s="87">
        <f t="shared" si="14"/>
        <v>5.8794214494991177</v>
      </c>
      <c r="H42" s="87">
        <f t="shared" si="14"/>
        <v>5.8396406675979655</v>
      </c>
      <c r="I42" s="87">
        <f t="shared" si="14"/>
        <v>5.8038731394688474</v>
      </c>
      <c r="J42" s="87">
        <f t="shared" si="14"/>
        <v>5.7718166030679168</v>
      </c>
      <c r="K42" s="87">
        <f t="shared" si="14"/>
        <v>5.743236897132495</v>
      </c>
      <c r="L42" s="87">
        <f t="shared" si="14"/>
        <v>5.7179369083313851</v>
      </c>
      <c r="M42" s="87">
        <f t="shared" si="14"/>
        <v>5.6957434348958014</v>
      </c>
      <c r="N42" s="87">
        <f t="shared" si="14"/>
        <v>5.6765016680008618</v>
      </c>
      <c r="O42" s="87">
        <f t="shared" si="14"/>
        <v>5.6600730374613528</v>
      </c>
      <c r="P42" s="87">
        <f t="shared" si="14"/>
        <v>5.6463345388023534</v>
      </c>
      <c r="Q42" s="87">
        <f t="shared" si="13"/>
        <v>5.6351786745467702</v>
      </c>
      <c r="R42" s="87">
        <f t="shared" si="11"/>
        <v>5.6265136084914698</v>
      </c>
      <c r="S42" s="87">
        <f t="shared" si="11"/>
        <v>5.6202633551284702</v>
      </c>
      <c r="T42" s="87">
        <f t="shared" si="11"/>
        <v>5.6163679350879869</v>
      </c>
      <c r="U42" s="87">
        <f t="shared" si="11"/>
        <v>5.6147834790227868</v>
      </c>
      <c r="V42" s="87">
        <f t="shared" si="11"/>
        <v>5.6154822843568573</v>
      </c>
      <c r="W42" s="87">
        <f t="shared" si="11"/>
        <v>5.6184528358376884</v>
      </c>
      <c r="X42" s="87">
        <f t="shared" si="11"/>
        <v>5.6236997993513089</v>
      </c>
      <c r="Y42" s="87">
        <f t="shared" si="11"/>
        <v>5.6312439932121912</v>
      </c>
      <c r="Z42" s="87">
        <f t="shared" si="11"/>
        <v>5.6411223348208042</v>
      </c>
      <c r="AA42" s="87">
        <f t="shared" si="11"/>
        <v>5.6533877554281178</v>
      </c>
      <c r="AB42" s="87">
        <f t="shared" si="11"/>
        <v>5.6681090744397977</v>
      </c>
      <c r="AC42" s="87">
        <f t="shared" si="11"/>
        <v>5.6853708314336435</v>
      </c>
      <c r="AD42" s="87">
        <f t="shared" si="11"/>
        <v>5.7052730962956115</v>
      </c>
      <c r="AE42" s="87">
        <f t="shared" si="11"/>
        <v>5.7279313295848082</v>
      </c>
      <c r="AF42" s="87">
        <f t="shared" si="11"/>
        <v>5.7534764739622375</v>
      </c>
      <c r="AG42" s="87">
        <f t="shared" si="11"/>
        <v>5.7820556806348149</v>
      </c>
      <c r="AH42" s="87">
        <f t="shared" si="12"/>
        <v>5.8138345400324329</v>
      </c>
      <c r="AI42" s="87">
        <f t="shared" si="12"/>
        <v>5.849002700546853</v>
      </c>
      <c r="AJ42" s="87">
        <f t="shared" si="12"/>
        <v>5.8877871279158338</v>
      </c>
      <c r="AK42" s="87">
        <f t="shared" si="12"/>
        <v>5.9304833008413649</v>
      </c>
      <c r="AL42" s="87">
        <f t="shared" si="12"/>
        <v>5.9775318010219092</v>
      </c>
      <c r="AM42" s="87">
        <f t="shared" si="12"/>
        <v>6.0297228442533362</v>
      </c>
      <c r="AN42" s="87">
        <f t="shared" si="12"/>
        <v>6.0888097382315518</v>
      </c>
      <c r="AO42" s="87">
        <f t="shared" si="12"/>
        <v>6.1594991580804832</v>
      </c>
      <c r="AP42" s="87">
        <f t="shared" si="12"/>
        <v>6.2536959271342871</v>
      </c>
      <c r="AR42" s="87">
        <f t="shared" si="6"/>
        <v>0</v>
      </c>
    </row>
    <row r="43" spans="1:44" x14ac:dyDescent="0.2">
      <c r="A43" s="87">
        <f t="shared" si="4"/>
        <v>0.95000000000000051</v>
      </c>
      <c r="B43" s="87">
        <f t="shared" si="14"/>
        <v>6.2115315796872466</v>
      </c>
      <c r="C43" s="87">
        <f t="shared" si="14"/>
        <v>6.1254582410394036</v>
      </c>
      <c r="D43" s="87">
        <f t="shared" si="14"/>
        <v>6.0635908212436913</v>
      </c>
      <c r="E43" s="87">
        <f t="shared" si="14"/>
        <v>6.010740324104515</v>
      </c>
      <c r="F43" s="87">
        <f t="shared" si="14"/>
        <v>5.9633697377629487</v>
      </c>
      <c r="G43" s="87">
        <f t="shared" si="14"/>
        <v>5.9204297059532074</v>
      </c>
      <c r="H43" s="87">
        <f t="shared" si="14"/>
        <v>5.8814657059730262</v>
      </c>
      <c r="I43" s="87">
        <f t="shared" si="14"/>
        <v>5.8462078812848324</v>
      </c>
      <c r="J43" s="87">
        <f t="shared" si="14"/>
        <v>5.814455323989792</v>
      </c>
      <c r="K43" s="87">
        <f t="shared" si="14"/>
        <v>5.7860373967946073</v>
      </c>
      <c r="L43" s="87">
        <f t="shared" si="14"/>
        <v>5.7607998629967323</v>
      </c>
      <c r="M43" s="87">
        <f t="shared" si="14"/>
        <v>5.738600162757578</v>
      </c>
      <c r="N43" s="87">
        <f t="shared" si="14"/>
        <v>5.7193063037528127</v>
      </c>
      <c r="O43" s="87">
        <f t="shared" si="14"/>
        <v>5.7027971701142697</v>
      </c>
      <c r="P43" s="87">
        <f t="shared" si="14"/>
        <v>5.6889633123230832</v>
      </c>
      <c r="Q43" s="87">
        <f t="shared" si="13"/>
        <v>5.6777078090751898</v>
      </c>
      <c r="R43" s="87">
        <f t="shared" si="11"/>
        <v>5.6689470315228379</v>
      </c>
      <c r="S43" s="87">
        <f t="shared" si="11"/>
        <v>5.6626112531789392</v>
      </c>
      <c r="T43" s="87">
        <f t="shared" si="11"/>
        <v>5.6586451014514063</v>
      </c>
      <c r="U43" s="87">
        <f t="shared" si="11"/>
        <v>5.6570078689527676</v>
      </c>
      <c r="V43" s="87">
        <f t="shared" si="11"/>
        <v>5.6576737088455165</v>
      </c>
      <c r="W43" s="87">
        <f t="shared" si="11"/>
        <v>5.6606317360325784</v>
      </c>
      <c r="X43" s="87">
        <f t="shared" si="11"/>
        <v>5.6658860490786376</v>
      </c>
      <c r="Y43" s="87">
        <f t="shared" si="11"/>
        <v>5.6734556787099102</v>
      </c>
      <c r="Z43" s="87">
        <f t="shared" si="11"/>
        <v>5.6833744591060373</v>
      </c>
      <c r="AA43" s="87">
        <f t="shared" si="11"/>
        <v>5.6956908092311771</v>
      </c>
      <c r="AB43" s="87">
        <f t="shared" si="11"/>
        <v>5.7104674046575763</v>
      </c>
      <c r="AC43" s="87">
        <f t="shared" si="11"/>
        <v>5.7277807180442588</v>
      </c>
      <c r="AD43" s="87">
        <f t="shared" si="11"/>
        <v>5.7477204126956458</v>
      </c>
      <c r="AE43" s="87">
        <f t="shared" si="11"/>
        <v>5.7703885958741266</v>
      </c>
      <c r="AF43" s="87">
        <f t="shared" si="11"/>
        <v>5.7958989911355969</v>
      </c>
      <c r="AG43" s="87">
        <f t="shared" si="11"/>
        <v>5.8243762015040241</v>
      </c>
      <c r="AH43" s="87">
        <f t="shared" si="12"/>
        <v>5.8559554739992139</v>
      </c>
      <c r="AI43" s="87">
        <f t="shared" si="12"/>
        <v>5.8907839032798401</v>
      </c>
      <c r="AJ43" s="87">
        <f t="shared" si="12"/>
        <v>5.9290252693308503</v>
      </c>
      <c r="AK43" s="87">
        <f t="shared" si="12"/>
        <v>5.9708740379509369</v>
      </c>
      <c r="AL43" s="87">
        <f t="shared" si="12"/>
        <v>6.0165941803508183</v>
      </c>
      <c r="AM43" s="87">
        <f t="shared" si="12"/>
        <v>6.0666350356657643</v>
      </c>
      <c r="AN43" s="87">
        <f t="shared" si="12"/>
        <v>6.1220416172385752</v>
      </c>
      <c r="AO43" s="87">
        <f t="shared" si="12"/>
        <v>6.1863475568807242</v>
      </c>
      <c r="AP43" s="87">
        <f t="shared" si="12"/>
        <v>6.2747395288146715</v>
      </c>
      <c r="AR43" s="87">
        <f t="shared" si="6"/>
        <v>0</v>
      </c>
    </row>
    <row r="44" spans="1:44" x14ac:dyDescent="0.2">
      <c r="A44" s="87">
        <f t="shared" si="4"/>
        <v>0.97500000000000053</v>
      </c>
      <c r="B44" s="87">
        <f t="shared" si="14"/>
        <v>6.2339062438969624</v>
      </c>
      <c r="C44" s="87">
        <f t="shared" si="14"/>
        <v>6.1582577435533654</v>
      </c>
      <c r="D44" s="87">
        <f t="shared" si="14"/>
        <v>6.102627655623321</v>
      </c>
      <c r="E44" s="87">
        <f t="shared" si="14"/>
        <v>6.052536151155306</v>
      </c>
      <c r="F44" s="87">
        <f t="shared" si="14"/>
        <v>6.0066191124425101</v>
      </c>
      <c r="G44" s="87">
        <f t="shared" si="14"/>
        <v>5.9645180788260923</v>
      </c>
      <c r="H44" s="87">
        <f t="shared" si="14"/>
        <v>5.9260492047157829</v>
      </c>
      <c r="I44" s="87">
        <f t="shared" si="14"/>
        <v>5.8910714918708997</v>
      </c>
      <c r="J44" s="87">
        <f t="shared" si="14"/>
        <v>5.8594554653734523</v>
      </c>
      <c r="K44" s="87">
        <f t="shared" si="14"/>
        <v>5.8310751019223783</v>
      </c>
      <c r="L44" s="87">
        <f t="shared" si="14"/>
        <v>5.8058066874509509</v>
      </c>
      <c r="M44" s="87">
        <f t="shared" si="14"/>
        <v>5.7835299674803746</v>
      </c>
      <c r="N44" s="87">
        <f t="shared" si="14"/>
        <v>5.764129987499695</v>
      </c>
      <c r="O44" s="87">
        <f t="shared" si="14"/>
        <v>5.7474989981513041</v>
      </c>
      <c r="P44" s="87">
        <f t="shared" si="14"/>
        <v>5.7335381730619837</v>
      </c>
      <c r="Q44" s="87">
        <f t="shared" si="13"/>
        <v>5.7221590491378249</v>
      </c>
      <c r="R44" s="87">
        <f t="shared" si="11"/>
        <v>5.7132846750934707</v>
      </c>
      <c r="S44" s="87">
        <f t="shared" si="11"/>
        <v>5.7068504896857126</v>
      </c>
      <c r="T44" s="87">
        <f t="shared" si="11"/>
        <v>5.7028049658049147</v>
      </c>
      <c r="U44" s="87">
        <f t="shared" si="11"/>
        <v>5.7011100594937032</v>
      </c>
      <c r="V44" s="87">
        <f t="shared" si="11"/>
        <v>5.7017414990920638</v>
      </c>
      <c r="W44" s="87">
        <f t="shared" si="11"/>
        <v>5.7046889419479285</v>
      </c>
      <c r="X44" s="87">
        <f t="shared" si="11"/>
        <v>5.7099560162367826</v>
      </c>
      <c r="Y44" s="87">
        <f t="shared" si="11"/>
        <v>5.7175602545009028</v>
      </c>
      <c r="Z44" s="87">
        <f t="shared" si="11"/>
        <v>5.7275329142956561</v>
      </c>
      <c r="AA44" s="87">
        <f t="shared" si="11"/>
        <v>5.7399186704495504</v>
      </c>
      <c r="AB44" s="87">
        <f t="shared" si="11"/>
        <v>5.7547751536411953</v>
      </c>
      <c r="AC44" s="87">
        <f t="shared" si="11"/>
        <v>5.7721723023419189</v>
      </c>
      <c r="AD44" s="87">
        <f t="shared" si="11"/>
        <v>5.7921914913820327</v>
      </c>
      <c r="AE44" s="87">
        <f t="shared" si="11"/>
        <v>5.814924403312312</v>
      </c>
      <c r="AF44" s="87">
        <f t="shared" si="11"/>
        <v>5.8404716232629976</v>
      </c>
      <c r="AG44" s="87">
        <f t="shared" si="11"/>
        <v>5.8689409733212425</v>
      </c>
      <c r="AH44" s="87">
        <f t="shared" si="12"/>
        <v>5.9004456777153163</v>
      </c>
      <c r="AI44" s="87">
        <f t="shared" si="12"/>
        <v>5.9351026110270038</v>
      </c>
      <c r="AJ44" s="87">
        <f t="shared" si="12"/>
        <v>5.9730312532943559</v>
      </c>
      <c r="AK44" s="87">
        <f t="shared" si="12"/>
        <v>6.0143549516159283</v>
      </c>
      <c r="AL44" s="87">
        <f t="shared" si="12"/>
        <v>6.0592091198286964</v>
      </c>
      <c r="AM44" s="87">
        <f t="shared" si="12"/>
        <v>6.1077726923916256</v>
      </c>
      <c r="AN44" s="87">
        <f t="shared" si="12"/>
        <v>6.1604000155098024</v>
      </c>
      <c r="AO44" s="87">
        <f t="shared" si="12"/>
        <v>6.2184519969820657</v>
      </c>
      <c r="AP44" s="87">
        <f t="shared" si="12"/>
        <v>6.2964062438969632</v>
      </c>
      <c r="AR44" s="87">
        <f t="shared" si="6"/>
        <v>0</v>
      </c>
    </row>
    <row r="45" spans="1:44" x14ac:dyDescent="0.2">
      <c r="A45" s="87">
        <f t="shared" si="4"/>
        <v>1.0000000000000004</v>
      </c>
      <c r="B45" s="87">
        <f t="shared" si="14"/>
        <v>6.2568883707497278</v>
      </c>
      <c r="C45" s="87">
        <f t="shared" si="14"/>
        <v>6.2005853567342504</v>
      </c>
      <c r="D45" s="87">
        <f t="shared" si="14"/>
        <v>6.1479515808172263</v>
      </c>
      <c r="E45" s="87">
        <f t="shared" si="14"/>
        <v>6.0989693279162793</v>
      </c>
      <c r="F45" s="87">
        <f t="shared" si="14"/>
        <v>6.0535991053266738</v>
      </c>
      <c r="G45" s="87">
        <f t="shared" si="14"/>
        <v>6.01178191684299</v>
      </c>
      <c r="H45" s="87">
        <f t="shared" si="14"/>
        <v>5.9734421587340076</v>
      </c>
      <c r="I45" s="87">
        <f t="shared" si="14"/>
        <v>5.9384909363828697</v>
      </c>
      <c r="J45" s="87">
        <f t="shared" si="14"/>
        <v>5.906829592261035</v>
      </c>
      <c r="K45" s="87">
        <f t="shared" si="14"/>
        <v>5.8783532504042126</v>
      </c>
      <c r="L45" s="87">
        <f t="shared" si="14"/>
        <v>5.8529542138639519</v>
      </c>
      <c r="M45" s="87">
        <f t="shared" si="14"/>
        <v>5.8305250924144101</v>
      </c>
      <c r="N45" s="87">
        <f t="shared" si="14"/>
        <v>5.8109615810393151</v>
      </c>
      <c r="O45" s="87">
        <f t="shared" si="14"/>
        <v>5.7941648497868243</v>
      </c>
      <c r="P45" s="87">
        <f t="shared" si="14"/>
        <v>5.7800435388154252</v>
      </c>
      <c r="Q45" s="87">
        <f t="shared" si="13"/>
        <v>5.7685153771656772</v>
      </c>
      <c r="R45" s="87">
        <f t="shared" si="11"/>
        <v>5.7595084598425998</v>
      </c>
      <c r="S45" s="87">
        <f t="shared" si="11"/>
        <v>5.7529622260715669</v>
      </c>
      <c r="T45" s="87">
        <f t="shared" si="11"/>
        <v>5.7488281835063573</v>
      </c>
      <c r="U45" s="87">
        <f t="shared" si="11"/>
        <v>5.7470704202580531</v>
      </c>
      <c r="V45" s="87">
        <f t="shared" si="11"/>
        <v>5.7476659402887034</v>
      </c>
      <c r="W45" s="87">
        <f t="shared" si="11"/>
        <v>5.7506048491373836</v>
      </c>
      <c r="X45" s="87">
        <f t="shared" si="11"/>
        <v>5.7558904070075814</v>
      </c>
      <c r="Y45" s="87">
        <f t="shared" si="11"/>
        <v>5.7635389556001728</v>
      </c>
      <c r="Z45" s="87">
        <f t="shared" si="11"/>
        <v>5.7735797142273384</v>
      </c>
      <c r="AA45" s="87">
        <f t="shared" si="11"/>
        <v>5.7860544301335874</v>
      </c>
      <c r="AB45" s="87">
        <f t="shared" si="11"/>
        <v>5.8010168580710397</v>
      </c>
      <c r="AC45" s="87">
        <f t="shared" si="11"/>
        <v>5.8185320356594987</v>
      </c>
      <c r="AD45" s="87">
        <f t="shared" si="11"/>
        <v>5.8386753147612893</v>
      </c>
      <c r="AE45" s="87">
        <f t="shared" si="11"/>
        <v>5.8615311061308866</v>
      </c>
      <c r="AF45" s="87">
        <f t="shared" si="11"/>
        <v>5.8871912963130573</v>
      </c>
      <c r="AG45" s="87">
        <f t="shared" si="11"/>
        <v>5.9157533036340428</v>
      </c>
      <c r="AH45" s="87">
        <f t="shared" si="12"/>
        <v>5.9473177555102552</v>
      </c>
      <c r="AI45" s="87">
        <f t="shared" si="12"/>
        <v>5.9819857930397031</v>
      </c>
      <c r="AJ45" s="87">
        <f t="shared" si="12"/>
        <v>6.0198560408060358</v>
      </c>
      <c r="AK45" s="87">
        <f t="shared" si="12"/>
        <v>6.0610213183765014</v>
      </c>
      <c r="AL45" s="87">
        <f t="shared" si="12"/>
        <v>6.1055652116006165</v>
      </c>
      <c r="AM45" s="87">
        <f t="shared" si="12"/>
        <v>6.1535586610999538</v>
      </c>
      <c r="AN45" s="87">
        <f t="shared" si="12"/>
        <v>6.2050567554795428</v>
      </c>
      <c r="AO45" s="87">
        <f t="shared" si="12"/>
        <v>6.2600959307520556</v>
      </c>
      <c r="AP45" s="87">
        <f t="shared" si="12"/>
        <v>6.3186917696247207</v>
      </c>
      <c r="AR45" s="87">
        <f t="shared" si="6"/>
        <v>0</v>
      </c>
    </row>
    <row r="47" spans="1:44" x14ac:dyDescent="0.2">
      <c r="A47" s="87" t="s">
        <v>261</v>
      </c>
      <c r="B47" s="87">
        <f>MIN(B5:AP45)</f>
        <v>5.1851594388177826</v>
      </c>
    </row>
    <row r="48" spans="1:44" x14ac:dyDescent="0.2">
      <c r="A48" s="87" t="s">
        <v>254</v>
      </c>
      <c r="B48" s="87">
        <f>1*(MIN(B5:B45)=MinValue)</f>
        <v>0</v>
      </c>
      <c r="C48" s="87">
        <f t="shared" ref="C48:AP48" si="15">1*(MIN(C5:C45)=MinValue)</f>
        <v>0</v>
      </c>
      <c r="D48" s="87">
        <f t="shared" si="15"/>
        <v>0</v>
      </c>
      <c r="E48" s="87">
        <f t="shared" si="15"/>
        <v>0</v>
      </c>
      <c r="F48" s="87">
        <f t="shared" si="15"/>
        <v>0</v>
      </c>
      <c r="G48" s="87">
        <f t="shared" si="15"/>
        <v>0</v>
      </c>
      <c r="H48" s="87">
        <f t="shared" si="15"/>
        <v>0</v>
      </c>
      <c r="I48" s="87">
        <f t="shared" si="15"/>
        <v>0</v>
      </c>
      <c r="J48" s="87">
        <f t="shared" si="15"/>
        <v>0</v>
      </c>
      <c r="K48" s="87">
        <f t="shared" si="15"/>
        <v>0</v>
      </c>
      <c r="L48" s="87">
        <f t="shared" si="15"/>
        <v>0</v>
      </c>
      <c r="M48" s="87">
        <f t="shared" si="15"/>
        <v>0</v>
      </c>
      <c r="N48" s="87">
        <f t="shared" si="15"/>
        <v>0</v>
      </c>
      <c r="O48" s="87">
        <f t="shared" si="15"/>
        <v>0</v>
      </c>
      <c r="P48" s="87">
        <f t="shared" si="15"/>
        <v>0</v>
      </c>
      <c r="Q48" s="87">
        <f t="shared" si="15"/>
        <v>0</v>
      </c>
      <c r="R48" s="87">
        <f t="shared" si="15"/>
        <v>0</v>
      </c>
      <c r="S48" s="87">
        <f t="shared" si="15"/>
        <v>0</v>
      </c>
      <c r="T48" s="87">
        <f t="shared" si="15"/>
        <v>0</v>
      </c>
      <c r="U48" s="87">
        <f t="shared" si="15"/>
        <v>1</v>
      </c>
      <c r="V48" s="87">
        <f t="shared" si="15"/>
        <v>0</v>
      </c>
      <c r="W48" s="87">
        <f t="shared" si="15"/>
        <v>0</v>
      </c>
      <c r="X48" s="87">
        <f t="shared" si="15"/>
        <v>0</v>
      </c>
      <c r="Y48" s="87">
        <f t="shared" si="15"/>
        <v>0</v>
      </c>
      <c r="Z48" s="87">
        <f t="shared" si="15"/>
        <v>0</v>
      </c>
      <c r="AA48" s="87">
        <f t="shared" si="15"/>
        <v>0</v>
      </c>
      <c r="AB48" s="87">
        <f t="shared" si="15"/>
        <v>0</v>
      </c>
      <c r="AC48" s="87">
        <f t="shared" si="15"/>
        <v>0</v>
      </c>
      <c r="AD48" s="87">
        <f t="shared" si="15"/>
        <v>0</v>
      </c>
      <c r="AE48" s="87">
        <f t="shared" si="15"/>
        <v>0</v>
      </c>
      <c r="AF48" s="87">
        <f t="shared" si="15"/>
        <v>0</v>
      </c>
      <c r="AG48" s="87">
        <f t="shared" si="15"/>
        <v>0</v>
      </c>
      <c r="AH48" s="87">
        <f t="shared" si="15"/>
        <v>0</v>
      </c>
      <c r="AI48" s="87">
        <f t="shared" si="15"/>
        <v>0</v>
      </c>
      <c r="AJ48" s="87">
        <f t="shared" si="15"/>
        <v>0</v>
      </c>
      <c r="AK48" s="87">
        <f t="shared" si="15"/>
        <v>0</v>
      </c>
      <c r="AL48" s="87">
        <f t="shared" si="15"/>
        <v>0</v>
      </c>
      <c r="AM48" s="87">
        <f t="shared" si="15"/>
        <v>0</v>
      </c>
      <c r="AN48" s="87">
        <f t="shared" si="15"/>
        <v>0</v>
      </c>
      <c r="AO48" s="87">
        <f t="shared" si="15"/>
        <v>0</v>
      </c>
      <c r="AP48" s="87">
        <f t="shared" si="15"/>
        <v>0</v>
      </c>
    </row>
    <row r="50" spans="1:2" x14ac:dyDescent="0.2">
      <c r="A50" s="87" t="s">
        <v>254</v>
      </c>
      <c r="B50" s="87">
        <f>SUMPRODUCT(y,AR5:AR45)</f>
        <v>0.4250000000000001</v>
      </c>
    </row>
    <row r="51" spans="1:2" x14ac:dyDescent="0.2">
      <c r="A51" s="87" t="s">
        <v>250</v>
      </c>
      <c r="B51" s="87">
        <f>SUMPRODUCT(B48:AP48,x)</f>
        <v>0.95000000000000029</v>
      </c>
    </row>
  </sheetData>
  <pageMargins left="0.75" right="0.75" top="1" bottom="1" header="0.5" footer="0.5"/>
  <headerFooter alignWithMargins="0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H34"/>
  <sheetViews>
    <sheetView showGridLines="0" workbookViewId="0">
      <selection activeCell="CV100" sqref="CV100"/>
    </sheetView>
  </sheetViews>
  <sheetFormatPr defaultColWidth="8.85546875" defaultRowHeight="15" x14ac:dyDescent="0.25"/>
  <cols>
    <col min="1" max="1" width="5.7109375" style="17" customWidth="1"/>
    <col min="2" max="2" width="8.5703125" bestFit="1" customWidth="1"/>
    <col min="3" max="3" width="10.710937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436</v>
      </c>
    </row>
    <row r="2" spans="1:8" x14ac:dyDescent="0.25">
      <c r="A2" s="17" t="s">
        <v>281</v>
      </c>
      <c r="B2" s="176"/>
      <c r="C2" s="176"/>
      <c r="D2" s="176"/>
      <c r="E2" s="176"/>
      <c r="F2" s="176"/>
      <c r="G2" s="176"/>
      <c r="H2" s="176"/>
    </row>
    <row r="3" spans="1:8" x14ac:dyDescent="0.25">
      <c r="A3" s="17" t="s">
        <v>438</v>
      </c>
      <c r="B3" s="176"/>
      <c r="C3" s="176"/>
      <c r="D3" s="176"/>
      <c r="E3" s="176"/>
      <c r="F3" s="176"/>
      <c r="G3" s="176"/>
      <c r="H3" s="176"/>
    </row>
    <row r="4" spans="1:8" x14ac:dyDescent="0.25">
      <c r="B4" s="176"/>
      <c r="C4" s="176"/>
      <c r="D4" s="176"/>
      <c r="E4" s="176"/>
      <c r="F4" s="176"/>
      <c r="G4" s="176"/>
      <c r="H4" s="176"/>
    </row>
    <row r="5" spans="1:8" ht="15.75" thickBot="1" x14ac:dyDescent="0.3">
      <c r="A5" s="17" t="s">
        <v>228</v>
      </c>
      <c r="B5" s="176"/>
      <c r="C5" s="176"/>
      <c r="D5" s="176"/>
      <c r="E5" s="176"/>
      <c r="F5" s="176"/>
      <c r="G5" s="176"/>
      <c r="H5" s="176"/>
    </row>
    <row r="6" spans="1:8" ht="15.75" thickBot="1" x14ac:dyDescent="0.3">
      <c r="B6" s="111" t="s">
        <v>229</v>
      </c>
      <c r="C6" s="112" t="s">
        <v>230</v>
      </c>
      <c r="D6" s="112" t="s">
        <v>231</v>
      </c>
      <c r="E6" s="112" t="s">
        <v>232</v>
      </c>
      <c r="F6" s="112" t="s">
        <v>233</v>
      </c>
      <c r="G6" s="112" t="s">
        <v>234</v>
      </c>
      <c r="H6" s="113" t="s">
        <v>235</v>
      </c>
    </row>
    <row r="7" spans="1:8" x14ac:dyDescent="0.25">
      <c r="B7" s="106" t="s">
        <v>270</v>
      </c>
      <c r="C7" s="75" t="s">
        <v>282</v>
      </c>
      <c r="D7" s="75">
        <v>100</v>
      </c>
      <c r="E7" s="75">
        <v>0</v>
      </c>
      <c r="F7" s="75">
        <v>10</v>
      </c>
      <c r="G7" s="75">
        <v>35</v>
      </c>
      <c r="H7" s="107">
        <v>1E+100</v>
      </c>
    </row>
    <row r="8" spans="1:8" x14ac:dyDescent="0.25">
      <c r="B8" s="106" t="s">
        <v>271</v>
      </c>
      <c r="C8" s="75" t="s">
        <v>283</v>
      </c>
      <c r="D8" s="75">
        <v>100</v>
      </c>
      <c r="E8" s="75">
        <v>0</v>
      </c>
      <c r="F8" s="75">
        <v>30</v>
      </c>
      <c r="G8" s="75">
        <v>10</v>
      </c>
      <c r="H8" s="107">
        <v>10</v>
      </c>
    </row>
    <row r="9" spans="1:8" x14ac:dyDescent="0.25">
      <c r="B9" s="106" t="s">
        <v>272</v>
      </c>
      <c r="C9" s="75" t="s">
        <v>284</v>
      </c>
      <c r="D9" s="75">
        <v>0</v>
      </c>
      <c r="E9" s="75">
        <v>15</v>
      </c>
      <c r="F9" s="75">
        <v>40</v>
      </c>
      <c r="G9" s="75">
        <v>1E+100</v>
      </c>
      <c r="H9" s="107">
        <v>15</v>
      </c>
    </row>
    <row r="10" spans="1:8" x14ac:dyDescent="0.25">
      <c r="B10" s="106" t="s">
        <v>297</v>
      </c>
      <c r="C10" s="75" t="s">
        <v>285</v>
      </c>
      <c r="D10" s="75">
        <v>0</v>
      </c>
      <c r="E10" s="75">
        <v>10</v>
      </c>
      <c r="F10" s="75">
        <v>40</v>
      </c>
      <c r="G10" s="75">
        <v>1E+100</v>
      </c>
      <c r="H10" s="107">
        <v>10</v>
      </c>
    </row>
    <row r="11" spans="1:8" x14ac:dyDescent="0.25">
      <c r="B11" s="106" t="s">
        <v>298</v>
      </c>
      <c r="C11" s="75" t="s">
        <v>286</v>
      </c>
      <c r="D11" s="75">
        <v>0</v>
      </c>
      <c r="E11" s="75">
        <v>25</v>
      </c>
      <c r="F11" s="75">
        <v>60</v>
      </c>
      <c r="G11" s="75">
        <v>1E+100</v>
      </c>
      <c r="H11" s="107">
        <v>25</v>
      </c>
    </row>
    <row r="12" spans="1:8" x14ac:dyDescent="0.25">
      <c r="B12" s="106" t="s">
        <v>273</v>
      </c>
      <c r="C12" s="75" t="s">
        <v>287</v>
      </c>
      <c r="D12" s="75">
        <v>0</v>
      </c>
      <c r="E12" s="75">
        <v>35</v>
      </c>
      <c r="F12" s="75">
        <v>35</v>
      </c>
      <c r="G12" s="75">
        <v>1E+100</v>
      </c>
      <c r="H12" s="107">
        <v>35</v>
      </c>
    </row>
    <row r="13" spans="1:8" x14ac:dyDescent="0.25">
      <c r="B13" s="106" t="s">
        <v>274</v>
      </c>
      <c r="C13" s="75" t="s">
        <v>288</v>
      </c>
      <c r="D13" s="75">
        <v>0</v>
      </c>
      <c r="E13" s="75">
        <v>0</v>
      </c>
      <c r="F13" s="75">
        <v>20</v>
      </c>
      <c r="G13" s="75">
        <v>5</v>
      </c>
      <c r="H13" s="107">
        <v>5</v>
      </c>
    </row>
    <row r="14" spans="1:8" x14ac:dyDescent="0.25">
      <c r="B14" s="106" t="s">
        <v>275</v>
      </c>
      <c r="C14" s="75" t="s">
        <v>289</v>
      </c>
      <c r="D14" s="75">
        <v>200</v>
      </c>
      <c r="E14" s="75">
        <v>0</v>
      </c>
      <c r="F14" s="75">
        <v>15</v>
      </c>
      <c r="G14" s="75">
        <v>5</v>
      </c>
      <c r="H14" s="107">
        <v>1E+100</v>
      </c>
    </row>
    <row r="15" spans="1:8" x14ac:dyDescent="0.25">
      <c r="B15" s="106" t="s">
        <v>299</v>
      </c>
      <c r="C15" s="75" t="s">
        <v>290</v>
      </c>
      <c r="D15" s="75">
        <v>100</v>
      </c>
      <c r="E15" s="75">
        <v>0</v>
      </c>
      <c r="F15" s="75">
        <v>20</v>
      </c>
      <c r="G15" s="75">
        <v>5</v>
      </c>
      <c r="H15" s="107">
        <v>1E+100</v>
      </c>
    </row>
    <row r="16" spans="1:8" x14ac:dyDescent="0.25">
      <c r="B16" s="106" t="s">
        <v>300</v>
      </c>
      <c r="C16" s="75" t="s">
        <v>291</v>
      </c>
      <c r="D16" s="75">
        <v>0</v>
      </c>
      <c r="E16" s="75">
        <v>5</v>
      </c>
      <c r="F16" s="75">
        <v>30</v>
      </c>
      <c r="G16" s="75">
        <v>1E+100</v>
      </c>
      <c r="H16" s="107">
        <v>5</v>
      </c>
    </row>
    <row r="17" spans="1:8" x14ac:dyDescent="0.25">
      <c r="B17" s="106" t="s">
        <v>276</v>
      </c>
      <c r="C17" s="75" t="s">
        <v>292</v>
      </c>
      <c r="D17" s="75">
        <v>0</v>
      </c>
      <c r="E17" s="75">
        <v>55</v>
      </c>
      <c r="F17" s="75">
        <v>45</v>
      </c>
      <c r="G17" s="75">
        <v>1E+100</v>
      </c>
      <c r="H17" s="107">
        <v>55</v>
      </c>
    </row>
    <row r="18" spans="1:8" x14ac:dyDescent="0.25">
      <c r="B18" s="106" t="s">
        <v>277</v>
      </c>
      <c r="C18" s="75" t="s">
        <v>293</v>
      </c>
      <c r="D18" s="75">
        <v>200</v>
      </c>
      <c r="E18" s="75">
        <v>0</v>
      </c>
      <c r="F18" s="75">
        <v>10</v>
      </c>
      <c r="G18" s="75">
        <v>5</v>
      </c>
      <c r="H18" s="107">
        <v>5</v>
      </c>
    </row>
    <row r="19" spans="1:8" x14ac:dyDescent="0.25">
      <c r="B19" s="106" t="s">
        <v>278</v>
      </c>
      <c r="C19" s="75" t="s">
        <v>294</v>
      </c>
      <c r="D19" s="75">
        <v>0</v>
      </c>
      <c r="E19" s="75">
        <v>5</v>
      </c>
      <c r="F19" s="75">
        <v>10</v>
      </c>
      <c r="G19" s="75">
        <v>1E+100</v>
      </c>
      <c r="H19" s="107">
        <v>5</v>
      </c>
    </row>
    <row r="20" spans="1:8" x14ac:dyDescent="0.25">
      <c r="B20" s="106" t="s">
        <v>301</v>
      </c>
      <c r="C20" s="75" t="s">
        <v>295</v>
      </c>
      <c r="D20" s="75">
        <v>0</v>
      </c>
      <c r="E20" s="75">
        <v>5</v>
      </c>
      <c r="F20" s="75">
        <v>15</v>
      </c>
      <c r="G20" s="75">
        <v>1E+100</v>
      </c>
      <c r="H20" s="107">
        <v>5</v>
      </c>
    </row>
    <row r="21" spans="1:8" x14ac:dyDescent="0.25">
      <c r="B21" s="106" t="s">
        <v>302</v>
      </c>
      <c r="C21" s="75" t="s">
        <v>296</v>
      </c>
      <c r="D21" s="75">
        <v>150</v>
      </c>
      <c r="E21" s="75">
        <v>0</v>
      </c>
      <c r="F21" s="75">
        <v>15</v>
      </c>
      <c r="G21" s="75">
        <v>5</v>
      </c>
      <c r="H21" s="107">
        <v>1E+100</v>
      </c>
    </row>
    <row r="22" spans="1:8" ht="15.75" thickBot="1" x14ac:dyDescent="0.3">
      <c r="B22" s="108" t="s">
        <v>432</v>
      </c>
      <c r="C22" s="109" t="s">
        <v>431</v>
      </c>
      <c r="D22" s="109">
        <v>0</v>
      </c>
      <c r="E22" s="109">
        <v>0</v>
      </c>
      <c r="F22" s="109">
        <v>0</v>
      </c>
      <c r="G22" s="109">
        <v>0</v>
      </c>
      <c r="H22" s="110">
        <v>0</v>
      </c>
    </row>
    <row r="23" spans="1:8" x14ac:dyDescent="0.25">
      <c r="B23" s="176"/>
      <c r="C23" s="176"/>
      <c r="D23" s="176"/>
      <c r="E23" s="176"/>
      <c r="F23" s="176"/>
      <c r="G23" s="176"/>
      <c r="H23" s="176"/>
    </row>
    <row r="24" spans="1:8" ht="15.75" thickBot="1" x14ac:dyDescent="0.3">
      <c r="A24" s="17" t="s">
        <v>134</v>
      </c>
      <c r="B24" s="176"/>
      <c r="C24" s="176"/>
      <c r="D24" s="176"/>
      <c r="E24" s="176"/>
      <c r="F24" s="176"/>
      <c r="G24" s="176"/>
      <c r="H24" s="176"/>
    </row>
    <row r="25" spans="1:8" ht="15.75" thickBot="1" x14ac:dyDescent="0.3">
      <c r="B25" s="111" t="s">
        <v>229</v>
      </c>
      <c r="C25" s="112" t="s">
        <v>230</v>
      </c>
      <c r="D25" s="112" t="s">
        <v>231</v>
      </c>
      <c r="E25" s="112" t="s">
        <v>279</v>
      </c>
      <c r="F25" s="112" t="s">
        <v>280</v>
      </c>
      <c r="G25" s="112" t="s">
        <v>234</v>
      </c>
      <c r="H25" s="113" t="s">
        <v>235</v>
      </c>
    </row>
    <row r="26" spans="1:8" x14ac:dyDescent="0.25">
      <c r="B26" s="106" t="s">
        <v>398</v>
      </c>
      <c r="C26" s="75" t="s">
        <v>399</v>
      </c>
      <c r="D26" s="75">
        <v>200</v>
      </c>
      <c r="E26" s="75">
        <v>0</v>
      </c>
      <c r="F26" s="75">
        <v>200</v>
      </c>
      <c r="G26" s="75">
        <v>1E+100</v>
      </c>
      <c r="H26" s="107">
        <v>0</v>
      </c>
    </row>
    <row r="27" spans="1:8" x14ac:dyDescent="0.25">
      <c r="B27" s="106" t="s">
        <v>400</v>
      </c>
      <c r="C27" s="75" t="s">
        <v>401</v>
      </c>
      <c r="D27" s="75">
        <v>300</v>
      </c>
      <c r="E27" s="75">
        <v>-10</v>
      </c>
      <c r="F27" s="75">
        <v>300</v>
      </c>
      <c r="G27" s="75">
        <v>100</v>
      </c>
      <c r="H27" s="107">
        <v>0</v>
      </c>
    </row>
    <row r="28" spans="1:8" x14ac:dyDescent="0.25">
      <c r="B28" s="106" t="s">
        <v>402</v>
      </c>
      <c r="C28" s="75" t="s">
        <v>403</v>
      </c>
      <c r="D28" s="75">
        <v>350</v>
      </c>
      <c r="E28" s="75">
        <v>-20</v>
      </c>
      <c r="F28" s="75">
        <v>350</v>
      </c>
      <c r="G28" s="75">
        <v>100</v>
      </c>
      <c r="H28" s="107">
        <v>0</v>
      </c>
    </row>
    <row r="29" spans="1:8" x14ac:dyDescent="0.25">
      <c r="B29" s="106" t="s">
        <v>404</v>
      </c>
      <c r="C29" s="75" t="s">
        <v>405</v>
      </c>
      <c r="D29" s="75">
        <v>100</v>
      </c>
      <c r="E29" s="75">
        <v>10</v>
      </c>
      <c r="F29" s="75">
        <v>100</v>
      </c>
      <c r="G29" s="75">
        <v>0</v>
      </c>
      <c r="H29" s="107">
        <v>100</v>
      </c>
    </row>
    <row r="30" spans="1:8" x14ac:dyDescent="0.25">
      <c r="B30" s="106" t="s">
        <v>406</v>
      </c>
      <c r="C30" s="75" t="s">
        <v>407</v>
      </c>
      <c r="D30" s="75">
        <v>300</v>
      </c>
      <c r="E30" s="75">
        <v>30</v>
      </c>
      <c r="F30" s="75">
        <v>300</v>
      </c>
      <c r="G30" s="75">
        <v>0</v>
      </c>
      <c r="H30" s="107">
        <v>100</v>
      </c>
    </row>
    <row r="31" spans="1:8" x14ac:dyDescent="0.25">
      <c r="B31" s="106" t="s">
        <v>408</v>
      </c>
      <c r="C31" s="75" t="s">
        <v>409</v>
      </c>
      <c r="D31" s="75">
        <v>200</v>
      </c>
      <c r="E31" s="75">
        <v>25</v>
      </c>
      <c r="F31" s="75">
        <v>200</v>
      </c>
      <c r="G31" s="75">
        <v>0</v>
      </c>
      <c r="H31" s="107">
        <v>100</v>
      </c>
    </row>
    <row r="32" spans="1:8" x14ac:dyDescent="0.25">
      <c r="B32" s="106" t="s">
        <v>410</v>
      </c>
      <c r="C32" s="75" t="s">
        <v>411</v>
      </c>
      <c r="D32" s="75">
        <v>100</v>
      </c>
      <c r="E32" s="75">
        <v>30</v>
      </c>
      <c r="F32" s="75">
        <v>100</v>
      </c>
      <c r="G32" s="75">
        <v>0</v>
      </c>
      <c r="H32" s="107">
        <v>100</v>
      </c>
    </row>
    <row r="33" spans="2:8" ht="15.75" thickBot="1" x14ac:dyDescent="0.3">
      <c r="B33" s="108" t="s">
        <v>412</v>
      </c>
      <c r="C33" s="109" t="s">
        <v>413</v>
      </c>
      <c r="D33" s="109">
        <v>150</v>
      </c>
      <c r="E33" s="109">
        <v>35</v>
      </c>
      <c r="F33" s="109">
        <v>150</v>
      </c>
      <c r="G33" s="109">
        <v>0</v>
      </c>
      <c r="H33" s="110">
        <v>100</v>
      </c>
    </row>
    <row r="34" spans="2:8" x14ac:dyDescent="0.25">
      <c r="B34" s="176"/>
      <c r="C34" s="176"/>
      <c r="D34" s="176"/>
      <c r="E34" s="176"/>
      <c r="F34" s="176"/>
      <c r="G34" s="176"/>
      <c r="H34" s="176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J24"/>
  <sheetViews>
    <sheetView workbookViewId="0">
      <selection activeCell="M11" sqref="M11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</cols>
  <sheetData>
    <row r="1" spans="1:10" x14ac:dyDescent="0.25">
      <c r="A1" s="63" t="s">
        <v>204</v>
      </c>
      <c r="D1" t="s">
        <v>262</v>
      </c>
      <c r="E1" t="s">
        <v>263</v>
      </c>
      <c r="F1" t="s">
        <v>264</v>
      </c>
      <c r="H1" t="s">
        <v>304</v>
      </c>
    </row>
    <row r="2" spans="1:10" ht="15.75" thickBot="1" x14ac:dyDescent="0.3">
      <c r="A2" s="64" t="s">
        <v>205</v>
      </c>
      <c r="C2" t="s">
        <v>265</v>
      </c>
      <c r="D2">
        <v>10</v>
      </c>
      <c r="E2">
        <v>35</v>
      </c>
      <c r="F2">
        <v>45</v>
      </c>
    </row>
    <row r="3" spans="1:10" x14ac:dyDescent="0.25">
      <c r="A3" s="63" t="s">
        <v>209</v>
      </c>
      <c r="C3" t="s">
        <v>266</v>
      </c>
      <c r="D3">
        <v>30</v>
      </c>
      <c r="E3">
        <v>20</v>
      </c>
      <c r="F3">
        <v>10</v>
      </c>
    </row>
    <row r="4" spans="1:10" ht="15.75" thickBot="1" x14ac:dyDescent="0.3">
      <c r="A4" s="64" t="s">
        <v>207</v>
      </c>
      <c r="C4" t="s">
        <v>267</v>
      </c>
      <c r="D4">
        <v>40</v>
      </c>
      <c r="E4">
        <v>15</v>
      </c>
      <c r="F4">
        <v>10</v>
      </c>
    </row>
    <row r="5" spans="1:10" x14ac:dyDescent="0.25">
      <c r="A5" s="63" t="s">
        <v>210</v>
      </c>
      <c r="C5" t="s">
        <v>268</v>
      </c>
      <c r="D5">
        <v>40</v>
      </c>
      <c r="E5">
        <v>20</v>
      </c>
      <c r="F5">
        <v>15</v>
      </c>
    </row>
    <row r="6" spans="1:10" ht="15.75" thickBot="1" x14ac:dyDescent="0.3">
      <c r="A6" s="64" t="b">
        <f>AND(D24)</f>
        <v>1</v>
      </c>
      <c r="C6" t="s">
        <v>269</v>
      </c>
      <c r="D6">
        <v>60</v>
      </c>
      <c r="E6">
        <v>30</v>
      </c>
      <c r="F6">
        <v>15</v>
      </c>
    </row>
    <row r="7" spans="1:10" x14ac:dyDescent="0.25">
      <c r="A7" s="63" t="s">
        <v>211</v>
      </c>
    </row>
    <row r="8" spans="1:10" x14ac:dyDescent="0.25">
      <c r="A8" s="65" t="s">
        <v>201</v>
      </c>
      <c r="D8" t="s">
        <v>265</v>
      </c>
      <c r="E8" t="s">
        <v>266</v>
      </c>
      <c r="F8" t="s">
        <v>267</v>
      </c>
      <c r="G8" t="s">
        <v>268</v>
      </c>
      <c r="H8" t="s">
        <v>269</v>
      </c>
    </row>
    <row r="9" spans="1:10" ht="15.75" thickBot="1" x14ac:dyDescent="0.3">
      <c r="A9" s="64">
        <f>VLOOKUP(A8,OpenSolverResultCodes,2,FALSE)</f>
        <v>0</v>
      </c>
      <c r="C9" t="s">
        <v>262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ht="15.75" thickBot="1" x14ac:dyDescent="0.3">
      <c r="A10" s="168" t="str">
        <f>HYPERLINK("[OpenSolver Tester.xlsm]Results!A1", "&lt;- Results")</f>
        <v>&lt;- Results</v>
      </c>
      <c r="C10" t="s">
        <v>263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264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265</v>
      </c>
      <c r="E13" t="s">
        <v>266</v>
      </c>
      <c r="F13" t="s">
        <v>267</v>
      </c>
      <c r="G13" t="s">
        <v>268</v>
      </c>
      <c r="H13" t="s">
        <v>269</v>
      </c>
      <c r="I13" t="s">
        <v>71</v>
      </c>
    </row>
    <row r="14" spans="1:10" x14ac:dyDescent="0.25">
      <c r="C14" t="s">
        <v>262</v>
      </c>
      <c r="D14" s="172">
        <v>100.00000002</v>
      </c>
      <c r="E14" s="172">
        <v>99.999993509999896</v>
      </c>
      <c r="F14" s="172">
        <v>0</v>
      </c>
      <c r="G14" s="172">
        <v>0</v>
      </c>
      <c r="H14" s="172">
        <v>0</v>
      </c>
      <c r="I14">
        <f>SUM(D14:H14)</f>
        <v>199.9999935299999</v>
      </c>
      <c r="J14">
        <v>200</v>
      </c>
    </row>
    <row r="15" spans="1:10" x14ac:dyDescent="0.25">
      <c r="C15" t="s">
        <v>263</v>
      </c>
      <c r="D15" s="172">
        <v>0</v>
      </c>
      <c r="E15" s="172">
        <v>2.9800023591426099E-6</v>
      </c>
      <c r="F15" s="172">
        <v>200.000000019997</v>
      </c>
      <c r="G15" s="172">
        <v>100.000000019997</v>
      </c>
      <c r="H15" s="172">
        <v>0</v>
      </c>
      <c r="I15">
        <f>SUM(D15:H15)</f>
        <v>300.00000301999637</v>
      </c>
      <c r="J15">
        <v>300</v>
      </c>
    </row>
    <row r="16" spans="1:10" x14ac:dyDescent="0.25">
      <c r="C16" t="s">
        <v>264</v>
      </c>
      <c r="D16" s="172">
        <v>0</v>
      </c>
      <c r="E16" s="172">
        <v>200.00000350999801</v>
      </c>
      <c r="F16" s="172">
        <v>0</v>
      </c>
      <c r="G16" s="172">
        <v>0</v>
      </c>
      <c r="H16" s="172">
        <v>150.000000019998</v>
      </c>
      <c r="I16">
        <f>SUM(D16:H16)</f>
        <v>350.00000352999598</v>
      </c>
      <c r="J16">
        <v>350</v>
      </c>
    </row>
    <row r="17" spans="3:10" x14ac:dyDescent="0.25">
      <c r="C17" t="s">
        <v>71</v>
      </c>
      <c r="D17">
        <f>SUM(D14:D16)</f>
        <v>100.00000002</v>
      </c>
      <c r="E17">
        <f>SUM(E14:E16)</f>
        <v>300.00000000000028</v>
      </c>
      <c r="F17">
        <f>SUM(F14:F16)</f>
        <v>200.000000019997</v>
      </c>
      <c r="G17">
        <f>SUM(G14:G16)</f>
        <v>100.000000019997</v>
      </c>
      <c r="H17">
        <f>SUM(H14:H16)</f>
        <v>150.000000019998</v>
      </c>
    </row>
    <row r="18" spans="3:10" x14ac:dyDescent="0.25">
      <c r="D18">
        <v>100</v>
      </c>
      <c r="E18">
        <v>300</v>
      </c>
      <c r="F18">
        <v>200</v>
      </c>
      <c r="G18">
        <v>100</v>
      </c>
      <c r="H18">
        <v>150</v>
      </c>
      <c r="J18" t="s">
        <v>396</v>
      </c>
    </row>
    <row r="19" spans="3:10" x14ac:dyDescent="0.25">
      <c r="J19" t="s">
        <v>397</v>
      </c>
    </row>
    <row r="20" spans="3:10" x14ac:dyDescent="0.25">
      <c r="C20" t="s">
        <v>0</v>
      </c>
      <c r="D20">
        <f>SUMPRODUCT(D9:H11,D14:H16)</f>
        <v>13249.999901199888</v>
      </c>
      <c r="J20" t="s">
        <v>431</v>
      </c>
    </row>
    <row r="21" spans="3:10" x14ac:dyDescent="0.25">
      <c r="J21">
        <v>482485.23155039601</v>
      </c>
    </row>
    <row r="22" spans="3:10" x14ac:dyDescent="0.25">
      <c r="D22" t="s">
        <v>303</v>
      </c>
    </row>
    <row r="23" spans="3:10" x14ac:dyDescent="0.25">
      <c r="D23">
        <v>13250</v>
      </c>
    </row>
    <row r="24" spans="3:10" x14ac:dyDescent="0.25">
      <c r="D24" s="8" t="b">
        <f>ABS(D20-D23)/(1+ABS(D23))&lt;=0.000001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H49"/>
  <sheetViews>
    <sheetView showGridLines="0" topLeftCell="A4" workbookViewId="0">
      <selection activeCell="CV100" sqref="CV100"/>
    </sheetView>
  </sheetViews>
  <sheetFormatPr defaultRowHeight="15" x14ac:dyDescent="0.25"/>
  <cols>
    <col min="1" max="1" width="5.7109375" style="17" customWidth="1"/>
    <col min="2" max="2" width="8.5703125" bestFit="1" customWidth="1"/>
    <col min="3" max="3" width="10.710937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436</v>
      </c>
    </row>
    <row r="2" spans="1:8" x14ac:dyDescent="0.25">
      <c r="A2" s="17" t="s">
        <v>415</v>
      </c>
      <c r="B2" s="176"/>
      <c r="C2" s="176"/>
      <c r="D2" s="176"/>
      <c r="E2" s="176"/>
      <c r="F2" s="176"/>
      <c r="G2" s="176"/>
      <c r="H2" s="176"/>
    </row>
    <row r="3" spans="1:8" x14ac:dyDescent="0.25">
      <c r="A3" s="17" t="s">
        <v>439</v>
      </c>
      <c r="B3" s="176"/>
      <c r="C3" s="176"/>
      <c r="D3" s="176"/>
      <c r="E3" s="176"/>
      <c r="F3" s="176"/>
      <c r="G3" s="176"/>
      <c r="H3" s="176"/>
    </row>
    <row r="4" spans="1:8" x14ac:dyDescent="0.25">
      <c r="B4" s="176"/>
      <c r="C4" s="176"/>
      <c r="D4" s="176"/>
      <c r="E4" s="176"/>
      <c r="F4" s="176"/>
      <c r="G4" s="176"/>
      <c r="H4" s="176"/>
    </row>
    <row r="5" spans="1:8" ht="15.75" thickBot="1" x14ac:dyDescent="0.3">
      <c r="A5" s="17" t="s">
        <v>228</v>
      </c>
      <c r="B5" s="176"/>
      <c r="C5" s="176"/>
      <c r="D5" s="176"/>
      <c r="E5" s="176"/>
      <c r="F5" s="176"/>
      <c r="G5" s="176"/>
      <c r="H5" s="176"/>
    </row>
    <row r="6" spans="1:8" ht="15.75" thickBot="1" x14ac:dyDescent="0.3">
      <c r="B6" s="111" t="s">
        <v>229</v>
      </c>
      <c r="C6" s="112" t="s">
        <v>230</v>
      </c>
      <c r="D6" s="112" t="s">
        <v>231</v>
      </c>
      <c r="E6" s="112" t="s">
        <v>232</v>
      </c>
      <c r="F6" s="112" t="s">
        <v>233</v>
      </c>
      <c r="G6" s="112" t="s">
        <v>234</v>
      </c>
      <c r="H6" s="113" t="s">
        <v>235</v>
      </c>
    </row>
    <row r="7" spans="1:8" x14ac:dyDescent="0.25">
      <c r="B7" s="106" t="s">
        <v>270</v>
      </c>
      <c r="C7" s="75" t="s">
        <v>282</v>
      </c>
      <c r="D7" s="75">
        <v>100</v>
      </c>
      <c r="E7" s="75">
        <v>0</v>
      </c>
      <c r="F7" s="75">
        <v>10</v>
      </c>
      <c r="G7" s="75">
        <v>35</v>
      </c>
      <c r="H7" s="107">
        <v>1E+100</v>
      </c>
    </row>
    <row r="8" spans="1:8" x14ac:dyDescent="0.25">
      <c r="B8" s="106" t="s">
        <v>271</v>
      </c>
      <c r="C8" s="75" t="s">
        <v>283</v>
      </c>
      <c r="D8" s="75">
        <v>100</v>
      </c>
      <c r="E8" s="75">
        <v>0</v>
      </c>
      <c r="F8" s="75">
        <v>30</v>
      </c>
      <c r="G8" s="75">
        <v>10</v>
      </c>
      <c r="H8" s="107">
        <v>10</v>
      </c>
    </row>
    <row r="9" spans="1:8" x14ac:dyDescent="0.25">
      <c r="B9" s="106" t="s">
        <v>272</v>
      </c>
      <c r="C9" s="75" t="s">
        <v>284</v>
      </c>
      <c r="D9" s="75">
        <v>0</v>
      </c>
      <c r="E9" s="75">
        <v>0</v>
      </c>
      <c r="F9" s="75">
        <v>40</v>
      </c>
      <c r="G9" s="75">
        <v>1E+100</v>
      </c>
      <c r="H9" s="107">
        <v>15</v>
      </c>
    </row>
    <row r="10" spans="1:8" x14ac:dyDescent="0.25">
      <c r="B10" s="106" t="s">
        <v>297</v>
      </c>
      <c r="C10" s="75" t="s">
        <v>285</v>
      </c>
      <c r="D10" s="75">
        <v>0</v>
      </c>
      <c r="E10" s="75">
        <v>0</v>
      </c>
      <c r="F10" s="75">
        <v>40</v>
      </c>
      <c r="G10" s="75">
        <v>1E+100</v>
      </c>
      <c r="H10" s="107">
        <v>10</v>
      </c>
    </row>
    <row r="11" spans="1:8" x14ac:dyDescent="0.25">
      <c r="B11" s="106" t="s">
        <v>298</v>
      </c>
      <c r="C11" s="75" t="s">
        <v>286</v>
      </c>
      <c r="D11" s="75">
        <v>0</v>
      </c>
      <c r="E11" s="75">
        <v>0</v>
      </c>
      <c r="F11" s="75">
        <v>60</v>
      </c>
      <c r="G11" s="75">
        <v>1E+100</v>
      </c>
      <c r="H11" s="107">
        <v>25</v>
      </c>
    </row>
    <row r="12" spans="1:8" x14ac:dyDescent="0.25">
      <c r="B12" s="106" t="s">
        <v>273</v>
      </c>
      <c r="C12" s="75" t="s">
        <v>287</v>
      </c>
      <c r="D12" s="75">
        <v>0</v>
      </c>
      <c r="E12" s="75">
        <v>0</v>
      </c>
      <c r="F12" s="75">
        <v>35</v>
      </c>
      <c r="G12" s="75">
        <v>1E+100</v>
      </c>
      <c r="H12" s="107">
        <v>35</v>
      </c>
    </row>
    <row r="13" spans="1:8" x14ac:dyDescent="0.25">
      <c r="B13" s="106" t="s">
        <v>274</v>
      </c>
      <c r="C13" s="75" t="s">
        <v>288</v>
      </c>
      <c r="D13" s="75">
        <v>0</v>
      </c>
      <c r="E13" s="75">
        <v>0</v>
      </c>
      <c r="F13" s="75">
        <v>20</v>
      </c>
      <c r="G13" s="75">
        <v>5</v>
      </c>
      <c r="H13" s="107">
        <v>5</v>
      </c>
    </row>
    <row r="14" spans="1:8" x14ac:dyDescent="0.25">
      <c r="B14" s="106" t="s">
        <v>275</v>
      </c>
      <c r="C14" s="75" t="s">
        <v>289</v>
      </c>
      <c r="D14" s="75">
        <v>200</v>
      </c>
      <c r="E14" s="75">
        <v>0</v>
      </c>
      <c r="F14" s="75">
        <v>15</v>
      </c>
      <c r="G14" s="75">
        <v>5</v>
      </c>
      <c r="H14" s="107">
        <v>1E+100</v>
      </c>
    </row>
    <row r="15" spans="1:8" x14ac:dyDescent="0.25">
      <c r="B15" s="106" t="s">
        <v>299</v>
      </c>
      <c r="C15" s="75" t="s">
        <v>290</v>
      </c>
      <c r="D15" s="75">
        <v>100</v>
      </c>
      <c r="E15" s="75">
        <v>0</v>
      </c>
      <c r="F15" s="75">
        <v>20</v>
      </c>
      <c r="G15" s="75">
        <v>5</v>
      </c>
      <c r="H15" s="107">
        <v>1E+100</v>
      </c>
    </row>
    <row r="16" spans="1:8" x14ac:dyDescent="0.25">
      <c r="B16" s="106" t="s">
        <v>300</v>
      </c>
      <c r="C16" s="75" t="s">
        <v>291</v>
      </c>
      <c r="D16" s="75">
        <v>0</v>
      </c>
      <c r="E16" s="75">
        <v>0</v>
      </c>
      <c r="F16" s="75">
        <v>30</v>
      </c>
      <c r="G16" s="75">
        <v>1E+100</v>
      </c>
      <c r="H16" s="107">
        <v>5</v>
      </c>
    </row>
    <row r="17" spans="1:8" x14ac:dyDescent="0.25">
      <c r="B17" s="106" t="s">
        <v>276</v>
      </c>
      <c r="C17" s="75" t="s">
        <v>292</v>
      </c>
      <c r="D17" s="75">
        <v>0</v>
      </c>
      <c r="E17" s="75">
        <v>0</v>
      </c>
      <c r="F17" s="75">
        <v>45</v>
      </c>
      <c r="G17" s="75">
        <v>1E+100</v>
      </c>
      <c r="H17" s="107">
        <v>55</v>
      </c>
    </row>
    <row r="18" spans="1:8" x14ac:dyDescent="0.25">
      <c r="B18" s="106" t="s">
        <v>277</v>
      </c>
      <c r="C18" s="75" t="s">
        <v>293</v>
      </c>
      <c r="D18" s="75">
        <v>200</v>
      </c>
      <c r="E18" s="75">
        <v>0</v>
      </c>
      <c r="F18" s="75">
        <v>10</v>
      </c>
      <c r="G18" s="75">
        <v>5</v>
      </c>
      <c r="H18" s="107">
        <v>5</v>
      </c>
    </row>
    <row r="19" spans="1:8" x14ac:dyDescent="0.25">
      <c r="B19" s="106" t="s">
        <v>278</v>
      </c>
      <c r="C19" s="75" t="s">
        <v>294</v>
      </c>
      <c r="D19" s="75">
        <v>0</v>
      </c>
      <c r="E19" s="75">
        <v>0</v>
      </c>
      <c r="F19" s="75">
        <v>10</v>
      </c>
      <c r="G19" s="75">
        <v>1E+100</v>
      </c>
      <c r="H19" s="107">
        <v>5</v>
      </c>
    </row>
    <row r="20" spans="1:8" x14ac:dyDescent="0.25">
      <c r="B20" s="106" t="s">
        <v>301</v>
      </c>
      <c r="C20" s="75" t="s">
        <v>295</v>
      </c>
      <c r="D20" s="75">
        <v>0</v>
      </c>
      <c r="E20" s="75">
        <v>0</v>
      </c>
      <c r="F20" s="75">
        <v>15</v>
      </c>
      <c r="G20" s="75">
        <v>1E+100</v>
      </c>
      <c r="H20" s="107">
        <v>5</v>
      </c>
    </row>
    <row r="21" spans="1:8" x14ac:dyDescent="0.25">
      <c r="B21" s="106" t="s">
        <v>302</v>
      </c>
      <c r="C21" s="75" t="s">
        <v>296</v>
      </c>
      <c r="D21" s="75">
        <v>150</v>
      </c>
      <c r="E21" s="75">
        <v>0</v>
      </c>
      <c r="F21" s="75">
        <v>15</v>
      </c>
      <c r="G21" s="75">
        <v>5</v>
      </c>
      <c r="H21" s="107">
        <v>1E+100</v>
      </c>
    </row>
    <row r="22" spans="1:8" ht="15.75" thickBot="1" x14ac:dyDescent="0.3">
      <c r="B22" s="108" t="s">
        <v>432</v>
      </c>
      <c r="C22" s="109" t="s">
        <v>431</v>
      </c>
      <c r="D22" s="109">
        <v>0</v>
      </c>
      <c r="E22" s="109">
        <v>0</v>
      </c>
      <c r="F22" s="109">
        <v>0</v>
      </c>
      <c r="G22" s="109">
        <v>0</v>
      </c>
      <c r="H22" s="110">
        <v>0</v>
      </c>
    </row>
    <row r="23" spans="1:8" x14ac:dyDescent="0.25">
      <c r="B23" s="176"/>
      <c r="C23" s="176"/>
      <c r="D23" s="176"/>
      <c r="E23" s="176"/>
      <c r="F23" s="176"/>
      <c r="G23" s="176"/>
      <c r="H23" s="176"/>
    </row>
    <row r="24" spans="1:8" ht="15.75" thickBot="1" x14ac:dyDescent="0.3">
      <c r="A24" s="17" t="s">
        <v>134</v>
      </c>
      <c r="B24" s="176"/>
      <c r="C24" s="176"/>
      <c r="D24" s="176"/>
      <c r="E24" s="176"/>
      <c r="F24" s="176"/>
      <c r="G24" s="176"/>
      <c r="H24" s="176"/>
    </row>
    <row r="25" spans="1:8" ht="15.75" thickBot="1" x14ac:dyDescent="0.3">
      <c r="B25" s="111" t="s">
        <v>229</v>
      </c>
      <c r="C25" s="112" t="s">
        <v>230</v>
      </c>
      <c r="D25" s="112" t="s">
        <v>231</v>
      </c>
      <c r="E25" s="112" t="s">
        <v>279</v>
      </c>
      <c r="F25" s="112" t="s">
        <v>280</v>
      </c>
      <c r="G25" s="112" t="s">
        <v>234</v>
      </c>
      <c r="H25" s="113" t="s">
        <v>235</v>
      </c>
    </row>
    <row r="26" spans="1:8" x14ac:dyDescent="0.25">
      <c r="B26" s="106" t="s">
        <v>398</v>
      </c>
      <c r="C26" s="75" t="s">
        <v>399</v>
      </c>
      <c r="D26" s="75">
        <v>200</v>
      </c>
      <c r="E26" s="75">
        <v>0</v>
      </c>
      <c r="F26" s="75">
        <v>200</v>
      </c>
      <c r="G26" s="75">
        <v>1E+100</v>
      </c>
      <c r="H26" s="107">
        <v>0</v>
      </c>
    </row>
    <row r="27" spans="1:8" x14ac:dyDescent="0.25">
      <c r="B27" s="106" t="s">
        <v>400</v>
      </c>
      <c r="C27" s="75" t="s">
        <v>401</v>
      </c>
      <c r="D27" s="75">
        <v>300</v>
      </c>
      <c r="E27" s="75">
        <v>-10</v>
      </c>
      <c r="F27" s="75">
        <v>300</v>
      </c>
      <c r="G27" s="75">
        <v>100</v>
      </c>
      <c r="H27" s="107">
        <v>0</v>
      </c>
    </row>
    <row r="28" spans="1:8" x14ac:dyDescent="0.25">
      <c r="B28" s="106" t="s">
        <v>402</v>
      </c>
      <c r="C28" s="75" t="s">
        <v>403</v>
      </c>
      <c r="D28" s="75">
        <v>350</v>
      </c>
      <c r="E28" s="75">
        <v>-20</v>
      </c>
      <c r="F28" s="75">
        <v>350</v>
      </c>
      <c r="G28" s="75">
        <v>100</v>
      </c>
      <c r="H28" s="107">
        <v>0</v>
      </c>
    </row>
    <row r="29" spans="1:8" x14ac:dyDescent="0.25">
      <c r="B29" s="106" t="s">
        <v>404</v>
      </c>
      <c r="C29" s="75" t="s">
        <v>405</v>
      </c>
      <c r="D29" s="75">
        <v>100</v>
      </c>
      <c r="E29" s="75">
        <v>10</v>
      </c>
      <c r="F29" s="75">
        <v>100</v>
      </c>
      <c r="G29" s="75">
        <v>0</v>
      </c>
      <c r="H29" s="107">
        <v>100</v>
      </c>
    </row>
    <row r="30" spans="1:8" x14ac:dyDescent="0.25">
      <c r="B30" s="106" t="s">
        <v>406</v>
      </c>
      <c r="C30" s="75" t="s">
        <v>407</v>
      </c>
      <c r="D30" s="75">
        <v>300</v>
      </c>
      <c r="E30" s="75">
        <v>30</v>
      </c>
      <c r="F30" s="75">
        <v>300</v>
      </c>
      <c r="G30" s="75">
        <v>0</v>
      </c>
      <c r="H30" s="107">
        <v>100</v>
      </c>
    </row>
    <row r="31" spans="1:8" x14ac:dyDescent="0.25">
      <c r="B31" s="106" t="s">
        <v>408</v>
      </c>
      <c r="C31" s="75" t="s">
        <v>409</v>
      </c>
      <c r="D31" s="75">
        <v>200</v>
      </c>
      <c r="E31" s="75">
        <v>25</v>
      </c>
      <c r="F31" s="75">
        <v>200</v>
      </c>
      <c r="G31" s="75">
        <v>0</v>
      </c>
      <c r="H31" s="107">
        <v>100</v>
      </c>
    </row>
    <row r="32" spans="1:8" x14ac:dyDescent="0.25">
      <c r="B32" s="106" t="s">
        <v>410</v>
      </c>
      <c r="C32" s="75" t="s">
        <v>411</v>
      </c>
      <c r="D32" s="75">
        <v>100</v>
      </c>
      <c r="E32" s="75">
        <v>30</v>
      </c>
      <c r="F32" s="75">
        <v>100</v>
      </c>
      <c r="G32" s="75">
        <v>0</v>
      </c>
      <c r="H32" s="107">
        <v>100</v>
      </c>
    </row>
    <row r="33" spans="2:8" x14ac:dyDescent="0.25">
      <c r="B33" s="106" t="s">
        <v>412</v>
      </c>
      <c r="C33" s="75" t="s">
        <v>413</v>
      </c>
      <c r="D33" s="75">
        <v>150</v>
      </c>
      <c r="E33" s="75">
        <v>35</v>
      </c>
      <c r="F33" s="75">
        <v>150</v>
      </c>
      <c r="G33" s="75">
        <v>0</v>
      </c>
      <c r="H33" s="107">
        <v>100</v>
      </c>
    </row>
    <row r="34" spans="2:8" x14ac:dyDescent="0.25">
      <c r="B34" s="106" t="s">
        <v>416</v>
      </c>
      <c r="C34" s="75" t="s">
        <v>282</v>
      </c>
      <c r="D34" s="75">
        <v>100</v>
      </c>
      <c r="E34" s="75">
        <v>0</v>
      </c>
      <c r="F34" s="75">
        <v>0</v>
      </c>
      <c r="G34" s="75">
        <v>100</v>
      </c>
      <c r="H34" s="107">
        <v>1E+100</v>
      </c>
    </row>
    <row r="35" spans="2:8" x14ac:dyDescent="0.25">
      <c r="B35" s="106" t="s">
        <v>417</v>
      </c>
      <c r="C35" s="75" t="s">
        <v>283</v>
      </c>
      <c r="D35" s="75">
        <v>100</v>
      </c>
      <c r="E35" s="75">
        <v>0</v>
      </c>
      <c r="F35" s="75">
        <v>0</v>
      </c>
      <c r="G35" s="75">
        <v>100</v>
      </c>
      <c r="H35" s="107">
        <v>1E+100</v>
      </c>
    </row>
    <row r="36" spans="2:8" x14ac:dyDescent="0.25">
      <c r="B36" s="106" t="s">
        <v>418</v>
      </c>
      <c r="C36" s="75" t="s">
        <v>284</v>
      </c>
      <c r="D36" s="75">
        <v>0</v>
      </c>
      <c r="E36" s="75">
        <v>15</v>
      </c>
      <c r="F36" s="75">
        <v>0</v>
      </c>
      <c r="G36" s="75">
        <v>100</v>
      </c>
      <c r="H36" s="107">
        <v>0</v>
      </c>
    </row>
    <row r="37" spans="2:8" x14ac:dyDescent="0.25">
      <c r="B37" s="106" t="s">
        <v>419</v>
      </c>
      <c r="C37" s="75" t="s">
        <v>285</v>
      </c>
      <c r="D37" s="75">
        <v>0</v>
      </c>
      <c r="E37" s="75">
        <v>10</v>
      </c>
      <c r="F37" s="75">
        <v>0</v>
      </c>
      <c r="G37" s="75">
        <v>100</v>
      </c>
      <c r="H37" s="107">
        <v>0</v>
      </c>
    </row>
    <row r="38" spans="2:8" x14ac:dyDescent="0.25">
      <c r="B38" s="106" t="s">
        <v>420</v>
      </c>
      <c r="C38" s="75" t="s">
        <v>286</v>
      </c>
      <c r="D38" s="75">
        <v>0</v>
      </c>
      <c r="E38" s="75">
        <v>25</v>
      </c>
      <c r="F38" s="75">
        <v>0</v>
      </c>
      <c r="G38" s="75">
        <v>100</v>
      </c>
      <c r="H38" s="107">
        <v>200</v>
      </c>
    </row>
    <row r="39" spans="2:8" x14ac:dyDescent="0.25">
      <c r="B39" s="106" t="s">
        <v>421</v>
      </c>
      <c r="C39" s="75" t="s">
        <v>287</v>
      </c>
      <c r="D39" s="75">
        <v>0</v>
      </c>
      <c r="E39" s="75">
        <v>35</v>
      </c>
      <c r="F39" s="75">
        <v>0</v>
      </c>
      <c r="G39" s="75">
        <v>0</v>
      </c>
      <c r="H39" s="107">
        <v>100</v>
      </c>
    </row>
    <row r="40" spans="2:8" x14ac:dyDescent="0.25">
      <c r="B40" s="106" t="s">
        <v>422</v>
      </c>
      <c r="C40" s="75" t="s">
        <v>288</v>
      </c>
      <c r="D40" s="75">
        <v>0</v>
      </c>
      <c r="E40" s="75">
        <v>0</v>
      </c>
      <c r="F40" s="75">
        <v>0</v>
      </c>
      <c r="G40" s="75">
        <v>0</v>
      </c>
      <c r="H40" s="107">
        <v>1E+100</v>
      </c>
    </row>
    <row r="41" spans="2:8" x14ac:dyDescent="0.25">
      <c r="B41" s="106" t="s">
        <v>423</v>
      </c>
      <c r="C41" s="75" t="s">
        <v>289</v>
      </c>
      <c r="D41" s="75">
        <v>200</v>
      </c>
      <c r="E41" s="75">
        <v>0</v>
      </c>
      <c r="F41" s="75">
        <v>0</v>
      </c>
      <c r="G41" s="75">
        <v>200</v>
      </c>
      <c r="H41" s="107">
        <v>1E+100</v>
      </c>
    </row>
    <row r="42" spans="2:8" x14ac:dyDescent="0.25">
      <c r="B42" s="106" t="s">
        <v>424</v>
      </c>
      <c r="C42" s="75" t="s">
        <v>290</v>
      </c>
      <c r="D42" s="75">
        <v>100</v>
      </c>
      <c r="E42" s="75">
        <v>0</v>
      </c>
      <c r="F42" s="75">
        <v>0</v>
      </c>
      <c r="G42" s="75">
        <v>100</v>
      </c>
      <c r="H42" s="107">
        <v>1E+100</v>
      </c>
    </row>
    <row r="43" spans="2:8" x14ac:dyDescent="0.25">
      <c r="B43" s="106" t="s">
        <v>425</v>
      </c>
      <c r="C43" s="75" t="s">
        <v>291</v>
      </c>
      <c r="D43" s="75">
        <v>0</v>
      </c>
      <c r="E43" s="75">
        <v>5</v>
      </c>
      <c r="F43" s="75">
        <v>0</v>
      </c>
      <c r="G43" s="75">
        <v>0</v>
      </c>
      <c r="H43" s="107">
        <v>200</v>
      </c>
    </row>
    <row r="44" spans="2:8" x14ac:dyDescent="0.25">
      <c r="B44" s="106" t="s">
        <v>426</v>
      </c>
      <c r="C44" s="75" t="s">
        <v>292</v>
      </c>
      <c r="D44" s="75">
        <v>0</v>
      </c>
      <c r="E44" s="75">
        <v>55</v>
      </c>
      <c r="F44" s="75">
        <v>0</v>
      </c>
      <c r="G44" s="75">
        <v>100</v>
      </c>
      <c r="H44" s="107">
        <v>100</v>
      </c>
    </row>
    <row r="45" spans="2:8" x14ac:dyDescent="0.25">
      <c r="B45" s="106" t="s">
        <v>427</v>
      </c>
      <c r="C45" s="75" t="s">
        <v>293</v>
      </c>
      <c r="D45" s="75">
        <v>200</v>
      </c>
      <c r="E45" s="75">
        <v>0</v>
      </c>
      <c r="F45" s="75">
        <v>0</v>
      </c>
      <c r="G45" s="75">
        <v>200</v>
      </c>
      <c r="H45" s="107">
        <v>1E+100</v>
      </c>
    </row>
    <row r="46" spans="2:8" x14ac:dyDescent="0.25">
      <c r="B46" s="106" t="s">
        <v>428</v>
      </c>
      <c r="C46" s="75" t="s">
        <v>294</v>
      </c>
      <c r="D46" s="75">
        <v>0</v>
      </c>
      <c r="E46" s="75">
        <v>5</v>
      </c>
      <c r="F46" s="75">
        <v>0</v>
      </c>
      <c r="G46" s="75">
        <v>200</v>
      </c>
      <c r="H46" s="107">
        <v>0</v>
      </c>
    </row>
    <row r="47" spans="2:8" x14ac:dyDescent="0.25">
      <c r="B47" s="106" t="s">
        <v>429</v>
      </c>
      <c r="C47" s="75" t="s">
        <v>295</v>
      </c>
      <c r="D47" s="75">
        <v>0</v>
      </c>
      <c r="E47" s="75">
        <v>5</v>
      </c>
      <c r="F47" s="75">
        <v>0</v>
      </c>
      <c r="G47" s="75">
        <v>100</v>
      </c>
      <c r="H47" s="107">
        <v>0</v>
      </c>
    </row>
    <row r="48" spans="2:8" ht="15.75" thickBot="1" x14ac:dyDescent="0.3">
      <c r="B48" s="108" t="s">
        <v>430</v>
      </c>
      <c r="C48" s="109" t="s">
        <v>296</v>
      </c>
      <c r="D48" s="109">
        <v>150</v>
      </c>
      <c r="E48" s="109">
        <v>0</v>
      </c>
      <c r="F48" s="109">
        <v>0</v>
      </c>
      <c r="G48" s="109">
        <v>150</v>
      </c>
      <c r="H48" s="110">
        <v>1E+100</v>
      </c>
    </row>
    <row r="49" spans="2:8" x14ac:dyDescent="0.25">
      <c r="B49" s="176"/>
      <c r="C49" s="176"/>
      <c r="D49" s="176"/>
      <c r="E49" s="176"/>
      <c r="F49" s="176"/>
      <c r="G49" s="176"/>
      <c r="H49" s="176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K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</cols>
  <sheetData>
    <row r="1" spans="1:11" x14ac:dyDescent="0.25">
      <c r="A1" s="63" t="s">
        <v>204</v>
      </c>
      <c r="D1" t="s">
        <v>262</v>
      </c>
      <c r="E1" t="s">
        <v>263</v>
      </c>
      <c r="F1" t="s">
        <v>264</v>
      </c>
      <c r="H1" t="s">
        <v>304</v>
      </c>
    </row>
    <row r="2" spans="1:11" ht="15.75" thickBot="1" x14ac:dyDescent="0.3">
      <c r="A2" s="64" t="s">
        <v>205</v>
      </c>
      <c r="C2" t="s">
        <v>265</v>
      </c>
      <c r="D2">
        <v>10</v>
      </c>
      <c r="E2">
        <v>35</v>
      </c>
      <c r="F2">
        <v>45</v>
      </c>
      <c r="K2" t="s">
        <v>414</v>
      </c>
    </row>
    <row r="3" spans="1:11" x14ac:dyDescent="0.25">
      <c r="A3" s="63" t="s">
        <v>209</v>
      </c>
      <c r="C3" t="s">
        <v>266</v>
      </c>
      <c r="D3">
        <v>30</v>
      </c>
      <c r="E3">
        <v>20</v>
      </c>
      <c r="F3">
        <v>10</v>
      </c>
    </row>
    <row r="4" spans="1:11" ht="15.75" thickBot="1" x14ac:dyDescent="0.3">
      <c r="A4" s="64" t="s">
        <v>207</v>
      </c>
      <c r="C4" t="s">
        <v>267</v>
      </c>
      <c r="D4">
        <v>40</v>
      </c>
      <c r="E4">
        <v>15</v>
      </c>
      <c r="F4">
        <v>10</v>
      </c>
    </row>
    <row r="5" spans="1:11" x14ac:dyDescent="0.25">
      <c r="A5" s="63" t="s">
        <v>210</v>
      </c>
      <c r="C5" t="s">
        <v>268</v>
      </c>
      <c r="D5">
        <v>40</v>
      </c>
      <c r="E5">
        <v>20</v>
      </c>
      <c r="F5">
        <v>15</v>
      </c>
    </row>
    <row r="6" spans="1:11" ht="15.75" thickBot="1" x14ac:dyDescent="0.3">
      <c r="A6" s="64" t="b">
        <f>AND(D24)</f>
        <v>1</v>
      </c>
      <c r="C6" t="s">
        <v>269</v>
      </c>
      <c r="D6">
        <v>60</v>
      </c>
      <c r="E6">
        <v>30</v>
      </c>
      <c r="F6">
        <v>15</v>
      </c>
    </row>
    <row r="7" spans="1:11" x14ac:dyDescent="0.25">
      <c r="A7" s="63" t="s">
        <v>211</v>
      </c>
    </row>
    <row r="8" spans="1:11" x14ac:dyDescent="0.25">
      <c r="A8" s="65" t="s">
        <v>201</v>
      </c>
      <c r="D8" t="s">
        <v>265</v>
      </c>
      <c r="E8" t="s">
        <v>266</v>
      </c>
      <c r="F8" t="s">
        <v>267</v>
      </c>
      <c r="G8" t="s">
        <v>268</v>
      </c>
      <c r="H8" t="s">
        <v>269</v>
      </c>
    </row>
    <row r="9" spans="1:11" ht="15.75" thickBot="1" x14ac:dyDescent="0.3">
      <c r="A9" s="64">
        <f>VLOOKUP(A8,OpenSolverResultCodes,2,FALSE)</f>
        <v>0</v>
      </c>
      <c r="C9" t="s">
        <v>262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1" ht="15.75" thickBot="1" x14ac:dyDescent="0.3">
      <c r="A10" s="168" t="str">
        <f>HYPERLINK("[OpenSolver Tester.xlsm]Results!A1", "&lt;- Results")</f>
        <v>&lt;- Results</v>
      </c>
      <c r="C10" t="s">
        <v>263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1" x14ac:dyDescent="0.25">
      <c r="C11" t="s">
        <v>264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1" x14ac:dyDescent="0.25">
      <c r="D13" t="s">
        <v>265</v>
      </c>
      <c r="E13" t="s">
        <v>266</v>
      </c>
      <c r="F13" t="s">
        <v>267</v>
      </c>
      <c r="G13" t="s">
        <v>268</v>
      </c>
      <c r="H13" t="s">
        <v>269</v>
      </c>
      <c r="I13" t="s">
        <v>71</v>
      </c>
    </row>
    <row r="14" spans="1:11" x14ac:dyDescent="0.25">
      <c r="C14" t="s">
        <v>262</v>
      </c>
      <c r="D14">
        <v>100.00000002</v>
      </c>
      <c r="E14">
        <v>99.999993509999996</v>
      </c>
      <c r="F14" s="81">
        <v>-9.9993333332337904E-9</v>
      </c>
      <c r="G14" s="81">
        <v>-9.9989999997151892E-9</v>
      </c>
      <c r="H14">
        <v>-9.9996000000000001E-9</v>
      </c>
      <c r="I14">
        <f>SUM(D14:H14)</f>
        <v>199.99999350000203</v>
      </c>
      <c r="J14">
        <v>200</v>
      </c>
    </row>
    <row r="15" spans="1:11" x14ac:dyDescent="0.25">
      <c r="C15" t="s">
        <v>263</v>
      </c>
      <c r="D15" s="81">
        <v>-9.9997142857102896E-9</v>
      </c>
      <c r="E15" s="81">
        <v>2.98000237349008E-6</v>
      </c>
      <c r="F15">
        <v>200.000000019997</v>
      </c>
      <c r="G15" s="81">
        <v>100.000000019997</v>
      </c>
      <c r="H15" s="81">
        <v>-9.9979999966647296E-9</v>
      </c>
      <c r="I15">
        <f>SUM(D15:H15)</f>
        <v>300.00000299999869</v>
      </c>
      <c r="J15">
        <v>300</v>
      </c>
    </row>
    <row r="16" spans="1:11" x14ac:dyDescent="0.25">
      <c r="C16" t="s">
        <v>264</v>
      </c>
      <c r="D16" s="81">
        <v>-9.9998181818181799E-9</v>
      </c>
      <c r="E16">
        <v>200.00000350999801</v>
      </c>
      <c r="F16" s="81">
        <v>-9.9979999986622202E-9</v>
      </c>
      <c r="G16" s="81">
        <v>-9.9979999986618397E-9</v>
      </c>
      <c r="H16">
        <v>150.000000019998</v>
      </c>
      <c r="I16">
        <f>SUM(D16:H16)</f>
        <v>350.00000350000022</v>
      </c>
      <c r="J16">
        <v>350</v>
      </c>
    </row>
    <row r="17" spans="3:10" x14ac:dyDescent="0.25">
      <c r="C17" t="s">
        <v>71</v>
      </c>
      <c r="D17">
        <f>SUM(D14:D16)</f>
        <v>100.00000000000047</v>
      </c>
      <c r="E17">
        <f>SUM(E14:E16)</f>
        <v>300.0000000000004</v>
      </c>
      <c r="F17">
        <f>SUM(F14:F16)</f>
        <v>199.99999999999969</v>
      </c>
      <c r="G17">
        <f>SUM(G14:G16)</f>
        <v>100</v>
      </c>
      <c r="H17">
        <f>SUM(H14:H16)</f>
        <v>150.0000000000004</v>
      </c>
    </row>
    <row r="18" spans="3:10" x14ac:dyDescent="0.25">
      <c r="D18">
        <v>100</v>
      </c>
      <c r="E18">
        <v>300</v>
      </c>
      <c r="F18">
        <v>200</v>
      </c>
      <c r="G18">
        <v>100</v>
      </c>
      <c r="H18">
        <v>150</v>
      </c>
      <c r="J18" t="s">
        <v>396</v>
      </c>
    </row>
    <row r="19" spans="3:10" x14ac:dyDescent="0.25">
      <c r="J19" t="s">
        <v>397</v>
      </c>
    </row>
    <row r="20" spans="3:10" x14ac:dyDescent="0.25">
      <c r="C20" t="s">
        <v>0</v>
      </c>
      <c r="D20">
        <f>SUMPRODUCT(D9:H11,D14:H16)</f>
        <v>13249.999898450109</v>
      </c>
      <c r="J20" t="s">
        <v>431</v>
      </c>
    </row>
    <row r="21" spans="3:10" x14ac:dyDescent="0.25">
      <c r="J21">
        <v>0</v>
      </c>
    </row>
    <row r="22" spans="3:10" x14ac:dyDescent="0.25">
      <c r="D22" t="s">
        <v>303</v>
      </c>
    </row>
    <row r="23" spans="3:10" x14ac:dyDescent="0.25">
      <c r="D23">
        <v>13250</v>
      </c>
    </row>
    <row r="24" spans="3:10" x14ac:dyDescent="0.25">
      <c r="D24" s="8" t="b">
        <f>ABS(D20-D23)/(1+ABS(D23))&lt;=0.000001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E2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  <col min="3" max="3" width="25.28515625" style="87" bestFit="1" customWidth="1"/>
    <col min="4" max="4" width="12" style="87" bestFit="1" customWidth="1"/>
    <col min="5" max="16384" width="8.85546875" style="87"/>
  </cols>
  <sheetData>
    <row r="1" spans="1:5" x14ac:dyDescent="0.25">
      <c r="A1" s="63" t="s">
        <v>348</v>
      </c>
      <c r="C1" s="114"/>
      <c r="D1" s="115"/>
      <c r="E1" s="114"/>
    </row>
    <row r="2" spans="1:5" ht="15.75" thickBot="1" x14ac:dyDescent="0.3">
      <c r="A2" s="64" t="s">
        <v>206</v>
      </c>
      <c r="C2" s="116"/>
      <c r="D2" s="117"/>
      <c r="E2" s="114"/>
    </row>
    <row r="3" spans="1:5" x14ac:dyDescent="0.25">
      <c r="A3" s="63" t="s">
        <v>209</v>
      </c>
      <c r="C3" s="118" t="s">
        <v>305</v>
      </c>
      <c r="D3" s="119">
        <v>365</v>
      </c>
      <c r="E3" s="120"/>
    </row>
    <row r="4" spans="1:5" ht="15.75" thickBot="1" x14ac:dyDescent="0.3">
      <c r="A4" s="64" t="s">
        <v>208</v>
      </c>
      <c r="C4" s="118" t="s">
        <v>306</v>
      </c>
      <c r="D4" s="119">
        <v>5</v>
      </c>
      <c r="E4" s="120"/>
    </row>
    <row r="5" spans="1:5" x14ac:dyDescent="0.25">
      <c r="A5" s="63" t="s">
        <v>210</v>
      </c>
      <c r="C5" s="118" t="s">
        <v>307</v>
      </c>
      <c r="D5" s="121">
        <v>10</v>
      </c>
      <c r="E5" s="120"/>
    </row>
    <row r="6" spans="1:5" ht="15.75" thickBot="1" x14ac:dyDescent="0.3">
      <c r="A6" s="64" t="b">
        <f>AND(D17)</f>
        <v>1</v>
      </c>
      <c r="C6" s="118" t="s">
        <v>308</v>
      </c>
      <c r="D6" s="121">
        <v>20</v>
      </c>
      <c r="E6" s="120"/>
    </row>
    <row r="7" spans="1:5" x14ac:dyDescent="0.25">
      <c r="A7" s="63" t="s">
        <v>211</v>
      </c>
      <c r="C7" s="118" t="s">
        <v>309</v>
      </c>
      <c r="D7" s="119">
        <v>0.1</v>
      </c>
      <c r="E7" s="120"/>
    </row>
    <row r="8" spans="1:5" x14ac:dyDescent="0.25">
      <c r="A8" s="65" t="s">
        <v>201</v>
      </c>
      <c r="C8" s="118" t="s">
        <v>310</v>
      </c>
      <c r="D8" s="119">
        <f>D6*D7/D3</f>
        <v>5.4794520547945206E-3</v>
      </c>
      <c r="E8" s="120"/>
    </row>
    <row r="9" spans="1:5" ht="15.75" thickBot="1" x14ac:dyDescent="0.3">
      <c r="A9" s="64">
        <f>VLOOKUP(A8,OpenSolverResultCodes,2,FALSE)</f>
        <v>0</v>
      </c>
      <c r="C9" s="118"/>
      <c r="D9" s="119"/>
      <c r="E9" s="120"/>
    </row>
    <row r="10" spans="1:5" ht="15.75" thickBot="1" x14ac:dyDescent="0.3">
      <c r="A10" s="168" t="str">
        <f>HYPERLINK("[OpenSolver Tester.xlsm]Results!A1", "&lt;- Results")</f>
        <v>&lt;- Results</v>
      </c>
      <c r="C10" s="118"/>
      <c r="D10" s="119"/>
      <c r="E10" s="120"/>
    </row>
    <row r="11" spans="1:5" x14ac:dyDescent="0.25">
      <c r="C11" s="118" t="s">
        <v>311</v>
      </c>
      <c r="D11" s="177">
        <v>135.09256086288099</v>
      </c>
      <c r="E11" s="120"/>
    </row>
    <row r="12" spans="1:5" x14ac:dyDescent="0.25">
      <c r="C12" s="118" t="s">
        <v>312</v>
      </c>
      <c r="D12" s="119">
        <f>D11/D4</f>
        <v>27.018512172576198</v>
      </c>
      <c r="E12" s="120"/>
    </row>
    <row r="13" spans="1:5" x14ac:dyDescent="0.25">
      <c r="C13" s="118" t="s">
        <v>313</v>
      </c>
      <c r="D13" s="121">
        <f>D8*D11/2</f>
        <v>0.37011660510378352</v>
      </c>
      <c r="E13" s="120"/>
    </row>
    <row r="14" spans="1:5" x14ac:dyDescent="0.25">
      <c r="C14" s="118" t="s">
        <v>314</v>
      </c>
      <c r="D14" s="122">
        <f>D5/D12</f>
        <v>0.37011660509382172</v>
      </c>
      <c r="E14" s="120"/>
    </row>
    <row r="15" spans="1:5" x14ac:dyDescent="0.25">
      <c r="C15" s="118"/>
      <c r="D15" s="119"/>
      <c r="E15" s="120"/>
    </row>
    <row r="16" spans="1:5" x14ac:dyDescent="0.25">
      <c r="C16" s="118" t="s">
        <v>315</v>
      </c>
      <c r="D16" s="123">
        <f>D13+D14</f>
        <v>0.74023321019760524</v>
      </c>
      <c r="E16" s="120"/>
    </row>
    <row r="17" spans="3:4" x14ac:dyDescent="0.25">
      <c r="D17" s="87" t="b">
        <f>D16&lt;0.75</f>
        <v>1</v>
      </c>
    </row>
    <row r="25" spans="3:4" x14ac:dyDescent="0.25">
      <c r="C25" s="87" t="s">
        <v>316</v>
      </c>
    </row>
    <row r="26" spans="3:4" x14ac:dyDescent="0.25">
      <c r="C26" s="87" t="s">
        <v>317</v>
      </c>
    </row>
    <row r="27" spans="3:4" x14ac:dyDescent="0.25">
      <c r="C27" s="87" t="s">
        <v>318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P36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  <col min="3" max="3" width="9.85546875" style="87" customWidth="1"/>
    <col min="4" max="4" width="2.42578125" style="90" bestFit="1" customWidth="1"/>
    <col min="5" max="5" width="2.42578125" style="87" bestFit="1" customWidth="1"/>
    <col min="6" max="9" width="5.85546875" style="87" customWidth="1"/>
    <col min="10" max="10" width="15.140625" style="136" bestFit="1" customWidth="1"/>
    <col min="11" max="11" width="3.42578125" style="87" bestFit="1" customWidth="1"/>
    <col min="12" max="13" width="8.85546875" style="87"/>
    <col min="14" max="14" width="10.85546875" style="90" customWidth="1"/>
    <col min="15" max="16" width="8.85546875" style="90"/>
    <col min="17" max="16384" width="8.85546875" style="87"/>
  </cols>
  <sheetData>
    <row r="1" spans="1:16" s="125" customFormat="1" x14ac:dyDescent="0.25">
      <c r="A1" s="63" t="s">
        <v>348</v>
      </c>
      <c r="B1" s="87"/>
      <c r="C1" s="119"/>
      <c r="D1" s="119" t="s">
        <v>319</v>
      </c>
      <c r="E1" s="119" t="s">
        <v>320</v>
      </c>
      <c r="F1" s="124" t="s">
        <v>126</v>
      </c>
      <c r="G1" s="124" t="s">
        <v>224</v>
      </c>
      <c r="H1" s="124" t="s">
        <v>128</v>
      </c>
      <c r="I1" s="124" t="s">
        <v>225</v>
      </c>
      <c r="J1" s="124" t="s">
        <v>321</v>
      </c>
      <c r="K1" s="127"/>
      <c r="N1" s="128" t="s">
        <v>322</v>
      </c>
      <c r="O1" s="128" t="s">
        <v>251</v>
      </c>
      <c r="P1" s="128" t="s">
        <v>252</v>
      </c>
    </row>
    <row r="2" spans="1:16" s="125" customFormat="1" ht="15.75" thickBot="1" x14ac:dyDescent="0.3">
      <c r="A2" s="64" t="s">
        <v>206</v>
      </c>
      <c r="B2" s="87"/>
      <c r="C2" s="119" t="s">
        <v>323</v>
      </c>
      <c r="D2" s="119">
        <v>0</v>
      </c>
      <c r="E2" s="119">
        <v>0</v>
      </c>
      <c r="F2" s="126">
        <v>1</v>
      </c>
      <c r="G2" s="126">
        <v>2</v>
      </c>
      <c r="H2" s="126">
        <v>3</v>
      </c>
      <c r="I2" s="126">
        <v>4</v>
      </c>
      <c r="J2" s="124">
        <f>SQRT(($F$2-D2)^2+($G$2-E2)^2)</f>
        <v>2.2360679774997898</v>
      </c>
      <c r="K2" s="100"/>
      <c r="N2" s="90" t="str">
        <f>C2</f>
        <v>Location 1</v>
      </c>
      <c r="O2" s="90">
        <f>D2</f>
        <v>0</v>
      </c>
      <c r="P2" s="90">
        <f>E2</f>
        <v>0</v>
      </c>
    </row>
    <row r="3" spans="1:16" s="125" customFormat="1" x14ac:dyDescent="0.25">
      <c r="A3" s="63" t="s">
        <v>209</v>
      </c>
      <c r="B3" s="87"/>
      <c r="C3" s="119" t="s">
        <v>324</v>
      </c>
      <c r="D3" s="119">
        <v>0</v>
      </c>
      <c r="E3" s="119">
        <v>1</v>
      </c>
      <c r="F3" s="124"/>
      <c r="G3" s="124"/>
      <c r="H3" s="124"/>
      <c r="I3" s="124"/>
      <c r="J3" s="124">
        <f>SQRT(($F$2-D3)^2+($G$2-E3)^2)</f>
        <v>1.4142135623730951</v>
      </c>
      <c r="K3" s="100"/>
      <c r="N3" s="90" t="s">
        <v>327</v>
      </c>
      <c r="O3" s="90">
        <f>$F$2</f>
        <v>1</v>
      </c>
      <c r="P3" s="90">
        <f>$G$2</f>
        <v>2</v>
      </c>
    </row>
    <row r="4" spans="1:16" s="125" customFormat="1" ht="15.75" thickBot="1" x14ac:dyDescent="0.3">
      <c r="A4" s="64" t="s">
        <v>208</v>
      </c>
      <c r="B4" s="87"/>
      <c r="C4" s="119" t="s">
        <v>325</v>
      </c>
      <c r="D4" s="119">
        <v>2</v>
      </c>
      <c r="E4" s="119">
        <v>1</v>
      </c>
      <c r="F4" s="124"/>
      <c r="G4" s="124"/>
      <c r="H4" s="124"/>
      <c r="I4" s="124"/>
      <c r="J4" s="124">
        <f>SQRT(($H$2-D4)^2+($I$2-E4)^2)</f>
        <v>3.1622776601683795</v>
      </c>
      <c r="K4" s="100"/>
      <c r="N4" s="90"/>
      <c r="O4" s="90"/>
      <c r="P4" s="90"/>
    </row>
    <row r="5" spans="1:16" s="125" customFormat="1" x14ac:dyDescent="0.25">
      <c r="A5" s="63" t="s">
        <v>210</v>
      </c>
      <c r="B5" s="87"/>
      <c r="C5" s="119" t="s">
        <v>326</v>
      </c>
      <c r="D5" s="119">
        <v>2</v>
      </c>
      <c r="E5" s="119">
        <v>0</v>
      </c>
      <c r="F5" s="124"/>
      <c r="G5" s="124"/>
      <c r="H5" s="124"/>
      <c r="I5" s="124"/>
      <c r="J5" s="124">
        <f>SQRT(($H$2-D5)^2+($I$2-E5)^2)</f>
        <v>4.1231056256176606</v>
      </c>
      <c r="K5" s="100"/>
      <c r="N5" s="90" t="str">
        <f>C3</f>
        <v>Location 2</v>
      </c>
      <c r="O5" s="90">
        <f>D3</f>
        <v>0</v>
      </c>
      <c r="P5" s="90">
        <f>E3</f>
        <v>1</v>
      </c>
    </row>
    <row r="6" spans="1:16" s="125" customFormat="1" ht="15.75" thickBot="1" x14ac:dyDescent="0.3">
      <c r="A6" s="64" t="b">
        <f>AND(F23,G23,H23,I23,J23)</f>
        <v>1</v>
      </c>
      <c r="B6" s="87"/>
      <c r="C6" s="129" t="s">
        <v>328</v>
      </c>
      <c r="D6" s="130"/>
      <c r="E6" s="131"/>
      <c r="F6" s="131"/>
      <c r="G6" s="131"/>
      <c r="H6" s="131"/>
      <c r="I6" s="132"/>
      <c r="J6" s="124">
        <f>SQRT((H2-F2)^2+(I2-G2)^2)</f>
        <v>2.8284271247461903</v>
      </c>
      <c r="K6" s="100"/>
      <c r="N6" s="90" t="s">
        <v>327</v>
      </c>
      <c r="O6" s="90">
        <f>$F$2</f>
        <v>1</v>
      </c>
      <c r="P6" s="90">
        <f>$G$2</f>
        <v>2</v>
      </c>
    </row>
    <row r="7" spans="1:16" x14ac:dyDescent="0.25">
      <c r="A7" s="63" t="s">
        <v>211</v>
      </c>
      <c r="C7" s="114"/>
      <c r="D7" s="133"/>
      <c r="E7" s="114"/>
      <c r="F7" s="114"/>
      <c r="G7" s="114"/>
      <c r="H7" s="114"/>
      <c r="I7" s="134" t="s">
        <v>71</v>
      </c>
      <c r="J7" s="135">
        <f>SUM(J2:J6,K2:K6)</f>
        <v>13.764091950405115</v>
      </c>
      <c r="K7" s="120"/>
    </row>
    <row r="8" spans="1:16" x14ac:dyDescent="0.25">
      <c r="A8" s="65" t="s">
        <v>201</v>
      </c>
      <c r="N8" s="90" t="str">
        <f>C4</f>
        <v>Location 3</v>
      </c>
      <c r="O8" s="90">
        <f>D4</f>
        <v>2</v>
      </c>
      <c r="P8" s="90">
        <f>E4</f>
        <v>1</v>
      </c>
    </row>
    <row r="9" spans="1:16" ht="15.75" thickBot="1" x14ac:dyDescent="0.3">
      <c r="A9" s="64">
        <f>VLOOKUP(A8,OpenSolverResultCodes,2,FALSE)</f>
        <v>0</v>
      </c>
      <c r="N9" s="90" t="s">
        <v>329</v>
      </c>
      <c r="O9" s="90">
        <f>$H$2</f>
        <v>3</v>
      </c>
      <c r="P9" s="90">
        <f>$I$2</f>
        <v>4</v>
      </c>
    </row>
    <row r="10" spans="1:16" ht="15.75" thickBot="1" x14ac:dyDescent="0.3">
      <c r="A10" s="168" t="str">
        <f>HYPERLINK("[OpenSolver Tester.xlsm]Results!A1", "&lt;- Results")</f>
        <v>&lt;- Results</v>
      </c>
    </row>
    <row r="11" spans="1:16" x14ac:dyDescent="0.25">
      <c r="N11" s="90" t="str">
        <f>C5</f>
        <v>Location 4</v>
      </c>
      <c r="O11" s="90">
        <f>D5</f>
        <v>2</v>
      </c>
      <c r="P11" s="90">
        <f>E5</f>
        <v>0</v>
      </c>
    </row>
    <row r="12" spans="1:16" x14ac:dyDescent="0.25">
      <c r="N12" s="90" t="s">
        <v>330</v>
      </c>
      <c r="O12" s="90">
        <f>$H$2</f>
        <v>3</v>
      </c>
      <c r="P12" s="90">
        <f>$I$2</f>
        <v>4</v>
      </c>
    </row>
    <row r="14" spans="1:16" x14ac:dyDescent="0.25">
      <c r="N14" s="90" t="s">
        <v>327</v>
      </c>
      <c r="O14" s="90">
        <f>$F$2</f>
        <v>1</v>
      </c>
      <c r="P14" s="90">
        <f>$G$2</f>
        <v>2</v>
      </c>
    </row>
    <row r="15" spans="1:16" x14ac:dyDescent="0.25">
      <c r="N15" s="90" t="s">
        <v>329</v>
      </c>
      <c r="O15" s="90">
        <f>$H$2</f>
        <v>3</v>
      </c>
      <c r="P15" s="90">
        <f>$I$2</f>
        <v>4</v>
      </c>
    </row>
    <row r="18" spans="4:16" x14ac:dyDescent="0.25">
      <c r="N18" s="90" t="s">
        <v>126</v>
      </c>
      <c r="O18" s="90">
        <v>9</v>
      </c>
    </row>
    <row r="19" spans="4:16" x14ac:dyDescent="0.25">
      <c r="N19" s="90" t="s">
        <v>224</v>
      </c>
      <c r="O19" s="90">
        <v>15</v>
      </c>
    </row>
    <row r="20" spans="4:16" x14ac:dyDescent="0.25">
      <c r="N20" s="90" t="s">
        <v>128</v>
      </c>
      <c r="O20" s="90">
        <v>18</v>
      </c>
    </row>
    <row r="21" spans="4:16" x14ac:dyDescent="0.25">
      <c r="N21" s="90" t="s">
        <v>225</v>
      </c>
      <c r="O21" s="90">
        <v>15</v>
      </c>
    </row>
    <row r="23" spans="4:16" x14ac:dyDescent="0.25">
      <c r="F23" s="126">
        <v>0.28867444302612322</v>
      </c>
      <c r="G23" s="126">
        <v>0.49999853295374613</v>
      </c>
      <c r="H23" s="126">
        <v>1.7113233039553806</v>
      </c>
      <c r="I23" s="126">
        <v>0.4999986254183782</v>
      </c>
      <c r="J23" s="135">
        <v>3.732050807574419</v>
      </c>
    </row>
    <row r="24" spans="4:16" x14ac:dyDescent="0.25">
      <c r="F24" s="8" t="b">
        <f>ABS(F2-F23)/(1+ABS(F23))&lt;=0.001</f>
        <v>0</v>
      </c>
      <c r="G24" s="8" t="b">
        <f>ABS(G2-G23)/(1+ABS(G23))&lt;=0.001</f>
        <v>0</v>
      </c>
      <c r="H24" s="8" t="b">
        <f>ABS(H2-H23)/(1+ABS(H23))&lt;=0.001</f>
        <v>0</v>
      </c>
      <c r="I24" s="8" t="b">
        <f>ABS(I2-I23)/(1+ABS(I23))&lt;=0.001</f>
        <v>0</v>
      </c>
      <c r="J24" s="8" t="b">
        <f>ABS(J7-J23)/(1+ABS(J23))&lt;=0.000001</f>
        <v>0</v>
      </c>
    </row>
    <row r="27" spans="4:16" x14ac:dyDescent="0.25">
      <c r="D27" s="87"/>
      <c r="F27" s="90"/>
      <c r="G27" s="90"/>
      <c r="H27" s="90"/>
      <c r="J27" s="87"/>
      <c r="N27" s="87"/>
      <c r="O27" s="87"/>
      <c r="P27" s="87"/>
    </row>
    <row r="28" spans="4:16" x14ac:dyDescent="0.25">
      <c r="D28" s="87"/>
      <c r="F28" s="90"/>
      <c r="G28" s="90"/>
      <c r="H28" s="90"/>
      <c r="J28" s="87"/>
      <c r="N28" s="87"/>
      <c r="O28" s="87"/>
      <c r="P28" s="87"/>
    </row>
    <row r="29" spans="4:16" x14ac:dyDescent="0.25">
      <c r="D29" s="87"/>
      <c r="F29" s="90"/>
      <c r="G29" s="90"/>
      <c r="H29" s="90"/>
      <c r="J29" s="87"/>
      <c r="N29" s="87"/>
      <c r="O29" s="87"/>
      <c r="P29" s="87"/>
    </row>
    <row r="30" spans="4:16" x14ac:dyDescent="0.25">
      <c r="D30" s="87"/>
      <c r="F30" s="90"/>
      <c r="G30" s="90"/>
      <c r="H30" s="90"/>
      <c r="J30" s="87"/>
      <c r="N30" s="87"/>
      <c r="O30" s="87"/>
      <c r="P30" s="87"/>
    </row>
    <row r="31" spans="4:16" x14ac:dyDescent="0.25">
      <c r="D31" s="87"/>
      <c r="F31" s="90"/>
      <c r="G31" s="90"/>
      <c r="H31" s="90"/>
      <c r="J31" s="87"/>
      <c r="N31" s="87"/>
      <c r="O31" s="87"/>
      <c r="P31" s="87"/>
    </row>
    <row r="32" spans="4:16" x14ac:dyDescent="0.25">
      <c r="D32" s="87"/>
      <c r="F32" s="90"/>
      <c r="G32" s="90"/>
      <c r="H32" s="90"/>
      <c r="J32" s="87"/>
      <c r="N32" s="87"/>
      <c r="O32" s="87"/>
      <c r="P32" s="87"/>
    </row>
    <row r="33" spans="4:16" x14ac:dyDescent="0.25">
      <c r="D33" s="87"/>
      <c r="F33" s="90"/>
      <c r="G33" s="90"/>
      <c r="H33" s="90"/>
      <c r="J33" s="87"/>
      <c r="N33" s="87"/>
      <c r="O33" s="87"/>
      <c r="P33" s="87"/>
    </row>
    <row r="34" spans="4:16" x14ac:dyDescent="0.25">
      <c r="D34" s="87"/>
      <c r="F34" s="90"/>
      <c r="G34" s="90"/>
      <c r="H34" s="90"/>
      <c r="J34" s="87"/>
      <c r="N34" s="87"/>
      <c r="O34" s="87"/>
      <c r="P34" s="87"/>
    </row>
    <row r="35" spans="4:16" x14ac:dyDescent="0.25">
      <c r="D35" s="87"/>
      <c r="F35" s="90"/>
      <c r="G35" s="90"/>
      <c r="H35" s="90"/>
      <c r="J35" s="87"/>
      <c r="N35" s="87"/>
      <c r="O35" s="87"/>
      <c r="P35" s="87"/>
    </row>
    <row r="36" spans="4:16" x14ac:dyDescent="0.25">
      <c r="D36" s="87"/>
      <c r="F36" s="90"/>
      <c r="G36" s="90"/>
      <c r="H36" s="90"/>
      <c r="J36" s="87"/>
      <c r="N36" s="87"/>
      <c r="O36" s="87"/>
      <c r="P36" s="8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/>
  <headerFooter alignWithMargins="0"/>
  <drawing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I31"/>
  <sheetViews>
    <sheetView workbookViewId="0">
      <selection activeCell="D51" sqref="D51"/>
    </sheetView>
  </sheetViews>
  <sheetFormatPr defaultColWidth="10.28515625" defaultRowHeight="15" x14ac:dyDescent="0.25"/>
  <cols>
    <col min="1" max="1" width="15" style="61" bestFit="1" customWidth="1"/>
    <col min="2" max="2" width="3" style="87" customWidth="1"/>
    <col min="3" max="3" width="10.28515625" style="137" customWidth="1"/>
    <col min="4" max="4" width="7" style="137" customWidth="1"/>
    <col min="5" max="16384" width="10.28515625" style="137"/>
  </cols>
  <sheetData>
    <row r="1" spans="1:9" x14ac:dyDescent="0.25">
      <c r="A1" s="63" t="s">
        <v>348</v>
      </c>
      <c r="C1" s="181" t="s">
        <v>331</v>
      </c>
      <c r="D1" s="181"/>
      <c r="E1" s="181"/>
    </row>
    <row r="2" spans="1:9" ht="16.5" thickBot="1" x14ac:dyDescent="0.35">
      <c r="A2" s="64" t="s">
        <v>205</v>
      </c>
      <c r="C2" s="138" t="s">
        <v>332</v>
      </c>
      <c r="D2" s="137">
        <v>3</v>
      </c>
      <c r="H2" s="137" t="s">
        <v>333</v>
      </c>
    </row>
    <row r="3" spans="1:9" ht="15.75" x14ac:dyDescent="0.3">
      <c r="A3" s="63" t="s">
        <v>209</v>
      </c>
      <c r="C3" s="138" t="s">
        <v>334</v>
      </c>
      <c r="D3" s="137">
        <v>5</v>
      </c>
      <c r="H3" s="137">
        <v>0</v>
      </c>
      <c r="I3" s="137">
        <v>0</v>
      </c>
    </row>
    <row r="4" spans="1:9" ht="15.75" thickBot="1" x14ac:dyDescent="0.3">
      <c r="A4" s="64" t="s">
        <v>208</v>
      </c>
      <c r="C4" s="138" t="s">
        <v>335</v>
      </c>
      <c r="D4" s="137">
        <v>7</v>
      </c>
      <c r="H4" s="137">
        <f>COS(RADIANS(D7))*D2</f>
        <v>2.3571428572692561</v>
      </c>
      <c r="I4" s="137">
        <f>SIN(RADIANS(D7))*D2</f>
        <v>1.8557687222346773</v>
      </c>
    </row>
    <row r="5" spans="1:9" x14ac:dyDescent="0.25">
      <c r="A5" s="63" t="s">
        <v>210</v>
      </c>
      <c r="H5" s="137">
        <f>H4+COS(RADIANS(D8))*D3</f>
        <v>7.0000000001937108</v>
      </c>
      <c r="I5" s="137">
        <f>I4+SIN(RADIANS(D8))*D3</f>
        <v>7.8557160776426826E-12</v>
      </c>
    </row>
    <row r="6" spans="1:9" ht="15.75" thickBot="1" x14ac:dyDescent="0.3">
      <c r="A6" s="64" t="b">
        <f>AND(F16)</f>
        <v>1</v>
      </c>
      <c r="C6" s="181" t="s">
        <v>228</v>
      </c>
      <c r="D6" s="181"/>
      <c r="E6" s="181"/>
    </row>
    <row r="7" spans="1:9" x14ac:dyDescent="0.25">
      <c r="A7" s="63" t="s">
        <v>211</v>
      </c>
      <c r="C7" s="139" t="s">
        <v>336</v>
      </c>
      <c r="D7" s="140">
        <v>38.213210697835699</v>
      </c>
      <c r="E7" s="137" t="s">
        <v>337</v>
      </c>
    </row>
    <row r="8" spans="1:9" x14ac:dyDescent="0.25">
      <c r="A8" s="65" t="s">
        <v>201</v>
      </c>
      <c r="C8" s="139" t="s">
        <v>338</v>
      </c>
      <c r="D8" s="140">
        <v>-21.786789296183599</v>
      </c>
      <c r="E8" s="137" t="s">
        <v>337</v>
      </c>
      <c r="H8" s="137">
        <f>D4</f>
        <v>7</v>
      </c>
      <c r="I8" s="137">
        <v>0</v>
      </c>
    </row>
    <row r="9" spans="1:9" ht="15.75" thickBot="1" x14ac:dyDescent="0.3">
      <c r="A9" s="64">
        <f>VLOOKUP(A8,OpenSolverResultCodes,2,FALSE)</f>
        <v>0</v>
      </c>
    </row>
    <row r="10" spans="1:9" ht="15.75" thickBot="1" x14ac:dyDescent="0.3">
      <c r="A10" s="168" t="str">
        <f>HYPERLINK("[OpenSolver Tester.xlsm]Results!A1", "&lt;- Results")</f>
        <v>&lt;- Results</v>
      </c>
      <c r="C10" s="181" t="s">
        <v>339</v>
      </c>
      <c r="D10" s="181"/>
      <c r="E10" s="181"/>
    </row>
    <row r="11" spans="1:9" x14ac:dyDescent="0.25">
      <c r="C11" s="141" t="s">
        <v>340</v>
      </c>
      <c r="D11" s="141" t="s">
        <v>341</v>
      </c>
      <c r="E11" s="142" t="s">
        <v>342</v>
      </c>
      <c r="F11" s="142" t="s">
        <v>343</v>
      </c>
    </row>
    <row r="12" spans="1:9" x14ac:dyDescent="0.25">
      <c r="C12" s="142">
        <f>D2*COS(RADIANS(D7))+D3*COS(RADIANS(D8))</f>
        <v>7.0000000001937108</v>
      </c>
      <c r="D12" s="142">
        <f>D4</f>
        <v>7</v>
      </c>
      <c r="E12" s="142">
        <f>D12-C12</f>
        <v>-1.9371082515817761E-10</v>
      </c>
      <c r="F12" s="142">
        <f>E12^2</f>
        <v>3.7523883783462057E-20</v>
      </c>
    </row>
    <row r="13" spans="1:9" x14ac:dyDescent="0.25">
      <c r="C13" s="142">
        <f>D2*SIN(RADIANS(D7))+D3*SIN(RADIANS(D8))</f>
        <v>7.8557160776426826E-12</v>
      </c>
      <c r="D13" s="142">
        <v>0</v>
      </c>
      <c r="E13" s="142">
        <f>C13-D13</f>
        <v>7.8557160776426826E-12</v>
      </c>
      <c r="F13" s="142">
        <f>E13^2</f>
        <v>6.1712275092533735E-23</v>
      </c>
    </row>
    <row r="15" spans="1:9" x14ac:dyDescent="0.25">
      <c r="C15" s="181" t="s">
        <v>344</v>
      </c>
      <c r="D15" s="181"/>
      <c r="E15" s="181"/>
      <c r="F15" s="143">
        <f>SUM(F12:F13)</f>
        <v>3.7585596058554591E-20</v>
      </c>
    </row>
    <row r="16" spans="1:9" x14ac:dyDescent="0.25">
      <c r="C16" s="144"/>
      <c r="F16" s="137" t="b">
        <f>ABS(F15)&lt;=0.000001</f>
        <v>1</v>
      </c>
    </row>
    <row r="27" spans="3:4" x14ac:dyDescent="0.25">
      <c r="C27" s="137" t="s">
        <v>345</v>
      </c>
      <c r="D27" s="140">
        <v>-30</v>
      </c>
    </row>
    <row r="28" spans="3:4" x14ac:dyDescent="0.25">
      <c r="C28" s="137" t="s">
        <v>346</v>
      </c>
      <c r="D28" s="140">
        <v>50</v>
      </c>
    </row>
    <row r="30" spans="3:4" x14ac:dyDescent="0.25">
      <c r="C30" s="137" t="s">
        <v>347</v>
      </c>
      <c r="D30" s="140">
        <v>30</v>
      </c>
    </row>
    <row r="31" spans="3:4" x14ac:dyDescent="0.25">
      <c r="D31" s="140">
        <v>-50</v>
      </c>
    </row>
  </sheetData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/>
  <headerFooter alignWithMargins="0"/>
  <drawing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I13"/>
  <sheetViews>
    <sheetView workbookViewId="0">
      <selection activeCell="J3" sqref="J3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</cols>
  <sheetData>
    <row r="1" spans="1:9" x14ac:dyDescent="0.25">
      <c r="A1" s="63" t="s">
        <v>348</v>
      </c>
      <c r="D1" t="s">
        <v>351</v>
      </c>
      <c r="E1" t="s">
        <v>350</v>
      </c>
      <c r="F1" t="s">
        <v>349</v>
      </c>
    </row>
    <row r="2" spans="1:9" ht="15.75" thickBot="1" x14ac:dyDescent="0.3">
      <c r="A2" s="64" t="s">
        <v>205</v>
      </c>
      <c r="D2">
        <v>250.00000100989999</v>
      </c>
      <c r="E2">
        <v>99.999999000066694</v>
      </c>
      <c r="F2">
        <v>0</v>
      </c>
    </row>
    <row r="3" spans="1:9" x14ac:dyDescent="0.25">
      <c r="A3" s="63" t="s">
        <v>209</v>
      </c>
    </row>
    <row r="4" spans="1:9" ht="15.75" thickBot="1" x14ac:dyDescent="0.3">
      <c r="A4" s="64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49.999999851006677</v>
      </c>
    </row>
    <row r="5" spans="1:9" x14ac:dyDescent="0.25">
      <c r="A5" s="63" t="s">
        <v>210</v>
      </c>
    </row>
    <row r="6" spans="1:9" ht="15.75" thickBot="1" x14ac:dyDescent="0.3">
      <c r="A6" s="64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350.0000000099667</v>
      </c>
      <c r="H6" t="s">
        <v>10</v>
      </c>
      <c r="I6">
        <v>350</v>
      </c>
    </row>
    <row r="7" spans="1:9" x14ac:dyDescent="0.25">
      <c r="A7" s="63" t="s">
        <v>211</v>
      </c>
      <c r="E7">
        <v>1</v>
      </c>
      <c r="G7">
        <f>SUMPRODUCT($D$2:$F$2,D7:F7)</f>
        <v>99.999999000066694</v>
      </c>
      <c r="H7" t="s">
        <v>9</v>
      </c>
      <c r="I7">
        <v>100</v>
      </c>
    </row>
    <row r="8" spans="1:9" x14ac:dyDescent="0.25">
      <c r="A8" s="65" t="s">
        <v>201</v>
      </c>
      <c r="D8">
        <v>-2</v>
      </c>
      <c r="F8">
        <v>1</v>
      </c>
      <c r="G8">
        <f>SUMPRODUCT($D$2:$F$2,D8:F8)</f>
        <v>-500.00000201979998</v>
      </c>
      <c r="H8" t="s">
        <v>8</v>
      </c>
      <c r="I8">
        <v>0</v>
      </c>
    </row>
    <row r="9" spans="1:9" ht="15.75" thickBot="1" x14ac:dyDescent="0.3">
      <c r="A9" s="64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0" spans="1:9" ht="15.75" thickBot="1" x14ac:dyDescent="0.3">
      <c r="A10" s="168" t="str">
        <f>HYPERLINK("[OpenSolver Tester.xlsm]Results!A1", "&lt;- Results")</f>
        <v>&lt;- Results</v>
      </c>
    </row>
    <row r="11" spans="1:9" x14ac:dyDescent="0.25">
      <c r="D11" s="145" t="s">
        <v>1</v>
      </c>
      <c r="E11" s="145" t="s">
        <v>2</v>
      </c>
      <c r="F11" s="145" t="s">
        <v>3</v>
      </c>
      <c r="G11" s="145" t="s">
        <v>242</v>
      </c>
    </row>
    <row r="12" spans="1:9" x14ac:dyDescent="0.25">
      <c r="D12" s="145">
        <v>250</v>
      </c>
      <c r="E12" s="145">
        <v>100</v>
      </c>
      <c r="F12" s="145">
        <v>0</v>
      </c>
      <c r="G12" s="145">
        <v>50</v>
      </c>
    </row>
    <row r="13" spans="1:9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H17"/>
  <sheetViews>
    <sheetView showGridLines="0" workbookViewId="0">
      <selection activeCell="CV100" sqref="CV100"/>
    </sheetView>
  </sheetViews>
  <sheetFormatPr defaultColWidth="8.85546875" defaultRowHeight="15" x14ac:dyDescent="0.25"/>
  <cols>
    <col min="1" max="1" width="5.7109375" style="17" customWidth="1"/>
    <col min="2" max="2" width="6.85546875" bestFit="1" customWidth="1"/>
    <col min="3" max="3" width="15.2851562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436</v>
      </c>
    </row>
    <row r="2" spans="1:8" x14ac:dyDescent="0.25">
      <c r="A2" s="17" t="s">
        <v>387</v>
      </c>
      <c r="B2" s="176"/>
      <c r="C2" s="176"/>
      <c r="D2" s="176"/>
      <c r="E2" s="176"/>
      <c r="F2" s="176"/>
      <c r="G2" s="176"/>
      <c r="H2" s="176"/>
    </row>
    <row r="3" spans="1:8" x14ac:dyDescent="0.25">
      <c r="A3" s="17" t="s">
        <v>440</v>
      </c>
      <c r="B3" s="176"/>
      <c r="C3" s="176"/>
      <c r="D3" s="176"/>
      <c r="E3" s="176"/>
      <c r="F3" s="176"/>
      <c r="G3" s="176"/>
      <c r="H3" s="176"/>
    </row>
    <row r="4" spans="1:8" x14ac:dyDescent="0.25">
      <c r="B4" s="176"/>
      <c r="C4" s="176"/>
      <c r="D4" s="176"/>
      <c r="E4" s="176"/>
      <c r="F4" s="176"/>
      <c r="G4" s="176"/>
      <c r="H4" s="176"/>
    </row>
    <row r="5" spans="1:8" ht="15.75" thickBot="1" x14ac:dyDescent="0.3">
      <c r="A5" s="17" t="s">
        <v>228</v>
      </c>
      <c r="B5" s="176"/>
      <c r="C5" s="176"/>
      <c r="D5" s="176"/>
      <c r="E5" s="176"/>
      <c r="F5" s="176"/>
      <c r="G5" s="176"/>
      <c r="H5" s="176"/>
    </row>
    <row r="6" spans="1:8" ht="15.75" thickBot="1" x14ac:dyDescent="0.3">
      <c r="B6" s="111" t="s">
        <v>229</v>
      </c>
      <c r="C6" s="112" t="s">
        <v>230</v>
      </c>
      <c r="D6" s="112" t="s">
        <v>231</v>
      </c>
      <c r="E6" s="112" t="s">
        <v>232</v>
      </c>
      <c r="F6" s="112" t="s">
        <v>233</v>
      </c>
      <c r="G6" s="112" t="s">
        <v>234</v>
      </c>
      <c r="H6" s="113" t="s">
        <v>235</v>
      </c>
    </row>
    <row r="7" spans="1:8" x14ac:dyDescent="0.25">
      <c r="B7" s="106" t="s">
        <v>384</v>
      </c>
      <c r="C7" s="75" t="s">
        <v>388</v>
      </c>
      <c r="D7" s="75">
        <v>249.99999999999901</v>
      </c>
      <c r="E7" s="75">
        <v>0</v>
      </c>
      <c r="F7" s="75">
        <v>0.1</v>
      </c>
      <c r="G7" s="75">
        <v>-0.1</v>
      </c>
      <c r="H7" s="107">
        <v>1E+100</v>
      </c>
    </row>
    <row r="8" spans="1:8" x14ac:dyDescent="0.25">
      <c r="B8" s="106" t="s">
        <v>385</v>
      </c>
      <c r="C8" s="75" t="s">
        <v>389</v>
      </c>
      <c r="D8" s="75">
        <v>100</v>
      </c>
      <c r="E8" s="75">
        <v>0</v>
      </c>
      <c r="F8" s="75">
        <v>0.25</v>
      </c>
      <c r="G8" s="75">
        <v>1E+100</v>
      </c>
      <c r="H8" s="107">
        <v>0.25</v>
      </c>
    </row>
    <row r="9" spans="1:8" ht="15.75" thickBot="1" x14ac:dyDescent="0.3">
      <c r="B9" s="108" t="s">
        <v>386</v>
      </c>
      <c r="C9" s="109" t="s">
        <v>390</v>
      </c>
      <c r="D9" s="109">
        <v>0</v>
      </c>
      <c r="E9" s="109">
        <v>0</v>
      </c>
      <c r="F9" s="109">
        <v>0.4</v>
      </c>
      <c r="G9" s="109">
        <v>-0.4</v>
      </c>
      <c r="H9" s="110">
        <v>1E+100</v>
      </c>
    </row>
    <row r="10" spans="1:8" x14ac:dyDescent="0.25">
      <c r="B10" s="176"/>
      <c r="C10" s="176"/>
      <c r="D10" s="176"/>
      <c r="E10" s="176"/>
      <c r="F10" s="176"/>
      <c r="G10" s="176"/>
      <c r="H10" s="176"/>
    </row>
    <row r="11" spans="1:8" ht="15.75" thickBot="1" x14ac:dyDescent="0.3">
      <c r="A11" s="17" t="s">
        <v>134</v>
      </c>
      <c r="B11" s="176"/>
      <c r="C11" s="176"/>
      <c r="D11" s="176"/>
      <c r="E11" s="176"/>
      <c r="F11" s="176"/>
      <c r="G11" s="176"/>
      <c r="H11" s="176"/>
    </row>
    <row r="12" spans="1:8" ht="15.75" thickBot="1" x14ac:dyDescent="0.3">
      <c r="B12" s="111" t="s">
        <v>229</v>
      </c>
      <c r="C12" s="112" t="s">
        <v>230</v>
      </c>
      <c r="D12" s="112" t="s">
        <v>231</v>
      </c>
      <c r="E12" s="112" t="s">
        <v>279</v>
      </c>
      <c r="F12" s="112" t="s">
        <v>280</v>
      </c>
      <c r="G12" s="112" t="s">
        <v>234</v>
      </c>
      <c r="H12" s="113" t="s">
        <v>235</v>
      </c>
    </row>
    <row r="13" spans="1:8" x14ac:dyDescent="0.25">
      <c r="B13" s="106" t="s">
        <v>379</v>
      </c>
      <c r="C13" s="75" t="s">
        <v>4</v>
      </c>
      <c r="D13" s="75">
        <v>50</v>
      </c>
      <c r="E13" s="75">
        <v>0</v>
      </c>
      <c r="F13" s="75">
        <v>350</v>
      </c>
      <c r="G13" s="75">
        <v>21.599999999999994</v>
      </c>
      <c r="H13" s="107">
        <v>0</v>
      </c>
    </row>
    <row r="14" spans="1:8" x14ac:dyDescent="0.25">
      <c r="B14" s="106" t="s">
        <v>380</v>
      </c>
      <c r="C14" s="75" t="s">
        <v>211</v>
      </c>
      <c r="D14" s="75">
        <v>350</v>
      </c>
      <c r="E14" s="75">
        <v>0</v>
      </c>
      <c r="F14" s="75">
        <v>100</v>
      </c>
      <c r="G14" s="75">
        <v>0</v>
      </c>
      <c r="H14" s="107">
        <v>166.66666666699999</v>
      </c>
    </row>
    <row r="15" spans="1:8" x14ac:dyDescent="0.25">
      <c r="B15" s="106" t="s">
        <v>367</v>
      </c>
      <c r="C15" s="75" t="s">
        <v>201</v>
      </c>
      <c r="D15" s="75">
        <v>100</v>
      </c>
      <c r="E15" s="75">
        <v>0</v>
      </c>
      <c r="F15" s="75">
        <v>0</v>
      </c>
      <c r="G15" s="75">
        <v>0</v>
      </c>
      <c r="H15" s="107">
        <v>100</v>
      </c>
    </row>
    <row r="16" spans="1:8" ht="15.75" thickBot="1" x14ac:dyDescent="0.3">
      <c r="B16" s="108" t="s">
        <v>381</v>
      </c>
      <c r="C16" s="109">
        <v>0</v>
      </c>
      <c r="D16" s="109">
        <v>-500</v>
      </c>
      <c r="E16" s="109">
        <v>0</v>
      </c>
      <c r="F16" s="109">
        <v>72</v>
      </c>
      <c r="G16" s="109">
        <v>1E+100</v>
      </c>
      <c r="H16" s="110">
        <v>500</v>
      </c>
    </row>
    <row r="17" spans="2:8" x14ac:dyDescent="0.25">
      <c r="B17" s="176"/>
      <c r="C17" s="176"/>
      <c r="D17" s="176"/>
      <c r="E17" s="176"/>
      <c r="F17" s="176"/>
      <c r="G17" s="176"/>
      <c r="H17" s="176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13"/>
  <sheetViews>
    <sheetView workbookViewId="0">
      <selection activeCell="O24" sqref="O24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  <col min="14" max="14" width="10.7109375" customWidth="1"/>
    <col min="15" max="15" width="11.42578125" customWidth="1"/>
  </cols>
  <sheetData>
    <row r="1" spans="1:15" x14ac:dyDescent="0.25">
      <c r="A1" s="63" t="s">
        <v>348</v>
      </c>
      <c r="D1" t="s">
        <v>351</v>
      </c>
      <c r="E1" t="s">
        <v>350</v>
      </c>
      <c r="F1" t="s">
        <v>349</v>
      </c>
      <c r="L1" t="s">
        <v>375</v>
      </c>
      <c r="M1" t="s">
        <v>376</v>
      </c>
      <c r="N1" t="s">
        <v>377</v>
      </c>
      <c r="O1" t="s">
        <v>378</v>
      </c>
    </row>
    <row r="2" spans="1:15" ht="15.75" thickBot="1" x14ac:dyDescent="0.3">
      <c r="A2" s="64" t="s">
        <v>205</v>
      </c>
      <c r="D2">
        <v>249.99999999014</v>
      </c>
      <c r="E2">
        <v>100.000000019719</v>
      </c>
      <c r="F2" s="81">
        <v>0</v>
      </c>
      <c r="L2" t="s">
        <v>379</v>
      </c>
      <c r="M2">
        <v>0</v>
      </c>
      <c r="N2">
        <v>21.599999999999994</v>
      </c>
      <c r="O2">
        <v>0</v>
      </c>
    </row>
    <row r="3" spans="1:15" x14ac:dyDescent="0.25">
      <c r="A3" s="63" t="s">
        <v>209</v>
      </c>
      <c r="L3" t="s">
        <v>380</v>
      </c>
      <c r="M3">
        <v>0</v>
      </c>
      <c r="N3">
        <v>0</v>
      </c>
      <c r="O3">
        <v>166.66666666699999</v>
      </c>
    </row>
    <row r="4" spans="1:15" ht="15.75" thickBot="1" x14ac:dyDescent="0.3">
      <c r="A4" s="64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50.000000003943754</v>
      </c>
      <c r="L4" t="s">
        <v>367</v>
      </c>
      <c r="M4">
        <v>0</v>
      </c>
      <c r="N4">
        <v>0</v>
      </c>
      <c r="O4">
        <v>100</v>
      </c>
    </row>
    <row r="5" spans="1:15" x14ac:dyDescent="0.25">
      <c r="A5" s="63" t="s">
        <v>210</v>
      </c>
      <c r="L5" t="s">
        <v>381</v>
      </c>
      <c r="M5">
        <v>0</v>
      </c>
      <c r="N5" s="81">
        <v>1E+100</v>
      </c>
      <c r="O5">
        <v>500</v>
      </c>
    </row>
    <row r="6" spans="1:15" ht="15.75" thickBot="1" x14ac:dyDescent="0.3">
      <c r="A6" s="64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350.00000000985898</v>
      </c>
      <c r="H6" t="s">
        <v>10</v>
      </c>
      <c r="I6">
        <v>350</v>
      </c>
    </row>
    <row r="7" spans="1:15" x14ac:dyDescent="0.25">
      <c r="A7" s="63" t="s">
        <v>211</v>
      </c>
      <c r="E7">
        <v>1</v>
      </c>
      <c r="G7">
        <f>SUMPRODUCT($D$2:$F$2,D7:F7)</f>
        <v>100.000000019719</v>
      </c>
      <c r="H7" t="s">
        <v>9</v>
      </c>
      <c r="I7">
        <v>100</v>
      </c>
      <c r="L7" t="s">
        <v>382</v>
      </c>
      <c r="M7" t="s">
        <v>383</v>
      </c>
      <c r="N7" t="s">
        <v>377</v>
      </c>
      <c r="O7" t="s">
        <v>378</v>
      </c>
    </row>
    <row r="8" spans="1:15" x14ac:dyDescent="0.25">
      <c r="A8" s="65" t="s">
        <v>201</v>
      </c>
      <c r="D8">
        <v>-2</v>
      </c>
      <c r="F8">
        <v>1</v>
      </c>
      <c r="G8">
        <f>SUMPRODUCT($D$2:$F$2,D8:F8)</f>
        <v>-499.99999998027999</v>
      </c>
      <c r="H8" t="s">
        <v>8</v>
      </c>
      <c r="I8">
        <v>0</v>
      </c>
      <c r="L8" t="s">
        <v>384</v>
      </c>
      <c r="M8">
        <v>0</v>
      </c>
      <c r="N8" s="81">
        <v>-0.1</v>
      </c>
      <c r="O8" s="81">
        <v>1E+100</v>
      </c>
    </row>
    <row r="9" spans="1:15" ht="15.75" thickBot="1" x14ac:dyDescent="0.3">
      <c r="A9" s="64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  <c r="L9" t="s">
        <v>385</v>
      </c>
      <c r="M9">
        <v>0</v>
      </c>
      <c r="N9" s="81">
        <v>1E+100</v>
      </c>
      <c r="O9" s="81">
        <v>0.25</v>
      </c>
    </row>
    <row r="10" spans="1:15" ht="15.75" thickBot="1" x14ac:dyDescent="0.3">
      <c r="A10" s="168" t="str">
        <f>HYPERLINK("[OpenSolver Tester.xlsm]Results!A1", "&lt;- Results")</f>
        <v>&lt;- Results</v>
      </c>
      <c r="L10" t="s">
        <v>386</v>
      </c>
      <c r="M10">
        <v>0</v>
      </c>
      <c r="N10" s="81">
        <v>-0.4</v>
      </c>
      <c r="O10" s="81">
        <v>1E+100</v>
      </c>
    </row>
    <row r="11" spans="1:15" x14ac:dyDescent="0.25">
      <c r="D11" s="158" t="s">
        <v>1</v>
      </c>
      <c r="E11" s="158" t="s">
        <v>2</v>
      </c>
      <c r="F11" s="158" t="s">
        <v>3</v>
      </c>
      <c r="G11" s="158" t="s">
        <v>242</v>
      </c>
    </row>
    <row r="12" spans="1:15" x14ac:dyDescent="0.25">
      <c r="D12" s="158">
        <v>250</v>
      </c>
      <c r="E12" s="158">
        <v>100</v>
      </c>
      <c r="F12" s="158">
        <v>0</v>
      </c>
      <c r="G12" s="158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63" customWidth="1"/>
    <col min="5" max="6" width="5.140625" style="163" customWidth="1"/>
    <col min="7" max="7" width="3.140625" style="163" customWidth="1"/>
    <col min="8" max="8" width="8.42578125" style="163" customWidth="1"/>
    <col min="9" max="9" width="3" style="163" bestFit="1" customWidth="1"/>
    <col min="10" max="10" width="6" style="163" customWidth="1"/>
    <col min="14" max="14" width="7.7109375" customWidth="1"/>
  </cols>
  <sheetData>
    <row r="1" spans="1:10" x14ac:dyDescent="0.25">
      <c r="A1" s="63" t="s">
        <v>204</v>
      </c>
      <c r="D1" s="18" t="s">
        <v>31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63" t="s">
        <v>1</v>
      </c>
      <c r="E3" s="163" t="s">
        <v>2</v>
      </c>
      <c r="F3" s="163" t="s">
        <v>3</v>
      </c>
    </row>
    <row r="4" spans="1:10" ht="15.75" thickBot="1" x14ac:dyDescent="0.3">
      <c r="A4" s="64" t="s">
        <v>207</v>
      </c>
      <c r="D4" s="163">
        <v>0</v>
      </c>
      <c r="E4" s="163">
        <v>5.2941176432133004</v>
      </c>
      <c r="F4" s="163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AND(C20,D20,E20,C24)</f>
        <v>1</v>
      </c>
      <c r="D6" s="163">
        <v>2</v>
      </c>
      <c r="E6" s="163">
        <v>3</v>
      </c>
      <c r="F6" s="163">
        <v>4</v>
      </c>
      <c r="H6" s="163">
        <f>SUMPRODUCT($D$4:$F$4,D6:F6)</f>
        <v>15.8823529296399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63">
        <v>10</v>
      </c>
      <c r="E8" s="163">
        <v>11</v>
      </c>
      <c r="F8" s="163">
        <v>12</v>
      </c>
      <c r="H8" s="163">
        <f>SUMPRODUCT($D$4:$F$4,D8:F8)+5*P7</f>
        <v>58.235294075346303</v>
      </c>
      <c r="I8" s="163" t="s">
        <v>8</v>
      </c>
      <c r="J8" s="163">
        <v>60</v>
      </c>
    </row>
    <row r="9" spans="1:10" ht="15.75" thickBot="1" x14ac:dyDescent="0.3">
      <c r="A9" s="64">
        <f>VLOOKUP(A8,OpenSolverResultCodes,2,FALSE)</f>
        <v>0</v>
      </c>
      <c r="D9" s="163">
        <v>21</v>
      </c>
      <c r="E9" s="163">
        <v>22</v>
      </c>
      <c r="F9" s="163">
        <v>23</v>
      </c>
      <c r="H9" s="163">
        <f>SUMPRODUCT($D$4:$F$4,D9:F9)</f>
        <v>116.47058815069261</v>
      </c>
      <c r="I9" s="163" t="s">
        <v>8</v>
      </c>
      <c r="J9" s="163">
        <v>150</v>
      </c>
    </row>
    <row r="10" spans="1:10" ht="15.75" thickBot="1" x14ac:dyDescent="0.3">
      <c r="A10" s="168" t="str">
        <f>HYPERLINK("[OpenSolver Tester.xlsm]Results!A1", "&lt;- Results")</f>
        <v>&lt;- Results</v>
      </c>
      <c r="D10" s="163">
        <v>21</v>
      </c>
      <c r="E10" s="163">
        <v>22</v>
      </c>
      <c r="F10" s="163">
        <v>-23</v>
      </c>
      <c r="H10" s="163">
        <f>SUMPRODUCT($D$4:$F$4,D10:F10)</f>
        <v>116.47058815069261</v>
      </c>
      <c r="I10" s="163" t="s">
        <v>9</v>
      </c>
      <c r="J10" s="163">
        <v>110</v>
      </c>
    </row>
    <row r="11" spans="1:10" x14ac:dyDescent="0.25">
      <c r="D11" s="163">
        <v>19</v>
      </c>
      <c r="E11" s="163">
        <v>34</v>
      </c>
      <c r="F11" s="163">
        <v>-32</v>
      </c>
      <c r="H11" s="163">
        <f>SUMPRODUCT($D$4:$F$4,D11:F11)</f>
        <v>179.99999986925221</v>
      </c>
      <c r="I11" s="163" t="s">
        <v>10</v>
      </c>
      <c r="J11" s="163">
        <v>180</v>
      </c>
    </row>
    <row r="15" spans="1:10" x14ac:dyDescent="0.25">
      <c r="C15" s="17" t="s">
        <v>15</v>
      </c>
    </row>
    <row r="16" spans="1:10" x14ac:dyDescent="0.25">
      <c r="D16" s="163">
        <v>0</v>
      </c>
      <c r="E16" s="163">
        <v>5.294117647058874</v>
      </c>
      <c r="F16" s="163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63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H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4" width="9.28515625" customWidth="1"/>
    <col min="5" max="5" width="5.42578125" customWidth="1"/>
    <col min="6" max="6" width="3.7109375" customWidth="1"/>
    <col min="7" max="7" width="2.85546875" customWidth="1"/>
  </cols>
  <sheetData>
    <row r="1" spans="1:8" x14ac:dyDescent="0.25">
      <c r="A1" s="63" t="s">
        <v>204</v>
      </c>
    </row>
    <row r="2" spans="1:8" ht="15.75" thickBot="1" x14ac:dyDescent="0.3">
      <c r="A2" s="64" t="s">
        <v>205</v>
      </c>
    </row>
    <row r="3" spans="1:8" x14ac:dyDescent="0.25">
      <c r="A3" s="63" t="s">
        <v>209</v>
      </c>
      <c r="C3" s="68" t="s">
        <v>126</v>
      </c>
      <c r="D3" s="70" t="s">
        <v>128</v>
      </c>
      <c r="E3" s="169"/>
      <c r="G3" s="169"/>
      <c r="H3" t="s">
        <v>394</v>
      </c>
    </row>
    <row r="4" spans="1:8" ht="15.75" thickBot="1" x14ac:dyDescent="0.3">
      <c r="A4" s="64" t="s">
        <v>208</v>
      </c>
      <c r="C4" s="36">
        <v>0</v>
      </c>
      <c r="D4" s="170">
        <v>0</v>
      </c>
      <c r="E4" s="169"/>
      <c r="G4" s="169"/>
    </row>
    <row r="5" spans="1:8" x14ac:dyDescent="0.25">
      <c r="A5" s="63" t="s">
        <v>210</v>
      </c>
      <c r="C5" s="35"/>
      <c r="D5" s="35"/>
      <c r="E5" s="169"/>
      <c r="F5" s="35"/>
      <c r="G5" s="169"/>
    </row>
    <row r="6" spans="1:8" ht="15.75" thickBot="1" x14ac:dyDescent="0.3">
      <c r="A6" s="64" t="b">
        <f>AND(C20,D20,E20,C24)</f>
        <v>1</v>
      </c>
      <c r="C6" s="171">
        <f>100*(D4-(0.5+C4)^2)^2+(1-C4)^2</f>
        <v>7.25</v>
      </c>
      <c r="E6" s="169"/>
      <c r="F6" s="35"/>
      <c r="G6" s="169"/>
    </row>
    <row r="7" spans="1:8" x14ac:dyDescent="0.25">
      <c r="A7" s="63" t="s">
        <v>211</v>
      </c>
      <c r="E7" s="169"/>
      <c r="F7" s="35"/>
      <c r="G7" s="169"/>
    </row>
    <row r="8" spans="1:8" x14ac:dyDescent="0.25">
      <c r="A8" s="65" t="s">
        <v>201</v>
      </c>
      <c r="C8" s="68">
        <v>1</v>
      </c>
      <c r="D8" s="70">
        <v>0</v>
      </c>
      <c r="E8" s="68">
        <f>SUMPRODUCT(C8:D8,$C$4:$D$4)</f>
        <v>0</v>
      </c>
      <c r="F8" s="69" t="s">
        <v>9</v>
      </c>
      <c r="G8" s="70">
        <v>0</v>
      </c>
    </row>
    <row r="9" spans="1:8" ht="15.75" thickBot="1" x14ac:dyDescent="0.3">
      <c r="A9" s="64">
        <f>VLOOKUP(A8,OpenSolverResultCodes,2,FALSE)</f>
        <v>0</v>
      </c>
      <c r="C9" s="36">
        <v>0</v>
      </c>
      <c r="D9" s="170">
        <v>1</v>
      </c>
      <c r="E9" s="36">
        <f>SUMPRODUCT(C9:D9,$C$4:$D$4,C8:D8)</f>
        <v>0</v>
      </c>
      <c r="F9" s="37" t="s">
        <v>9</v>
      </c>
      <c r="G9" s="170">
        <v>0</v>
      </c>
    </row>
    <row r="10" spans="1:8" ht="15.75" thickBot="1" x14ac:dyDescent="0.3">
      <c r="A10" s="168" t="str">
        <f>HYPERLINK("[OpenSolver Tester.xlsm]Results!A1", "&lt;- Results")</f>
        <v>&lt;- Results</v>
      </c>
    </row>
    <row r="15" spans="1:8" x14ac:dyDescent="0.25">
      <c r="C15" s="17" t="s">
        <v>15</v>
      </c>
      <c r="D15" s="169"/>
      <c r="E15" s="169"/>
      <c r="F15" s="169"/>
    </row>
    <row r="16" spans="1:8" x14ac:dyDescent="0.25">
      <c r="D16" s="169">
        <v>0</v>
      </c>
      <c r="E16" s="169">
        <v>0</v>
      </c>
      <c r="F16" s="169"/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/>
    </row>
    <row r="18" spans="3:6" x14ac:dyDescent="0.25">
      <c r="D18" s="169"/>
      <c r="E18" s="169"/>
      <c r="F18" s="169"/>
    </row>
    <row r="19" spans="3:6" x14ac:dyDescent="0.25">
      <c r="C19" s="17" t="s">
        <v>16</v>
      </c>
      <c r="D19" s="169"/>
      <c r="E19" s="169"/>
      <c r="F19" s="169"/>
    </row>
    <row r="20" spans="3:6" x14ac:dyDescent="0.25">
      <c r="D20" s="169">
        <v>7.25</v>
      </c>
      <c r="E20" s="169"/>
      <c r="F20" s="169"/>
    </row>
    <row r="21" spans="3:6" x14ac:dyDescent="0.25">
      <c r="C21" t="s">
        <v>17</v>
      </c>
      <c r="D21" s="8" t="b">
        <f>ABS(D20-C6)/(1+ABS(D20))&lt;=0.000001</f>
        <v>1</v>
      </c>
      <c r="E21" s="169"/>
      <c r="F21" s="169"/>
    </row>
  </sheetData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N18"/>
  <sheetViews>
    <sheetView workbookViewId="0">
      <selection activeCell="N20" sqref="N20"/>
    </sheetView>
  </sheetViews>
  <sheetFormatPr defaultColWidth="8.85546875"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pageMargins left="0.7" right="0.7" top="0.75" bottom="0.75" header="0.3" footer="0.3"/>
  <drawing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B2:H35"/>
  <sheetViews>
    <sheetView workbookViewId="0">
      <selection activeCell="O10" sqref="O10"/>
    </sheetView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42578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82" t="s">
        <v>157</v>
      </c>
      <c r="C33" s="183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mergeCells count="1">
    <mergeCell ref="B33:C3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78</vt:i4>
      </vt:variant>
      <vt:variant>
        <vt:lpstr>Named Ranges</vt:lpstr>
      </vt:variant>
      <vt:variant>
        <vt:i4>165</vt:i4>
      </vt:variant>
    </vt:vector>
  </HeadingPairs>
  <TitlesOfParts>
    <vt:vector size="243" baseType="lpstr">
      <vt:lpstr>Data</vt:lpstr>
      <vt:lpstr>Results</vt:lpstr>
      <vt:lpstr>Test1</vt:lpstr>
      <vt:lpstr>Test1b</vt:lpstr>
      <vt:lpstr>Test1c</vt:lpstr>
      <vt:lpstr>Test1c2</vt:lpstr>
      <vt:lpstr>Test1d</vt:lpstr>
      <vt:lpstr>Test1e</vt:lpstr>
      <vt:lpstr>Test1f</vt:lpstr>
      <vt:lpstr>Test1g</vt:lpstr>
      <vt:lpstr>Test1h</vt:lpstr>
      <vt:lpstr>Test1i</vt:lpstr>
      <vt:lpstr>Test1j</vt:lpstr>
      <vt:lpstr>Test1j2</vt:lpstr>
      <vt:lpstr>Test1k</vt:lpstr>
      <vt:lpstr>Test1l</vt:lpstr>
      <vt:lpstr>Test1m</vt:lpstr>
      <vt:lpstr>Test2</vt:lpstr>
      <vt:lpstr>Test3</vt:lpstr>
      <vt:lpstr>Test4</vt:lpstr>
      <vt:lpstr>Test5</vt:lpstr>
      <vt:lpstr>Test!6</vt:lpstr>
      <vt:lpstr>Test7</vt:lpstr>
      <vt:lpstr>Test8</vt:lpstr>
      <vt:lpstr>Test8B</vt:lpstr>
      <vt:lpstr>Test9A</vt:lpstr>
      <vt:lpstr>Test9B</vt:lpstr>
      <vt:lpstr>Test10</vt:lpstr>
      <vt:lpstr>Test11</vt:lpstr>
      <vt:lpstr>Test12</vt:lpstr>
      <vt:lpstr>Test13</vt:lpstr>
      <vt:lpstr>Test13b</vt:lpstr>
      <vt:lpstr>Test14</vt:lpstr>
      <vt:lpstr>Test15</vt:lpstr>
      <vt:lpstr>Test15b</vt:lpstr>
      <vt:lpstr>Test15c</vt:lpstr>
      <vt:lpstr>Test15d</vt:lpstr>
      <vt:lpstr>Test15e_Relax</vt:lpstr>
      <vt:lpstr>Test16</vt:lpstr>
      <vt:lpstr>Test16b</vt:lpstr>
      <vt:lpstr>Test17</vt:lpstr>
      <vt:lpstr>Test18</vt:lpstr>
      <vt:lpstr>Test19</vt:lpstr>
      <vt:lpstr>Test20</vt:lpstr>
      <vt:lpstr>Test21</vt:lpstr>
      <vt:lpstr>Test22</vt:lpstr>
      <vt:lpstr>Test23</vt:lpstr>
      <vt:lpstr>Test24_IterativeCalc</vt:lpstr>
      <vt:lpstr>Test25</vt:lpstr>
      <vt:lpstr>Test26</vt:lpstr>
      <vt:lpstr>Test27_Parameters</vt:lpstr>
      <vt:lpstr>Test28_CBCOptions</vt:lpstr>
      <vt:lpstr>Test29</vt:lpstr>
      <vt:lpstr>Test30</vt:lpstr>
      <vt:lpstr>Test31 Sensitivity</vt:lpstr>
      <vt:lpstr>Test31</vt:lpstr>
      <vt:lpstr>Test32</vt:lpstr>
      <vt:lpstr>Test33</vt:lpstr>
      <vt:lpstr>Test34</vt:lpstr>
      <vt:lpstr>Test35</vt:lpstr>
      <vt:lpstr>Test36</vt:lpstr>
      <vt:lpstr>Test37</vt:lpstr>
      <vt:lpstr>Test38</vt:lpstr>
      <vt:lpstr>Test38_(Data)</vt:lpstr>
      <vt:lpstr>Test39_SensNames Sensitivity</vt:lpstr>
      <vt:lpstr>Test39_SensNames</vt:lpstr>
      <vt:lpstr>Test39_SensNames2 Sensitivity</vt:lpstr>
      <vt:lpstr>Test39_SensNames2</vt:lpstr>
      <vt:lpstr>Test40</vt:lpstr>
      <vt:lpstr>Test41</vt:lpstr>
      <vt:lpstr>Test42</vt:lpstr>
      <vt:lpstr>Test43</vt:lpstr>
      <vt:lpstr>Test44_Seek Sensitivity</vt:lpstr>
      <vt:lpstr>Test44_Seek</vt:lpstr>
      <vt:lpstr>Test45_SheetName(1)+2-1</vt:lpstr>
      <vt:lpstr>Test46_NonLinBinary</vt:lpstr>
      <vt:lpstr>HighlightingExample</vt:lpstr>
      <vt:lpstr>TestNewAutomodel</vt:lpstr>
      <vt:lpstr>Test35!heey</vt:lpstr>
      <vt:lpstr>hhh</vt:lpstr>
      <vt:lpstr>hhtgfh</vt:lpstr>
      <vt:lpstr>Test30!hi</vt:lpstr>
      <vt:lpstr>Hiii</vt:lpstr>
      <vt:lpstr>LinearSolvers</vt:lpstr>
      <vt:lpstr>lll</vt:lpstr>
      <vt:lpstr>MinValue</vt:lpstr>
      <vt:lpstr>ModelType</vt:lpstr>
      <vt:lpstr>myNamedRange</vt:lpstr>
      <vt:lpstr>NonLinearSolvers</vt:lpstr>
      <vt:lpstr>Offset</vt:lpstr>
      <vt:lpstr>OpenSolver_CBCParameters</vt:lpstr>
      <vt:lpstr>HighlightingExample!OpenSolver_ModelParameters</vt:lpstr>
      <vt:lpstr>'Test!6'!OpenSolver_ModelParameters</vt:lpstr>
      <vt:lpstr>Test10!OpenSolver_ModelParameters</vt:lpstr>
      <vt:lpstr>Test14!OpenSolver_ModelParameters</vt:lpstr>
      <vt:lpstr>Test15b!OpenSolver_ModelParameters</vt:lpstr>
      <vt:lpstr>Test15c!OpenSolver_ModelParameters</vt:lpstr>
      <vt:lpstr>Test15d!OpenSolver_ModelParameters</vt:lpstr>
      <vt:lpstr>Test15e_Relax!OpenSolver_ModelParameters</vt:lpstr>
      <vt:lpstr>Test16!OpenSolver_ModelParameters</vt:lpstr>
      <vt:lpstr>Test16b!OpenSolver_ModelParameters</vt:lpstr>
      <vt:lpstr>Test17!OpenSolver_ModelParameters</vt:lpstr>
      <vt:lpstr>Test18!OpenSolver_ModelParameters</vt:lpstr>
      <vt:lpstr>Test19!OpenSolver_ModelParameters</vt:lpstr>
      <vt:lpstr>Test1b!OpenSolver_ModelParameters</vt:lpstr>
      <vt:lpstr>Test1c!OpenSolver_ModelParameters</vt:lpstr>
      <vt:lpstr>Test1c2!OpenSolver_ModelParameters</vt:lpstr>
      <vt:lpstr>Test1d!OpenSolver_ModelParameters</vt:lpstr>
      <vt:lpstr>Test1e!OpenSolver_ModelParameters</vt:lpstr>
      <vt:lpstr>Test1f!OpenSolver_ModelParameters</vt:lpstr>
      <vt:lpstr>Test1g!OpenSolver_ModelParameters</vt:lpstr>
      <vt:lpstr>Test1h!OpenSolver_ModelParameters</vt:lpstr>
      <vt:lpstr>Test1i!OpenSolver_ModelParameters</vt:lpstr>
      <vt:lpstr>Test1j!OpenSolver_ModelParameters</vt:lpstr>
      <vt:lpstr>Test1j2!OpenSolver_ModelParameters</vt:lpstr>
      <vt:lpstr>Test1k!OpenSolver_ModelParameters</vt:lpstr>
      <vt:lpstr>Test1l!OpenSolver_ModelParameters</vt:lpstr>
      <vt:lpstr>Test1m!OpenSolver_ModelParameters</vt:lpstr>
      <vt:lpstr>Test2!OpenSolver_ModelParameters</vt:lpstr>
      <vt:lpstr>Test20!OpenSolver_ModelParameters</vt:lpstr>
      <vt:lpstr>Test21!OpenSolver_ModelParameters</vt:lpstr>
      <vt:lpstr>Test22!OpenSolver_ModelParameters</vt:lpstr>
      <vt:lpstr>Test23!OpenSolver_ModelParameters</vt:lpstr>
      <vt:lpstr>Test24_IterativeCalc!OpenSolver_ModelParameters</vt:lpstr>
      <vt:lpstr>Test26!OpenSolver_ModelParameters</vt:lpstr>
      <vt:lpstr>Test27_Parameters!OpenSolver_ModelParameters</vt:lpstr>
      <vt:lpstr>Test3!OpenSolver_ModelParameters</vt:lpstr>
      <vt:lpstr>Test4!OpenSolver_ModelParameters</vt:lpstr>
      <vt:lpstr>'Test45_SheetName(1)+2-1'!OpenSolver_ModelParameters</vt:lpstr>
      <vt:lpstr>Test5!OpenSolver_ModelParameters</vt:lpstr>
      <vt:lpstr>Test7!OpenSolver_ModelParameters</vt:lpstr>
      <vt:lpstr>Test8!OpenSolver_ModelParameters</vt:lpstr>
      <vt:lpstr>Test8B!OpenSolver_ModelParameters</vt:lpstr>
      <vt:lpstr>Test9A!OpenSolver_ModelParameters</vt:lpstr>
      <vt:lpstr>Test9B!OpenSolver_ModelParameters</vt:lpstr>
      <vt:lpstr>OpenSolver_ModelParameters</vt:lpstr>
      <vt:lpstr>Test27_Parameters!OpenSolverModelParameters</vt:lpstr>
      <vt:lpstr>OpenSolverResult</vt:lpstr>
      <vt:lpstr>OpenSolverResultCodes</vt:lpstr>
      <vt:lpstr>HighlightingExample!Scale</vt:lpstr>
      <vt:lpstr>'Test!6'!Scale</vt:lpstr>
      <vt:lpstr>Test10!Scale</vt:lpstr>
      <vt:lpstr>Test14!Scale</vt:lpstr>
      <vt:lpstr>Test15b!Scale</vt:lpstr>
      <vt:lpstr>Test15c!Scale</vt:lpstr>
      <vt:lpstr>Test15d!Scale</vt:lpstr>
      <vt:lpstr>Test15e_Relax!Scale</vt:lpstr>
      <vt:lpstr>Test16!Scale</vt:lpstr>
      <vt:lpstr>Test16b!Scale</vt:lpstr>
      <vt:lpstr>Test17!Scale</vt:lpstr>
      <vt:lpstr>Test18!Scale</vt:lpstr>
      <vt:lpstr>Test19!Scale</vt:lpstr>
      <vt:lpstr>Test1b!Scale</vt:lpstr>
      <vt:lpstr>Test1c!Scale</vt:lpstr>
      <vt:lpstr>Test1c2!Scale</vt:lpstr>
      <vt:lpstr>Test1d!Scale</vt:lpstr>
      <vt:lpstr>Test1e!Scale</vt:lpstr>
      <vt:lpstr>Test1f!Scale</vt:lpstr>
      <vt:lpstr>Test1g!Scale</vt:lpstr>
      <vt:lpstr>Test1h!Scale</vt:lpstr>
      <vt:lpstr>Test1i!Scale</vt:lpstr>
      <vt:lpstr>Test1j!Scale</vt:lpstr>
      <vt:lpstr>Test1j2!Scale</vt:lpstr>
      <vt:lpstr>Test1k!Scale</vt:lpstr>
      <vt:lpstr>Test1l!Scale</vt:lpstr>
      <vt:lpstr>Test1m!Scale</vt:lpstr>
      <vt:lpstr>Test2!Scale</vt:lpstr>
      <vt:lpstr>Test20!Scale</vt:lpstr>
      <vt:lpstr>Test21!Scale</vt:lpstr>
      <vt:lpstr>Test22!Scale</vt:lpstr>
      <vt:lpstr>Test23!Scale</vt:lpstr>
      <vt:lpstr>Test24_IterativeCalc!Scale</vt:lpstr>
      <vt:lpstr>Test27_Parameters!Scale</vt:lpstr>
      <vt:lpstr>Test3!Scale</vt:lpstr>
      <vt:lpstr>Test4!Scale</vt:lpstr>
      <vt:lpstr>'Test45_SheetName(1)+2-1'!Scale</vt:lpstr>
      <vt:lpstr>Test5!Scale</vt:lpstr>
      <vt:lpstr>Test7!Scale</vt:lpstr>
      <vt:lpstr>Test8!Scale</vt:lpstr>
      <vt:lpstr>Test8B!Scale</vt:lpstr>
      <vt:lpstr>Test9A!Scale</vt:lpstr>
      <vt:lpstr>Test9B!Scale</vt:lpstr>
      <vt:lpstr>Scale</vt:lpstr>
      <vt:lpstr>HighlightingExample!Sheet1OpenSolverModelParameters</vt:lpstr>
      <vt:lpstr>'Test!6'!Sheet1OpenSolverModelParameters</vt:lpstr>
      <vt:lpstr>Test10!Sheet1OpenSolverModelParameters</vt:lpstr>
      <vt:lpstr>Test14!Sheet1OpenSolverModelParameters</vt:lpstr>
      <vt:lpstr>Test15b!Sheet1OpenSolverModelParameters</vt:lpstr>
      <vt:lpstr>Test15c!Sheet1OpenSolverModelParameters</vt:lpstr>
      <vt:lpstr>Test15d!Sheet1OpenSolverModelParameters</vt:lpstr>
      <vt:lpstr>Test15e_Relax!Sheet1OpenSolverModelParameters</vt:lpstr>
      <vt:lpstr>Test16!Sheet1OpenSolverModelParameters</vt:lpstr>
      <vt:lpstr>Test16b!Sheet1OpenSolverModelParameters</vt:lpstr>
      <vt:lpstr>Test17!Sheet1OpenSolverModelParameters</vt:lpstr>
      <vt:lpstr>Test18!Sheet1OpenSolverModelParameters</vt:lpstr>
      <vt:lpstr>Test19!Sheet1OpenSolverModelParameters</vt:lpstr>
      <vt:lpstr>Test1b!Sheet1OpenSolverModelParameters</vt:lpstr>
      <vt:lpstr>Test1c!Sheet1OpenSolverModelParameters</vt:lpstr>
      <vt:lpstr>Test1c2!Sheet1OpenSolverModelParameters</vt:lpstr>
      <vt:lpstr>Test1d!Sheet1OpenSolverModelParameters</vt:lpstr>
      <vt:lpstr>Test1e!Sheet1OpenSolverModelParameters</vt:lpstr>
      <vt:lpstr>Test1f!Sheet1OpenSolverModelParameters</vt:lpstr>
      <vt:lpstr>Test1g!Sheet1OpenSolverModelParameters</vt:lpstr>
      <vt:lpstr>Test1h!Sheet1OpenSolverModelParameters</vt:lpstr>
      <vt:lpstr>Test1i!Sheet1OpenSolverModelParameters</vt:lpstr>
      <vt:lpstr>Test1j!Sheet1OpenSolverModelParameters</vt:lpstr>
      <vt:lpstr>Test1j2!Sheet1OpenSolverModelParameters</vt:lpstr>
      <vt:lpstr>Test1k!Sheet1OpenSolverModelParameters</vt:lpstr>
      <vt:lpstr>Test1l!Sheet1OpenSolverModelParameters</vt:lpstr>
      <vt:lpstr>Test1m!Sheet1OpenSolverModelParameters</vt:lpstr>
      <vt:lpstr>Test2!Sheet1OpenSolverModelParameters</vt:lpstr>
      <vt:lpstr>Test20!Sheet1OpenSolverModelParameters</vt:lpstr>
      <vt:lpstr>Test21!Sheet1OpenSolverModelParameters</vt:lpstr>
      <vt:lpstr>Test22!Sheet1OpenSolverModelParameters</vt:lpstr>
      <vt:lpstr>Test23!Sheet1OpenSolverModelParameters</vt:lpstr>
      <vt:lpstr>Test24_IterativeCalc!Sheet1OpenSolverModelParameters</vt:lpstr>
      <vt:lpstr>Test26!Sheet1OpenSolverModelParameters</vt:lpstr>
      <vt:lpstr>Test27_Parameters!Sheet1OpenSolverModelParameters</vt:lpstr>
      <vt:lpstr>'Test45_SheetName(1)+2-1'!Sheet1OpenSolverModelParameters</vt:lpstr>
      <vt:lpstr>Test7!Sheet1OpenSolverModelParameters</vt:lpstr>
      <vt:lpstr>Test8!Sheet1OpenSolverModelParameters</vt:lpstr>
      <vt:lpstr>Test8B!Sheet1OpenSolverModelParameters</vt:lpstr>
      <vt:lpstr>Test9A!Sheet1OpenSolverModelParameters</vt:lpstr>
      <vt:lpstr>Test9B!Sheet1OpenSolverModelParameters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'Test38_(Data)'!x</vt:lpstr>
      <vt:lpstr>Test42!x</vt:lpstr>
      <vt:lpstr>xa</vt:lpstr>
      <vt:lpstr>xb</vt:lpstr>
      <vt:lpstr>xc</vt:lpstr>
      <vt:lpstr>xd</vt:lpstr>
      <vt:lpstr>'Test38_(Data)'!y</vt:lpstr>
      <vt:lpstr>Test42!y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2015-03-09T14:41:21Z</dcterms:modified>
</cp:coreProperties>
</file>