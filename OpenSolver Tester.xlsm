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64" activeTab="67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Data!$L$1:$L$4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Couenne</definedName>
    <definedName name="OpenSolver_ChosenSolver" localSheetId="27" hidden="1">NeosCBC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NeosCou</definedName>
    <definedName name="OpenSolver_ChosenSolver" localSheetId="31" hidden="1">Couenne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Couenne</definedName>
    <definedName name="OpenSolver_ChosenSolver" localSheetId="4" hidden="1">NeosCBC</definedName>
    <definedName name="OpenSolver_ChosenSolver" localSheetId="5" hidden="1">Couenne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NOMAD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NeosCBC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G4" i="90" l="1"/>
  <c r="D20" i="77"/>
  <c r="S13" i="75"/>
  <c r="I6" i="71"/>
  <c r="F6" i="69"/>
  <c r="F4" i="68"/>
  <c r="I6" i="66"/>
  <c r="G6" i="65"/>
  <c r="K6" i="63"/>
  <c r="G13" i="90" l="1"/>
  <c r="F13" i="90"/>
  <c r="E13" i="90"/>
  <c r="D13" i="90"/>
  <c r="A9" i="90"/>
  <c r="G6" i="90"/>
  <c r="G7" i="90"/>
  <c r="G8" i="90"/>
  <c r="G9" i="90"/>
  <c r="A6" i="90" l="1"/>
  <c r="H6" i="67" l="1"/>
  <c r="H5" i="38"/>
  <c r="H5" i="20"/>
  <c r="I39" i="3"/>
  <c r="H5" i="19"/>
  <c r="H6" i="32"/>
  <c r="H6" i="22"/>
  <c r="H6" i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2" i="87"/>
  <c r="J3" i="87"/>
  <c r="J5" i="87"/>
  <c r="P9" i="87"/>
  <c r="O12" i="87"/>
  <c r="P12" i="87"/>
  <c r="J7" i="87" l="1"/>
  <c r="J24" i="87" s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6" i="70"/>
  <c r="G8" i="70"/>
  <c r="H7" i="35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24"/>
  <c r="A13" i="76" l="1"/>
  <c r="B12" i="76"/>
  <c r="E4" i="76"/>
  <c r="D10" i="76"/>
  <c r="D6" i="76"/>
  <c r="H7" i="57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<sst xmlns="http://schemas.openxmlformats.org/spreadsheetml/2006/main" count="1816" uniqueCount="387">
  <si>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</si>
  <si>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</si>
  <si>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</si>
  <si>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</si>
  <si>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</si>
  <si>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</si>
  <si>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</si>
  <si>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</si>
  <si>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</si>
  <si>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</si>
  <si>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</si>
  <si>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</si>
  <si>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</si>
  <si>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</si>
  <si>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</si>
  <si>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</si>
  <si>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</si>
  <si>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</si>
  <si>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</si>
  <si>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</si>
  <si>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</si>
  <si>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</si>
  <si>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</si>
  <si>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</si>
  <si>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</si>
  <si>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</si>
  <si>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</si>
  <si>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</si>
  <si>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</si>
  <si>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</si>
  <si>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</si>
  <si>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</si>
  <si>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</si>
  <si>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</si>
  <si>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</si>
  <si>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</si>
  <si>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</si>
  <si>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</si>
  <si>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</si>
  <si>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</si>
  <si>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</si>
  <si>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</si>
  <si>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</si>
  <si>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</si>
  <si>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</si>
  <si>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</si>
  <si>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</si>
  <si>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</si>
  <si>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</si>
  <si>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</si>
  <si>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</si>
  <si>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</si>
  <si>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</si>
  <si>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</si>
  <si>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</si>
  <si>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</si>
  <si>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</si>
  <si>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</si>
  <si>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</si>
  <si>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</si>
  <si>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</si>
  <si>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</si>
  <si>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</si>
  <si>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</si>
  <si>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</si>
  <si>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</si>
  <si>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</si>
  <si>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</si>
  <si>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</si>
  <si>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</si>
  <si>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</si>
  <si>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</si>
  <si>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</si>
  <si>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</si>
  <si>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</si>
  <si>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</si>
  <si>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</si>
  <si>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</si>
  <si>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</si>
  <si>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</si>
  <si>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</si>
  <si>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</si>
  <si>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</si>
  <si>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</si>
  <si>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</si>
  <si>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</si>
  <si>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</si>
  <si>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</si>
  <si>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</si>
  <si>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</si>
  <si>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</si>
  <si>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</si>
  <si>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</si>
  <si>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</si>
  <si>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</si>
  <si>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</si>
  <si>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</si>
  <si>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</si>
  <si>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</si>
  <si>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</si>
  <si>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</si>
  <si>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</si>
  <si>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</si>
  <si>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</si>
  <si>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</si>
  <si>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</si>
  <si>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</si>
  <si>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</si>
  <si>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</si>
  <si>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</si>
  <si>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</si>
  <si>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</si>
  <si>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</si>
  <si>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</si>
  <si>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</si>
  <si>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</si>
  <si>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</si>
  <si>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</si>
  <si>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</si>
  <si>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</si>
  <si>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</si>
  <si>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</si>
  <si>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</si>
  <si>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</si>
  <si>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</si>
  <si>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</si>
  <si>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</si>
  <si>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</si>
  <si>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</si>
  <si>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</si>
  <si>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</si>
  <si>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</si>
  <si>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</si>
  <si>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</si>
  <si>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</si>
  <si>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</si>
  <si>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</si>
  <si>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</si>
  <si>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</si>
  <si>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</si>
  <si>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</si>
  <si>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</si>
  <si>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</si>
  <si>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</si>
  <si>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</si>
  <si>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</si>
  <si>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</si>
  <si>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</si>
  <si>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</si>
  <si>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</si>
  <si>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</si>
  <si>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</si>
  <si>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</si>
  <si>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</si>
  <si>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</si>
  <si>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</si>
  <si>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</si>
  <si>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</si>
  <si>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</si>
  <si>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</si>
  <si>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</si>
  <si>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</si>
  <si>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</si>
  <si>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</si>
  <si>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</si>
  <si>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</si>
  <si>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</si>
  <si>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</si>
  <si>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</si>
  <si>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</si>
  <si>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</si>
  <si>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</si>
  <si>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</si>
  <si>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</si>
  <si>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</si>
  <si>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</si>
  <si>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</si>
  <si>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</si>
  <si>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</si>
  <si>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</si>
  <si>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</si>
  <si>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</si>
  <si>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</si>
  <si>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</si>
  <si>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</si>
  <si>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</si>
  <si>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</si>
  <si>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</si>
  <si>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</si>
  <si>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</si>
  <si>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</si>
  <si>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</si>
  <si>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</si>
  <si>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</si>
  <si>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</si>
  <si>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</si>
  <si>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</si>
  <si>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</si>
  <si>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</si>
  <si>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</si>
  <si>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</si>
  <si>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</si>
  <si>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</si>
  <si>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</si>
  <si>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</si>
  <si>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</si>
  <si>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</si>
  <si>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</si>
  <si>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</si>
  <si>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</si>
  <si>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</si>
  <si>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</si>
  <si>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</si>
  <si>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</si>
  <si>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</si>
  <si>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</si>
  <si>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</si>
  <si>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</si>
  <si>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</si>
  <si>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</si>
  <si>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</si>
  <si>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</si>
  <si>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</si>
  <si>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</si>
  <si>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</si>
  <si>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</si>
  <si>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</si>
  <si>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</si>
  <si>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</si>
  <si>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</si>
  <si>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</si>
  <si>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</si>
  <si>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</si>
  <si>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</si>
  <si>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</si>
  <si>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</si>
  <si>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</si>
  <si>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</si>
  <si>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</si>
  <si>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</si>
  <si>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</si>
  <si>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</si>
  <si>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</si>
  <si>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</si>
  <si>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</si>
  <si>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</si>
  <si>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</si>
  <si>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</si>
  <si>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</si>
  <si>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</si>
  <si>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</si>
  <si>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</si>
  <si>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</si>
  <si>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</si>
  <si>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</si>
  <si>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</si>
  <si>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</si>
  <si>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</si>
  <si>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</si>
  <si>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</si>
  <si>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</si>
  <si>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</si>
  <si>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</si>
  <si>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</si>
  <si>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</si>
  <si>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</si>
  <si>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</si>
  <si>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</si>
  <si>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</si>
  <si>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</si>
  <si>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</si>
  <si>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</si>
  <si>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</si>
  <si>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</si>
  <si>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</si>
  <si>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</si>
  <si>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</si>
  <si>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</si>
  <si>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</si>
  <si>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</si>
  <si>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</si>
  <si>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</si>
  <si>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</si>
  <si>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</si>
  <si>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</si>
  <si>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</si>
  <si>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</si>
  <si>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</si>
  <si>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</si>
  <si>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</si>
  <si>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</si>
  <si>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</si>
  <si>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</si>
  <si>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</si>
  <si>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</si>
  <si>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</si>
  <si>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</si>
  <si>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</si>
  <si>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</si>
  <si>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</si>
  <si>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</si>
  <si>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</si>
  <si>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</si>
  <si>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</si>
  <si>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</si>
  <si>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</si>
  <si>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</si>
  <si>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</si>
  <si>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</si>
  <si>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</si>
  <si>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</si>
  <si>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</si>
  <si>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</si>
  <si>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</si>
  <si>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</si>
  <si>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</si>
  <si>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</si>
  <si>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</si>
  <si>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</si>
  <si>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</si>
  <si>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</si>
  <si>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</si>
  <si>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</si>
  <si>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</si>
  <si>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</si>
  <si>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</si>
  <si>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</si>
  <si>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</si>
  <si>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</si>
  <si>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</si>
  <si>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</si>
  <si>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</si>
  <si>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</si>
  <si>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</si>
  <si>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</si>
  <si>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</si>
  <si>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</si>
  <si>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</si>
  <si>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</si>
  <si>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</si>
  <si>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</si>
  <si>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</si>
  <si>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</si>
  <si>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</si>
  <si>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</si>
  <si>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</si>
  <si>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</si>
  <si>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</si>
  <si>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</si>
  <si>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</si>
  <si>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</si>
  <si>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</si>
  <si>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</si>
  <si>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</si>
  <si>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</si>
  <si>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</si>
  <si>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</si>
  <si>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</si>
  <si>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</si>
  <si>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</si>
  <si>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</si>
  <si>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</si>
  <si>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</si>
  <si>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</si>
  <si>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</si>
  <si>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</si>
  <si>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</si>
  <si>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</si>
  <si>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</si>
  <si>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</si>
  <si>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</si>
  <si>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</si>
  <si>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</si>
  <si>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</si>
  <si>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</si>
  <si>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</si>
  <si>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Test30</t>
  </si>
  <si>
    <t>Test31</t>
  </si>
  <si>
    <t>Test32</t>
  </si>
  <si>
    <t>Test34</t>
  </si>
  <si>
    <t>Test35</t>
  </si>
  <si>
    <t>Test37</t>
  </si>
  <si>
    <t>Test38</t>
  </si>
  <si>
    <t>Test39_SensNames</t>
  </si>
  <si>
    <t>Test40</t>
  </si>
  <si>
    <t>Test41</t>
  </si>
  <si>
    <t>Test43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</si>
</sst>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758778544"/>
        <c:axId val="1758783440"/>
        <c:axId val="1712236544"/>
      </c:surface3DChart>
      <c:catAx>
        <c:axId val="175877854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344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75878344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78544"/>
        <c:crosses val="min"/>
        <c:crossBetween val="between"/>
        <c:majorUnit val="0.1"/>
      </c:valAx>
      <c:serAx>
        <c:axId val="171223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344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0.28937413017219099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0.49920678849903699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1.7084095309643701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0.49909065429866101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0.28937413017219099</c:v>
                </c:pt>
                <c:pt idx="3">
                  <c:v>0</c:v>
                </c:pt>
                <c:pt idx="4">
                  <c:v>0.28937413017219099</c:v>
                </c:pt>
                <c:pt idx="6">
                  <c:v>2</c:v>
                </c:pt>
                <c:pt idx="7">
                  <c:v>1.7084095309643701</c:v>
                </c:pt>
                <c:pt idx="9">
                  <c:v>2</c:v>
                </c:pt>
                <c:pt idx="10">
                  <c:v>1.7084095309643701</c:v>
                </c:pt>
                <c:pt idx="12">
                  <c:v>0.28937413017219099</c:v>
                </c:pt>
                <c:pt idx="13">
                  <c:v>1.7084095309643701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0.49920678849903699</c:v>
                </c:pt>
                <c:pt idx="3">
                  <c:v>1</c:v>
                </c:pt>
                <c:pt idx="4">
                  <c:v>0.49920678849903699</c:v>
                </c:pt>
                <c:pt idx="6">
                  <c:v>1</c:v>
                </c:pt>
                <c:pt idx="7">
                  <c:v>0.49909065429866101</c:v>
                </c:pt>
                <c:pt idx="9">
                  <c:v>0</c:v>
                </c:pt>
                <c:pt idx="10">
                  <c:v>0.49909065429866101</c:v>
                </c:pt>
                <c:pt idx="12">
                  <c:v>0.49920678849903699</c:v>
                </c:pt>
                <c:pt idx="13">
                  <c:v>0.49909065429866101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787248"/>
        <c:axId val="1758788336"/>
      </c:scatterChart>
      <c:valAx>
        <c:axId val="175878724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8336"/>
        <c:crosses val="autoZero"/>
        <c:crossBetween val="midCat"/>
        <c:majorUnit val="0.5"/>
      </c:valAx>
      <c:valAx>
        <c:axId val="175878833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724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781808"/>
        <c:axId val="1758786704"/>
      </c:scatterChart>
      <c:valAx>
        <c:axId val="17587818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6704"/>
        <c:crosses val="autoZero"/>
        <c:crossBetween val="midCat"/>
        <c:majorUnit val="1"/>
      </c:valAx>
      <c:valAx>
        <c:axId val="175878670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7818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14</xdr:row>
          <xdr:rowOff>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G10" sqref="G10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  <c r="L4" s="64" t="s">
        <v>375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50"/>
  <sheetViews>
    <sheetView workbookViewId="0">
      <selection activeCell="D50" sqref="D50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3" s="63" customFormat="1" ht="15.75" thickBot="1" x14ac:dyDescent="0.3">
      <c r="A1" s="84"/>
      <c r="B1" s="88" t="s">
        <v>196</v>
      </c>
      <c r="C1" s="87" t="s">
        <v>375</v>
      </c>
    </row>
    <row r="2" spans="1:3" x14ac:dyDescent="0.25">
      <c r="B2" s="83" t="s">
        <v>376</v>
      </c>
      <c r="C2" s="61" t="s">
        <v>218</v>
      </c>
    </row>
    <row r="3" spans="1:3" x14ac:dyDescent="0.25">
      <c r="B3" s="83" t="s">
        <v>377</v>
      </c>
      <c r="C3" s="61" t="s">
        <v>218</v>
      </c>
    </row>
    <row r="4" spans="1:3" x14ac:dyDescent="0.25">
      <c r="B4" s="83" t="s">
        <v>378</v>
      </c>
      <c r="C4" s="61" t="s">
        <v>218</v>
      </c>
    </row>
    <row r="5" spans="1:3" x14ac:dyDescent="0.25">
      <c r="B5" s="83" t="s">
        <v>379</v>
      </c>
      <c r="C5" s="61" t="s">
        <v>218</v>
      </c>
    </row>
    <row r="6" spans="1:3" x14ac:dyDescent="0.25">
      <c r="B6" s="83" t="s">
        <v>380</v>
      </c>
      <c r="C6" s="61" t="s">
        <v>218</v>
      </c>
    </row>
    <row r="7" spans="1:3" x14ac:dyDescent="0.25">
      <c r="B7" s="83" t="s">
        <v>381</v>
      </c>
      <c r="C7" s="61" t="s">
        <v>218</v>
      </c>
    </row>
    <row r="8" spans="1:3" x14ac:dyDescent="0.25">
      <c r="B8" s="83" t="s">
        <v>382</v>
      </c>
      <c r="C8" s="61" t="s">
        <v>218</v>
      </c>
    </row>
    <row r="9" spans="1:3" x14ac:dyDescent="0.25">
      <c r="B9" s="83" t="s">
        <v>383</v>
      </c>
      <c r="C9" s="61" t="s">
        <v>218</v>
      </c>
    </row>
    <row r="10" spans="1:3" x14ac:dyDescent="0.25">
      <c r="B10" s="83" t="s">
        <v>384</v>
      </c>
      <c r="C10" s="61" t="s">
        <v>218</v>
      </c>
    </row>
    <row r="11" spans="1:3" x14ac:dyDescent="0.25">
      <c r="B11" s="83" t="s">
        <v>385</v>
      </c>
      <c r="C11" s="61" t="s">
        <v>218</v>
      </c>
    </row>
    <row r="12" spans="1:3" x14ac:dyDescent="0.25">
      <c r="B12" s="83" t="s">
        <v>386</v>
      </c>
      <c r="C12" s="61" t="s">
        <v>218</v>
      </c>
    </row>
    <row r="13" spans="1:3" x14ac:dyDescent="0.25">
      <c r="B13" s="83"/>
    </row>
    <row r="14" spans="1:3" x14ac:dyDescent="0.25">
      <c r="B14" s="83"/>
    </row>
    <row r="15" spans="1:3" x14ac:dyDescent="0.25">
      <c r="B15" s="83"/>
    </row>
    <row r="16" spans="1:3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3" sqref="M13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5.2941176432264401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15.882352929679321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58.235294075490842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116.47058815098168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116.47058815098168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179.99999986969897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60">
        <v>5.2941175999999999</v>
      </c>
      <c r="F5" s="160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60">
        <v>5.2941176470588198</v>
      </c>
      <c r="F5" s="160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60">
        <v>2</v>
      </c>
      <c r="D5" s="160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60">
        <v>150</v>
      </c>
      <c r="K10" s="16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0">
        <f>SUMPRODUCT($D$5:$F$5,D10:F10)</f>
        <v>116.47058823529403</v>
      </c>
      <c r="H10" s="160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1">
        <v>5</v>
      </c>
      <c r="H10" s="161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61"/>
      <c r="H11" s="16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K20" sqref="K2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D1"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</v>
      </c>
      <c r="E3" s="1">
        <v>5.2941176432347898</v>
      </c>
      <c r="F3" s="159">
        <v>-4.0630316888723403E-9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252.24913406744494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58.23529402682631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116.47058805771564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116.4705882446151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179.99999999999986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I15" sqref="I15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</v>
      </c>
      <c r="E3" s="1">
        <v>5.2941176470588198</v>
      </c>
      <c r="F3" s="1">
        <v>-3.5527136788005001E-15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252.2491349480961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58.235294117646973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-4.137866520014694E-13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116.47058823529412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K16" sqref="K16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G21" sqref="G21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4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4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4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4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0.99999999781681603</v>
      </c>
      <c r="D4">
        <v>0.99999999556840402</v>
      </c>
      <c r="F4">
        <f>100*(D4-C4^2)^2+(1-C4)^2</f>
        <v>5.1917620214081292E-18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1</v>
      </c>
      <c r="C6">
        <v>1</v>
      </c>
      <c r="D6">
        <v>0</v>
      </c>
      <c r="E6">
        <f>SUMPRODUCT(C6:D6,$C$4:$D$4)</f>
        <v>0.99999999781681603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B37" sqref="B37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35.996346743559997</v>
      </c>
      <c r="E5">
        <v>0.55561194258786695</v>
      </c>
    </row>
    <row r="6" spans="1:15" ht="15.75" thickBot="1" x14ac:dyDescent="0.3">
      <c r="A6" s="66" t="b">
        <f>AND(F15)</f>
        <v>1</v>
      </c>
      <c r="F6">
        <f>D5^2*E5^2</f>
        <v>400.00000561023234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20.000000140255807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36.551958686147863</v>
      </c>
      <c r="H9">
        <v>40</v>
      </c>
    </row>
    <row r="10" spans="1:15" x14ac:dyDescent="0.25">
      <c r="F10">
        <f>D5</f>
        <v>35.996346743559997</v>
      </c>
      <c r="G10" t="s">
        <v>9</v>
      </c>
      <c r="H10">
        <v>0</v>
      </c>
    </row>
    <row r="11" spans="1:15" x14ac:dyDescent="0.25">
      <c r="F11">
        <f>E5</f>
        <v>0.55561194258786695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20" sqref="C20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J17" sqref="J17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R18" sqref="R18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251</v>
      </c>
      <c r="K1" s="97" t="s">
        <v>252</v>
      </c>
      <c r="L1" s="98"/>
    </row>
    <row r="2" spans="1:21" ht="15.75" thickBot="1" x14ac:dyDescent="0.3">
      <c r="A2" s="66" t="s">
        <v>207</v>
      </c>
      <c r="C2" s="99" t="s">
        <v>253</v>
      </c>
      <c r="D2" s="99" t="s">
        <v>254</v>
      </c>
      <c r="K2" s="100" t="s">
        <v>255</v>
      </c>
      <c r="L2" s="101">
        <f>'Test38_(Data)'!B51</f>
        <v>0.95000000000000029</v>
      </c>
      <c r="M2" s="96" t="b">
        <f>ABS(L2-S10)&lt;'Test38_(Data)'!B2</f>
        <v>1</v>
      </c>
      <c r="N2" s="102" t="s">
        <v>256</v>
      </c>
      <c r="O2" s="103" t="s">
        <v>257</v>
      </c>
      <c r="P2" s="104" t="s">
        <v>258</v>
      </c>
    </row>
    <row r="3" spans="1:21" x14ac:dyDescent="0.25">
      <c r="A3" s="65" t="s">
        <v>211</v>
      </c>
      <c r="K3" s="105" t="s">
        <v>259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260</v>
      </c>
      <c r="Q10" s="96">
        <v>0</v>
      </c>
      <c r="R10" s="114" t="s">
        <v>8</v>
      </c>
      <c r="S10" s="96">
        <v>0.94250814962629204</v>
      </c>
      <c r="T10" s="114" t="s">
        <v>8</v>
      </c>
      <c r="U10" s="96">
        <v>2</v>
      </c>
    </row>
    <row r="11" spans="1:21" x14ac:dyDescent="0.25">
      <c r="P11" s="114" t="s">
        <v>261</v>
      </c>
      <c r="Q11" s="96">
        <v>0</v>
      </c>
      <c r="R11" s="114" t="s">
        <v>8</v>
      </c>
      <c r="S11" s="96">
        <v>0.41097091466105801</v>
      </c>
      <c r="T11" s="114" t="s">
        <v>8</v>
      </c>
      <c r="U11" s="96">
        <v>1</v>
      </c>
    </row>
    <row r="13" spans="1:21" x14ac:dyDescent="0.25">
      <c r="R13" s="114" t="s">
        <v>262</v>
      </c>
      <c r="S13" s="96">
        <f>wa*SQRT((xa-S10)^2+(ya-S11)^2)+wb*SQRT((xb-S10)^2+(yb-S11)^2)+wc*SQRT((xc-S10)^2+(yc-S11)^2)+wd*SQRT((xd-S10)^2+(yd-S11)^2)</f>
        <v>5.1848931762209176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263</v>
      </c>
      <c r="B1" s="96" t="s">
        <v>264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261</v>
      </c>
      <c r="B3" s="96" t="s">
        <v>260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265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266</v>
      </c>
      <c r="B47" s="96">
        <f>MIN(B5:AP45)</f>
        <v>5.1851594388177826</v>
      </c>
    </row>
    <row r="48" spans="1:44" x14ac:dyDescent="0.2">
      <c r="A48" s="96" t="s">
        <v>259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259</v>
      </c>
      <c r="B50" s="96">
        <f>SUMPRODUCT(y,AR5:AR45)</f>
        <v>0.4250000000000001</v>
      </c>
    </row>
    <row r="51" spans="1:2" x14ac:dyDescent="0.2">
      <c r="A51" s="96" t="s">
        <v>255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313</v>
      </c>
    </row>
    <row r="2" spans="1:8" x14ac:dyDescent="0.25">
      <c r="A2" s="17" t="s">
        <v>289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314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275</v>
      </c>
      <c r="C7" s="77" t="s">
        <v>290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276</v>
      </c>
      <c r="C8" s="77" t="s">
        <v>291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277</v>
      </c>
      <c r="C9" s="77" t="s">
        <v>292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315</v>
      </c>
      <c r="C10" s="77" t="s">
        <v>293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316</v>
      </c>
      <c r="C11" s="77" t="s">
        <v>294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278</v>
      </c>
      <c r="C12" s="77" t="s">
        <v>295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279</v>
      </c>
      <c r="C13" s="77" t="s">
        <v>296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280</v>
      </c>
      <c r="C14" s="77" t="s">
        <v>297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317</v>
      </c>
      <c r="C15" s="77" t="s">
        <v>298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318</v>
      </c>
      <c r="C16" s="77" t="s">
        <v>299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281</v>
      </c>
      <c r="C17" s="77" t="s">
        <v>300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282</v>
      </c>
      <c r="C18" s="77" t="s">
        <v>301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283</v>
      </c>
      <c r="C19" s="77" t="s">
        <v>302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319</v>
      </c>
      <c r="C20" s="77" t="s">
        <v>303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320</v>
      </c>
      <c r="C21" s="120" t="s">
        <v>304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284</v>
      </c>
      <c r="F24" s="124" t="s">
        <v>285</v>
      </c>
      <c r="G24" s="124" t="s">
        <v>237</v>
      </c>
      <c r="H24" s="125" t="s">
        <v>238</v>
      </c>
    </row>
    <row r="25" spans="1:8" x14ac:dyDescent="0.25">
      <c r="B25" s="115" t="s">
        <v>321</v>
      </c>
      <c r="C25" s="77" t="s">
        <v>305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322</v>
      </c>
      <c r="C26" s="77" t="s">
        <v>306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323</v>
      </c>
      <c r="C27" s="77" t="s">
        <v>307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286</v>
      </c>
      <c r="C28" s="77" t="s">
        <v>308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287</v>
      </c>
      <c r="C29" s="77" t="s">
        <v>309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288</v>
      </c>
      <c r="C30" s="77" t="s">
        <v>310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324</v>
      </c>
      <c r="C31" s="77" t="s">
        <v>311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325</v>
      </c>
      <c r="C32" s="120" t="s">
        <v>312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7" sqref="J27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267</v>
      </c>
      <c r="E1" t="s">
        <v>268</v>
      </c>
      <c r="F1" t="s">
        <v>269</v>
      </c>
      <c r="H1" t="s">
        <v>327</v>
      </c>
    </row>
    <row r="2" spans="1:10" ht="15.75" thickBot="1" x14ac:dyDescent="0.3">
      <c r="A2" s="66" t="s">
        <v>207</v>
      </c>
      <c r="C2" t="s">
        <v>270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271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272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273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274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270</v>
      </c>
      <c r="E8" t="s">
        <v>271</v>
      </c>
      <c r="F8" t="s">
        <v>272</v>
      </c>
      <c r="G8" t="s">
        <v>273</v>
      </c>
      <c r="H8" t="s">
        <v>274</v>
      </c>
    </row>
    <row r="9" spans="1:10" ht="15.75" thickBot="1" x14ac:dyDescent="0.3">
      <c r="A9" s="66">
        <f>VLOOKUP(A8,OpenSolverResultCodes,2,FALSE)</f>
        <v>0</v>
      </c>
      <c r="C9" t="s">
        <v>267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268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269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270</v>
      </c>
      <c r="E13" t="s">
        <v>271</v>
      </c>
      <c r="F13" t="s">
        <v>272</v>
      </c>
      <c r="G13" t="s">
        <v>273</v>
      </c>
      <c r="H13" t="s">
        <v>274</v>
      </c>
      <c r="I13" t="s">
        <v>71</v>
      </c>
    </row>
    <row r="14" spans="1:10" x14ac:dyDescent="0.25">
      <c r="C14" t="s">
        <v>267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268</v>
      </c>
      <c r="D15">
        <v>0</v>
      </c>
      <c r="E15" s="89">
        <v>2.9805244925462702E-6</v>
      </c>
      <c r="F15">
        <v>200</v>
      </c>
      <c r="G15" s="89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269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13249.999900017418</v>
      </c>
    </row>
    <row r="22" spans="3:8" x14ac:dyDescent="0.25">
      <c r="D22" t="s">
        <v>326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F10" sqref="F10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371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328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329</v>
      </c>
      <c r="D4" s="131">
        <v>5</v>
      </c>
      <c r="E4" s="132"/>
    </row>
    <row r="5" spans="1:5" x14ac:dyDescent="0.25">
      <c r="A5" s="65" t="s">
        <v>212</v>
      </c>
      <c r="C5" s="130" t="s">
        <v>330</v>
      </c>
      <c r="D5" s="133">
        <v>10</v>
      </c>
      <c r="E5" s="132"/>
    </row>
    <row r="6" spans="1:5" ht="15.75" thickBot="1" x14ac:dyDescent="0.3">
      <c r="A6" s="66" t="b">
        <f>AND(D17)</f>
        <v>1</v>
      </c>
      <c r="C6" s="130" t="s">
        <v>331</v>
      </c>
      <c r="D6" s="133">
        <v>20</v>
      </c>
      <c r="E6" s="132"/>
    </row>
    <row r="7" spans="1:5" x14ac:dyDescent="0.25">
      <c r="A7" s="65" t="s">
        <v>213</v>
      </c>
      <c r="C7" s="130" t="s">
        <v>332</v>
      </c>
      <c r="D7" s="131">
        <v>0.1</v>
      </c>
      <c r="E7" s="132"/>
    </row>
    <row r="8" spans="1:5" x14ac:dyDescent="0.25">
      <c r="A8" s="67" t="s">
        <v>203</v>
      </c>
      <c r="C8" s="130" t="s">
        <v>333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334</v>
      </c>
      <c r="D11" s="134">
        <v>135.092555670492</v>
      </c>
      <c r="E11" s="132"/>
    </row>
    <row r="12" spans="1:5" x14ac:dyDescent="0.25">
      <c r="C12" s="130" t="s">
        <v>335</v>
      </c>
      <c r="D12" s="131">
        <f>D11/D4</f>
        <v>27.0185111340984</v>
      </c>
      <c r="E12" s="132"/>
    </row>
    <row r="13" spans="1:5" x14ac:dyDescent="0.25">
      <c r="C13" s="130" t="s">
        <v>336</v>
      </c>
      <c r="D13" s="133">
        <f>D8*D11/2</f>
        <v>0.37011659087806031</v>
      </c>
      <c r="E13" s="132"/>
    </row>
    <row r="14" spans="1:5" x14ac:dyDescent="0.25">
      <c r="C14" s="130" t="s">
        <v>337</v>
      </c>
      <c r="D14" s="135">
        <f>D5/D12</f>
        <v>0.37011661931954554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338</v>
      </c>
      <c r="D16" s="136">
        <f>D13+D14</f>
        <v>0.74023321019760591</v>
      </c>
      <c r="E16" s="132"/>
    </row>
    <row r="17" spans="3:4" x14ac:dyDescent="0.25">
      <c r="D17" s="96" t="b">
        <f>D16&lt;0.75</f>
        <v>1</v>
      </c>
    </row>
    <row r="25" spans="3:4" x14ac:dyDescent="0.25">
      <c r="C25" s="96" t="s">
        <v>339</v>
      </c>
    </row>
    <row r="26" spans="3:4" x14ac:dyDescent="0.25">
      <c r="C26" s="96" t="s">
        <v>340</v>
      </c>
    </row>
    <row r="27" spans="3:4" x14ac:dyDescent="0.25">
      <c r="C27" s="96" t="s">
        <v>341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L28" sqref="L28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371</v>
      </c>
      <c r="B1" s="96"/>
      <c r="C1" s="131"/>
      <c r="D1" s="131" t="s">
        <v>342</v>
      </c>
      <c r="E1" s="131" t="s">
        <v>343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344</v>
      </c>
      <c r="K1" s="140"/>
      <c r="N1" s="141" t="s">
        <v>345</v>
      </c>
      <c r="O1" s="141" t="s">
        <v>256</v>
      </c>
      <c r="P1" s="141" t="s">
        <v>257</v>
      </c>
    </row>
    <row r="2" spans="1:16" s="138" customFormat="1" ht="15.75" thickBot="1" x14ac:dyDescent="0.3">
      <c r="A2" s="66" t="s">
        <v>207</v>
      </c>
      <c r="B2" s="96"/>
      <c r="C2" s="131" t="s">
        <v>346</v>
      </c>
      <c r="D2" s="131">
        <v>0</v>
      </c>
      <c r="E2" s="131">
        <v>0</v>
      </c>
      <c r="F2" s="139">
        <v>0.28937413017219099</v>
      </c>
      <c r="G2" s="139">
        <v>0.49920678849903699</v>
      </c>
      <c r="H2" s="139">
        <v>1.7084095309643701</v>
      </c>
      <c r="I2" s="139">
        <v>0.49909065429866101</v>
      </c>
      <c r="J2" s="137">
        <f>SQRT(($F$2-D2)^2+($G$2-E2)^2)</f>
        <v>0.57701369558827142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347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0.57838674595668282</v>
      </c>
      <c r="K3" s="109"/>
      <c r="N3" s="99" t="s">
        <v>350</v>
      </c>
      <c r="O3" s="99">
        <f>$F$2</f>
        <v>0.28937413017219099</v>
      </c>
      <c r="P3" s="99">
        <f>$G$2</f>
        <v>0.49920678849903699</v>
      </c>
    </row>
    <row r="4" spans="1:16" s="138" customFormat="1" ht="15.75" thickBot="1" x14ac:dyDescent="0.3">
      <c r="A4" s="66" t="s">
        <v>210</v>
      </c>
      <c r="B4" s="96"/>
      <c r="C4" s="131" t="s">
        <v>348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0.57959914962270442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349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0.57802809866016391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351</v>
      </c>
      <c r="D6" s="143"/>
      <c r="E6" s="144"/>
      <c r="F6" s="144"/>
      <c r="G6" s="144"/>
      <c r="H6" s="144"/>
      <c r="I6" s="145"/>
      <c r="J6" s="137">
        <f>SQRT((H2-F2)^2+(I2-G2)^2)</f>
        <v>1.4190354055444045</v>
      </c>
      <c r="K6" s="109"/>
      <c r="N6" s="99" t="s">
        <v>350</v>
      </c>
      <c r="O6" s="99">
        <f>$F$2</f>
        <v>0.28937413017219099</v>
      </c>
      <c r="P6" s="99">
        <f>$G$2</f>
        <v>0.49920678849903699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3.7320630953722267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352</v>
      </c>
      <c r="O9" s="99">
        <f>$H$2</f>
        <v>1.7084095309643701</v>
      </c>
      <c r="P9" s="99">
        <f>$I$2</f>
        <v>0.49909065429866101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353</v>
      </c>
      <c r="O12" s="99">
        <f>$H$2</f>
        <v>1.7084095309643701</v>
      </c>
      <c r="P12" s="99">
        <f>$I$2</f>
        <v>0.49909065429866101</v>
      </c>
    </row>
    <row r="14" spans="1:16" x14ac:dyDescent="0.25">
      <c r="N14" s="99" t="s">
        <v>350</v>
      </c>
      <c r="O14" s="99">
        <f>$F$2</f>
        <v>0.28937413017219099</v>
      </c>
      <c r="P14" s="99">
        <f>$G$2</f>
        <v>0.49920678849903699</v>
      </c>
    </row>
    <row r="15" spans="1:16" x14ac:dyDescent="0.25">
      <c r="N15" s="99" t="s">
        <v>352</v>
      </c>
      <c r="O15" s="99">
        <f>$H$2</f>
        <v>1.7084095309643701</v>
      </c>
      <c r="P15" s="99">
        <f>$I$2</f>
        <v>0.49909065429866101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0</v>
      </c>
      <c r="G24" s="8" t="b">
        <f t="shared" ref="G24:I24" si="0">ABS(G2-G23)/(1+ABS(G23))&lt;=0.000001</f>
        <v>0</v>
      </c>
      <c r="H24" s="8" t="b">
        <f t="shared" si="0"/>
        <v>0</v>
      </c>
      <c r="I24" s="8" t="b">
        <f t="shared" si="0"/>
        <v>0</v>
      </c>
      <c r="J24" s="8" t="b">
        <f>ABS(J7-J23)/(1+ABS(J23))&lt;=0.000001</f>
        <v>0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tabSelected="1" zoomScaleNormal="100" workbookViewId="0">
      <selection activeCell="D13" sqref="D13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371</v>
      </c>
      <c r="C1" s="162" t="s">
        <v>354</v>
      </c>
      <c r="D1" s="162"/>
      <c r="E1" s="162"/>
    </row>
    <row r="2" spans="1:9" ht="16.5" thickBot="1" x14ac:dyDescent="0.35">
      <c r="A2" s="66" t="s">
        <v>207</v>
      </c>
      <c r="C2" s="151" t="s">
        <v>355</v>
      </c>
      <c r="D2" s="150">
        <v>3</v>
      </c>
      <c r="H2" s="150" t="s">
        <v>356</v>
      </c>
    </row>
    <row r="3" spans="1:9" ht="15.75" x14ac:dyDescent="0.3">
      <c r="A3" s="65" t="s">
        <v>211</v>
      </c>
      <c r="C3" s="151" t="s">
        <v>357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358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2" t="s">
        <v>231</v>
      </c>
      <c r="D6" s="162"/>
      <c r="E6" s="162"/>
    </row>
    <row r="7" spans="1:9" x14ac:dyDescent="0.25">
      <c r="A7" s="65" t="s">
        <v>213</v>
      </c>
      <c r="C7" s="152" t="s">
        <v>359</v>
      </c>
      <c r="D7" s="153">
        <v>-38.213210677864303</v>
      </c>
      <c r="E7" s="150" t="s">
        <v>360</v>
      </c>
    </row>
    <row r="8" spans="1:9" x14ac:dyDescent="0.25">
      <c r="A8" s="67" t="s">
        <v>203</v>
      </c>
      <c r="C8" s="152" t="s">
        <v>361</v>
      </c>
      <c r="D8" s="153">
        <v>21.786789274021601</v>
      </c>
      <c r="E8" s="150" t="s">
        <v>360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2" t="s">
        <v>362</v>
      </c>
      <c r="D10" s="162"/>
      <c r="E10" s="162"/>
    </row>
    <row r="11" spans="1:9" x14ac:dyDescent="0.25">
      <c r="C11" s="154" t="s">
        <v>363</v>
      </c>
      <c r="D11" s="154" t="s">
        <v>364</v>
      </c>
      <c r="E11" s="155" t="s">
        <v>365</v>
      </c>
      <c r="F11" s="155" t="s">
        <v>366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2" t="s">
        <v>367</v>
      </c>
      <c r="D15" s="162"/>
      <c r="E15" s="162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368</v>
      </c>
      <c r="D27" s="153">
        <v>-30</v>
      </c>
    </row>
    <row r="28" spans="3:4" x14ac:dyDescent="0.25">
      <c r="C28" s="150" t="s">
        <v>369</v>
      </c>
      <c r="D28" s="153">
        <v>50</v>
      </c>
    </row>
    <row r="30" spans="3:4" x14ac:dyDescent="0.25">
      <c r="C30" s="150" t="s">
        <v>370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9" x14ac:dyDescent="0.25">
      <c r="A1" s="65" t="s">
        <v>371</v>
      </c>
      <c r="D1" t="s">
        <v>374</v>
      </c>
      <c r="E1" t="s">
        <v>373</v>
      </c>
      <c r="F1" t="s">
        <v>372</v>
      </c>
    </row>
    <row r="2" spans="1:9" ht="15.75" thickBot="1" x14ac:dyDescent="0.3">
      <c r="A2" s="66" t="s">
        <v>207</v>
      </c>
      <c r="D2">
        <v>250</v>
      </c>
      <c r="E2">
        <v>100</v>
      </c>
      <c r="F2">
        <v>0</v>
      </c>
    </row>
    <row r="3" spans="1:9" x14ac:dyDescent="0.25">
      <c r="A3" s="65" t="s">
        <v>211</v>
      </c>
    </row>
    <row r="4" spans="1:9" ht="15.75" thickBot="1" x14ac:dyDescent="0.3">
      <c r="A4" s="66" t="s">
        <v>209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5" t="s">
        <v>212</v>
      </c>
    </row>
    <row r="6" spans="1:9" ht="15.75" thickBot="1" x14ac:dyDescent="0.3">
      <c r="A6" s="66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5" t="s">
        <v>213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7" t="s">
        <v>203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6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8" t="s">
        <v>1</v>
      </c>
      <c r="E11" s="158" t="s">
        <v>2</v>
      </c>
      <c r="F11" s="158" t="s">
        <v>3</v>
      </c>
      <c r="G11" s="158" t="s">
        <v>245</v>
      </c>
    </row>
    <row r="12" spans="1:9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3" t="s">
        <v>159</v>
      </c>
      <c r="C33" s="164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2014-08-05T22:55:04Z</dcterms:modified>
</cp:coreProperties>
</file>