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1715" windowHeight="10530" firstSheet="41" activeTab="44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8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9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0" hidden="1">NOMAD</definedName>
    <definedName name="OpenSolver_ChosenSolver" localSheetId="59" hidden="1">NOMAD</definedName>
    <definedName name="OpenSolver_ChosenSolver" localSheetId="55" hidden="1">NOMAD</definedName>
    <definedName name="OpenSolver_ChosenSolver" localSheetId="58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4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0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2" hidden="1">NOMAD</definedName>
    <definedName name="OpenSolver_ChosenSolver" localSheetId="53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1" hidden="1">NOMAD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38" hidden="1">NOMAD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44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GurobiParameters" localSheetId="51" hidden="1">SolverParameters!$F$5:$G$5</definedName>
    <definedName name="OpenSolver_LinearityCheck" localSheetId="44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 hidden="1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20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1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4" hidden="1">0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2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7" i="60" l="1"/>
  <c r="A66" i="60"/>
  <c r="A65" i="60"/>
  <c r="S13" i="75"/>
  <c r="A64" i="60"/>
  <c r="F4" i="68"/>
  <c r="A63" i="60"/>
  <c r="I39" i="3"/>
  <c r="A62" i="60"/>
  <c r="C6" i="95"/>
  <c r="A61" i="60"/>
  <c r="I6" i="71"/>
  <c r="A60" i="60"/>
  <c r="G6" i="70"/>
  <c r="A59" i="60"/>
  <c r="F6" i="69"/>
  <c r="A58" i="60"/>
  <c r="H5" i="19"/>
  <c r="A57" i="60"/>
  <c r="H5" i="38"/>
  <c r="A56" i="60"/>
  <c r="H5" i="20"/>
  <c r="A55" i="60"/>
  <c r="D20" i="77"/>
  <c r="A54" i="60"/>
  <c r="G6" i="65"/>
  <c r="A53" i="60"/>
  <c r="H15" i="2"/>
  <c r="A52" i="60"/>
  <c r="H6" i="4"/>
  <c r="A51" i="60"/>
  <c r="I6" i="66"/>
  <c r="A50" i="60"/>
  <c r="G4" i="92"/>
  <c r="A49" i="60"/>
  <c r="A48" i="60"/>
  <c r="H7" i="57"/>
  <c r="A47" i="60"/>
  <c r="H7" i="11"/>
  <c r="A46" i="60"/>
  <c r="A45" i="60"/>
  <c r="G4" i="90"/>
  <c r="A44" i="60"/>
  <c r="H9" i="54"/>
  <c r="A43" i="60"/>
  <c r="H9" i="53"/>
  <c r="A42" i="60"/>
  <c r="H9" i="52"/>
  <c r="A41" i="60"/>
  <c r="H9" i="51"/>
  <c r="A40" i="60"/>
  <c r="H9" i="50"/>
  <c r="A39" i="60"/>
  <c r="H8" i="49"/>
  <c r="A38" i="60"/>
  <c r="H10" i="48"/>
  <c r="A37" i="60"/>
  <c r="H10" i="47"/>
  <c r="A36" i="60"/>
  <c r="H10" i="46"/>
  <c r="A35" i="60"/>
  <c r="H9" i="98"/>
  <c r="A34" i="60"/>
  <c r="H9" i="45"/>
  <c r="A33" i="60"/>
  <c r="H9" i="44"/>
  <c r="A32" i="60"/>
  <c r="H8" i="43"/>
  <c r="A31" i="60"/>
  <c r="H8" i="42"/>
  <c r="A30" i="60"/>
  <c r="H8" i="23"/>
  <c r="A29" i="60"/>
  <c r="A28" i="60"/>
  <c r="H6" i="111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18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</calcChain>
</file>

<file path=xl/sharedStrings.xml><?xml version="1.0" encoding="utf-8"?>
<sst xmlns="http://schemas.openxmlformats.org/spreadsheetml/2006/main" count="2235" uniqueCount="352">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</sst>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20807072"/>
        <c:axId val="420808640"/>
        <c:axId val="488710880"/>
      </c:surface3DChart>
      <c:catAx>
        <c:axId val="42080707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0864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2080864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07072"/>
        <c:crosses val="min"/>
        <c:crossBetween val="between"/>
        <c:majorUnit val="0.1"/>
      </c:valAx>
      <c:serAx>
        <c:axId val="4887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0864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0.19979113710982027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0.35342013248107962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1.8097082670311473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0.40311782003907393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0.19979113710982027</c:v>
                </c:pt>
                <c:pt idx="3">
                  <c:v>0</c:v>
                </c:pt>
                <c:pt idx="4">
                  <c:v>0.19979113710982027</c:v>
                </c:pt>
                <c:pt idx="6">
                  <c:v>2</c:v>
                </c:pt>
                <c:pt idx="7">
                  <c:v>1.8097082670311473</c:v>
                </c:pt>
                <c:pt idx="9">
                  <c:v>2</c:v>
                </c:pt>
                <c:pt idx="10">
                  <c:v>1.8097082670311473</c:v>
                </c:pt>
                <c:pt idx="12">
                  <c:v>0.19979113710982027</c:v>
                </c:pt>
                <c:pt idx="13">
                  <c:v>1.8097082670311473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0.35342013248107962</c:v>
                </c:pt>
                <c:pt idx="3">
                  <c:v>1</c:v>
                </c:pt>
                <c:pt idx="4">
                  <c:v>0.35342013248107962</c:v>
                </c:pt>
                <c:pt idx="6">
                  <c:v>1</c:v>
                </c:pt>
                <c:pt idx="7">
                  <c:v>0.40311782003907393</c:v>
                </c:pt>
                <c:pt idx="9">
                  <c:v>0</c:v>
                </c:pt>
                <c:pt idx="10">
                  <c:v>0.40311782003907393</c:v>
                </c:pt>
                <c:pt idx="12">
                  <c:v>0.35342013248107962</c:v>
                </c:pt>
                <c:pt idx="13">
                  <c:v>0.40311782003907393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05112"/>
        <c:axId val="420813344"/>
      </c:scatterChart>
      <c:valAx>
        <c:axId val="42080511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13344"/>
        <c:crosses val="autoZero"/>
        <c:crossBetween val="midCat"/>
        <c:majorUnit val="0.5"/>
      </c:valAx>
      <c:valAx>
        <c:axId val="42081334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0511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01976"/>
        <c:axId val="420803152"/>
      </c:scatterChart>
      <c:valAx>
        <c:axId val="4208019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03152"/>
        <c:crosses val="autoZero"/>
        <c:crossBetween val="midCat"/>
        <c:majorUnit val="1"/>
      </c:valAx>
      <c:valAx>
        <c:axId val="42080315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08019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opLeftCell="A19" zoomScale="85" zoomScaleNormal="85" zoomScalePageLayoutView="85" workbookViewId="0">
      <selection activeCell="A45" sqref="A4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9" t="s">
        <v>318</v>
      </c>
      <c r="D1" s="169"/>
      <c r="E1" s="169"/>
      <c r="F1" s="169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351</v>
      </c>
      <c r="F17" s="59" t="s">
        <v>351</v>
      </c>
      <c r="G17" s="59" t="s">
        <v>332</v>
      </c>
      <c r="H17" s="59" t="s">
        <v>351</v>
      </c>
      <c r="I17" s="59" t="s">
        <v>351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351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351</v>
      </c>
      <c r="F20" s="59" t="s">
        <v>351</v>
      </c>
      <c r="G20" s="59" t="s">
        <v>332</v>
      </c>
      <c r="H20" s="59" t="s">
        <v>351</v>
      </c>
      <c r="I20" s="59" t="s">
        <v>351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351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7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7" x14ac:dyDescent="0.25">
      <c r="A50" s="155" t="str">
        <f>HYPERLINK("[OpenSolver Tester.xlsm]'NamedRanges'!A1", "NamedRanges")</f>
        <v>NamedRanges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7" x14ac:dyDescent="0.25">
      <c r="A51" s="155" t="str">
        <f>HYPERLINK("[OpenSolver Tester.xlsm]'QuickSolve'!A1", "QuickSolve")</f>
        <v>QuickSolve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7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E52" s="59" t="s">
        <v>332</v>
      </c>
      <c r="F52" s="59" t="s">
        <v>332</v>
      </c>
      <c r="G52" s="59" t="s">
        <v>332</v>
      </c>
    </row>
    <row r="53" spans="1:7" x14ac:dyDescent="0.25">
      <c r="A53" s="155" t="str">
        <f>HYPERLINK("[OpenSolver Tester.xlsm]'Sensitivity'!A1", "Sensitivity")</f>
        <v>Sensitivity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7" x14ac:dyDescent="0.25">
      <c r="A54" s="155" t="str">
        <f>HYPERLINK("[OpenSolver Tester.xlsm]'SensitivityNames'!A1", "SensitivityNames")</f>
        <v>SensitivityNames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351</v>
      </c>
    </row>
    <row r="55" spans="1:7" x14ac:dyDescent="0.25">
      <c r="A55" s="155" t="str">
        <f>HYPERLINK("[OpenSolver Tester.xlsm]'NonLinSimple'!A1", "NonLinSimple")</f>
        <v>NonLinSimple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7" x14ac:dyDescent="0.25">
      <c r="A56" s="155" t="str">
        <f>HYPERLINK("[OpenSolver Tester.xlsm]'NonLinLarge'!A1", "NonLinLarge")</f>
        <v>NonLinLarge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7" x14ac:dyDescent="0.25">
      <c r="A57" s="155" t="str">
        <f>HYPERLINK("[OpenSolver Tester.xlsm]'NonLinObj'!A1", "NonLinObj")</f>
        <v>NonLinObj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7" x14ac:dyDescent="0.25">
      <c r="A58" s="155" t="str">
        <f>HYPERLINK("[OpenSolver Tester.xlsm]'NonLinPruning'!A1", "NonLinPruning")</f>
        <v>NonLinPruning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7" x14ac:dyDescent="0.25">
      <c r="A59" s="155" t="str">
        <f>HYPERLINK("[OpenSolver Tester.xlsm]'NonLinMinMax'!A1", "NonLinMinMax")</f>
        <v>NonLinMinMax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7" x14ac:dyDescent="0.25">
      <c r="A60" s="155" t="str">
        <f>HYPERLINK("[OpenSolver Tester.xlsm]'NonLinConstraints'!A1", "NonLinConstraints")</f>
        <v>NonLinConstraints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7" x14ac:dyDescent="0.25">
      <c r="A61" s="155" t="str">
        <f>HYPERLINK("[OpenSolver Tester.xlsm]'NonLinBinary'!A1", "NonLinBinary")</f>
        <v>NonLinBinary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7" x14ac:dyDescent="0.25">
      <c r="A62" s="155" t="str">
        <f>HYPERLINK("[OpenSolver Tester.xlsm]'NonLin'!A1", "NonLin")</f>
        <v>NonLin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7" x14ac:dyDescent="0.25">
      <c r="A63" s="155" t="str">
        <f>HYPERLINK("[OpenSolver Tester.xlsm]'NonLin2'!A1", "NonLin2")</f>
        <v>NonLin2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7" x14ac:dyDescent="0.25">
      <c r="A64" s="155" t="str">
        <f>HYPERLINK("[OpenSolver Tester.xlsm]'NonLin3'!A1", "NonLin3")</f>
        <v>NonLin3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Tester.xlsm]'NonLin4'!A1", "NonLin4")</f>
        <v>NonLin4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332</v>
      </c>
      <c r="H65" s="165"/>
    </row>
    <row r="66" spans="1:8" x14ac:dyDescent="0.25">
      <c r="A66" s="155" t="str">
        <f>HYPERLINK("[OpenSolver Tester.xlsm]'NonLin5'!A1", "NonLin5")</f>
        <v>NonLin5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Tester.xlsm]'NonLin6'!A1", "NonLin6")</f>
        <v>NonLin6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5.2941176177834963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15.88235285335049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58.23529379561846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116.47058759123692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116.47058759123692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179.99999900463888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5.2941176176478653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15.882352852943596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58.23529379412652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116.47058758825304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116.47058758825304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179.99999900002743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5.2941176177895963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15.88235285336879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58.235293795685557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116.47058759137111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116.47058759137111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179.99999900484627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5.294117617780616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15.882352853341848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58.235293795586777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116.47058759117355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179.99999900454094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0">
        <v>5.2941175999999999</v>
      </c>
      <c r="F5" s="170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0">
        <v>5.2941176183095715</v>
      </c>
      <c r="F5" s="170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15.882352854928715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58.235293801405284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116.47058760281057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179.99999902252543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0">
        <v>2</v>
      </c>
      <c r="D5" s="170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5.2941176177106284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15.882352853131884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58.235293794816911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116.47058758963382</v>
      </c>
      <c r="I10" s="1" t="s">
        <v>8</v>
      </c>
      <c r="J10" s="170">
        <v>150</v>
      </c>
      <c r="K10" s="17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116.47058758963382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179.99999900216136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5.2941176183095706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15.882352854928712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58.235293801405277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f>SUMPRODUCT($D$5:$F$5,D10:F10)</f>
        <v>116.47058760281055</v>
      </c>
      <c r="H10" s="170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179.9999990225254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5.3631108916919619</v>
      </c>
      <c r="E5" s="1">
        <v>1.0872361815194349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13.987930327942228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65.590706913633397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v>5</v>
      </c>
      <c r="H10" s="17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1"/>
      <c r="H11" s="17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138.86513711380806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4</v>
      </c>
      <c r="E5" s="1">
        <v>1</v>
      </c>
      <c r="F5" s="1">
        <v>1</v>
      </c>
      <c r="G5" s="1">
        <v>0.15184844145714119</v>
      </c>
      <c r="J5"/>
      <c r="K5"/>
      <c r="M5" t="s">
        <v>20</v>
      </c>
      <c r="N5">
        <v>7.3128317617148483E-2</v>
      </c>
      <c r="Q5" s="4">
        <v>1.1320443951328882</v>
      </c>
      <c r="R5" s="5">
        <v>0.978971502781674</v>
      </c>
      <c r="S5" s="4">
        <f>SUM(Q5:R5)</f>
        <v>2.1110158979145623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0</v>
      </c>
      <c r="Q6" s="9">
        <f>SUM(Q4:Q5)</f>
        <v>1.1320443951328882</v>
      </c>
      <c r="R6" s="10">
        <f>SUM(R4:R5)</f>
        <v>0.978971502781674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35.307185761837246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52.822181297485692</v>
      </c>
      <c r="J9" s="1" t="s">
        <v>8</v>
      </c>
      <c r="K9" s="1">
        <f>61.2345678+2.3*N4-S5</f>
        <v>59.123551902085438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109.49251415351425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118.50748584648575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-4.859150126628518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29.626871461621437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0.57602984990731843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1</v>
      </c>
      <c r="F5" s="1">
        <v>1</v>
      </c>
      <c r="G5" s="1">
        <v>0.27606401214829324</v>
      </c>
      <c r="J5"/>
      <c r="K5"/>
      <c r="M5" t="s">
        <v>20</v>
      </c>
      <c r="N5">
        <v>0.31337337105459606</v>
      </c>
      <c r="Q5" s="4">
        <v>0</v>
      </c>
      <c r="R5" s="5">
        <v>0.62768149181044486</v>
      </c>
      <c r="S5" s="4">
        <f>SUM(Q5:R5)</f>
        <v>0.62768149181044486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0.62768149181044486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20.647379067943977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14.312768145779518</v>
      </c>
      <c r="J9" s="1" t="s">
        <v>8</v>
      </c>
      <c r="K9" s="1">
        <f>61.2345678+2.3*N4-S5</f>
        <v>61.931754962976392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28.349472279410744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115.65052772058925</v>
      </c>
      <c r="Q11" t="s">
        <v>22</v>
      </c>
    </row>
    <row r="12" spans="1:21" x14ac:dyDescent="0.25">
      <c r="G12" s="1">
        <v>-32</v>
      </c>
      <c r="I12" s="16">
        <f>SUMPRODUCT($D$5:$G$5,D12:G12)</f>
        <v>-8.8340483887453836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5.2941176177834963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15.88235285335049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58.23529379561846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116.47058759123692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116.47058759123692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179.99999900463888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8.4435599362110185</v>
      </c>
      <c r="E4" s="1">
        <v>3.308488879871577</v>
      </c>
      <c r="F4" s="1">
        <v>3.308488879871577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60.046542031523074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220.53084359915647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441.19675825465231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674.00626978055982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-381036674781.14362</v>
      </c>
      <c r="E4" s="167">
        <v>-1147995110045.2004</v>
      </c>
      <c r="F4" s="167">
        <v>-1445985330079.9543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-9990000000017.707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-33790136919268.094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-66515325183237.375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440.5234375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7.5294117355569092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14.588235206670728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42.823529091126005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81.64705818225201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179.99999900893491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tabSelected="1" workbookViewId="0">
      <selection activeCell="U19" sqref="U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0</v>
      </c>
      <c r="Q3" s="9">
        <v>0</v>
      </c>
      <c r="R3" s="10">
        <v>0</v>
      </c>
      <c r="S3" s="9">
        <f>SUM(Q3:R3)</f>
        <v>0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0.9999999994642893</v>
      </c>
      <c r="R4" s="5">
        <v>0.9999999994642893</v>
      </c>
      <c r="S4" s="4">
        <f>SUM(Q4:R4)</f>
        <v>1.9999999989285786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0.9999999994642893</v>
      </c>
      <c r="R5" s="10">
        <f>SUM(R3:R4)</f>
        <v>0.9999999994642893</v>
      </c>
    </row>
    <row r="6" spans="1:23" ht="15.75" thickBot="1" x14ac:dyDescent="0.3">
      <c r="A6" s="63" t="b">
        <f>AND(D17,E17,F17,G17,D21,O16,O17,V16,V17,W16,W17)</f>
        <v>0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26.042999991471486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59.234567801071421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0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0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0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0</v>
      </c>
      <c r="W17" s="15" t="b">
        <f>ABS(R4-R17)/(1+ABS(R17))&lt;=0.000001</f>
        <v>0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0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1.9999999999957991</v>
      </c>
      <c r="E5" s="1">
        <v>3.9780043455383973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15.934013036606789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63.758047800880362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129.51609560175652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129.51609560175652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173.2521477482257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5.2941176177834963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15.88235285335049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58.23529379561846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116.47058759123692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116.47058759123692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179.99999900463888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249.99999997449189</v>
      </c>
      <c r="E2">
        <v>100.00000000406989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49.999999998466663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349.99999997856179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100.00000000406989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-499.99999994898377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4.9999990401090182</v>
      </c>
      <c r="F4">
        <v>0</v>
      </c>
      <c r="G4">
        <v>3.9999990000655772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8.9999980401745958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3.9999990000655772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3.9999990000655772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4.9999990401090182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345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0</v>
      </c>
      <c r="G14" s="160">
        <v>0</v>
      </c>
      <c r="H14" s="160">
        <v>0</v>
      </c>
      <c r="I14">
        <f>SUM(D14:H14)</f>
        <v>199.9999935299999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2.9800023879620398E-6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13249.999901199888</v>
      </c>
      <c r="J20" t="s">
        <v>336</v>
      </c>
    </row>
    <row r="21" spans="3:10" x14ac:dyDescent="0.25">
      <c r="J21">
        <v>100.00000002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5.2941176178049858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252.24913216037825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58.235293795854844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116.47058759170969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179.99999900536952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2.6182822449918155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27.421607657757527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26.182822449918156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198.94736734805511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198.94736734805511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198.94736734805511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198.94736734805511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198.94736734805511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198.94736734805511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198.94736734805511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198.94736734805511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198.94736734805511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198.94736734805511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198.94736734805511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198.94736734805511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198.94736734805511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198.94736734805511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198.94736734805511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198.94736734805511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198.94736734805511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198.94736734805511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198.94736734805511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198.94736734805511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198.94736734805511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198.94736734805511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198.94736734805511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198.94736734805511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198.94736734805511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198.94736734805511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198.94736734805511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198.94736734805511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198.94736734805511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198.94736734805511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198.94736734805511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198.94736734805511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198.94736734805511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198.94736734805511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198.94736734805511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198.94736734805511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198.94736734805511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198.94736734805511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198.94736734805511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198.94736734805511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198.94736734805511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198.94736734805511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198.94736734805511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198.94736734805511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198.94736734805511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198.94736734805511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198.94736734805511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198.94736734805511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198.94736734805511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198.94736734805511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198.94736734805511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198.94736734805511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198.94736734805511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198.94736734805511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198.94736734805511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198.94736734805511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198.94736734805511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198.94736734805511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198.94736734805511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198.94736734805511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198.94736734805511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198.94736734805511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198.94736734805511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198.94736734805511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179.99999902919274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-1264.6303243310467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198.94736734805511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198.94736734805511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198.94736734805511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198.94736734805511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198.94736734805511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198.94736734805511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198.94736734805511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198.94736734805511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198.94736734805511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198.94736734805511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198.94736734805511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198.94736734805511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198.94736734805511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198.94736734805511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198.94736734805511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198.94736734805511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198.94736734805511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198.94736734805511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198.94736734805511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198.94736734805511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198.94736734805511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198.94736734805511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198.94736734805511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198.94736734805511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198.94736734805511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198.94736734805511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198.94736734805511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198.94736734805511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198.94736734805511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198.94736734805511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198.94736734805511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198.94736734805511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198.94736734805511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198.94736734805511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198.94736734805511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198.94736734805511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198.94736734805511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198.94736734805511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198.94736734805511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198.94736734805511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198.94736734805511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198.94736734805511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198.94736734805511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198.94736734805511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198.94736734805511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198.94736734805511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198.94736734805511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198.94736734805511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198.94736734805511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198.94736734805511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198.94736734805511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198.94736734805511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198.94736734805511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198.94736734805511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198.94736734805511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198.94736734805511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198.94736734805511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198.94736734805511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198.94736734805511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198.94736734805511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198.94736734805511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198.94736734805511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198.94736734805511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198.94736734805511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179.99999902919274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5.2941176178049894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252.24913216037857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58.235293795854886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116.47058759170977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116.47058759170977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179.99999900536963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32.633916975965391</v>
      </c>
      <c r="E5">
        <v>0.61285955353369759</v>
      </c>
    </row>
    <row r="6" spans="1:15" ht="15.75" thickBot="1" x14ac:dyDescent="0.3">
      <c r="A6" s="63" t="b">
        <f>AND(F22)</f>
        <v>1</v>
      </c>
      <c r="F6">
        <f>D5^2*E5^2</f>
        <v>400.00031151789682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20.000007787945904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33.246776529499087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32.633916975965391</v>
      </c>
      <c r="G10" t="s">
        <v>9</v>
      </c>
      <c r="H10">
        <v>0</v>
      </c>
    </row>
    <row r="11" spans="1:15" x14ac:dyDescent="0.25">
      <c r="F11">
        <f>E5</f>
        <v>0.61285955353369759</v>
      </c>
      <c r="H11">
        <v>0</v>
      </c>
    </row>
    <row r="12" spans="1:15" x14ac:dyDescent="0.25">
      <c r="F12">
        <f>E5*D5+E5+D5</f>
        <v>53.246784317444991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53.246784317444991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53.246784317444991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-13.246768741553186</v>
      </c>
      <c r="G15" t="s">
        <v>8</v>
      </c>
      <c r="H15">
        <v>0</v>
      </c>
      <c r="O15" s="81"/>
    </row>
    <row r="16" spans="1:15" x14ac:dyDescent="0.25">
      <c r="F16">
        <f>E5-D5*E5+D5</f>
        <v>13.246768741553186</v>
      </c>
      <c r="G16" t="s">
        <v>8</v>
      </c>
      <c r="H16">
        <v>60</v>
      </c>
      <c r="O16" s="81"/>
    </row>
    <row r="17" spans="6:15" x14ac:dyDescent="0.25">
      <c r="F17">
        <f>E5-D5+E5*D5</f>
        <v>-12.021049634485792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0.94240514019536492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135.09256030039927</v>
      </c>
      <c r="E11" s="108"/>
    </row>
    <row r="12" spans="1:5" x14ac:dyDescent="0.25">
      <c r="C12" s="106" t="s">
        <v>266</v>
      </c>
      <c r="D12" s="107">
        <f>D11/D4</f>
        <v>27.018512060079853</v>
      </c>
      <c r="E12" s="108"/>
    </row>
    <row r="13" spans="1:5" x14ac:dyDescent="0.25">
      <c r="C13" s="106" t="s">
        <v>267</v>
      </c>
      <c r="D13" s="109">
        <f>D8*D11/2</f>
        <v>0.37011660356273773</v>
      </c>
      <c r="E13" s="108"/>
    </row>
    <row r="14" spans="1:5" x14ac:dyDescent="0.25">
      <c r="C14" s="106" t="s">
        <v>268</v>
      </c>
      <c r="D14" s="110">
        <f>D5/D12</f>
        <v>0.37011660663486756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0.19979113710982027</v>
      </c>
      <c r="G2" s="114">
        <v>0.35342013248107962</v>
      </c>
      <c r="H2" s="114">
        <v>1.8097082670311473</v>
      </c>
      <c r="I2" s="114">
        <v>0.40311782003907393</v>
      </c>
      <c r="J2" s="112">
        <f>SQRT(($F$2-D2)^2+($G$2-E2)^2)</f>
        <v>0.40598311357811284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0.67674369117740552</v>
      </c>
      <c r="K3" s="96"/>
      <c r="N3" s="86" t="s">
        <v>281</v>
      </c>
      <c r="O3" s="86">
        <f>$F$2</f>
        <v>0.19979113710982027</v>
      </c>
      <c r="P3" s="86">
        <f>$G$2</f>
        <v>0.35342013248107962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0.62648166804081062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0.44577451751905284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1.6106840240601925</v>
      </c>
      <c r="K6" s="96"/>
      <c r="N6" s="86" t="s">
        <v>281</v>
      </c>
      <c r="O6" s="86">
        <f>$F$2</f>
        <v>0.19979113710982027</v>
      </c>
      <c r="P6" s="86">
        <f>$G$2</f>
        <v>0.35342013248107962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3.7656670143755746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1.8097082670311473</v>
      </c>
      <c r="P9" s="86">
        <f>$I$2</f>
        <v>0.40311782003907393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1.8097082670311473</v>
      </c>
      <c r="P12" s="86">
        <f>$I$2</f>
        <v>0.40311782003907393</v>
      </c>
    </row>
    <row r="14" spans="1:16" x14ac:dyDescent="0.25">
      <c r="N14" s="86" t="s">
        <v>281</v>
      </c>
      <c r="O14" s="86">
        <f>$F$2</f>
        <v>0.19979113710982027</v>
      </c>
      <c r="P14" s="86">
        <f>$G$2</f>
        <v>0.35342013248107962</v>
      </c>
    </row>
    <row r="15" spans="1:16" x14ac:dyDescent="0.25">
      <c r="N15" s="86" t="s">
        <v>283</v>
      </c>
      <c r="O15" s="86">
        <f>$H$2</f>
        <v>1.8097082670311473</v>
      </c>
      <c r="P15" s="86">
        <f>$I$2</f>
        <v>0.40311782003907393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2" t="s">
        <v>285</v>
      </c>
      <c r="D1" s="172"/>
      <c r="E1" s="172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72" t="s">
        <v>224</v>
      </c>
      <c r="D6" s="172"/>
      <c r="E6" s="172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2" t="s">
        <v>293</v>
      </c>
      <c r="D10" s="172"/>
      <c r="E10" s="172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72" t="s">
        <v>298</v>
      </c>
      <c r="D15" s="172"/>
      <c r="E15" s="172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3" t="s">
        <v>157</v>
      </c>
      <c r="C33" s="17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164</vt:i4>
      </vt:variant>
    </vt:vector>
  </HeadingPairs>
  <TitlesOfParts>
    <vt:vector size="233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2015-04-18T18:41:59Z</dcterms:modified>
</cp:coreProperties>
</file>