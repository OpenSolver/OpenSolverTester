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0" windowWidth="20480" windowHeight="13460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Test46_NonLinBinary" sheetId="95" r:id="rId73"/>
    <sheet name="HighlightingExample" sheetId="5" r:id="rId74"/>
    <sheet name="TestNewAutomodel" sheetId="40" r:id="rId75"/>
  </sheets>
  <externalReferences>
    <externalReference r:id="rId76"/>
  </externalReferences>
  <definedNames>
    <definedName name="anscount" hidden="1">1</definedName>
    <definedName name="asdsad">#REF!</definedName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localSheetId="72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 localSheetId="72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CBC</definedName>
    <definedName name="OpenSolver_ChosenSolver" localSheetId="2" hidden="1">CBC</definedName>
    <definedName name="OpenSolver_ChosenSolver" localSheetId="27" hidden="1">CBC</definedName>
    <definedName name="OpenSolver_ChosenSolver" localSheetId="28" hidden="1">CBC</definedName>
    <definedName name="OpenSolver_ChosenSolver" localSheetId="29" hidden="1">CBC</definedName>
    <definedName name="OpenSolver_ChosenSolver" localSheetId="30" hidden="1">CBC</definedName>
    <definedName name="OpenSolver_ChosenSolver" localSheetId="31" hidden="1">CBC</definedName>
    <definedName name="OpenSolver_ChosenSolver" localSheetId="32" hidden="1">CBC</definedName>
    <definedName name="OpenSolver_ChosenSolver" localSheetId="33" hidden="1">CBC</definedName>
    <definedName name="OpenSolver_ChosenSolver" localSheetId="34" hidden="1">CBC</definedName>
    <definedName name="OpenSolver_ChosenSolver" localSheetId="35" hidden="1">CBC</definedName>
    <definedName name="OpenSolver_ChosenSolver" localSheetId="36" hidden="1">CBC</definedName>
    <definedName name="OpenSolver_ChosenSolver" localSheetId="37" hidden="1">CBC</definedName>
    <definedName name="OpenSolver_ChosenSolver" localSheetId="38" hidden="1">CBC</definedName>
    <definedName name="OpenSolver_ChosenSolver" localSheetId="39" hidden="1">CBC</definedName>
    <definedName name="OpenSolver_ChosenSolver" localSheetId="40" hidden="1">CBC</definedName>
    <definedName name="OpenSolver_ChosenSolver" localSheetId="41" hidden="1">CBC</definedName>
    <definedName name="OpenSolver_ChosenSolver" localSheetId="3" hidden="1">CBC</definedName>
    <definedName name="OpenSolver_ChosenSolver" localSheetId="4" hidden="1">CBC</definedName>
    <definedName name="OpenSolver_ChosenSolver" localSheetId="5" hidden="1">CBC</definedName>
    <definedName name="OpenSolver_ChosenSolver" localSheetId="6" hidden="1">CBC</definedName>
    <definedName name="OpenSolver_ChosenSolver" localSheetId="7" hidden="1">CBC</definedName>
    <definedName name="OpenSolver_ChosenSolver" localSheetId="8" hidden="1">CBC</definedName>
    <definedName name="OpenSolver_ChosenSolver" localSheetId="9" hidden="1">CBC</definedName>
    <definedName name="OpenSolver_ChosenSolver" localSheetId="10" hidden="1">CBC</definedName>
    <definedName name="OpenSolver_ChosenSolver" localSheetId="11" hidden="1">CBC</definedName>
    <definedName name="OpenSolver_ChosenSolver" localSheetId="12" hidden="1">CBC</definedName>
    <definedName name="OpenSolver_ChosenSolver" localSheetId="13" hidden="1">CBC</definedName>
    <definedName name="OpenSolver_ChosenSolver" localSheetId="14" hidden="1">CBC</definedName>
    <definedName name="OpenSolver_ChosenSolver" localSheetId="15" hidden="1">CBC</definedName>
    <definedName name="OpenSolver_ChosenSolver" localSheetId="16" hidden="1">CBC</definedName>
    <definedName name="OpenSolver_ChosenSolver" localSheetId="17" hidden="1">CBC</definedName>
    <definedName name="OpenSolver_ChosenSolver" localSheetId="42" hidden="1">CBC</definedName>
    <definedName name="OpenSolver_ChosenSolver" localSheetId="43" hidden="1">CBC</definedName>
    <definedName name="OpenSolver_ChosenSolver" localSheetId="44" hidden="1">CBC</definedName>
    <definedName name="OpenSolver_ChosenSolver" localSheetId="45" hidden="1">CBC</definedName>
    <definedName name="OpenSolver_ChosenSolver" localSheetId="46" hidden="1">CBC</definedName>
    <definedName name="OpenSolver_ChosenSolver" localSheetId="47" hidden="1">CBC</definedName>
    <definedName name="OpenSolver_ChosenSolver" localSheetId="48" hidden="1">CBC</definedName>
    <definedName name="OpenSolver_ChosenSolver" localSheetId="49" hidden="1">CBC</definedName>
    <definedName name="OpenSolver_ChosenSolver" localSheetId="50" hidden="1">CBC</definedName>
    <definedName name="OpenSolver_ChosenSolver" localSheetId="51" hidden="1">CBC</definedName>
    <definedName name="OpenSolver_ChosenSolver" localSheetId="18" hidden="1">CBC</definedName>
    <definedName name="OpenSolver_ChosenSolver" localSheetId="52" hidden="1">CBC</definedName>
    <definedName name="OpenSolver_ChosenSolver" localSheetId="54" hidden="1">CBC</definedName>
    <definedName name="OpenSolver_ChosenSolver" localSheetId="53" hidden="1">CBC</definedName>
    <definedName name="OpenSolver_ChosenSolver" localSheetId="55" hidden="1">CBC</definedName>
    <definedName name="OpenSolver_ChosenSolver" localSheetId="56" hidden="1">CBC</definedName>
    <definedName name="OpenSolver_ChosenSolver" localSheetId="57" hidden="1">CBC</definedName>
    <definedName name="OpenSolver_ChosenSolver" localSheetId="58" hidden="1">CBC</definedName>
    <definedName name="OpenSolver_ChosenSolver" localSheetId="59" hidden="1">CBC</definedName>
    <definedName name="OpenSolver_ChosenSolver" localSheetId="60" hidden="1">CBC</definedName>
    <definedName name="OpenSolver_ChosenSolver" localSheetId="61" hidden="1">CBC</definedName>
    <definedName name="OpenSolver_ChosenSolver" localSheetId="62" hidden="1">CBC</definedName>
    <definedName name="OpenSolver_ChosenSolver" localSheetId="64" hidden="1">CBC</definedName>
    <definedName name="OpenSolver_ChosenSolver" localSheetId="19" hidden="1">CBC</definedName>
    <definedName name="OpenSolver_ChosenSolver" localSheetId="65" hidden="1">CBC</definedName>
    <definedName name="OpenSolver_ChosenSolver" localSheetId="66" hidden="1">CBC</definedName>
    <definedName name="OpenSolver_ChosenSolver" localSheetId="67" hidden="1">CBC</definedName>
    <definedName name="OpenSolver_ChosenSolver" localSheetId="68" hidden="1">CBC</definedName>
    <definedName name="OpenSolver_ChosenSolver" localSheetId="70" hidden="1">CBC</definedName>
    <definedName name="OpenSolver_ChosenSolver" localSheetId="71" hidden="1">CBC</definedName>
    <definedName name="OpenSolver_ChosenSolver" localSheetId="72" hidden="1">CBC</definedName>
    <definedName name="OpenSolver_ChosenSolver" localSheetId="20" hidden="1">CBC</definedName>
    <definedName name="OpenSolver_ChosenSolver" localSheetId="22" hidden="1">CBC</definedName>
    <definedName name="OpenSolver_ChosenSolver" localSheetId="23" hidden="1">CBC</definedName>
    <definedName name="OpenSolver_ChosenSolver" localSheetId="24" hidden="1">CBC</definedName>
    <definedName name="OpenSolver_ChosenSolver" localSheetId="25" hidden="1">CBC</definedName>
    <definedName name="OpenSolver_ChosenSolver" localSheetId="26" hidden="1">CBC</definedName>
    <definedName name="OpenSolver_ChosenSolver" localSheetId="74" hidden="1">Gurobi</definedName>
    <definedName name="OpenSolver_ConstraintList">#REF!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72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4" hidden="1">FALSE</definedName>
    <definedName name="OpenSolver_ModelParameters" localSheetId="73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72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2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3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72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>#REF!</definedName>
    <definedName name="sencount" hidden="1">1</definedName>
    <definedName name="Sheet1OpenSolverModelParameters" localSheetId="73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72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localSheetId="72" hidden="1">CBC (default)</definedName>
    <definedName name="Solver" hidden="1">CBC (default)</definedName>
    <definedName name="solver_adj" localSheetId="73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72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4" hidden="1">TestNewAutomodel!$B$28:$D$28,TestNewAutomodel!$C$3:$C$5</definedName>
    <definedName name="solver_cvg" localSheetId="73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72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4" hidden="1">0.0001</definedName>
    <definedName name="solver_drv" localSheetId="73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72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4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4" hidden="1">2</definedName>
    <definedName name="solver_est" localSheetId="73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72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4" hidden="1">1</definedName>
    <definedName name="solver_itr" localSheetId="73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72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4" hidden="1">100</definedName>
    <definedName name="solver_lhs1" localSheetId="73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72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4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3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72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4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3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4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3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4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3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4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3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4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3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4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3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3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3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72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4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3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4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3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72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4" hidden="1">7</definedName>
    <definedName name="solver_nwt" localSheetId="73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72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4" hidden="1">1</definedName>
    <definedName name="solver_opt" localSheetId="73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72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4" hidden="1">TestNewAutomodel!$C$9</definedName>
    <definedName name="solver_pre" localSheetId="73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72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4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3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72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4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3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72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4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3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4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3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4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3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4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3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4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3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4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3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3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3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72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4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3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72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4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3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4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3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4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3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4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3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4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3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4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3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3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3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72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4" hidden="1">2</definedName>
    <definedName name="solver_sho" localSheetId="73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1</definedName>
    <definedName name="solver_sho" localSheetId="66" hidden="1">1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72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4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3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72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4" hidden="1">100</definedName>
    <definedName name="solver_tol" localSheetId="73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4" hidden="1">0.05</definedName>
    <definedName name="solver_typ" localSheetId="73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72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4" hidden="1">2</definedName>
    <definedName name="solver_val" localSheetId="73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72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4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95" l="1"/>
  <c r="A69" i="60"/>
  <c r="H6" i="94"/>
  <c r="A68" i="60"/>
  <c r="G4" i="92"/>
  <c r="A67" i="60"/>
  <c r="G4" i="90"/>
  <c r="A66" i="60"/>
  <c r="C12" i="88"/>
  <c r="E12" i="88"/>
  <c r="F12" i="88"/>
  <c r="C13" i="88"/>
  <c r="E13" i="88"/>
  <c r="F13" i="88"/>
  <c r="F15" i="88"/>
  <c r="A65" i="60"/>
  <c r="J2" i="87"/>
  <c r="J3" i="87"/>
  <c r="J6" i="87"/>
  <c r="J4" i="87"/>
  <c r="J5" i="87"/>
  <c r="J7" i="87"/>
  <c r="A64" i="60"/>
  <c r="A63" i="60"/>
  <c r="D20" i="77"/>
  <c r="A62" i="60"/>
  <c r="S13" i="75"/>
  <c r="A61" i="60"/>
  <c r="I6" i="71"/>
  <c r="A60" i="60"/>
  <c r="G6" i="70"/>
  <c r="A59" i="60"/>
  <c r="F6" i="69"/>
  <c r="A58" i="60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H6" i="4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A28" i="60"/>
  <c r="J6" i="41"/>
  <c r="A27" i="60"/>
  <c r="J6" i="14"/>
  <c r="A26" i="60"/>
  <c r="A25" i="60"/>
  <c r="H7" i="12"/>
  <c r="A24" i="60"/>
  <c r="H7" i="11"/>
  <c r="A23" i="60"/>
  <c r="A22" i="60"/>
  <c r="S4" i="9"/>
  <c r="I7" i="9"/>
  <c r="A21" i="60"/>
  <c r="S4" i="8"/>
  <c r="I7" i="8"/>
  <c r="A20" i="60"/>
  <c r="S3" i="7"/>
  <c r="I6" i="7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D13" i="85"/>
  <c r="D12" i="85"/>
  <c r="D14" i="85"/>
  <c r="D16" i="85"/>
  <c r="H6" i="18"/>
  <c r="D12" i="88"/>
  <c r="D8" i="85"/>
  <c r="P3" i="75"/>
  <c r="P4" i="75"/>
  <c r="D21" i="95"/>
  <c r="E17" i="95"/>
  <c r="D17" i="95"/>
  <c r="A10" i="95"/>
  <c r="A9" i="95"/>
  <c r="A6" i="95"/>
  <c r="E9" i="95"/>
  <c r="E8" i="95"/>
  <c r="A10" i="94"/>
  <c r="A10" i="92"/>
  <c r="A10" i="90"/>
  <c r="A10" i="88"/>
  <c r="A10" i="87"/>
  <c r="A10" i="85"/>
  <c r="A10" i="77"/>
  <c r="A10" i="75"/>
  <c r="A10" i="71"/>
  <c r="A10" i="70"/>
  <c r="A10" i="69"/>
  <c r="A10" i="68"/>
  <c r="A10" i="67"/>
  <c r="A10" i="66"/>
  <c r="A10" i="65"/>
  <c r="A10" i="63"/>
  <c r="A10" i="62"/>
  <c r="A10" i="2"/>
  <c r="A10" i="4"/>
  <c r="A10" i="59"/>
  <c r="A10" i="58"/>
  <c r="A10" i="57"/>
  <c r="A10" i="54"/>
  <c r="A10" i="53"/>
  <c r="A10" i="52"/>
  <c r="A10" i="51"/>
  <c r="A10" i="50"/>
  <c r="A10" i="49"/>
  <c r="A10" i="48"/>
  <c r="A10" i="47"/>
  <c r="A10" i="46"/>
  <c r="A10" i="45"/>
  <c r="A10" i="44"/>
  <c r="A10" i="43"/>
  <c r="A10" i="42"/>
  <c r="A10" i="23"/>
  <c r="A10" i="38"/>
  <c r="A10" i="20"/>
  <c r="A10" i="19"/>
  <c r="A10" i="3"/>
  <c r="A10" i="18"/>
  <c r="A10" i="41"/>
  <c r="A10" i="14"/>
  <c r="A10" i="55"/>
  <c r="A10" i="12"/>
  <c r="A10" i="11"/>
  <c r="A10" i="10"/>
  <c r="A10" i="9"/>
  <c r="A10" i="8"/>
  <c r="A10" i="7"/>
  <c r="A10" i="6"/>
  <c r="A10" i="35"/>
  <c r="A10" i="34"/>
  <c r="A10" i="33"/>
  <c r="A10" i="36"/>
  <c r="A10" i="31"/>
  <c r="A10" i="30"/>
  <c r="A10" i="29"/>
  <c r="A10" i="28"/>
  <c r="A10" i="27"/>
  <c r="A10" i="26"/>
  <c r="A10" i="25"/>
  <c r="A10" i="32"/>
  <c r="A10" i="24"/>
  <c r="A10" i="22"/>
  <c r="A10" i="1"/>
  <c r="F18" i="69"/>
  <c r="D21" i="94"/>
  <c r="F17" i="94"/>
  <c r="E17" i="94"/>
  <c r="D17" i="94"/>
  <c r="H11" i="94"/>
  <c r="H10" i="94"/>
  <c r="H9" i="94"/>
  <c r="A9" i="94"/>
  <c r="H8" i="94"/>
  <c r="A6" i="94"/>
  <c r="G13" i="92"/>
  <c r="G13" i="90"/>
  <c r="D24" i="77"/>
  <c r="A6" i="77"/>
  <c r="I16" i="71"/>
  <c r="A6" i="71"/>
  <c r="G12" i="70"/>
  <c r="I16" i="66"/>
  <c r="G15" i="65"/>
  <c r="K16" i="63"/>
  <c r="A6" i="63"/>
  <c r="H16" i="62"/>
  <c r="H24" i="2"/>
  <c r="D23" i="54"/>
  <c r="D24" i="47"/>
  <c r="D23" i="44"/>
  <c r="L3" i="38"/>
  <c r="D22" i="35"/>
  <c r="D22" i="33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/>
  <c r="H4" i="88"/>
  <c r="H5" i="88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/>
  <c r="C4" i="76"/>
  <c r="D4" i="76"/>
  <c r="G8" i="70"/>
  <c r="I7" i="71"/>
  <c r="F9" i="69"/>
  <c r="F22" i="69"/>
  <c r="A6" i="69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J24" i="87"/>
  <c r="D17" i="85"/>
  <c r="A6" i="85"/>
  <c r="C6" i="76"/>
  <c r="A7" i="76"/>
  <c r="B7" i="76"/>
  <c r="D6" i="76"/>
  <c r="A6" i="90"/>
  <c r="A6" i="66"/>
  <c r="A6" i="2"/>
  <c r="H20" i="4"/>
  <c r="H16" i="4"/>
  <c r="K36" i="7"/>
  <c r="K38" i="7"/>
  <c r="A6" i="62"/>
  <c r="A6" i="19"/>
  <c r="A6" i="65"/>
  <c r="E4" i="76"/>
  <c r="E5" i="76"/>
  <c r="D5" i="76"/>
  <c r="A6" i="70"/>
  <c r="A6" i="92"/>
  <c r="A6" i="68"/>
  <c r="C5" i="76"/>
  <c r="A6" i="57"/>
  <c r="L38" i="7"/>
  <c r="C7" i="76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/>
  <c r="J43" i="3"/>
  <c r="O43" i="3"/>
  <c r="J44" i="3"/>
  <c r="O44" i="3"/>
  <c r="J42" i="3"/>
  <c r="O42" i="3"/>
  <c r="J40" i="3"/>
  <c r="O40" i="3"/>
  <c r="A6" i="41"/>
  <c r="D22" i="9"/>
  <c r="F16" i="9"/>
  <c r="D22" i="8"/>
  <c r="A6" i="8"/>
  <c r="F16" i="8"/>
  <c r="D21" i="7"/>
  <c r="A6" i="7"/>
  <c r="F15" i="7"/>
  <c r="A6" i="6"/>
  <c r="A6" i="34"/>
  <c r="A6" i="33"/>
  <c r="A6" i="31"/>
  <c r="A6" i="22"/>
  <c r="A8" i="76"/>
  <c r="E8" i="76"/>
  <c r="F16" i="88"/>
  <c r="A6" i="88"/>
  <c r="D7" i="76"/>
  <c r="E6" i="76"/>
  <c r="F4" i="76"/>
  <c r="G4" i="76"/>
  <c r="E7" i="76"/>
  <c r="B8" i="76"/>
  <c r="D8" i="76"/>
  <c r="A9" i="76"/>
  <c r="E9" i="76"/>
  <c r="C8" i="76"/>
  <c r="F8" i="76"/>
  <c r="F5" i="76"/>
  <c r="F6" i="76"/>
  <c r="F7" i="76"/>
  <c r="G5" i="76"/>
  <c r="G8" i="76"/>
  <c r="G9" i="76"/>
  <c r="G7" i="76"/>
  <c r="G6" i="76"/>
  <c r="H4" i="76"/>
  <c r="C9" i="76"/>
  <c r="D9" i="76"/>
  <c r="F9" i="76"/>
  <c r="B9" i="76"/>
  <c r="A10" i="76"/>
  <c r="A11" i="76"/>
  <c r="H11" i="76"/>
  <c r="F10" i="76"/>
  <c r="H9" i="76"/>
  <c r="I4" i="76"/>
  <c r="H7" i="76"/>
  <c r="H8" i="76"/>
  <c r="H6" i="76"/>
  <c r="H5" i="76"/>
  <c r="G10" i="76"/>
  <c r="E10" i="76"/>
  <c r="C10" i="76"/>
  <c r="B10" i="76"/>
  <c r="H10" i="76"/>
  <c r="D10" i="76"/>
  <c r="I11" i="76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/>
  <c r="B13" i="76"/>
  <c r="F13" i="76"/>
  <c r="G13" i="76"/>
  <c r="H13" i="76"/>
  <c r="I13" i="76"/>
  <c r="J13" i="76"/>
  <c r="L10" i="76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/>
  <c r="B16" i="76"/>
  <c r="D16" i="76"/>
  <c r="E16" i="76"/>
  <c r="C16" i="76"/>
  <c r="F16" i="76"/>
  <c r="G16" i="76"/>
  <c r="H16" i="76"/>
  <c r="I16" i="76"/>
  <c r="J16" i="76"/>
  <c r="K16" i="76"/>
  <c r="L16" i="76"/>
  <c r="O9" i="76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/>
  <c r="E17" i="76"/>
  <c r="F17" i="76"/>
  <c r="G17" i="76"/>
  <c r="H17" i="76"/>
  <c r="I17" i="76"/>
  <c r="J17" i="76"/>
  <c r="K17" i="76"/>
  <c r="L17" i="76"/>
  <c r="M17" i="76"/>
  <c r="Q4" i="76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/>
  <c r="B36" i="76"/>
  <c r="D36" i="76"/>
  <c r="A37" i="76"/>
  <c r="AH37" i="76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/>
  <c r="AB48" i="76"/>
  <c r="AG48" i="76"/>
  <c r="AH48" i="76"/>
  <c r="R48" i="76"/>
  <c r="AR20" i="76"/>
  <c r="AR24" i="76"/>
  <c r="AC48" i="76"/>
  <c r="X48" i="76"/>
  <c r="P48" i="76"/>
  <c r="I48" i="76"/>
  <c r="AR39" i="76"/>
  <c r="AR19" i="76"/>
  <c r="AR9" i="76"/>
  <c r="AR16" i="76"/>
  <c r="AR5" i="76"/>
  <c r="AK48" i="76"/>
  <c r="W48" i="76"/>
  <c r="D48" i="76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0" i="76"/>
  <c r="L3" i="75"/>
  <c r="M3" i="75"/>
  <c r="B51" i="76"/>
  <c r="L2" i="75"/>
  <c r="M2" i="75"/>
  <c r="A6" i="75"/>
  <c r="N9" i="57"/>
  <c r="M9" i="57"/>
</calcChain>
</file>

<file path=xl/sharedStrings.xml><?xml version="1.0" encoding="utf-8"?>
<sst xmlns="http://schemas.openxmlformats.org/spreadsheetml/2006/main" count="2006" uniqueCount="415">
  <si>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</si>
  <si>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</si>
  <si>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</si>
  <si>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</si>
  <si>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</si>
  <si>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</si>
  <si>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</si>
  <si>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</si>
  <si>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</si>
  <si>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</si>
  <si>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</si>
  <si>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</si>
  <si>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</si>
  <si>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</si>
  <si>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</si>
  <si>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</si>
  <si>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</si>
  <si>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</si>
  <si>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</si>
  <si>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</si>
  <si>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</si>
  <si>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</si>
  <si>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</si>
  <si>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</si>
  <si>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</si>
  <si>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</si>
  <si>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</si>
  <si>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</si>
  <si>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</si>
  <si>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</si>
  <si>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</si>
  <si>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</si>
  <si>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</si>
  <si>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</si>
  <si>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</si>
  <si>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</si>
  <si>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</si>
  <si>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</si>
  <si>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</si>
  <si>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</si>
  <si>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</si>
  <si>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</si>
  <si>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</si>
  <si>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</si>
  <si>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</si>
  <si>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</si>
  <si>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</si>
  <si>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</si>
  <si>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</si>
  <si>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</si>
  <si>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</si>
  <si>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</si>
  <si>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</si>
  <si>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</si>
  <si>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</si>
  <si>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</si>
  <si>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</si>
  <si>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</si>
  <si>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</si>
  <si>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</si>
  <si>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</si>
  <si>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</si>
  <si>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</si>
  <si>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</si>
  <si>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</si>
  <si>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</si>
  <si>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</si>
  <si>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</si>
  <si>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</si>
  <si>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</si>
  <si>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</si>
  <si>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</si>
  <si>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</si>
  <si>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</si>
  <si>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</si>
  <si>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</si>
  <si>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</si>
  <si>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</si>
  <si>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</si>
  <si>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</si>
  <si>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</si>
  <si>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</si>
  <si>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</si>
  <si>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</si>
  <si>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</si>
  <si>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</si>
  <si>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</si>
  <si>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</si>
  <si>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</si>
  <si>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</si>
  <si>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</si>
  <si>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</si>
  <si>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</si>
  <si>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</si>
  <si>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</si>
  <si>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</si>
  <si>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</si>
  <si>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</si>
  <si>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</si>
  <si>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</si>
  <si>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</si>
  <si>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</si>
  <si>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</si>
  <si>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</si>
  <si>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</si>
  <si>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</si>
  <si>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</si>
  <si>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</si>
  <si>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</si>
  <si>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</si>
  <si>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</si>
  <si>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</si>
  <si>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</si>
  <si>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</si>
  <si>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</si>
  <si>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</si>
  <si>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</si>
  <si>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</si>
  <si>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</si>
  <si>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</si>
  <si>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</si>
  <si>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</si>
  <si>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</si>
  <si>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</si>
  <si>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</si>
  <si>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</si>
  <si>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</si>
  <si>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</si>
  <si>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</si>
  <si>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</si>
  <si>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</si>
  <si>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</si>
  <si>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</si>
  <si>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</si>
  <si>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</si>
  <si>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</si>
  <si>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</si>
  <si>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</si>
  <si>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</si>
  <si>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</si>
  <si>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</si>
  <si>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</si>
  <si>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</si>
  <si>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</si>
  <si>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</si>
  <si>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</si>
  <si>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</si>
  <si>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</si>
  <si>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</si>
  <si>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</si>
  <si>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</si>
  <si>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</si>
  <si>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</si>
  <si>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</si>
  <si>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</si>
  <si>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</si>
  <si>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</si>
  <si>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</si>
  <si>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</si>
  <si>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</si>
  <si>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</si>
  <si>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</si>
  <si>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</si>
  <si>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</si>
  <si>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</si>
  <si>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</si>
  <si>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</si>
  <si>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</si>
  <si>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</si>
  <si>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</si>
  <si>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</si>
  <si>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</si>
  <si>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</si>
  <si>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</si>
  <si>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</si>
  <si>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</si>
  <si>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</si>
  <si>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</si>
  <si>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</si>
  <si>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</si>
  <si>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</si>
  <si>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</si>
  <si>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</si>
  <si>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</si>
  <si>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</si>
  <si>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</si>
  <si>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</si>
  <si>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</si>
  <si>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</si>
  <si>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</si>
  <si>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</si>
  <si>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</si>
  <si>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</si>
  <si>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</si>
  <si>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</si>
  <si>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</si>
  <si>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</si>
  <si>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</si>
  <si>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</si>
  <si>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</si>
  <si>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</si>
  <si>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</si>
  <si>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</si>
  <si>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</si>
  <si>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</si>
  <si>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</si>
  <si>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</si>
  <si>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</si>
  <si>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</si>
  <si>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</si>
  <si>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</si>
  <si>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</si>
  <si>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</si>
  <si>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</si>
  <si>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</si>
  <si>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</si>
  <si>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</si>
  <si>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</si>
  <si>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</si>
  <si>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</si>
  <si>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</si>
  <si>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</si>
  <si>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</si>
  <si>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</si>
  <si>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</si>
  <si>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</si>
  <si>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</si>
  <si>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</si>
  <si>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</si>
  <si>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</si>
  <si>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</si>
  <si>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</si>
  <si>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</si>
  <si>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</si>
  <si>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</si>
  <si>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</si>
  <si>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</si>
  <si>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</si>
  <si>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</si>
  <si>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</si>
  <si>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</si>
  <si>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</si>
  <si>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</si>
  <si>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</si>
  <si>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</si>
  <si>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</si>
  <si>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</si>
  <si>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</si>
  <si>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</si>
  <si>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</si>
  <si>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</si>
  <si>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</si>
  <si>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</si>
  <si>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</si>
  <si>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</si>
  <si>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</si>
  <si>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</si>
  <si>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</si>
  <si>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</si>
  <si>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</si>
  <si>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</si>
  <si>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</si>
  <si>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</si>
  <si>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</si>
  <si>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</si>
  <si>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</si>
  <si>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</si>
  <si>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</si>
  <si>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</si>
  <si>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</si>
  <si>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</si>
  <si>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</si>
  <si>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</si>
  <si>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</si>
  <si>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</si>
  <si>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</si>
  <si>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</si>
  <si>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</si>
  <si>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</si>
  <si>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</si>
  <si>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</si>
  <si>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</si>
  <si>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</si>
  <si>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</si>
  <si>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</si>
  <si>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</si>
  <si>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</si>
  <si>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</si>
  <si>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</si>
  <si>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</si>
  <si>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</si>
  <si>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</si>
  <si>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</si>
  <si>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</si>
  <si>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</si>
  <si>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</si>
  <si>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</si>
  <si>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</si>
  <si>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</si>
  <si>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</si>
  <si>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</si>
  <si>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</si>
  <si>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</si>
  <si>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</si>
  <si>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</si>
  <si>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</si>
  <si>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</si>
  <si>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</si>
  <si>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</si>
  <si>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</si>
  <si>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</si>
  <si>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</si>
  <si>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</si>
  <si>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</si>
  <si>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</si>
  <si>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</si>
  <si>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</si>
  <si>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</si>
  <si>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</si>
  <si>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</si>
  <si>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</si>
  <si>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</si>
  <si>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</si>
  <si>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</si>
  <si>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</si>
  <si>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</si>
  <si>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</si>
  <si>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</si>
  <si>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</si>
  <si>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</si>
  <si>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</si>
  <si>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</si>
  <si>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</si>
  <si>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</si>
  <si>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</si>
  <si>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</si>
  <si>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</si>
  <si>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</si>
  <si>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</si>
  <si>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</si>
  <si>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</si>
  <si>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</si>
  <si>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</si>
  <si>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</si>
  <si>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</si>
  <si>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</si>
  <si>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</si>
  <si>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</si>
  <si>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</si>
  <si>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</si>
  <si>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</si>
  <si>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</si>
  <si>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</si>
  <si>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</si>
  <si>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</si>
  <si>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</si>
  <si>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</si>
  <si>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</si>
  <si>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</si>
  <si>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</si>
  <si>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</si>
  <si>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</si>
  <si>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</si>
  <si>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</si>
  <si>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</si>
  <si>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</si>
  <si>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</si>
  <si>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</si>
  <si>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</si>
  <si>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</si>
  <si>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</si>
  <si>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</si>
  <si>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</si>
  <si>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</si>
  <si>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</si>
  <si>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</si>
  <si>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</si>
  <si>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</si>
  <si>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</si>
  <si>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</si>
  <si>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</si>
  <si>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</si>
  <si>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</si>
  <si>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</si>
  <si>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</si>
  <si>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</si>
  <si>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</si>
  <si>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</si>
  <si>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</si>
  <si>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</si>
  <si>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</si>
  <si>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</si>
  <si>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</si>
  <si>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</si>
  <si>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</si>
  <si>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</si>
  <si>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</si>
  <si>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</si>
  <si>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</si>
  <si>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</si>
  <si>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</si>
  <si>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</si>
  <si>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</si>
  <si>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</si>
  <si>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</si>
  <si>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</si>
  <si>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</si>
  <si>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</si>
  <si>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</si>
  <si>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</si>
  <si>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</si>
  <si>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OpenSolver Sensitivity Report - CBC</t>
  </si>
  <si>
    <t>Report Created: 11/02/2015 6:56:40 pm</t>
  </si>
  <si>
    <t>Report Created: 11/02/2015 6:56:46 pm</t>
  </si>
  <si>
    <t>Report Created: 11/02/2015 6:56:50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</si>
</sst>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6" fillId="13" borderId="19" xfId="11" applyFill="1" applyBorder="1" applyAlignment="1"/>
    <xf numFmtId="0" fontId="26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63" Type="http://schemas.openxmlformats.org/officeDocument/2006/relationships/worksheet" Target="worksheets/sheet63.xml"/><Relationship Id="rId64" Type="http://schemas.openxmlformats.org/officeDocument/2006/relationships/worksheet" Target="worksheets/sheet64.xml"/><Relationship Id="rId65" Type="http://schemas.openxmlformats.org/officeDocument/2006/relationships/worksheet" Target="worksheets/sheet65.xml"/><Relationship Id="rId66" Type="http://schemas.openxmlformats.org/officeDocument/2006/relationships/worksheet" Target="worksheets/sheet66.xml"/><Relationship Id="rId67" Type="http://schemas.openxmlformats.org/officeDocument/2006/relationships/worksheet" Target="worksheets/sheet67.xml"/><Relationship Id="rId68" Type="http://schemas.openxmlformats.org/officeDocument/2006/relationships/worksheet" Target="worksheets/sheet68.xml"/><Relationship Id="rId69" Type="http://schemas.openxmlformats.org/officeDocument/2006/relationships/worksheet" Target="worksheets/sheet6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80" Type="http://schemas.openxmlformats.org/officeDocument/2006/relationships/calcChain" Target="calcChain.xml"/><Relationship Id="rId81" Type="http://schemas.microsoft.com/office/2006/relationships/vbaProject" Target="vbaProject.bin"/><Relationship Id="rId70" Type="http://schemas.openxmlformats.org/officeDocument/2006/relationships/worksheet" Target="worksheets/sheet70.xml"/><Relationship Id="rId71" Type="http://schemas.openxmlformats.org/officeDocument/2006/relationships/worksheet" Target="worksheets/sheet71.xml"/><Relationship Id="rId72" Type="http://schemas.openxmlformats.org/officeDocument/2006/relationships/worksheet" Target="worksheets/sheet72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73" Type="http://schemas.openxmlformats.org/officeDocument/2006/relationships/worksheet" Target="worksheets/sheet73.xml"/><Relationship Id="rId74" Type="http://schemas.openxmlformats.org/officeDocument/2006/relationships/worksheet" Target="worksheets/sheet74.xml"/><Relationship Id="rId75" Type="http://schemas.openxmlformats.org/officeDocument/2006/relationships/worksheet" Target="worksheets/sheet75.xml"/><Relationship Id="rId76" Type="http://schemas.openxmlformats.org/officeDocument/2006/relationships/externalLink" Target="externalLinks/externalLink1.xml"/><Relationship Id="rId77" Type="http://schemas.openxmlformats.org/officeDocument/2006/relationships/theme" Target="theme/theme1.xml"/><Relationship Id="rId78" Type="http://schemas.openxmlformats.org/officeDocument/2006/relationships/styles" Target="styles.xml"/><Relationship Id="rId79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61" Type="http://schemas.openxmlformats.org/officeDocument/2006/relationships/worksheet" Target="worksheets/sheet61.xml"/><Relationship Id="rId62" Type="http://schemas.openxmlformats.org/officeDocument/2006/relationships/worksheet" Target="worksheets/sheet62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  <c:perspective val="3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0.0113122296912888"/>
          <c:w val="0.724789915966387"/>
          <c:h val="0.88914125373530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</c:v>
                </c:pt>
                <c:pt idx="2">
                  <c:v>5.832471355634985</c:v>
                </c:pt>
                <c:pt idx="3">
                  <c:v>5.831625757693338</c:v>
                </c:pt>
                <c:pt idx="4">
                  <c:v>5.831419191231233</c:v>
                </c:pt>
                <c:pt idx="5">
                  <c:v>5.83185432512735</c:v>
                </c:pt>
                <c:pt idx="6">
                  <c:v>5.832933626827178</c:v>
                </c:pt>
                <c:pt idx="7">
                  <c:v>5.834659360310795</c:v>
                </c:pt>
                <c:pt idx="8">
                  <c:v>5.837033584345233</c:v>
                </c:pt>
                <c:pt idx="9">
                  <c:v>5.8400581510154</c:v>
                </c:pt>
                <c:pt idx="10">
                  <c:v>5.843734704526411</c:v>
                </c:pt>
                <c:pt idx="11">
                  <c:v>5.848064680269395</c:v>
                </c:pt>
                <c:pt idx="12">
                  <c:v>5.853049304142078</c:v>
                </c:pt>
                <c:pt idx="13">
                  <c:v>5.858689592114947</c:v>
                </c:pt>
                <c:pt idx="14">
                  <c:v>5.864986350033413</c:v>
                </c:pt>
                <c:pt idx="15">
                  <c:v>5.871940173646228</c:v>
                </c:pt>
                <c:pt idx="16">
                  <c:v>5.879551448850359</c:v>
                </c:pt>
                <c:pt idx="17">
                  <c:v>5.887820352142681</c:v>
                </c:pt>
                <c:pt idx="18">
                  <c:v>5.896746851269153</c:v>
                </c:pt>
                <c:pt idx="19">
                  <c:v>5.906330706062544</c:v>
                </c:pt>
                <c:pt idx="20">
                  <c:v>5.91657146946031</c:v>
                </c:pt>
                <c:pt idx="21">
                  <c:v>5.92746848869496</c:v>
                </c:pt>
                <c:pt idx="22">
                  <c:v>5.9390209066499</c:v>
                </c:pt>
                <c:pt idx="23">
                  <c:v>5.951227663374613</c:v>
                </c:pt>
                <c:pt idx="24">
                  <c:v>5.964087497753858</c:v>
                </c:pt>
                <c:pt idx="25">
                  <c:v>5.977598949326498</c:v>
                </c:pt>
                <c:pt idx="26">
                  <c:v>5.991760360250397</c:v>
                </c:pt>
                <c:pt idx="27">
                  <c:v>6.006569877410733</c:v>
                </c:pt>
                <c:pt idx="28">
                  <c:v>6.02202545466989</c:v>
                </c:pt>
                <c:pt idx="29">
                  <c:v>6.038124855257868</c:v>
                </c:pt>
                <c:pt idx="30">
                  <c:v>6.054865654302835</c:v>
                </c:pt>
                <c:pt idx="31">
                  <c:v>6.072245241502088</c:v>
                </c:pt>
                <c:pt idx="32">
                  <c:v>6.09026082393412</c:v>
                </c:pt>
                <c:pt idx="33">
                  <c:v>6.108909429012979</c:v>
                </c:pt>
                <c:pt idx="34">
                  <c:v>6.128187907586254</c:v>
                </c:pt>
                <c:pt idx="35">
                  <c:v>6.148092937178285</c:v>
                </c:pt>
                <c:pt idx="36">
                  <c:v>6.16862102538005</c:v>
                </c:pt>
                <c:pt idx="37">
                  <c:v>6.189768513387183</c:v>
                </c:pt>
                <c:pt idx="38">
                  <c:v>6.211531579687247</c:v>
                </c:pt>
                <c:pt idx="39">
                  <c:v>6.233906243896962</c:v>
                </c:pt>
                <c:pt idx="40">
                  <c:v>6.256888370749728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5.795209919806153</c:v>
                </c:pt>
                <c:pt idx="1">
                  <c:v>5.767123106564575</c:v>
                </c:pt>
                <c:pt idx="2">
                  <c:v>5.751708687737643</c:v>
                </c:pt>
                <c:pt idx="3">
                  <c:v>5.74318101063427</c:v>
                </c:pt>
                <c:pt idx="4">
                  <c:v>5.738326711508348</c:v>
                </c:pt>
                <c:pt idx="5">
                  <c:v>5.735696956894832</c:v>
                </c:pt>
                <c:pt idx="6">
                  <c:v>5.734616737004984</c:v>
                </c:pt>
                <c:pt idx="7">
                  <c:v>5.734744464963782</c:v>
                </c:pt>
                <c:pt idx="8">
                  <c:v>5.735892949567707</c:v>
                </c:pt>
                <c:pt idx="9">
                  <c:v>5.737952514577387</c:v>
                </c:pt>
                <c:pt idx="10">
                  <c:v>5.740855300337651</c:v>
                </c:pt>
                <c:pt idx="11">
                  <c:v>5.744557413157214</c:v>
                </c:pt>
                <c:pt idx="12">
                  <c:v>5.749029404089457</c:v>
                </c:pt>
                <c:pt idx="13">
                  <c:v>5.754250903696032</c:v>
                </c:pt>
                <c:pt idx="14">
                  <c:v>5.760207455231294</c:v>
                </c:pt>
                <c:pt idx="15">
                  <c:v>5.76688857149885</c:v>
                </c:pt>
                <c:pt idx="16">
                  <c:v>5.774286504121353</c:v>
                </c:pt>
                <c:pt idx="17">
                  <c:v>5.78239544482772</c:v>
                </c:pt>
                <c:pt idx="18">
                  <c:v>5.791210999123754</c:v>
                </c:pt>
                <c:pt idx="19">
                  <c:v>5.800729838794902</c:v>
                </c:pt>
                <c:pt idx="20">
                  <c:v>5.810949477497106</c:v>
                </c:pt>
                <c:pt idx="21">
                  <c:v>5.821868136437624</c:v>
                </c:pt>
                <c:pt idx="22">
                  <c:v>5.833484681802087</c:v>
                </c:pt>
                <c:pt idx="23">
                  <c:v>5.845798626092378</c:v>
                </c:pt>
                <c:pt idx="24">
                  <c:v>5.858810194426257</c:v>
                </c:pt>
                <c:pt idx="25">
                  <c:v>5.87252046612483</c:v>
                </c:pt>
                <c:pt idx="26">
                  <c:v>5.886931613753807</c:v>
                </c:pt>
                <c:pt idx="27">
                  <c:v>5.902047279295561</c:v>
                </c:pt>
                <c:pt idx="28">
                  <c:v>5.917873155587111</c:v>
                </c:pt>
                <c:pt idx="29">
                  <c:v>5.934417890423956</c:v>
                </c:pt>
                <c:pt idx="30">
                  <c:v>5.951694520404464</c:v>
                </c:pt>
                <c:pt idx="31">
                  <c:v>5.969722812757423</c:v>
                </c:pt>
                <c:pt idx="32">
                  <c:v>5.988533236835682</c:v>
                </c:pt>
                <c:pt idx="33">
                  <c:v>6.008174015052341</c:v>
                </c:pt>
                <c:pt idx="34">
                  <c:v>6.02872434447299</c:v>
                </c:pt>
                <c:pt idx="35">
                  <c:v>6.050320839538842</c:v>
                </c:pt>
                <c:pt idx="36">
                  <c:v>6.07321448065964</c:v>
                </c:pt>
                <c:pt idx="37">
                  <c:v>6.09790322724912</c:v>
                </c:pt>
                <c:pt idx="38">
                  <c:v>6.125458241039404</c:v>
                </c:pt>
                <c:pt idx="39">
                  <c:v>6.158257743553365</c:v>
                </c:pt>
                <c:pt idx="40">
                  <c:v>6.20058535673425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</c:v>
                </c:pt>
                <c:pt idx="1">
                  <c:v>5.725045397521233</c:v>
                </c:pt>
                <c:pt idx="2">
                  <c:v>5.701302940970444</c:v>
                </c:pt>
                <c:pt idx="3">
                  <c:v>5.684265842271671</c:v>
                </c:pt>
                <c:pt idx="4">
                  <c:v>5.672255635654231</c:v>
                </c:pt>
                <c:pt idx="5">
                  <c:v>5.66394027844253</c:v>
                </c:pt>
                <c:pt idx="6">
                  <c:v>5.658388091005838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</c:v>
                </c:pt>
                <c:pt idx="10">
                  <c:v>5.654095570159991</c:v>
                </c:pt>
                <c:pt idx="11">
                  <c:v>5.656258909978772</c:v>
                </c:pt>
                <c:pt idx="12">
                  <c:v>5.659459866458212</c:v>
                </c:pt>
                <c:pt idx="13">
                  <c:v>5.663630686416711</c:v>
                </c:pt>
                <c:pt idx="14">
                  <c:v>5.668721583454065</c:v>
                </c:pt>
                <c:pt idx="15">
                  <c:v>5.674695537846706</c:v>
                </c:pt>
                <c:pt idx="16">
                  <c:v>5.681524816068522</c:v>
                </c:pt>
                <c:pt idx="17">
                  <c:v>5.689188611408188</c:v>
                </c:pt>
                <c:pt idx="18">
                  <c:v>5.697671434397127</c:v>
                </c:pt>
                <c:pt idx="19">
                  <c:v>5.70696202032633</c:v>
                </c:pt>
                <c:pt idx="20">
                  <c:v>5.71705260770366</c:v>
                </c:pt>
                <c:pt idx="21">
                  <c:v>5.727938497575947</c:v>
                </c:pt>
                <c:pt idx="22">
                  <c:v>5.73961784207831</c:v>
                </c:pt>
                <c:pt idx="23">
                  <c:v>5.752091639471961</c:v>
                </c:pt>
                <c:pt idx="24">
                  <c:v>5.765363937919051</c:v>
                </c:pt>
                <c:pt idx="25">
                  <c:v>5.779442275988102</c:v>
                </c:pt>
                <c:pt idx="26">
                  <c:v>5.794338419305907</c:v>
                </c:pt>
                <c:pt idx="27">
                  <c:v>5.81006949634135</c:v>
                </c:pt>
                <c:pt idx="28">
                  <c:v>5.826659701856968</c:v>
                </c:pt>
                <c:pt idx="29">
                  <c:v>5.844142840210722</c:v>
                </c:pt>
                <c:pt idx="30">
                  <c:v>5.862566149739876</c:v>
                </c:pt>
                <c:pt idx="31">
                  <c:v>5.881996130471728</c:v>
                </c:pt>
                <c:pt idx="32">
                  <c:v>5.902527567876042</c:v>
                </c:pt>
                <c:pt idx="33">
                  <c:v>5.92429772361388</c:v>
                </c:pt>
                <c:pt idx="34">
                  <c:v>5.947508884454714</c:v>
                </c:pt>
                <c:pt idx="35">
                  <c:v>5.972464071699523</c:v>
                </c:pt>
                <c:pt idx="36">
                  <c:v>5.99962159434163</c:v>
                </c:pt>
                <c:pt idx="37">
                  <c:v>6.02966909610135</c:v>
                </c:pt>
                <c:pt idx="38">
                  <c:v>6.063590821243691</c:v>
                </c:pt>
                <c:pt idx="39">
                  <c:v>6.10262765562332</c:v>
                </c:pt>
                <c:pt idx="40">
                  <c:v>6.147951580817226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</c:v>
                </c:pt>
                <c:pt idx="1">
                  <c:v>5.688185610389015</c:v>
                </c:pt>
                <c:pt idx="2">
                  <c:v>5.660764597485302</c:v>
                </c:pt>
                <c:pt idx="3">
                  <c:v>5.638823542575843</c:v>
                </c:pt>
                <c:pt idx="4">
                  <c:v>5.621604102557008</c:v>
                </c:pt>
                <c:pt idx="5">
                  <c:v>5.608334484168392</c:v>
                </c:pt>
                <c:pt idx="6">
                  <c:v>5.598331833737565</c:v>
                </c:pt>
                <c:pt idx="7">
                  <c:v>5.591038478330779</c:v>
                </c:pt>
                <c:pt idx="8">
                  <c:v>5.586018695450313</c:v>
                </c:pt>
                <c:pt idx="9">
                  <c:v>5.582939523251422</c:v>
                </c:pt>
                <c:pt idx="10">
                  <c:v>5.58154876904597</c:v>
                </c:pt>
                <c:pt idx="11">
                  <c:v>5.581655625511537</c:v>
                </c:pt>
                <c:pt idx="12">
                  <c:v>5.583115288911644</c:v>
                </c:pt>
                <c:pt idx="13">
                  <c:v>5.58581734282738</c:v>
                </c:pt>
                <c:pt idx="14">
                  <c:v>5.589677192854042</c:v>
                </c:pt>
                <c:pt idx="15">
                  <c:v>5.594629820380989</c:v>
                </c:pt>
                <c:pt idx="16">
                  <c:v>5.600625250526455</c:v>
                </c:pt>
                <c:pt idx="17">
                  <c:v>5.60762527599539</c:v>
                </c:pt>
                <c:pt idx="18">
                  <c:v>5.615601104701314</c:v>
                </c:pt>
                <c:pt idx="19">
                  <c:v>5.624531696922617</c:v>
                </c:pt>
                <c:pt idx="20">
                  <c:v>5.634402631046455</c:v>
                </c:pt>
                <c:pt idx="21">
                  <c:v>5.645205391682525</c:v>
                </c:pt>
                <c:pt idx="22">
                  <c:v>5.656937015963594</c:v>
                </c:pt>
                <c:pt idx="23">
                  <c:v>5.669600068163858</c:v>
                </c:pt>
                <c:pt idx="24">
                  <c:v>5.683202943569197</c:v>
                </c:pt>
                <c:pt idx="25">
                  <c:v>5.697760533631876</c:v>
                </c:pt>
                <c:pt idx="26">
                  <c:v>5.713295319644581</c:v>
                </c:pt>
                <c:pt idx="27">
                  <c:v>5.729839005639035</c:v>
                </c:pt>
                <c:pt idx="28">
                  <c:v>5.747434857626077</c:v>
                </c:pt>
                <c:pt idx="29">
                  <c:v>5.766140990391978</c:v>
                </c:pt>
                <c:pt idx="30">
                  <c:v>5.786034937602278</c:v>
                </c:pt>
                <c:pt idx="31">
                  <c:v>5.807219950482705</c:v>
                </c:pt>
                <c:pt idx="32">
                  <c:v>5.829833565026599</c:v>
                </c:pt>
                <c:pt idx="33">
                  <c:v>5.854058965320509</c:v>
                </c:pt>
                <c:pt idx="34">
                  <c:v>5.880139316838492</c:v>
                </c:pt>
                <c:pt idx="35">
                  <c:v>5.908394035833166</c:v>
                </c:pt>
                <c:pt idx="36">
                  <c:v>5.939232987010807</c:v>
                </c:pt>
                <c:pt idx="37">
                  <c:v>5.973158862328948</c:v>
                </c:pt>
                <c:pt idx="38">
                  <c:v>6.010740324104514</c:v>
                </c:pt>
                <c:pt idx="39">
                  <c:v>6.052536151155306</c:v>
                </c:pt>
                <c:pt idx="40">
                  <c:v>6.098969327916279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</c:v>
                </c:pt>
                <c:pt idx="1">
                  <c:v>5.654729954029532</c:v>
                </c:pt>
                <c:pt idx="2">
                  <c:v>5.625349869079318</c:v>
                </c:pt>
                <c:pt idx="3">
                  <c:v>5.600530212621262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</c:v>
                </c:pt>
                <c:pt idx="7">
                  <c:v>5.538753598496777</c:v>
                </c:pt>
                <c:pt idx="8">
                  <c:v>5.530630483239217</c:v>
                </c:pt>
                <c:pt idx="9">
                  <c:v>5.524755997817273</c:v>
                </c:pt>
                <c:pt idx="10">
                  <c:v>5.52088126073993</c:v>
                </c:pt>
                <c:pt idx="11">
                  <c:v>5.51880342002881</c:v>
                </c:pt>
                <c:pt idx="12">
                  <c:v>5.518358589514793</c:v>
                </c:pt>
                <c:pt idx="13">
                  <c:v>5.519415090195615</c:v>
                </c:pt>
                <c:pt idx="14">
                  <c:v>5.521867551063381</c:v>
                </c:pt>
                <c:pt idx="15">
                  <c:v>5.525632019715053</c:v>
                </c:pt>
                <c:pt idx="16">
                  <c:v>5.530642040955797</c:v>
                </c:pt>
                <c:pt idx="17">
                  <c:v>5.536845587324493</c:v>
                </c:pt>
                <c:pt idx="18">
                  <c:v>5.544202710615421</c:v>
                </c:pt>
                <c:pt idx="19">
                  <c:v>5.552683795526176</c:v>
                </c:pt>
                <c:pt idx="20">
                  <c:v>5.562268318898571</c:v>
                </c:pt>
                <c:pt idx="21">
                  <c:v>5.572944042896098</c:v>
                </c:pt>
                <c:pt idx="22">
                  <c:v>5.58470659480476</c:v>
                </c:pt>
                <c:pt idx="23">
                  <c:v>5.597559409187465</c:v>
                </c:pt>
                <c:pt idx="24">
                  <c:v>5.611514030135334</c:v>
                </c:pt>
                <c:pt idx="25">
                  <c:v>5.626590792935</c:v>
                </c:pt>
                <c:pt idx="26">
                  <c:v>5.642819926014398</c:v>
                </c:pt>
                <c:pt idx="27">
                  <c:v>5.660243135173446</c:v>
                </c:pt>
                <c:pt idx="28">
                  <c:v>5.678915750746371</c:v>
                </c:pt>
                <c:pt idx="29">
                  <c:v>5.698909528886819</c:v>
                </c:pt>
                <c:pt idx="30">
                  <c:v>5.720316188407819</c:v>
                </c:pt>
                <c:pt idx="31">
                  <c:v>5.743251710548355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5.822859808448792</c:v>
                </c:pt>
                <c:pt idx="35">
                  <c:v>5.853726375922932</c:v>
                </c:pt>
                <c:pt idx="36">
                  <c:v>5.88722047089127</c:v>
                </c:pt>
                <c:pt idx="37">
                  <c:v>5.923662281322084</c:v>
                </c:pt>
                <c:pt idx="38">
                  <c:v>5.963369737762948</c:v>
                </c:pt>
                <c:pt idx="39">
                  <c:v>6.00661911244251</c:v>
                </c:pt>
                <c:pt idx="40">
                  <c:v>6.053599105326673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</c:v>
                </c:pt>
                <c:pt idx="1">
                  <c:v>5.62423510294359</c:v>
                </c:pt>
                <c:pt idx="2">
                  <c:v>5.593687109562433</c:v>
                </c:pt>
                <c:pt idx="3">
                  <c:v>5.567062488422764</c:v>
                </c:pt>
                <c:pt idx="4">
                  <c:v>5.544153833095045</c:v>
                </c:pt>
                <c:pt idx="5">
                  <c:v>5.524705875413428</c:v>
                </c:pt>
                <c:pt idx="6">
                  <c:v>5.508441005202436</c:v>
                </c:pt>
                <c:pt idx="7">
                  <c:v>5.495080679708933</c:v>
                </c:pt>
                <c:pt idx="8">
                  <c:v>5.484360701223223</c:v>
                </c:pt>
                <c:pt idx="9">
                  <c:v>5.47604038839338</c:v>
                </c:pt>
                <c:pt idx="10">
                  <c:v>5.469906807665271</c:v>
                </c:pt>
                <c:pt idx="11">
                  <c:v>5.465775562629753</c:v>
                </c:pt>
                <c:pt idx="12">
                  <c:v>5.463489490580112</c:v>
                </c:pt>
                <c:pt idx="13">
                  <c:v>5.462916284113665</c:v>
                </c:pt>
                <c:pt idx="14">
                  <c:v>5.463945718328747</c:v>
                </c:pt>
                <c:pt idx="15">
                  <c:v>5.466486894823582</c:v>
                </c:pt>
                <c:pt idx="16">
                  <c:v>5.470465725645932</c:v>
                </c:pt>
                <c:pt idx="17">
                  <c:v>5.475822761088763</c:v>
                </c:pt>
                <c:pt idx="18">
                  <c:v>5.48251139592781</c:v>
                </c:pt>
                <c:pt idx="19">
                  <c:v>5.49049645247597</c:v>
                </c:pt>
                <c:pt idx="20">
                  <c:v>5.499753123117424</c:v>
                </c:pt>
                <c:pt idx="21">
                  <c:v>5.510266251294484</c:v>
                </c:pt>
                <c:pt idx="22">
                  <c:v>5.522029932845987</c:v>
                </c:pt>
                <c:pt idx="23">
                  <c:v>5.535047425769575</c:v>
                </c:pt>
                <c:pt idx="24">
                  <c:v>5.549331363704454</c:v>
                </c:pt>
                <c:pt idx="25">
                  <c:v>5.564904274985748</c:v>
                </c:pt>
                <c:pt idx="26">
                  <c:v>5.581799413156815</c:v>
                </c:pt>
                <c:pt idx="27">
                  <c:v>5.600061903751462</c:v>
                </c:pt>
                <c:pt idx="28">
                  <c:v>5.619750201942001</c:v>
                </c:pt>
                <c:pt idx="29">
                  <c:v>5.640937830012564</c:v>
                </c:pt>
                <c:pt idx="30">
                  <c:v>5.663715313272242</c:v>
                </c:pt>
                <c:pt idx="31">
                  <c:v>5.688192145497155</c:v>
                </c:pt>
                <c:pt idx="32">
                  <c:v>5.714498476349912</c:v>
                </c:pt>
                <c:pt idx="33">
                  <c:v>5.742786014248209</c:v>
                </c:pt>
                <c:pt idx="34">
                  <c:v>5.77322738875216</c:v>
                </c:pt>
                <c:pt idx="35">
                  <c:v>5.806012971361848</c:v>
                </c:pt>
                <c:pt idx="36">
                  <c:v>5.841344043920797</c:v>
                </c:pt>
                <c:pt idx="37">
                  <c:v>5.879421449499117</c:v>
                </c:pt>
                <c:pt idx="38">
                  <c:v>5.920429705953207</c:v>
                </c:pt>
                <c:pt idx="39">
                  <c:v>5.964518078826092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</c:v>
                </c:pt>
                <c:pt idx="1">
                  <c:v>5.596504322585509</c:v>
                </c:pt>
                <c:pt idx="2">
                  <c:v>5.565219298189081</c:v>
                </c:pt>
                <c:pt idx="3">
                  <c:v>5.537408374610227</c:v>
                </c:pt>
                <c:pt idx="4">
                  <c:v>5.512949415910811</c:v>
                </c:pt>
                <c:pt idx="5">
                  <c:v>5.49168509188489</c:v>
                </c:pt>
                <c:pt idx="6">
                  <c:v>5.473435626748407</c:v>
                </c:pt>
                <c:pt idx="7">
                  <c:v>5.458010926910232</c:v>
                </c:pt>
                <c:pt idx="8">
                  <c:v>5.445220779446064</c:v>
                </c:pt>
                <c:pt idx="9">
                  <c:v>5.434882529236599</c:v>
                </c:pt>
                <c:pt idx="10">
                  <c:v>5.426826227867225</c:v>
                </c:pt>
                <c:pt idx="11">
                  <c:v>5.420897607178036</c:v>
                </c:pt>
                <c:pt idx="12">
                  <c:v>5.416959379644686</c:v>
                </c:pt>
                <c:pt idx="13">
                  <c:v>5.414891371443171</c:v>
                </c:pt>
                <c:pt idx="14">
                  <c:v>5.414589920853488</c:v>
                </c:pt>
                <c:pt idx="15">
                  <c:v>5.415966875513153</c:v>
                </c:pt>
                <c:pt idx="16">
                  <c:v>5.418948426536419</c:v>
                </c:pt>
                <c:pt idx="17">
                  <c:v>5.423473938767324</c:v>
                </c:pt>
                <c:pt idx="18">
                  <c:v>5.429494877468072</c:v>
                </c:pt>
                <c:pt idx="19">
                  <c:v>5.436973890622443</c:v>
                </c:pt>
                <c:pt idx="20">
                  <c:v>5.445884079022596</c:v>
                </c:pt>
                <c:pt idx="21">
                  <c:v>5.45620846950727</c:v>
                </c:pt>
                <c:pt idx="22">
                  <c:v>5.467939696717791</c:v>
                </c:pt>
                <c:pt idx="23">
                  <c:v>5.481079892731648</c:v>
                </c:pt>
                <c:pt idx="24">
                  <c:v>5.495640779596306</c:v>
                </c:pt>
                <c:pt idx="25">
                  <c:v>5.511643955041914</c:v>
                </c:pt>
                <c:pt idx="26">
                  <c:v>5.529121354422945</c:v>
                </c:pt>
                <c:pt idx="27">
                  <c:v>5.548115859922052</c:v>
                </c:pt>
                <c:pt idx="28">
                  <c:v>5.568682008577294</c:v>
                </c:pt>
                <c:pt idx="29">
                  <c:v>5.590886720794931</c:v>
                </c:pt>
                <c:pt idx="30">
                  <c:v>5.614809927872095</c:v>
                </c:pt>
                <c:pt idx="31">
                  <c:v>5.640544919218731</c:v>
                </c:pt>
                <c:pt idx="32">
                  <c:v>5.668198159673906</c:v>
                </c:pt>
                <c:pt idx="33">
                  <c:v>5.697888254258466</c:v>
                </c:pt>
                <c:pt idx="34">
                  <c:v>5.729743683818934</c:v>
                </c:pt>
                <c:pt idx="35">
                  <c:v>5.763898938022936</c:v>
                </c:pt>
                <c:pt idx="36">
                  <c:v>5.800488782994946</c:v>
                </c:pt>
                <c:pt idx="37">
                  <c:v>5.839640667597965</c:v>
                </c:pt>
                <c:pt idx="38">
                  <c:v>5.881465705973026</c:v>
                </c:pt>
                <c:pt idx="39">
                  <c:v>5.926049204715783</c:v>
                </c:pt>
                <c:pt idx="40">
                  <c:v>5.973442158734007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</c:v>
                </c:pt>
                <c:pt idx="1">
                  <c:v>5.571407340231445</c:v>
                </c:pt>
                <c:pt idx="2">
                  <c:v>5.539647812831218</c:v>
                </c:pt>
                <c:pt idx="3">
                  <c:v>5.511036492621556</c:v>
                </c:pt>
                <c:pt idx="4">
                  <c:v>5.485498209365233</c:v>
                </c:pt>
                <c:pt idx="5">
                  <c:v>5.462932427670992</c:v>
                </c:pt>
                <c:pt idx="6">
                  <c:v>5.4432200178669</c:v>
                </c:pt>
                <c:pt idx="7">
                  <c:v>5.426230213354262</c:v>
                </c:pt>
                <c:pt idx="8">
                  <c:v>5.411827057945332</c:v>
                </c:pt>
                <c:pt idx="9">
                  <c:v>5.399874885814574</c:v>
                </c:pt>
                <c:pt idx="10">
                  <c:v>5.390242624303127</c:v>
                </c:pt>
                <c:pt idx="11">
                  <c:v>5.382806911507014</c:v>
                </c:pt>
                <c:pt idx="12">
                  <c:v>5.377454153947983</c:v>
                </c:pt>
                <c:pt idx="13">
                  <c:v>5.374081717178281</c:v>
                </c:pt>
                <c:pt idx="14">
                  <c:v>5.372598459476068</c:v>
                </c:pt>
                <c:pt idx="15">
                  <c:v>5.37292480446947</c:v>
                </c:pt>
                <c:pt idx="16">
                  <c:v>5.374992518465476</c:v>
                </c:pt>
                <c:pt idx="17">
                  <c:v>5.378744323535155</c:v>
                </c:pt>
                <c:pt idx="18">
                  <c:v>5.384133444498111</c:v>
                </c:pt>
                <c:pt idx="19">
                  <c:v>5.391123159859939</c:v>
                </c:pt>
                <c:pt idx="20">
                  <c:v>5.399686404249043</c:v>
                </c:pt>
                <c:pt idx="21">
                  <c:v>5.409805452477905</c:v>
                </c:pt>
                <c:pt idx="22">
                  <c:v>5.421471701921024</c:v>
                </c:pt>
                <c:pt idx="23">
                  <c:v>5.434685559132305</c:v>
                </c:pt>
                <c:pt idx="24">
                  <c:v>5.449456427149885</c:v>
                </c:pt>
                <c:pt idx="25">
                  <c:v>5.46580278041393</c:v>
                </c:pt>
                <c:pt idx="26">
                  <c:v>5.483752303365504</c:v>
                </c:pt>
                <c:pt idx="27">
                  <c:v>5.503342055416528</c:v>
                </c:pt>
                <c:pt idx="28">
                  <c:v>5.524618608119677</c:v>
                </c:pt>
                <c:pt idx="29">
                  <c:v>5.547638079551606</c:v>
                </c:pt>
                <c:pt idx="30">
                  <c:v>5.572465966645098</c:v>
                </c:pt>
                <c:pt idx="31">
                  <c:v>5.599176650642267</c:v>
                </c:pt>
                <c:pt idx="32">
                  <c:v>5.627852428759063</c:v>
                </c:pt>
                <c:pt idx="33">
                  <c:v>5.658581914738606</c:v>
                </c:pt>
                <c:pt idx="34">
                  <c:v>5.691457663978852</c:v>
                </c:pt>
                <c:pt idx="35">
                  <c:v>5.72657292913635</c:v>
                </c:pt>
                <c:pt idx="36">
                  <c:v>5.764017551061693</c:v>
                </c:pt>
                <c:pt idx="37">
                  <c:v>5.803873139468847</c:v>
                </c:pt>
                <c:pt idx="38">
                  <c:v>5.846207881284832</c:v>
                </c:pt>
                <c:pt idx="39">
                  <c:v>5.8910714918709</c:v>
                </c:pt>
                <c:pt idx="40">
                  <c:v>5.93849093638287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</c:v>
                </c:pt>
                <c:pt idx="3">
                  <c:v>5.487617273836681</c:v>
                </c:pt>
                <c:pt idx="4">
                  <c:v>5.461319555151158</c:v>
                </c:pt>
                <c:pt idx="5">
                  <c:v>5.437814785900513</c:v>
                </c:pt>
                <c:pt idx="6">
                  <c:v>5.41702268580954</c:v>
                </c:pt>
                <c:pt idx="7">
                  <c:v>5.398852472535003</c:v>
                </c:pt>
                <c:pt idx="8">
                  <c:v>5.383206941482314</c:v>
                </c:pt>
                <c:pt idx="9">
                  <c:v>5.369986210634718</c:v>
                </c:pt>
                <c:pt idx="10">
                  <c:v>5.359090947412265</c:v>
                </c:pt>
                <c:pt idx="11">
                  <c:v>5.350424992064607</c:v>
                </c:pt>
                <c:pt idx="12">
                  <c:v>5.343897371980115</c:v>
                </c:pt>
                <c:pt idx="13">
                  <c:v>5.339423757071207</c:v>
                </c:pt>
                <c:pt idx="14">
                  <c:v>5.336927438441026</c:v>
                </c:pt>
                <c:pt idx="15">
                  <c:v>5.336339925185622</c:v>
                </c:pt>
                <c:pt idx="16">
                  <c:v>5.33760125315896</c:v>
                </c:pt>
                <c:pt idx="17">
                  <c:v>5.340660090216846</c:v>
                </c:pt>
                <c:pt idx="18">
                  <c:v>5.345473709091421</c:v>
                </c:pt>
                <c:pt idx="19">
                  <c:v>5.352007884504043</c:v>
                </c:pt>
                <c:pt idx="20">
                  <c:v>5.360236757071968</c:v>
                </c:pt>
                <c:pt idx="21">
                  <c:v>5.370142693757497</c:v>
                </c:pt>
                <c:pt idx="22">
                  <c:v>5.381716163178246</c:v>
                </c:pt>
                <c:pt idx="23">
                  <c:v>5.394955633793506</c:v>
                </c:pt>
                <c:pt idx="24">
                  <c:v>5.409867493354138</c:v>
                </c:pt>
                <c:pt idx="25">
                  <c:v>5.426465978537027</c:v>
                </c:pt>
                <c:pt idx="26">
                  <c:v>5.4447730939118</c:v>
                </c:pt>
                <c:pt idx="27">
                  <c:v>5.464818489000447</c:v>
                </c:pt>
                <c:pt idx="28">
                  <c:v>5.486639251184762</c:v>
                </c:pt>
                <c:pt idx="29">
                  <c:v>5.510279561069311</c:v>
                </c:pt>
                <c:pt idx="30">
                  <c:v>5.535790146792394</c:v>
                </c:pt>
                <c:pt idx="31">
                  <c:v>5.563227466775319</c:v>
                </c:pt>
                <c:pt idx="32">
                  <c:v>5.592652549609337</c:v>
                </c:pt>
                <c:pt idx="33">
                  <c:v>5.624129429167849</c:v>
                </c:pt>
                <c:pt idx="34">
                  <c:v>5.65772313681762</c:v>
                </c:pt>
                <c:pt idx="35">
                  <c:v>5.693497253985541</c:v>
                </c:pt>
                <c:pt idx="36">
                  <c:v>5.731511087581537</c:v>
                </c:pt>
                <c:pt idx="37">
                  <c:v>5.771816603067917</c:v>
                </c:pt>
                <c:pt idx="38">
                  <c:v>5.814455323989792</c:v>
                </c:pt>
                <c:pt idx="39">
                  <c:v>5.859455465373452</c:v>
                </c:pt>
                <c:pt idx="40">
                  <c:v>5.906829592261034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</c:v>
                </c:pt>
                <c:pt idx="1">
                  <c:v>5.528689444933847</c:v>
                </c:pt>
                <c:pt idx="2">
                  <c:v>5.496442309680698</c:v>
                </c:pt>
                <c:pt idx="3">
                  <c:v>5.466916929252219</c:v>
                </c:pt>
                <c:pt idx="4">
                  <c:v>5.440083867346846</c:v>
                </c:pt>
                <c:pt idx="5">
                  <c:v>5.415900016165488</c:v>
                </c:pt>
                <c:pt idx="6">
                  <c:v>5.3943108775457</c:v>
                </c:pt>
                <c:pt idx="7">
                  <c:v>5.375253116059952</c:v>
                </c:pt>
                <c:pt idx="8">
                  <c:v>5.358657192458181</c:v>
                </c:pt>
                <c:pt idx="9">
                  <c:v>5.344449911172665</c:v>
                </c:pt>
                <c:pt idx="10">
                  <c:v>5.33255675536966</c:v>
                </c:pt>
                <c:pt idx="11">
                  <c:v>5.322903927997967</c:v>
                </c:pt>
                <c:pt idx="12">
                  <c:v>5.315420059805717</c:v>
                </c:pt>
                <c:pt idx="13">
                  <c:v>5.31003758041375</c:v>
                </c:pt>
                <c:pt idx="14">
                  <c:v>5.306693774050366</c:v>
                </c:pt>
                <c:pt idx="15">
                  <c:v>5.305331557455062</c:v>
                </c:pt>
                <c:pt idx="16">
                  <c:v>5.305900025093622</c:v>
                </c:pt>
                <c:pt idx="17">
                  <c:v>5.308354808131908</c:v>
                </c:pt>
                <c:pt idx="18">
                  <c:v>5.31265829056307</c:v>
                </c:pt>
                <c:pt idx="19">
                  <c:v>5.318779720156245</c:v>
                </c:pt>
                <c:pt idx="20">
                  <c:v>5.326695244758698</c:v>
                </c:pt>
                <c:pt idx="21">
                  <c:v>5.336387896780281</c:v>
                </c:pt>
                <c:pt idx="22">
                  <c:v>5.347847540906351</c:v>
                </c:pt>
                <c:pt idx="23">
                  <c:v>5.361070792448489</c:v>
                </c:pt>
                <c:pt idx="24">
                  <c:v>5.376060906315134</c:v>
                </c:pt>
                <c:pt idx="25">
                  <c:v>5.392827629361863</c:v>
                </c:pt>
                <c:pt idx="26">
                  <c:v>5.411387001879777</c:v>
                </c:pt>
                <c:pt idx="27">
                  <c:v>5.431761087323307</c:v>
                </c:pt>
                <c:pt idx="28">
                  <c:v>5.45397760337843</c:v>
                </c:pt>
                <c:pt idx="29">
                  <c:v>5.47806942270716</c:v>
                </c:pt>
                <c:pt idx="30">
                  <c:v>5.504073909070216</c:v>
                </c:pt>
                <c:pt idx="31">
                  <c:v>5.532032055239306</c:v>
                </c:pt>
                <c:pt idx="32">
                  <c:v>5.56198739459649</c:v>
                </c:pt>
                <c:pt idx="33">
                  <c:v>5.593984669993067</c:v>
                </c:pt>
                <c:pt idx="34">
                  <c:v>5.628068262284096</c:v>
                </c:pt>
                <c:pt idx="35">
                  <c:v>5.664280406943142</c:v>
                </c:pt>
                <c:pt idx="36">
                  <c:v>5.702659258658214</c:v>
                </c:pt>
                <c:pt idx="37">
                  <c:v>5.743236897132495</c:v>
                </c:pt>
                <c:pt idx="38">
                  <c:v>5.786037396794607</c:v>
                </c:pt>
                <c:pt idx="39">
                  <c:v>5.831075101922378</c:v>
                </c:pt>
                <c:pt idx="40">
                  <c:v>5.878353250404213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5.54580962648189</c:v>
                </c:pt>
                <c:pt idx="1">
                  <c:v>5.510873454164516</c:v>
                </c:pt>
                <c:pt idx="2">
                  <c:v>5.478523255135797</c:v>
                </c:pt>
                <c:pt idx="3">
                  <c:v>5.44875288460748</c:v>
                </c:pt>
                <c:pt idx="4">
                  <c:v>5.421544746075794</c:v>
                </c:pt>
                <c:pt idx="5">
                  <c:v>5.396870910595272</c:v>
                </c:pt>
                <c:pt idx="6">
                  <c:v>5.374694546592504</c:v>
                </c:pt>
                <c:pt idx="7">
                  <c:v>5.354971559414878</c:v>
                </c:pt>
                <c:pt idx="8">
                  <c:v>5.33765233572362</c:v>
                </c:pt>
                <c:pt idx="9">
                  <c:v>5.322683495082236</c:v>
                </c:pt>
                <c:pt idx="10">
                  <c:v>5.31000956674394</c:v>
                </c:pt>
                <c:pt idx="11">
                  <c:v>5.299574530054691</c:v>
                </c:pt>
                <c:pt idx="12">
                  <c:v>5.291323178534248</c:v>
                </c:pt>
                <c:pt idx="13">
                  <c:v>5.285202287769045</c:v>
                </c:pt>
                <c:pt idx="14">
                  <c:v>5.28116158392946</c:v>
                </c:pt>
                <c:pt idx="15">
                  <c:v>5.279154522167715</c:v>
                </c:pt>
                <c:pt idx="16">
                  <c:v>5.279138892298254</c:v>
                </c:pt>
                <c:pt idx="17">
                  <c:v>5.281077273462546</c:v>
                </c:pt>
                <c:pt idx="18">
                  <c:v>5.284937360648004</c:v>
                </c:pt>
                <c:pt idx="19">
                  <c:v>5.29069218474305</c:v>
                </c:pt>
                <c:pt idx="20">
                  <c:v>5.298320244982023</c:v>
                </c:pt>
                <c:pt idx="21">
                  <c:v>5.307805568753309</c:v>
                </c:pt>
                <c:pt idx="22">
                  <c:v>5.319137709261427</c:v>
                </c:pt>
                <c:pt idx="23">
                  <c:v>5.332311686775127</c:v>
                </c:pt>
                <c:pt idx="24">
                  <c:v>5.347327874399142</c:v>
                </c:pt>
                <c:pt idx="25">
                  <c:v>5.364191824673416</c:v>
                </c:pt>
                <c:pt idx="26">
                  <c:v>5.382914029029786</c:v>
                </c:pt>
                <c:pt idx="27">
                  <c:v>5.403509598466161</c:v>
                </c:pt>
                <c:pt idx="28">
                  <c:v>5.425997851055211</c:v>
                </c:pt>
                <c:pt idx="29">
                  <c:v>5.45040179050874</c:v>
                </c:pt>
                <c:pt idx="30">
                  <c:v>5.476747460480893</c:v>
                </c:pt>
                <c:pt idx="31">
                  <c:v>5.505063162170207</c:v>
                </c:pt>
                <c:pt idx="32">
                  <c:v>5.535378528583248</c:v>
                </c:pt>
                <c:pt idx="33">
                  <c:v>5.567723457870718</c:v>
                </c:pt>
                <c:pt idx="34">
                  <c:v>5.602126920381159</c:v>
                </c:pt>
                <c:pt idx="35">
                  <c:v>5.638615668862219</c:v>
                </c:pt>
                <c:pt idx="36">
                  <c:v>5.677212897219483</c:v>
                </c:pt>
                <c:pt idx="37">
                  <c:v>5.717936908331385</c:v>
                </c:pt>
                <c:pt idx="38">
                  <c:v>5.760799862996732</c:v>
                </c:pt>
                <c:pt idx="39">
                  <c:v>5.805806687450951</c:v>
                </c:pt>
                <c:pt idx="40">
                  <c:v>5.852954213863952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</c:v>
                </c:pt>
                <c:pt idx="1">
                  <c:v>5.495296835620225</c:v>
                </c:pt>
                <c:pt idx="2">
                  <c:v>5.462900727712218</c:v>
                </c:pt>
                <c:pt idx="3">
                  <c:v>5.43297369798048</c:v>
                </c:pt>
                <c:pt idx="4">
                  <c:v>5.405506355467552</c:v>
                </c:pt>
                <c:pt idx="5">
                  <c:v>5.380481337647136</c:v>
                </c:pt>
                <c:pt idx="6">
                  <c:v>5.357874245729631</c:v>
                </c:pt>
                <c:pt idx="7">
                  <c:v>5.33765473548162</c:v>
                </c:pt>
                <c:pt idx="8">
                  <c:v>5.319787703968452</c:v>
                </c:pt>
                <c:pt idx="9">
                  <c:v>5.304234513861262</c:v>
                </c:pt>
                <c:pt idx="10">
                  <c:v>5.290954202879079</c:v>
                </c:pt>
                <c:pt idx="11">
                  <c:v>5.279904635103116</c:v>
                </c:pt>
                <c:pt idx="12">
                  <c:v>5.271043561708177</c:v>
                </c:pt>
                <c:pt idx="13">
                  <c:v>5.26432956965319</c:v>
                </c:pt>
                <c:pt idx="14">
                  <c:v>5.259722906928667</c:v>
                </c:pt>
                <c:pt idx="15">
                  <c:v>5.257186181338038</c:v>
                </c:pt>
                <c:pt idx="16">
                  <c:v>5.256684936136022</c:v>
                </c:pt>
                <c:pt idx="17">
                  <c:v>5.258188110112536</c:v>
                </c:pt>
                <c:pt idx="18">
                  <c:v>5.261668392061604</c:v>
                </c:pt>
                <c:pt idx="19">
                  <c:v>5.267102480301151</c:v>
                </c:pt>
                <c:pt idx="20">
                  <c:v>5.274471257350857</c:v>
                </c:pt>
                <c:pt idx="21">
                  <c:v>5.283759888369816</c:v>
                </c:pt>
                <c:pt idx="22">
                  <c:v>5.294957849813723</c:v>
                </c:pt>
                <c:pt idx="23">
                  <c:v>5.308058892265564</c:v>
                </c:pt>
                <c:pt idx="24">
                  <c:v>5.323060938764414</c:v>
                </c:pt>
                <c:pt idx="25">
                  <c:v>5.339965917423594</c:v>
                </c:pt>
                <c:pt idx="26">
                  <c:v>5.358779524907119</c:v>
                </c:pt>
                <c:pt idx="27">
                  <c:v>5.379510915645011</c:v>
                </c:pt>
                <c:pt idx="28">
                  <c:v>5.402172310753396</c:v>
                </c:pt>
                <c:pt idx="29">
                  <c:v>5.426778520736625</c:v>
                </c:pt>
                <c:pt idx="30">
                  <c:v>5.453346377434165</c:v>
                </c:pt>
                <c:pt idx="31">
                  <c:v>5.48189407354312</c:v>
                </c:pt>
                <c:pt idx="32">
                  <c:v>5.512440412513685</c:v>
                </c:pt>
                <c:pt idx="33">
                  <c:v>5.545003977635993</c:v>
                </c:pt>
                <c:pt idx="34">
                  <c:v>5.579602236441074</c:v>
                </c:pt>
                <c:pt idx="35">
                  <c:v>5.616250604574027</c:v>
                </c:pt>
                <c:pt idx="36">
                  <c:v>5.6549615012204</c:v>
                </c:pt>
                <c:pt idx="37">
                  <c:v>5.695743434895801</c:v>
                </c:pt>
                <c:pt idx="38">
                  <c:v>5.738600162757577</c:v>
                </c:pt>
                <c:pt idx="39">
                  <c:v>5.783529967480374</c:v>
                </c:pt>
                <c:pt idx="40">
                  <c:v>5.83052509241441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</c:v>
                </c:pt>
                <c:pt idx="1">
                  <c:v>5.481873681548911</c:v>
                </c:pt>
                <c:pt idx="2">
                  <c:v>5.449470662745401</c:v>
                </c:pt>
                <c:pt idx="3">
                  <c:v>5.419449606095503</c:v>
                </c:pt>
                <c:pt idx="4">
                  <c:v>5.391806972129146</c:v>
                </c:pt>
                <c:pt idx="5">
                  <c:v>5.36653294076809</c:v>
                </c:pt>
                <c:pt idx="6">
                  <c:v>5.343612046180471</c:v>
                </c:pt>
                <c:pt idx="7">
                  <c:v>5.323023925893077</c:v>
                </c:pt>
                <c:pt idx="8">
                  <c:v>5.304744148990196</c:v>
                </c:pt>
                <c:pt idx="9">
                  <c:v>5.2887450876129</c:v>
                </c:pt>
                <c:pt idx="10">
                  <c:v>5.274996797974413</c:v>
                </c:pt>
                <c:pt idx="11">
                  <c:v>5.263467881133102</c:v>
                </c:pt>
                <c:pt idx="12">
                  <c:v>5.254126299092482</c:v>
                </c:pt>
                <c:pt idx="13">
                  <c:v>5.246940127698045</c:v>
                </c:pt>
                <c:pt idx="14">
                  <c:v>5.241878233634916</c:v>
                </c:pt>
                <c:pt idx="15">
                  <c:v>5.238910868107747</c:v>
                </c:pt>
                <c:pt idx="16">
                  <c:v>5.23801017418485</c:v>
                </c:pt>
                <c:pt idx="17">
                  <c:v>5.239150608153263</c:v>
                </c:pt>
                <c:pt idx="18">
                  <c:v>5.242309277534975</c:v>
                </c:pt>
                <c:pt idx="19">
                  <c:v>5.247466199730537</c:v>
                </c:pt>
                <c:pt idx="20">
                  <c:v>5.25460448572132</c:v>
                </c:pt>
                <c:pt idx="21">
                  <c:v>5.263710453047072</c:v>
                </c:pt>
                <c:pt idx="22">
                  <c:v>5.274773671565876</c:v>
                </c:pt>
                <c:pt idx="23">
                  <c:v>5.28778694448422</c:v>
                </c:pt>
                <c:pt idx="24">
                  <c:v>5.302746225995724</c:v>
                </c:pt>
                <c:pt idx="25">
                  <c:v>5.319650475761408</c:v>
                </c:pt>
                <c:pt idx="26">
                  <c:v>5.338501449569382</c:v>
                </c:pt>
                <c:pt idx="27">
                  <c:v>5.359303424989051</c:v>
                </c:pt>
                <c:pt idx="28">
                  <c:v>5.38206286083692</c:v>
                </c:pt>
                <c:pt idx="29">
                  <c:v>5.406787989934327</c:v>
                </c:pt>
                <c:pt idx="30">
                  <c:v>5.433488346067858</c:v>
                </c:pt>
                <c:pt idx="31">
                  <c:v>5.462174228316327</c:v>
                </c:pt>
                <c:pt idx="32">
                  <c:v>5.492856108964394</c:v>
                </c:pt>
                <c:pt idx="33">
                  <c:v>5.52554399496171</c:v>
                </c:pt>
                <c:pt idx="34">
                  <c:v>5.560246757067443</c:v>
                </c:pt>
                <c:pt idx="35">
                  <c:v>5.596971445076299</c:v>
                </c:pt>
                <c:pt idx="36">
                  <c:v>5.63572261137668</c:v>
                </c:pt>
                <c:pt idx="37">
                  <c:v>5.676501668000862</c:v>
                </c:pt>
                <c:pt idx="38">
                  <c:v>5.719306303752812</c:v>
                </c:pt>
                <c:pt idx="39">
                  <c:v>5.764129987499695</c:v>
                </c:pt>
                <c:pt idx="40">
                  <c:v>5.810961581039315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5.505215805828801</c:v>
                </c:pt>
                <c:pt idx="1">
                  <c:v>5.47052411160458</c:v>
                </c:pt>
                <c:pt idx="2">
                  <c:v>5.438139461140227</c:v>
                </c:pt>
                <c:pt idx="3">
                  <c:v>5.408067969313923</c:v>
                </c:pt>
                <c:pt idx="4">
                  <c:v>5.380310352268735</c:v>
                </c:pt>
                <c:pt idx="5">
                  <c:v>5.354862269237488</c:v>
                </c:pt>
                <c:pt idx="6">
                  <c:v>5.33171476757134</c:v>
                </c:pt>
                <c:pt idx="7">
                  <c:v>5.310854812021679</c:v>
                </c:pt>
                <c:pt idx="8">
                  <c:v>5.292265876705883</c:v>
                </c:pt>
                <c:pt idx="9">
                  <c:v>5.275928577148573</c:v>
                </c:pt>
                <c:pt idx="10">
                  <c:v>5.261821320228917</c:v>
                </c:pt>
                <c:pt idx="11">
                  <c:v>5.249920951539633</c:v>
                </c:pt>
                <c:pt idx="12">
                  <c:v>5.24020338224496</c:v>
                </c:pt>
                <c:pt idx="13">
                  <c:v>5.232644180649803</c:v>
                </c:pt>
                <c:pt idx="14">
                  <c:v>5.227219117013012</c:v>
                </c:pt>
                <c:pt idx="15">
                  <c:v>5.223904653357768</c:v>
                </c:pt>
                <c:pt idx="16">
                  <c:v>5.222678372926834</c:v>
                </c:pt>
                <c:pt idx="17">
                  <c:v>5.223519346354881</c:v>
                </c:pt>
                <c:pt idx="18">
                  <c:v>5.226408433512975</c:v>
                </c:pt>
                <c:pt idx="19">
                  <c:v>5.231328521314602</c:v>
                </c:pt>
                <c:pt idx="20">
                  <c:v>5.238264698599898</c:v>
                </c:pt>
                <c:pt idx="21">
                  <c:v>5.247204369611747</c:v>
                </c:pt>
                <c:pt idx="22">
                  <c:v>5.25813730764262</c:v>
                </c:pt>
                <c:pt idx="23">
                  <c:v>5.271055650275475</c:v>
                </c:pt>
                <c:pt idx="24">
                  <c:v>5.285953837381204</c:v>
                </c:pt>
                <c:pt idx="25">
                  <c:v>5.302828492784748</c:v>
                </c:pt>
                <c:pt idx="26">
                  <c:v>5.321678250382517</c:v>
                </c:pt>
                <c:pt idx="27">
                  <c:v>5.342503525587793</c:v>
                </c:pt>
                <c:pt idx="28">
                  <c:v>5.365306233386311</c:v>
                </c:pt>
                <c:pt idx="29">
                  <c:v>5.39008945506915</c:v>
                </c:pt>
                <c:pt idx="30">
                  <c:v>5.416857056912616</c:v>
                </c:pt>
                <c:pt idx="31">
                  <c:v>5.445613265694246</c:v>
                </c:pt>
                <c:pt idx="32">
                  <c:v>5.47636220792013</c:v>
                </c:pt>
                <c:pt idx="33">
                  <c:v>5.509107421884588</c:v>
                </c:pt>
                <c:pt idx="34">
                  <c:v>5.543851354022333</c:v>
                </c:pt>
                <c:pt idx="35">
                  <c:v>5.580594853224751</c:v>
                </c:pt>
                <c:pt idx="36">
                  <c:v>5.619336678617099</c:v>
                </c:pt>
                <c:pt idx="37">
                  <c:v>5.660073037461353</c:v>
                </c:pt>
                <c:pt idx="38">
                  <c:v>5.70279717011427</c:v>
                </c:pt>
                <c:pt idx="39">
                  <c:v>5.747498998151304</c:v>
                </c:pt>
                <c:pt idx="40">
                  <c:v>5.794164849786824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</c:v>
                </c:pt>
                <c:pt idx="1">
                  <c:v>5.461175346041968</c:v>
                </c:pt>
                <c:pt idx="2">
                  <c:v>5.428823776208784</c:v>
                </c:pt>
                <c:pt idx="3">
                  <c:v>5.398731057198796</c:v>
                </c:pt>
                <c:pt idx="4">
                  <c:v>5.370901035137855</c:v>
                </c:pt>
                <c:pt idx="5">
                  <c:v>5.34533339033103</c:v>
                </c:pt>
                <c:pt idx="6">
                  <c:v>5.322023958428634</c:v>
                </c:pt>
                <c:pt idx="7">
                  <c:v>5.300965114392413</c:v>
                </c:pt>
                <c:pt idx="8">
                  <c:v>5.282146205509277</c:v>
                </c:pt>
                <c:pt idx="9">
                  <c:v>5.265554018696501</c:v>
                </c:pt>
                <c:pt idx="10">
                  <c:v>5.251173267192106</c:v>
                </c:pt>
                <c:pt idx="11">
                  <c:v>5.238987082330283</c:v>
                </c:pt>
                <c:pt idx="12">
                  <c:v>5.228977497312558</c:v>
                </c:pt>
                <c:pt idx="13">
                  <c:v>5.221125911520559</c:v>
                </c:pt>
                <c:pt idx="14">
                  <c:v>5.215413525789367</c:v>
                </c:pt>
                <c:pt idx="15">
                  <c:v>5.211821740999993</c:v>
                </c:pt>
                <c:pt idx="16">
                  <c:v>5.210332514212835</c:v>
                </c:pt>
                <c:pt idx="17">
                  <c:v>5.210928668245058</c:v>
                </c:pt>
                <c:pt idx="18">
                  <c:v>5.213594152027035</c:v>
                </c:pt>
                <c:pt idx="19">
                  <c:v>5.21831425022661</c:v>
                </c:pt>
                <c:pt idx="20">
                  <c:v>5.225075741507365</c:v>
                </c:pt>
                <c:pt idx="21">
                  <c:v>5.233867005416366</c:v>
                </c:pt>
                <c:pt idx="22">
                  <c:v>5.244678078325153</c:v>
                </c:pt>
                <c:pt idx="23">
                  <c:v>5.257500659134346</c:v>
                </c:pt>
                <c:pt idx="24">
                  <c:v>5.272328065663865</c:v>
                </c:pt>
                <c:pt idx="25">
                  <c:v>5.289155142855459</c:v>
                </c:pt>
                <c:pt idx="26">
                  <c:v>5.307978124177515</c:v>
                </c:pt>
                <c:pt idx="27">
                  <c:v>5.328794448002558</c:v>
                </c:pt>
                <c:pt idx="28">
                  <c:v>5.351602531271941</c:v>
                </c:pt>
                <c:pt idx="29">
                  <c:v>5.376401503500322</c:v>
                </c:pt>
                <c:pt idx="30">
                  <c:v>5.403190905113886</c:v>
                </c:pt>
                <c:pt idx="31">
                  <c:v>5.43197035524387</c:v>
                </c:pt>
                <c:pt idx="32">
                  <c:v>5.462739195365407</c:v>
                </c:pt>
                <c:pt idx="33">
                  <c:v>5.49549611650456</c:v>
                </c:pt>
                <c:pt idx="34">
                  <c:v>5.53023877902954</c:v>
                </c:pt>
                <c:pt idx="35">
                  <c:v>5.56696343516873</c:v>
                </c:pt>
                <c:pt idx="36">
                  <c:v>5.605664565220361</c:v>
                </c:pt>
                <c:pt idx="37">
                  <c:v>5.646334538802353</c:v>
                </c:pt>
                <c:pt idx="38">
                  <c:v>5.688963312323083</c:v>
                </c:pt>
                <c:pt idx="39">
                  <c:v>5.733538173061984</c:v>
                </c:pt>
                <c:pt idx="40">
                  <c:v>5.780043538815425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</c:v>
                </c:pt>
                <c:pt idx="1">
                  <c:v>5.453762657606267</c:v>
                </c:pt>
                <c:pt idx="2">
                  <c:v>5.421450676457535</c:v>
                </c:pt>
                <c:pt idx="3">
                  <c:v>5.391354969256209</c:v>
                </c:pt>
                <c:pt idx="4">
                  <c:v>5.36348168963237</c:v>
                </c:pt>
                <c:pt idx="5">
                  <c:v>5.337833474548294</c:v>
                </c:pt>
                <c:pt idx="6">
                  <c:v>5.314409682722943</c:v>
                </c:pt>
                <c:pt idx="7">
                  <c:v>5.29320668065185</c:v>
                </c:pt>
                <c:pt idx="8">
                  <c:v>5.274218167088581</c:v>
                </c:pt>
                <c:pt idx="9">
                  <c:v>5.257435526006086</c:v>
                </c:pt>
                <c:pt idx="10">
                  <c:v>5.24284819771563</c:v>
                </c:pt>
                <c:pt idx="11">
                  <c:v>5.230444057950478</c:v>
                </c:pt>
                <c:pt idx="12">
                  <c:v>5.220209795252054</c:v>
                </c:pt>
                <c:pt idx="13">
                  <c:v>5.212131277838047</c:v>
                </c:pt>
                <c:pt idx="14">
                  <c:v>5.206193902185792</c:v>
                </c:pt>
                <c:pt idx="15">
                  <c:v>5.202382916732933</c:v>
                </c:pt>
                <c:pt idx="16">
                  <c:v>5.200683715294</c:v>
                </c:pt>
                <c:pt idx="17">
                  <c:v>5.201082095945658</c:v>
                </c:pt>
                <c:pt idx="18">
                  <c:v>5.203564482194088</c:v>
                </c:pt>
                <c:pt idx="19">
                  <c:v>5.208118104174893</c:v>
                </c:pt>
                <c:pt idx="20">
                  <c:v>5.214731138437434</c:v>
                </c:pt>
                <c:pt idx="21">
                  <c:v>5.223392805537219</c:v>
                </c:pt>
                <c:pt idx="22">
                  <c:v>5.234093425219968</c:v>
                </c:pt>
                <c:pt idx="23">
                  <c:v>5.246824429457551</c:v>
                </c:pt>
                <c:pt idx="24">
                  <c:v>5.261578334022887</c:v>
                </c:pt>
                <c:pt idx="25">
                  <c:v>5.278348669704067</c:v>
                </c:pt>
                <c:pt idx="26">
                  <c:v>5.297129874692104</c:v>
                </c:pt>
                <c:pt idx="27">
                  <c:v>5.317917150161552</c:v>
                </c:pt>
                <c:pt idx="28">
                  <c:v>5.340706281620807</c:v>
                </c:pt>
                <c:pt idx="29">
                  <c:v>5.365493429250131</c:v>
                </c:pt>
                <c:pt idx="30">
                  <c:v>5.392274891167773</c:v>
                </c:pt>
                <c:pt idx="31">
                  <c:v>5.421046844350402</c:v>
                </c:pt>
                <c:pt idx="32">
                  <c:v>5.451805068749114</c:v>
                </c:pt>
                <c:pt idx="33">
                  <c:v>5.484544660937424</c:v>
                </c:pt>
                <c:pt idx="34">
                  <c:v>5.519259744340238</c:v>
                </c:pt>
                <c:pt idx="35">
                  <c:v>5.555943183652291</c:v>
                </c:pt>
                <c:pt idx="36">
                  <c:v>5.594586311388038</c:v>
                </c:pt>
                <c:pt idx="37">
                  <c:v>5.63517867454677</c:v>
                </c:pt>
                <c:pt idx="38">
                  <c:v>5.67770780907519</c:v>
                </c:pt>
                <c:pt idx="39">
                  <c:v>5.722159049137825</c:v>
                </c:pt>
                <c:pt idx="40">
                  <c:v>5.768515377165677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5.4826747826679</c:v>
                </c:pt>
                <c:pt idx="1">
                  <c:v>5.448230155176873</c:v>
                </c:pt>
                <c:pt idx="2">
                  <c:v>5.415957919846174</c:v>
                </c:pt>
                <c:pt idx="3">
                  <c:v>5.385869104546316</c:v>
                </c:pt>
                <c:pt idx="4">
                  <c:v>5.357971549142532</c:v>
                </c:pt>
                <c:pt idx="5">
                  <c:v>5.332270045724987</c:v>
                </c:pt>
                <c:pt idx="6">
                  <c:v>5.308766521133097</c:v>
                </c:pt>
                <c:pt idx="7">
                  <c:v>5.287460256415473</c:v>
                </c:pt>
                <c:pt idx="8">
                  <c:v>5.268348136878376</c:v>
                </c:pt>
                <c:pt idx="9">
                  <c:v>5.251424925688299</c:v>
                </c:pt>
                <c:pt idx="10">
                  <c:v>5.236683553619834</c:v>
                </c:pt>
                <c:pt idx="11">
                  <c:v>5.224115417466304</c:v>
                </c:pt>
                <c:pt idx="12">
                  <c:v>5.213710679827199</c:v>
                </c:pt>
                <c:pt idx="13">
                  <c:v>5.20545856340869</c:v>
                </c:pt>
                <c:pt idx="14">
                  <c:v>5.199347633568709</c:v>
                </c:pt>
                <c:pt idx="15">
                  <c:v>5.195366063551627</c:v>
                </c:pt>
                <c:pt idx="16">
                  <c:v>5.193501877637317</c:v>
                </c:pt>
                <c:pt idx="17">
                  <c:v>5.193743168230207</c:v>
                </c:pt>
                <c:pt idx="18">
                  <c:v>5.196078283699999</c:v>
                </c:pt>
                <c:pt idx="19">
                  <c:v>5.200495984531611</c:v>
                </c:pt>
                <c:pt idx="20">
                  <c:v>5.206985566033302</c:v>
                </c:pt>
                <c:pt idx="21">
                  <c:v>5.215536946484129</c:v>
                </c:pt>
                <c:pt idx="22">
                  <c:v>5.226140720178614</c:v>
                </c:pt>
                <c:pt idx="23">
                  <c:v>5.238788175357904</c:v>
                </c:pt>
                <c:pt idx="24">
                  <c:v>5.253471277517103</c:v>
                </c:pt>
                <c:pt idx="25">
                  <c:v>5.270182619063825</c:v>
                </c:pt>
                <c:pt idx="26">
                  <c:v>5.288915336788913</c:v>
                </c:pt>
                <c:pt idx="27">
                  <c:v>5.309662999109467</c:v>
                </c:pt>
                <c:pt idx="28">
                  <c:v>5.332419465564703</c:v>
                </c:pt>
                <c:pt idx="29">
                  <c:v>5.357178721588258</c:v>
                </c:pt>
                <c:pt idx="30">
                  <c:v>5.383934692139813</c:v>
                </c:pt>
                <c:pt idx="31">
                  <c:v>5.412681038339545</c:v>
                </c:pt>
                <c:pt idx="32">
                  <c:v>5.443410941787393</c:v>
                </c:pt>
                <c:pt idx="33">
                  <c:v>5.476116881734603</c:v>
                </c:pt>
                <c:pt idx="34">
                  <c:v>5.510790410671006</c:v>
                </c:pt>
                <c:pt idx="35">
                  <c:v>5.547421934158953</c:v>
                </c:pt>
                <c:pt idx="36">
                  <c:v>5.586000500846045</c:v>
                </c:pt>
                <c:pt idx="37">
                  <c:v>5.62651360849147</c:v>
                </c:pt>
                <c:pt idx="38">
                  <c:v>5.668947031522838</c:v>
                </c:pt>
                <c:pt idx="39">
                  <c:v>5.713284675093471</c:v>
                </c:pt>
                <c:pt idx="40">
                  <c:v>5.7595084598426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</c:v>
                </c:pt>
                <c:pt idx="1">
                  <c:v>5.444531395741076</c:v>
                </c:pt>
                <c:pt idx="2">
                  <c:v>5.412294223434632</c:v>
                </c:pt>
                <c:pt idx="3">
                  <c:v>5.382215892461381</c:v>
                </c:pt>
                <c:pt idx="4">
                  <c:v>5.354305443327092</c:v>
                </c:pt>
                <c:pt idx="5">
                  <c:v>5.328569199428305</c:v>
                </c:pt>
                <c:pt idx="6">
                  <c:v>5.305010912101421</c:v>
                </c:pt>
                <c:pt idx="7">
                  <c:v>5.28363193530258</c:v>
                </c:pt>
                <c:pt idx="8">
                  <c:v>5.26443142526448</c:v>
                </c:pt>
                <c:pt idx="9">
                  <c:v>5.247406559919292</c:v>
                </c:pt>
                <c:pt idx="10">
                  <c:v>5.232552772522419</c:v>
                </c:pt>
                <c:pt idx="11">
                  <c:v>5.21986399375896</c:v>
                </c:pt>
                <c:pt idx="12">
                  <c:v>5.209332896650598</c:v>
                </c:pt>
                <c:pt idx="13">
                  <c:v>5.200951138783392</c:v>
                </c:pt>
                <c:pt idx="14">
                  <c:v>5.194709596718586</c:v>
                </c:pt>
                <c:pt idx="15">
                  <c:v>5.190598587897874</c:v>
                </c:pt>
                <c:pt idx="16">
                  <c:v>5.18860807588047</c:v>
                </c:pt>
                <c:pt idx="17">
                  <c:v>5.188727855322673</c:v>
                </c:pt>
                <c:pt idx="18">
                  <c:v>5.190947713706543</c:v>
                </c:pt>
                <c:pt idx="19">
                  <c:v>5.195257567423423</c:v>
                </c:pt>
                <c:pt idx="20">
                  <c:v>5.201647570406057</c:v>
                </c:pt>
                <c:pt idx="21">
                  <c:v>5.210108194072067</c:v>
                </c:pt>
                <c:pt idx="22">
                  <c:v>5.220630277887939</c:v>
                </c:pt>
                <c:pt idx="23">
                  <c:v>5.233205050387157</c:v>
                </c:pt>
                <c:pt idx="24">
                  <c:v>5.247824120982084</c:v>
                </c:pt>
                <c:pt idx="25">
                  <c:v>5.264479443401113</c:v>
                </c:pt>
                <c:pt idx="26">
                  <c:v>5.283163252065328</c:v>
                </c:pt>
                <c:pt idx="27">
                  <c:v>5.303867973195311</c:v>
                </c:pt>
                <c:pt idx="28">
                  <c:v>5.326586112909486</c:v>
                </c:pt>
                <c:pt idx="29">
                  <c:v>5.351310125037299</c:v>
                </c:pt>
                <c:pt idx="30">
                  <c:v>5.378032261816303</c:v>
                </c:pt>
                <c:pt idx="31">
                  <c:v>5.406744411060063</c:v>
                </c:pt>
                <c:pt idx="32">
                  <c:v>5.437437923757754</c:v>
                </c:pt>
                <c:pt idx="33">
                  <c:v>5.470103436377122</c:v>
                </c:pt>
                <c:pt idx="34">
                  <c:v>5.504730692368813</c:v>
                </c:pt>
                <c:pt idx="35">
                  <c:v>5.541308367490343</c:v>
                </c:pt>
                <c:pt idx="36">
                  <c:v>5.579823903562928</c:v>
                </c:pt>
                <c:pt idx="37">
                  <c:v>5.62026335512847</c:v>
                </c:pt>
                <c:pt idx="38">
                  <c:v>5.662611253178939</c:v>
                </c:pt>
                <c:pt idx="39">
                  <c:v>5.706850489685713</c:v>
                </c:pt>
                <c:pt idx="40">
                  <c:v>5.752962226071567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</c:v>
                </c:pt>
                <c:pt idx="1">
                  <c:v>5.442629840696134</c:v>
                </c:pt>
                <c:pt idx="2">
                  <c:v>5.41041948413464</c:v>
                </c:pt>
                <c:pt idx="3">
                  <c:v>5.380350645825228</c:v>
                </c:pt>
                <c:pt idx="4">
                  <c:v>5.35243317237387</c:v>
                </c:pt>
                <c:pt idx="5">
                  <c:v>5.326674413970445</c:v>
                </c:pt>
                <c:pt idx="6">
                  <c:v>5.303079345371511</c:v>
                </c:pt>
                <c:pt idx="7">
                  <c:v>5.28165071176416</c:v>
                </c:pt>
                <c:pt idx="8">
                  <c:v>5.262389195862176</c:v>
                </c:pt>
                <c:pt idx="9">
                  <c:v>5.245293602120688</c:v>
                </c:pt>
                <c:pt idx="10">
                  <c:v>5.23036105363182</c:v>
                </c:pt>
                <c:pt idx="11">
                  <c:v>5.217587197084988</c:v>
                </c:pt>
                <c:pt idx="12">
                  <c:v>5.20696641113674</c:v>
                </c:pt>
                <c:pt idx="13">
                  <c:v>5.198492013625923</c:v>
                </c:pt>
                <c:pt idx="14">
                  <c:v>5.192156463275152</c:v>
                </c:pt>
                <c:pt idx="15">
                  <c:v>5.187951551820586</c:v>
                </c:pt>
                <c:pt idx="16">
                  <c:v>5.18586858288939</c:v>
                </c:pt>
                <c:pt idx="17">
                  <c:v>5.185898534378651</c:v>
                </c:pt>
                <c:pt idx="18">
                  <c:v>5.188032201563068</c:v>
                </c:pt>
                <c:pt idx="19">
                  <c:v>5.19226031865617</c:v>
                </c:pt>
                <c:pt idx="20">
                  <c:v>5.198573657058697</c:v>
                </c:pt>
                <c:pt idx="21">
                  <c:v>5.206963099038707</c:v>
                </c:pt>
                <c:pt idx="22">
                  <c:v>5.217419686094433</c:v>
                </c:pt>
                <c:pt idx="23">
                  <c:v>5.229934641748961</c:v>
                </c:pt>
                <c:pt idx="24">
                  <c:v>5.244499369012906</c:v>
                </c:pt>
                <c:pt idx="25">
                  <c:v>5.261105423226097</c:v>
                </c:pt>
                <c:pt idx="26">
                  <c:v>5.27974446145068</c:v>
                </c:pt>
                <c:pt idx="27">
                  <c:v>5.300408170033918</c:v>
                </c:pt>
                <c:pt idx="28">
                  <c:v>5.323088172386177</c:v>
                </c:pt>
                <c:pt idx="29">
                  <c:v>5.347775919423034</c:v>
                </c:pt>
                <c:pt idx="30">
                  <c:v>5.37446256549268</c:v>
                </c:pt>
                <c:pt idx="31">
                  <c:v>5.40313883294164</c:v>
                </c:pt>
                <c:pt idx="32">
                  <c:v>5.433794868751752</c:v>
                </c:pt>
                <c:pt idx="33">
                  <c:v>5.466420096896981</c:v>
                </c:pt>
                <c:pt idx="34">
                  <c:v>5.501003070206872</c:v>
                </c:pt>
                <c:pt idx="35">
                  <c:v>5.537531325572198</c:v>
                </c:pt>
                <c:pt idx="36">
                  <c:v>5.575991246277525</c:v>
                </c:pt>
                <c:pt idx="37">
                  <c:v>5.616367935087987</c:v>
                </c:pt>
                <c:pt idx="38">
                  <c:v>5.658645101451406</c:v>
                </c:pt>
                <c:pt idx="39">
                  <c:v>5.702804965804915</c:v>
                </c:pt>
                <c:pt idx="40">
                  <c:v>5.748828183506357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</c:v>
                </c:pt>
                <c:pt idx="1">
                  <c:v>5.442499179131413</c:v>
                </c:pt>
                <c:pt idx="2">
                  <c:v>5.410304940165662</c:v>
                </c:pt>
                <c:pt idx="3">
                  <c:v>5.38024147247289</c:v>
                </c:pt>
                <c:pt idx="4">
                  <c:v>5.352319092838197</c:v>
                </c:pt>
                <c:pt idx="5">
                  <c:v>5.326545750488528</c:v>
                </c:pt>
                <c:pt idx="6">
                  <c:v>5.30292713448541</c:v>
                </c:pt>
                <c:pt idx="7">
                  <c:v>5.281466803295784</c:v>
                </c:pt>
                <c:pt idx="8">
                  <c:v>5.262166333428871</c:v>
                </c:pt>
                <c:pt idx="9">
                  <c:v>5.245025483616434</c:v>
                </c:pt>
                <c:pt idx="10">
                  <c:v>5.230042370713627</c:v>
                </c:pt>
                <c:pt idx="11">
                  <c:v>5.217213653312746</c:v>
                </c:pt>
                <c:pt idx="12">
                  <c:v>5.206534718991753</c:v>
                </c:pt>
                <c:pt idx="13">
                  <c:v>5.197999871157965</c:v>
                </c:pt>
                <c:pt idx="14">
                  <c:v>5.191602511585463</c:v>
                </c:pt>
                <c:pt idx="15">
                  <c:v>5.18733531497051</c:v>
                </c:pt>
                <c:pt idx="16">
                  <c:v>5.18519039212883</c:v>
                </c:pt>
                <c:pt idx="17">
                  <c:v>5.185159438817783</c:v>
                </c:pt>
                <c:pt idx="18">
                  <c:v>5.187233867571373</c:v>
                </c:pt>
                <c:pt idx="19">
                  <c:v>5.191404920373844</c:v>
                </c:pt>
                <c:pt idx="20">
                  <c:v>5.197663760457099</c:v>
                </c:pt>
                <c:pt idx="21">
                  <c:v>5.206001541978855</c:v>
                </c:pt>
                <c:pt idx="22">
                  <c:v>5.21640945681464</c:v>
                </c:pt>
                <c:pt idx="23">
                  <c:v>5.228878758171141</c:v>
                </c:pt>
                <c:pt idx="24">
                  <c:v>5.24340076119633</c:v>
                </c:pt>
                <c:pt idx="25">
                  <c:v>5.259966821218616</c:v>
                </c:pt>
                <c:pt idx="26">
                  <c:v>5.278568290689343</c:v>
                </c:pt>
                <c:pt idx="27">
                  <c:v>5.299196456325682</c:v>
                </c:pt>
                <c:pt idx="28">
                  <c:v>5.32184245834956</c:v>
                </c:pt>
                <c:pt idx="29">
                  <c:v>5.346497194086786</c:v>
                </c:pt>
                <c:pt idx="30">
                  <c:v>5.373151208521761</c:v>
                </c:pt>
                <c:pt idx="31">
                  <c:v>5.401794574689319</c:v>
                </c:pt>
                <c:pt idx="32">
                  <c:v>5.432416767017228</c:v>
                </c:pt>
                <c:pt idx="33">
                  <c:v>5.465006530901664</c:v>
                </c:pt>
                <c:pt idx="34">
                  <c:v>5.499551751894772</c:v>
                </c:pt>
                <c:pt idx="35">
                  <c:v>5.536039327900516</c:v>
                </c:pt>
                <c:pt idx="36">
                  <c:v>5.574455047706528</c:v>
                </c:pt>
                <c:pt idx="37">
                  <c:v>5.614783479022787</c:v>
                </c:pt>
                <c:pt idx="38">
                  <c:v>5.657007868952768</c:v>
                </c:pt>
                <c:pt idx="39">
                  <c:v>5.701110059493703</c:v>
                </c:pt>
                <c:pt idx="40">
                  <c:v>5.747070420258053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</c:v>
                </c:pt>
                <c:pt idx="1">
                  <c:v>5.444123540338574</c:v>
                </c:pt>
                <c:pt idx="2">
                  <c:v>5.411933277098099</c:v>
                </c:pt>
                <c:pt idx="3">
                  <c:v>5.38186921858249</c:v>
                </c:pt>
                <c:pt idx="4">
                  <c:v>5.353941849011777</c:v>
                </c:pt>
                <c:pt idx="5">
                  <c:v>5.328159332307557</c:v>
                </c:pt>
                <c:pt idx="6">
                  <c:v>5.304527614822098</c:v>
                </c:pt>
                <c:pt idx="7">
                  <c:v>5.283050549305556</c:v>
                </c:pt>
                <c:pt idx="8">
                  <c:v>5.263730037177316</c:v>
                </c:pt>
                <c:pt idx="9">
                  <c:v>5.246566185775998</c:v>
                </c:pt>
                <c:pt idx="10">
                  <c:v>5.231557476971701</c:v>
                </c:pt>
                <c:pt idx="11">
                  <c:v>5.218700943338755</c:v>
                </c:pt>
                <c:pt idx="12">
                  <c:v>5.207992348008037</c:v>
                </c:pt>
                <c:pt idx="13">
                  <c:v>5.199426364340465</c:v>
                </c:pt>
                <c:pt idx="14">
                  <c:v>5.192996751680577</c:v>
                </c:pt>
                <c:pt idx="15">
                  <c:v>5.188696523650583</c:v>
                </c:pt>
                <c:pt idx="16">
                  <c:v>5.186518105719408</c:v>
                </c:pt>
                <c:pt idx="17">
                  <c:v>5.186453479115212</c:v>
                </c:pt>
                <c:pt idx="18">
                  <c:v>5.188494308531289</c:v>
                </c:pt>
                <c:pt idx="19">
                  <c:v>5.192632051492003</c:v>
                </c:pt>
                <c:pt idx="20">
                  <c:v>5.198858047687011</c:v>
                </c:pt>
                <c:pt idx="21">
                  <c:v>5.20716358703873</c:v>
                </c:pt>
                <c:pt idx="22">
                  <c:v>5.217539955732162</c:v>
                </c:pt>
                <c:pt idx="23">
                  <c:v>5.229978459900796</c:v>
                </c:pt>
                <c:pt idx="24">
                  <c:v>5.244470427121811</c:v>
                </c:pt>
                <c:pt idx="25">
                  <c:v>5.261007186323133</c:v>
                </c:pt>
                <c:pt idx="26">
                  <c:v>5.279580027139</c:v>
                </c:pt>
                <c:pt idx="27">
                  <c:v>5.300180140164928</c:v>
                </c:pt>
                <c:pt idx="28">
                  <c:v>5.322798539951542</c:v>
                </c:pt>
                <c:pt idx="29">
                  <c:v>5.347425972933595</c:v>
                </c:pt>
                <c:pt idx="30">
                  <c:v>5.374052812808831</c:v>
                </c:pt>
                <c:pt idx="31">
                  <c:v>5.402668946153198</c:v>
                </c:pt>
                <c:pt idx="32">
                  <c:v>5.433263651276524</c:v>
                </c:pt>
                <c:pt idx="33">
                  <c:v>5.465825473477702</c:v>
                </c:pt>
                <c:pt idx="34">
                  <c:v>5.500342099943441</c:v>
                </c:pt>
                <c:pt idx="35">
                  <c:v>5.536800237542991</c:v>
                </c:pt>
                <c:pt idx="36">
                  <c:v>5.575185496698712</c:v>
                </c:pt>
                <c:pt idx="37">
                  <c:v>5.615482284356857</c:v>
                </c:pt>
                <c:pt idx="38">
                  <c:v>5.657673708845516</c:v>
                </c:pt>
                <c:pt idx="39">
                  <c:v>5.701741499092063</c:v>
                </c:pt>
                <c:pt idx="40">
                  <c:v>5.747665940288703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</c:v>
                </c:pt>
                <c:pt idx="1">
                  <c:v>5.447497613453542</c:v>
                </c:pt>
                <c:pt idx="2">
                  <c:v>5.415298686293632</c:v>
                </c:pt>
                <c:pt idx="3">
                  <c:v>5.385227434270092</c:v>
                </c:pt>
                <c:pt idx="4">
                  <c:v>5.357294217676161</c:v>
                </c:pt>
                <c:pt idx="5">
                  <c:v>5.331507045703077</c:v>
                </c:pt>
                <c:pt idx="6">
                  <c:v>5.307871682920222</c:v>
                </c:pt>
                <c:pt idx="7">
                  <c:v>5.286391777719988</c:v>
                </c:pt>
                <c:pt idx="8">
                  <c:v>5.267069009647582</c:v>
                </c:pt>
                <c:pt idx="9">
                  <c:v>5.249903252129304</c:v>
                </c:pt>
                <c:pt idx="10">
                  <c:v>5.234892746814963</c:v>
                </c:pt>
                <c:pt idx="11">
                  <c:v>5.222034285565845</c:v>
                </c:pt>
                <c:pt idx="12">
                  <c:v>5.211323396048427</c:v>
                </c:pt>
                <c:pt idx="13">
                  <c:v>5.202754526930359</c:v>
                </c:pt>
                <c:pt idx="14">
                  <c:v>5.196321228810119</c:v>
                </c:pt>
                <c:pt idx="15">
                  <c:v>5.192016327233416</c:v>
                </c:pt>
                <c:pt idx="16">
                  <c:v>5.18983208444422</c:v>
                </c:pt>
                <c:pt idx="17">
                  <c:v>5.189760346872582</c:v>
                </c:pt>
                <c:pt idx="18">
                  <c:v>5.19179267576128</c:v>
                </c:pt>
                <c:pt idx="19">
                  <c:v>5.195920458766305</c:v>
                </c:pt>
                <c:pt idx="20">
                  <c:v>5.202135000821204</c:v>
                </c:pt>
                <c:pt idx="21">
                  <c:v>5.210427593022994</c:v>
                </c:pt>
                <c:pt idx="22">
                  <c:v>5.220789558770036</c:v>
                </c:pt>
                <c:pt idx="23">
                  <c:v>5.233212276853924</c:v>
                </c:pt>
                <c:pt idx="24">
                  <c:v>5.247687181672958</c:v>
                </c:pt>
                <c:pt idx="25">
                  <c:v>5.264205741190145</c:v>
                </c:pt>
                <c:pt idx="26">
                  <c:v>5.28275941369938</c:v>
                </c:pt>
                <c:pt idx="27">
                  <c:v>5.303339584885748</c:v>
                </c:pt>
                <c:pt idx="28">
                  <c:v>5.32593748706415</c:v>
                </c:pt>
                <c:pt idx="29">
                  <c:v>5.350544102849075</c:v>
                </c:pt>
                <c:pt idx="30">
                  <c:v>5.377150055840029</c:v>
                </c:pt>
                <c:pt idx="31">
                  <c:v>5.405745491193814</c:v>
                </c:pt>
                <c:pt idx="32">
                  <c:v>5.436319949187578</c:v>
                </c:pt>
                <c:pt idx="33">
                  <c:v>5.468862235046224</c:v>
                </c:pt>
                <c:pt idx="34">
                  <c:v>5.503360288405394</c:v>
                </c:pt>
                <c:pt idx="35">
                  <c:v>5.539801055799252</c:v>
                </c:pt>
                <c:pt idx="36">
                  <c:v>5.578170369494712</c:v>
                </c:pt>
                <c:pt idx="37">
                  <c:v>5.618452835837688</c:v>
                </c:pt>
                <c:pt idx="38">
                  <c:v>5.660631736032578</c:v>
                </c:pt>
                <c:pt idx="39">
                  <c:v>5.704688941947928</c:v>
                </c:pt>
                <c:pt idx="40">
                  <c:v>5.750604849137383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</c:v>
                </c:pt>
                <c:pt idx="1">
                  <c:v>5.452626685644375</c:v>
                </c:pt>
                <c:pt idx="2">
                  <c:v>5.420406882055204</c:v>
                </c:pt>
                <c:pt idx="3">
                  <c:v>5.390322358832757</c:v>
                </c:pt>
                <c:pt idx="4">
                  <c:v>5.36238305176912</c:v>
                </c:pt>
                <c:pt idx="5">
                  <c:v>5.336596433920691</c:v>
                </c:pt>
                <c:pt idx="6">
                  <c:v>5.312967634672212</c:v>
                </c:pt>
                <c:pt idx="7">
                  <c:v>5.291499583236792</c:v>
                </c:pt>
                <c:pt idx="8">
                  <c:v>5.272193173013207</c:v>
                </c:pt>
                <c:pt idx="9">
                  <c:v>5.255047442764704</c:v>
                </c:pt>
                <c:pt idx="10">
                  <c:v>5.240059770264537</c:v>
                </c:pt>
                <c:pt idx="11">
                  <c:v>5.227226073875434</c:v>
                </c:pt>
                <c:pt idx="12">
                  <c:v>5.216541017489171</c:v>
                </c:pt>
                <c:pt idx="13">
                  <c:v>5.207998214338184</c:v>
                </c:pt>
                <c:pt idx="14">
                  <c:v>5.201590425388658</c:v>
                </c:pt>
                <c:pt idx="15">
                  <c:v>5.197309748316433</c:v>
                </c:pt>
                <c:pt idx="16">
                  <c:v>5.195147793434006</c:v>
                </c:pt>
                <c:pt idx="17">
                  <c:v>5.195095843360519</c:v>
                </c:pt>
                <c:pt idx="18">
                  <c:v>5.197144993689347</c:v>
                </c:pt>
                <c:pt idx="19">
                  <c:v>5.201286272395159</c:v>
                </c:pt>
                <c:pt idx="20">
                  <c:v>5.207510736221734</c:v>
                </c:pt>
                <c:pt idx="21">
                  <c:v>5.215809542794515</c:v>
                </c:pt>
                <c:pt idx="22">
                  <c:v>5.226173997701355</c:v>
                </c:pt>
                <c:pt idx="23">
                  <c:v>5.238595576277259</c:v>
                </c:pt>
                <c:pt idx="24">
                  <c:v>5.253065920311654</c:v>
                </c:pt>
                <c:pt idx="25">
                  <c:v>5.269576810368468</c:v>
                </c:pt>
                <c:pt idx="26">
                  <c:v>5.288120114868647</c:v>
                </c:pt>
                <c:pt idx="27">
                  <c:v>5.30868771752962</c:v>
                </c:pt>
                <c:pt idx="28">
                  <c:v>5.331271425183245</c:v>
                </c:pt>
                <c:pt idx="29">
                  <c:v>5.355862858397679</c:v>
                </c:pt>
                <c:pt idx="30">
                  <c:v>5.382453327701852</c:v>
                </c:pt>
                <c:pt idx="31">
                  <c:v>5.41103369854453</c:v>
                </c:pt>
                <c:pt idx="32">
                  <c:v>5.441594248401468</c:v>
                </c:pt>
                <c:pt idx="33">
                  <c:v>5.474124519661608</c:v>
                </c:pt>
                <c:pt idx="34">
                  <c:v>5.508613172063461</c:v>
                </c:pt>
                <c:pt idx="35">
                  <c:v>5.545047838503385</c:v>
                </c:pt>
                <c:pt idx="36">
                  <c:v>5.583414987988496</c:v>
                </c:pt>
                <c:pt idx="37">
                  <c:v>5.623699799351308</c:v>
                </c:pt>
                <c:pt idx="38">
                  <c:v>5.665886049078637</c:v>
                </c:pt>
                <c:pt idx="39">
                  <c:v>5.709956016236783</c:v>
                </c:pt>
                <c:pt idx="40">
                  <c:v>5.755890407007581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5.493915540253486</c:v>
                </c:pt>
                <c:pt idx="1">
                  <c:v>5.459526602713475</c:v>
                </c:pt>
                <c:pt idx="2">
                  <c:v>5.427275079685923</c:v>
                </c:pt>
                <c:pt idx="3">
                  <c:v>5.397172924904772</c:v>
                </c:pt>
                <c:pt idx="4">
                  <c:v>5.36922931830861</c:v>
                </c:pt>
                <c:pt idx="5">
                  <c:v>5.343450775241003</c:v>
                </c:pt>
                <c:pt idx="6">
                  <c:v>5.319841288371057</c:v>
                </c:pt>
                <c:pt idx="7">
                  <c:v>5.298402498528963</c:v>
                </c:pt>
                <c:pt idx="8">
                  <c:v>5.27913388992269</c:v>
                </c:pt>
                <c:pt idx="9">
                  <c:v>5.262033004657909</c:v>
                </c:pt>
                <c:pt idx="10">
                  <c:v>5.247095671135445</c:v>
                </c:pt>
                <c:pt idx="11">
                  <c:v>5.234316240747873</c:v>
                </c:pt>
                <c:pt idx="12">
                  <c:v>5.223687827327321</c:v>
                </c:pt>
                <c:pt idx="13">
                  <c:v>5.215202543988975</c:v>
                </c:pt>
                <c:pt idx="14">
                  <c:v>5.208851732342317</c:v>
                </c:pt>
                <c:pt idx="15">
                  <c:v>5.204626179474733</c:v>
                </c:pt>
                <c:pt idx="16">
                  <c:v>5.202516318619761</c:v>
                </c:pt>
                <c:pt idx="17">
                  <c:v>5.202512409976999</c:v>
                </c:pt>
                <c:pt idx="18">
                  <c:v>5.204604698728507</c:v>
                </c:pt>
                <c:pt idx="19">
                  <c:v>5.208783547878693</c:v>
                </c:pt>
                <c:pt idx="20">
                  <c:v>5.215039544117689</c:v>
                </c:pt>
                <c:pt idx="21">
                  <c:v>5.2233635754642</c:v>
                </c:pt>
                <c:pt idx="22">
                  <c:v>5.233746879979558</c:v>
                </c:pt>
                <c:pt idx="23">
                  <c:v>5.246181065360842</c:v>
                </c:pt>
                <c:pt idx="24">
                  <c:v>5.260658099720735</c:v>
                </c:pt>
                <c:pt idx="25">
                  <c:v>5.277170274349632</c:v>
                </c:pt>
                <c:pt idx="26">
                  <c:v>5.29571013973586</c:v>
                </c:pt>
                <c:pt idx="27">
                  <c:v>5.316270416595554</c:v>
                </c:pt>
                <c:pt idx="28">
                  <c:v>5.338843884134805</c:v>
                </c:pt>
                <c:pt idx="29">
                  <c:v>5.363423248230152</c:v>
                </c:pt>
                <c:pt idx="30">
                  <c:v>5.39000099266126</c:v>
                </c:pt>
                <c:pt idx="31">
                  <c:v>5.418569216950219</c:v>
                </c:pt>
                <c:pt idx="32">
                  <c:v>5.44911946473872</c:v>
                </c:pt>
                <c:pt idx="33">
                  <c:v>5.481642546948303</c:v>
                </c:pt>
                <c:pt idx="34">
                  <c:v>5.516128364198332</c:v>
                </c:pt>
                <c:pt idx="35">
                  <c:v>5.552565733079655</c:v>
                </c:pt>
                <c:pt idx="36">
                  <c:v>5.590942220879779</c:v>
                </c:pt>
                <c:pt idx="37">
                  <c:v>5.63124399321219</c:v>
                </c:pt>
                <c:pt idx="38">
                  <c:v>5.67345567870991</c:v>
                </c:pt>
                <c:pt idx="39">
                  <c:v>5.717560254500903</c:v>
                </c:pt>
                <c:pt idx="40">
                  <c:v>5.763538955600173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</c:v>
                </c:pt>
                <c:pt idx="2">
                  <c:v>5.435931931738793</c:v>
                </c:pt>
                <c:pt idx="3">
                  <c:v>5.405810781128402</c:v>
                </c:pt>
                <c:pt idx="4">
                  <c:v>5.377868233295001</c:v>
                </c:pt>
                <c:pt idx="5">
                  <c:v>5.352109351433302</c:v>
                </c:pt>
                <c:pt idx="6">
                  <c:v>5.328536402755088</c:v>
                </c:pt>
                <c:pt idx="7">
                  <c:v>5.307149072208251</c:v>
                </c:pt>
                <c:pt idx="8">
                  <c:v>5.287944705925183</c:v>
                </c:pt>
                <c:pt idx="9">
                  <c:v>5.270918577577186</c:v>
                </c:pt>
                <c:pt idx="10">
                  <c:v>5.25606417044489</c:v>
                </c:pt>
                <c:pt idx="11">
                  <c:v>5.243373467938307</c:v>
                </c:pt>
                <c:pt idx="12">
                  <c:v>5.232837245484877</c:v>
                </c:pt>
                <c:pt idx="13">
                  <c:v>5.224445357106546</c:v>
                </c:pt>
                <c:pt idx="14">
                  <c:v>5.218187010577277</c:v>
                </c:pt>
                <c:pt idx="15">
                  <c:v>5.21405102573735</c:v>
                </c:pt>
                <c:pt idx="16">
                  <c:v>5.212026071290689</c:v>
                </c:pt>
                <c:pt idx="17">
                  <c:v>5.212100876182594</c:v>
                </c:pt>
                <c:pt idx="18">
                  <c:v>5.214264412413166</c:v>
                </c:pt>
                <c:pt idx="19">
                  <c:v>5.218506046862493</c:v>
                </c:pt>
                <c:pt idx="20">
                  <c:v>5.22481566037302</c:v>
                </c:pt>
                <c:pt idx="21">
                  <c:v>5.233183732948766</c:v>
                </c:pt>
                <c:pt idx="22">
                  <c:v>5.243601394493466</c:v>
                </c:pt>
                <c:pt idx="23">
                  <c:v>5.256060441030665</c:v>
                </c:pt>
                <c:pt idx="24">
                  <c:v>5.270553316842098</c:v>
                </c:pt>
                <c:pt idx="25">
                  <c:v>5.287073063441882</c:v>
                </c:pt>
                <c:pt idx="26">
                  <c:v>5.305613236788474</c:v>
                </c:pt>
                <c:pt idx="27">
                  <c:v>5.326167794635894</c:v>
                </c:pt>
                <c:pt idx="28">
                  <c:v>5.348730956448279</c:v>
                </c:pt>
                <c:pt idx="29">
                  <c:v>5.373297038848085</c:v>
                </c:pt>
                <c:pt idx="30">
                  <c:v>5.399860270131585</c:v>
                </c:pt>
                <c:pt idx="31">
                  <c:v>5.42841458795049</c:v>
                </c:pt>
                <c:pt idx="32">
                  <c:v>5.45895342480175</c:v>
                </c:pt>
                <c:pt idx="33">
                  <c:v>5.491469486457852</c:v>
                </c:pt>
                <c:pt idx="34">
                  <c:v>5.525954528870627</c:v>
                </c:pt>
                <c:pt idx="35">
                  <c:v>5.562399139353452</c:v>
                </c:pt>
                <c:pt idx="36">
                  <c:v>5.600792527952084</c:v>
                </c:pt>
                <c:pt idx="37">
                  <c:v>5.641122334820804</c:v>
                </c:pt>
                <c:pt idx="38">
                  <c:v>5.683374459106037</c:v>
                </c:pt>
                <c:pt idx="39">
                  <c:v>5.727532914295656</c:v>
                </c:pt>
                <c:pt idx="40">
                  <c:v>5.773579714227338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5.513281059358213</c:v>
                </c:pt>
                <c:pt idx="1">
                  <c:v>5.478754328807008</c:v>
                </c:pt>
                <c:pt idx="2">
                  <c:v>5.446417415527586</c:v>
                </c:pt>
                <c:pt idx="3">
                  <c:v>5.416280334608846</c:v>
                </c:pt>
                <c:pt idx="4">
                  <c:v>5.388349505776236</c:v>
                </c:pt>
                <c:pt idx="5">
                  <c:v>5.362627931365935</c:v>
                </c:pt>
                <c:pt idx="6">
                  <c:v>5.339115427931067</c:v>
                </c:pt>
                <c:pt idx="7">
                  <c:v>5.317808903956799</c:v>
                </c:pt>
                <c:pt idx="8">
                  <c:v>5.298702674853792</c:v>
                </c:pt>
                <c:pt idx="9">
                  <c:v>5.281788805577074</c:v>
                </c:pt>
                <c:pt idx="10">
                  <c:v>5.267057470883435</c:v>
                </c:pt>
                <c:pt idx="11">
                  <c:v>5.254497323359653</c:v>
                </c:pt>
                <c:pt idx="12">
                  <c:v>5.244095859859458</c:v>
                </c:pt>
                <c:pt idx="13">
                  <c:v>5.235839777792815</c:v>
                </c:pt>
                <c:pt idx="14">
                  <c:v>5.229715313721411</c:v>
                </c:pt>
                <c:pt idx="15">
                  <c:v>5.225708557835504</c:v>
                </c:pt>
                <c:pt idx="16">
                  <c:v>5.223805739036035</c:v>
                </c:pt>
                <c:pt idx="17">
                  <c:v>5.223993476454296</c:v>
                </c:pt>
                <c:pt idx="18">
                  <c:v>5.22625899426068</c:v>
                </c:pt>
                <c:pt idx="19">
                  <c:v>5.230590297515064</c:v>
                </c:pt>
                <c:pt idx="20">
                  <c:v>5.236976307583315</c:v>
                </c:pt>
                <c:pt idx="21">
                  <c:v>5.245406956292998</c:v>
                </c:pt>
                <c:pt idx="22">
                  <c:v>5.25587323854436</c:v>
                </c:pt>
                <c:pt idx="23">
                  <c:v>5.268367223558046</c:v>
                </c:pt>
                <c:pt idx="24">
                  <c:v>5.282882025361451</c:v>
                </c:pt>
                <c:pt idx="25">
                  <c:v>5.29941173352652</c:v>
                </c:pt>
                <c:pt idx="26">
                  <c:v>5.317951305606933</c:v>
                </c:pt>
                <c:pt idx="27">
                  <c:v>5.338496423210902</c:v>
                </c:pt>
                <c:pt idx="28">
                  <c:v>5.361043314208572</c:v>
                </c:pt>
                <c:pt idx="29">
                  <c:v>5.385588544220661</c:v>
                </c:pt>
                <c:pt idx="30">
                  <c:v>5.412128781264348</c:v>
                </c:pt>
                <c:pt idx="31">
                  <c:v>5.440660538225509</c:v>
                </c:pt>
                <c:pt idx="32">
                  <c:v>5.47117989864874</c:v>
                </c:pt>
                <c:pt idx="33">
                  <c:v>5.503682232138728</c:v>
                </c:pt>
                <c:pt idx="34">
                  <c:v>5.53816190638562</c:v>
                </c:pt>
                <c:pt idx="35">
                  <c:v>5.574612003392545</c:v>
                </c:pt>
                <c:pt idx="36">
                  <c:v>5.613024047822486</c:v>
                </c:pt>
                <c:pt idx="37">
                  <c:v>5.653387755428118</c:v>
                </c:pt>
                <c:pt idx="38">
                  <c:v>5.695690809231177</c:v>
                </c:pt>
                <c:pt idx="39">
                  <c:v>5.73991867044955</c:v>
                </c:pt>
                <c:pt idx="40">
                  <c:v>5.786054430133587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5.525777508259043</c:v>
                </c:pt>
                <c:pt idx="1">
                  <c:v>5.491165049846392</c:v>
                </c:pt>
                <c:pt idx="2">
                  <c:v>5.458782663246027</c:v>
                </c:pt>
                <c:pt idx="3">
                  <c:v>5.428638820813502</c:v>
                </c:pt>
                <c:pt idx="4">
                  <c:v>5.400737720130554</c:v>
                </c:pt>
                <c:pt idx="5">
                  <c:v>5.375079523130755</c:v>
                </c:pt>
                <c:pt idx="6">
                  <c:v>5.351660667411956</c:v>
                </c:pt>
                <c:pt idx="7">
                  <c:v>5.330474238279982</c:v>
                </c:pt>
                <c:pt idx="8">
                  <c:v>5.311510388252705</c:v>
                </c:pt>
                <c:pt idx="9">
                  <c:v>5.294756789781663</c:v>
                </c:pt>
                <c:pt idx="10">
                  <c:v>5.280199106798178</c:v>
                </c:pt>
                <c:pt idx="11">
                  <c:v>5.267821471268647</c:v>
                </c:pt>
                <c:pt idx="12">
                  <c:v>5.25760695210387</c:v>
                </c:pt>
                <c:pt idx="13">
                  <c:v>5.249538005335764</c:v>
                </c:pt>
                <c:pt idx="14">
                  <c:v>5.243596896272303</c:v>
                </c:pt>
                <c:pt idx="15">
                  <c:v>5.239766086202996</c:v>
                </c:pt>
                <c:pt idx="16">
                  <c:v>5.238028578015021</c:v>
                </c:pt>
                <c:pt idx="17">
                  <c:v>5.23836821669261</c:v>
                </c:pt>
                <c:pt idx="18">
                  <c:v>5.240769942045291</c:v>
                </c:pt>
                <c:pt idx="19">
                  <c:v>5.245219992115721</c:v>
                </c:pt>
                <c:pt idx="20">
                  <c:v>5.251706056558072</c:v>
                </c:pt>
                <c:pt idx="21">
                  <c:v>5.260217379880417</c:v>
                </c:pt>
                <c:pt idx="22">
                  <c:v>5.270744814855707</c:v>
                </c:pt>
                <c:pt idx="23">
                  <c:v>5.28328082668351</c:v>
                </c:pt>
                <c:pt idx="24">
                  <c:v>5.297819448693783</c:v>
                </c:pt>
                <c:pt idx="25">
                  <c:v>5.31435619059141</c:v>
                </c:pt>
                <c:pt idx="26">
                  <c:v>5.3328879005099</c:v>
                </c:pt>
                <c:pt idx="27">
                  <c:v>5.353412582532068</c:v>
                </c:pt>
                <c:pt idx="28">
                  <c:v>5.37592917189005</c:v>
                </c:pt>
                <c:pt idx="29">
                  <c:v>5.400437270806479</c:v>
                </c:pt>
                <c:pt idx="30">
                  <c:v>5.426936848891198</c:v>
                </c:pt>
                <c:pt idx="31">
                  <c:v>5.455427913146683</c:v>
                </c:pt>
                <c:pt idx="32">
                  <c:v>5.485910153914103</c:v>
                </c:pt>
                <c:pt idx="33">
                  <c:v>5.518382574434419</c:v>
                </c:pt>
                <c:pt idx="34">
                  <c:v>5.552843113000723</c:v>
                </c:pt>
                <c:pt idx="35">
                  <c:v>5.589288267812267</c:v>
                </c:pt>
                <c:pt idx="36">
                  <c:v>5.627712735469614</c:v>
                </c:pt>
                <c:pt idx="37">
                  <c:v>5.668109074439798</c:v>
                </c:pt>
                <c:pt idx="38">
                  <c:v>5.710467404657576</c:v>
                </c:pt>
                <c:pt idx="39">
                  <c:v>5.754775153641195</c:v>
                </c:pt>
                <c:pt idx="40">
                  <c:v>5.80101685807104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5.540215805828802</c:v>
                </c:pt>
                <c:pt idx="1">
                  <c:v>5.50551165510839</c:v>
                </c:pt>
                <c:pt idx="2">
                  <c:v>5.473089729544746</c:v>
                </c:pt>
                <c:pt idx="3">
                  <c:v>5.442956424908116</c:v>
                </c:pt>
                <c:pt idx="4">
                  <c:v>5.415112918027225</c:v>
                </c:pt>
                <c:pt idx="5">
                  <c:v>5.389555497815085</c:v>
                </c:pt>
                <c:pt idx="6">
                  <c:v>5.366275995947055</c:v>
                </c:pt>
                <c:pt idx="7">
                  <c:v>5.345262298927398</c:v>
                </c:pt>
                <c:pt idx="8">
                  <c:v>5.326498920753825</c:v>
                </c:pt>
                <c:pt idx="9">
                  <c:v>5.309967614383934</c:v>
                </c:pt>
                <c:pt idx="10">
                  <c:v>5.295648000624685</c:v>
                </c:pt>
                <c:pt idx="11">
                  <c:v>5.283518194673175</c:v>
                </c:pt>
                <c:pt idx="12">
                  <c:v>5.273555413016468</c:v>
                </c:pt>
                <c:pt idx="13">
                  <c:v>5.265736546400425</c:v>
                </c:pt>
                <c:pt idx="14">
                  <c:v>5.260038687767336</c:v>
                </c:pt>
                <c:pt idx="15">
                  <c:v>5.25643960715427</c:v>
                </c:pt>
                <c:pt idx="16">
                  <c:v>5.254918168322294</c:v>
                </c:pt>
                <c:pt idx="17">
                  <c:v>5.25545468421095</c:v>
                </c:pt>
                <c:pt idx="18">
                  <c:v>5.25803121011466</c:v>
                </c:pt>
                <c:pt idx="19">
                  <c:v>5.26263177475115</c:v>
                </c:pt>
                <c:pt idx="20">
                  <c:v>5.269242550177196</c:v>
                </c:pt>
                <c:pt idx="21">
                  <c:v>5.27785196187843</c:v>
                </c:pt>
                <c:pt idx="22">
                  <c:v>5.28845074041337</c:v>
                </c:pt>
                <c:pt idx="23">
                  <c:v>5.301031915835346</c:v>
                </c:pt>
                <c:pt idx="24">
                  <c:v>5.31559075586229</c:v>
                </c:pt>
                <c:pt idx="25">
                  <c:v>5.332124648526628</c:v>
                </c:pt>
                <c:pt idx="26">
                  <c:v>5.35063292992425</c:v>
                </c:pt>
                <c:pt idx="27">
                  <c:v>5.371116657793432</c:v>
                </c:pt>
                <c:pt idx="28">
                  <c:v>5.393578332078682</c:v>
                </c:pt>
                <c:pt idx="29">
                  <c:v>5.418021564437384</c:v>
                </c:pt>
                <c:pt idx="30">
                  <c:v>5.44445069986682</c:v>
                </c:pt>
                <c:pt idx="31">
                  <c:v>5.472870395264177</c:v>
                </c:pt>
                <c:pt idx="32">
                  <c:v>5.503285161732284</c:v>
                </c:pt>
                <c:pt idx="33">
                  <c:v>5.535698879702072</c:v>
                </c:pt>
                <c:pt idx="34">
                  <c:v>5.57011429829247</c:v>
                </c:pt>
                <c:pt idx="35">
                  <c:v>5.60653253254925</c:v>
                </c:pt>
                <c:pt idx="36">
                  <c:v>5.644952574037101</c:v>
                </c:pt>
                <c:pt idx="37">
                  <c:v>5.685370831433643</c:v>
                </c:pt>
                <c:pt idx="38">
                  <c:v>5.727780718044259</c:v>
                </c:pt>
                <c:pt idx="39">
                  <c:v>5.772172302341919</c:v>
                </c:pt>
                <c:pt idx="40">
                  <c:v>5.818532035659499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</c:v>
                </c:pt>
                <c:pt idx="1">
                  <c:v>5.521858810999954</c:v>
                </c:pt>
                <c:pt idx="2">
                  <c:v>5.48941130492903</c:v>
                </c:pt>
                <c:pt idx="3">
                  <c:v>5.459316514003434</c:v>
                </c:pt>
                <c:pt idx="4">
                  <c:v>5.431571503715747</c:v>
                </c:pt>
                <c:pt idx="5">
                  <c:v>5.406167278072116</c:v>
                </c:pt>
                <c:pt idx="6">
                  <c:v>5.383089393189982</c:v>
                </c:pt>
                <c:pt idx="7">
                  <c:v>5.36231868119069</c:v>
                </c:pt>
                <c:pt idx="8">
                  <c:v>5.343832050507167</c:v>
                </c:pt>
                <c:pt idx="9">
                  <c:v>5.327603328130395</c:v>
                </c:pt>
                <c:pt idx="10">
                  <c:v>5.313604111241052</c:v>
                </c:pt>
                <c:pt idx="11">
                  <c:v>5.301804599543895</c:v>
                </c:pt>
                <c:pt idx="12">
                  <c:v>5.292174384746367</c:v>
                </c:pt>
                <c:pt idx="13">
                  <c:v>5.28468317929718</c:v>
                </c:pt>
                <c:pt idx="14">
                  <c:v>5.2793014721096</c:v>
                </c:pt>
                <c:pt idx="15">
                  <c:v>5.276001104065714</c:v>
                </c:pt>
                <c:pt idx="16">
                  <c:v>5.274755760323015</c:v>
                </c:pt>
                <c:pt idx="17">
                  <c:v>5.27554137967063</c:v>
                </c:pt>
                <c:pt idx="18">
                  <c:v>5.278336483384238</c:v>
                </c:pt>
                <c:pt idx="19">
                  <c:v>5.283122427277865</c:v>
                </c:pt>
                <c:pt idx="20">
                  <c:v>5.289883581078378</c:v>
                </c:pt>
                <c:pt idx="21">
                  <c:v>5.298607439020845</c:v>
                </c:pt>
                <c:pt idx="22">
                  <c:v>5.309284664858084</c:v>
                </c:pt>
                <c:pt idx="23">
                  <c:v>5.321909073476061</c:v>
                </c:pt>
                <c:pt idx="24">
                  <c:v>5.336477550183171</c:v>
                </c:pt>
                <c:pt idx="25">
                  <c:v>5.35298990766581</c:v>
                </c:pt>
                <c:pt idx="26">
                  <c:v>5.371448679739164</c:v>
                </c:pt>
                <c:pt idx="27">
                  <c:v>5.391858850530429</c:v>
                </c:pt>
                <c:pt idx="28">
                  <c:v>5.414227517762949</c:v>
                </c:pt>
                <c:pt idx="29">
                  <c:v>5.43856348949967</c:v>
                </c:pt>
                <c:pt idx="30">
                  <c:v>5.464876815158456</c:v>
                </c:pt>
                <c:pt idx="31">
                  <c:v>5.493178253885572</c:v>
                </c:pt>
                <c:pt idx="32">
                  <c:v>5.523478686447381</c:v>
                </c:pt>
                <c:pt idx="33">
                  <c:v>5.555788480553953</c:v>
                </c:pt>
                <c:pt idx="34">
                  <c:v>5.590116823721527</c:v>
                </c:pt>
                <c:pt idx="35">
                  <c:v>5.626471042046988</c:v>
                </c:pt>
                <c:pt idx="36">
                  <c:v>5.664855927130186</c:v>
                </c:pt>
                <c:pt idx="37">
                  <c:v>5.705273096295611</c:v>
                </c:pt>
                <c:pt idx="38">
                  <c:v>5.747720412695645</c:v>
                </c:pt>
                <c:pt idx="39">
                  <c:v>5.792191491382032</c:v>
                </c:pt>
                <c:pt idx="40">
                  <c:v>5.83867531476129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</c:v>
                </c:pt>
                <c:pt idx="1">
                  <c:v>5.54027921624966</c:v>
                </c:pt>
                <c:pt idx="2">
                  <c:v>5.507830415811984</c:v>
                </c:pt>
                <c:pt idx="3">
                  <c:v>5.47781611182017</c:v>
                </c:pt>
                <c:pt idx="4">
                  <c:v>5.450227715017548</c:v>
                </c:pt>
                <c:pt idx="5">
                  <c:v>5.42504895010458</c:v>
                </c:pt>
                <c:pt idx="6">
                  <c:v>5.402256758787719</c:v>
                </c:pt>
                <c:pt idx="7">
                  <c:v>5.381822352874973</c:v>
                </c:pt>
                <c:pt idx="8">
                  <c:v>5.363712360033176</c:v>
                </c:pt>
                <c:pt idx="9">
                  <c:v>5.347890006005395</c:v>
                </c:pt>
                <c:pt idx="10">
                  <c:v>5.334316282792904</c:v>
                </c:pt>
                <c:pt idx="11">
                  <c:v>5.322951061128222</c:v>
                </c:pt>
                <c:pt idx="12">
                  <c:v>5.313754115967627</c:v>
                </c:pt>
                <c:pt idx="13">
                  <c:v>5.306686044313806</c:v>
                </c:pt>
                <c:pt idx="14">
                  <c:v>5.301709064353535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</c:v>
                </c:pt>
                <c:pt idx="18">
                  <c:v>5.30204784830617</c:v>
                </c:pt>
                <c:pt idx="19">
                  <c:v>5.307057348265116</c:v>
                </c:pt>
                <c:pt idx="20">
                  <c:v>5.31399539373345</c:v>
                </c:pt>
                <c:pt idx="21">
                  <c:v>5.322848475121908</c:v>
                </c:pt>
                <c:pt idx="22">
                  <c:v>5.333607288944817</c:v>
                </c:pt>
                <c:pt idx="23">
                  <c:v>5.346266703557498</c:v>
                </c:pt>
                <c:pt idx="24">
                  <c:v>5.36082566140654</c:v>
                </c:pt>
                <c:pt idx="25">
                  <c:v>5.377287016283418</c:v>
                </c:pt>
                <c:pt idx="26">
                  <c:v>5.395657301902655</c:v>
                </c:pt>
                <c:pt idx="27">
                  <c:v>5.415946426485458</c:v>
                </c:pt>
                <c:pt idx="28">
                  <c:v>5.438167287157008</c:v>
                </c:pt>
                <c:pt idx="29">
                  <c:v>5.462335298112991</c:v>
                </c:pt>
                <c:pt idx="30">
                  <c:v>5.488467827926392</c:v>
                </c:pt>
                <c:pt idx="31">
                  <c:v>5.516583544258536</c:v>
                </c:pt>
                <c:pt idx="32">
                  <c:v>5.546701668724712</c:v>
                </c:pt>
                <c:pt idx="33">
                  <c:v>5.578841150701878</c:v>
                </c:pt>
                <c:pt idx="34">
                  <c:v>5.613019776182641</c:v>
                </c:pt>
                <c:pt idx="35">
                  <c:v>5.649253235824741</c:v>
                </c:pt>
                <c:pt idx="36">
                  <c:v>5.687554184275457</c:v>
                </c:pt>
                <c:pt idx="37">
                  <c:v>5.727931329584808</c:v>
                </c:pt>
                <c:pt idx="38">
                  <c:v>5.770388595874126</c:v>
                </c:pt>
                <c:pt idx="39">
                  <c:v>5.814924403312312</c:v>
                </c:pt>
                <c:pt idx="40">
                  <c:v>5.861531106130887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</c:v>
                </c:pt>
                <c:pt idx="1">
                  <c:v>5.560852639614779</c:v>
                </c:pt>
                <c:pt idx="2">
                  <c:v>5.528440221182013</c:v>
                </c:pt>
                <c:pt idx="3">
                  <c:v>5.498566890566663</c:v>
                </c:pt>
                <c:pt idx="4">
                  <c:v>5.471216130399694</c:v>
                </c:pt>
                <c:pt idx="5">
                  <c:v>5.446361466552614</c:v>
                </c:pt>
                <c:pt idx="6">
                  <c:v>5.423967847478634</c:v>
                </c:pt>
                <c:pt idx="7">
                  <c:v>5.40399322584205</c:v>
                </c:pt>
                <c:pt idx="8">
                  <c:v>5.386390241440056</c:v>
                </c:pt>
                <c:pt idx="9">
                  <c:v>5.371107911393498</c:v>
                </c:pt>
                <c:pt idx="10">
                  <c:v>5.358093248653921</c:v>
                </c:pt>
                <c:pt idx="11">
                  <c:v>5.347292749528407</c:v>
                </c:pt>
                <c:pt idx="12">
                  <c:v>5.338653711763914</c:v>
                </c:pt>
                <c:pt idx="13">
                  <c:v>5.332125364055209</c:v>
                </c:pt>
                <c:pt idx="14">
                  <c:v>5.327659803893872</c:v>
                </c:pt>
                <c:pt idx="15">
                  <c:v>5.325212752648047</c:v>
                </c:pt>
                <c:pt idx="16">
                  <c:v>5.32474414459239</c:v>
                </c:pt>
                <c:pt idx="17">
                  <c:v>5.326218570729876</c:v>
                </c:pt>
                <c:pt idx="18">
                  <c:v>5.32960559934715</c:v>
                </c:pt>
                <c:pt idx="19">
                  <c:v>5.334879994070515</c:v>
                </c:pt>
                <c:pt idx="20">
                  <c:v>5.342021847426905</c:v>
                </c:pt>
                <c:pt idx="21">
                  <c:v>5.351016644129873</c:v>
                </c:pt>
                <c:pt idx="22">
                  <c:v>5.361855263936483</c:v>
                </c:pt>
                <c:pt idx="23">
                  <c:v>5.374533929271894</c:v>
                </c:pt>
                <c:pt idx="24">
                  <c:v>5.389054098126626</c:v>
                </c:pt>
                <c:pt idx="25">
                  <c:v>5.405422298189461</c:v>
                </c:pt>
                <c:pt idx="26">
                  <c:v>5.423649893984004</c:v>
                </c:pt>
                <c:pt idx="27">
                  <c:v>5.443752775173113</c:v>
                </c:pt>
                <c:pt idx="28">
                  <c:v>5.465750951506232</c:v>
                </c:pt>
                <c:pt idx="29">
                  <c:v>5.48966803853195</c:v>
                </c:pt>
                <c:pt idx="30">
                  <c:v>5.515530618693837</c:v>
                </c:pt>
                <c:pt idx="31">
                  <c:v>5.543367465330481</c:v>
                </c:pt>
                <c:pt idx="32">
                  <c:v>5.573208622922964</c:v>
                </c:pt>
                <c:pt idx="33">
                  <c:v>5.60508434599563</c:v>
                </c:pt>
                <c:pt idx="34">
                  <c:v>5.639023911320703</c:v>
                </c:pt>
                <c:pt idx="35">
                  <c:v>5.675054332869414</c:v>
                </c:pt>
                <c:pt idx="36">
                  <c:v>5.713199024937226</c:v>
                </c:pt>
                <c:pt idx="37">
                  <c:v>5.753476473962237</c:v>
                </c:pt>
                <c:pt idx="38">
                  <c:v>5.795898991135597</c:v>
                </c:pt>
                <c:pt idx="39">
                  <c:v>5.840471623262998</c:v>
                </c:pt>
                <c:pt idx="40">
                  <c:v>5.887191296313057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</c:v>
                </c:pt>
                <c:pt idx="1">
                  <c:v>5.583664829451834</c:v>
                </c:pt>
                <c:pt idx="2">
                  <c:v>5.55134415893171</c:v>
                </c:pt>
                <c:pt idx="3">
                  <c:v>5.521697242527793</c:v>
                </c:pt>
                <c:pt idx="4">
                  <c:v>5.49469612903866</c:v>
                </c:pt>
                <c:pt idx="5">
                  <c:v>5.47029969675057</c:v>
                </c:pt>
                <c:pt idx="6">
                  <c:v>5.448455852606425</c:v>
                </c:pt>
                <c:pt idx="7">
                  <c:v>5.429103993614198</c:v>
                </c:pt>
                <c:pt idx="8">
                  <c:v>5.41217754599413</c:v>
                </c:pt>
                <c:pt idx="9">
                  <c:v>5.397606421964177</c:v>
                </c:pt>
                <c:pt idx="10">
                  <c:v>5.38531927235773</c:v>
                </c:pt>
                <c:pt idx="11">
                  <c:v>5.375245456567962</c:v>
                </c:pt>
                <c:pt idx="12">
                  <c:v>5.367316692258973</c:v>
                </c:pt>
                <c:pt idx="13">
                  <c:v>5.361468381098341</c:v>
                </c:pt>
                <c:pt idx="14">
                  <c:v>5.357640631333242</c:v>
                </c:pt>
                <c:pt idx="15">
                  <c:v>5.355779013339498</c:v>
                </c:pt>
                <c:pt idx="16">
                  <c:v>5.355835091614551</c:v>
                </c:pt>
                <c:pt idx="17">
                  <c:v>5.357766777926287</c:v>
                </c:pt>
                <c:pt idx="18">
                  <c:v>5.36153854736752</c:v>
                </c:pt>
                <c:pt idx="19">
                  <c:v>5.367121553519856</c:v>
                </c:pt>
                <c:pt idx="20">
                  <c:v>5.374493672015525</c:v>
                </c:pt>
                <c:pt idx="21">
                  <c:v>5.383639494310697</c:v>
                </c:pt>
                <c:pt idx="22">
                  <c:v>5.394550285914465</c:v>
                </c:pt>
                <c:pt idx="23">
                  <c:v>5.40722391586904</c:v>
                </c:pt>
                <c:pt idx="24">
                  <c:v>5.421664757008107</c:v>
                </c:pt>
                <c:pt idx="25">
                  <c:v>5.437883549426781</c:v>
                </c:pt>
                <c:pt idx="26">
                  <c:v>5.455897212697531</c:v>
                </c:pt>
                <c:pt idx="27">
                  <c:v>5.47572858578782</c:v>
                </c:pt>
                <c:pt idx="28">
                  <c:v>5.497406067694173</c:v>
                </c:pt>
                <c:pt idx="29">
                  <c:v>5.52096312708571</c:v>
                </c:pt>
                <c:pt idx="30">
                  <c:v>5.546437646647488</c:v>
                </c:pt>
                <c:pt idx="31">
                  <c:v>5.573871068545087</c:v>
                </c:pt>
                <c:pt idx="32">
                  <c:v>5.603307312932337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</c:v>
                </c:pt>
                <c:pt idx="36">
                  <c:v>5.741964970809144</c:v>
                </c:pt>
                <c:pt idx="37">
                  <c:v>5.782055680634814</c:v>
                </c:pt>
                <c:pt idx="38">
                  <c:v>5.824376201504024</c:v>
                </c:pt>
                <c:pt idx="39">
                  <c:v>5.868940973321242</c:v>
                </c:pt>
                <c:pt idx="40">
                  <c:v>5.915753303634042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</c:v>
                </c:pt>
                <c:pt idx="1">
                  <c:v>5.608806428567928</c:v>
                </c:pt>
                <c:pt idx="2">
                  <c:v>5.576656996770246</c:v>
                </c:pt>
                <c:pt idx="3">
                  <c:v>5.547356590489763</c:v>
                </c:pt>
                <c:pt idx="4">
                  <c:v>5.520860124732477</c:v>
                </c:pt>
                <c:pt idx="5">
                  <c:v>5.497104736861233</c:v>
                </c:pt>
                <c:pt idx="6">
                  <c:v>5.476013469846187</c:v>
                </c:pt>
                <c:pt idx="7">
                  <c:v>5.457499254053386</c:v>
                </c:pt>
                <c:pt idx="8">
                  <c:v>5.441468839190302</c:v>
                </c:pt>
                <c:pt idx="9">
                  <c:v>5.427826404106643</c:v>
                </c:pt>
                <c:pt idx="10">
                  <c:v>5.416476668285632</c:v>
                </c:pt>
                <c:pt idx="11">
                  <c:v>5.407327422741193</c:v>
                </c:pt>
                <c:pt idx="12">
                  <c:v>5.400291474960614</c:v>
                </c:pt>
                <c:pt idx="13">
                  <c:v>5.395288056247375</c:v>
                </c:pt>
                <c:pt idx="14">
                  <c:v>5.392243770679987</c:v>
                </c:pt>
                <c:pt idx="15">
                  <c:v>5.39109317708402</c:v>
                </c:pt>
                <c:pt idx="16">
                  <c:v>5.39177909442385</c:v>
                </c:pt>
                <c:pt idx="17">
                  <c:v>5.394252712047741</c:v>
                </c:pt>
                <c:pt idx="18">
                  <c:v>5.398473573337415</c:v>
                </c:pt>
                <c:pt idx="19">
                  <c:v>5.404409487285482</c:v>
                </c:pt>
                <c:pt idx="20">
                  <c:v>5.412036408956006</c:v>
                </c:pt>
                <c:pt idx="21">
                  <c:v>5.421338317396633</c:v>
                </c:pt>
                <c:pt idx="22">
                  <c:v>5.43230710848485</c:v>
                </c:pt>
                <c:pt idx="23">
                  <c:v>5.444942510157798</c:v>
                </c:pt>
                <c:pt idx="24">
                  <c:v>5.459252018052673</c:v>
                </c:pt>
                <c:pt idx="25">
                  <c:v>5.475250840269396</c:v>
                </c:pt>
                <c:pt idx="26">
                  <c:v>5.49296183030147</c:v>
                </c:pt>
                <c:pt idx="27">
                  <c:v>5.512415376868322</c:v>
                </c:pt>
                <c:pt idx="28">
                  <c:v>5.533649208426134</c:v>
                </c:pt>
                <c:pt idx="29">
                  <c:v>5.556708059018068</c:v>
                </c:pt>
                <c:pt idx="30">
                  <c:v>5.581643132027754</c:v>
                </c:pt>
                <c:pt idx="31">
                  <c:v>5.608511291406843</c:v>
                </c:pt>
                <c:pt idx="32">
                  <c:v>5.637373909159333</c:v>
                </c:pt>
                <c:pt idx="33">
                  <c:v>5.668295307252592</c:v>
                </c:pt>
                <c:pt idx="34">
                  <c:v>5.701340755907447</c:v>
                </c:pt>
                <c:pt idx="35">
                  <c:v>5.73657403159749</c:v>
                </c:pt>
                <c:pt idx="36">
                  <c:v>5.774054597325986</c:v>
                </c:pt>
                <c:pt idx="37">
                  <c:v>5.813834540032433</c:v>
                </c:pt>
                <c:pt idx="38">
                  <c:v>5.855955473999214</c:v>
                </c:pt>
                <c:pt idx="39">
                  <c:v>5.900445677715316</c:v>
                </c:pt>
                <c:pt idx="40">
                  <c:v>5.947317755510255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</c:v>
                </c:pt>
                <c:pt idx="1">
                  <c:v>5.63637222332547</c:v>
                </c:pt>
                <c:pt idx="2">
                  <c:v>5.604508013397652</c:v>
                </c:pt>
                <c:pt idx="3">
                  <c:v>5.575724399588256</c:v>
                </c:pt>
                <c:pt idx="4">
                  <c:v>5.549949310916115</c:v>
                </c:pt>
                <c:pt idx="5">
                  <c:v>5.52708624545371</c:v>
                </c:pt>
                <c:pt idx="6">
                  <c:v>5.507020792731145</c:v>
                </c:pt>
                <c:pt idx="7">
                  <c:v>5.489627336081365</c:v>
                </c:pt>
                <c:pt idx="8">
                  <c:v>5.47477526426756</c:v>
                </c:pt>
                <c:pt idx="9">
                  <c:v>5.462334252010113</c:v>
                </c:pt>
                <c:pt idx="10">
                  <c:v>5.452178407476915</c:v>
                </c:pt>
                <c:pt idx="11">
                  <c:v>5.44418927903016</c:v>
                </c:pt>
                <c:pt idx="12">
                  <c:v>5.438257841960993</c:v>
                </c:pt>
                <c:pt idx="13">
                  <c:v>5.434285651004315</c:v>
                </c:pt>
                <c:pt idx="14">
                  <c:v>5.432185361101705</c:v>
                </c:pt>
                <c:pt idx="15">
                  <c:v>5.431880805103705</c:v>
                </c:pt>
                <c:pt idx="16">
                  <c:v>5.43330678816539</c:v>
                </c:pt>
                <c:pt idx="17">
                  <c:v>5.436408725160168</c:v>
                </c:pt>
                <c:pt idx="18">
                  <c:v>5.441142215753068</c:v>
                </c:pt>
                <c:pt idx="19">
                  <c:v>5.44747262472539</c:v>
                </c:pt>
                <c:pt idx="20">
                  <c:v>5.455374713457544</c:v>
                </c:pt>
                <c:pt idx="21">
                  <c:v>5.464832351672211</c:v>
                </c:pt>
                <c:pt idx="22">
                  <c:v>5.475838325549642</c:v>
                </c:pt>
                <c:pt idx="23">
                  <c:v>5.488394247862748</c:v>
                </c:pt>
                <c:pt idx="24">
                  <c:v>5.50251056650666</c:v>
                </c:pt>
                <c:pt idx="25">
                  <c:v>5.518206658402164</c:v>
                </c:pt>
                <c:pt idx="26">
                  <c:v>5.535510984969762</c:v>
                </c:pt>
                <c:pt idx="27">
                  <c:v>5.5544612720322</c:v>
                </c:pt>
                <c:pt idx="28">
                  <c:v>5.575104660158106</c:v>
                </c:pt>
                <c:pt idx="29">
                  <c:v>5.59749775064494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</c:v>
                </c:pt>
                <c:pt idx="33">
                  <c:v>5.706011097988136</c:v>
                </c:pt>
                <c:pt idx="34">
                  <c:v>5.73829927916808</c:v>
                </c:pt>
                <c:pt idx="35">
                  <c:v>5.772835350552023</c:v>
                </c:pt>
                <c:pt idx="36">
                  <c:v>5.809709261918186</c:v>
                </c:pt>
                <c:pt idx="37">
                  <c:v>5.849002700546853</c:v>
                </c:pt>
                <c:pt idx="38">
                  <c:v>5.89078390327984</c:v>
                </c:pt>
                <c:pt idx="39">
                  <c:v>5.935102611027004</c:v>
                </c:pt>
                <c:pt idx="40">
                  <c:v>5.981985793039703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5.701338943222657</c:v>
                </c:pt>
                <c:pt idx="1">
                  <c:v>5.666461520041616</c:v>
                </c:pt>
                <c:pt idx="2">
                  <c:v>5.635049148621811</c:v>
                </c:pt>
                <c:pt idx="3">
                  <c:v>5.60702940889037</c:v>
                </c:pt>
                <c:pt idx="4">
                  <c:v>5.582284959439603</c:v>
                </c:pt>
                <c:pt idx="5">
                  <c:v>5.560664561553546</c:v>
                </c:pt>
                <c:pt idx="6">
                  <c:v>5.54199535774654</c:v>
                </c:pt>
                <c:pt idx="7">
                  <c:v>5.526094552726983</c:v>
                </c:pt>
                <c:pt idx="8">
                  <c:v>5.512779236911864</c:v>
                </c:pt>
                <c:pt idx="9">
                  <c:v>5.50187378243481</c:v>
                </c:pt>
                <c:pt idx="10">
                  <c:v>5.493214805064657</c:v>
                </c:pt>
                <c:pt idx="11">
                  <c:v>5.486654031929385</c:v>
                </c:pt>
                <c:pt idx="12">
                  <c:v>5.482059558717252</c:v>
                </c:pt>
                <c:pt idx="13">
                  <c:v>5.479315983580335</c:v>
                </c:pt>
                <c:pt idx="14">
                  <c:v>5.478323834498806</c:v>
                </c:pt>
                <c:pt idx="15">
                  <c:v>5.47899861141555</c:v>
                </c:pt>
                <c:pt idx="16">
                  <c:v>5.481269672519284</c:v>
                </c:pt>
                <c:pt idx="17">
                  <c:v>5.485079118253343</c:v>
                </c:pt>
                <c:pt idx="18">
                  <c:v>5.490380769877438</c:v>
                </c:pt>
                <c:pt idx="19">
                  <c:v>5.497139299845159</c:v>
                </c:pt>
                <c:pt idx="20">
                  <c:v>5.505329545281717</c:v>
                </c:pt>
                <c:pt idx="21">
                  <c:v>5.514936019694442</c:v>
                </c:pt>
                <c:pt idx="22">
                  <c:v>5.525952628428467</c:v>
                </c:pt>
                <c:pt idx="23">
                  <c:v>5.538382587578182</c:v>
                </c:pt>
                <c:pt idx="24">
                  <c:v>5.55223854182041</c:v>
                </c:pt>
                <c:pt idx="25">
                  <c:v>5.56754287191566</c:v>
                </c:pt>
                <c:pt idx="26">
                  <c:v>5.584328175380761</c:v>
                </c:pt>
                <c:pt idx="27">
                  <c:v>5.60263789178452</c:v>
                </c:pt>
                <c:pt idx="28">
                  <c:v>5.622527024602226</c:v>
                </c:pt>
                <c:pt idx="29">
                  <c:v>5.644062881620124</c:v>
                </c:pt>
                <c:pt idx="30">
                  <c:v>5.667325712698897</c:v>
                </c:pt>
                <c:pt idx="31">
                  <c:v>5.692409065829913</c:v>
                </c:pt>
                <c:pt idx="32">
                  <c:v>5.719419612087599</c:v>
                </c:pt>
                <c:pt idx="33">
                  <c:v>5.748476116996753</c:v>
                </c:pt>
                <c:pt idx="34">
                  <c:v>5.779707181919376</c:v>
                </c:pt>
                <c:pt idx="35">
                  <c:v>5.81324738204793</c:v>
                </c:pt>
                <c:pt idx="36">
                  <c:v>5.84923153840078</c:v>
                </c:pt>
                <c:pt idx="37">
                  <c:v>5.887787127915834</c:v>
                </c:pt>
                <c:pt idx="38">
                  <c:v>5.92902526933085</c:v>
                </c:pt>
                <c:pt idx="39">
                  <c:v>5.973031253294355</c:v>
                </c:pt>
                <c:pt idx="40">
                  <c:v>6.019856040806036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5.733840843479053</c:v>
                </c:pt>
                <c:pt idx="1">
                  <c:v>5.699181686533125</c:v>
                </c:pt>
                <c:pt idx="2">
                  <c:v>5.668475267778509</c:v>
                </c:pt>
                <c:pt idx="3">
                  <c:v>5.641592425564643</c:v>
                </c:pt>
                <c:pt idx="4">
                  <c:v>5.618333661792</c:v>
                </c:pt>
                <c:pt idx="5">
                  <c:v>5.598453380851668</c:v>
                </c:pt>
                <c:pt idx="6">
                  <c:v>5.581684465816574</c:v>
                </c:pt>
                <c:pt idx="7">
                  <c:v>5.567758896874075</c:v>
                </c:pt>
                <c:pt idx="8">
                  <c:v>5.556422465398685</c:v>
                </c:pt>
                <c:pt idx="9">
                  <c:v>5.547443608277509</c:v>
                </c:pt>
                <c:pt idx="10">
                  <c:v>5.540617485783926</c:v>
                </c:pt>
                <c:pt idx="11">
                  <c:v>5.53576674538589</c:v>
                </c:pt>
                <c:pt idx="12">
                  <c:v>5.53274027091317</c:v>
                </c:pt>
                <c:pt idx="13">
                  <c:v>5.531410897336734</c:v>
                </c:pt>
                <c:pt idx="14">
                  <c:v>5.531672746649014</c:v>
                </c:pt>
                <c:pt idx="15">
                  <c:v>5.53343858099741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5.547118875573307</c:v>
                </c:pt>
                <c:pt idx="19">
                  <c:v>5.554323753312933</c:v>
                </c:pt>
                <c:pt idx="20">
                  <c:v>5.562803647014684</c:v>
                </c:pt>
                <c:pt idx="21">
                  <c:v>5.572544674873421</c:v>
                </c:pt>
                <c:pt idx="22">
                  <c:v>5.583541999551222</c:v>
                </c:pt>
                <c:pt idx="23">
                  <c:v>5.59579977035856</c:v>
                </c:pt>
                <c:pt idx="24">
                  <c:v>5.609331363704455</c:v>
                </c:pt>
                <c:pt idx="25">
                  <c:v>5.624159924611899</c:v>
                </c:pt>
                <c:pt idx="26">
                  <c:v>5.640319215976828</c:v>
                </c:pt>
                <c:pt idx="27">
                  <c:v>5.657854781038758</c:v>
                </c:pt>
                <c:pt idx="28">
                  <c:v>5.67682541419856</c:v>
                </c:pt>
                <c:pt idx="29">
                  <c:v>5.697304909584693</c:v>
                </c:pt>
                <c:pt idx="30">
                  <c:v>5.719384006343437</c:v>
                </c:pt>
                <c:pt idx="31">
                  <c:v>5.743172362037017</c:v>
                </c:pt>
                <c:pt idx="32">
                  <c:v>5.768800246838782</c:v>
                </c:pt>
                <c:pt idx="33">
                  <c:v>5.796419452194022</c:v>
                </c:pt>
                <c:pt idx="34">
                  <c:v>5.826202658177206</c:v>
                </c:pt>
                <c:pt idx="35">
                  <c:v>5.858340258569461</c:v>
                </c:pt>
                <c:pt idx="36">
                  <c:v>5.893033532960897</c:v>
                </c:pt>
                <c:pt idx="37">
                  <c:v>5.930483300841364</c:v>
                </c:pt>
                <c:pt idx="38">
                  <c:v>5.970874037950937</c:v>
                </c:pt>
                <c:pt idx="39">
                  <c:v>6.014354951615928</c:v>
                </c:pt>
                <c:pt idx="40">
                  <c:v>6.061021318376501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5.768929930915958</c:v>
                </c:pt>
                <c:pt idx="1">
                  <c:v>5.734660811981132</c:v>
                </c:pt>
                <c:pt idx="2">
                  <c:v>5.70507682054212</c:v>
                </c:pt>
                <c:pt idx="3">
                  <c:v>5.679928299060598</c:v>
                </c:pt>
                <c:pt idx="4">
                  <c:v>5.658851573492265</c:v>
                </c:pt>
                <c:pt idx="5">
                  <c:v>5.641428624033623</c:v>
                </c:pt>
                <c:pt idx="6">
                  <c:v>5.627238285773527</c:v>
                </c:pt>
                <c:pt idx="7">
                  <c:v>5.615890263062893</c:v>
                </c:pt>
                <c:pt idx="8">
                  <c:v>5.607042198996861</c:v>
                </c:pt>
                <c:pt idx="9">
                  <c:v>5.600404404262143</c:v>
                </c:pt>
                <c:pt idx="10">
                  <c:v>5.595737359373281</c:v>
                </c:pt>
                <c:pt idx="11">
                  <c:v>5.592845870566042</c:v>
                </c:pt>
                <c:pt idx="12">
                  <c:v>5.591572271091947</c:v>
                </c:pt>
                <c:pt idx="13">
                  <c:v>5.591789916911725</c:v>
                </c:pt>
                <c:pt idx="14">
                  <c:v>5.593397510797097</c:v>
                </c:pt>
                <c:pt idx="15">
                  <c:v>5.596314399756039</c:v>
                </c:pt>
                <c:pt idx="16">
                  <c:v>5.60047680575373</c:v>
                </c:pt>
                <c:pt idx="17">
                  <c:v>5.605834878230333</c:v>
                </c:pt>
                <c:pt idx="18">
                  <c:v>5.61235044268733</c:v>
                </c:pt>
                <c:pt idx="19">
                  <c:v>5.619995331321725</c:v>
                </c:pt>
                <c:pt idx="20">
                  <c:v>5.628750203324247</c:v>
                </c:pt>
                <c:pt idx="21">
                  <c:v>5.638603786578293</c:v>
                </c:pt>
                <c:pt idx="22">
                  <c:v>5.649552496151556</c:v>
                </c:pt>
                <c:pt idx="23">
                  <c:v>5.661600407436235</c:v>
                </c:pt>
                <c:pt idx="24">
                  <c:v>5.674759583338702</c:v>
                </c:pt>
                <c:pt idx="25">
                  <c:v>5.689050776125441</c:v>
                </c:pt>
                <c:pt idx="26">
                  <c:v>5.704504545787583</c:v>
                </c:pt>
                <c:pt idx="27">
                  <c:v>5.721162857707447</c:v>
                </c:pt>
                <c:pt idx="28">
                  <c:v>5.73908124087911</c:v>
                </c:pt>
                <c:pt idx="29">
                  <c:v>5.758331598347217</c:v>
                </c:pt>
                <c:pt idx="30">
                  <c:v>5.77900575166717</c:v>
                </c:pt>
                <c:pt idx="31">
                  <c:v>5.801219747050731</c:v>
                </c:pt>
                <c:pt idx="32">
                  <c:v>5.825118809247645</c:v>
                </c:pt>
                <c:pt idx="33">
                  <c:v>5.850882530416704</c:v>
                </c:pt>
                <c:pt idx="34">
                  <c:v>5.87872933164433</c:v>
                </c:pt>
                <c:pt idx="35">
                  <c:v>5.908918356043519</c:v>
                </c:pt>
                <c:pt idx="36">
                  <c:v>5.941745807592296</c:v>
                </c:pt>
                <c:pt idx="37">
                  <c:v>5.977531801021909</c:v>
                </c:pt>
                <c:pt idx="38">
                  <c:v>6.016594180350818</c:v>
                </c:pt>
                <c:pt idx="39">
                  <c:v>6.059209119828696</c:v>
                </c:pt>
                <c:pt idx="40">
                  <c:v>6.105565211600616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</c:v>
                </c:pt>
                <c:pt idx="1">
                  <c:v>5.773090602786535</c:v>
                </c:pt>
                <c:pt idx="2">
                  <c:v>5.74539268095149</c:v>
                </c:pt>
                <c:pt idx="3">
                  <c:v>5.723014269966648</c:v>
                </c:pt>
                <c:pt idx="4">
                  <c:v>5.705225260936594</c:v>
                </c:pt>
                <c:pt idx="5">
                  <c:v>5.691282580277453</c:v>
                </c:pt>
                <c:pt idx="6">
                  <c:v>5.68052878798612</c:v>
                </c:pt>
                <c:pt idx="7">
                  <c:v>5.672426977429903</c:v>
                </c:pt>
                <c:pt idx="8">
                  <c:v>5.666557665779956</c:v>
                </c:pt>
                <c:pt idx="9">
                  <c:v>5.662600316278623</c:v>
                </c:pt>
                <c:pt idx="10">
                  <c:v>5.66031216282183</c:v>
                </c:pt>
                <c:pt idx="11">
                  <c:v>5.659509545975202</c:v>
                </c:pt>
                <c:pt idx="12">
                  <c:v>5.660053103150353</c:v>
                </c:pt>
                <c:pt idx="13">
                  <c:v>5.661836585279595</c:v>
                </c:pt>
                <c:pt idx="14">
                  <c:v>5.664778612008199</c:v>
                </c:pt>
                <c:pt idx="15">
                  <c:v>5.668816660759299</c:v>
                </c:pt>
                <c:pt idx="16">
                  <c:v>5.673902707316902</c:v>
                </c:pt>
                <c:pt idx="17">
                  <c:v>5.680000076887381</c:v>
                </c:pt>
                <c:pt idx="18">
                  <c:v>5.687081186073351</c:v>
                </c:pt>
                <c:pt idx="19">
                  <c:v>5.695125950590724</c:v>
                </c:pt>
                <c:pt idx="20">
                  <c:v>5.704120704257863</c:v>
                </c:pt>
                <c:pt idx="21">
                  <c:v>5.714057527665886</c:v>
                </c:pt>
                <c:pt idx="22">
                  <c:v>5.724933925664211</c:v>
                </c:pt>
                <c:pt idx="23">
                  <c:v>5.736752826184144</c:v>
                </c:pt>
                <c:pt idx="24">
                  <c:v>5.74952290307095</c:v>
                </c:pt>
                <c:pt idx="25">
                  <c:v>5.763259256227314</c:v>
                </c:pt>
                <c:pt idx="26">
                  <c:v>5.777984517239904</c:v>
                </c:pt>
                <c:pt idx="27">
                  <c:v>5.793730491890727</c:v>
                </c:pt>
                <c:pt idx="28">
                  <c:v>5.810540507192149</c:v>
                </c:pt>
                <c:pt idx="29">
                  <c:v>5.828472704554644</c:v>
                </c:pt>
                <c:pt idx="30">
                  <c:v>5.847604615138719</c:v>
                </c:pt>
                <c:pt idx="31">
                  <c:v>5.86803946289076</c:v>
                </c:pt>
                <c:pt idx="32">
                  <c:v>5.889914735390082</c:v>
                </c:pt>
                <c:pt idx="33">
                  <c:v>5.913413550237163</c:v>
                </c:pt>
                <c:pt idx="34">
                  <c:v>5.938778990941924</c:v>
                </c:pt>
                <c:pt idx="35">
                  <c:v>5.966330378525544</c:v>
                </c:pt>
                <c:pt idx="36">
                  <c:v>5.996477471090776</c:v>
                </c:pt>
                <c:pt idx="37">
                  <c:v>6.029722844253336</c:v>
                </c:pt>
                <c:pt idx="38">
                  <c:v>6.066635035665764</c:v>
                </c:pt>
                <c:pt idx="39">
                  <c:v>6.107772692391625</c:v>
                </c:pt>
                <c:pt idx="40">
                  <c:v>6.153558661099954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5.814899738817512</c:v>
                </c:pt>
                <c:pt idx="2">
                  <c:v>5.790745660070436</c:v>
                </c:pt>
                <c:pt idx="3">
                  <c:v>5.773089826620703</c:v>
                </c:pt>
                <c:pt idx="4">
                  <c:v>5.76031605579457</c:v>
                </c:pt>
                <c:pt idx="5">
                  <c:v>5.751141743267387</c:v>
                </c:pt>
                <c:pt idx="6">
                  <c:v>5.74466980557991</c:v>
                </c:pt>
                <c:pt idx="7">
                  <c:v>5.74030122931462</c:v>
                </c:pt>
                <c:pt idx="8">
                  <c:v>5.737638803276937</c:v>
                </c:pt>
                <c:pt idx="9">
                  <c:v>5.736416190952215</c:v>
                </c:pt>
                <c:pt idx="10">
                  <c:v>5.73645149762584</c:v>
                </c:pt>
                <c:pt idx="11">
                  <c:v>5.737617943414114</c:v>
                </c:pt>
                <c:pt idx="12">
                  <c:v>5.739825398465728</c:v>
                </c:pt>
                <c:pt idx="13">
                  <c:v>5.743008630911801</c:v>
                </c:pt>
                <c:pt idx="14">
                  <c:v>5.747119704162674</c:v>
                </c:pt>
                <c:pt idx="15">
                  <c:v>5.752122971510704</c:v>
                </c:pt>
                <c:pt idx="16">
                  <c:v>5.757991727135173</c:v>
                </c:pt>
                <c:pt idx="17">
                  <c:v>5.764705937274661</c:v>
                </c:pt>
                <c:pt idx="18">
                  <c:v>5.77225069420273</c:v>
                </c:pt>
                <c:pt idx="19">
                  <c:v>5.780615169136069</c:v>
                </c:pt>
                <c:pt idx="20">
                  <c:v>5.78979192365764</c:v>
                </c:pt>
                <c:pt idx="21">
                  <c:v>5.799776493357016</c:v>
                </c:pt>
                <c:pt idx="22">
                  <c:v>5.810567194583827</c:v>
                </c:pt>
                <c:pt idx="23">
                  <c:v>5.822165133302666</c:v>
                </c:pt>
                <c:pt idx="24">
                  <c:v>5.834574419493419</c:v>
                </c:pt>
                <c:pt idx="25">
                  <c:v>5.847802615930021</c:v>
                </c:pt>
                <c:pt idx="26">
                  <c:v>5.86186148135111</c:v>
                </c:pt>
                <c:pt idx="27">
                  <c:v>5.876768111438606</c:v>
                </c:pt>
                <c:pt idx="28">
                  <c:v>5.892546646454225</c:v>
                </c:pt>
                <c:pt idx="29">
                  <c:v>5.90923081794794</c:v>
                </c:pt>
                <c:pt idx="30">
                  <c:v>5.9268677759429</c:v>
                </c:pt>
                <c:pt idx="31">
                  <c:v>5.945523918971363</c:v>
                </c:pt>
                <c:pt idx="32">
                  <c:v>5.965293919774993</c:v>
                </c:pt>
                <c:pt idx="33">
                  <c:v>5.98631491769978</c:v>
                </c:pt>
                <c:pt idx="34">
                  <c:v>6.00878906901565</c:v>
                </c:pt>
                <c:pt idx="35">
                  <c:v>6.033019257543798</c:v>
                </c:pt>
                <c:pt idx="36">
                  <c:v>6.059463648859086</c:v>
                </c:pt>
                <c:pt idx="37">
                  <c:v>6.088809738231552</c:v>
                </c:pt>
                <c:pt idx="38">
                  <c:v>6.122041617238575</c:v>
                </c:pt>
                <c:pt idx="39">
                  <c:v>6.160400015509802</c:v>
                </c:pt>
                <c:pt idx="40">
                  <c:v>6.205056755479543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</c:v>
                </c:pt>
                <c:pt idx="1">
                  <c:v>5.861836034083985</c:v>
                </c:pt>
                <c:pt idx="2">
                  <c:v>5.845705199847367</c:v>
                </c:pt>
                <c:pt idx="3">
                  <c:v>5.836246160274374</c:v>
                </c:pt>
                <c:pt idx="4">
                  <c:v>5.830364662513434</c:v>
                </c:pt>
                <c:pt idx="5">
                  <c:v>5.826665616034261</c:v>
                </c:pt>
                <c:pt idx="6">
                  <c:v>5.824499078932604</c:v>
                </c:pt>
                <c:pt idx="7">
                  <c:v>5.823536168426637</c:v>
                </c:pt>
                <c:pt idx="8">
                  <c:v>5.823596664423228</c:v>
                </c:pt>
                <c:pt idx="9">
                  <c:v>5.82457497646804</c:v>
                </c:pt>
                <c:pt idx="10">
                  <c:v>5.82640576781036</c:v>
                </c:pt>
                <c:pt idx="11">
                  <c:v>5.829046766264382</c:v>
                </c:pt>
                <c:pt idx="12">
                  <c:v>5.832469596048458</c:v>
                </c:pt>
                <c:pt idx="13">
                  <c:v>5.836654611765923</c:v>
                </c:pt>
                <c:pt idx="14">
                  <c:v>5.841587849482427</c:v>
                </c:pt>
                <c:pt idx="15">
                  <c:v>5.847259156272378</c:v>
                </c:pt>
                <c:pt idx="16">
                  <c:v>5.85366100593758</c:v>
                </c:pt>
                <c:pt idx="17">
                  <c:v>5.860787730923278</c:v>
                </c:pt>
                <c:pt idx="18">
                  <c:v>5.868635016759361</c:v>
                </c:pt>
                <c:pt idx="19">
                  <c:v>5.877199569008858</c:v>
                </c:pt>
                <c:pt idx="20">
                  <c:v>5.886478899140293</c:v>
                </c:pt>
                <c:pt idx="21">
                  <c:v>5.896471197684236</c:v>
                </c:pt>
                <c:pt idx="22">
                  <c:v>5.907175277205894</c:v>
                </c:pt>
                <c:pt idx="23">
                  <c:v>5.918590577835401</c:v>
                </c:pt>
                <c:pt idx="24">
                  <c:v>5.930717236794795</c:v>
                </c:pt>
                <c:pt idx="25">
                  <c:v>5.943556232513496</c:v>
                </c:pt>
                <c:pt idx="26">
                  <c:v>5.957109625683267</c:v>
                </c:pt>
                <c:pt idx="27">
                  <c:v>5.971380937060344</c:v>
                </c:pt>
                <c:pt idx="28">
                  <c:v>5.98637573024357</c:v>
                </c:pt>
                <c:pt idx="29">
                  <c:v>6.00210251689642</c:v>
                </c:pt>
                <c:pt idx="30">
                  <c:v>6.018574191537414</c:v>
                </c:pt>
                <c:pt idx="31">
                  <c:v>6.035810374178619</c:v>
                </c:pt>
                <c:pt idx="32">
                  <c:v>6.05384138252277</c:v>
                </c:pt>
                <c:pt idx="33">
                  <c:v>6.0727152835165</c:v>
                </c:pt>
                <c:pt idx="34">
                  <c:v>6.09251111548909</c:v>
                </c:pt>
                <c:pt idx="35">
                  <c:v>6.113365331363907</c:v>
                </c:pt>
                <c:pt idx="36">
                  <c:v>6.135528747690913</c:v>
                </c:pt>
                <c:pt idx="37">
                  <c:v>6.159499158080483</c:v>
                </c:pt>
                <c:pt idx="38">
                  <c:v>6.186347556880724</c:v>
                </c:pt>
                <c:pt idx="39">
                  <c:v>6.218451996982065</c:v>
                </c:pt>
                <c:pt idx="40">
                  <c:v>6.260095930752056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5.936067977499794</c:v>
                </c:pt>
                <c:pt idx="1">
                  <c:v>5.932710929260899</c:v>
                </c:pt>
                <c:pt idx="2">
                  <c:v>5.9300026007537</c:v>
                </c:pt>
                <c:pt idx="3">
                  <c:v>5.927946045491466</c:v>
                </c:pt>
                <c:pt idx="4">
                  <c:v>5.92654411320374</c:v>
                </c:pt>
                <c:pt idx="5">
                  <c:v>5.92579944726411</c:v>
                </c:pt>
                <c:pt idx="6">
                  <c:v>5.925714482427837</c:v>
                </c:pt>
                <c:pt idx="7">
                  <c:v>5.926291442875366</c:v>
                </c:pt>
                <c:pt idx="8">
                  <c:v>5.927532340556444</c:v>
                </c:pt>
                <c:pt idx="9">
                  <c:v>5.929438973828296</c:v>
                </c:pt>
                <c:pt idx="10">
                  <c:v>5.932012926380144</c:v>
                </c:pt>
                <c:pt idx="11">
                  <c:v>5.93525556643551</c:v>
                </c:pt>
                <c:pt idx="12">
                  <c:v>5.939168046222863</c:v>
                </c:pt>
                <c:pt idx="13">
                  <c:v>5.943751301704708</c:v>
                </c:pt>
                <c:pt idx="14">
                  <c:v>5.94900605255465</c:v>
                </c:pt>
                <c:pt idx="15">
                  <c:v>5.954932802371854</c:v>
                </c:pt>
                <c:pt idx="16">
                  <c:v>5.961531839122216</c:v>
                </c:pt>
                <c:pt idx="17">
                  <c:v>5.968803235795644</c:v>
                </c:pt>
                <c:pt idx="18">
                  <c:v>5.976746851269155</c:v>
                </c:pt>
                <c:pt idx="19">
                  <c:v>5.985362331365905</c:v>
                </c:pt>
                <c:pt idx="20">
                  <c:v>5.994649110100754</c:v>
                </c:pt>
                <c:pt idx="21">
                  <c:v>6.004606411103722</c:v>
                </c:pt>
                <c:pt idx="22">
                  <c:v>6.01523324921336</c:v>
                </c:pt>
                <c:pt idx="23">
                  <c:v>6.026528432232898</c:v>
                </c:pt>
                <c:pt idx="24">
                  <c:v>6.038490562842964</c:v>
                </c:pt>
                <c:pt idx="25">
                  <c:v>6.051118040665502</c:v>
                </c:pt>
                <c:pt idx="26">
                  <c:v>6.064409064474464</c:v>
                </c:pt>
                <c:pt idx="27">
                  <c:v>6.078361634549793</c:v>
                </c:pt>
                <c:pt idx="28">
                  <c:v>6.092973555171977</c:v>
                </c:pt>
                <c:pt idx="29">
                  <c:v>6.108242437255393</c:v>
                </c:pt>
                <c:pt idx="30">
                  <c:v>6.124165701119306</c:v>
                </c:pt>
                <c:pt idx="31">
                  <c:v>6.140740579396098</c:v>
                </c:pt>
                <c:pt idx="32">
                  <c:v>6.157964120076812</c:v>
                </c:pt>
                <c:pt idx="33">
                  <c:v>6.175833189694578</c:v>
                </c:pt>
                <c:pt idx="34">
                  <c:v>6.194344476646759</c:v>
                </c:pt>
                <c:pt idx="35">
                  <c:v>6.213494494656867</c:v>
                </c:pt>
                <c:pt idx="36">
                  <c:v>6.233279586377358</c:v>
                </c:pt>
                <c:pt idx="37">
                  <c:v>6.253695927134287</c:v>
                </c:pt>
                <c:pt idx="38">
                  <c:v>6.274739528814671</c:v>
                </c:pt>
                <c:pt idx="39">
                  <c:v>6.296406243896963</c:v>
                </c:pt>
                <c:pt idx="40">
                  <c:v>6.31869176962472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506394616"/>
        <c:axId val="506400648"/>
        <c:axId val="506407112"/>
      </c:surface3DChart>
      <c:catAx>
        <c:axId val="50639461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0.0714285714285714"/>
              <c:y val="0.7217201695941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640064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506400648"/>
        <c:scaling>
          <c:orientation val="minMax"/>
          <c:max val="8.0"/>
          <c:min val="4.0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0.046218487394958"/>
              <c:y val="0.33710454745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6394616"/>
        <c:crosses val="min"/>
        <c:crossBetween val="between"/>
        <c:majorUnit val="0.1"/>
      </c:valAx>
      <c:serAx>
        <c:axId val="50640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"/>
              <c:y val="0.8461547962613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640064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0.0664207838820051"/>
          <c:w val="0.801507537688442"/>
          <c:h val="0.71586844850605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2.0</c:v>
                </c:pt>
                <c:pt idx="3">
                  <c:v>2.0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10.0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10.0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10.0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10.0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0.0</c:v>
                </c:pt>
                <c:pt idx="1">
                  <c:v>10.0</c:v>
                </c:pt>
                <c:pt idx="3">
                  <c:v>0.0</c:v>
                </c:pt>
                <c:pt idx="4">
                  <c:v>10.0</c:v>
                </c:pt>
                <c:pt idx="6">
                  <c:v>2.0</c:v>
                </c:pt>
                <c:pt idx="7">
                  <c:v>10.0</c:v>
                </c:pt>
                <c:pt idx="9">
                  <c:v>2.0</c:v>
                </c:pt>
                <c:pt idx="10">
                  <c:v>10.0</c:v>
                </c:pt>
                <c:pt idx="12">
                  <c:v>10.0</c:v>
                </c:pt>
                <c:pt idx="13">
                  <c:v>10.0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0.0</c:v>
                </c:pt>
                <c:pt idx="1">
                  <c:v>10.0</c:v>
                </c:pt>
                <c:pt idx="3">
                  <c:v>1.0</c:v>
                </c:pt>
                <c:pt idx="4">
                  <c:v>10.0</c:v>
                </c:pt>
                <c:pt idx="6">
                  <c:v>1.0</c:v>
                </c:pt>
                <c:pt idx="7">
                  <c:v>10.0</c:v>
                </c:pt>
                <c:pt idx="9">
                  <c:v>0.0</c:v>
                </c:pt>
                <c:pt idx="10">
                  <c:v>10.0</c:v>
                </c:pt>
                <c:pt idx="12">
                  <c:v>10.0</c:v>
                </c:pt>
                <c:pt idx="13">
                  <c:v>10.0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049000"/>
        <c:axId val="507052488"/>
      </c:scatterChart>
      <c:valAx>
        <c:axId val="50704900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052488"/>
        <c:crosses val="autoZero"/>
        <c:crossBetween val="midCat"/>
        <c:majorUnit val="0.5"/>
      </c:valAx>
      <c:valAx>
        <c:axId val="507052488"/>
        <c:scaling>
          <c:orientation val="minMax"/>
          <c:max val="1.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04900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0.0617761782399596"/>
          <c:w val="0.855513307984791"/>
          <c:h val="0.880310539919424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0.0</c:v>
                </c:pt>
                <c:pt idx="1">
                  <c:v>2.954423259036624</c:v>
                </c:pt>
                <c:pt idx="2">
                  <c:v>7.878462024097663</c:v>
                </c:pt>
                <c:pt idx="5">
                  <c:v>7.0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0.0</c:v>
                </c:pt>
                <c:pt idx="1">
                  <c:v>0.520944533000791</c:v>
                </c:pt>
                <c:pt idx="2">
                  <c:v>1.389185421335443</c:v>
                </c:pt>
                <c:pt idx="5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100104"/>
        <c:axId val="506095576"/>
      </c:scatterChart>
      <c:valAx>
        <c:axId val="506100104"/>
        <c:scaling>
          <c:orientation val="minMax"/>
          <c:max val="8.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6095576"/>
        <c:crosses val="autoZero"/>
        <c:crossBetween val="midCat"/>
        <c:majorUnit val="1.0"/>
      </c:valAx>
      <c:valAx>
        <c:axId val="506095576"/>
        <c:scaling>
          <c:orientation val="minMax"/>
          <c:max val="5.0"/>
          <c:min val="-5.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610010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image" Target="../media/image1.emf"/><Relationship Id="rId3" Type="http://schemas.openxmlformats.org/officeDocument/2006/relationships/image" Target="../media/image2.emf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4" Type="http://schemas.openxmlformats.org/officeDocument/2006/relationships/image" Target="../media/image5.emf"/><Relationship Id="rId1" Type="http://schemas.openxmlformats.org/officeDocument/2006/relationships/chart" Target="../charts/chart2.xml"/><Relationship Id="rId2" Type="http://schemas.openxmlformats.org/officeDocument/2006/relationships/image" Target="../media/image3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203200</xdr:rowOff>
        </xdr:from>
        <xdr:to>
          <xdr:col>1</xdr:col>
          <xdr:colOff>444500</xdr:colOff>
          <xdr:row>0</xdr:row>
          <xdr:rowOff>635000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0</xdr:row>
          <xdr:rowOff>203200</xdr:rowOff>
        </xdr:from>
        <xdr:to>
          <xdr:col>8</xdr:col>
          <xdr:colOff>457200</xdr:colOff>
          <xdr:row>0</xdr:row>
          <xdr:rowOff>635000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254000</xdr:colOff>
          <xdr:row>0</xdr:row>
          <xdr:rowOff>190500</xdr:rowOff>
        </xdr:from>
        <xdr:to>
          <xdr:col>11</xdr:col>
          <xdr:colOff>558800</xdr:colOff>
          <xdr:row>0</xdr:row>
          <xdr:rowOff>635000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657350" y="2873375"/>
          <a:ext cx="2432050" cy="12541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 enableFormatConditionsCalculation="0"/>
  <dimension ref="A1:L7"/>
  <sheetViews>
    <sheetView workbookViewId="0">
      <selection activeCell="O11" sqref="O11"/>
    </sheetView>
  </sheetViews>
  <sheetFormatPr baseColWidth="10" defaultColWidth="8.83203125" defaultRowHeight="14" x14ac:dyDescent="0"/>
  <cols>
    <col min="1" max="2" width="8.83203125" style="62"/>
    <col min="4" max="5" width="8.83203125" style="62"/>
    <col min="7" max="8" width="8.83203125" style="62"/>
    <col min="10" max="10" width="8.83203125" style="62"/>
    <col min="12" max="12" width="8.83203125" style="62"/>
  </cols>
  <sheetData>
    <row r="1" spans="1:12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>
      <c r="A3" s="62" t="s">
        <v>199</v>
      </c>
      <c r="B3" s="62">
        <v>-1</v>
      </c>
      <c r="J3" s="62" t="s">
        <v>215</v>
      </c>
      <c r="L3" s="62" t="s">
        <v>197</v>
      </c>
    </row>
    <row r="4" spans="1:12">
      <c r="A4" s="62" t="s">
        <v>201</v>
      </c>
      <c r="B4" s="62">
        <v>0</v>
      </c>
      <c r="L4" s="62" t="s">
        <v>368</v>
      </c>
    </row>
    <row r="5" spans="1:12">
      <c r="A5" s="62" t="s">
        <v>202</v>
      </c>
      <c r="B5" s="62">
        <v>4</v>
      </c>
      <c r="L5" s="62" t="s">
        <v>374</v>
      </c>
    </row>
    <row r="6" spans="1:12">
      <c r="A6" s="62" t="s">
        <v>27</v>
      </c>
      <c r="B6" s="62">
        <v>5</v>
      </c>
    </row>
    <row r="7" spans="1:12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/>
  <dimension ref="A1:F69"/>
  <sheetViews>
    <sheetView tabSelected="1" zoomScale="85" zoomScaleNormal="85" zoomScalePageLayoutView="85" workbookViewId="0">
      <selection activeCell="F9" sqref="F9"/>
    </sheetView>
  </sheetViews>
  <sheetFormatPr baseColWidth="10" defaultColWidth="9.1640625" defaultRowHeight="14" x14ac:dyDescent="0"/>
  <cols>
    <col min="1" max="1" width="26.6640625" style="171" customWidth="1"/>
    <col min="2" max="16384" width="9.1640625" style="60"/>
  </cols>
  <sheetData>
    <row r="1" spans="1:6" s="167" customFormat="1" ht="63" customHeight="1" thickBot="1">
      <c r="A1" s="169"/>
      <c r="C1" s="178" t="s">
        <v>390</v>
      </c>
      <c r="D1" s="178"/>
      <c r="E1" s="178"/>
      <c r="F1" s="178"/>
    </row>
    <row r="2" spans="1:6" s="166" customFormat="1" ht="15" thickBot="1">
      <c r="A2" s="170" t="s">
        <v>194</v>
      </c>
      <c r="B2" s="165" t="s">
        <v>195</v>
      </c>
    </row>
    <row r="3" spans="1:6">
      <c r="A3" s="172" t="str">
        <f>HYPERLINK("[OpenSolver Tester.xlsm]Test1!A1", "Test1")</f>
        <v>Test1</v>
      </c>
      <c r="B3" s="60" t="s">
        <v>409</v>
      </c>
    </row>
    <row r="4" spans="1:6">
      <c r="A4" s="172" t="str">
        <f>HYPERLINK("[OpenSolver Tester.xlsm]Test1b!A1", "Test1b")</f>
        <v>Test1b</v>
      </c>
      <c r="B4" s="60" t="s">
        <v>409</v>
      </c>
    </row>
    <row r="5" spans="1:6">
      <c r="A5" s="172" t="str">
        <f>HYPERLINK("[OpenSolver Tester.xlsm]Test1c!A1", "Test1c")</f>
        <v>Test1c</v>
      </c>
      <c r="B5" s="60" t="s">
        <v>409</v>
      </c>
    </row>
    <row r="6" spans="1:6">
      <c r="A6" s="172" t="str">
        <f>HYPERLINK("[OpenSolver Tester.xlsm]Test1c2!A1", "Test1c2")</f>
        <v>Test1c2</v>
      </c>
      <c r="B6" s="60" t="s">
        <v>409</v>
      </c>
    </row>
    <row r="7" spans="1:6">
      <c r="A7" s="172" t="str">
        <f>HYPERLINK("[OpenSolver Tester.xlsm]Test1d!A1", "Test1d")</f>
        <v>Test1d</v>
      </c>
      <c r="B7" s="60" t="s">
        <v>409</v>
      </c>
    </row>
    <row r="8" spans="1:6">
      <c r="A8" s="172" t="str">
        <f>HYPERLINK("[OpenSolver Tester.xlsm]Test1e!A1", "Test1e")</f>
        <v>Test1e</v>
      </c>
      <c r="B8" s="60" t="s">
        <v>409</v>
      </c>
    </row>
    <row r="9" spans="1:6">
      <c r="A9" s="172" t="str">
        <f>HYPERLINK("[OpenSolver Tester.xlsm]Test1f!A1", "Test1f")</f>
        <v>Test1f</v>
      </c>
      <c r="B9" s="60" t="s">
        <v>409</v>
      </c>
    </row>
    <row r="10" spans="1:6">
      <c r="A10" s="172" t="str">
        <f>HYPERLINK("[OpenSolver Tester.xlsm]Test1g!A1", "Test1g")</f>
        <v>Test1g</v>
      </c>
      <c r="B10" s="60" t="s">
        <v>409</v>
      </c>
    </row>
    <row r="11" spans="1:6">
      <c r="A11" s="172" t="str">
        <f>HYPERLINK("[OpenSolver Tester.xlsm]Test1h!A1", "Test1h")</f>
        <v>Test1h</v>
      </c>
      <c r="B11" s="60" t="s">
        <v>409</v>
      </c>
    </row>
    <row r="12" spans="1:6">
      <c r="A12" s="172" t="str">
        <f>HYPERLINK("[OpenSolver Tester.xlsm]Test1i!A1", "Test1i")</f>
        <v>Test1i</v>
      </c>
      <c r="B12" s="60" t="s">
        <v>409</v>
      </c>
    </row>
    <row r="13" spans="1:6">
      <c r="A13" s="172" t="str">
        <f>HYPERLINK("[OpenSolver Tester.xlsm]Test1j!A1", "Test1j")</f>
        <v>Test1j</v>
      </c>
      <c r="B13" s="60" t="s">
        <v>409</v>
      </c>
    </row>
    <row r="14" spans="1:6">
      <c r="A14" s="172" t="str">
        <f>HYPERLINK("[OpenSolver Tester.xlsm]Test1j2!A1", "Test1j2")</f>
        <v>Test1j2</v>
      </c>
      <c r="B14" s="60" t="s">
        <v>409</v>
      </c>
    </row>
    <row r="15" spans="1:6">
      <c r="A15" s="172" t="str">
        <f>HYPERLINK("[OpenSolver Tester.xlsm]Test1k!A1", "Test1k")</f>
        <v>Test1k</v>
      </c>
      <c r="B15" s="60" t="s">
        <v>409</v>
      </c>
    </row>
    <row r="16" spans="1:6">
      <c r="A16" s="172" t="str">
        <f>HYPERLINK("[OpenSolver Tester.xlsm]Test1l!A1", "Test1l")</f>
        <v>Test1l</v>
      </c>
      <c r="B16" s="60" t="s">
        <v>409</v>
      </c>
    </row>
    <row r="17" spans="1:2">
      <c r="A17" s="172" t="str">
        <f>HYPERLINK("[OpenSolver Tester.xlsm]Test1m!A1", "Test1m")</f>
        <v>Test1m</v>
      </c>
      <c r="B17" s="60" t="s">
        <v>409</v>
      </c>
    </row>
    <row r="18" spans="1:2">
      <c r="A18" s="172" t="str">
        <f>HYPERLINK("[OpenSolver Tester.xlsm]Test2!A1", "Test2")</f>
        <v>Test2</v>
      </c>
      <c r="B18" s="60" t="s">
        <v>409</v>
      </c>
    </row>
    <row r="19" spans="1:2">
      <c r="A19" s="172" t="str">
        <f>HYPERLINK("[OpenSolver Tester.xlsm]Test3!A1", "Test3")</f>
        <v>Test3</v>
      </c>
      <c r="B19" s="60" t="s">
        <v>409</v>
      </c>
    </row>
    <row r="20" spans="1:2">
      <c r="A20" s="172" t="str">
        <f>HYPERLINK("[OpenSolver Tester.xlsm]Test4!A1", "Test4")</f>
        <v>Test4</v>
      </c>
      <c r="B20" s="60" t="s">
        <v>409</v>
      </c>
    </row>
    <row r="21" spans="1:2">
      <c r="A21" s="172" t="str">
        <f>HYPERLINK("[OpenSolver Tester.xlsm]Test5!A1", "Test5")</f>
        <v>Test5</v>
      </c>
      <c r="B21" s="60" t="s">
        <v>409</v>
      </c>
    </row>
    <row r="22" spans="1:2">
      <c r="A22" s="172" t="str">
        <f>HYPERLINK("[OpenSolver Tester.xlsm]Test!6!A1", "Test!6")</f>
        <v>Test!6</v>
      </c>
      <c r="B22" s="60" t="s">
        <v>409</v>
      </c>
    </row>
    <row r="23" spans="1:2">
      <c r="A23" s="172" t="str">
        <f>HYPERLINK("[OpenSolver Tester.xlsm]Test7!A1", "Test7")</f>
        <v>Test7</v>
      </c>
      <c r="B23" s="60" t="s">
        <v>409</v>
      </c>
    </row>
    <row r="24" spans="1:2">
      <c r="A24" s="172" t="str">
        <f>HYPERLINK("[OpenSolver Tester.xlsm]Test8!A1", "Test8")</f>
        <v>Test8</v>
      </c>
      <c r="B24" s="60" t="s">
        <v>409</v>
      </c>
    </row>
    <row r="25" spans="1:2">
      <c r="A25" s="172" t="str">
        <f>HYPERLINK("[OpenSolver Tester.xlsm]Test8B!A1", "Test8B")</f>
        <v>Test8B</v>
      </c>
      <c r="B25" s="60" t="s">
        <v>409</v>
      </c>
    </row>
    <row r="26" spans="1:2">
      <c r="A26" s="172" t="str">
        <f>HYPERLINK("[OpenSolver Tester.xlsm]Test9A!A1", "Test9A")</f>
        <v>Test9A</v>
      </c>
      <c r="B26" s="60" t="s">
        <v>409</v>
      </c>
    </row>
    <row r="27" spans="1:2">
      <c r="A27" s="172" t="str">
        <f>HYPERLINK("[OpenSolver Tester.xlsm]Test9B!A1", "Test9B")</f>
        <v>Test9B</v>
      </c>
      <c r="B27" s="60" t="s">
        <v>409</v>
      </c>
    </row>
    <row r="28" spans="1:2">
      <c r="A28" s="172" t="str">
        <f>HYPERLINK("[OpenSolver Tester.xlsm]Test10!A1", "Test10")</f>
        <v>Test10</v>
      </c>
      <c r="B28" s="60" t="s">
        <v>409</v>
      </c>
    </row>
    <row r="29" spans="1:2">
      <c r="A29" s="172" t="str">
        <f>HYPERLINK("[OpenSolver Tester.xlsm]Test11!A1", "Test11")</f>
        <v>Test11</v>
      </c>
      <c r="B29" s="60" t="s">
        <v>409</v>
      </c>
    </row>
    <row r="30" spans="1:2">
      <c r="A30" s="172" t="str">
        <f>HYPERLINK("[OpenSolver Tester.xlsm]Test12!A1", "Test12")</f>
        <v>Test12</v>
      </c>
      <c r="B30" s="60" t="s">
        <v>409</v>
      </c>
    </row>
    <row r="31" spans="1:2">
      <c r="A31" s="172" t="str">
        <f>HYPERLINK("[OpenSolver Tester.xlsm]Test13!A1", "Test13")</f>
        <v>Test13</v>
      </c>
      <c r="B31" s="60" t="s">
        <v>409</v>
      </c>
    </row>
    <row r="32" spans="1:2">
      <c r="A32" s="172" t="str">
        <f>HYPERLINK("[OpenSolver Tester.xlsm]Test13b!A1", "Test13b")</f>
        <v>Test13b</v>
      </c>
      <c r="B32" s="60" t="s">
        <v>409</v>
      </c>
    </row>
    <row r="33" spans="1:2">
      <c r="A33" s="172" t="str">
        <f>HYPERLINK("[OpenSolver Tester.xlsm]Test14!A1", "Test14")</f>
        <v>Test14</v>
      </c>
      <c r="B33" s="60" t="s">
        <v>409</v>
      </c>
    </row>
    <row r="34" spans="1:2">
      <c r="A34" s="172" t="str">
        <f>HYPERLINK("[OpenSolver Tester.xlsm]Test15!A1", "Test15")</f>
        <v>Test15</v>
      </c>
      <c r="B34" s="60" t="s">
        <v>409</v>
      </c>
    </row>
    <row r="35" spans="1:2">
      <c r="A35" s="172" t="str">
        <f>HYPERLINK("[OpenSolver Tester.xlsm]Test15b!A1", "Test15b")</f>
        <v>Test15b</v>
      </c>
      <c r="B35" s="60" t="s">
        <v>409</v>
      </c>
    </row>
    <row r="36" spans="1:2">
      <c r="A36" s="172" t="str">
        <f>HYPERLINK("[OpenSolver Tester.xlsm]Test15c!A1", "Test15c")</f>
        <v>Test15c</v>
      </c>
      <c r="B36" s="60" t="s">
        <v>409</v>
      </c>
    </row>
    <row r="37" spans="1:2">
      <c r="A37" s="172" t="str">
        <f>HYPERLINK("[OpenSolver Tester.xlsm]Test15d!A1", "Test15d")</f>
        <v>Test15d</v>
      </c>
      <c r="B37" s="60" t="s">
        <v>409</v>
      </c>
    </row>
    <row r="38" spans="1:2">
      <c r="A38" s="172" t="str">
        <f>HYPERLINK("[OpenSolver Tester.xlsm]Test16!A1", "Test16")</f>
        <v>Test16</v>
      </c>
      <c r="B38" s="60" t="s">
        <v>409</v>
      </c>
    </row>
    <row r="39" spans="1:2">
      <c r="A39" s="172" t="str">
        <f>HYPERLINK("[OpenSolver Tester.xlsm]Test16b!A1", "Test16b")</f>
        <v>Test16b</v>
      </c>
      <c r="B39" s="60" t="s">
        <v>409</v>
      </c>
    </row>
    <row r="40" spans="1:2">
      <c r="A40" s="172" t="str">
        <f>HYPERLINK("[OpenSolver Tester.xlsm]Test17!A1", "Test17")</f>
        <v>Test17</v>
      </c>
      <c r="B40" s="60" t="s">
        <v>409</v>
      </c>
    </row>
    <row r="41" spans="1:2">
      <c r="A41" s="172" t="str">
        <f>HYPERLINK("[OpenSolver Tester.xlsm]Test18!A1", "Test18")</f>
        <v>Test18</v>
      </c>
      <c r="B41" s="60" t="s">
        <v>409</v>
      </c>
    </row>
    <row r="42" spans="1:2">
      <c r="A42" s="172" t="str">
        <f>HYPERLINK("[OpenSolver Tester.xlsm]Test19!A1", "Test19")</f>
        <v>Test19</v>
      </c>
      <c r="B42" s="60" t="s">
        <v>409</v>
      </c>
    </row>
    <row r="43" spans="1:2">
      <c r="A43" s="172" t="str">
        <f>HYPERLINK("[OpenSolver Tester.xlsm]Test20!A1", "Test20")</f>
        <v>Test20</v>
      </c>
      <c r="B43" s="60" t="s">
        <v>409</v>
      </c>
    </row>
    <row r="44" spans="1:2">
      <c r="A44" s="172" t="str">
        <f>HYPERLINK("[OpenSolver Tester.xlsm]Test21!A1", "Test21")</f>
        <v>Test21</v>
      </c>
      <c r="B44" s="60" t="s">
        <v>409</v>
      </c>
    </row>
    <row r="45" spans="1:2">
      <c r="A45" s="172" t="str">
        <f>HYPERLINK("[OpenSolver Tester.xlsm]Test22!A1", "Test22")</f>
        <v>Test22</v>
      </c>
      <c r="B45" s="60" t="s">
        <v>409</v>
      </c>
    </row>
    <row r="46" spans="1:2">
      <c r="A46" s="172" t="str">
        <f>HYPERLINK("[OpenSolver Tester.xlsm]Test23!A1", "Test23")</f>
        <v>Test23</v>
      </c>
      <c r="B46" s="60" t="s">
        <v>409</v>
      </c>
    </row>
    <row r="47" spans="1:2">
      <c r="A47" s="172" t="str">
        <f>HYPERLINK("[OpenSolver Tester.xlsm]Test24_IterativeCalc!A1", "Test24_IterativeCalc")</f>
        <v>Test24_IterativeCalc</v>
      </c>
      <c r="B47" s="60" t="s">
        <v>409</v>
      </c>
    </row>
    <row r="48" spans="1:2">
      <c r="A48" s="172" t="str">
        <f>HYPERLINK("[OpenSolver Tester.xlsm]Test25!A1", "Test25")</f>
        <v>Test25</v>
      </c>
      <c r="B48" s="60" t="s">
        <v>409</v>
      </c>
    </row>
    <row r="49" spans="1:2">
      <c r="A49" s="172" t="str">
        <f>HYPERLINK("[OpenSolver Tester.xlsm]Test26!A1", "Test26")</f>
        <v>Test26</v>
      </c>
      <c r="B49" s="60" t="s">
        <v>409</v>
      </c>
    </row>
    <row r="50" spans="1:2">
      <c r="A50" s="172" t="str">
        <f>HYPERLINK("[OpenSolver Tester.xlsm]Test27_Parameters!A1", "Test27_Parameters")</f>
        <v>Test27_Parameters</v>
      </c>
      <c r="B50" s="60" t="s">
        <v>409</v>
      </c>
    </row>
    <row r="51" spans="1:2">
      <c r="A51" s="172" t="str">
        <f>HYPERLINK("[OpenSolver Tester.xlsm]Test28_CBCOptions!A1", "Test28_CBCOptions")</f>
        <v>Test28_CBCOptions</v>
      </c>
      <c r="B51" s="60" t="s">
        <v>409</v>
      </c>
    </row>
    <row r="52" spans="1:2">
      <c r="A52" s="172" t="str">
        <f>HYPERLINK("[OpenSolver Tester.xlsm]Test29!A1", "Test29")</f>
        <v>Test29</v>
      </c>
      <c r="B52" s="60" t="s">
        <v>409</v>
      </c>
    </row>
    <row r="53" spans="1:2">
      <c r="A53" s="172" t="str">
        <f>HYPERLINK("[OpenSolver Tester.xlsm]Test30!A1", "Test30")</f>
        <v>Test30</v>
      </c>
      <c r="B53" s="60" t="s">
        <v>409</v>
      </c>
    </row>
    <row r="54" spans="1:2">
      <c r="A54" s="172" t="str">
        <f>HYPERLINK("[OpenSolver Tester.xlsm]Test31!A1", "Test31")</f>
        <v>Test31</v>
      </c>
      <c r="B54" s="60" t="s">
        <v>409</v>
      </c>
    </row>
    <row r="55" spans="1:2">
      <c r="A55" s="172" t="str">
        <f>HYPERLINK("[OpenSolver Tester.xlsm]Test32!A1", "Test32")</f>
        <v>Test32</v>
      </c>
      <c r="B55" s="60" t="s">
        <v>409</v>
      </c>
    </row>
    <row r="56" spans="1:2">
      <c r="A56" s="172" t="str">
        <f>HYPERLINK("[OpenSolver Tester.xlsm]Test33!A1", "Test33")</f>
        <v>Test33</v>
      </c>
      <c r="B56" s="60" t="s">
        <v>409</v>
      </c>
    </row>
    <row r="57" spans="1:2">
      <c r="A57" s="172" t="str">
        <f>HYPERLINK("[OpenSolver Tester.xlsm]Test34!A1", "Test34")</f>
        <v>Test34</v>
      </c>
      <c r="B57" s="60" t="s">
        <v>409</v>
      </c>
    </row>
    <row r="58" spans="1:2">
      <c r="A58" s="172" t="str">
        <f>HYPERLINK("[OpenSolver Tester.xlsm]Test35!A1", "Test35")</f>
        <v>Test35</v>
      </c>
      <c r="B58" s="60" t="s">
        <v>409</v>
      </c>
    </row>
    <row r="59" spans="1:2">
      <c r="A59" s="172" t="str">
        <f>HYPERLINK("[OpenSolver Tester.xlsm]Test36!A1", "Test36")</f>
        <v>Test36</v>
      </c>
      <c r="B59" s="60" t="s">
        <v>409</v>
      </c>
    </row>
    <row r="60" spans="1:2">
      <c r="A60" s="172" t="str">
        <f>HYPERLINK("[OpenSolver Tester.xlsm]Test37!A1", "Test37")</f>
        <v>Test37</v>
      </c>
      <c r="B60" s="60" t="s">
        <v>409</v>
      </c>
    </row>
    <row r="61" spans="1:2">
      <c r="A61" s="172" t="str">
        <f>HYPERLINK("[OpenSolver Tester.xlsm]Test38!A1", "Test38")</f>
        <v>Test38</v>
      </c>
      <c r="B61" s="60" t="s">
        <v>409</v>
      </c>
    </row>
    <row r="62" spans="1:2">
      <c r="A62" s="172" t="str">
        <f>HYPERLINK("[OpenSolver Tester.xlsm]Test39_SensNames!A1", "Test39_SensNames")</f>
        <v>Test39_SensNames</v>
      </c>
      <c r="B62" s="60" t="s">
        <v>409</v>
      </c>
    </row>
    <row r="63" spans="1:2">
      <c r="A63" s="172" t="str">
        <f>HYPERLINK("[OpenSolver Tester.xlsm]Test40!A1", "Test40")</f>
        <v>Test40</v>
      </c>
      <c r="B63" s="60" t="s">
        <v>409</v>
      </c>
    </row>
    <row r="64" spans="1:2">
      <c r="A64" s="172" t="str">
        <f>HYPERLINK("[OpenSolver Tester.xlsm]Test41!A1", "Test41")</f>
        <v>Test41</v>
      </c>
      <c r="B64" s="60" t="s">
        <v>409</v>
      </c>
    </row>
    <row r="65" spans="1:2">
      <c r="A65" s="172" t="str">
        <f>HYPERLINK("[OpenSolver Tester.xlsm]Test42!A1", "Test42")</f>
        <v>Test42</v>
      </c>
      <c r="B65" s="60" t="s">
        <v>409</v>
      </c>
    </row>
    <row r="66" spans="1:2">
      <c r="A66" s="172" t="str">
        <f>HYPERLINK("[OpenSolver Tester.xlsm]Test43!A1", "Test43")</f>
        <v>Test43</v>
      </c>
      <c r="B66" s="60" t="s">
        <v>409</v>
      </c>
    </row>
    <row r="67" spans="1:2">
      <c r="A67" s="172" t="str">
        <f>HYPERLINK("[OpenSolver Tester.xlsm]Test44_Seek!A1", "Test44_Seek")</f>
        <v>Test44_Seek</v>
      </c>
      <c r="B67" s="60" t="s">
        <v>409</v>
      </c>
    </row>
    <row r="68" spans="1:2">
      <c r="A68" s="172" t="str">
        <f>HYPERLINK("[OpenSolver Tester.xlsm]Test45_SheetName(1)+2-1!A1", "Test45_SheetName(1)+2-1")</f>
        <v>Test45_SheetName(1)+2-1</v>
      </c>
      <c r="B68" s="60" t="s">
        <v>409</v>
      </c>
    </row>
    <row r="69" spans="1:2">
      <c r="A69" s="172" t="str">
        <f>HYPERLINK("[OpenSolver Tester.xlsm]Test46_NonLinBinary!A1", "Test46_NonLinBinary")</f>
        <v>Test46_NonLinBinary</v>
      </c>
      <c r="B69" s="60" t="s">
        <v>409</v>
      </c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203200</xdr:rowOff>
                  </from>
                  <to>
                    <xdr:col>1</xdr:col>
                    <xdr:colOff>444500</xdr:colOff>
                    <xdr:row>0</xdr:row>
                    <xdr:rowOff>635000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139700</xdr:colOff>
                    <xdr:row>0</xdr:row>
                    <xdr:rowOff>203200</xdr:rowOff>
                  </from>
                  <to>
                    <xdr:col>8</xdr:col>
                    <xdr:colOff>457200</xdr:colOff>
                    <xdr:row>0</xdr:row>
                    <xdr:rowOff>635000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254000</xdr:colOff>
                    <xdr:row>0</xdr:row>
                    <xdr:rowOff>190500</xdr:rowOff>
                  </from>
                  <to>
                    <xdr:col>11</xdr:col>
                    <xdr:colOff>558800</xdr:colOff>
                    <xdr:row>0</xdr:row>
                    <xdr:rowOff>635000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21"/>
  <sheetViews>
    <sheetView workbookViewId="0">
      <selection activeCell="H14" sqref="H14"/>
    </sheetView>
  </sheetViews>
  <sheetFormatPr baseColWidth="10" defaultColWidth="8.83203125" defaultRowHeight="14" x14ac:dyDescent="0"/>
  <cols>
    <col min="1" max="1" width="15" style="61" bestFit="1" customWidth="1"/>
    <col min="2" max="2" width="3.3320312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D1" s="18" t="s">
        <v>31</v>
      </c>
    </row>
    <row r="2" spans="1:10" ht="15" thickBot="1">
      <c r="A2" s="64" t="s">
        <v>205</v>
      </c>
    </row>
    <row r="3" spans="1:10">
      <c r="A3" s="63" t="s">
        <v>209</v>
      </c>
      <c r="D3" s="1" t="s">
        <v>1</v>
      </c>
      <c r="E3" s="1" t="s">
        <v>2</v>
      </c>
      <c r="F3" s="1" t="s">
        <v>3</v>
      </c>
    </row>
    <row r="4" spans="1:10" ht="15" thickBot="1">
      <c r="A4" s="64" t="s">
        <v>207</v>
      </c>
      <c r="D4" s="164">
        <v>0</v>
      </c>
      <c r="E4" s="164">
        <v>5.2941175999999999</v>
      </c>
      <c r="F4" s="164">
        <v>0</v>
      </c>
      <c r="H4"/>
      <c r="I4"/>
      <c r="J4"/>
    </row>
    <row r="5" spans="1:10">
      <c r="A5" s="63" t="s">
        <v>210</v>
      </c>
    </row>
    <row r="6" spans="1:10" ht="15" thickBot="1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>
      <c r="A7" s="63" t="s">
        <v>211</v>
      </c>
    </row>
    <row r="8" spans="1:10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" thickBot="1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>
      <c r="I12" s="38"/>
    </row>
    <row r="13" spans="1:10">
      <c r="I13" s="38"/>
    </row>
    <row r="15" spans="1:10">
      <c r="C15" s="17" t="s">
        <v>15</v>
      </c>
    </row>
    <row r="16" spans="1:10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J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3.3320312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D1" s="18" t="s">
        <v>84</v>
      </c>
    </row>
    <row r="2" spans="1:10" ht="15" thickBot="1">
      <c r="A2" s="64" t="s">
        <v>205</v>
      </c>
    </row>
    <row r="3" spans="1:10">
      <c r="A3" s="63" t="s">
        <v>209</v>
      </c>
      <c r="D3" s="1" t="s">
        <v>1</v>
      </c>
      <c r="E3" s="1" t="s">
        <v>2</v>
      </c>
      <c r="F3" s="1" t="s">
        <v>3</v>
      </c>
    </row>
    <row r="4" spans="1:10" ht="15" thickBot="1">
      <c r="A4" s="64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0">
      <c r="A5" s="63" t="s">
        <v>210</v>
      </c>
    </row>
    <row r="6" spans="1:10" ht="15" thickBot="1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>
      <c r="A7" s="63" t="s">
        <v>211</v>
      </c>
    </row>
    <row r="8" spans="1:10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" thickBot="1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0">
      <c r="C15" s="17" t="s">
        <v>15</v>
      </c>
    </row>
    <row r="16" spans="1:10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L21"/>
  <sheetViews>
    <sheetView workbookViewId="0">
      <selection activeCell="L17" sqref="L17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>
      <c r="A1" s="63" t="s">
        <v>204</v>
      </c>
      <c r="D1" s="18" t="s">
        <v>212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>
      <c r="A7" s="63" t="s">
        <v>211</v>
      </c>
    </row>
    <row r="8" spans="1:12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" thickBot="1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L10" t="s">
        <v>90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L21"/>
  <sheetViews>
    <sheetView workbookViewId="0">
      <selection activeCell="S18" sqref="S18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>
      <c r="A1" s="63" t="s">
        <v>204</v>
      </c>
      <c r="D1" s="18" t="s">
        <v>213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>
      <c r="A7" s="63" t="s">
        <v>211</v>
      </c>
    </row>
    <row r="8" spans="1:12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" thickBot="1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L21"/>
  <sheetViews>
    <sheetView workbookViewId="0">
      <selection activeCell="J18" sqref="J18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>
      <c r="A1" s="63" t="s">
        <v>204</v>
      </c>
      <c r="D1" s="18" t="s">
        <v>93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>
      <c r="A7" s="63" t="s">
        <v>211</v>
      </c>
    </row>
    <row r="8" spans="1:12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L21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95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>
      <c r="A7" s="63" t="s">
        <v>211</v>
      </c>
    </row>
    <row r="8" spans="1:12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L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105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>
      <c r="A7" s="63" t="s">
        <v>211</v>
      </c>
    </row>
    <row r="8" spans="1:12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L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97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>
      <c r="A7" s="63" t="s">
        <v>211</v>
      </c>
    </row>
    <row r="8" spans="1:12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L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97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>
      <c r="A7" s="63" t="s">
        <v>211</v>
      </c>
    </row>
    <row r="8" spans="1:12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L22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100</v>
      </c>
    </row>
    <row r="2" spans="1:12" ht="15" thickBot="1">
      <c r="A2" s="64" t="s">
        <v>205</v>
      </c>
      <c r="D2" s="18" t="s">
        <v>102</v>
      </c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  <c r="F4" s="1" t="s">
        <v>3</v>
      </c>
    </row>
    <row r="5" spans="1:12">
      <c r="A5" s="63" t="s">
        <v>210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" thickBot="1">
      <c r="A6" s="64" t="b"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>
      <c r="A8" s="65" t="s">
        <v>200</v>
      </c>
    </row>
    <row r="9" spans="1:12" ht="15" thickBot="1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L22"/>
  <sheetViews>
    <sheetView workbookViewId="0">
      <selection activeCell="P28" sqref="P28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101</v>
      </c>
    </row>
    <row r="2" spans="1:12" ht="15" thickBot="1">
      <c r="A2" s="64" t="s">
        <v>205</v>
      </c>
      <c r="D2" s="18" t="s">
        <v>111</v>
      </c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</row>
    <row r="5" spans="1:12">
      <c r="A5" s="63" t="s">
        <v>210</v>
      </c>
      <c r="D5" s="150">
        <v>0</v>
      </c>
      <c r="E5" s="179">
        <v>5.2941175999999999</v>
      </c>
      <c r="F5" s="179"/>
      <c r="H5"/>
      <c r="I5"/>
      <c r="J5"/>
      <c r="L5" t="s">
        <v>109</v>
      </c>
    </row>
    <row r="6" spans="1:12" ht="15" thickBot="1">
      <c r="A6" s="64" t="b">
        <f>AND(D18,E18,F18,D22)</f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>
      <c r="A8" s="65" t="s">
        <v>201</v>
      </c>
    </row>
    <row r="9" spans="1:12" ht="15" thickBot="1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">
        <v>150</v>
      </c>
    </row>
    <row r="11" spans="1:12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L22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101</v>
      </c>
    </row>
    <row r="2" spans="1:12" ht="15" thickBot="1">
      <c r="A2" s="64" t="s">
        <v>205</v>
      </c>
      <c r="D2" s="18" t="s">
        <v>102</v>
      </c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</row>
    <row r="5" spans="1:12">
      <c r="A5" s="63" t="s">
        <v>210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" thickBot="1">
      <c r="A6" s="64" t="b"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>
      <c r="A8" s="65" t="s">
        <v>200</v>
      </c>
    </row>
    <row r="9" spans="1:12" ht="15" thickBot="1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1:L22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107</v>
      </c>
    </row>
    <row r="2" spans="1:12" ht="15" thickBot="1">
      <c r="A2" s="64" t="s">
        <v>205</v>
      </c>
      <c r="D2" s="18"/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</row>
    <row r="5" spans="1:12">
      <c r="A5" s="63" t="s">
        <v>210</v>
      </c>
      <c r="D5" s="150">
        <v>0</v>
      </c>
      <c r="E5" s="1">
        <v>5.2941175999999999</v>
      </c>
      <c r="H5"/>
      <c r="I5"/>
      <c r="J5"/>
    </row>
    <row r="6" spans="1:12" ht="15" thickBot="1">
      <c r="A6" s="64" t="b">
        <f>AND(D18,E18,F18,D22)</f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>
      <c r="A8" s="65" t="s">
        <v>201</v>
      </c>
    </row>
    <row r="9" spans="1:12" ht="15" thickBot="1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79">
        <v>150</v>
      </c>
      <c r="K10" s="179"/>
      <c r="L10" t="s">
        <v>106</v>
      </c>
    </row>
    <row r="11" spans="1:12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1:L22"/>
  <sheetViews>
    <sheetView workbookViewId="0">
      <selection activeCell="M15" sqref="M15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2" max="12" width="13.6640625" bestFit="1" customWidth="1"/>
    <col min="14" max="14" width="7.6640625" customWidth="1"/>
  </cols>
  <sheetData>
    <row r="1" spans="1:12">
      <c r="A1" s="63" t="s">
        <v>204</v>
      </c>
      <c r="D1" s="18" t="s">
        <v>108</v>
      </c>
    </row>
    <row r="2" spans="1:12" ht="15" thickBot="1">
      <c r="A2" s="64" t="s">
        <v>205</v>
      </c>
      <c r="D2" s="18"/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</row>
    <row r="5" spans="1:12">
      <c r="A5" s="63" t="s">
        <v>210</v>
      </c>
      <c r="D5" s="150">
        <v>0</v>
      </c>
      <c r="E5" s="1">
        <v>5.2941175999999999</v>
      </c>
      <c r="H5"/>
      <c r="I5"/>
      <c r="J5"/>
    </row>
    <row r="6" spans="1:12" ht="15" thickBot="1">
      <c r="A6" s="64" t="b">
        <f>AND(D18,E18,F18,D22)</f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>
      <c r="A8" s="65" t="s">
        <v>201</v>
      </c>
    </row>
    <row r="9" spans="1:12" ht="15" thickBot="1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116.4705872</v>
      </c>
      <c r="H10" s="179"/>
      <c r="I10" s="1" t="s">
        <v>8</v>
      </c>
      <c r="J10" s="1">
        <v>200</v>
      </c>
      <c r="K10" s="1"/>
      <c r="L10" t="s">
        <v>376</v>
      </c>
    </row>
    <row r="11" spans="1:12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L22"/>
  <sheetViews>
    <sheetView workbookViewId="0">
      <selection activeCell="L17" sqref="L17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2" max="12" width="13.6640625" bestFit="1" customWidth="1"/>
    <col min="14" max="14" width="7.6640625" customWidth="1"/>
  </cols>
  <sheetData>
    <row r="1" spans="1:12">
      <c r="A1" s="63" t="s">
        <v>204</v>
      </c>
      <c r="D1" s="18" t="s">
        <v>108</v>
      </c>
    </row>
    <row r="2" spans="1:12" ht="15" thickBot="1">
      <c r="A2" s="64" t="s">
        <v>205</v>
      </c>
      <c r="D2" s="18" t="s">
        <v>184</v>
      </c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</row>
    <row r="5" spans="1:12">
      <c r="A5" s="63" t="s">
        <v>210</v>
      </c>
      <c r="D5" s="1">
        <v>0</v>
      </c>
      <c r="E5" s="1">
        <v>0</v>
      </c>
      <c r="H5"/>
      <c r="I5"/>
      <c r="J5"/>
    </row>
    <row r="6" spans="1:12" ht="15" thickBot="1">
      <c r="A6" s="64" t="b"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>
      <c r="A8" s="65" t="s">
        <v>27</v>
      </c>
    </row>
    <row r="9" spans="1:12" ht="15" thickBot="1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21"/>
  <sheetViews>
    <sheetView workbookViewId="0">
      <selection activeCell="N8" sqref="N8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10.1640625" style="1" customWidth="1"/>
    <col min="5" max="6" width="5.1640625" style="1" customWidth="1"/>
    <col min="7" max="7" width="8.5" style="1" customWidth="1"/>
    <col min="8" max="8" width="3.1640625" style="1" customWidth="1"/>
    <col min="9" max="9" width="8.5" style="1" customWidth="1"/>
    <col min="10" max="10" width="3" style="1" bestFit="1" customWidth="1"/>
    <col min="11" max="11" width="17.83203125" style="1" customWidth="1"/>
    <col min="15" max="15" width="7.6640625" customWidth="1"/>
  </cols>
  <sheetData>
    <row r="1" spans="1:11">
      <c r="A1" s="63" t="s">
        <v>204</v>
      </c>
      <c r="D1" s="18" t="s">
        <v>25</v>
      </c>
    </row>
    <row r="2" spans="1:11" ht="15" thickBot="1">
      <c r="A2" s="64" t="s">
        <v>205</v>
      </c>
    </row>
    <row r="3" spans="1:11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" thickBot="1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>
      <c r="A5" s="63" t="s">
        <v>210</v>
      </c>
    </row>
    <row r="6" spans="1:11" ht="15" thickBot="1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>
      <c r="A7" s="63" t="s">
        <v>211</v>
      </c>
    </row>
    <row r="8" spans="1:11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" thickBot="1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" thickBot="1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>
      <c r="C15" s="17" t="s">
        <v>15</v>
      </c>
    </row>
    <row r="16" spans="1:11">
      <c r="D16" s="1">
        <v>0</v>
      </c>
      <c r="E16" s="1">
        <v>1</v>
      </c>
      <c r="F16" s="1">
        <v>1</v>
      </c>
      <c r="G16" s="1">
        <v>0</v>
      </c>
    </row>
    <row r="17" spans="3:7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>
      <c r="C19" t="s">
        <v>16</v>
      </c>
    </row>
    <row r="20" spans="3:7">
      <c r="D20" s="1">
        <v>10.123000000000001</v>
      </c>
    </row>
    <row r="21" spans="3:7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W38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9.5" style="1" customWidth="1"/>
    <col min="5" max="5" width="5.1640625" style="1" customWidth="1"/>
    <col min="6" max="6" width="7.5" style="1" customWidth="1"/>
    <col min="7" max="7" width="10.5" style="1" customWidth="1"/>
    <col min="8" max="8" width="3.1640625" style="1" customWidth="1"/>
    <col min="9" max="9" width="6.83203125" style="1" customWidth="1"/>
    <col min="10" max="10" width="3" style="1" bestFit="1" customWidth="1"/>
    <col min="11" max="11" width="6" style="1" customWidth="1"/>
    <col min="13" max="13" width="3.1640625" bestFit="1" customWidth="1"/>
    <col min="14" max="14" width="7.6640625" customWidth="1"/>
    <col min="17" max="17" width="6.1640625" bestFit="1" customWidth="1"/>
    <col min="18" max="19" width="4" bestFit="1" customWidth="1"/>
    <col min="20" max="21" width="3" bestFit="1" customWidth="1"/>
  </cols>
  <sheetData>
    <row r="1" spans="1:23">
      <c r="A1" s="63" t="s">
        <v>204</v>
      </c>
      <c r="D1" s="18" t="s">
        <v>30</v>
      </c>
    </row>
    <row r="2" spans="1:23" ht="15" thickBot="1">
      <c r="A2" s="64" t="s">
        <v>205</v>
      </c>
      <c r="Q2" t="s">
        <v>21</v>
      </c>
    </row>
    <row r="3" spans="1:23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" thickBot="1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" thickBot="1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>
      <c r="A7" s="63" t="s">
        <v>211</v>
      </c>
      <c r="Q7" s="4">
        <v>44</v>
      </c>
      <c r="R7" s="5">
        <v>33</v>
      </c>
    </row>
    <row r="8" spans="1:23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" thickBot="1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" thickBot="1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>
      <c r="Q12">
        <v>6</v>
      </c>
      <c r="R12">
        <v>9.92</v>
      </c>
    </row>
    <row r="15" spans="1:23">
      <c r="C15" t="s">
        <v>15</v>
      </c>
      <c r="F15" s="1" t="b">
        <f>AND(D17:G17,O16:O17,V16:W17)</f>
        <v>1</v>
      </c>
    </row>
    <row r="16" spans="1:23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>
      <c r="A19" s="61"/>
      <c r="C19" t="s">
        <v>16</v>
      </c>
      <c r="L19"/>
      <c r="M19"/>
      <c r="N19"/>
      <c r="O19"/>
      <c r="P19"/>
      <c r="Q19"/>
      <c r="R19"/>
    </row>
    <row r="20" spans="1:23" s="1" customFormat="1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>
      <c r="K30" s="1">
        <v>194</v>
      </c>
      <c r="L30">
        <f>42*4+39*4+21*4</f>
        <v>408</v>
      </c>
    </row>
    <row r="31" spans="1:23">
      <c r="K31" s="1">
        <v>183</v>
      </c>
    </row>
    <row r="32" spans="1:23">
      <c r="K32" s="1">
        <v>96</v>
      </c>
    </row>
    <row r="33" spans="11:14">
      <c r="K33" s="1">
        <f>SUM(K30:K32)</f>
        <v>473</v>
      </c>
      <c r="L33" s="1">
        <f>L30</f>
        <v>408</v>
      </c>
    </row>
    <row r="34" spans="11:14">
      <c r="K34" s="1">
        <f>K33*0.95</f>
        <v>449.34999999999997</v>
      </c>
      <c r="L34" s="1">
        <f>L33*0.95</f>
        <v>387.59999999999997</v>
      </c>
    </row>
    <row r="35" spans="11:14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>
      <c r="K36" s="1">
        <f>K35/5</f>
        <v>62.908999999999992</v>
      </c>
      <c r="L36">
        <f>L35/4</f>
        <v>67.829999999999984</v>
      </c>
      <c r="N36" s="29">
        <v>40697</v>
      </c>
    </row>
    <row r="37" spans="11:14">
      <c r="N37">
        <f>N36-N35</f>
        <v>49</v>
      </c>
    </row>
    <row r="38" spans="11:14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W22"/>
  <sheetViews>
    <sheetView workbookViewId="0">
      <selection activeCell="J22" sqref="J22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7" width="5.1640625" style="1" customWidth="1"/>
    <col min="8" max="8" width="3.1640625" style="1" customWidth="1"/>
    <col min="9" max="9" width="23.83203125" style="16" customWidth="1"/>
    <col min="10" max="10" width="3" style="1" bestFit="1" customWidth="1"/>
    <col min="11" max="11" width="6" style="1" customWidth="1"/>
    <col min="13" max="13" width="3.1640625" bestFit="1" customWidth="1"/>
    <col min="14" max="14" width="7.6640625" customWidth="1"/>
    <col min="17" max="17" width="6.1640625" bestFit="1" customWidth="1"/>
    <col min="18" max="19" width="4" bestFit="1" customWidth="1"/>
    <col min="20" max="21" width="3" bestFit="1" customWidth="1"/>
  </cols>
  <sheetData>
    <row r="1" spans="1:21">
      <c r="A1" s="63" t="s">
        <v>204</v>
      </c>
      <c r="C1" t="s">
        <v>23</v>
      </c>
    </row>
    <row r="2" spans="1:21" ht="15" thickBot="1">
      <c r="A2" s="64" t="s">
        <v>205</v>
      </c>
      <c r="C2" t="s">
        <v>24</v>
      </c>
      <c r="Q2" t="s">
        <v>21</v>
      </c>
    </row>
    <row r="3" spans="1:21">
      <c r="A3" s="63" t="s">
        <v>209</v>
      </c>
    </row>
    <row r="4" spans="1:21" ht="15" thickBot="1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8.3970687999999996</v>
      </c>
      <c r="Q4" s="162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>
      <c r="A5" s="63" t="s">
        <v>210</v>
      </c>
      <c r="D5" s="150">
        <v>0</v>
      </c>
      <c r="E5" s="1">
        <v>1</v>
      </c>
      <c r="F5" s="1">
        <v>1</v>
      </c>
      <c r="G5" s="1">
        <v>0.29565216999999999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" thickBot="1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721.43095268000002</v>
      </c>
      <c r="Q7" s="13" t="s">
        <v>9</v>
      </c>
      <c r="R7" s="14" t="s">
        <v>9</v>
      </c>
    </row>
    <row r="8" spans="1:21">
      <c r="A8" s="65" t="s">
        <v>201</v>
      </c>
      <c r="Q8" s="4">
        <v>44</v>
      </c>
      <c r="R8" s="5">
        <v>33</v>
      </c>
    </row>
    <row r="9" spans="1:21" ht="15" thickBot="1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14.54782604</v>
      </c>
      <c r="J9" s="1" t="s">
        <v>8</v>
      </c>
      <c r="K9" s="1">
        <f>61.2345678+2.3*N4-S5</f>
        <v>14.54782603999999</v>
      </c>
    </row>
    <row r="10" spans="1:21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28.79999991</v>
      </c>
      <c r="J10" s="1" t="s">
        <v>8</v>
      </c>
      <c r="K10" s="1">
        <v>150</v>
      </c>
    </row>
    <row r="11" spans="1:21">
      <c r="E11" s="1">
        <v>22</v>
      </c>
      <c r="F11" s="1">
        <v>100</v>
      </c>
      <c r="G11" s="1">
        <v>-23</v>
      </c>
      <c r="I11" s="16">
        <f>SUMPRODUCT($D$5:$G$5,D11:G11)</f>
        <v>115.20000009</v>
      </c>
      <c r="J11" s="1" t="s">
        <v>9</v>
      </c>
      <c r="K11" s="1">
        <v>110</v>
      </c>
      <c r="Q11" t="s">
        <v>22</v>
      </c>
    </row>
    <row r="12" spans="1:21">
      <c r="G12" s="1">
        <v>-32</v>
      </c>
      <c r="I12" s="16">
        <f>SUMPRODUCT($D$5:$G$5,D12:G12)</f>
        <v>-9.4608694399999997</v>
      </c>
      <c r="J12" s="1" t="s">
        <v>8</v>
      </c>
      <c r="K12" s="1">
        <v>180</v>
      </c>
      <c r="Q12">
        <v>3.3</v>
      </c>
      <c r="R12">
        <v>6.9</v>
      </c>
    </row>
    <row r="13" spans="1:21">
      <c r="Q13">
        <v>6</v>
      </c>
      <c r="R13">
        <v>9.92</v>
      </c>
    </row>
    <row r="14" spans="1:21">
      <c r="H14" s="19" t="s">
        <v>26</v>
      </c>
      <c r="I14" s="16">
        <f>I11/4+B3</f>
        <v>28.800000022500001</v>
      </c>
    </row>
    <row r="16" spans="1:21">
      <c r="C16" t="s">
        <v>15</v>
      </c>
      <c r="F16" s="1" t="b">
        <f>AND(D18:G18,O17:O18,V17:W18)</f>
        <v>1</v>
      </c>
    </row>
    <row r="17" spans="1:23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W22"/>
  <sheetViews>
    <sheetView workbookViewId="0">
      <selection activeCell="P24" sqref="P24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7" width="5.1640625" style="1" customWidth="1"/>
    <col min="8" max="8" width="3.1640625" style="1" customWidth="1"/>
    <col min="9" max="9" width="17.5" style="16" customWidth="1"/>
    <col min="10" max="10" width="3" style="1" bestFit="1" customWidth="1"/>
    <col min="11" max="11" width="16.5" style="1" customWidth="1"/>
    <col min="13" max="13" width="3.1640625" bestFit="1" customWidth="1"/>
    <col min="14" max="14" width="7.6640625" customWidth="1"/>
    <col min="17" max="17" width="6.1640625" bestFit="1" customWidth="1"/>
    <col min="18" max="19" width="4" bestFit="1" customWidth="1"/>
    <col min="20" max="21" width="3" bestFit="1" customWidth="1"/>
  </cols>
  <sheetData>
    <row r="1" spans="1:21">
      <c r="A1" s="63" t="s">
        <v>204</v>
      </c>
      <c r="C1" t="s">
        <v>158</v>
      </c>
    </row>
    <row r="2" spans="1:21" ht="15" thickBot="1">
      <c r="A2" s="64" t="s">
        <v>205</v>
      </c>
      <c r="C2" t="s">
        <v>33</v>
      </c>
      <c r="Q2" t="s">
        <v>21</v>
      </c>
    </row>
    <row r="3" spans="1:21">
      <c r="A3" s="63" t="s">
        <v>209</v>
      </c>
    </row>
    <row r="4" spans="1:21" ht="15" thickBot="1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" thickBot="1">
      <c r="A6" s="64" t="b">
        <v>1</v>
      </c>
      <c r="Q6" s="9">
        <f>SUM(Q4:Q5)</f>
        <v>0</v>
      </c>
      <c r="R6" s="10">
        <f>SUM(R4:R5)</f>
        <v>0</v>
      </c>
    </row>
    <row r="7" spans="1:21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>
      <c r="A8" s="65" t="s">
        <v>27</v>
      </c>
      <c r="Q8" s="4">
        <v>44</v>
      </c>
      <c r="R8" s="5">
        <v>33</v>
      </c>
    </row>
    <row r="9" spans="1:21" ht="15" thickBot="1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>
      <c r="Q13">
        <v>6</v>
      </c>
      <c r="R13">
        <v>9.92</v>
      </c>
    </row>
    <row r="14" spans="1:21">
      <c r="I14" s="16">
        <v>22</v>
      </c>
    </row>
    <row r="15" spans="1:21">
      <c r="I15" s="16">
        <v>1</v>
      </c>
    </row>
    <row r="16" spans="1:21">
      <c r="C16" t="s">
        <v>15</v>
      </c>
      <c r="F16" s="1" t="b">
        <f>AND(D18:G18,O17:O18,V17:W18)</f>
        <v>0</v>
      </c>
    </row>
    <row r="17" spans="1:23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J22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C1" t="s">
        <v>32</v>
      </c>
    </row>
    <row r="2" spans="1:10" ht="15" thickBot="1">
      <c r="A2" s="64" t="s">
        <v>205</v>
      </c>
    </row>
    <row r="3" spans="1:10">
      <c r="A3" s="63" t="s">
        <v>209</v>
      </c>
    </row>
    <row r="4" spans="1:10" ht="15" thickBot="1">
      <c r="A4" s="64" t="s">
        <v>207</v>
      </c>
      <c r="D4" s="1" t="s">
        <v>1</v>
      </c>
      <c r="E4" s="1" t="s">
        <v>2</v>
      </c>
      <c r="F4" s="1" t="s">
        <v>3</v>
      </c>
    </row>
    <row r="5" spans="1:10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" thickBot="1">
      <c r="A6" s="64" t="b">
        <v>1</v>
      </c>
    </row>
    <row r="7" spans="1:10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>
      <c r="A8" s="65" t="s">
        <v>200</v>
      </c>
    </row>
    <row r="9" spans="1:10" ht="15" thickBot="1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>
      <c r="C16" s="17" t="s">
        <v>15</v>
      </c>
    </row>
    <row r="17" spans="1:6">
      <c r="D17" s="1">
        <v>0</v>
      </c>
      <c r="E17" s="1">
        <v>5.294117647058874</v>
      </c>
      <c r="F17" s="1">
        <v>0</v>
      </c>
    </row>
    <row r="18" spans="1:6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>
      <c r="A20" s="61"/>
      <c r="C20" s="17" t="s">
        <v>16</v>
      </c>
    </row>
    <row r="21" spans="1:6" s="1" customFormat="1">
      <c r="A21" s="61"/>
      <c r="C21"/>
      <c r="D21" s="1">
        <v>15.882352941176622</v>
      </c>
    </row>
    <row r="22" spans="1:6" s="1" customFormat="1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J21"/>
  <sheetViews>
    <sheetView workbookViewId="0">
      <selection activeCell="P30" sqref="P3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C1" t="s">
        <v>27</v>
      </c>
    </row>
    <row r="2" spans="1:10" ht="15" thickBot="1">
      <c r="A2" s="64" t="s">
        <v>205</v>
      </c>
    </row>
    <row r="3" spans="1:10">
      <c r="A3" s="63" t="s">
        <v>209</v>
      </c>
    </row>
    <row r="4" spans="1:10" ht="15" thickBot="1">
      <c r="A4" s="64" t="s">
        <v>207</v>
      </c>
      <c r="D4" s="1" t="s">
        <v>1</v>
      </c>
      <c r="E4" s="1" t="s">
        <v>2</v>
      </c>
      <c r="F4" s="1" t="s">
        <v>3</v>
      </c>
    </row>
    <row r="5" spans="1:10">
      <c r="A5" s="63" t="s">
        <v>210</v>
      </c>
      <c r="D5" s="1">
        <v>2</v>
      </c>
      <c r="E5" s="1">
        <v>7.1818182000000004</v>
      </c>
      <c r="F5" s="1">
        <v>0</v>
      </c>
      <c r="H5"/>
      <c r="I5"/>
      <c r="J5"/>
    </row>
    <row r="6" spans="1:10" ht="15" thickBot="1">
      <c r="A6" s="64" t="b">
        <v>1</v>
      </c>
    </row>
    <row r="7" spans="1:10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25.545454599999999</v>
      </c>
    </row>
    <row r="8" spans="1:10">
      <c r="A8" s="65" t="s">
        <v>27</v>
      </c>
    </row>
    <row r="9" spans="1:10" ht="15" thickBot="1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99.000000200000002</v>
      </c>
      <c r="I9" s="1" t="s">
        <v>8</v>
      </c>
      <c r="J9" s="1">
        <v>60</v>
      </c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200.0000004</v>
      </c>
      <c r="I10" s="1" t="s">
        <v>8</v>
      </c>
      <c r="J10" s="1">
        <v>150</v>
      </c>
    </row>
    <row r="11" spans="1:10">
      <c r="D11" s="1">
        <v>21</v>
      </c>
      <c r="E11" s="1">
        <v>22</v>
      </c>
      <c r="F11" s="1">
        <v>-23</v>
      </c>
      <c r="H11" s="1">
        <f>SUMPRODUCT($D$5:$F$5,D11:F11)</f>
        <v>200.0000004</v>
      </c>
      <c r="I11" s="1" t="s">
        <v>9</v>
      </c>
      <c r="J11" s="1">
        <v>200</v>
      </c>
    </row>
    <row r="12" spans="1:10">
      <c r="D12" s="1">
        <v>19</v>
      </c>
      <c r="E12" s="1">
        <v>34</v>
      </c>
      <c r="F12" s="1">
        <v>-32</v>
      </c>
      <c r="H12" s="1">
        <f>SUMPRODUCT($D$5:$F$5,D12:F12)</f>
        <v>282.18181879999997</v>
      </c>
      <c r="I12" s="1" t="s">
        <v>8</v>
      </c>
      <c r="J12" s="1">
        <v>180</v>
      </c>
    </row>
    <row r="16" spans="1:10">
      <c r="C16" s="17" t="s">
        <v>15</v>
      </c>
    </row>
    <row r="17" spans="1:4">
      <c r="C17" t="s">
        <v>28</v>
      </c>
    </row>
    <row r="19" spans="1:4" s="1" customFormat="1">
      <c r="A19" s="61"/>
      <c r="C19" s="17" t="s">
        <v>16</v>
      </c>
    </row>
    <row r="20" spans="1:4" s="1" customFormat="1">
      <c r="A20" s="61"/>
      <c r="C20" t="s">
        <v>28</v>
      </c>
    </row>
    <row r="21" spans="1:4" s="1" customFormat="1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J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16.832031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C1" t="s">
        <v>29</v>
      </c>
    </row>
    <row r="2" spans="1:10" ht="15" thickBot="1">
      <c r="A2" s="64" t="s">
        <v>205</v>
      </c>
    </row>
    <row r="3" spans="1:10">
      <c r="A3" s="63" t="s">
        <v>209</v>
      </c>
    </row>
    <row r="4" spans="1:10" ht="15" thickBot="1">
      <c r="A4" s="64" t="s">
        <v>207</v>
      </c>
      <c r="D4" s="1" t="s">
        <v>1</v>
      </c>
      <c r="E4" s="1" t="s">
        <v>2</v>
      </c>
      <c r="F4" s="1" t="s">
        <v>3</v>
      </c>
    </row>
    <row r="5" spans="1:10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" thickBot="1">
      <c r="A6" s="64" t="b">
        <v>1</v>
      </c>
    </row>
    <row r="7" spans="1:10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>
      <c r="A8" s="65" t="s">
        <v>200</v>
      </c>
    </row>
    <row r="9" spans="1:10" ht="15" thickBot="1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>
      <c r="C16" s="17" t="s">
        <v>15</v>
      </c>
    </row>
    <row r="17" spans="1:4">
      <c r="C17" t="s">
        <v>28</v>
      </c>
    </row>
    <row r="19" spans="1:4" s="1" customFormat="1">
      <c r="A19" s="61"/>
      <c r="C19" s="17" t="s">
        <v>16</v>
      </c>
    </row>
    <row r="20" spans="1:4" s="1" customFormat="1">
      <c r="A20" s="61"/>
      <c r="C20" t="s">
        <v>28</v>
      </c>
    </row>
    <row r="21" spans="1:4" s="1" customFormat="1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/>
  <dimension ref="A1:J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16.832031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C1" t="s">
        <v>183</v>
      </c>
    </row>
    <row r="2" spans="1:10" ht="15" thickBot="1">
      <c r="A2" s="64" t="s">
        <v>205</v>
      </c>
    </row>
    <row r="3" spans="1:10">
      <c r="A3" s="63" t="s">
        <v>209</v>
      </c>
    </row>
    <row r="4" spans="1:10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0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" thickBot="1">
      <c r="A6" s="64" t="b">
        <v>1</v>
      </c>
    </row>
    <row r="7" spans="1:10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>
      <c r="A8" s="65" t="s">
        <v>200</v>
      </c>
    </row>
    <row r="9" spans="1:10" ht="15" thickBot="1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" thickBot="1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>
      <c r="C16" s="17" t="s">
        <v>15</v>
      </c>
    </row>
    <row r="17" spans="1:4">
      <c r="C17" t="s">
        <v>28</v>
      </c>
    </row>
    <row r="19" spans="1:4" s="54" customFormat="1">
      <c r="A19" s="61"/>
      <c r="C19" s="17" t="s">
        <v>16</v>
      </c>
    </row>
    <row r="20" spans="1:4" s="54" customFormat="1">
      <c r="A20" s="61"/>
      <c r="C20" t="s">
        <v>28</v>
      </c>
    </row>
    <row r="21" spans="1:4" s="54" customFormat="1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N21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8" width="5.1640625" style="1" customWidth="1"/>
    <col min="9" max="9" width="3.1640625" style="1" customWidth="1"/>
    <col min="10" max="10" width="8.5" style="1" customWidth="1"/>
    <col min="11" max="11" width="3" style="1" bestFit="1" customWidth="1"/>
    <col min="12" max="12" width="6" style="1" customWidth="1"/>
    <col min="16" max="16" width="7.6640625" customWidth="1"/>
  </cols>
  <sheetData>
    <row r="1" spans="1:14">
      <c r="A1" s="63" t="s">
        <v>204</v>
      </c>
      <c r="D1" t="s">
        <v>159</v>
      </c>
    </row>
    <row r="2" spans="1:14" ht="15" thickBot="1">
      <c r="A2" s="64" t="s">
        <v>205</v>
      </c>
    </row>
    <row r="3" spans="1:14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" thickBot="1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>
      <c r="A5" s="63" t="s">
        <v>210</v>
      </c>
    </row>
    <row r="6" spans="1:14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>
      <c r="A7" s="63" t="s">
        <v>211</v>
      </c>
    </row>
    <row r="8" spans="1:14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" thickBot="1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>
      <c r="C15" s="17" t="s">
        <v>15</v>
      </c>
    </row>
    <row r="16" spans="1:14">
      <c r="D16" s="1" t="s">
        <v>28</v>
      </c>
    </row>
    <row r="17" spans="3:8">
      <c r="D17" s="8"/>
      <c r="E17" s="8"/>
      <c r="F17" s="8"/>
      <c r="G17" s="8"/>
      <c r="H17" s="8"/>
    </row>
    <row r="19" spans="3:8">
      <c r="C19" s="17" t="s">
        <v>16</v>
      </c>
    </row>
    <row r="20" spans="3:8">
      <c r="D20" s="1" t="s">
        <v>28</v>
      </c>
    </row>
    <row r="21" spans="3:8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21"/>
  <sheetViews>
    <sheetView workbookViewId="0">
      <selection activeCell="K47" sqref="K47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54" customWidth="1"/>
    <col min="5" max="8" width="5.1640625" style="54" customWidth="1"/>
    <col min="9" max="9" width="3.1640625" style="54" customWidth="1"/>
    <col min="10" max="10" width="8.5" style="54" customWidth="1"/>
    <col min="11" max="11" width="3" style="54" bestFit="1" customWidth="1"/>
    <col min="12" max="12" width="6" style="54" customWidth="1"/>
    <col min="16" max="16" width="7.6640625" customWidth="1"/>
  </cols>
  <sheetData>
    <row r="1" spans="1:14">
      <c r="A1" s="63" t="s">
        <v>204</v>
      </c>
      <c r="D1" t="s">
        <v>214</v>
      </c>
    </row>
    <row r="2" spans="1:14" ht="15" thickBot="1">
      <c r="A2" s="64" t="s">
        <v>205</v>
      </c>
    </row>
    <row r="3" spans="1:14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" thickBot="1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>
      <c r="A5" s="63" t="s">
        <v>210</v>
      </c>
    </row>
    <row r="6" spans="1:14" ht="15" thickBot="1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>
      <c r="A7" s="63" t="s">
        <v>211</v>
      </c>
    </row>
    <row r="8" spans="1:14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" thickBot="1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" thickBot="1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>
      <c r="C15" s="17" t="s">
        <v>15</v>
      </c>
    </row>
    <row r="16" spans="1:14">
      <c r="D16" s="54">
        <v>0</v>
      </c>
      <c r="E16" s="54">
        <v>0</v>
      </c>
      <c r="F16" s="54">
        <v>0</v>
      </c>
    </row>
    <row r="17" spans="3:8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>
      <c r="C19" s="17" t="s">
        <v>16</v>
      </c>
    </row>
    <row r="20" spans="3:8">
      <c r="D20" s="54">
        <v>20</v>
      </c>
    </row>
    <row r="21" spans="3:8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J21"/>
  <sheetViews>
    <sheetView workbookViewId="0">
      <selection activeCell="D21" sqref="D21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D1" s="18" t="s">
        <v>36</v>
      </c>
    </row>
    <row r="2" spans="1:10" ht="15" thickBot="1">
      <c r="A2" s="64" t="s">
        <v>205</v>
      </c>
    </row>
    <row r="3" spans="1:10">
      <c r="A3" s="63" t="s">
        <v>209</v>
      </c>
      <c r="D3" s="1" t="s">
        <v>1</v>
      </c>
      <c r="E3" s="1" t="s">
        <v>2</v>
      </c>
      <c r="F3" s="1" t="s">
        <v>3</v>
      </c>
    </row>
    <row r="4" spans="1:10" ht="15" thickBot="1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>
      <c r="A5" s="63" t="s">
        <v>210</v>
      </c>
    </row>
    <row r="6" spans="1:10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>
      <c r="A7" s="63" t="s">
        <v>211</v>
      </c>
    </row>
    <row r="8" spans="1:10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>
      <c r="C15" s="17" t="s">
        <v>15</v>
      </c>
    </row>
    <row r="16" spans="1:10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44"/>
  <sheetViews>
    <sheetView workbookViewId="0">
      <selection activeCell="E30" sqref="E30"/>
    </sheetView>
  </sheetViews>
  <sheetFormatPr baseColWidth="10" defaultColWidth="8.83203125" defaultRowHeight="14" x14ac:dyDescent="0"/>
  <cols>
    <col min="1" max="1" width="15" style="61" bestFit="1" customWidth="1"/>
    <col min="2" max="2" width="2.83203125" customWidth="1"/>
    <col min="3" max="3" width="26.1640625" customWidth="1"/>
  </cols>
  <sheetData>
    <row r="1" spans="1:15">
      <c r="A1" s="63" t="s">
        <v>204</v>
      </c>
      <c r="C1" t="s">
        <v>37</v>
      </c>
    </row>
    <row r="2" spans="1:15" ht="45" thickBot="1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" thickBot="1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>
      <c r="A5" s="63" t="s">
        <v>210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" thickBot="1">
      <c r="A6" s="64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" thickBot="1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hidden="1" thickBot="1">
      <c r="A10" s="173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>
      <c r="C33" s="21" t="s">
        <v>69</v>
      </c>
      <c r="D33" s="22">
        <v>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>
      <c r="C35" s="24" t="s">
        <v>70</v>
      </c>
      <c r="D35" s="152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>
      <c r="K36">
        <v>4.3499999999999996</v>
      </c>
    </row>
    <row r="37" spans="3:17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>
      <c r="E39">
        <f>SUMPRODUCT($D$3:$D$35,E3:E35)</f>
        <v>0</v>
      </c>
      <c r="F39">
        <f>SUMPRODUCT($D$3:$D$35,F3:F35)</f>
        <v>0</v>
      </c>
      <c r="G39">
        <f>SUMPRODUCT($D$3:$D$35,G3:G35)</f>
        <v>0</v>
      </c>
      <c r="H39">
        <f>SUMPRODUCT($D$3:$D$35,H3:H35)</f>
        <v>0</v>
      </c>
      <c r="I39">
        <f>SUMPRODUCT($D$3:$D$35,I3:I35)</f>
        <v>0</v>
      </c>
      <c r="N39" t="s">
        <v>78</v>
      </c>
      <c r="Q39" t="s">
        <v>79</v>
      </c>
    </row>
    <row r="40" spans="3:17">
      <c r="D40" s="16" t="s">
        <v>72</v>
      </c>
      <c r="E40">
        <v>1</v>
      </c>
      <c r="J40">
        <f>SUMPRODUCT(E40:H40,E39:H39)</f>
        <v>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>
      <c r="D41" s="16" t="s">
        <v>73</v>
      </c>
      <c r="E41">
        <v>1</v>
      </c>
      <c r="J41">
        <f>SUMPRODUCT(E41:H41,E39:H39)</f>
        <v>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>
      <c r="D42" s="16" t="s">
        <v>74</v>
      </c>
      <c r="E42">
        <v>-0.35</v>
      </c>
      <c r="F42">
        <v>9</v>
      </c>
      <c r="J42">
        <f>SUMPRODUCT(E42:H42,E39:H39)</f>
        <v>0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>
      <c r="D43" s="16" t="s">
        <v>75</v>
      </c>
      <c r="G43">
        <v>1</v>
      </c>
      <c r="J43">
        <f>SUMPRODUCT(E43:H43,E39:H39)</f>
        <v>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>
      <c r="D44" s="16" t="s">
        <v>76</v>
      </c>
      <c r="H44">
        <v>1</v>
      </c>
      <c r="J44">
        <f>SUMPRODUCT(E44:H44,E39:H39)</f>
        <v>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J20"/>
  <sheetViews>
    <sheetView workbookViewId="0">
      <selection activeCell="L16" sqref="L16"/>
    </sheetView>
  </sheetViews>
  <sheetFormatPr baseColWidth="10" defaultColWidth="8.83203125" defaultRowHeight="14" x14ac:dyDescent="0"/>
  <cols>
    <col min="1" max="1" width="15" style="61" bestFit="1" customWidth="1"/>
    <col min="2" max="2" width="3.5" style="66" customWidth="1"/>
  </cols>
  <sheetData>
    <row r="1" spans="1:10">
      <c r="A1" s="63" t="s">
        <v>204</v>
      </c>
      <c r="C1" t="s">
        <v>80</v>
      </c>
    </row>
    <row r="2" spans="1:10" ht="15" thickBot="1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>
      <c r="A3" s="63" t="s">
        <v>209</v>
      </c>
      <c r="D3" s="1">
        <v>0</v>
      </c>
      <c r="E3" s="1">
        <v>0</v>
      </c>
      <c r="F3" s="150">
        <v>0</v>
      </c>
      <c r="G3" s="1"/>
    </row>
    <row r="4" spans="1:10" ht="15" thickBot="1">
      <c r="A4" s="64" t="s">
        <v>208</v>
      </c>
      <c r="D4" s="1"/>
      <c r="E4" s="1"/>
      <c r="F4" s="1"/>
      <c r="G4" s="1"/>
      <c r="H4" s="1"/>
      <c r="I4" s="1"/>
      <c r="J4" s="1"/>
    </row>
    <row r="5" spans="1:10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0" ht="15" thickBot="1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0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0</v>
      </c>
      <c r="I8" s="1" t="s">
        <v>8</v>
      </c>
      <c r="J8" s="1">
        <v>150</v>
      </c>
    </row>
    <row r="9" spans="1:10" ht="15" thickBot="1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0" ht="15" thickBot="1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0">
      <c r="D11" s="1"/>
      <c r="E11" s="1"/>
      <c r="F11" s="1"/>
      <c r="G11" s="1"/>
      <c r="H11" s="1"/>
      <c r="I11" s="1"/>
      <c r="J11" s="1"/>
    </row>
    <row r="12" spans="1:10">
      <c r="D12" s="1"/>
      <c r="E12" s="1"/>
      <c r="F12" s="1"/>
      <c r="G12" s="1"/>
      <c r="H12" s="1"/>
      <c r="I12" s="1"/>
      <c r="J12" s="1"/>
    </row>
    <row r="13" spans="1:10">
      <c r="D13" s="1"/>
      <c r="E13" s="1"/>
      <c r="F13" s="1"/>
      <c r="G13" s="1"/>
      <c r="H13" s="1"/>
      <c r="I13" s="1"/>
      <c r="J13" s="1"/>
    </row>
    <row r="14" spans="1:10">
      <c r="C14" s="17" t="s">
        <v>15</v>
      </c>
      <c r="D14" s="1"/>
      <c r="E14" s="1"/>
      <c r="F14" s="1"/>
      <c r="G14" s="1"/>
      <c r="H14" s="1"/>
      <c r="I14" s="1"/>
      <c r="J14" s="1"/>
    </row>
    <row r="15" spans="1:10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>
      <c r="D17" s="1"/>
      <c r="E17" s="1"/>
      <c r="F17" s="1"/>
      <c r="G17" s="1"/>
      <c r="H17" s="1"/>
      <c r="I17" s="1"/>
      <c r="J17" s="1"/>
    </row>
    <row r="18" spans="3:10">
      <c r="C18" s="17" t="s">
        <v>16</v>
      </c>
      <c r="D18" s="1"/>
      <c r="E18" s="1"/>
      <c r="F18" s="1"/>
      <c r="G18" s="1"/>
      <c r="H18" s="1"/>
      <c r="I18" s="1"/>
      <c r="J18" s="1"/>
    </row>
    <row r="19" spans="3:10">
      <c r="D19" s="1">
        <v>252.24913406744494</v>
      </c>
      <c r="E19" s="1"/>
      <c r="F19" s="1"/>
      <c r="G19" s="1"/>
      <c r="H19" s="1"/>
      <c r="I19" s="1"/>
      <c r="J19" s="1"/>
    </row>
    <row r="20" spans="3:10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L20"/>
  <sheetViews>
    <sheetView workbookViewId="0">
      <selection activeCell="H19" sqref="H19"/>
    </sheetView>
  </sheetViews>
  <sheetFormatPr baseColWidth="10" defaultColWidth="8.83203125" defaultRowHeight="14" x14ac:dyDescent="0"/>
  <cols>
    <col min="1" max="1" width="15" style="61" bestFit="1" customWidth="1"/>
    <col min="2" max="2" width="2.83203125" customWidth="1"/>
  </cols>
  <sheetData>
    <row r="1" spans="1:12">
      <c r="A1" s="63" t="s">
        <v>204</v>
      </c>
      <c r="C1" t="s">
        <v>82</v>
      </c>
    </row>
    <row r="2" spans="1:12" ht="15" thickBot="1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>
      <c r="A3" s="63" t="s">
        <v>209</v>
      </c>
      <c r="D3" s="1">
        <v>0</v>
      </c>
      <c r="E3" s="1">
        <v>0</v>
      </c>
      <c r="F3" s="150">
        <v>0</v>
      </c>
      <c r="G3" s="1"/>
    </row>
    <row r="4" spans="1:12" ht="15" thickBot="1">
      <c r="A4" s="64" t="s">
        <v>208</v>
      </c>
      <c r="D4" s="1"/>
      <c r="E4" s="1"/>
      <c r="F4" s="1"/>
      <c r="G4" s="1"/>
      <c r="H4" s="1"/>
      <c r="I4" s="1"/>
      <c r="J4" s="1"/>
    </row>
    <row r="5" spans="1:12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" thickBot="1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" thickBot="1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" thickBot="1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>
      <c r="D11" s="1"/>
      <c r="E11" s="1"/>
      <c r="F11" s="1"/>
      <c r="G11" s="1"/>
      <c r="H11" s="1"/>
      <c r="I11" s="1"/>
      <c r="J11" s="1"/>
    </row>
    <row r="12" spans="1:12">
      <c r="D12" s="1"/>
      <c r="E12" s="1"/>
      <c r="F12" s="1"/>
      <c r="G12" s="1"/>
      <c r="H12" s="1"/>
      <c r="I12" s="1"/>
      <c r="J12" s="1"/>
    </row>
    <row r="13" spans="1:12">
      <c r="D13" s="1"/>
      <c r="E13" s="1"/>
      <c r="F13" s="1"/>
      <c r="G13" s="1"/>
      <c r="H13" s="1"/>
      <c r="I13" s="1"/>
      <c r="J13" s="1"/>
    </row>
    <row r="14" spans="1:12">
      <c r="C14" s="17" t="s">
        <v>15</v>
      </c>
      <c r="D14" s="1"/>
      <c r="E14" s="1"/>
      <c r="F14" s="1"/>
      <c r="G14" s="1"/>
      <c r="H14" s="1"/>
      <c r="I14" s="1"/>
      <c r="J14" s="1"/>
    </row>
    <row r="15" spans="1:12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>
      <c r="D17" s="1"/>
      <c r="E17" s="1"/>
      <c r="F17" s="1"/>
      <c r="G17" s="1"/>
      <c r="H17" s="1"/>
      <c r="I17" s="1"/>
      <c r="J17" s="1"/>
    </row>
    <row r="18" spans="3:10">
      <c r="C18" s="17" t="s">
        <v>16</v>
      </c>
      <c r="D18" s="1"/>
      <c r="E18" s="1"/>
      <c r="F18" s="1"/>
      <c r="G18" s="1"/>
      <c r="H18" s="1"/>
      <c r="I18" s="1"/>
      <c r="J18" s="1"/>
    </row>
    <row r="19" spans="3:10">
      <c r="D19" s="1">
        <v>252.24913494809655</v>
      </c>
      <c r="E19" s="1"/>
      <c r="F19" s="1"/>
      <c r="G19" s="1"/>
      <c r="H19" s="1"/>
      <c r="I19" s="1"/>
      <c r="J19" s="1"/>
    </row>
    <row r="20" spans="3:10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O139"/>
  <sheetViews>
    <sheetView workbookViewId="0">
      <selection activeCell="F22" sqref="F22"/>
    </sheetView>
  </sheetViews>
  <sheetFormatPr baseColWidth="10" defaultColWidth="8.83203125" defaultRowHeight="14" x14ac:dyDescent="0"/>
  <cols>
    <col min="1" max="1" width="15" style="61" bestFit="1" customWidth="1"/>
    <col min="2" max="2" width="3.5" style="66" customWidth="1"/>
  </cols>
  <sheetData>
    <row r="1" spans="1:1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" thickBot="1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" thickBot="1">
      <c r="A3" s="63" t="s">
        <v>209</v>
      </c>
      <c r="D3" s="31">
        <v>0</v>
      </c>
      <c r="E3" s="31">
        <v>0</v>
      </c>
      <c r="F3" s="31">
        <v>6.0511363999999999</v>
      </c>
      <c r="G3" s="31"/>
      <c r="I3" s="158" t="b">
        <f>ABS(D3-I2)/(1+ABS(I2))&lt;=0.000001</f>
        <v>0</v>
      </c>
      <c r="J3" s="159" t="b">
        <f>ABS(E3-J2)/(1+ABS(J2))&lt;=0.000001</f>
        <v>1</v>
      </c>
      <c r="K3" s="159" t="b">
        <f>ABS(F3-K2)/(1+ABS(K2))&lt;=0.000001</f>
        <v>0</v>
      </c>
      <c r="L3" s="160" t="b">
        <f>ABS(L2-H5)/(1+ABS(L2))&lt;=0.000001</f>
        <v>0</v>
      </c>
      <c r="O3" s="151"/>
    </row>
    <row r="4" spans="1:15" ht="15" thickBot="1">
      <c r="A4" s="64" t="s">
        <v>208</v>
      </c>
      <c r="D4" s="31"/>
      <c r="E4" s="31"/>
      <c r="F4" s="31"/>
      <c r="G4" s="31"/>
      <c r="O4" s="8"/>
    </row>
    <row r="5" spans="1:1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585.86002770247933</v>
      </c>
      <c r="I5" s="31"/>
      <c r="J5" s="31"/>
      <c r="M5" s="151"/>
      <c r="N5" s="151"/>
      <c r="O5" s="151"/>
    </row>
    <row r="6" spans="1:15" ht="15" thickBot="1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72.613636799999995</v>
      </c>
      <c r="I7" s="31" t="s">
        <v>8</v>
      </c>
      <c r="J7" s="31">
        <v>60</v>
      </c>
      <c r="M7" s="151"/>
      <c r="N7" s="151"/>
      <c r="O7" s="151"/>
    </row>
    <row r="8" spans="1:1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842.17378982231401</v>
      </c>
      <c r="I8" s="31" t="s">
        <v>8</v>
      </c>
      <c r="J8" s="31">
        <v>150</v>
      </c>
      <c r="M8" s="8"/>
      <c r="N8" s="151"/>
      <c r="O8" s="151"/>
    </row>
    <row r="9" spans="1:15" ht="15" thickBot="1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-139.1761372</v>
      </c>
      <c r="I9" s="31" t="s">
        <v>9</v>
      </c>
      <c r="J9" s="31">
        <v>110</v>
      </c>
    </row>
    <row r="10" spans="1:15" ht="15" thickBot="1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-139.1761372</v>
      </c>
      <c r="I10" s="31" t="s">
        <v>9</v>
      </c>
      <c r="J10" s="31">
        <v>110</v>
      </c>
    </row>
    <row r="11" spans="1:15">
      <c r="D11" s="31">
        <v>21</v>
      </c>
      <c r="E11" s="31">
        <v>22</v>
      </c>
      <c r="F11" s="31">
        <v>-23</v>
      </c>
      <c r="G11" s="31"/>
      <c r="H11" s="31">
        <f t="shared" si="0"/>
        <v>-139.1761372</v>
      </c>
      <c r="I11" s="31" t="s">
        <v>9</v>
      </c>
      <c r="J11" s="31">
        <v>110</v>
      </c>
    </row>
    <row r="12" spans="1:15">
      <c r="D12" s="31">
        <v>21</v>
      </c>
      <c r="E12" s="31">
        <v>22</v>
      </c>
      <c r="F12" s="31">
        <v>-23</v>
      </c>
      <c r="G12" s="31"/>
      <c r="H12" s="31">
        <f t="shared" si="0"/>
        <v>-139.1761372</v>
      </c>
      <c r="I12" s="31" t="s">
        <v>9</v>
      </c>
      <c r="J12" s="31">
        <v>110</v>
      </c>
    </row>
    <row r="13" spans="1:15">
      <c r="D13" s="31">
        <v>21</v>
      </c>
      <c r="E13" s="31">
        <v>22</v>
      </c>
      <c r="F13" s="31">
        <v>-23</v>
      </c>
      <c r="G13" s="31"/>
      <c r="H13" s="31">
        <f t="shared" si="0"/>
        <v>-139.1761372</v>
      </c>
      <c r="I13" s="31" t="s">
        <v>9</v>
      </c>
      <c r="J13" s="31">
        <v>110</v>
      </c>
    </row>
    <row r="14" spans="1:15">
      <c r="D14" s="31">
        <v>21</v>
      </c>
      <c r="E14" s="31">
        <v>22</v>
      </c>
      <c r="F14" s="31">
        <v>-23</v>
      </c>
      <c r="G14" s="31"/>
      <c r="H14" s="31">
        <f t="shared" si="0"/>
        <v>-139.1761372</v>
      </c>
      <c r="I14" s="31" t="s">
        <v>9</v>
      </c>
      <c r="J14" s="31">
        <v>110</v>
      </c>
    </row>
    <row r="15" spans="1:15">
      <c r="D15" s="31">
        <v>21</v>
      </c>
      <c r="E15" s="31">
        <v>22</v>
      </c>
      <c r="F15" s="31">
        <v>-23</v>
      </c>
      <c r="G15" s="31"/>
      <c r="H15" s="31">
        <f t="shared" si="0"/>
        <v>-139.1761372</v>
      </c>
      <c r="I15" s="31" t="s">
        <v>9</v>
      </c>
      <c r="J15" s="31">
        <v>110</v>
      </c>
    </row>
    <row r="16" spans="1:15">
      <c r="D16" s="31">
        <v>21</v>
      </c>
      <c r="E16" s="31">
        <v>22</v>
      </c>
      <c r="F16" s="31">
        <v>-23</v>
      </c>
      <c r="G16" s="31"/>
      <c r="H16" s="31">
        <f t="shared" si="0"/>
        <v>-139.1761372</v>
      </c>
      <c r="I16" s="31" t="s">
        <v>9</v>
      </c>
      <c r="J16" s="31">
        <v>110</v>
      </c>
      <c r="M16" s="151"/>
      <c r="N16" s="151"/>
      <c r="O16" s="151"/>
    </row>
    <row r="17" spans="4:15">
      <c r="D17" s="31">
        <v>21</v>
      </c>
      <c r="E17" s="31">
        <v>22</v>
      </c>
      <c r="F17" s="31">
        <v>-23</v>
      </c>
      <c r="G17" s="31"/>
      <c r="H17" s="31">
        <f t="shared" si="0"/>
        <v>-139.1761372</v>
      </c>
      <c r="I17" s="31" t="s">
        <v>9</v>
      </c>
      <c r="J17" s="31">
        <v>110</v>
      </c>
      <c r="L17" s="17"/>
      <c r="M17" s="151"/>
      <c r="N17" s="151"/>
      <c r="O17" s="151"/>
    </row>
    <row r="18" spans="4:15">
      <c r="D18" s="31">
        <v>21</v>
      </c>
      <c r="E18" s="31">
        <v>22</v>
      </c>
      <c r="F18" s="31">
        <v>-23</v>
      </c>
      <c r="G18" s="31"/>
      <c r="H18" s="31">
        <f t="shared" si="0"/>
        <v>-139.1761372</v>
      </c>
      <c r="I18" s="31" t="s">
        <v>9</v>
      </c>
      <c r="J18" s="31">
        <v>110</v>
      </c>
      <c r="N18" s="151"/>
      <c r="O18" s="151"/>
    </row>
    <row r="19" spans="4:15">
      <c r="D19" s="31">
        <v>21</v>
      </c>
      <c r="E19" s="31">
        <v>22</v>
      </c>
      <c r="F19" s="31">
        <v>-23</v>
      </c>
      <c r="G19" s="31"/>
      <c r="H19" s="31">
        <f t="shared" si="0"/>
        <v>-139.1761372</v>
      </c>
      <c r="I19" s="31" t="s">
        <v>9</v>
      </c>
      <c r="J19" s="31">
        <v>110</v>
      </c>
      <c r="N19" s="151"/>
      <c r="O19" s="151"/>
    </row>
    <row r="20" spans="4:15">
      <c r="D20" s="31">
        <v>21</v>
      </c>
      <c r="E20" s="31">
        <v>22</v>
      </c>
      <c r="F20" s="31">
        <v>-23</v>
      </c>
      <c r="G20" s="31"/>
      <c r="H20" s="31">
        <f t="shared" si="0"/>
        <v>-139.1761372</v>
      </c>
      <c r="I20" s="31" t="s">
        <v>9</v>
      </c>
      <c r="J20" s="31">
        <v>110</v>
      </c>
    </row>
    <row r="21" spans="4:15">
      <c r="D21" s="31">
        <v>21</v>
      </c>
      <c r="E21" s="31">
        <v>22</v>
      </c>
      <c r="F21" s="31">
        <v>-23</v>
      </c>
      <c r="G21" s="31"/>
      <c r="H21" s="31">
        <f t="shared" si="0"/>
        <v>-139.1761372</v>
      </c>
      <c r="I21" s="31" t="s">
        <v>9</v>
      </c>
      <c r="J21" s="31">
        <v>110</v>
      </c>
    </row>
    <row r="22" spans="4:15">
      <c r="D22" s="31">
        <v>21</v>
      </c>
      <c r="E22" s="31">
        <v>22</v>
      </c>
      <c r="F22" s="31">
        <v>-23</v>
      </c>
      <c r="G22" s="31"/>
      <c r="H22" s="31">
        <f t="shared" si="0"/>
        <v>-139.1761372</v>
      </c>
      <c r="I22" s="31" t="s">
        <v>9</v>
      </c>
      <c r="J22" s="31">
        <v>110</v>
      </c>
    </row>
    <row r="23" spans="4:15">
      <c r="D23" s="31">
        <v>21</v>
      </c>
      <c r="E23" s="31">
        <v>22</v>
      </c>
      <c r="F23" s="31">
        <v>-23</v>
      </c>
      <c r="G23" s="31"/>
      <c r="H23" s="31">
        <f t="shared" si="0"/>
        <v>-139.1761372</v>
      </c>
      <c r="I23" s="31" t="s">
        <v>9</v>
      </c>
      <c r="J23" s="31">
        <v>110</v>
      </c>
    </row>
    <row r="24" spans="4:15">
      <c r="D24" s="31">
        <v>21</v>
      </c>
      <c r="E24" s="31">
        <v>22</v>
      </c>
      <c r="F24" s="31">
        <v>-23</v>
      </c>
      <c r="G24" s="31"/>
      <c r="H24" s="31">
        <f t="shared" si="0"/>
        <v>-139.1761372</v>
      </c>
      <c r="I24" s="31" t="s">
        <v>9</v>
      </c>
      <c r="J24" s="31">
        <v>110</v>
      </c>
    </row>
    <row r="25" spans="4:15">
      <c r="D25" s="31">
        <v>21</v>
      </c>
      <c r="E25" s="31">
        <v>22</v>
      </c>
      <c r="F25" s="31">
        <v>-23</v>
      </c>
      <c r="G25" s="31"/>
      <c r="H25" s="31">
        <f t="shared" si="0"/>
        <v>-139.1761372</v>
      </c>
      <c r="I25" s="31" t="s">
        <v>9</v>
      </c>
      <c r="J25" s="31">
        <v>110</v>
      </c>
    </row>
    <row r="26" spans="4:15">
      <c r="D26" s="31">
        <v>21</v>
      </c>
      <c r="E26" s="31">
        <v>22</v>
      </c>
      <c r="F26" s="31">
        <v>-23</v>
      </c>
      <c r="G26" s="31"/>
      <c r="H26" s="31">
        <f t="shared" si="0"/>
        <v>-139.1761372</v>
      </c>
      <c r="I26" s="31" t="s">
        <v>9</v>
      </c>
      <c r="J26" s="31">
        <v>110</v>
      </c>
    </row>
    <row r="27" spans="4:15">
      <c r="D27" s="31">
        <v>21</v>
      </c>
      <c r="E27" s="31">
        <v>22</v>
      </c>
      <c r="F27" s="31">
        <v>-23</v>
      </c>
      <c r="G27" s="31"/>
      <c r="H27" s="31">
        <f t="shared" si="0"/>
        <v>-139.1761372</v>
      </c>
      <c r="I27" s="31" t="s">
        <v>9</v>
      </c>
      <c r="J27" s="31">
        <v>110</v>
      </c>
    </row>
    <row r="28" spans="4:15">
      <c r="D28" s="31">
        <v>21</v>
      </c>
      <c r="E28" s="31">
        <v>22</v>
      </c>
      <c r="F28" s="31">
        <v>-23</v>
      </c>
      <c r="G28" s="31"/>
      <c r="H28" s="31">
        <f t="shared" si="0"/>
        <v>-139.1761372</v>
      </c>
      <c r="I28" s="31" t="s">
        <v>9</v>
      </c>
      <c r="J28" s="31">
        <v>110</v>
      </c>
    </row>
    <row r="29" spans="4:15">
      <c r="D29" s="31">
        <v>21</v>
      </c>
      <c r="E29" s="31">
        <v>22</v>
      </c>
      <c r="F29" s="31">
        <v>-23</v>
      </c>
      <c r="G29" s="31"/>
      <c r="H29" s="31">
        <f t="shared" si="0"/>
        <v>-139.1761372</v>
      </c>
      <c r="I29" s="31" t="s">
        <v>9</v>
      </c>
      <c r="J29" s="31">
        <v>110</v>
      </c>
    </row>
    <row r="30" spans="4:15">
      <c r="D30" s="31">
        <v>21</v>
      </c>
      <c r="E30" s="31">
        <v>22</v>
      </c>
      <c r="F30" s="31">
        <v>-23</v>
      </c>
      <c r="G30" s="31"/>
      <c r="H30" s="31">
        <f t="shared" si="0"/>
        <v>-139.1761372</v>
      </c>
      <c r="I30" s="31" t="s">
        <v>9</v>
      </c>
      <c r="J30" s="31">
        <v>110</v>
      </c>
    </row>
    <row r="31" spans="4:15">
      <c r="D31" s="31">
        <v>21</v>
      </c>
      <c r="E31" s="31">
        <v>22</v>
      </c>
      <c r="F31" s="31">
        <v>-23</v>
      </c>
      <c r="G31" s="31"/>
      <c r="H31" s="31">
        <f t="shared" si="0"/>
        <v>-139.1761372</v>
      </c>
      <c r="I31" s="31" t="s">
        <v>9</v>
      </c>
      <c r="J31" s="31">
        <v>110</v>
      </c>
    </row>
    <row r="32" spans="4:15">
      <c r="D32" s="31">
        <v>21</v>
      </c>
      <c r="E32" s="31">
        <v>22</v>
      </c>
      <c r="F32" s="31">
        <v>-23</v>
      </c>
      <c r="G32" s="31"/>
      <c r="H32" s="31">
        <f t="shared" si="0"/>
        <v>-139.1761372</v>
      </c>
      <c r="I32" s="31" t="s">
        <v>9</v>
      </c>
      <c r="J32" s="31">
        <v>110</v>
      </c>
    </row>
    <row r="33" spans="4:10">
      <c r="D33" s="31">
        <v>21</v>
      </c>
      <c r="E33" s="31">
        <v>22</v>
      </c>
      <c r="F33" s="31">
        <v>-23</v>
      </c>
      <c r="G33" s="31"/>
      <c r="H33" s="31">
        <f t="shared" si="0"/>
        <v>-139.1761372</v>
      </c>
      <c r="I33" s="31" t="s">
        <v>9</v>
      </c>
      <c r="J33" s="31">
        <v>110</v>
      </c>
    </row>
    <row r="34" spans="4:10">
      <c r="D34" s="31">
        <v>21</v>
      </c>
      <c r="E34" s="31">
        <v>22</v>
      </c>
      <c r="F34" s="31">
        <v>-23</v>
      </c>
      <c r="G34" s="31"/>
      <c r="H34" s="31">
        <f t="shared" si="0"/>
        <v>-139.1761372</v>
      </c>
      <c r="I34" s="31" t="s">
        <v>9</v>
      </c>
      <c r="J34" s="31">
        <v>110</v>
      </c>
    </row>
    <row r="35" spans="4:10">
      <c r="D35" s="31">
        <v>21</v>
      </c>
      <c r="E35" s="31">
        <v>22</v>
      </c>
      <c r="F35" s="31">
        <v>-23</v>
      </c>
      <c r="G35" s="31"/>
      <c r="H35" s="31">
        <f t="shared" si="0"/>
        <v>-139.1761372</v>
      </c>
      <c r="I35" s="31" t="s">
        <v>9</v>
      </c>
      <c r="J35" s="31">
        <v>110</v>
      </c>
    </row>
    <row r="36" spans="4:10">
      <c r="D36" s="31">
        <v>21</v>
      </c>
      <c r="E36" s="31">
        <v>22</v>
      </c>
      <c r="F36" s="31">
        <v>-23</v>
      </c>
      <c r="G36" s="31"/>
      <c r="H36" s="31">
        <f t="shared" si="0"/>
        <v>-139.1761372</v>
      </c>
      <c r="I36" s="31" t="s">
        <v>9</v>
      </c>
      <c r="J36" s="31">
        <v>110</v>
      </c>
    </row>
    <row r="37" spans="4:10">
      <c r="D37" s="31">
        <v>21</v>
      </c>
      <c r="E37" s="31">
        <v>22</v>
      </c>
      <c r="F37" s="31">
        <v>-23</v>
      </c>
      <c r="G37" s="31"/>
      <c r="H37" s="31">
        <f t="shared" si="0"/>
        <v>-139.1761372</v>
      </c>
      <c r="I37" s="31" t="s">
        <v>9</v>
      </c>
      <c r="J37" s="31">
        <v>110</v>
      </c>
    </row>
    <row r="38" spans="4:10">
      <c r="D38" s="31">
        <v>21</v>
      </c>
      <c r="E38" s="31">
        <v>22</v>
      </c>
      <c r="F38" s="31">
        <v>-23</v>
      </c>
      <c r="G38" s="31"/>
      <c r="H38" s="31">
        <f t="shared" si="0"/>
        <v>-139.1761372</v>
      </c>
      <c r="I38" s="31" t="s">
        <v>9</v>
      </c>
      <c r="J38" s="31">
        <v>110</v>
      </c>
    </row>
    <row r="39" spans="4:10">
      <c r="D39" s="31">
        <v>21</v>
      </c>
      <c r="E39" s="31">
        <v>22</v>
      </c>
      <c r="F39" s="31">
        <v>-23</v>
      </c>
      <c r="G39" s="31"/>
      <c r="H39" s="31">
        <f t="shared" si="0"/>
        <v>-139.1761372</v>
      </c>
      <c r="I39" s="31" t="s">
        <v>9</v>
      </c>
      <c r="J39" s="31">
        <v>110</v>
      </c>
    </row>
    <row r="40" spans="4:10">
      <c r="D40" s="31">
        <v>21</v>
      </c>
      <c r="E40" s="31">
        <v>22</v>
      </c>
      <c r="F40" s="31">
        <v>-23</v>
      </c>
      <c r="G40" s="31"/>
      <c r="H40" s="31">
        <f t="shared" si="0"/>
        <v>-139.1761372</v>
      </c>
      <c r="I40" s="31" t="s">
        <v>9</v>
      </c>
      <c r="J40" s="31">
        <v>110</v>
      </c>
    </row>
    <row r="41" spans="4:10">
      <c r="D41" s="31">
        <v>21</v>
      </c>
      <c r="E41" s="31">
        <v>22</v>
      </c>
      <c r="F41" s="31">
        <v>-23</v>
      </c>
      <c r="G41" s="31"/>
      <c r="H41" s="31">
        <f t="shared" si="0"/>
        <v>-139.1761372</v>
      </c>
      <c r="I41" s="31" t="s">
        <v>9</v>
      </c>
      <c r="J41" s="31">
        <v>110</v>
      </c>
    </row>
    <row r="42" spans="4:10">
      <c r="D42" s="31">
        <v>21</v>
      </c>
      <c r="E42" s="31">
        <v>22</v>
      </c>
      <c r="F42" s="31">
        <v>-23</v>
      </c>
      <c r="G42" s="31"/>
      <c r="H42" s="31">
        <f t="shared" si="0"/>
        <v>-139.1761372</v>
      </c>
      <c r="I42" s="31" t="s">
        <v>9</v>
      </c>
      <c r="J42" s="31">
        <v>110</v>
      </c>
    </row>
    <row r="43" spans="4:10">
      <c r="D43" s="31">
        <v>21</v>
      </c>
      <c r="E43" s="31">
        <v>22</v>
      </c>
      <c r="F43" s="31">
        <v>-23</v>
      </c>
      <c r="G43" s="31"/>
      <c r="H43" s="31">
        <f t="shared" si="0"/>
        <v>-139.1761372</v>
      </c>
      <c r="I43" s="31" t="s">
        <v>9</v>
      </c>
      <c r="J43" s="31">
        <v>110</v>
      </c>
    </row>
    <row r="44" spans="4:10">
      <c r="D44" s="31">
        <v>21</v>
      </c>
      <c r="E44" s="31">
        <v>22</v>
      </c>
      <c r="F44" s="31">
        <v>-23</v>
      </c>
      <c r="G44" s="31"/>
      <c r="H44" s="31">
        <f t="shared" si="0"/>
        <v>-139.1761372</v>
      </c>
      <c r="I44" s="31" t="s">
        <v>9</v>
      </c>
      <c r="J44" s="31">
        <v>110</v>
      </c>
    </row>
    <row r="45" spans="4:10">
      <c r="D45" s="31">
        <v>21</v>
      </c>
      <c r="E45" s="31">
        <v>22</v>
      </c>
      <c r="F45" s="31">
        <v>-23</v>
      </c>
      <c r="G45" s="31"/>
      <c r="H45" s="31">
        <f t="shared" si="0"/>
        <v>-139.1761372</v>
      </c>
      <c r="I45" s="31" t="s">
        <v>9</v>
      </c>
      <c r="J45" s="31">
        <v>110</v>
      </c>
    </row>
    <row r="46" spans="4:10">
      <c r="D46" s="31">
        <v>21</v>
      </c>
      <c r="E46" s="31">
        <v>22</v>
      </c>
      <c r="F46" s="31">
        <v>-23</v>
      </c>
      <c r="G46" s="31"/>
      <c r="H46" s="31">
        <f t="shared" si="0"/>
        <v>-139.1761372</v>
      </c>
      <c r="I46" s="31" t="s">
        <v>9</v>
      </c>
      <c r="J46" s="31">
        <v>110</v>
      </c>
    </row>
    <row r="47" spans="4:10">
      <c r="D47" s="31">
        <v>21</v>
      </c>
      <c r="E47" s="31">
        <v>22</v>
      </c>
      <c r="F47" s="31">
        <v>-23</v>
      </c>
      <c r="G47" s="31"/>
      <c r="H47" s="31">
        <f t="shared" si="0"/>
        <v>-139.1761372</v>
      </c>
      <c r="I47" s="31" t="s">
        <v>9</v>
      </c>
      <c r="J47" s="31">
        <v>110</v>
      </c>
    </row>
    <row r="48" spans="4:10">
      <c r="D48" s="31">
        <v>21</v>
      </c>
      <c r="E48" s="31">
        <v>22</v>
      </c>
      <c r="F48" s="31">
        <v>-23</v>
      </c>
      <c r="G48" s="31"/>
      <c r="H48" s="31">
        <f t="shared" si="0"/>
        <v>-139.1761372</v>
      </c>
      <c r="I48" s="31" t="s">
        <v>9</v>
      </c>
      <c r="J48" s="31">
        <v>110</v>
      </c>
    </row>
    <row r="49" spans="4:10">
      <c r="D49" s="31">
        <v>21</v>
      </c>
      <c r="E49" s="31">
        <v>22</v>
      </c>
      <c r="F49" s="31">
        <v>-23</v>
      </c>
      <c r="G49" s="31"/>
      <c r="H49" s="31">
        <f t="shared" si="0"/>
        <v>-139.1761372</v>
      </c>
      <c r="I49" s="31" t="s">
        <v>9</v>
      </c>
      <c r="J49" s="31">
        <v>110</v>
      </c>
    </row>
    <row r="50" spans="4:10">
      <c r="D50" s="31">
        <v>21</v>
      </c>
      <c r="E50" s="31">
        <v>22</v>
      </c>
      <c r="F50" s="31">
        <v>-23</v>
      </c>
      <c r="G50" s="31"/>
      <c r="H50" s="31">
        <f t="shared" si="0"/>
        <v>-139.1761372</v>
      </c>
      <c r="I50" s="31" t="s">
        <v>9</v>
      </c>
      <c r="J50" s="31">
        <v>110</v>
      </c>
    </row>
    <row r="51" spans="4:10">
      <c r="D51" s="31">
        <v>21</v>
      </c>
      <c r="E51" s="31">
        <v>22</v>
      </c>
      <c r="F51" s="31">
        <v>-23</v>
      </c>
      <c r="G51" s="31"/>
      <c r="H51" s="31">
        <f t="shared" si="0"/>
        <v>-139.1761372</v>
      </c>
      <c r="I51" s="31" t="s">
        <v>9</v>
      </c>
      <c r="J51" s="31">
        <v>110</v>
      </c>
    </row>
    <row r="52" spans="4:10">
      <c r="D52" s="31">
        <v>21</v>
      </c>
      <c r="E52" s="31">
        <v>22</v>
      </c>
      <c r="F52" s="31">
        <v>-23</v>
      </c>
      <c r="G52" s="31"/>
      <c r="H52" s="31">
        <f t="shared" si="0"/>
        <v>-139.1761372</v>
      </c>
      <c r="I52" s="31" t="s">
        <v>9</v>
      </c>
      <c r="J52" s="31">
        <v>110</v>
      </c>
    </row>
    <row r="53" spans="4:10">
      <c r="D53" s="31">
        <v>21</v>
      </c>
      <c r="E53" s="31">
        <v>22</v>
      </c>
      <c r="F53" s="31">
        <v>-23</v>
      </c>
      <c r="G53" s="31"/>
      <c r="H53" s="31">
        <f t="shared" si="0"/>
        <v>-139.1761372</v>
      </c>
      <c r="I53" s="31" t="s">
        <v>9</v>
      </c>
      <c r="J53" s="31">
        <v>110</v>
      </c>
    </row>
    <row r="54" spans="4:10">
      <c r="D54" s="31">
        <v>21</v>
      </c>
      <c r="E54" s="31">
        <v>22</v>
      </c>
      <c r="F54" s="31">
        <v>-23</v>
      </c>
      <c r="G54" s="31"/>
      <c r="H54" s="31">
        <f t="shared" si="0"/>
        <v>-139.1761372</v>
      </c>
      <c r="I54" s="31" t="s">
        <v>9</v>
      </c>
      <c r="J54" s="31">
        <v>110</v>
      </c>
    </row>
    <row r="55" spans="4:10">
      <c r="D55" s="31">
        <v>21</v>
      </c>
      <c r="E55" s="31">
        <v>22</v>
      </c>
      <c r="F55" s="31">
        <v>-23</v>
      </c>
      <c r="G55" s="31"/>
      <c r="H55" s="31">
        <f t="shared" si="0"/>
        <v>-139.1761372</v>
      </c>
      <c r="I55" s="31" t="s">
        <v>9</v>
      </c>
      <c r="J55" s="31">
        <v>110</v>
      </c>
    </row>
    <row r="56" spans="4:10">
      <c r="D56" s="31">
        <v>21</v>
      </c>
      <c r="E56" s="31">
        <v>22</v>
      </c>
      <c r="F56" s="31">
        <v>-23</v>
      </c>
      <c r="G56" s="31"/>
      <c r="H56" s="31">
        <f t="shared" si="0"/>
        <v>-139.1761372</v>
      </c>
      <c r="I56" s="31" t="s">
        <v>9</v>
      </c>
      <c r="J56" s="31">
        <v>110</v>
      </c>
    </row>
    <row r="57" spans="4:10">
      <c r="D57" s="31">
        <v>21</v>
      </c>
      <c r="E57" s="31">
        <v>22</v>
      </c>
      <c r="F57" s="31">
        <v>-23</v>
      </c>
      <c r="G57" s="31"/>
      <c r="H57" s="31">
        <f t="shared" si="0"/>
        <v>-139.1761372</v>
      </c>
      <c r="I57" s="31" t="s">
        <v>9</v>
      </c>
      <c r="J57" s="31">
        <v>110</v>
      </c>
    </row>
    <row r="58" spans="4:10">
      <c r="D58" s="31">
        <v>21</v>
      </c>
      <c r="E58" s="31">
        <v>22</v>
      </c>
      <c r="F58" s="31">
        <v>-23</v>
      </c>
      <c r="G58" s="31"/>
      <c r="H58" s="31">
        <f t="shared" si="0"/>
        <v>-139.1761372</v>
      </c>
      <c r="I58" s="31" t="s">
        <v>9</v>
      </c>
      <c r="J58" s="31">
        <v>110</v>
      </c>
    </row>
    <row r="59" spans="4:10">
      <c r="D59" s="31">
        <v>21</v>
      </c>
      <c r="E59" s="31">
        <v>22</v>
      </c>
      <c r="F59" s="31">
        <v>-23</v>
      </c>
      <c r="G59" s="31"/>
      <c r="H59" s="31">
        <f t="shared" si="0"/>
        <v>-139.1761372</v>
      </c>
      <c r="I59" s="31" t="s">
        <v>9</v>
      </c>
      <c r="J59" s="31">
        <v>110</v>
      </c>
    </row>
    <row r="60" spans="4:10">
      <c r="D60" s="31">
        <v>21</v>
      </c>
      <c r="E60" s="31">
        <v>22</v>
      </c>
      <c r="F60" s="31">
        <v>-23</v>
      </c>
      <c r="G60" s="31"/>
      <c r="H60" s="31">
        <f t="shared" si="0"/>
        <v>-139.1761372</v>
      </c>
      <c r="I60" s="31" t="s">
        <v>9</v>
      </c>
      <c r="J60" s="31">
        <v>110</v>
      </c>
    </row>
    <row r="61" spans="4:10">
      <c r="D61" s="31">
        <v>21</v>
      </c>
      <c r="E61" s="31">
        <v>22</v>
      </c>
      <c r="F61" s="31">
        <v>-23</v>
      </c>
      <c r="G61" s="31"/>
      <c r="H61" s="31">
        <f t="shared" si="0"/>
        <v>-139.1761372</v>
      </c>
      <c r="I61" s="31" t="s">
        <v>9</v>
      </c>
      <c r="J61" s="31">
        <v>110</v>
      </c>
    </row>
    <row r="62" spans="4:10">
      <c r="D62" s="31">
        <v>21</v>
      </c>
      <c r="E62" s="31">
        <v>22</v>
      </c>
      <c r="F62" s="31">
        <v>-23</v>
      </c>
      <c r="G62" s="31"/>
      <c r="H62" s="31">
        <f t="shared" si="0"/>
        <v>-139.1761372</v>
      </c>
      <c r="I62" s="31" t="s">
        <v>9</v>
      </c>
      <c r="J62" s="31">
        <v>110</v>
      </c>
    </row>
    <row r="63" spans="4:10">
      <c r="D63" s="31">
        <v>21</v>
      </c>
      <c r="E63" s="31">
        <v>22</v>
      </c>
      <c r="F63" s="31">
        <v>-23</v>
      </c>
      <c r="G63" s="31"/>
      <c r="H63" s="31">
        <f t="shared" si="0"/>
        <v>-139.1761372</v>
      </c>
      <c r="I63" s="31" t="s">
        <v>9</v>
      </c>
      <c r="J63" s="31">
        <v>110</v>
      </c>
    </row>
    <row r="64" spans="4:10">
      <c r="D64" s="31">
        <v>21</v>
      </c>
      <c r="E64" s="31">
        <v>22</v>
      </c>
      <c r="F64" s="31">
        <v>-23</v>
      </c>
      <c r="G64" s="31"/>
      <c r="H64" s="31">
        <f t="shared" si="0"/>
        <v>-139.1761372</v>
      </c>
      <c r="I64" s="31" t="s">
        <v>9</v>
      </c>
      <c r="J64" s="31">
        <v>110</v>
      </c>
    </row>
    <row r="65" spans="4:10">
      <c r="D65" s="31">
        <v>21</v>
      </c>
      <c r="E65" s="31">
        <v>22</v>
      </c>
      <c r="F65" s="31">
        <v>-23</v>
      </c>
      <c r="G65" s="31"/>
      <c r="H65" s="31">
        <f t="shared" si="0"/>
        <v>-139.1761372</v>
      </c>
      <c r="I65" s="31" t="s">
        <v>9</v>
      </c>
      <c r="J65" s="31">
        <v>110</v>
      </c>
    </row>
    <row r="66" spans="4:10">
      <c r="D66" s="31">
        <v>21</v>
      </c>
      <c r="E66" s="31">
        <v>22</v>
      </c>
      <c r="F66" s="31">
        <v>-23</v>
      </c>
      <c r="G66" s="31"/>
      <c r="H66" s="31">
        <f t="shared" si="0"/>
        <v>-139.1761372</v>
      </c>
      <c r="I66" s="31" t="s">
        <v>9</v>
      </c>
      <c r="J66" s="31">
        <v>110</v>
      </c>
    </row>
    <row r="67" spans="4:10">
      <c r="D67" s="31">
        <v>21</v>
      </c>
      <c r="E67" s="31">
        <v>22</v>
      </c>
      <c r="F67" s="31">
        <v>-23</v>
      </c>
      <c r="G67" s="31"/>
      <c r="H67" s="31">
        <f t="shared" si="0"/>
        <v>-139.1761372</v>
      </c>
      <c r="I67" s="31" t="s">
        <v>9</v>
      </c>
      <c r="J67" s="31">
        <v>110</v>
      </c>
    </row>
    <row r="68" spans="4:10">
      <c r="D68" s="31">
        <v>21</v>
      </c>
      <c r="E68" s="31">
        <v>22</v>
      </c>
      <c r="F68" s="31">
        <v>-23</v>
      </c>
      <c r="G68" s="31"/>
      <c r="H68" s="31">
        <f t="shared" si="0"/>
        <v>-139.1761372</v>
      </c>
      <c r="I68" s="31" t="s">
        <v>9</v>
      </c>
      <c r="J68" s="31">
        <v>110</v>
      </c>
    </row>
    <row r="69" spans="4:10">
      <c r="D69" s="31">
        <v>21</v>
      </c>
      <c r="E69" s="31">
        <v>22</v>
      </c>
      <c r="F69" s="31">
        <v>-23</v>
      </c>
      <c r="G69" s="31"/>
      <c r="H69" s="31">
        <f t="shared" si="0"/>
        <v>-139.1761372</v>
      </c>
      <c r="I69" s="31" t="s">
        <v>9</v>
      </c>
      <c r="J69" s="31">
        <v>110</v>
      </c>
    </row>
    <row r="70" spans="4:10">
      <c r="D70" s="31">
        <v>21</v>
      </c>
      <c r="E70" s="31">
        <v>22</v>
      </c>
      <c r="F70" s="31">
        <v>-23</v>
      </c>
      <c r="G70" s="31"/>
      <c r="H70" s="31">
        <f t="shared" si="0"/>
        <v>-139.1761372</v>
      </c>
      <c r="I70" s="31" t="s">
        <v>9</v>
      </c>
      <c r="J70" s="31">
        <v>110</v>
      </c>
    </row>
    <row r="71" spans="4:10">
      <c r="D71" s="31">
        <v>21</v>
      </c>
      <c r="E71" s="31">
        <v>22</v>
      </c>
      <c r="F71" s="31">
        <v>-23</v>
      </c>
      <c r="G71" s="31"/>
      <c r="H71" s="31">
        <f t="shared" si="0"/>
        <v>-139.1761372</v>
      </c>
      <c r="I71" s="31" t="s">
        <v>9</v>
      </c>
      <c r="J71" s="31">
        <v>110</v>
      </c>
    </row>
    <row r="72" spans="4:10">
      <c r="D72" s="31">
        <v>21</v>
      </c>
      <c r="E72" s="31">
        <v>22</v>
      </c>
      <c r="F72" s="31">
        <v>-23</v>
      </c>
      <c r="G72" s="31"/>
      <c r="H72" s="31">
        <f t="shared" si="0"/>
        <v>-139.1761372</v>
      </c>
      <c r="I72" s="31" t="s">
        <v>9</v>
      </c>
      <c r="J72" s="31">
        <v>110</v>
      </c>
    </row>
    <row r="73" spans="4:10">
      <c r="D73" s="31">
        <v>19</v>
      </c>
      <c r="E73" s="31">
        <v>34</v>
      </c>
      <c r="F73" s="31">
        <v>-32</v>
      </c>
      <c r="G73" s="31"/>
      <c r="H73" s="31">
        <f t="shared" si="0"/>
        <v>-193.6363648</v>
      </c>
      <c r="I73" s="31" t="s">
        <v>10</v>
      </c>
      <c r="J73" s="31">
        <v>180</v>
      </c>
    </row>
    <row r="74" spans="4:10">
      <c r="D74" s="31">
        <v>21</v>
      </c>
      <c r="E74" s="31">
        <v>22</v>
      </c>
      <c r="F74" s="31">
        <v>23</v>
      </c>
      <c r="G74" s="31"/>
      <c r="H74" s="31">
        <f>SUMPRODUCT($D$3:$F$3,D74:F74)*F69</f>
        <v>-3201.0511556000001</v>
      </c>
      <c r="I74" s="31" t="s">
        <v>8</v>
      </c>
      <c r="J74" s="31">
        <v>150</v>
      </c>
    </row>
    <row r="75" spans="4:10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-139.1761372</v>
      </c>
      <c r="I75" s="31" t="s">
        <v>9</v>
      </c>
      <c r="J75" s="31">
        <v>110</v>
      </c>
    </row>
    <row r="76" spans="4:10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-139.1761372</v>
      </c>
      <c r="I76" s="31" t="s">
        <v>9</v>
      </c>
      <c r="J76" s="31">
        <v>110</v>
      </c>
    </row>
    <row r="77" spans="4:10">
      <c r="D77" s="31">
        <v>21</v>
      </c>
      <c r="E77" s="31">
        <v>22</v>
      </c>
      <c r="F77" s="31">
        <v>-23</v>
      </c>
      <c r="G77" s="31"/>
      <c r="H77" s="31">
        <f t="shared" si="1"/>
        <v>-139.1761372</v>
      </c>
      <c r="I77" s="31" t="s">
        <v>9</v>
      </c>
      <c r="J77" s="31">
        <v>110</v>
      </c>
    </row>
    <row r="78" spans="4:10">
      <c r="D78" s="31">
        <v>21</v>
      </c>
      <c r="E78" s="31">
        <v>22</v>
      </c>
      <c r="F78" s="31">
        <v>-23</v>
      </c>
      <c r="G78" s="31"/>
      <c r="H78" s="31">
        <f t="shared" si="1"/>
        <v>-139.1761372</v>
      </c>
      <c r="I78" s="31" t="s">
        <v>9</v>
      </c>
      <c r="J78" s="31">
        <v>110</v>
      </c>
    </row>
    <row r="79" spans="4:10">
      <c r="D79" s="31">
        <v>21</v>
      </c>
      <c r="E79" s="31">
        <v>22</v>
      </c>
      <c r="F79" s="31">
        <v>-23</v>
      </c>
      <c r="G79" s="31"/>
      <c r="H79" s="31">
        <f t="shared" si="1"/>
        <v>-139.1761372</v>
      </c>
      <c r="I79" s="31" t="s">
        <v>9</v>
      </c>
      <c r="J79" s="31">
        <v>110</v>
      </c>
    </row>
    <row r="80" spans="4:10">
      <c r="D80" s="31">
        <v>21</v>
      </c>
      <c r="E80" s="31">
        <v>22</v>
      </c>
      <c r="F80" s="31">
        <v>-23</v>
      </c>
      <c r="G80" s="31"/>
      <c r="H80" s="31">
        <f t="shared" si="1"/>
        <v>-139.1761372</v>
      </c>
      <c r="I80" s="31" t="s">
        <v>9</v>
      </c>
      <c r="J80" s="31">
        <v>110</v>
      </c>
    </row>
    <row r="81" spans="4:10">
      <c r="D81" s="31">
        <v>21</v>
      </c>
      <c r="E81" s="31">
        <v>22</v>
      </c>
      <c r="F81" s="31">
        <v>-23</v>
      </c>
      <c r="G81" s="31"/>
      <c r="H81" s="31">
        <f t="shared" si="1"/>
        <v>-139.1761372</v>
      </c>
      <c r="I81" s="31" t="s">
        <v>9</v>
      </c>
      <c r="J81" s="31">
        <v>110</v>
      </c>
    </row>
    <row r="82" spans="4:10">
      <c r="D82" s="31">
        <v>21</v>
      </c>
      <c r="E82" s="31">
        <v>22</v>
      </c>
      <c r="F82" s="31">
        <v>-23</v>
      </c>
      <c r="G82" s="31"/>
      <c r="H82" s="31">
        <f t="shared" si="1"/>
        <v>-139.1761372</v>
      </c>
      <c r="I82" s="31" t="s">
        <v>9</v>
      </c>
      <c r="J82" s="31">
        <v>110</v>
      </c>
    </row>
    <row r="83" spans="4:10">
      <c r="D83" s="31">
        <v>21</v>
      </c>
      <c r="E83" s="31">
        <v>22</v>
      </c>
      <c r="F83" s="31">
        <v>-23</v>
      </c>
      <c r="G83" s="31"/>
      <c r="H83" s="31">
        <f t="shared" si="1"/>
        <v>-139.1761372</v>
      </c>
      <c r="I83" s="31" t="s">
        <v>9</v>
      </c>
      <c r="J83" s="31">
        <v>110</v>
      </c>
    </row>
    <row r="84" spans="4:10">
      <c r="D84" s="31">
        <v>21</v>
      </c>
      <c r="E84" s="31">
        <v>22</v>
      </c>
      <c r="F84" s="31">
        <v>-23</v>
      </c>
      <c r="G84" s="31"/>
      <c r="H84" s="31">
        <f t="shared" si="1"/>
        <v>-139.1761372</v>
      </c>
      <c r="I84" s="31" t="s">
        <v>9</v>
      </c>
      <c r="J84" s="31">
        <v>110</v>
      </c>
    </row>
    <row r="85" spans="4:10">
      <c r="D85" s="31">
        <v>21</v>
      </c>
      <c r="E85" s="31">
        <v>22</v>
      </c>
      <c r="F85" s="31">
        <v>-23</v>
      </c>
      <c r="G85" s="31"/>
      <c r="H85" s="31">
        <f t="shared" si="1"/>
        <v>-139.1761372</v>
      </c>
      <c r="I85" s="31" t="s">
        <v>9</v>
      </c>
      <c r="J85" s="31">
        <v>110</v>
      </c>
    </row>
    <row r="86" spans="4:10">
      <c r="D86" s="31">
        <v>21</v>
      </c>
      <c r="E86" s="31">
        <v>22</v>
      </c>
      <c r="F86" s="31">
        <v>-23</v>
      </c>
      <c r="G86" s="31"/>
      <c r="H86" s="31">
        <f t="shared" si="1"/>
        <v>-139.1761372</v>
      </c>
      <c r="I86" s="31" t="s">
        <v>9</v>
      </c>
      <c r="J86" s="31">
        <v>110</v>
      </c>
    </row>
    <row r="87" spans="4:10">
      <c r="D87" s="31">
        <v>21</v>
      </c>
      <c r="E87" s="31">
        <v>22</v>
      </c>
      <c r="F87" s="31">
        <v>-23</v>
      </c>
      <c r="G87" s="31"/>
      <c r="H87" s="31">
        <f t="shared" si="1"/>
        <v>-139.1761372</v>
      </c>
      <c r="I87" s="31" t="s">
        <v>9</v>
      </c>
      <c r="J87" s="31">
        <v>110</v>
      </c>
    </row>
    <row r="88" spans="4:10">
      <c r="D88" s="31">
        <v>21</v>
      </c>
      <c r="E88" s="31">
        <v>22</v>
      </c>
      <c r="F88" s="31">
        <v>-23</v>
      </c>
      <c r="G88" s="31"/>
      <c r="H88" s="31">
        <f t="shared" si="1"/>
        <v>-139.1761372</v>
      </c>
      <c r="I88" s="31" t="s">
        <v>9</v>
      </c>
      <c r="J88" s="31">
        <v>110</v>
      </c>
    </row>
    <row r="89" spans="4:10">
      <c r="D89" s="31">
        <v>21</v>
      </c>
      <c r="E89" s="31">
        <v>22</v>
      </c>
      <c r="F89" s="31">
        <v>-23</v>
      </c>
      <c r="G89" s="31"/>
      <c r="H89" s="31">
        <f t="shared" si="1"/>
        <v>-139.1761372</v>
      </c>
      <c r="I89" s="31" t="s">
        <v>9</v>
      </c>
      <c r="J89" s="31">
        <v>110</v>
      </c>
    </row>
    <row r="90" spans="4:10">
      <c r="D90" s="31">
        <v>21</v>
      </c>
      <c r="E90" s="31">
        <v>22</v>
      </c>
      <c r="F90" s="31">
        <v>-23</v>
      </c>
      <c r="G90" s="31"/>
      <c r="H90" s="31">
        <f t="shared" si="1"/>
        <v>-139.1761372</v>
      </c>
      <c r="I90" s="31" t="s">
        <v>9</v>
      </c>
      <c r="J90" s="31">
        <v>110</v>
      </c>
    </row>
    <row r="91" spans="4:10">
      <c r="D91" s="31">
        <v>21</v>
      </c>
      <c r="E91" s="31">
        <v>22</v>
      </c>
      <c r="F91" s="31">
        <v>-23</v>
      </c>
      <c r="G91" s="31"/>
      <c r="H91" s="31">
        <f t="shared" si="1"/>
        <v>-139.1761372</v>
      </c>
      <c r="I91" s="31" t="s">
        <v>9</v>
      </c>
      <c r="J91" s="31">
        <v>110</v>
      </c>
    </row>
    <row r="92" spans="4:10">
      <c r="D92" s="31">
        <v>21</v>
      </c>
      <c r="E92" s="31">
        <v>22</v>
      </c>
      <c r="F92" s="31">
        <v>-23</v>
      </c>
      <c r="G92" s="31"/>
      <c r="H92" s="31">
        <f t="shared" si="1"/>
        <v>-139.1761372</v>
      </c>
      <c r="I92" s="31" t="s">
        <v>9</v>
      </c>
      <c r="J92" s="31">
        <v>110</v>
      </c>
    </row>
    <row r="93" spans="4:10">
      <c r="D93" s="31">
        <v>21</v>
      </c>
      <c r="E93" s="31">
        <v>22</v>
      </c>
      <c r="F93" s="31">
        <v>-23</v>
      </c>
      <c r="G93" s="31"/>
      <c r="H93" s="31">
        <f t="shared" si="1"/>
        <v>-139.1761372</v>
      </c>
      <c r="I93" s="31" t="s">
        <v>9</v>
      </c>
      <c r="J93" s="31">
        <v>110</v>
      </c>
    </row>
    <row r="94" spans="4:10">
      <c r="D94" s="31">
        <v>21</v>
      </c>
      <c r="E94" s="31">
        <v>22</v>
      </c>
      <c r="F94" s="31">
        <v>-23</v>
      </c>
      <c r="G94" s="31"/>
      <c r="H94" s="31">
        <f t="shared" si="1"/>
        <v>-139.1761372</v>
      </c>
      <c r="I94" s="31" t="s">
        <v>9</v>
      </c>
      <c r="J94" s="31">
        <v>110</v>
      </c>
    </row>
    <row r="95" spans="4:10">
      <c r="D95" s="31">
        <v>21</v>
      </c>
      <c r="E95" s="31">
        <v>22</v>
      </c>
      <c r="F95" s="31">
        <v>-23</v>
      </c>
      <c r="G95" s="31"/>
      <c r="H95" s="31">
        <f t="shared" si="1"/>
        <v>-139.1761372</v>
      </c>
      <c r="I95" s="31" t="s">
        <v>9</v>
      </c>
      <c r="J95" s="31">
        <v>110</v>
      </c>
    </row>
    <row r="96" spans="4:10">
      <c r="D96" s="31">
        <v>21</v>
      </c>
      <c r="E96" s="31">
        <v>22</v>
      </c>
      <c r="F96" s="31">
        <v>-23</v>
      </c>
      <c r="G96" s="31"/>
      <c r="H96" s="31">
        <f t="shared" si="1"/>
        <v>-139.1761372</v>
      </c>
      <c r="I96" s="31" t="s">
        <v>9</v>
      </c>
      <c r="J96" s="31">
        <v>110</v>
      </c>
    </row>
    <row r="97" spans="4:10">
      <c r="D97" s="31">
        <v>21</v>
      </c>
      <c r="E97" s="31">
        <v>22</v>
      </c>
      <c r="F97" s="31">
        <v>-23</v>
      </c>
      <c r="G97" s="31"/>
      <c r="H97" s="31">
        <f t="shared" si="1"/>
        <v>-139.1761372</v>
      </c>
      <c r="I97" s="31" t="s">
        <v>9</v>
      </c>
      <c r="J97" s="31">
        <v>110</v>
      </c>
    </row>
    <row r="98" spans="4:10">
      <c r="D98" s="31">
        <v>21</v>
      </c>
      <c r="E98" s="31">
        <v>22</v>
      </c>
      <c r="F98" s="31">
        <v>-23</v>
      </c>
      <c r="G98" s="31"/>
      <c r="H98" s="31">
        <f t="shared" si="1"/>
        <v>-139.1761372</v>
      </c>
      <c r="I98" s="31" t="s">
        <v>9</v>
      </c>
      <c r="J98" s="31">
        <v>110</v>
      </c>
    </row>
    <row r="99" spans="4:10">
      <c r="D99" s="31">
        <v>21</v>
      </c>
      <c r="E99" s="31">
        <v>22</v>
      </c>
      <c r="F99" s="31">
        <v>-23</v>
      </c>
      <c r="G99" s="31"/>
      <c r="H99" s="31">
        <f t="shared" si="1"/>
        <v>-139.1761372</v>
      </c>
      <c r="I99" s="31" t="s">
        <v>9</v>
      </c>
      <c r="J99" s="31">
        <v>110</v>
      </c>
    </row>
    <row r="100" spans="4:10">
      <c r="D100" s="31">
        <v>21</v>
      </c>
      <c r="E100" s="31">
        <v>22</v>
      </c>
      <c r="F100" s="31">
        <v>-23</v>
      </c>
      <c r="G100" s="31"/>
      <c r="H100" s="31">
        <f t="shared" si="1"/>
        <v>-139.1761372</v>
      </c>
      <c r="I100" s="31" t="s">
        <v>9</v>
      </c>
      <c r="J100" s="31">
        <v>110</v>
      </c>
    </row>
    <row r="101" spans="4:10">
      <c r="D101" s="31">
        <v>21</v>
      </c>
      <c r="E101" s="31">
        <v>22</v>
      </c>
      <c r="F101" s="31">
        <v>-23</v>
      </c>
      <c r="G101" s="31"/>
      <c r="H101" s="31">
        <f t="shared" si="1"/>
        <v>-139.1761372</v>
      </c>
      <c r="I101" s="31" t="s">
        <v>9</v>
      </c>
      <c r="J101" s="31">
        <v>110</v>
      </c>
    </row>
    <row r="102" spans="4:10">
      <c r="D102" s="31">
        <v>21</v>
      </c>
      <c r="E102" s="31">
        <v>22</v>
      </c>
      <c r="F102" s="31">
        <v>-23</v>
      </c>
      <c r="G102" s="31"/>
      <c r="H102" s="31">
        <f t="shared" si="1"/>
        <v>-139.1761372</v>
      </c>
      <c r="I102" s="31" t="s">
        <v>9</v>
      </c>
      <c r="J102" s="31">
        <v>110</v>
      </c>
    </row>
    <row r="103" spans="4:10">
      <c r="D103" s="31">
        <v>21</v>
      </c>
      <c r="E103" s="31">
        <v>22</v>
      </c>
      <c r="F103" s="31">
        <v>-23</v>
      </c>
      <c r="G103" s="31"/>
      <c r="H103" s="31">
        <f t="shared" si="1"/>
        <v>-139.1761372</v>
      </c>
      <c r="I103" s="31" t="s">
        <v>9</v>
      </c>
      <c r="J103" s="31">
        <v>110</v>
      </c>
    </row>
    <row r="104" spans="4:10">
      <c r="D104" s="31">
        <v>21</v>
      </c>
      <c r="E104" s="31">
        <v>22</v>
      </c>
      <c r="F104" s="31">
        <v>-23</v>
      </c>
      <c r="G104" s="31"/>
      <c r="H104" s="31">
        <f t="shared" si="1"/>
        <v>-139.1761372</v>
      </c>
      <c r="I104" s="31" t="s">
        <v>9</v>
      </c>
      <c r="J104" s="31">
        <v>110</v>
      </c>
    </row>
    <row r="105" spans="4:10">
      <c r="D105" s="31">
        <v>21</v>
      </c>
      <c r="E105" s="31">
        <v>22</v>
      </c>
      <c r="F105" s="31">
        <v>-23</v>
      </c>
      <c r="G105" s="31"/>
      <c r="H105" s="31">
        <f t="shared" si="1"/>
        <v>-139.1761372</v>
      </c>
      <c r="I105" s="31" t="s">
        <v>9</v>
      </c>
      <c r="J105" s="31">
        <v>110</v>
      </c>
    </row>
    <row r="106" spans="4:10">
      <c r="D106" s="31">
        <v>21</v>
      </c>
      <c r="E106" s="31">
        <v>22</v>
      </c>
      <c r="F106" s="31">
        <v>-23</v>
      </c>
      <c r="G106" s="31"/>
      <c r="H106" s="31">
        <f t="shared" si="1"/>
        <v>-139.1761372</v>
      </c>
      <c r="I106" s="31" t="s">
        <v>9</v>
      </c>
      <c r="J106" s="31">
        <v>110</v>
      </c>
    </row>
    <row r="107" spans="4:10">
      <c r="D107" s="31">
        <v>21</v>
      </c>
      <c r="E107" s="31">
        <v>22</v>
      </c>
      <c r="F107" s="31">
        <v>-23</v>
      </c>
      <c r="G107" s="31"/>
      <c r="H107" s="31">
        <f t="shared" si="1"/>
        <v>-139.1761372</v>
      </c>
      <c r="I107" s="31" t="s">
        <v>9</v>
      </c>
      <c r="J107" s="31">
        <v>110</v>
      </c>
    </row>
    <row r="108" spans="4:10">
      <c r="D108" s="31">
        <v>21</v>
      </c>
      <c r="E108" s="31">
        <v>22</v>
      </c>
      <c r="F108" s="31">
        <v>-23</v>
      </c>
      <c r="G108" s="31"/>
      <c r="H108" s="31">
        <f t="shared" si="1"/>
        <v>-139.1761372</v>
      </c>
      <c r="I108" s="31" t="s">
        <v>9</v>
      </c>
      <c r="J108" s="31">
        <v>110</v>
      </c>
    </row>
    <row r="109" spans="4:10">
      <c r="D109" s="31">
        <v>21</v>
      </c>
      <c r="E109" s="31">
        <v>22</v>
      </c>
      <c r="F109" s="31">
        <v>-23</v>
      </c>
      <c r="G109" s="31"/>
      <c r="H109" s="31">
        <f t="shared" si="1"/>
        <v>-139.1761372</v>
      </c>
      <c r="I109" s="31" t="s">
        <v>9</v>
      </c>
      <c r="J109" s="31">
        <v>110</v>
      </c>
    </row>
    <row r="110" spans="4:10">
      <c r="D110" s="31">
        <v>21</v>
      </c>
      <c r="E110" s="31">
        <v>22</v>
      </c>
      <c r="F110" s="31">
        <v>-23</v>
      </c>
      <c r="G110" s="31"/>
      <c r="H110" s="31">
        <f t="shared" si="1"/>
        <v>-139.1761372</v>
      </c>
      <c r="I110" s="31" t="s">
        <v>9</v>
      </c>
      <c r="J110" s="31">
        <v>110</v>
      </c>
    </row>
    <row r="111" spans="4:10">
      <c r="D111" s="31">
        <v>21</v>
      </c>
      <c r="E111" s="31">
        <v>22</v>
      </c>
      <c r="F111" s="31">
        <v>-23</v>
      </c>
      <c r="G111" s="31"/>
      <c r="H111" s="31">
        <f t="shared" si="1"/>
        <v>-139.1761372</v>
      </c>
      <c r="I111" s="31" t="s">
        <v>9</v>
      </c>
      <c r="J111" s="31">
        <v>110</v>
      </c>
    </row>
    <row r="112" spans="4:10">
      <c r="D112" s="31">
        <v>21</v>
      </c>
      <c r="E112" s="31">
        <v>22</v>
      </c>
      <c r="F112" s="31">
        <v>-23</v>
      </c>
      <c r="G112" s="31"/>
      <c r="H112" s="31">
        <f t="shared" si="1"/>
        <v>-139.1761372</v>
      </c>
      <c r="I112" s="31" t="s">
        <v>9</v>
      </c>
      <c r="J112" s="31">
        <v>110</v>
      </c>
    </row>
    <row r="113" spans="4:10">
      <c r="D113" s="31">
        <v>21</v>
      </c>
      <c r="E113" s="31">
        <v>22</v>
      </c>
      <c r="F113" s="31">
        <v>-23</v>
      </c>
      <c r="G113" s="31"/>
      <c r="H113" s="31">
        <f t="shared" si="1"/>
        <v>-139.1761372</v>
      </c>
      <c r="I113" s="31" t="s">
        <v>9</v>
      </c>
      <c r="J113" s="31">
        <v>110</v>
      </c>
    </row>
    <row r="114" spans="4:10">
      <c r="D114" s="31">
        <v>21</v>
      </c>
      <c r="E114" s="31">
        <v>22</v>
      </c>
      <c r="F114" s="31">
        <v>-23</v>
      </c>
      <c r="G114" s="31"/>
      <c r="H114" s="31">
        <f t="shared" si="1"/>
        <v>-139.1761372</v>
      </c>
      <c r="I114" s="31" t="s">
        <v>9</v>
      </c>
      <c r="J114" s="31">
        <v>110</v>
      </c>
    </row>
    <row r="115" spans="4:10">
      <c r="D115" s="31">
        <v>21</v>
      </c>
      <c r="E115" s="31">
        <v>22</v>
      </c>
      <c r="F115" s="31">
        <v>-23</v>
      </c>
      <c r="G115" s="31"/>
      <c r="H115" s="31">
        <f t="shared" si="1"/>
        <v>-139.1761372</v>
      </c>
      <c r="I115" s="31" t="s">
        <v>9</v>
      </c>
      <c r="J115" s="31">
        <v>110</v>
      </c>
    </row>
    <row r="116" spans="4:10">
      <c r="D116" s="31">
        <v>21</v>
      </c>
      <c r="E116" s="31">
        <v>22</v>
      </c>
      <c r="F116" s="31">
        <v>-23</v>
      </c>
      <c r="G116" s="31"/>
      <c r="H116" s="31">
        <f t="shared" si="1"/>
        <v>-139.1761372</v>
      </c>
      <c r="I116" s="31" t="s">
        <v>9</v>
      </c>
      <c r="J116" s="31">
        <v>110</v>
      </c>
    </row>
    <row r="117" spans="4:10">
      <c r="D117" s="31">
        <v>21</v>
      </c>
      <c r="E117" s="31">
        <v>22</v>
      </c>
      <c r="F117" s="31">
        <v>-23</v>
      </c>
      <c r="G117" s="31"/>
      <c r="H117" s="31">
        <f t="shared" si="1"/>
        <v>-139.1761372</v>
      </c>
      <c r="I117" s="31" t="s">
        <v>9</v>
      </c>
      <c r="J117" s="31">
        <v>110</v>
      </c>
    </row>
    <row r="118" spans="4:10">
      <c r="D118" s="31">
        <v>21</v>
      </c>
      <c r="E118" s="31">
        <v>22</v>
      </c>
      <c r="F118" s="31">
        <v>-23</v>
      </c>
      <c r="G118" s="31"/>
      <c r="H118" s="31">
        <f t="shared" si="1"/>
        <v>-139.1761372</v>
      </c>
      <c r="I118" s="31" t="s">
        <v>9</v>
      </c>
      <c r="J118" s="31">
        <v>110</v>
      </c>
    </row>
    <row r="119" spans="4:10">
      <c r="D119" s="31">
        <v>21</v>
      </c>
      <c r="E119" s="31">
        <v>22</v>
      </c>
      <c r="F119" s="31">
        <v>-23</v>
      </c>
      <c r="G119" s="31"/>
      <c r="H119" s="31">
        <f t="shared" si="1"/>
        <v>-139.1761372</v>
      </c>
      <c r="I119" s="31" t="s">
        <v>9</v>
      </c>
      <c r="J119" s="31">
        <v>110</v>
      </c>
    </row>
    <row r="120" spans="4:10">
      <c r="D120" s="31">
        <v>21</v>
      </c>
      <c r="E120" s="31">
        <v>22</v>
      </c>
      <c r="F120" s="31">
        <v>-23</v>
      </c>
      <c r="G120" s="31"/>
      <c r="H120" s="31">
        <f t="shared" si="1"/>
        <v>-139.1761372</v>
      </c>
      <c r="I120" s="31" t="s">
        <v>9</v>
      </c>
      <c r="J120" s="31">
        <v>110</v>
      </c>
    </row>
    <row r="121" spans="4:10">
      <c r="D121" s="31">
        <v>21</v>
      </c>
      <c r="E121" s="31">
        <v>22</v>
      </c>
      <c r="F121" s="31">
        <v>-23</v>
      </c>
      <c r="G121" s="31"/>
      <c r="H121" s="31">
        <f t="shared" si="1"/>
        <v>-139.1761372</v>
      </c>
      <c r="I121" s="31" t="s">
        <v>9</v>
      </c>
      <c r="J121" s="31">
        <v>110</v>
      </c>
    </row>
    <row r="122" spans="4:10">
      <c r="D122" s="31">
        <v>21</v>
      </c>
      <c r="E122" s="31">
        <v>22</v>
      </c>
      <c r="F122" s="31">
        <v>-23</v>
      </c>
      <c r="G122" s="31"/>
      <c r="H122" s="31">
        <f t="shared" si="1"/>
        <v>-139.1761372</v>
      </c>
      <c r="I122" s="31" t="s">
        <v>9</v>
      </c>
      <c r="J122" s="31">
        <v>110</v>
      </c>
    </row>
    <row r="123" spans="4:10">
      <c r="D123" s="31">
        <v>21</v>
      </c>
      <c r="E123" s="31">
        <v>22</v>
      </c>
      <c r="F123" s="31">
        <v>-23</v>
      </c>
      <c r="G123" s="31"/>
      <c r="H123" s="31">
        <f t="shared" si="1"/>
        <v>-139.1761372</v>
      </c>
      <c r="I123" s="31" t="s">
        <v>9</v>
      </c>
      <c r="J123" s="31">
        <v>110</v>
      </c>
    </row>
    <row r="124" spans="4:10">
      <c r="D124" s="31">
        <v>21</v>
      </c>
      <c r="E124" s="31">
        <v>22</v>
      </c>
      <c r="F124" s="31">
        <v>-23</v>
      </c>
      <c r="G124" s="31"/>
      <c r="H124" s="31">
        <f t="shared" si="1"/>
        <v>-139.1761372</v>
      </c>
      <c r="I124" s="31" t="s">
        <v>9</v>
      </c>
      <c r="J124" s="31">
        <v>110</v>
      </c>
    </row>
    <row r="125" spans="4:10">
      <c r="D125" s="31">
        <v>21</v>
      </c>
      <c r="E125" s="31">
        <v>22</v>
      </c>
      <c r="F125" s="31">
        <v>-23</v>
      </c>
      <c r="G125" s="31"/>
      <c r="H125" s="31">
        <f t="shared" si="1"/>
        <v>-139.1761372</v>
      </c>
      <c r="I125" s="31" t="s">
        <v>9</v>
      </c>
      <c r="J125" s="31">
        <v>110</v>
      </c>
    </row>
    <row r="126" spans="4:10">
      <c r="D126" s="31">
        <v>21</v>
      </c>
      <c r="E126" s="31">
        <v>22</v>
      </c>
      <c r="F126" s="31">
        <v>-23</v>
      </c>
      <c r="G126" s="31"/>
      <c r="H126" s="31">
        <f t="shared" si="1"/>
        <v>-139.1761372</v>
      </c>
      <c r="I126" s="31" t="s">
        <v>9</v>
      </c>
      <c r="J126" s="31">
        <v>110</v>
      </c>
    </row>
    <row r="127" spans="4:10">
      <c r="D127" s="31">
        <v>21</v>
      </c>
      <c r="E127" s="31">
        <v>22</v>
      </c>
      <c r="F127" s="31">
        <v>-23</v>
      </c>
      <c r="G127" s="31"/>
      <c r="H127" s="31">
        <f t="shared" si="1"/>
        <v>-139.1761372</v>
      </c>
      <c r="I127" s="31" t="s">
        <v>9</v>
      </c>
      <c r="J127" s="31">
        <v>110</v>
      </c>
    </row>
    <row r="128" spans="4:10">
      <c r="D128" s="31">
        <v>21</v>
      </c>
      <c r="E128" s="31">
        <v>22</v>
      </c>
      <c r="F128" s="31">
        <v>-23</v>
      </c>
      <c r="G128" s="31"/>
      <c r="H128" s="31">
        <f t="shared" si="1"/>
        <v>-139.1761372</v>
      </c>
      <c r="I128" s="31" t="s">
        <v>9</v>
      </c>
      <c r="J128" s="31">
        <v>110</v>
      </c>
    </row>
    <row r="129" spans="4:10">
      <c r="D129" s="31">
        <v>21</v>
      </c>
      <c r="E129" s="31">
        <v>22</v>
      </c>
      <c r="F129" s="31">
        <v>-23</v>
      </c>
      <c r="G129" s="31"/>
      <c r="H129" s="31">
        <f t="shared" si="1"/>
        <v>-139.1761372</v>
      </c>
      <c r="I129" s="31" t="s">
        <v>9</v>
      </c>
      <c r="J129" s="31">
        <v>110</v>
      </c>
    </row>
    <row r="130" spans="4:10">
      <c r="D130" s="31">
        <v>21</v>
      </c>
      <c r="E130" s="31">
        <v>22</v>
      </c>
      <c r="F130" s="31">
        <v>-23</v>
      </c>
      <c r="G130" s="31"/>
      <c r="H130" s="31">
        <f t="shared" si="1"/>
        <v>-139.1761372</v>
      </c>
      <c r="I130" s="31" t="s">
        <v>9</v>
      </c>
      <c r="J130" s="31">
        <v>110</v>
      </c>
    </row>
    <row r="131" spans="4:10">
      <c r="D131" s="31">
        <v>21</v>
      </c>
      <c r="E131" s="31">
        <v>22</v>
      </c>
      <c r="F131" s="31">
        <v>-23</v>
      </c>
      <c r="G131" s="31"/>
      <c r="H131" s="31">
        <f t="shared" si="1"/>
        <v>-139.1761372</v>
      </c>
      <c r="I131" s="31" t="s">
        <v>9</v>
      </c>
      <c r="J131" s="31">
        <v>110</v>
      </c>
    </row>
    <row r="132" spans="4:10">
      <c r="D132" s="31">
        <v>21</v>
      </c>
      <c r="E132" s="31">
        <v>22</v>
      </c>
      <c r="F132" s="31">
        <v>-23</v>
      </c>
      <c r="G132" s="31"/>
      <c r="H132" s="31">
        <f t="shared" si="1"/>
        <v>-139.1761372</v>
      </c>
      <c r="I132" s="31" t="s">
        <v>9</v>
      </c>
      <c r="J132" s="31">
        <v>110</v>
      </c>
    </row>
    <row r="133" spans="4:10">
      <c r="D133" s="31">
        <v>21</v>
      </c>
      <c r="E133" s="31">
        <v>22</v>
      </c>
      <c r="F133" s="31">
        <v>-23</v>
      </c>
      <c r="G133" s="31"/>
      <c r="H133" s="31">
        <f t="shared" si="1"/>
        <v>-139.1761372</v>
      </c>
      <c r="I133" s="31" t="s">
        <v>9</v>
      </c>
      <c r="J133" s="31">
        <v>110</v>
      </c>
    </row>
    <row r="134" spans="4:10">
      <c r="D134" s="31">
        <v>21</v>
      </c>
      <c r="E134" s="31">
        <v>22</v>
      </c>
      <c r="F134" s="31">
        <v>-23</v>
      </c>
      <c r="G134" s="31"/>
      <c r="H134" s="31">
        <f t="shared" si="1"/>
        <v>-139.1761372</v>
      </c>
      <c r="I134" s="31" t="s">
        <v>9</v>
      </c>
      <c r="J134" s="31">
        <v>110</v>
      </c>
    </row>
    <row r="135" spans="4:10">
      <c r="D135" s="31">
        <v>21</v>
      </c>
      <c r="E135" s="31">
        <v>22</v>
      </c>
      <c r="F135" s="31">
        <v>-23</v>
      </c>
      <c r="G135" s="31"/>
      <c r="H135" s="31">
        <f t="shared" si="1"/>
        <v>-139.1761372</v>
      </c>
      <c r="I135" s="31" t="s">
        <v>9</v>
      </c>
      <c r="J135" s="31">
        <v>110</v>
      </c>
    </row>
    <row r="136" spans="4:10">
      <c r="D136" s="31">
        <v>21</v>
      </c>
      <c r="E136" s="31">
        <v>22</v>
      </c>
      <c r="F136" s="31">
        <v>-23</v>
      </c>
      <c r="G136" s="31"/>
      <c r="H136" s="31">
        <f t="shared" si="1"/>
        <v>-139.1761372</v>
      </c>
      <c r="I136" s="31" t="s">
        <v>9</v>
      </c>
      <c r="J136" s="31">
        <v>110</v>
      </c>
    </row>
    <row r="137" spans="4:10">
      <c r="D137" s="31">
        <v>21</v>
      </c>
      <c r="E137" s="31">
        <v>22</v>
      </c>
      <c r="F137" s="31">
        <v>-23</v>
      </c>
      <c r="G137" s="31"/>
      <c r="H137" s="31">
        <f t="shared" si="1"/>
        <v>-139.1761372</v>
      </c>
      <c r="I137" s="31" t="s">
        <v>9</v>
      </c>
      <c r="J137" s="31">
        <v>110</v>
      </c>
    </row>
    <row r="138" spans="4:10">
      <c r="D138" s="31">
        <v>21</v>
      </c>
      <c r="E138" s="31">
        <v>22</v>
      </c>
      <c r="F138" s="31">
        <v>-23</v>
      </c>
      <c r="G138" s="31"/>
      <c r="H138" s="31">
        <f t="shared" si="1"/>
        <v>-139.1761372</v>
      </c>
      <c r="I138" s="31" t="s">
        <v>9</v>
      </c>
      <c r="J138" s="31">
        <v>110</v>
      </c>
    </row>
    <row r="139" spans="4:10">
      <c r="D139" s="31">
        <v>19</v>
      </c>
      <c r="E139" s="31">
        <v>34</v>
      </c>
      <c r="F139" s="31">
        <v>-32</v>
      </c>
      <c r="G139" s="31"/>
      <c r="H139" s="31">
        <f t="shared" si="1"/>
        <v>-193.6363648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L23"/>
  <sheetViews>
    <sheetView workbookViewId="0">
      <selection activeCell="L33" sqref="L33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bestFit="1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>
      <c r="A1" s="63" t="s">
        <v>204</v>
      </c>
      <c r="D1" s="18" t="s">
        <v>86</v>
      </c>
    </row>
    <row r="2" spans="1:12" ht="15" thickBot="1">
      <c r="A2" s="64" t="s">
        <v>205</v>
      </c>
      <c r="D2" s="18" t="s">
        <v>88</v>
      </c>
    </row>
    <row r="3" spans="1:12">
      <c r="A3" s="63" t="s">
        <v>209</v>
      </c>
    </row>
    <row r="4" spans="1:12" ht="15" thickBot="1">
      <c r="A4" s="64" t="s">
        <v>207</v>
      </c>
      <c r="D4" s="1" t="s">
        <v>1</v>
      </c>
      <c r="E4" s="1" t="s">
        <v>2</v>
      </c>
      <c r="F4" s="1" t="s">
        <v>3</v>
      </c>
    </row>
    <row r="5" spans="1:12">
      <c r="A5" s="63" t="s">
        <v>210</v>
      </c>
      <c r="D5" s="1">
        <v>-4</v>
      </c>
      <c r="E5" s="1">
        <v>7.5294118000000001</v>
      </c>
      <c r="F5" s="1">
        <v>0</v>
      </c>
      <c r="H5"/>
      <c r="I5"/>
      <c r="J5"/>
    </row>
    <row r="6" spans="1:12" ht="15" thickBot="1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>
      <c r="A7" s="63" t="s">
        <v>211</v>
      </c>
    </row>
    <row r="8" spans="1:12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14.588235400000002</v>
      </c>
    </row>
    <row r="9" spans="1:12" ht="15" thickBot="1">
      <c r="A9" s="64">
        <f>VLOOKUP(A8,OpenSolverResultCodes,2,FALSE)</f>
        <v>0</v>
      </c>
    </row>
    <row r="10" spans="1:12" ht="15" thickBot="1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42.823529800000003</v>
      </c>
      <c r="I10" s="1" t="s">
        <v>8</v>
      </c>
      <c r="J10" s="1">
        <v>60</v>
      </c>
    </row>
    <row r="11" spans="1:12">
      <c r="D11" s="1">
        <v>21</v>
      </c>
      <c r="E11" s="1">
        <v>22</v>
      </c>
      <c r="F11" s="1">
        <v>23</v>
      </c>
      <c r="H11" s="1">
        <f>SUMPRODUCT($D$5:$F$5,D11:F11)</f>
        <v>81.647059600000006</v>
      </c>
      <c r="I11" s="1" t="s">
        <v>8</v>
      </c>
      <c r="J11" s="1">
        <v>150</v>
      </c>
    </row>
    <row r="12" spans="1:12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>
      <c r="D13" s="1">
        <v>19</v>
      </c>
      <c r="E13" s="1">
        <v>34</v>
      </c>
      <c r="F13" s="1">
        <v>-32</v>
      </c>
      <c r="H13" s="1">
        <f>SUMPRODUCT($D$5:$F$5,D13:F13)</f>
        <v>180.00000119999999</v>
      </c>
      <c r="I13" s="1" t="s">
        <v>10</v>
      </c>
      <c r="J13" s="1">
        <v>180</v>
      </c>
    </row>
    <row r="17" spans="1:6">
      <c r="C17" s="17" t="s">
        <v>15</v>
      </c>
    </row>
    <row r="18" spans="1:6">
      <c r="D18" s="1">
        <v>-4</v>
      </c>
      <c r="E18" s="1">
        <v>7.5294117647058831</v>
      </c>
      <c r="F18" s="1">
        <v>0</v>
      </c>
    </row>
    <row r="19" spans="1:6" s="1" customFormat="1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>
      <c r="A21" s="61"/>
      <c r="C21" s="17" t="s">
        <v>16</v>
      </c>
    </row>
    <row r="22" spans="1:6" s="1" customFormat="1">
      <c r="A22" s="61"/>
      <c r="C22"/>
      <c r="D22" s="1">
        <v>14.588235294117649</v>
      </c>
    </row>
    <row r="23" spans="1:6" s="1" customFormat="1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1:J22"/>
  <sheetViews>
    <sheetView workbookViewId="0">
      <selection activeCell="K6" sqref="K6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161</v>
      </c>
    </row>
    <row r="2" spans="1:10" ht="15" thickBot="1">
      <c r="A2" s="64" t="s">
        <v>205</v>
      </c>
    </row>
    <row r="3" spans="1:10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" thickBot="1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" thickBot="1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>
      <c r="A7" s="63" t="s">
        <v>211</v>
      </c>
    </row>
    <row r="8" spans="1:10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" thickBot="1">
      <c r="A9" s="64">
        <f>VLOOKUP(A8,OpenSolverResultCodes,2,FALSE)</f>
        <v>0</v>
      </c>
    </row>
    <row r="10" spans="1:10" ht="15" thickBot="1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>
      <c r="C16" s="56" t="s">
        <v>15</v>
      </c>
    </row>
    <row r="17" spans="3:6">
      <c r="D17" s="54">
        <v>-1</v>
      </c>
      <c r="E17" s="54">
        <v>-2</v>
      </c>
      <c r="F17" s="54">
        <v>0</v>
      </c>
    </row>
    <row r="18" spans="3:6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>
      <c r="C20" s="56" t="s">
        <v>16</v>
      </c>
    </row>
    <row r="21" spans="3:6">
      <c r="D21" s="54">
        <v>-8</v>
      </c>
    </row>
    <row r="22" spans="3:6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J22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163</v>
      </c>
    </row>
    <row r="2" spans="1:10" ht="15" thickBot="1">
      <c r="A2" s="64" t="s">
        <v>205</v>
      </c>
    </row>
    <row r="3" spans="1:10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" thickBot="1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" thickBot="1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>
      <c r="A7" s="63" t="s">
        <v>211</v>
      </c>
    </row>
    <row r="8" spans="1:10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" thickBot="1">
      <c r="A9" s="64">
        <f>VLOOKUP(A8,OpenSolverResultCodes,2,FALSE)</f>
        <v>0</v>
      </c>
    </row>
    <row r="10" spans="1:10" ht="15" thickBot="1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>
      <c r="C16" s="56" t="s">
        <v>15</v>
      </c>
    </row>
    <row r="17" spans="3:6">
      <c r="D17" s="54">
        <v>-2</v>
      </c>
      <c r="E17" s="54">
        <v>-2</v>
      </c>
      <c r="F17" s="54">
        <v>-2</v>
      </c>
    </row>
    <row r="18" spans="3:6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>
      <c r="C20" s="56" t="s">
        <v>16</v>
      </c>
    </row>
    <row r="21" spans="3:6">
      <c r="D21" s="54">
        <v>-18</v>
      </c>
    </row>
    <row r="22" spans="3:6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J23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10.1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163</v>
      </c>
    </row>
    <row r="2" spans="1:10" ht="15" thickBot="1">
      <c r="A2" s="64" t="s">
        <v>205</v>
      </c>
      <c r="D2" s="18" t="s">
        <v>164</v>
      </c>
    </row>
    <row r="3" spans="1:10">
      <c r="A3" s="63" t="s">
        <v>209</v>
      </c>
      <c r="D3" s="18"/>
    </row>
    <row r="4" spans="1:10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0">
      <c r="A5" s="63" t="s">
        <v>210</v>
      </c>
      <c r="D5" s="150">
        <v>-2</v>
      </c>
      <c r="E5" s="54">
        <v>-2</v>
      </c>
      <c r="F5" s="54">
        <v>0</v>
      </c>
      <c r="H5"/>
      <c r="I5"/>
      <c r="J5"/>
    </row>
    <row r="6" spans="1:10" ht="15" thickBot="1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>
      <c r="A7" s="63" t="s">
        <v>211</v>
      </c>
      <c r="C7" s="16" t="s">
        <v>162</v>
      </c>
      <c r="E7" s="54">
        <v>-2</v>
      </c>
      <c r="H7"/>
      <c r="I7"/>
      <c r="J7"/>
    </row>
    <row r="8" spans="1:10">
      <c r="A8" s="65" t="s">
        <v>201</v>
      </c>
    </row>
    <row r="9" spans="1:10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" thickBot="1">
      <c r="A10" s="173" t="str">
        <f>HYPERLINK("[OpenSolver Tester.xlsm]Results!A1", "&lt;- Results")</f>
        <v>&lt;- Results</v>
      </c>
    </row>
    <row r="11" spans="1:10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>
      <c r="C17" s="56" t="s">
        <v>15</v>
      </c>
    </row>
    <row r="18" spans="1:6" s="54" customFormat="1">
      <c r="A18" s="61"/>
      <c r="C18" s="16"/>
      <c r="D18" s="54">
        <v>-2</v>
      </c>
      <c r="E18" s="54">
        <v>-2</v>
      </c>
      <c r="F18" s="54">
        <v>0</v>
      </c>
    </row>
    <row r="19" spans="1:6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>
      <c r="A21" s="61"/>
      <c r="C21" s="56" t="s">
        <v>16</v>
      </c>
    </row>
    <row r="22" spans="1:6" s="54" customFormat="1">
      <c r="A22" s="61"/>
      <c r="C22" s="16"/>
      <c r="D22" s="54">
        <v>-10</v>
      </c>
    </row>
    <row r="23" spans="1:6" s="54" customFormat="1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J23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5" width="7.33203125" style="54" customWidth="1"/>
    <col min="6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163</v>
      </c>
    </row>
    <row r="2" spans="1:10" ht="15" thickBot="1">
      <c r="A2" s="64" t="s">
        <v>205</v>
      </c>
      <c r="D2" s="18" t="s">
        <v>164</v>
      </c>
    </row>
    <row r="3" spans="1:10">
      <c r="A3" s="63" t="s">
        <v>209</v>
      </c>
      <c r="D3" s="18" t="s">
        <v>165</v>
      </c>
    </row>
    <row r="4" spans="1:10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0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" thickBot="1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>
      <c r="A7" s="63" t="s">
        <v>211</v>
      </c>
      <c r="C7" s="16" t="s">
        <v>162</v>
      </c>
      <c r="E7" s="54">
        <v>-1.9</v>
      </c>
      <c r="H7"/>
      <c r="I7"/>
      <c r="J7"/>
    </row>
    <row r="8" spans="1:10">
      <c r="A8" s="65" t="s">
        <v>201</v>
      </c>
    </row>
    <row r="9" spans="1:10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" thickBot="1">
      <c r="A10" s="173" t="str">
        <f>HYPERLINK("[OpenSolver Tester.xlsm]Results!A1", "&lt;- Results")</f>
        <v>&lt;- Results</v>
      </c>
    </row>
    <row r="11" spans="1:10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>
      <c r="C17" s="56" t="s">
        <v>15</v>
      </c>
    </row>
    <row r="18" spans="1:6" s="54" customFormat="1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>
      <c r="A21" s="61"/>
      <c r="C21" s="56" t="s">
        <v>16</v>
      </c>
    </row>
    <row r="22" spans="1:6" s="54" customFormat="1">
      <c r="A22" s="61"/>
      <c r="C22" s="16"/>
      <c r="D22" s="54">
        <v>-6.8</v>
      </c>
    </row>
    <row r="23" spans="1:6" s="54" customFormat="1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J24"/>
  <sheetViews>
    <sheetView workbookViewId="0">
      <selection activeCell="L51" sqref="L51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5.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166</v>
      </c>
    </row>
    <row r="2" spans="1:10" ht="15" thickBot="1">
      <c r="A2" s="64" t="s">
        <v>205</v>
      </c>
      <c r="D2" s="18" t="s">
        <v>167</v>
      </c>
    </row>
    <row r="3" spans="1:10">
      <c r="A3" s="63" t="s">
        <v>209</v>
      </c>
      <c r="D3" s="18" t="s">
        <v>168</v>
      </c>
    </row>
    <row r="4" spans="1:10" ht="15" thickBot="1">
      <c r="A4" s="64" t="s">
        <v>207</v>
      </c>
    </row>
    <row r="5" spans="1:10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" thickBot="1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" thickBot="1">
      <c r="A9" s="64">
        <f>VLOOKUP(A8,OpenSolverResultCodes,2,FALSE)</f>
        <v>0</v>
      </c>
    </row>
    <row r="10" spans="1:10" ht="15" thickBot="1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>
      <c r="C18" s="56" t="s">
        <v>15</v>
      </c>
    </row>
    <row r="19" spans="3:6">
      <c r="D19" s="54">
        <v>-1</v>
      </c>
      <c r="E19" s="54">
        <v>-2</v>
      </c>
      <c r="F19" s="54">
        <v>0</v>
      </c>
    </row>
    <row r="20" spans="3:6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>
      <c r="C22" s="56" t="s">
        <v>16</v>
      </c>
    </row>
    <row r="23" spans="3:6">
      <c r="D23" s="54">
        <v>-8</v>
      </c>
    </row>
    <row r="24" spans="3:6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enableFormatConditionsCalculation="0"/>
  <dimension ref="A1:J24"/>
  <sheetViews>
    <sheetView workbookViewId="0">
      <selection activeCell="J20" sqref="J2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5.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170</v>
      </c>
    </row>
    <row r="2" spans="1:10" ht="15" thickBot="1">
      <c r="A2" s="64" t="s">
        <v>205</v>
      </c>
      <c r="D2" s="18" t="s">
        <v>167</v>
      </c>
    </row>
    <row r="3" spans="1:10">
      <c r="A3" s="63" t="s">
        <v>209</v>
      </c>
      <c r="D3" s="18" t="s">
        <v>168</v>
      </c>
    </row>
    <row r="4" spans="1:10" ht="15" thickBot="1">
      <c r="A4" s="64" t="s">
        <v>207</v>
      </c>
    </row>
    <row r="5" spans="1:10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" thickBot="1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>
      <c r="A7" s="63" t="s">
        <v>211</v>
      </c>
      <c r="E7" s="54" t="s">
        <v>9</v>
      </c>
      <c r="F7" s="54" t="s">
        <v>9</v>
      </c>
      <c r="H7"/>
      <c r="I7"/>
      <c r="J7"/>
    </row>
    <row r="8" spans="1:10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" thickBot="1">
      <c r="A9" s="64">
        <f>VLOOKUP(A8,OpenSolverResultCodes,2,FALSE)</f>
        <v>0</v>
      </c>
    </row>
    <row r="10" spans="1:10" ht="15" thickBot="1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>
      <c r="C18" s="56" t="s">
        <v>15</v>
      </c>
    </row>
    <row r="19" spans="3:6">
      <c r="D19" s="54">
        <v>0</v>
      </c>
      <c r="E19" s="54">
        <v>-2</v>
      </c>
      <c r="F19" s="54">
        <v>0</v>
      </c>
    </row>
    <row r="20" spans="3:6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>
      <c r="C22" s="56" t="s">
        <v>16</v>
      </c>
    </row>
    <row r="23" spans="3:6">
      <c r="D23" s="54">
        <v>-6</v>
      </c>
    </row>
    <row r="24" spans="3:6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/>
  <dimension ref="A1:J24"/>
  <sheetViews>
    <sheetView workbookViewId="0">
      <selection activeCell="K21" sqref="K21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5.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171</v>
      </c>
    </row>
    <row r="2" spans="1:10" ht="15" thickBot="1">
      <c r="A2" s="64" t="s">
        <v>205</v>
      </c>
      <c r="D2" s="18" t="s">
        <v>167</v>
      </c>
    </row>
    <row r="3" spans="1:10">
      <c r="A3" s="63" t="s">
        <v>209</v>
      </c>
      <c r="D3" s="18" t="s">
        <v>168</v>
      </c>
    </row>
    <row r="4" spans="1:10" ht="15" thickBot="1">
      <c r="A4" s="64" t="s">
        <v>207</v>
      </c>
    </row>
    <row r="5" spans="1:10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" thickBot="1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" thickBot="1">
      <c r="A9" s="64">
        <f>VLOOKUP(A8,OpenSolverResultCodes,2,FALSE)</f>
        <v>0</v>
      </c>
    </row>
    <row r="10" spans="1:10" ht="15" thickBot="1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>
      <c r="C18" s="56" t="s">
        <v>15</v>
      </c>
    </row>
    <row r="19" spans="3:6">
      <c r="D19" s="54">
        <v>-1</v>
      </c>
      <c r="E19" s="54">
        <v>-2</v>
      </c>
      <c r="F19" s="54">
        <v>0</v>
      </c>
    </row>
    <row r="20" spans="3:6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>
      <c r="C22" s="56" t="s">
        <v>16</v>
      </c>
    </row>
    <row r="23" spans="3:6">
      <c r="D23" s="54">
        <v>-8</v>
      </c>
    </row>
    <row r="24" spans="3:6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/>
  <dimension ref="A1:M22"/>
  <sheetViews>
    <sheetView workbookViewId="0">
      <selection activeCell="Q29" sqref="Q29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10.6640625" style="54" customWidth="1"/>
    <col min="5" max="5" width="9.1640625" style="54" customWidth="1"/>
    <col min="6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174</v>
      </c>
    </row>
    <row r="2" spans="1:13" ht="15" thickBot="1">
      <c r="A2" s="64" t="s">
        <v>205</v>
      </c>
    </row>
    <row r="3" spans="1:13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" thickBot="1">
      <c r="A4" s="64" t="s">
        <v>207</v>
      </c>
      <c r="D4" s="150">
        <v>-2</v>
      </c>
      <c r="E4" s="150">
        <v>-2</v>
      </c>
      <c r="F4" s="54">
        <v>-2</v>
      </c>
      <c r="H4"/>
      <c r="I4"/>
      <c r="J4"/>
    </row>
    <row r="5" spans="1:13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" thickBot="1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>
      <c r="A7" s="63" t="s">
        <v>211</v>
      </c>
    </row>
    <row r="8" spans="1:13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" thickBot="1">
      <c r="A9" s="64">
        <f>VLOOKUP(A8,OpenSolverResultCodes,2,FALSE)</f>
        <v>0</v>
      </c>
    </row>
    <row r="10" spans="1:13" ht="15" thickBot="1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>
      <c r="C16" s="56" t="s">
        <v>15</v>
      </c>
    </row>
    <row r="17" spans="3:6">
      <c r="D17" s="54">
        <v>-2</v>
      </c>
      <c r="E17" s="54">
        <v>-2</v>
      </c>
      <c r="F17" s="54">
        <v>-2</v>
      </c>
    </row>
    <row r="18" spans="3:6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>
      <c r="C20" s="56" t="s">
        <v>16</v>
      </c>
    </row>
    <row r="21" spans="3:6">
      <c r="D21" s="54">
        <v>-18</v>
      </c>
    </row>
    <row r="22" spans="3:6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 enableFormatConditionsCalculation="0"/>
  <dimension ref="A1:M23"/>
  <sheetViews>
    <sheetView workbookViewId="0">
      <selection activeCell="L8" sqref="L8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5" width="9.5" style="54" customWidth="1"/>
    <col min="6" max="6" width="8.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176</v>
      </c>
    </row>
    <row r="2" spans="1:13" ht="15" thickBot="1">
      <c r="A2" s="64" t="s">
        <v>205</v>
      </c>
      <c r="D2" s="18" t="s">
        <v>177</v>
      </c>
    </row>
    <row r="3" spans="1:13">
      <c r="A3" s="63" t="s">
        <v>209</v>
      </c>
      <c r="D3" s="18" t="s">
        <v>375</v>
      </c>
    </row>
    <row r="4" spans="1:13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3">
      <c r="A5" s="63" t="s">
        <v>210</v>
      </c>
      <c r="D5" s="54">
        <v>-2</v>
      </c>
      <c r="E5" s="150">
        <v>0</v>
      </c>
      <c r="F5" s="150">
        <v>0</v>
      </c>
      <c r="H5"/>
      <c r="I5"/>
      <c r="J5"/>
    </row>
    <row r="6" spans="1:13" ht="15" thickBot="1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>
      <c r="A8" s="65" t="s">
        <v>201</v>
      </c>
    </row>
    <row r="9" spans="1:13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" thickBot="1">
      <c r="A10" s="173" t="str">
        <f>HYPERLINK("[OpenSolver Tester.xlsm]Results!A1", "&lt;- Results")</f>
        <v>&lt;- Results</v>
      </c>
    </row>
    <row r="11" spans="1:13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>
      <c r="C17" s="56" t="s">
        <v>15</v>
      </c>
    </row>
    <row r="18" spans="1:13" s="54" customFormat="1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>
      <c r="A21" s="61"/>
      <c r="C21" s="56" t="s">
        <v>16</v>
      </c>
      <c r="K21"/>
      <c r="L21"/>
      <c r="M21"/>
    </row>
    <row r="22" spans="1:13" s="54" customFormat="1">
      <c r="A22" s="61"/>
      <c r="C22" s="16"/>
      <c r="D22" s="54">
        <v>-4</v>
      </c>
      <c r="K22"/>
      <c r="L22"/>
      <c r="M22"/>
    </row>
    <row r="23" spans="1:13" s="54" customFormat="1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M23"/>
  <sheetViews>
    <sheetView workbookViewId="0">
      <selection activeCell="H13" sqref="H13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178</v>
      </c>
    </row>
    <row r="2" spans="1:13" ht="15" thickBot="1">
      <c r="A2" s="64" t="s">
        <v>205</v>
      </c>
      <c r="D2" s="18" t="s">
        <v>177</v>
      </c>
    </row>
    <row r="3" spans="1:13">
      <c r="A3" s="63" t="s">
        <v>209</v>
      </c>
      <c r="D3" s="18"/>
    </row>
    <row r="4" spans="1:13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3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" thickBot="1">
      <c r="A6" s="64" t="b">
        <f>AND(D19,E19,F19,D23)</f>
        <v>1</v>
      </c>
      <c r="H6"/>
      <c r="I6"/>
      <c r="J6"/>
    </row>
    <row r="7" spans="1:13">
      <c r="A7" s="63" t="s">
        <v>211</v>
      </c>
      <c r="H7"/>
      <c r="I7"/>
      <c r="J7"/>
      <c r="L7">
        <v>-2</v>
      </c>
      <c r="M7" t="s">
        <v>175</v>
      </c>
    </row>
    <row r="8" spans="1:13">
      <c r="A8" s="65" t="s">
        <v>201</v>
      </c>
    </row>
    <row r="9" spans="1:13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" thickBot="1">
      <c r="A10" s="173" t="str">
        <f>HYPERLINK("[OpenSolver Tester.xlsm]Results!A1", "&lt;- Results")</f>
        <v>&lt;- Results</v>
      </c>
    </row>
    <row r="11" spans="1:13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>
      <c r="C17" s="56" t="s">
        <v>15</v>
      </c>
    </row>
    <row r="18" spans="1:13" s="54" customFormat="1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>
      <c r="A21" s="61"/>
      <c r="C21" s="56" t="s">
        <v>16</v>
      </c>
      <c r="K21"/>
      <c r="L21"/>
      <c r="M21"/>
    </row>
    <row r="22" spans="1:13" s="54" customFormat="1">
      <c r="A22" s="61"/>
      <c r="C22" s="16"/>
      <c r="D22" s="54">
        <v>0</v>
      </c>
      <c r="K22"/>
      <c r="L22"/>
      <c r="M22"/>
    </row>
    <row r="23" spans="1:13" s="54" customFormat="1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M23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25.1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179</v>
      </c>
    </row>
    <row r="2" spans="1:13" ht="15" thickBot="1">
      <c r="A2" s="64" t="s">
        <v>205</v>
      </c>
      <c r="D2" s="18" t="s">
        <v>180</v>
      </c>
    </row>
    <row r="3" spans="1:13">
      <c r="A3" s="63" t="s">
        <v>209</v>
      </c>
      <c r="D3" s="18"/>
    </row>
    <row r="4" spans="1:13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3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5" thickBot="1">
      <c r="A6" s="64" t="b">
        <f>AND(D19,E19,F19,D23)</f>
        <v>1</v>
      </c>
      <c r="H6"/>
      <c r="I6"/>
      <c r="J6"/>
    </row>
    <row r="7" spans="1:13">
      <c r="A7" s="63" t="s">
        <v>211</v>
      </c>
      <c r="H7"/>
      <c r="I7"/>
      <c r="J7"/>
      <c r="L7">
        <v>-2</v>
      </c>
      <c r="M7" t="s">
        <v>175</v>
      </c>
    </row>
    <row r="8" spans="1:13">
      <c r="A8" s="65" t="s">
        <v>201</v>
      </c>
    </row>
    <row r="9" spans="1:13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" thickBot="1">
      <c r="A10" s="173" t="str">
        <f>HYPERLINK("[OpenSolver Tester.xlsm]Results!A1", "&lt;- Results")</f>
        <v>&lt;- Results</v>
      </c>
    </row>
    <row r="11" spans="1:13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>
      <c r="C17" s="56" t="s">
        <v>15</v>
      </c>
    </row>
    <row r="18" spans="1:13" s="54" customFormat="1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>
      <c r="A21" s="61"/>
      <c r="C21" s="56" t="s">
        <v>16</v>
      </c>
      <c r="K21"/>
      <c r="L21"/>
      <c r="M21"/>
    </row>
    <row r="22" spans="1:13" s="54" customFormat="1">
      <c r="A22" s="61"/>
      <c r="C22" s="16"/>
      <c r="D22" s="54">
        <v>-20</v>
      </c>
      <c r="K22"/>
      <c r="L22"/>
      <c r="M22"/>
    </row>
    <row r="23" spans="1:13" s="54" customFormat="1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M23"/>
  <sheetViews>
    <sheetView workbookViewId="0">
      <selection activeCell="N15" sqref="N15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1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181</v>
      </c>
    </row>
    <row r="2" spans="1:13" ht="15" thickBot="1">
      <c r="A2" s="64" t="s">
        <v>205</v>
      </c>
      <c r="D2" s="18" t="s">
        <v>182</v>
      </c>
    </row>
    <row r="3" spans="1:13">
      <c r="A3" s="63" t="s">
        <v>209</v>
      </c>
      <c r="D3" s="18"/>
    </row>
    <row r="4" spans="1:13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3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" thickBot="1">
      <c r="A6" s="64" t="b">
        <f>AND(D19,E19,F19,D23)</f>
        <v>1</v>
      </c>
      <c r="H6"/>
      <c r="I6"/>
      <c r="J6"/>
    </row>
    <row r="7" spans="1:13">
      <c r="A7" s="63" t="s">
        <v>211</v>
      </c>
      <c r="H7"/>
      <c r="I7"/>
      <c r="J7"/>
      <c r="L7">
        <v>-2</v>
      </c>
      <c r="M7" t="s">
        <v>175</v>
      </c>
    </row>
    <row r="8" spans="1:13">
      <c r="A8" s="65" t="s">
        <v>201</v>
      </c>
    </row>
    <row r="9" spans="1:13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" thickBot="1">
      <c r="A10" s="173" t="str">
        <f>HYPERLINK("[OpenSolver Tester.xlsm]Results!A1", "&lt;- Results")</f>
        <v>&lt;- Results</v>
      </c>
    </row>
    <row r="11" spans="1:13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>
      <c r="C17" s="56" t="s">
        <v>15</v>
      </c>
    </row>
    <row r="18" spans="1:13" s="54" customFormat="1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>
      <c r="A21" s="61"/>
      <c r="C21" s="56" t="s">
        <v>16</v>
      </c>
      <c r="K21"/>
      <c r="L21"/>
      <c r="M21"/>
    </row>
    <row r="22" spans="1:13" s="54" customFormat="1">
      <c r="A22" s="61"/>
      <c r="C22" s="16"/>
      <c r="D22" s="54">
        <v>0</v>
      </c>
      <c r="K22"/>
      <c r="L22"/>
      <c r="M22"/>
    </row>
    <row r="23" spans="1:13" s="54" customFormat="1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/>
  <dimension ref="A1:M23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388</v>
      </c>
    </row>
    <row r="2" spans="1:13" ht="15" thickBot="1">
      <c r="A2" s="64" t="s">
        <v>205</v>
      </c>
      <c r="D2" s="18" t="s">
        <v>389</v>
      </c>
    </row>
    <row r="3" spans="1:13">
      <c r="A3" s="63" t="s">
        <v>209</v>
      </c>
      <c r="D3" s="18"/>
    </row>
    <row r="4" spans="1:13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3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" thickBot="1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>
      <c r="A8" s="65" t="s">
        <v>201</v>
      </c>
    </row>
    <row r="9" spans="1:13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" thickBot="1">
      <c r="A10" s="173" t="str">
        <f>HYPERLINK("[OpenSolver Tester.xlsm]Results!A1", "&lt;- Results")</f>
        <v>&lt;- Results</v>
      </c>
    </row>
    <row r="11" spans="1:13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>
      <c r="C17" s="56" t="s">
        <v>15</v>
      </c>
    </row>
    <row r="18" spans="1:13" s="54" customFormat="1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>
      <c r="A21" s="61"/>
      <c r="C21" s="56" t="s">
        <v>16</v>
      </c>
      <c r="K21"/>
      <c r="L21"/>
      <c r="M21"/>
    </row>
    <row r="22" spans="1:13" s="54" customFormat="1">
      <c r="A22" s="61"/>
      <c r="C22" s="16"/>
      <c r="D22" s="54">
        <v>0</v>
      </c>
      <c r="K22"/>
      <c r="L22"/>
      <c r="M22"/>
    </row>
    <row r="23" spans="1:13" s="54" customFormat="1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 enableFormatConditionsCalculation="0"/>
  <dimension ref="A1:N22"/>
  <sheetViews>
    <sheetView workbookViewId="0">
      <selection activeCell="N9" sqref="N9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55" customWidth="1"/>
    <col min="5" max="6" width="5.1640625" style="55" customWidth="1"/>
    <col min="7" max="7" width="3.1640625" style="55" customWidth="1"/>
    <col min="8" max="8" width="8.5" style="55" customWidth="1"/>
    <col min="9" max="9" width="3" style="55" bestFit="1" customWidth="1"/>
    <col min="10" max="10" width="6" style="55" customWidth="1"/>
    <col min="14" max="14" width="8.5" bestFit="1" customWidth="1"/>
  </cols>
  <sheetData>
    <row r="1" spans="1:14">
      <c r="A1" s="63" t="s">
        <v>204</v>
      </c>
      <c r="C1" t="s">
        <v>187</v>
      </c>
    </row>
    <row r="2" spans="1:14" ht="15" thickBot="1">
      <c r="A2" s="64" t="s">
        <v>206</v>
      </c>
      <c r="C2" t="s">
        <v>188</v>
      </c>
    </row>
    <row r="3" spans="1:14">
      <c r="A3" s="63" t="s">
        <v>209</v>
      </c>
    </row>
    <row r="4" spans="1:14" ht="15" thickBot="1">
      <c r="A4" s="64" t="s">
        <v>207</v>
      </c>
      <c r="D4" s="55" t="s">
        <v>1</v>
      </c>
      <c r="E4" s="55" t="s">
        <v>2</v>
      </c>
      <c r="F4" s="55" t="s">
        <v>3</v>
      </c>
    </row>
    <row r="5" spans="1:14">
      <c r="A5" s="63" t="s">
        <v>210</v>
      </c>
      <c r="D5" s="55">
        <v>0</v>
      </c>
      <c r="E5" s="55">
        <v>5.2941175999999999</v>
      </c>
      <c r="F5" s="55">
        <v>0</v>
      </c>
      <c r="H5"/>
      <c r="I5"/>
      <c r="J5"/>
    </row>
    <row r="6" spans="1:14" ht="15" thickBot="1">
      <c r="A6" s="64" t="b">
        <f>AND(D18,E18,F18,D22)</f>
        <v>1</v>
      </c>
    </row>
    <row r="7" spans="1:14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15.8823528</v>
      </c>
      <c r="M7" t="s">
        <v>189</v>
      </c>
    </row>
    <row r="8" spans="1:14">
      <c r="A8" s="65" t="s">
        <v>201</v>
      </c>
      <c r="M8" s="58" t="s">
        <v>191</v>
      </c>
      <c r="N8" s="58" t="s">
        <v>190</v>
      </c>
    </row>
    <row r="9" spans="1:14" ht="15" thickBot="1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58.235293599999999</v>
      </c>
      <c r="I9" s="55" t="s">
        <v>8</v>
      </c>
      <c r="J9" s="55">
        <v>60</v>
      </c>
      <c r="M9" s="58">
        <f ca="1">N9+1</f>
        <v>278399</v>
      </c>
      <c r="N9" s="58">
        <f ca="1">M9+1</f>
        <v>278400</v>
      </c>
    </row>
    <row r="10" spans="1:14" ht="15" thickBot="1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116.4705872</v>
      </c>
      <c r="I10" s="55" t="s">
        <v>8</v>
      </c>
      <c r="J10" s="55">
        <v>150</v>
      </c>
    </row>
    <row r="11" spans="1:14">
      <c r="D11" s="55">
        <v>21</v>
      </c>
      <c r="E11" s="55">
        <v>22</v>
      </c>
      <c r="F11" s="55">
        <v>-23</v>
      </c>
      <c r="H11" s="55">
        <f>SUMPRODUCT($D$5:$F$5,D11:F11)</f>
        <v>116.4705872</v>
      </c>
      <c r="I11" s="55" t="s">
        <v>9</v>
      </c>
      <c r="J11" s="55">
        <v>110</v>
      </c>
    </row>
    <row r="12" spans="1:14">
      <c r="D12" s="55">
        <v>19</v>
      </c>
      <c r="E12" s="55">
        <v>34</v>
      </c>
      <c r="F12" s="55">
        <v>-32</v>
      </c>
      <c r="H12" s="55">
        <f>SUMPRODUCT($D$5:$F$5,D12:F12)</f>
        <v>179.99999839999998</v>
      </c>
      <c r="I12" s="55" t="s">
        <v>10</v>
      </c>
      <c r="J12" s="55">
        <v>180</v>
      </c>
    </row>
    <row r="16" spans="1:14">
      <c r="C16" s="17" t="s">
        <v>15</v>
      </c>
    </row>
    <row r="17" spans="1:6">
      <c r="D17" s="55">
        <v>0</v>
      </c>
      <c r="E17" s="55">
        <v>5.294117647058874</v>
      </c>
      <c r="F17" s="55">
        <v>0</v>
      </c>
    </row>
    <row r="18" spans="1:6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>
      <c r="A20" s="61"/>
      <c r="C20" s="17" t="s">
        <v>16</v>
      </c>
    </row>
    <row r="21" spans="1:6" s="55" customFormat="1">
      <c r="A21" s="61"/>
      <c r="C21"/>
      <c r="D21" s="55">
        <v>15.882352941176622</v>
      </c>
    </row>
    <row r="22" spans="1:6" s="55" customFormat="1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 enableFormatConditionsCalculation="0"/>
  <dimension ref="A1:J22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4.5" customWidth="1"/>
  </cols>
  <sheetData>
    <row r="1" spans="1:10">
      <c r="A1" s="63" t="s">
        <v>204</v>
      </c>
      <c r="B1" t="s">
        <v>192</v>
      </c>
    </row>
    <row r="2" spans="1:10" ht="15" thickBot="1">
      <c r="A2" s="64" t="s">
        <v>205</v>
      </c>
    </row>
    <row r="3" spans="1:10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" thickBot="1">
      <c r="A4" s="64" t="s">
        <v>207</v>
      </c>
      <c r="D4" s="57"/>
      <c r="E4" s="57"/>
      <c r="F4" s="57"/>
      <c r="G4" s="57"/>
      <c r="H4" s="57"/>
      <c r="I4" s="57"/>
      <c r="J4" s="57"/>
    </row>
    <row r="5" spans="1:10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" thickBot="1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>
      <c r="A7" s="63" t="s">
        <v>211</v>
      </c>
      <c r="D7" s="57">
        <v>9.5238095000000005</v>
      </c>
      <c r="E7" s="57">
        <v>0</v>
      </c>
      <c r="F7" s="57">
        <v>0</v>
      </c>
      <c r="G7" s="57"/>
    </row>
    <row r="8" spans="1:10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" thickBot="1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19.047619000000001</v>
      </c>
      <c r="I9" s="57"/>
      <c r="J9" s="57"/>
    </row>
    <row r="10" spans="1:10" ht="15" thickBot="1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95.238095000000001</v>
      </c>
      <c r="I11" s="57" t="s">
        <v>8</v>
      </c>
      <c r="J11" s="57">
        <v>60</v>
      </c>
    </row>
    <row r="12" spans="1:10">
      <c r="D12" s="57">
        <v>21</v>
      </c>
      <c r="E12" s="57">
        <v>22</v>
      </c>
      <c r="F12" s="57">
        <v>23</v>
      </c>
      <c r="G12" s="57"/>
      <c r="H12" s="57">
        <f>SUMPRODUCT($D$7:$F$7,D12:F12)+5*P11</f>
        <v>199.9999995</v>
      </c>
      <c r="I12" s="57" t="s">
        <v>8</v>
      </c>
      <c r="J12" s="57">
        <v>150</v>
      </c>
    </row>
    <row r="13" spans="1:10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199.9999995</v>
      </c>
      <c r="I13" s="57" t="s">
        <v>9</v>
      </c>
      <c r="J13" s="57">
        <v>200</v>
      </c>
    </row>
    <row r="14" spans="1:10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180.9523805</v>
      </c>
      <c r="I14" s="57" t="s">
        <v>8</v>
      </c>
      <c r="J14" s="57">
        <v>180</v>
      </c>
    </row>
    <row r="15" spans="1:10">
      <c r="D15" s="57"/>
      <c r="E15" s="57"/>
      <c r="F15" s="57"/>
      <c r="G15" s="57"/>
      <c r="H15" s="57"/>
      <c r="I15" s="57"/>
      <c r="J15" s="57"/>
    </row>
    <row r="16" spans="1:10">
      <c r="D16" s="57"/>
      <c r="E16" s="57"/>
      <c r="F16" s="57"/>
      <c r="G16" s="57"/>
      <c r="H16" s="57"/>
      <c r="I16" s="57"/>
      <c r="J16" s="57"/>
    </row>
    <row r="17" spans="3:10">
      <c r="D17" s="57"/>
      <c r="E17" s="57"/>
      <c r="F17" s="57"/>
      <c r="G17" s="57"/>
      <c r="H17" s="57"/>
      <c r="I17" s="57"/>
      <c r="J17" s="57"/>
    </row>
    <row r="18" spans="3:10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>
      <c r="C19" t="s">
        <v>28</v>
      </c>
      <c r="D19" s="57"/>
      <c r="E19" s="57"/>
      <c r="F19" s="57"/>
      <c r="G19" s="57"/>
      <c r="H19" s="57"/>
      <c r="I19" s="57"/>
      <c r="J19" s="57"/>
    </row>
    <row r="20" spans="3:10">
      <c r="D20" s="57"/>
      <c r="E20" s="57"/>
      <c r="F20" s="57"/>
      <c r="G20" s="57"/>
      <c r="H20" s="57"/>
      <c r="I20" s="57"/>
      <c r="J20" s="57"/>
    </row>
    <row r="21" spans="3:10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 enableFormatConditionsCalculation="0"/>
  <dimension ref="A1:J22"/>
  <sheetViews>
    <sheetView workbookViewId="0">
      <selection activeCell="O16" sqref="O16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59" customWidth="1"/>
    <col min="5" max="6" width="5.1640625" style="59" customWidth="1"/>
    <col min="7" max="7" width="3.1640625" style="59" customWidth="1"/>
    <col min="8" max="8" width="8.5" style="59" customWidth="1"/>
    <col min="9" max="9" width="3" style="59" bestFit="1" customWidth="1"/>
    <col min="10" max="10" width="6" style="59" customWidth="1"/>
    <col min="14" max="14" width="8.5" bestFit="1" customWidth="1"/>
  </cols>
  <sheetData>
    <row r="1" spans="1:10">
      <c r="A1" s="63" t="s">
        <v>204</v>
      </c>
      <c r="C1" t="s">
        <v>193</v>
      </c>
    </row>
    <row r="2" spans="1:10" ht="15" thickBot="1">
      <c r="A2" s="64" t="s">
        <v>205</v>
      </c>
    </row>
    <row r="3" spans="1:10">
      <c r="A3" s="63" t="s">
        <v>209</v>
      </c>
    </row>
    <row r="4" spans="1:10" ht="15" thickBot="1">
      <c r="A4" s="64" t="s">
        <v>207</v>
      </c>
      <c r="D4" s="59" t="s">
        <v>1</v>
      </c>
      <c r="E4" s="59" t="s">
        <v>2</v>
      </c>
      <c r="F4" s="59" t="s">
        <v>3</v>
      </c>
    </row>
    <row r="5" spans="1:10">
      <c r="A5" s="63" t="s">
        <v>210</v>
      </c>
      <c r="D5" s="59">
        <v>0</v>
      </c>
      <c r="E5" s="59">
        <v>5.2941175999999999</v>
      </c>
      <c r="F5" s="59">
        <v>0</v>
      </c>
      <c r="H5"/>
      <c r="I5"/>
      <c r="J5"/>
    </row>
    <row r="6" spans="1:10" ht="15" thickBot="1">
      <c r="A6" s="64" t="b">
        <v>1</v>
      </c>
    </row>
    <row r="7" spans="1:10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>
      <c r="A8" s="65" t="s">
        <v>201</v>
      </c>
    </row>
    <row r="9" spans="1:10" ht="15" thickBot="1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58.235293599999999</v>
      </c>
      <c r="I9" s="59" t="s">
        <v>8</v>
      </c>
      <c r="J9" s="59">
        <v>60</v>
      </c>
    </row>
    <row r="10" spans="1:10" ht="15" thickBot="1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116.4705872</v>
      </c>
      <c r="I10" s="59" t="s">
        <v>8</v>
      </c>
      <c r="J10" s="59">
        <v>150</v>
      </c>
    </row>
    <row r="11" spans="1:10">
      <c r="D11" s="59">
        <v>21</v>
      </c>
      <c r="E11" s="59">
        <v>22</v>
      </c>
      <c r="F11" s="59">
        <v>-23</v>
      </c>
      <c r="H11" s="59">
        <f>SUMPRODUCT($D$5:$F$5,D11:F11)</f>
        <v>116.4705872</v>
      </c>
      <c r="I11" s="59" t="s">
        <v>9</v>
      </c>
      <c r="J11" s="59">
        <v>110</v>
      </c>
    </row>
    <row r="12" spans="1:10">
      <c r="D12" s="59">
        <v>19</v>
      </c>
      <c r="E12" s="59">
        <v>34</v>
      </c>
      <c r="F12" s="59">
        <v>-32</v>
      </c>
      <c r="H12" s="59">
        <f>SUMPRODUCT($D$5:$F$5,D12:F12)</f>
        <v>179.99999839999998</v>
      </c>
      <c r="I12" s="59" t="s">
        <v>10</v>
      </c>
      <c r="J12" s="59">
        <v>180</v>
      </c>
    </row>
    <row r="16" spans="1:10">
      <c r="C16" s="17"/>
    </row>
    <row r="18" spans="1:6">
      <c r="D18" s="8"/>
      <c r="E18" s="8"/>
      <c r="F18" s="8"/>
    </row>
    <row r="20" spans="1:6" s="59" customFormat="1">
      <c r="A20" s="61"/>
      <c r="C20" s="17"/>
    </row>
    <row r="21" spans="1:6" s="59" customFormat="1">
      <c r="A21" s="61"/>
      <c r="C21"/>
    </row>
    <row r="22" spans="1:6" s="59" customFormat="1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T20"/>
  <sheetViews>
    <sheetView workbookViewId="0">
      <selection activeCell="M16" sqref="M16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2" customWidth="1"/>
    <col min="4" max="4" width="7.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</cols>
  <sheetData>
    <row r="1" spans="1:20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" thickBot="1">
      <c r="A2" s="64" t="s">
        <v>206</v>
      </c>
      <c r="D2" s="30"/>
      <c r="E2" s="30"/>
      <c r="F2" s="30"/>
      <c r="G2" s="30"/>
      <c r="H2" s="30"/>
      <c r="I2" s="30"/>
      <c r="J2" s="30"/>
    </row>
    <row r="3" spans="1:20">
      <c r="A3" s="63" t="s">
        <v>209</v>
      </c>
      <c r="D3" s="1" t="s">
        <v>1</v>
      </c>
      <c r="E3" s="1" t="s">
        <v>2</v>
      </c>
      <c r="F3" s="1" t="s">
        <v>3</v>
      </c>
    </row>
    <row r="4" spans="1:20" ht="15" thickBot="1">
      <c r="A4" s="64" t="s">
        <v>207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" thickBot="1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" thickBot="1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>
      <c r="O11" t="s">
        <v>120</v>
      </c>
    </row>
    <row r="12" spans="1:20">
      <c r="O12" t="s">
        <v>121</v>
      </c>
    </row>
    <row r="14" spans="1:20">
      <c r="C14" t="s">
        <v>114</v>
      </c>
      <c r="D14" s="1" t="s">
        <v>1</v>
      </c>
      <c r="E14" s="1" t="s">
        <v>2</v>
      </c>
      <c r="F14" s="1" t="s">
        <v>3</v>
      </c>
    </row>
    <row r="15" spans="1:20">
      <c r="C15" t="s">
        <v>115</v>
      </c>
      <c r="D15" s="30">
        <v>0.47619047619047616</v>
      </c>
      <c r="E15" s="30">
        <v>0</v>
      </c>
      <c r="F15" s="30">
        <v>0</v>
      </c>
    </row>
    <row r="16" spans="1:20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>
      <c r="C18" t="s">
        <v>6</v>
      </c>
      <c r="D18" s="1" t="s">
        <v>1</v>
      </c>
      <c r="E18" s="1" t="s">
        <v>2</v>
      </c>
      <c r="F18" s="1" t="s">
        <v>3</v>
      </c>
    </row>
    <row r="19" spans="3:8">
      <c r="C19" t="s">
        <v>113</v>
      </c>
      <c r="D19" s="30">
        <v>12.380952000000001</v>
      </c>
      <c r="E19" s="30">
        <v>0</v>
      </c>
      <c r="F19" s="30">
        <v>10.869565</v>
      </c>
    </row>
    <row r="20" spans="3:8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24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" customWidth="1"/>
    <col min="3" max="3" width="13.6640625" bestFit="1" customWidth="1"/>
  </cols>
  <sheetData>
    <row r="1" spans="1:10">
      <c r="A1" s="63" t="s">
        <v>204</v>
      </c>
      <c r="C1" t="s">
        <v>123</v>
      </c>
    </row>
    <row r="2" spans="1:10" ht="15" thickBot="1">
      <c r="A2" s="64" t="s">
        <v>206</v>
      </c>
      <c r="C2" t="s">
        <v>124</v>
      </c>
    </row>
    <row r="3" spans="1:10">
      <c r="A3" s="63" t="s">
        <v>209</v>
      </c>
    </row>
    <row r="4" spans="1:10" ht="15" thickBot="1">
      <c r="A4" s="64" t="s">
        <v>207</v>
      </c>
      <c r="C4" s="6" t="s">
        <v>11</v>
      </c>
      <c r="D4" s="7"/>
    </row>
    <row r="5" spans="1:10">
      <c r="A5" s="63" t="s">
        <v>210</v>
      </c>
      <c r="C5" s="2" t="s">
        <v>12</v>
      </c>
      <c r="D5" s="3">
        <v>0.21</v>
      </c>
    </row>
    <row r="6" spans="1:10" ht="15" thickBot="1">
      <c r="A6" s="64" t="b">
        <f>AND(D24,E24,F24,H24)</f>
        <v>1</v>
      </c>
      <c r="C6" s="2" t="s">
        <v>13</v>
      </c>
      <c r="D6" s="3">
        <v>0.7</v>
      </c>
    </row>
    <row r="7" spans="1:10">
      <c r="A7" s="63" t="s">
        <v>211</v>
      </c>
      <c r="C7" s="4" t="s">
        <v>14</v>
      </c>
      <c r="D7" s="5">
        <v>1</v>
      </c>
    </row>
    <row r="8" spans="1:10">
      <c r="A8" s="65"/>
    </row>
    <row r="9" spans="1:10" ht="15" thickBot="1">
      <c r="A9" s="64" t="e">
        <f>VLOOKUP(A8,OpenSolverResultCodes,2,FALSE)</f>
        <v>#N/A</v>
      </c>
    </row>
    <row r="10" spans="1:10" ht="15" thickBot="1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>
      <c r="D11" s="30"/>
      <c r="E11" s="30"/>
      <c r="F11" s="30"/>
      <c r="G11" s="30"/>
      <c r="H11" s="30"/>
      <c r="I11" s="30"/>
      <c r="J11" s="30"/>
    </row>
    <row r="12" spans="1:10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>
      <c r="D13" s="30">
        <v>-0.74324323999999997</v>
      </c>
      <c r="E13" s="30">
        <v>5.7094595000000004</v>
      </c>
      <c r="F13" s="30">
        <v>0</v>
      </c>
      <c r="G13" s="30"/>
    </row>
    <row r="14" spans="1:10">
      <c r="D14" s="30"/>
      <c r="E14" s="30"/>
      <c r="F14" s="30"/>
      <c r="G14" s="30"/>
      <c r="H14" s="30"/>
      <c r="I14" s="30"/>
      <c r="J14" s="30"/>
    </row>
    <row r="15" spans="1:10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15.64189202</v>
      </c>
      <c r="I15" s="30"/>
      <c r="J15" s="30"/>
    </row>
    <row r="16" spans="1:10">
      <c r="D16" s="30"/>
      <c r="E16" s="30"/>
      <c r="F16" s="30"/>
      <c r="G16" s="30"/>
      <c r="H16" s="30"/>
      <c r="I16" s="30"/>
      <c r="J16" s="30"/>
    </row>
    <row r="17" spans="3:10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55.37162210000001</v>
      </c>
      <c r="I17" s="30" t="s">
        <v>8</v>
      </c>
      <c r="J17" s="30">
        <v>60</v>
      </c>
    </row>
    <row r="18" spans="3:10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110.00000096000001</v>
      </c>
      <c r="I18" s="30" t="s">
        <v>8</v>
      </c>
      <c r="J18" s="30">
        <v>150</v>
      </c>
    </row>
    <row r="19" spans="3:10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110.00000096000001</v>
      </c>
      <c r="I19" s="30" t="s">
        <v>9</v>
      </c>
      <c r="J19" s="30">
        <v>110</v>
      </c>
    </row>
    <row r="20" spans="3:10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180.00000144000001</v>
      </c>
      <c r="I20" s="30" t="s">
        <v>10</v>
      </c>
      <c r="J20" s="30">
        <v>180</v>
      </c>
    </row>
    <row r="21" spans="3:10">
      <c r="D21" s="30"/>
      <c r="E21" s="30"/>
      <c r="F21" s="30"/>
      <c r="G21" s="30"/>
      <c r="H21" s="30"/>
      <c r="I21" s="30"/>
      <c r="J21" s="30"/>
    </row>
    <row r="22" spans="3:10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>
      <c r="D24" s="71" t="b">
        <f>ABS(D13-D23)/(1+ABS(D23))&lt;=0.000001</f>
        <v>1</v>
      </c>
      <c r="E24" s="76" t="b">
        <f>ABS(E13-E23)/(1+ABS(E23))&lt;=0.000001</f>
        <v>1</v>
      </c>
      <c r="F24" s="72" t="b">
        <f>ABS(F13-F23)/(1+ABS(F23))&lt;=0.000001</f>
        <v>1</v>
      </c>
      <c r="G24" s="79"/>
      <c r="H24" s="73" t="b">
        <f>ABS(H15-H23)/(1+ABS(H23))&lt;=0.000001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1:Q39"/>
  <sheetViews>
    <sheetView workbookViewId="0">
      <selection activeCell="F21" sqref="F21"/>
    </sheetView>
  </sheetViews>
  <sheetFormatPr baseColWidth="10" defaultColWidth="8.83203125" defaultRowHeight="14" x14ac:dyDescent="0"/>
  <cols>
    <col min="1" max="1" width="15" style="61" bestFit="1" customWidth="1"/>
    <col min="2" max="2" width="3.5" customWidth="1"/>
    <col min="7" max="7" width="16.5" customWidth="1"/>
  </cols>
  <sheetData>
    <row r="1" spans="1:17">
      <c r="A1" s="63" t="s">
        <v>204</v>
      </c>
      <c r="C1" t="s">
        <v>218</v>
      </c>
    </row>
    <row r="2" spans="1:17" ht="15" thickBot="1">
      <c r="A2" s="64" t="s">
        <v>205</v>
      </c>
    </row>
    <row r="3" spans="1:17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" thickBot="1">
      <c r="A4" s="64" t="s">
        <v>207</v>
      </c>
      <c r="C4">
        <v>0</v>
      </c>
      <c r="E4">
        <v>5</v>
      </c>
      <c r="F4">
        <v>4</v>
      </c>
      <c r="G4">
        <v>5</v>
      </c>
      <c r="P4" s="81"/>
    </row>
    <row r="5" spans="1:17">
      <c r="A5" s="63" t="s">
        <v>210</v>
      </c>
      <c r="P5" s="81"/>
    </row>
    <row r="6" spans="1:17" ht="15" thickBot="1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>
      <c r="A7" s="63" t="s">
        <v>211</v>
      </c>
      <c r="D7" t="s">
        <v>223</v>
      </c>
    </row>
    <row r="8" spans="1:17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1"/>
    </row>
    <row r="9" spans="1:17" ht="15" thickBot="1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1"/>
    </row>
    <row r="10" spans="1:17" ht="15" thickBot="1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1"/>
    </row>
    <row r="11" spans="1:17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>
      <c r="D12" s="81"/>
    </row>
    <row r="14" spans="1:17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>
      <c r="E15" s="80">
        <v>5</v>
      </c>
      <c r="F15" s="80">
        <v>4</v>
      </c>
      <c r="G15" s="80">
        <v>5</v>
      </c>
      <c r="H15" s="80">
        <v>19</v>
      </c>
    </row>
    <row r="16" spans="1:17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>
      <c r="D22" s="82"/>
    </row>
    <row r="23" spans="4:10">
      <c r="D23" s="81"/>
    </row>
    <row r="25" spans="4:10">
      <c r="D25" s="83"/>
      <c r="G25" s="83"/>
    </row>
    <row r="32" spans="4:10">
      <c r="E32" s="81"/>
      <c r="J32" s="81"/>
    </row>
    <row r="33" spans="5:10">
      <c r="E33" s="81"/>
      <c r="J33" s="81"/>
    </row>
    <row r="34" spans="5:10">
      <c r="E34" s="81"/>
      <c r="J34" s="81"/>
    </row>
    <row r="37" spans="5:10">
      <c r="E37" s="81"/>
      <c r="J37" s="81"/>
    </row>
    <row r="38" spans="5:10">
      <c r="E38" s="81"/>
      <c r="J38" s="81"/>
    </row>
    <row r="39" spans="5:10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 enableFormatConditionsCalculation="0"/>
  <dimension ref="A1:M16"/>
  <sheetViews>
    <sheetView workbookViewId="0">
      <selection activeCell="D53" sqref="D53"/>
    </sheetView>
  </sheetViews>
  <sheetFormatPr baseColWidth="10" defaultColWidth="8.83203125" defaultRowHeight="14" x14ac:dyDescent="0"/>
  <cols>
    <col min="1" max="1" width="15" style="61" bestFit="1" customWidth="1"/>
    <col min="2" max="2" width="3.1640625" customWidth="1"/>
  </cols>
  <sheetData>
    <row r="1" spans="1:13">
      <c r="A1" s="63" t="s">
        <v>204</v>
      </c>
    </row>
    <row r="2" spans="1:13" ht="15" thickBot="1">
      <c r="A2" s="64" t="s">
        <v>205</v>
      </c>
    </row>
    <row r="3" spans="1:13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" thickBot="1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>
      <c r="A5" s="63" t="s">
        <v>210</v>
      </c>
    </row>
    <row r="6" spans="1:13" ht="15" thickBot="1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>
      <c r="A7" s="63" t="s">
        <v>211</v>
      </c>
      <c r="C7" t="s">
        <v>223</v>
      </c>
    </row>
    <row r="8" spans="1:13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" thickBot="1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" thickBot="1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>
      <c r="D14" s="80"/>
      <c r="E14" s="80"/>
      <c r="F14" s="80"/>
      <c r="K14" s="80" t="s">
        <v>242</v>
      </c>
    </row>
    <row r="15" spans="1:13">
      <c r="D15" s="80"/>
      <c r="E15" s="80"/>
      <c r="F15" s="80"/>
      <c r="G15" s="80"/>
      <c r="H15" s="80"/>
      <c r="I15" s="80"/>
      <c r="J15" s="80"/>
      <c r="K15">
        <v>0</v>
      </c>
    </row>
    <row r="16" spans="1:13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 enableFormatConditionsCalculation="0"/>
  <dimension ref="A1:H17"/>
  <sheetViews>
    <sheetView showGridLines="0" topLeftCell="CP72" workbookViewId="0">
      <selection activeCell="CV100" sqref="CV100"/>
    </sheetView>
  </sheetViews>
  <sheetFormatPr baseColWidth="10" defaultColWidth="8.83203125" defaultRowHeight="14" x14ac:dyDescent="0"/>
  <cols>
    <col min="1" max="1" width="5.83203125" style="17" customWidth="1"/>
    <col min="2" max="2" width="8.33203125" bestFit="1" customWidth="1"/>
    <col min="3" max="3" width="8.5" bestFit="1" customWidth="1"/>
    <col min="4" max="4" width="9.5" bestFit="1" customWidth="1"/>
    <col min="5" max="5" width="12.1640625" bestFit="1" customWidth="1"/>
    <col min="6" max="6" width="13" bestFit="1" customWidth="1"/>
    <col min="7" max="7" width="15.33203125" bestFit="1" customWidth="1"/>
    <col min="8" max="8" width="16" bestFit="1" customWidth="1"/>
  </cols>
  <sheetData>
    <row r="1" spans="1:8">
      <c r="A1" s="17" t="s">
        <v>411</v>
      </c>
    </row>
    <row r="2" spans="1:8">
      <c r="A2" s="17" t="s">
        <v>243</v>
      </c>
      <c r="B2" s="177"/>
      <c r="C2" s="177"/>
      <c r="D2" s="177"/>
      <c r="E2" s="177"/>
      <c r="F2" s="177"/>
      <c r="G2" s="177"/>
      <c r="H2" s="177"/>
    </row>
    <row r="3" spans="1:8">
      <c r="A3" s="17" t="s">
        <v>412</v>
      </c>
      <c r="B3" s="177"/>
      <c r="C3" s="177"/>
      <c r="D3" s="177"/>
      <c r="E3" s="177"/>
      <c r="F3" s="177"/>
      <c r="G3" s="177"/>
      <c r="H3" s="177"/>
    </row>
    <row r="4" spans="1:8">
      <c r="B4" s="177"/>
      <c r="C4" s="177"/>
      <c r="D4" s="177"/>
      <c r="E4" s="177"/>
      <c r="F4" s="177"/>
      <c r="G4" s="177"/>
      <c r="H4" s="177"/>
    </row>
    <row r="5" spans="1:8" ht="15" thickBot="1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" thickBot="1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1.0000001000000001</v>
      </c>
      <c r="H8" s="107">
        <v>1E+100</v>
      </c>
    </row>
    <row r="9" spans="1:8" ht="15" thickBot="1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1.0000001000000001</v>
      </c>
    </row>
    <row r="10" spans="1:8">
      <c r="B10" s="177"/>
      <c r="C10" s="177"/>
      <c r="D10" s="177"/>
      <c r="E10" s="177"/>
      <c r="F10" s="177"/>
      <c r="G10" s="177"/>
      <c r="H10" s="177"/>
    </row>
    <row r="11" spans="1:8" ht="15" thickBot="1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" thickBot="1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>
      <c r="B14" s="106" t="s">
        <v>384</v>
      </c>
      <c r="C14" s="75" t="s">
        <v>408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" thickBot="1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enableFormatConditionsCalculation="0"/>
  <dimension ref="A1:P15"/>
  <sheetViews>
    <sheetView workbookViewId="0">
      <selection activeCell="G9" sqref="G9"/>
    </sheetView>
  </sheetViews>
  <sheetFormatPr baseColWidth="10" defaultColWidth="8.83203125" defaultRowHeight="14" x14ac:dyDescent="0"/>
  <cols>
    <col min="1" max="1" width="15" style="61" bestFit="1" customWidth="1"/>
    <col min="2" max="2" width="3.5" customWidth="1"/>
  </cols>
  <sheetData>
    <row r="1" spans="1:16">
      <c r="A1" s="63" t="s">
        <v>204</v>
      </c>
    </row>
    <row r="2" spans="1:16" ht="15" thickBot="1">
      <c r="A2" s="64" t="s">
        <v>205</v>
      </c>
    </row>
    <row r="3" spans="1:16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" thickBot="1">
      <c r="A4" s="64" t="s">
        <v>207</v>
      </c>
      <c r="D4">
        <v>0</v>
      </c>
      <c r="E4">
        <v>4</v>
      </c>
      <c r="F4">
        <v>3</v>
      </c>
      <c r="O4" s="81"/>
    </row>
    <row r="5" spans="1:16">
      <c r="A5" s="63" t="s">
        <v>210</v>
      </c>
      <c r="O5" s="81"/>
    </row>
    <row r="6" spans="1:16" ht="15" thickBot="1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>
      <c r="A7" s="63" t="s">
        <v>211</v>
      </c>
      <c r="C7" t="s">
        <v>223</v>
      </c>
    </row>
    <row r="8" spans="1:16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" thickBot="1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1"/>
    </row>
    <row r="10" spans="1:16" ht="15" thickBot="1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1"/>
    </row>
    <row r="11" spans="1:16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>
      <c r="D14" s="80">
        <v>0</v>
      </c>
      <c r="E14" s="80">
        <v>4</v>
      </c>
      <c r="F14" s="80">
        <v>3</v>
      </c>
      <c r="G14" s="80">
        <v>10</v>
      </c>
    </row>
    <row r="15" spans="1:16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 enableFormatConditionsCalculation="0"/>
  <dimension ref="A1:K16"/>
  <sheetViews>
    <sheetView workbookViewId="0">
      <selection activeCell="K16" sqref="K16"/>
    </sheetView>
  </sheetViews>
  <sheetFormatPr baseColWidth="10" defaultColWidth="8.83203125" defaultRowHeight="14" x14ac:dyDescent="0"/>
  <cols>
    <col min="1" max="1" width="15" style="61" bestFit="1" customWidth="1"/>
    <col min="2" max="2" width="4.1640625" style="66" customWidth="1"/>
  </cols>
  <sheetData>
    <row r="1" spans="1:11">
      <c r="A1" s="63" t="s">
        <v>204</v>
      </c>
    </row>
    <row r="2" spans="1:11" ht="15" thickBot="1">
      <c r="A2" s="64" t="s">
        <v>205</v>
      </c>
    </row>
    <row r="3" spans="1:11">
      <c r="A3" s="63" t="s">
        <v>209</v>
      </c>
      <c r="F3" t="s">
        <v>219</v>
      </c>
      <c r="G3" t="s">
        <v>220</v>
      </c>
      <c r="H3" t="s">
        <v>221</v>
      </c>
    </row>
    <row r="4" spans="1:11" ht="15" thickBot="1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>
      <c r="A5" s="63" t="s">
        <v>210</v>
      </c>
    </row>
    <row r="6" spans="1:11" ht="15" thickBot="1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>
      <c r="A7" s="63" t="s">
        <v>211</v>
      </c>
    </row>
    <row r="8" spans="1:11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" thickBot="1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" thickBot="1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 enableFormatConditionsCalculation="0"/>
  <dimension ref="A1:K17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.1640625" customWidth="1"/>
    <col min="5" max="5" width="10.5" customWidth="1"/>
    <col min="10" max="10" width="11" customWidth="1"/>
  </cols>
  <sheetData>
    <row r="1" spans="1:11">
      <c r="A1" s="63" t="s">
        <v>204</v>
      </c>
      <c r="C1" t="s">
        <v>237</v>
      </c>
    </row>
    <row r="2" spans="1:11" ht="15" thickBot="1">
      <c r="A2" s="64" t="s">
        <v>205</v>
      </c>
    </row>
    <row r="3" spans="1:11" ht="15" customHeight="1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>
      <c r="A4" s="64" t="s">
        <v>207</v>
      </c>
      <c r="D4">
        <v>1</v>
      </c>
      <c r="E4">
        <v>0</v>
      </c>
      <c r="F4">
        <v>8</v>
      </c>
      <c r="G4">
        <v>0</v>
      </c>
    </row>
    <row r="5" spans="1:11">
      <c r="A5" s="63" t="s">
        <v>210</v>
      </c>
    </row>
    <row r="6" spans="1:11" ht="15" thickBot="1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8</v>
      </c>
    </row>
    <row r="7" spans="1:11" ht="15" customHeight="1">
      <c r="A7" s="63" t="s">
        <v>211</v>
      </c>
      <c r="D7" t="s">
        <v>223</v>
      </c>
    </row>
    <row r="8" spans="1:11" ht="15" customHeight="1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" thickBot="1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8</v>
      </c>
      <c r="I9" t="s">
        <v>9</v>
      </c>
      <c r="J9">
        <v>4</v>
      </c>
    </row>
    <row r="10" spans="1:11" ht="15" thickBot="1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8</v>
      </c>
      <c r="I11" t="s">
        <v>8</v>
      </c>
      <c r="J11">
        <v>7</v>
      </c>
    </row>
    <row r="12" spans="1:11">
      <c r="E12">
        <v>0</v>
      </c>
      <c r="F12">
        <v>1</v>
      </c>
      <c r="G12">
        <v>0</v>
      </c>
      <c r="H12">
        <f>SUMPRODUCT($E$4:$G$4,E12:G12)</f>
        <v>8</v>
      </c>
      <c r="I12" t="s">
        <v>9</v>
      </c>
      <c r="J12">
        <v>8</v>
      </c>
    </row>
    <row r="17" spans="9:9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 enableFormatConditionsCalculation="0"/>
  <dimension ref="A1:H11"/>
  <sheetViews>
    <sheetView workbookViewId="0">
      <selection activeCell="F12" sqref="F12"/>
    </sheetView>
  </sheetViews>
  <sheetFormatPr baseColWidth="10" defaultColWidth="8.83203125" defaultRowHeight="14" x14ac:dyDescent="0"/>
  <cols>
    <col min="1" max="1" width="15" style="61" bestFit="1" customWidth="1"/>
    <col min="2" max="2" width="3.5" customWidth="1"/>
    <col min="6" max="6" width="12" bestFit="1" customWidth="1"/>
  </cols>
  <sheetData>
    <row r="1" spans="1:8">
      <c r="A1" s="63" t="s">
        <v>204</v>
      </c>
    </row>
    <row r="2" spans="1:8" ht="15" thickBot="1">
      <c r="A2" s="64" t="s">
        <v>205</v>
      </c>
    </row>
    <row r="3" spans="1:8">
      <c r="A3" s="63" t="s">
        <v>209</v>
      </c>
      <c r="C3" t="s">
        <v>126</v>
      </c>
      <c r="D3" t="s">
        <v>128</v>
      </c>
      <c r="F3" t="s">
        <v>238</v>
      </c>
    </row>
    <row r="4" spans="1:8" ht="15" thickBot="1">
      <c r="A4" s="64" t="s">
        <v>208</v>
      </c>
      <c r="C4">
        <v>10</v>
      </c>
      <c r="D4" s="81">
        <v>10</v>
      </c>
      <c r="F4">
        <f>100*(D4-C4^2)^2+(1-C4)^2</f>
        <v>810081</v>
      </c>
    </row>
    <row r="5" spans="1:8">
      <c r="A5" s="63" t="s">
        <v>210</v>
      </c>
    </row>
    <row r="6" spans="1:8" ht="15" thickBot="1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>
      <c r="A8" s="65" t="s">
        <v>201</v>
      </c>
    </row>
    <row r="9" spans="1:8" ht="15" thickBot="1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" thickBot="1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 enableFormatConditionsCalculation="0"/>
  <dimension ref="A1:O87"/>
  <sheetViews>
    <sheetView workbookViewId="0">
      <selection activeCell="D6" sqref="D6"/>
    </sheetView>
  </sheetViews>
  <sheetFormatPr baseColWidth="10" defaultColWidth="8.83203125" defaultRowHeight="14" x14ac:dyDescent="0"/>
  <cols>
    <col min="1" max="1" width="15" style="61" bestFit="1" customWidth="1"/>
    <col min="2" max="2" width="3.83203125" customWidth="1"/>
    <col min="15" max="15" width="9.33203125" customWidth="1"/>
  </cols>
  <sheetData>
    <row r="1" spans="1:15">
      <c r="A1" s="63" t="s">
        <v>204</v>
      </c>
      <c r="C1" t="s">
        <v>239</v>
      </c>
    </row>
    <row r="2" spans="1:15" ht="15" thickBot="1">
      <c r="A2" s="64" t="s">
        <v>205</v>
      </c>
    </row>
    <row r="3" spans="1:15">
      <c r="A3" s="63" t="s">
        <v>209</v>
      </c>
    </row>
    <row r="4" spans="1:15" ht="15" thickBot="1">
      <c r="A4" s="64" t="s">
        <v>208</v>
      </c>
    </row>
    <row r="5" spans="1:15">
      <c r="A5" s="63" t="s">
        <v>210</v>
      </c>
      <c r="D5">
        <v>0</v>
      </c>
      <c r="E5">
        <v>0</v>
      </c>
    </row>
    <row r="6" spans="1:15" ht="15" thickBot="1">
      <c r="A6" s="64" t="b">
        <f>AND(F22)</f>
        <v>0</v>
      </c>
      <c r="F6">
        <f>D5^2*E5^2</f>
        <v>0</v>
      </c>
    </row>
    <row r="7" spans="1:15">
      <c r="A7" s="63" t="s">
        <v>211</v>
      </c>
    </row>
    <row r="8" spans="1:15">
      <c r="A8" s="65" t="s">
        <v>201</v>
      </c>
      <c r="F8">
        <f>D5*E5</f>
        <v>0</v>
      </c>
      <c r="G8" t="s">
        <v>8</v>
      </c>
      <c r="H8">
        <v>20</v>
      </c>
    </row>
    <row r="9" spans="1:15" ht="15" thickBot="1">
      <c r="A9" s="64">
        <f>VLOOKUP(A8,OpenSolverResultCodes,2,FALSE)</f>
        <v>0</v>
      </c>
      <c r="F9">
        <f>E5+D5</f>
        <v>0</v>
      </c>
      <c r="H9">
        <v>40</v>
      </c>
    </row>
    <row r="10" spans="1:15" ht="15" thickBot="1">
      <c r="A10" s="173" t="str">
        <f>HYPERLINK("[OpenSolver Tester.xlsm]Results!A1", "&lt;- Results")</f>
        <v>&lt;- Results</v>
      </c>
      <c r="F10">
        <f>D5</f>
        <v>0</v>
      </c>
      <c r="G10" t="s">
        <v>9</v>
      </c>
      <c r="H10">
        <v>0</v>
      </c>
    </row>
    <row r="11" spans="1:15">
      <c r="F11">
        <f>E5</f>
        <v>0</v>
      </c>
      <c r="H11">
        <v>0</v>
      </c>
    </row>
    <row r="12" spans="1:15">
      <c r="F12">
        <f>E5*D5+E5+D5</f>
        <v>0</v>
      </c>
      <c r="G12" t="s">
        <v>8</v>
      </c>
      <c r="H12">
        <v>60</v>
      </c>
      <c r="I12" t="s">
        <v>369</v>
      </c>
    </row>
    <row r="13" spans="1:15">
      <c r="F13">
        <f>E5+D5*E5+D5</f>
        <v>0</v>
      </c>
      <c r="G13" t="s">
        <v>8</v>
      </c>
      <c r="H13">
        <v>60</v>
      </c>
      <c r="I13" t="s">
        <v>370</v>
      </c>
    </row>
    <row r="14" spans="1:15">
      <c r="F14">
        <f>E5+D5+E5*D5</f>
        <v>0</v>
      </c>
      <c r="G14" t="s">
        <v>8</v>
      </c>
      <c r="H14">
        <v>60</v>
      </c>
      <c r="I14" t="s">
        <v>371</v>
      </c>
    </row>
    <row r="15" spans="1:15" ht="15.75" customHeight="1">
      <c r="F15">
        <f>E5*D5-E5-D5</f>
        <v>0</v>
      </c>
      <c r="G15" t="s">
        <v>8</v>
      </c>
      <c r="H15">
        <v>0</v>
      </c>
      <c r="O15" s="83"/>
    </row>
    <row r="16" spans="1:15">
      <c r="F16">
        <f>E5-D5*E5+D5</f>
        <v>0</v>
      </c>
      <c r="G16" t="s">
        <v>8</v>
      </c>
      <c r="H16">
        <v>60</v>
      </c>
      <c r="O16" s="83"/>
    </row>
    <row r="17" spans="6:15">
      <c r="F17">
        <f>E5-D5+E5*D5</f>
        <v>0</v>
      </c>
      <c r="G17" t="s">
        <v>8</v>
      </c>
      <c r="H17">
        <v>0</v>
      </c>
      <c r="O17" s="83"/>
    </row>
    <row r="18" spans="6:15">
      <c r="F18">
        <f>ROW()</f>
        <v>18</v>
      </c>
      <c r="G18" t="s">
        <v>8</v>
      </c>
      <c r="H18">
        <v>20</v>
      </c>
      <c r="I18" t="s">
        <v>407</v>
      </c>
      <c r="O18" s="83"/>
    </row>
    <row r="19" spans="6:15">
      <c r="O19" s="83"/>
    </row>
    <row r="20" spans="6:15">
      <c r="F20" t="s">
        <v>242</v>
      </c>
      <c r="O20" s="83"/>
    </row>
    <row r="21" spans="6:15">
      <c r="F21" s="80">
        <v>400</v>
      </c>
      <c r="O21" s="83"/>
    </row>
    <row r="22" spans="6:15">
      <c r="F22" s="8" t="b">
        <f>ABS(F6-F21)/(1+ABS(F21))&lt;=0.000001</f>
        <v>0</v>
      </c>
      <c r="O22" s="83"/>
    </row>
    <row r="23" spans="6:15">
      <c r="O23" s="83"/>
    </row>
    <row r="24" spans="6:15">
      <c r="O24" s="83"/>
    </row>
    <row r="25" spans="6:15">
      <c r="O25" s="83"/>
    </row>
    <row r="26" spans="6:15">
      <c r="O26" s="83"/>
    </row>
    <row r="27" spans="6:15">
      <c r="O27" s="83"/>
    </row>
    <row r="28" spans="6:15">
      <c r="O28" s="83"/>
    </row>
    <row r="29" spans="6:15">
      <c r="O29" s="83"/>
    </row>
    <row r="30" spans="6:15">
      <c r="O30" s="83"/>
    </row>
    <row r="31" spans="6:15">
      <c r="O31" s="83"/>
    </row>
    <row r="32" spans="6:15">
      <c r="O32" s="83"/>
    </row>
    <row r="33" spans="15:15">
      <c r="O33" s="83"/>
    </row>
    <row r="34" spans="15:15">
      <c r="O34" s="83"/>
    </row>
    <row r="35" spans="15:15">
      <c r="O35" s="83"/>
    </row>
    <row r="36" spans="15:15">
      <c r="O36" s="83"/>
    </row>
    <row r="37" spans="15:15">
      <c r="O37" s="83"/>
    </row>
    <row r="38" spans="15:15">
      <c r="O38" s="83"/>
    </row>
    <row r="39" spans="15:15">
      <c r="O39" s="83"/>
    </row>
    <row r="40" spans="15:15">
      <c r="O40" s="83"/>
    </row>
    <row r="41" spans="15:15">
      <c r="O41" s="83"/>
    </row>
    <row r="42" spans="15:15">
      <c r="O42" s="83"/>
    </row>
    <row r="43" spans="15:15">
      <c r="O43" s="83"/>
    </row>
    <row r="44" spans="15:15">
      <c r="O44" s="83"/>
    </row>
    <row r="45" spans="15:15">
      <c r="O45" s="83"/>
    </row>
    <row r="46" spans="15:15">
      <c r="O46" s="83"/>
    </row>
    <row r="47" spans="15:15">
      <c r="O47" s="83"/>
    </row>
    <row r="48" spans="15:15">
      <c r="O48" s="83"/>
    </row>
    <row r="49" spans="15:15">
      <c r="O49" s="83"/>
    </row>
    <row r="50" spans="15:15">
      <c r="O50" s="83"/>
    </row>
    <row r="51" spans="15:15">
      <c r="O51" s="83"/>
    </row>
    <row r="52" spans="15:15">
      <c r="O52" s="83"/>
    </row>
    <row r="53" spans="15:15">
      <c r="O53" s="83"/>
    </row>
    <row r="54" spans="15:15">
      <c r="O54" s="83"/>
    </row>
    <row r="55" spans="15:15">
      <c r="O55" s="83"/>
    </row>
    <row r="56" spans="15:15">
      <c r="O56" s="83"/>
    </row>
    <row r="57" spans="15:15">
      <c r="O57" s="83"/>
    </row>
    <row r="58" spans="15:15">
      <c r="O58" s="83"/>
    </row>
    <row r="59" spans="15:15">
      <c r="O59" s="83"/>
    </row>
    <row r="60" spans="15:15">
      <c r="O60" s="83"/>
    </row>
    <row r="61" spans="15:15">
      <c r="O61" s="83"/>
    </row>
    <row r="62" spans="15:15">
      <c r="O62" s="83"/>
    </row>
    <row r="63" spans="15:15">
      <c r="O63" s="83"/>
    </row>
    <row r="64" spans="15:15">
      <c r="O64" s="83"/>
    </row>
    <row r="65" spans="15:15">
      <c r="O65" s="83"/>
    </row>
    <row r="66" spans="15:15">
      <c r="O66" s="83"/>
    </row>
    <row r="67" spans="15:15">
      <c r="O67" s="83"/>
    </row>
    <row r="68" spans="15:15">
      <c r="O68" s="83"/>
    </row>
    <row r="69" spans="15:15">
      <c r="O69" s="83"/>
    </row>
    <row r="70" spans="15:15">
      <c r="O70" s="83"/>
    </row>
    <row r="71" spans="15:15">
      <c r="O71" s="83"/>
    </row>
    <row r="72" spans="15:15">
      <c r="O72" s="83"/>
    </row>
    <row r="73" spans="15:15">
      <c r="O73" s="83"/>
    </row>
    <row r="74" spans="15:15">
      <c r="O74" s="83"/>
    </row>
    <row r="75" spans="15:15">
      <c r="O75" s="83"/>
    </row>
    <row r="76" spans="15:15">
      <c r="O76" s="83"/>
    </row>
    <row r="77" spans="15:15">
      <c r="O77" s="83"/>
    </row>
    <row r="78" spans="15:15">
      <c r="O78" s="83"/>
    </row>
    <row r="79" spans="15:15">
      <c r="O79" s="83"/>
    </row>
    <row r="80" spans="15:15">
      <c r="O80" s="83"/>
    </row>
    <row r="81" spans="15:15">
      <c r="O81" s="83"/>
    </row>
    <row r="82" spans="15:15">
      <c r="O82" s="83"/>
    </row>
    <row r="83" spans="15:15">
      <c r="O83" s="83"/>
    </row>
    <row r="84" spans="15:15">
      <c r="O84" s="83"/>
    </row>
    <row r="85" spans="15:15">
      <c r="O85" s="83"/>
    </row>
    <row r="86" spans="15:15">
      <c r="O86" s="83"/>
    </row>
    <row r="87" spans="15:1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 enableFormatConditionsCalculation="0"/>
  <dimension ref="A1:I12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" customWidth="1"/>
  </cols>
  <sheetData>
    <row r="1" spans="1:9">
      <c r="A1" s="63" t="s">
        <v>204</v>
      </c>
    </row>
    <row r="2" spans="1:9" ht="15" thickBot="1">
      <c r="A2" s="64" t="s">
        <v>205</v>
      </c>
    </row>
    <row r="3" spans="1:9">
      <c r="A3" s="63" t="s">
        <v>209</v>
      </c>
      <c r="D3" t="s">
        <v>219</v>
      </c>
      <c r="E3" t="s">
        <v>220</v>
      </c>
      <c r="F3" t="s">
        <v>221</v>
      </c>
    </row>
    <row r="4" spans="1:9" ht="15" thickBot="1">
      <c r="A4" s="64" t="s">
        <v>208</v>
      </c>
      <c r="D4">
        <v>-9.6341462999999994</v>
      </c>
      <c r="E4">
        <v>0</v>
      </c>
      <c r="F4">
        <v>0</v>
      </c>
    </row>
    <row r="5" spans="1:9">
      <c r="A5" s="63" t="s">
        <v>210</v>
      </c>
    </row>
    <row r="6" spans="1:9" ht="15" thickBot="1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44.646043429803676</v>
      </c>
    </row>
    <row r="7" spans="1:9">
      <c r="A7" s="63" t="s">
        <v>211</v>
      </c>
      <c r="C7" t="s">
        <v>223</v>
      </c>
    </row>
    <row r="8" spans="1:9">
      <c r="A8" s="65" t="s">
        <v>201</v>
      </c>
      <c r="D8">
        <v>1</v>
      </c>
      <c r="E8">
        <v>1</v>
      </c>
      <c r="F8">
        <v>0</v>
      </c>
      <c r="G8">
        <f>SUMPRODUCT($D$4:$F$4,D8:F8)^2</f>
        <v>92.816774929803671</v>
      </c>
      <c r="H8" t="s">
        <v>8</v>
      </c>
      <c r="I8">
        <v>5</v>
      </c>
    </row>
    <row r="9" spans="1:9" ht="15" thickBot="1">
      <c r="A9" s="64">
        <f>VLOOKUP(A8,OpenSolverResultCodes,2,FALSE)</f>
        <v>0</v>
      </c>
    </row>
    <row r="10" spans="1:9" ht="15" thickBot="1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>
      <c r="D11" s="163">
        <v>2</v>
      </c>
      <c r="E11" s="163">
        <v>0</v>
      </c>
      <c r="F11" s="163"/>
      <c r="G11" s="163">
        <v>16</v>
      </c>
    </row>
    <row r="12" spans="1:9">
      <c r="C12" s="81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 enableFormatConditionsCalculation="0"/>
  <dimension ref="A1:K30"/>
  <sheetViews>
    <sheetView workbookViewId="0">
      <selection activeCell="I44" sqref="I44"/>
    </sheetView>
  </sheetViews>
  <sheetFormatPr baseColWidth="10" defaultColWidth="8.83203125" defaultRowHeight="14" x14ac:dyDescent="0"/>
  <cols>
    <col min="1" max="1" width="15" style="61" bestFit="1" customWidth="1"/>
    <col min="2" max="2" width="3" style="66" customWidth="1"/>
  </cols>
  <sheetData>
    <row r="1" spans="1:11">
      <c r="A1" s="63" t="s">
        <v>204</v>
      </c>
    </row>
    <row r="2" spans="1:11" ht="15" thickBot="1">
      <c r="A2" s="64" t="s">
        <v>205</v>
      </c>
    </row>
    <row r="3" spans="1:11">
      <c r="A3" s="63" t="s">
        <v>209</v>
      </c>
    </row>
    <row r="4" spans="1:11" ht="15" thickBot="1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>
      <c r="A5" s="63" t="s">
        <v>210</v>
      </c>
      <c r="D5">
        <v>0</v>
      </c>
      <c r="E5">
        <v>0</v>
      </c>
      <c r="F5">
        <v>0</v>
      </c>
      <c r="G5">
        <v>0</v>
      </c>
      <c r="H5">
        <v>0</v>
      </c>
    </row>
    <row r="6" spans="1:11" ht="15" thickBot="1">
      <c r="A6" s="64" t="b">
        <f>AND(I16)</f>
        <v>1</v>
      </c>
      <c r="C6" t="s">
        <v>0</v>
      </c>
      <c r="I6">
        <f>H5</f>
        <v>0</v>
      </c>
    </row>
    <row r="7" spans="1:11">
      <c r="A7" s="63" t="s">
        <v>211</v>
      </c>
      <c r="I7">
        <f>(D5-1)^2+(E5-1)^2+(F5-1)^2+(G5-1)^2+(H5-1)^2-25</f>
        <v>-20</v>
      </c>
      <c r="J7" t="s">
        <v>8</v>
      </c>
      <c r="K7">
        <v>0</v>
      </c>
    </row>
    <row r="8" spans="1:11">
      <c r="A8" s="65" t="s">
        <v>201</v>
      </c>
      <c r="I8">
        <f>25-((D5+1)^2+(E5+1)^2+(F5+1)^2+(G5+1)^2+(H5+1)^2)</f>
        <v>20</v>
      </c>
      <c r="J8" t="s">
        <v>8</v>
      </c>
      <c r="K8">
        <v>0</v>
      </c>
    </row>
    <row r="9" spans="1:11" ht="15" thickBot="1">
      <c r="A9" s="64">
        <f>VLOOKUP(A8,OpenSolverResultCodes,2,FALSE)</f>
        <v>0</v>
      </c>
      <c r="I9">
        <f>SUM(D5:H5)+I8</f>
        <v>20</v>
      </c>
      <c r="J9" t="s">
        <v>8</v>
      </c>
      <c r="K9">
        <v>0</v>
      </c>
    </row>
    <row r="10" spans="1:11" ht="15" thickBot="1">
      <c r="A10" s="173" t="str">
        <f>HYPERLINK("[OpenSolver Tester.xlsm]Results!A1", "&lt;- Results")</f>
        <v>&lt;- Results</v>
      </c>
    </row>
    <row r="14" spans="1:11">
      <c r="D14" s="80"/>
      <c r="E14" s="80"/>
      <c r="F14" s="80"/>
      <c r="I14" s="80" t="s">
        <v>242</v>
      </c>
    </row>
    <row r="15" spans="1:11">
      <c r="D15" s="80"/>
      <c r="E15" s="80"/>
      <c r="F15" s="80"/>
      <c r="G15" s="80"/>
      <c r="H15" s="80"/>
      <c r="I15">
        <v>0</v>
      </c>
    </row>
    <row r="16" spans="1:11">
      <c r="D16" s="8"/>
      <c r="E16" s="8"/>
      <c r="F16" s="8"/>
      <c r="G16" s="8"/>
      <c r="H16" s="8"/>
      <c r="I16" s="8" t="b">
        <f>ABS(I6-I15)/(1+ABS(I15))&lt;=0.000001</f>
        <v>1</v>
      </c>
    </row>
    <row r="30" spans="5: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 enableFormatConditionsCalculation="0"/>
  <dimension ref="A1:U13"/>
  <sheetViews>
    <sheetView showGridLines="0" workbookViewId="0"/>
  </sheetViews>
  <sheetFormatPr baseColWidth="10" defaultColWidth="8.83203125" defaultRowHeight="14" x14ac:dyDescent="0"/>
  <cols>
    <col min="1" max="1" width="15" style="61" bestFit="1" customWidth="1"/>
    <col min="2" max="2" width="8.83203125" style="87"/>
    <col min="3" max="3" width="3.6640625" style="87" customWidth="1"/>
    <col min="4" max="4" width="4.33203125" style="87" customWidth="1"/>
    <col min="5" max="5" width="1.5" style="87" customWidth="1"/>
    <col min="6" max="7" width="12.1640625" style="87" customWidth="1"/>
    <col min="8" max="8" width="1.33203125" style="87" customWidth="1"/>
    <col min="9" max="13" width="8.83203125" style="87"/>
    <col min="14" max="15" width="5.83203125" style="87" customWidth="1"/>
    <col min="16" max="16" width="6.5" style="87" customWidth="1"/>
    <col min="17" max="258" width="8.83203125" style="87"/>
    <col min="259" max="259" width="3.6640625" style="87" customWidth="1"/>
    <col min="260" max="260" width="4.33203125" style="87" customWidth="1"/>
    <col min="261" max="261" width="1.5" style="87" customWidth="1"/>
    <col min="262" max="263" width="12.1640625" style="87" customWidth="1"/>
    <col min="264" max="264" width="1.33203125" style="87" customWidth="1"/>
    <col min="265" max="269" width="8.83203125" style="87"/>
    <col min="270" max="271" width="5.83203125" style="87" customWidth="1"/>
    <col min="272" max="272" width="6.5" style="87" customWidth="1"/>
    <col min="273" max="514" width="8.83203125" style="87"/>
    <col min="515" max="515" width="3.6640625" style="87" customWidth="1"/>
    <col min="516" max="516" width="4.33203125" style="87" customWidth="1"/>
    <col min="517" max="517" width="1.5" style="87" customWidth="1"/>
    <col min="518" max="519" width="12.1640625" style="87" customWidth="1"/>
    <col min="520" max="520" width="1.33203125" style="87" customWidth="1"/>
    <col min="521" max="525" width="8.83203125" style="87"/>
    <col min="526" max="527" width="5.83203125" style="87" customWidth="1"/>
    <col min="528" max="528" width="6.5" style="87" customWidth="1"/>
    <col min="529" max="770" width="8.83203125" style="87"/>
    <col min="771" max="771" width="3.6640625" style="87" customWidth="1"/>
    <col min="772" max="772" width="4.33203125" style="87" customWidth="1"/>
    <col min="773" max="773" width="1.5" style="87" customWidth="1"/>
    <col min="774" max="775" width="12.1640625" style="87" customWidth="1"/>
    <col min="776" max="776" width="1.33203125" style="87" customWidth="1"/>
    <col min="777" max="781" width="8.83203125" style="87"/>
    <col min="782" max="783" width="5.83203125" style="87" customWidth="1"/>
    <col min="784" max="784" width="6.5" style="87" customWidth="1"/>
    <col min="785" max="1026" width="8.83203125" style="87"/>
    <col min="1027" max="1027" width="3.6640625" style="87" customWidth="1"/>
    <col min="1028" max="1028" width="4.33203125" style="87" customWidth="1"/>
    <col min="1029" max="1029" width="1.5" style="87" customWidth="1"/>
    <col min="1030" max="1031" width="12.1640625" style="87" customWidth="1"/>
    <col min="1032" max="1032" width="1.33203125" style="87" customWidth="1"/>
    <col min="1033" max="1037" width="8.83203125" style="87"/>
    <col min="1038" max="1039" width="5.83203125" style="87" customWidth="1"/>
    <col min="1040" max="1040" width="6.5" style="87" customWidth="1"/>
    <col min="1041" max="1282" width="8.83203125" style="87"/>
    <col min="1283" max="1283" width="3.6640625" style="87" customWidth="1"/>
    <col min="1284" max="1284" width="4.33203125" style="87" customWidth="1"/>
    <col min="1285" max="1285" width="1.5" style="87" customWidth="1"/>
    <col min="1286" max="1287" width="12.1640625" style="87" customWidth="1"/>
    <col min="1288" max="1288" width="1.33203125" style="87" customWidth="1"/>
    <col min="1289" max="1293" width="8.83203125" style="87"/>
    <col min="1294" max="1295" width="5.83203125" style="87" customWidth="1"/>
    <col min="1296" max="1296" width="6.5" style="87" customWidth="1"/>
    <col min="1297" max="1538" width="8.83203125" style="87"/>
    <col min="1539" max="1539" width="3.6640625" style="87" customWidth="1"/>
    <col min="1540" max="1540" width="4.33203125" style="87" customWidth="1"/>
    <col min="1541" max="1541" width="1.5" style="87" customWidth="1"/>
    <col min="1542" max="1543" width="12.1640625" style="87" customWidth="1"/>
    <col min="1544" max="1544" width="1.33203125" style="87" customWidth="1"/>
    <col min="1545" max="1549" width="8.83203125" style="87"/>
    <col min="1550" max="1551" width="5.83203125" style="87" customWidth="1"/>
    <col min="1552" max="1552" width="6.5" style="87" customWidth="1"/>
    <col min="1553" max="1794" width="8.83203125" style="87"/>
    <col min="1795" max="1795" width="3.6640625" style="87" customWidth="1"/>
    <col min="1796" max="1796" width="4.33203125" style="87" customWidth="1"/>
    <col min="1797" max="1797" width="1.5" style="87" customWidth="1"/>
    <col min="1798" max="1799" width="12.1640625" style="87" customWidth="1"/>
    <col min="1800" max="1800" width="1.33203125" style="87" customWidth="1"/>
    <col min="1801" max="1805" width="8.83203125" style="87"/>
    <col min="1806" max="1807" width="5.83203125" style="87" customWidth="1"/>
    <col min="1808" max="1808" width="6.5" style="87" customWidth="1"/>
    <col min="1809" max="2050" width="8.83203125" style="87"/>
    <col min="2051" max="2051" width="3.6640625" style="87" customWidth="1"/>
    <col min="2052" max="2052" width="4.33203125" style="87" customWidth="1"/>
    <col min="2053" max="2053" width="1.5" style="87" customWidth="1"/>
    <col min="2054" max="2055" width="12.1640625" style="87" customWidth="1"/>
    <col min="2056" max="2056" width="1.33203125" style="87" customWidth="1"/>
    <col min="2057" max="2061" width="8.83203125" style="87"/>
    <col min="2062" max="2063" width="5.83203125" style="87" customWidth="1"/>
    <col min="2064" max="2064" width="6.5" style="87" customWidth="1"/>
    <col min="2065" max="2306" width="8.83203125" style="87"/>
    <col min="2307" max="2307" width="3.6640625" style="87" customWidth="1"/>
    <col min="2308" max="2308" width="4.33203125" style="87" customWidth="1"/>
    <col min="2309" max="2309" width="1.5" style="87" customWidth="1"/>
    <col min="2310" max="2311" width="12.1640625" style="87" customWidth="1"/>
    <col min="2312" max="2312" width="1.33203125" style="87" customWidth="1"/>
    <col min="2313" max="2317" width="8.83203125" style="87"/>
    <col min="2318" max="2319" width="5.83203125" style="87" customWidth="1"/>
    <col min="2320" max="2320" width="6.5" style="87" customWidth="1"/>
    <col min="2321" max="2562" width="8.83203125" style="87"/>
    <col min="2563" max="2563" width="3.6640625" style="87" customWidth="1"/>
    <col min="2564" max="2564" width="4.33203125" style="87" customWidth="1"/>
    <col min="2565" max="2565" width="1.5" style="87" customWidth="1"/>
    <col min="2566" max="2567" width="12.1640625" style="87" customWidth="1"/>
    <col min="2568" max="2568" width="1.33203125" style="87" customWidth="1"/>
    <col min="2569" max="2573" width="8.83203125" style="87"/>
    <col min="2574" max="2575" width="5.83203125" style="87" customWidth="1"/>
    <col min="2576" max="2576" width="6.5" style="87" customWidth="1"/>
    <col min="2577" max="2818" width="8.83203125" style="87"/>
    <col min="2819" max="2819" width="3.6640625" style="87" customWidth="1"/>
    <col min="2820" max="2820" width="4.33203125" style="87" customWidth="1"/>
    <col min="2821" max="2821" width="1.5" style="87" customWidth="1"/>
    <col min="2822" max="2823" width="12.1640625" style="87" customWidth="1"/>
    <col min="2824" max="2824" width="1.33203125" style="87" customWidth="1"/>
    <col min="2825" max="2829" width="8.83203125" style="87"/>
    <col min="2830" max="2831" width="5.83203125" style="87" customWidth="1"/>
    <col min="2832" max="2832" width="6.5" style="87" customWidth="1"/>
    <col min="2833" max="3074" width="8.83203125" style="87"/>
    <col min="3075" max="3075" width="3.6640625" style="87" customWidth="1"/>
    <col min="3076" max="3076" width="4.33203125" style="87" customWidth="1"/>
    <col min="3077" max="3077" width="1.5" style="87" customWidth="1"/>
    <col min="3078" max="3079" width="12.1640625" style="87" customWidth="1"/>
    <col min="3080" max="3080" width="1.33203125" style="87" customWidth="1"/>
    <col min="3081" max="3085" width="8.83203125" style="87"/>
    <col min="3086" max="3087" width="5.83203125" style="87" customWidth="1"/>
    <col min="3088" max="3088" width="6.5" style="87" customWidth="1"/>
    <col min="3089" max="3330" width="8.83203125" style="87"/>
    <col min="3331" max="3331" width="3.6640625" style="87" customWidth="1"/>
    <col min="3332" max="3332" width="4.33203125" style="87" customWidth="1"/>
    <col min="3333" max="3333" width="1.5" style="87" customWidth="1"/>
    <col min="3334" max="3335" width="12.1640625" style="87" customWidth="1"/>
    <col min="3336" max="3336" width="1.33203125" style="87" customWidth="1"/>
    <col min="3337" max="3341" width="8.83203125" style="87"/>
    <col min="3342" max="3343" width="5.83203125" style="87" customWidth="1"/>
    <col min="3344" max="3344" width="6.5" style="87" customWidth="1"/>
    <col min="3345" max="3586" width="8.83203125" style="87"/>
    <col min="3587" max="3587" width="3.6640625" style="87" customWidth="1"/>
    <col min="3588" max="3588" width="4.33203125" style="87" customWidth="1"/>
    <col min="3589" max="3589" width="1.5" style="87" customWidth="1"/>
    <col min="3590" max="3591" width="12.1640625" style="87" customWidth="1"/>
    <col min="3592" max="3592" width="1.33203125" style="87" customWidth="1"/>
    <col min="3593" max="3597" width="8.83203125" style="87"/>
    <col min="3598" max="3599" width="5.83203125" style="87" customWidth="1"/>
    <col min="3600" max="3600" width="6.5" style="87" customWidth="1"/>
    <col min="3601" max="3842" width="8.83203125" style="87"/>
    <col min="3843" max="3843" width="3.6640625" style="87" customWidth="1"/>
    <col min="3844" max="3844" width="4.33203125" style="87" customWidth="1"/>
    <col min="3845" max="3845" width="1.5" style="87" customWidth="1"/>
    <col min="3846" max="3847" width="12.1640625" style="87" customWidth="1"/>
    <col min="3848" max="3848" width="1.33203125" style="87" customWidth="1"/>
    <col min="3849" max="3853" width="8.83203125" style="87"/>
    <col min="3854" max="3855" width="5.83203125" style="87" customWidth="1"/>
    <col min="3856" max="3856" width="6.5" style="87" customWidth="1"/>
    <col min="3857" max="4098" width="8.83203125" style="87"/>
    <col min="4099" max="4099" width="3.6640625" style="87" customWidth="1"/>
    <col min="4100" max="4100" width="4.33203125" style="87" customWidth="1"/>
    <col min="4101" max="4101" width="1.5" style="87" customWidth="1"/>
    <col min="4102" max="4103" width="12.1640625" style="87" customWidth="1"/>
    <col min="4104" max="4104" width="1.33203125" style="87" customWidth="1"/>
    <col min="4105" max="4109" width="8.83203125" style="87"/>
    <col min="4110" max="4111" width="5.83203125" style="87" customWidth="1"/>
    <col min="4112" max="4112" width="6.5" style="87" customWidth="1"/>
    <col min="4113" max="4354" width="8.83203125" style="87"/>
    <col min="4355" max="4355" width="3.6640625" style="87" customWidth="1"/>
    <col min="4356" max="4356" width="4.33203125" style="87" customWidth="1"/>
    <col min="4357" max="4357" width="1.5" style="87" customWidth="1"/>
    <col min="4358" max="4359" width="12.1640625" style="87" customWidth="1"/>
    <col min="4360" max="4360" width="1.33203125" style="87" customWidth="1"/>
    <col min="4361" max="4365" width="8.83203125" style="87"/>
    <col min="4366" max="4367" width="5.83203125" style="87" customWidth="1"/>
    <col min="4368" max="4368" width="6.5" style="87" customWidth="1"/>
    <col min="4369" max="4610" width="8.83203125" style="87"/>
    <col min="4611" max="4611" width="3.6640625" style="87" customWidth="1"/>
    <col min="4612" max="4612" width="4.33203125" style="87" customWidth="1"/>
    <col min="4613" max="4613" width="1.5" style="87" customWidth="1"/>
    <col min="4614" max="4615" width="12.1640625" style="87" customWidth="1"/>
    <col min="4616" max="4616" width="1.33203125" style="87" customWidth="1"/>
    <col min="4617" max="4621" width="8.83203125" style="87"/>
    <col min="4622" max="4623" width="5.83203125" style="87" customWidth="1"/>
    <col min="4624" max="4624" width="6.5" style="87" customWidth="1"/>
    <col min="4625" max="4866" width="8.83203125" style="87"/>
    <col min="4867" max="4867" width="3.6640625" style="87" customWidth="1"/>
    <col min="4868" max="4868" width="4.33203125" style="87" customWidth="1"/>
    <col min="4869" max="4869" width="1.5" style="87" customWidth="1"/>
    <col min="4870" max="4871" width="12.1640625" style="87" customWidth="1"/>
    <col min="4872" max="4872" width="1.33203125" style="87" customWidth="1"/>
    <col min="4873" max="4877" width="8.83203125" style="87"/>
    <col min="4878" max="4879" width="5.83203125" style="87" customWidth="1"/>
    <col min="4880" max="4880" width="6.5" style="87" customWidth="1"/>
    <col min="4881" max="5122" width="8.83203125" style="87"/>
    <col min="5123" max="5123" width="3.6640625" style="87" customWidth="1"/>
    <col min="5124" max="5124" width="4.33203125" style="87" customWidth="1"/>
    <col min="5125" max="5125" width="1.5" style="87" customWidth="1"/>
    <col min="5126" max="5127" width="12.1640625" style="87" customWidth="1"/>
    <col min="5128" max="5128" width="1.33203125" style="87" customWidth="1"/>
    <col min="5129" max="5133" width="8.83203125" style="87"/>
    <col min="5134" max="5135" width="5.83203125" style="87" customWidth="1"/>
    <col min="5136" max="5136" width="6.5" style="87" customWidth="1"/>
    <col min="5137" max="5378" width="8.83203125" style="87"/>
    <col min="5379" max="5379" width="3.6640625" style="87" customWidth="1"/>
    <col min="5380" max="5380" width="4.33203125" style="87" customWidth="1"/>
    <col min="5381" max="5381" width="1.5" style="87" customWidth="1"/>
    <col min="5382" max="5383" width="12.1640625" style="87" customWidth="1"/>
    <col min="5384" max="5384" width="1.33203125" style="87" customWidth="1"/>
    <col min="5385" max="5389" width="8.83203125" style="87"/>
    <col min="5390" max="5391" width="5.83203125" style="87" customWidth="1"/>
    <col min="5392" max="5392" width="6.5" style="87" customWidth="1"/>
    <col min="5393" max="5634" width="8.83203125" style="87"/>
    <col min="5635" max="5635" width="3.6640625" style="87" customWidth="1"/>
    <col min="5636" max="5636" width="4.33203125" style="87" customWidth="1"/>
    <col min="5637" max="5637" width="1.5" style="87" customWidth="1"/>
    <col min="5638" max="5639" width="12.1640625" style="87" customWidth="1"/>
    <col min="5640" max="5640" width="1.33203125" style="87" customWidth="1"/>
    <col min="5641" max="5645" width="8.83203125" style="87"/>
    <col min="5646" max="5647" width="5.83203125" style="87" customWidth="1"/>
    <col min="5648" max="5648" width="6.5" style="87" customWidth="1"/>
    <col min="5649" max="5890" width="8.83203125" style="87"/>
    <col min="5891" max="5891" width="3.6640625" style="87" customWidth="1"/>
    <col min="5892" max="5892" width="4.33203125" style="87" customWidth="1"/>
    <col min="5893" max="5893" width="1.5" style="87" customWidth="1"/>
    <col min="5894" max="5895" width="12.1640625" style="87" customWidth="1"/>
    <col min="5896" max="5896" width="1.33203125" style="87" customWidth="1"/>
    <col min="5897" max="5901" width="8.83203125" style="87"/>
    <col min="5902" max="5903" width="5.83203125" style="87" customWidth="1"/>
    <col min="5904" max="5904" width="6.5" style="87" customWidth="1"/>
    <col min="5905" max="6146" width="8.83203125" style="87"/>
    <col min="6147" max="6147" width="3.6640625" style="87" customWidth="1"/>
    <col min="6148" max="6148" width="4.33203125" style="87" customWidth="1"/>
    <col min="6149" max="6149" width="1.5" style="87" customWidth="1"/>
    <col min="6150" max="6151" width="12.1640625" style="87" customWidth="1"/>
    <col min="6152" max="6152" width="1.33203125" style="87" customWidth="1"/>
    <col min="6153" max="6157" width="8.83203125" style="87"/>
    <col min="6158" max="6159" width="5.83203125" style="87" customWidth="1"/>
    <col min="6160" max="6160" width="6.5" style="87" customWidth="1"/>
    <col min="6161" max="6402" width="8.83203125" style="87"/>
    <col min="6403" max="6403" width="3.6640625" style="87" customWidth="1"/>
    <col min="6404" max="6404" width="4.33203125" style="87" customWidth="1"/>
    <col min="6405" max="6405" width="1.5" style="87" customWidth="1"/>
    <col min="6406" max="6407" width="12.1640625" style="87" customWidth="1"/>
    <col min="6408" max="6408" width="1.33203125" style="87" customWidth="1"/>
    <col min="6409" max="6413" width="8.83203125" style="87"/>
    <col min="6414" max="6415" width="5.83203125" style="87" customWidth="1"/>
    <col min="6416" max="6416" width="6.5" style="87" customWidth="1"/>
    <col min="6417" max="6658" width="8.83203125" style="87"/>
    <col min="6659" max="6659" width="3.6640625" style="87" customWidth="1"/>
    <col min="6660" max="6660" width="4.33203125" style="87" customWidth="1"/>
    <col min="6661" max="6661" width="1.5" style="87" customWidth="1"/>
    <col min="6662" max="6663" width="12.1640625" style="87" customWidth="1"/>
    <col min="6664" max="6664" width="1.33203125" style="87" customWidth="1"/>
    <col min="6665" max="6669" width="8.83203125" style="87"/>
    <col min="6670" max="6671" width="5.83203125" style="87" customWidth="1"/>
    <col min="6672" max="6672" width="6.5" style="87" customWidth="1"/>
    <col min="6673" max="6914" width="8.83203125" style="87"/>
    <col min="6915" max="6915" width="3.6640625" style="87" customWidth="1"/>
    <col min="6916" max="6916" width="4.33203125" style="87" customWidth="1"/>
    <col min="6917" max="6917" width="1.5" style="87" customWidth="1"/>
    <col min="6918" max="6919" width="12.1640625" style="87" customWidth="1"/>
    <col min="6920" max="6920" width="1.33203125" style="87" customWidth="1"/>
    <col min="6921" max="6925" width="8.83203125" style="87"/>
    <col min="6926" max="6927" width="5.83203125" style="87" customWidth="1"/>
    <col min="6928" max="6928" width="6.5" style="87" customWidth="1"/>
    <col min="6929" max="7170" width="8.83203125" style="87"/>
    <col min="7171" max="7171" width="3.6640625" style="87" customWidth="1"/>
    <col min="7172" max="7172" width="4.33203125" style="87" customWidth="1"/>
    <col min="7173" max="7173" width="1.5" style="87" customWidth="1"/>
    <col min="7174" max="7175" width="12.1640625" style="87" customWidth="1"/>
    <col min="7176" max="7176" width="1.33203125" style="87" customWidth="1"/>
    <col min="7177" max="7181" width="8.83203125" style="87"/>
    <col min="7182" max="7183" width="5.83203125" style="87" customWidth="1"/>
    <col min="7184" max="7184" width="6.5" style="87" customWidth="1"/>
    <col min="7185" max="7426" width="8.83203125" style="87"/>
    <col min="7427" max="7427" width="3.6640625" style="87" customWidth="1"/>
    <col min="7428" max="7428" width="4.33203125" style="87" customWidth="1"/>
    <col min="7429" max="7429" width="1.5" style="87" customWidth="1"/>
    <col min="7430" max="7431" width="12.1640625" style="87" customWidth="1"/>
    <col min="7432" max="7432" width="1.33203125" style="87" customWidth="1"/>
    <col min="7433" max="7437" width="8.83203125" style="87"/>
    <col min="7438" max="7439" width="5.83203125" style="87" customWidth="1"/>
    <col min="7440" max="7440" width="6.5" style="87" customWidth="1"/>
    <col min="7441" max="7682" width="8.83203125" style="87"/>
    <col min="7683" max="7683" width="3.6640625" style="87" customWidth="1"/>
    <col min="7684" max="7684" width="4.33203125" style="87" customWidth="1"/>
    <col min="7685" max="7685" width="1.5" style="87" customWidth="1"/>
    <col min="7686" max="7687" width="12.1640625" style="87" customWidth="1"/>
    <col min="7688" max="7688" width="1.33203125" style="87" customWidth="1"/>
    <col min="7689" max="7693" width="8.83203125" style="87"/>
    <col min="7694" max="7695" width="5.83203125" style="87" customWidth="1"/>
    <col min="7696" max="7696" width="6.5" style="87" customWidth="1"/>
    <col min="7697" max="7938" width="8.83203125" style="87"/>
    <col min="7939" max="7939" width="3.6640625" style="87" customWidth="1"/>
    <col min="7940" max="7940" width="4.33203125" style="87" customWidth="1"/>
    <col min="7941" max="7941" width="1.5" style="87" customWidth="1"/>
    <col min="7942" max="7943" width="12.1640625" style="87" customWidth="1"/>
    <col min="7944" max="7944" width="1.33203125" style="87" customWidth="1"/>
    <col min="7945" max="7949" width="8.83203125" style="87"/>
    <col min="7950" max="7951" width="5.83203125" style="87" customWidth="1"/>
    <col min="7952" max="7952" width="6.5" style="87" customWidth="1"/>
    <col min="7953" max="8194" width="8.83203125" style="87"/>
    <col min="8195" max="8195" width="3.6640625" style="87" customWidth="1"/>
    <col min="8196" max="8196" width="4.33203125" style="87" customWidth="1"/>
    <col min="8197" max="8197" width="1.5" style="87" customWidth="1"/>
    <col min="8198" max="8199" width="12.1640625" style="87" customWidth="1"/>
    <col min="8200" max="8200" width="1.33203125" style="87" customWidth="1"/>
    <col min="8201" max="8205" width="8.83203125" style="87"/>
    <col min="8206" max="8207" width="5.83203125" style="87" customWidth="1"/>
    <col min="8208" max="8208" width="6.5" style="87" customWidth="1"/>
    <col min="8209" max="8450" width="8.83203125" style="87"/>
    <col min="8451" max="8451" width="3.6640625" style="87" customWidth="1"/>
    <col min="8452" max="8452" width="4.33203125" style="87" customWidth="1"/>
    <col min="8453" max="8453" width="1.5" style="87" customWidth="1"/>
    <col min="8454" max="8455" width="12.1640625" style="87" customWidth="1"/>
    <col min="8456" max="8456" width="1.33203125" style="87" customWidth="1"/>
    <col min="8457" max="8461" width="8.83203125" style="87"/>
    <col min="8462" max="8463" width="5.83203125" style="87" customWidth="1"/>
    <col min="8464" max="8464" width="6.5" style="87" customWidth="1"/>
    <col min="8465" max="8706" width="8.83203125" style="87"/>
    <col min="8707" max="8707" width="3.6640625" style="87" customWidth="1"/>
    <col min="8708" max="8708" width="4.33203125" style="87" customWidth="1"/>
    <col min="8709" max="8709" width="1.5" style="87" customWidth="1"/>
    <col min="8710" max="8711" width="12.1640625" style="87" customWidth="1"/>
    <col min="8712" max="8712" width="1.33203125" style="87" customWidth="1"/>
    <col min="8713" max="8717" width="8.83203125" style="87"/>
    <col min="8718" max="8719" width="5.83203125" style="87" customWidth="1"/>
    <col min="8720" max="8720" width="6.5" style="87" customWidth="1"/>
    <col min="8721" max="8962" width="8.83203125" style="87"/>
    <col min="8963" max="8963" width="3.6640625" style="87" customWidth="1"/>
    <col min="8964" max="8964" width="4.33203125" style="87" customWidth="1"/>
    <col min="8965" max="8965" width="1.5" style="87" customWidth="1"/>
    <col min="8966" max="8967" width="12.1640625" style="87" customWidth="1"/>
    <col min="8968" max="8968" width="1.33203125" style="87" customWidth="1"/>
    <col min="8969" max="8973" width="8.83203125" style="87"/>
    <col min="8974" max="8975" width="5.83203125" style="87" customWidth="1"/>
    <col min="8976" max="8976" width="6.5" style="87" customWidth="1"/>
    <col min="8977" max="9218" width="8.83203125" style="87"/>
    <col min="9219" max="9219" width="3.6640625" style="87" customWidth="1"/>
    <col min="9220" max="9220" width="4.33203125" style="87" customWidth="1"/>
    <col min="9221" max="9221" width="1.5" style="87" customWidth="1"/>
    <col min="9222" max="9223" width="12.1640625" style="87" customWidth="1"/>
    <col min="9224" max="9224" width="1.33203125" style="87" customWidth="1"/>
    <col min="9225" max="9229" width="8.83203125" style="87"/>
    <col min="9230" max="9231" width="5.83203125" style="87" customWidth="1"/>
    <col min="9232" max="9232" width="6.5" style="87" customWidth="1"/>
    <col min="9233" max="9474" width="8.83203125" style="87"/>
    <col min="9475" max="9475" width="3.6640625" style="87" customWidth="1"/>
    <col min="9476" max="9476" width="4.33203125" style="87" customWidth="1"/>
    <col min="9477" max="9477" width="1.5" style="87" customWidth="1"/>
    <col min="9478" max="9479" width="12.1640625" style="87" customWidth="1"/>
    <col min="9480" max="9480" width="1.33203125" style="87" customWidth="1"/>
    <col min="9481" max="9485" width="8.83203125" style="87"/>
    <col min="9486" max="9487" width="5.83203125" style="87" customWidth="1"/>
    <col min="9488" max="9488" width="6.5" style="87" customWidth="1"/>
    <col min="9489" max="9730" width="8.83203125" style="87"/>
    <col min="9731" max="9731" width="3.6640625" style="87" customWidth="1"/>
    <col min="9732" max="9732" width="4.33203125" style="87" customWidth="1"/>
    <col min="9733" max="9733" width="1.5" style="87" customWidth="1"/>
    <col min="9734" max="9735" width="12.1640625" style="87" customWidth="1"/>
    <col min="9736" max="9736" width="1.33203125" style="87" customWidth="1"/>
    <col min="9737" max="9741" width="8.83203125" style="87"/>
    <col min="9742" max="9743" width="5.83203125" style="87" customWidth="1"/>
    <col min="9744" max="9744" width="6.5" style="87" customWidth="1"/>
    <col min="9745" max="9986" width="8.83203125" style="87"/>
    <col min="9987" max="9987" width="3.6640625" style="87" customWidth="1"/>
    <col min="9988" max="9988" width="4.33203125" style="87" customWidth="1"/>
    <col min="9989" max="9989" width="1.5" style="87" customWidth="1"/>
    <col min="9990" max="9991" width="12.1640625" style="87" customWidth="1"/>
    <col min="9992" max="9992" width="1.33203125" style="87" customWidth="1"/>
    <col min="9993" max="9997" width="8.83203125" style="87"/>
    <col min="9998" max="9999" width="5.83203125" style="87" customWidth="1"/>
    <col min="10000" max="10000" width="6.5" style="87" customWidth="1"/>
    <col min="10001" max="10242" width="8.83203125" style="87"/>
    <col min="10243" max="10243" width="3.6640625" style="87" customWidth="1"/>
    <col min="10244" max="10244" width="4.33203125" style="87" customWidth="1"/>
    <col min="10245" max="10245" width="1.5" style="87" customWidth="1"/>
    <col min="10246" max="10247" width="12.1640625" style="87" customWidth="1"/>
    <col min="10248" max="10248" width="1.33203125" style="87" customWidth="1"/>
    <col min="10249" max="10253" width="8.83203125" style="87"/>
    <col min="10254" max="10255" width="5.83203125" style="87" customWidth="1"/>
    <col min="10256" max="10256" width="6.5" style="87" customWidth="1"/>
    <col min="10257" max="10498" width="8.83203125" style="87"/>
    <col min="10499" max="10499" width="3.6640625" style="87" customWidth="1"/>
    <col min="10500" max="10500" width="4.33203125" style="87" customWidth="1"/>
    <col min="10501" max="10501" width="1.5" style="87" customWidth="1"/>
    <col min="10502" max="10503" width="12.1640625" style="87" customWidth="1"/>
    <col min="10504" max="10504" width="1.33203125" style="87" customWidth="1"/>
    <col min="10505" max="10509" width="8.83203125" style="87"/>
    <col min="10510" max="10511" width="5.83203125" style="87" customWidth="1"/>
    <col min="10512" max="10512" width="6.5" style="87" customWidth="1"/>
    <col min="10513" max="10754" width="8.83203125" style="87"/>
    <col min="10755" max="10755" width="3.6640625" style="87" customWidth="1"/>
    <col min="10756" max="10756" width="4.33203125" style="87" customWidth="1"/>
    <col min="10757" max="10757" width="1.5" style="87" customWidth="1"/>
    <col min="10758" max="10759" width="12.1640625" style="87" customWidth="1"/>
    <col min="10760" max="10760" width="1.33203125" style="87" customWidth="1"/>
    <col min="10761" max="10765" width="8.83203125" style="87"/>
    <col min="10766" max="10767" width="5.83203125" style="87" customWidth="1"/>
    <col min="10768" max="10768" width="6.5" style="87" customWidth="1"/>
    <col min="10769" max="11010" width="8.83203125" style="87"/>
    <col min="11011" max="11011" width="3.6640625" style="87" customWidth="1"/>
    <col min="11012" max="11012" width="4.33203125" style="87" customWidth="1"/>
    <col min="11013" max="11013" width="1.5" style="87" customWidth="1"/>
    <col min="11014" max="11015" width="12.1640625" style="87" customWidth="1"/>
    <col min="11016" max="11016" width="1.33203125" style="87" customWidth="1"/>
    <col min="11017" max="11021" width="8.83203125" style="87"/>
    <col min="11022" max="11023" width="5.83203125" style="87" customWidth="1"/>
    <col min="11024" max="11024" width="6.5" style="87" customWidth="1"/>
    <col min="11025" max="11266" width="8.83203125" style="87"/>
    <col min="11267" max="11267" width="3.6640625" style="87" customWidth="1"/>
    <col min="11268" max="11268" width="4.33203125" style="87" customWidth="1"/>
    <col min="11269" max="11269" width="1.5" style="87" customWidth="1"/>
    <col min="11270" max="11271" width="12.1640625" style="87" customWidth="1"/>
    <col min="11272" max="11272" width="1.33203125" style="87" customWidth="1"/>
    <col min="11273" max="11277" width="8.83203125" style="87"/>
    <col min="11278" max="11279" width="5.83203125" style="87" customWidth="1"/>
    <col min="11280" max="11280" width="6.5" style="87" customWidth="1"/>
    <col min="11281" max="11522" width="8.83203125" style="87"/>
    <col min="11523" max="11523" width="3.6640625" style="87" customWidth="1"/>
    <col min="11524" max="11524" width="4.33203125" style="87" customWidth="1"/>
    <col min="11525" max="11525" width="1.5" style="87" customWidth="1"/>
    <col min="11526" max="11527" width="12.1640625" style="87" customWidth="1"/>
    <col min="11528" max="11528" width="1.33203125" style="87" customWidth="1"/>
    <col min="11529" max="11533" width="8.83203125" style="87"/>
    <col min="11534" max="11535" width="5.83203125" style="87" customWidth="1"/>
    <col min="11536" max="11536" width="6.5" style="87" customWidth="1"/>
    <col min="11537" max="11778" width="8.83203125" style="87"/>
    <col min="11779" max="11779" width="3.6640625" style="87" customWidth="1"/>
    <col min="11780" max="11780" width="4.33203125" style="87" customWidth="1"/>
    <col min="11781" max="11781" width="1.5" style="87" customWidth="1"/>
    <col min="11782" max="11783" width="12.1640625" style="87" customWidth="1"/>
    <col min="11784" max="11784" width="1.33203125" style="87" customWidth="1"/>
    <col min="11785" max="11789" width="8.83203125" style="87"/>
    <col min="11790" max="11791" width="5.83203125" style="87" customWidth="1"/>
    <col min="11792" max="11792" width="6.5" style="87" customWidth="1"/>
    <col min="11793" max="12034" width="8.83203125" style="87"/>
    <col min="12035" max="12035" width="3.6640625" style="87" customWidth="1"/>
    <col min="12036" max="12036" width="4.33203125" style="87" customWidth="1"/>
    <col min="12037" max="12037" width="1.5" style="87" customWidth="1"/>
    <col min="12038" max="12039" width="12.1640625" style="87" customWidth="1"/>
    <col min="12040" max="12040" width="1.33203125" style="87" customWidth="1"/>
    <col min="12041" max="12045" width="8.83203125" style="87"/>
    <col min="12046" max="12047" width="5.83203125" style="87" customWidth="1"/>
    <col min="12048" max="12048" width="6.5" style="87" customWidth="1"/>
    <col min="12049" max="12290" width="8.83203125" style="87"/>
    <col min="12291" max="12291" width="3.6640625" style="87" customWidth="1"/>
    <col min="12292" max="12292" width="4.33203125" style="87" customWidth="1"/>
    <col min="12293" max="12293" width="1.5" style="87" customWidth="1"/>
    <col min="12294" max="12295" width="12.1640625" style="87" customWidth="1"/>
    <col min="12296" max="12296" width="1.33203125" style="87" customWidth="1"/>
    <col min="12297" max="12301" width="8.83203125" style="87"/>
    <col min="12302" max="12303" width="5.83203125" style="87" customWidth="1"/>
    <col min="12304" max="12304" width="6.5" style="87" customWidth="1"/>
    <col min="12305" max="12546" width="8.83203125" style="87"/>
    <col min="12547" max="12547" width="3.6640625" style="87" customWidth="1"/>
    <col min="12548" max="12548" width="4.33203125" style="87" customWidth="1"/>
    <col min="12549" max="12549" width="1.5" style="87" customWidth="1"/>
    <col min="12550" max="12551" width="12.1640625" style="87" customWidth="1"/>
    <col min="12552" max="12552" width="1.33203125" style="87" customWidth="1"/>
    <col min="12553" max="12557" width="8.83203125" style="87"/>
    <col min="12558" max="12559" width="5.83203125" style="87" customWidth="1"/>
    <col min="12560" max="12560" width="6.5" style="87" customWidth="1"/>
    <col min="12561" max="12802" width="8.83203125" style="87"/>
    <col min="12803" max="12803" width="3.6640625" style="87" customWidth="1"/>
    <col min="12804" max="12804" width="4.33203125" style="87" customWidth="1"/>
    <col min="12805" max="12805" width="1.5" style="87" customWidth="1"/>
    <col min="12806" max="12807" width="12.1640625" style="87" customWidth="1"/>
    <col min="12808" max="12808" width="1.33203125" style="87" customWidth="1"/>
    <col min="12809" max="12813" width="8.83203125" style="87"/>
    <col min="12814" max="12815" width="5.83203125" style="87" customWidth="1"/>
    <col min="12816" max="12816" width="6.5" style="87" customWidth="1"/>
    <col min="12817" max="13058" width="8.83203125" style="87"/>
    <col min="13059" max="13059" width="3.6640625" style="87" customWidth="1"/>
    <col min="13060" max="13060" width="4.33203125" style="87" customWidth="1"/>
    <col min="13061" max="13061" width="1.5" style="87" customWidth="1"/>
    <col min="13062" max="13063" width="12.1640625" style="87" customWidth="1"/>
    <col min="13064" max="13064" width="1.33203125" style="87" customWidth="1"/>
    <col min="13065" max="13069" width="8.83203125" style="87"/>
    <col min="13070" max="13071" width="5.83203125" style="87" customWidth="1"/>
    <col min="13072" max="13072" width="6.5" style="87" customWidth="1"/>
    <col min="13073" max="13314" width="8.83203125" style="87"/>
    <col min="13315" max="13315" width="3.6640625" style="87" customWidth="1"/>
    <col min="13316" max="13316" width="4.33203125" style="87" customWidth="1"/>
    <col min="13317" max="13317" width="1.5" style="87" customWidth="1"/>
    <col min="13318" max="13319" width="12.1640625" style="87" customWidth="1"/>
    <col min="13320" max="13320" width="1.33203125" style="87" customWidth="1"/>
    <col min="13321" max="13325" width="8.83203125" style="87"/>
    <col min="13326" max="13327" width="5.83203125" style="87" customWidth="1"/>
    <col min="13328" max="13328" width="6.5" style="87" customWidth="1"/>
    <col min="13329" max="13570" width="8.83203125" style="87"/>
    <col min="13571" max="13571" width="3.6640625" style="87" customWidth="1"/>
    <col min="13572" max="13572" width="4.33203125" style="87" customWidth="1"/>
    <col min="13573" max="13573" width="1.5" style="87" customWidth="1"/>
    <col min="13574" max="13575" width="12.1640625" style="87" customWidth="1"/>
    <col min="13576" max="13576" width="1.33203125" style="87" customWidth="1"/>
    <col min="13577" max="13581" width="8.83203125" style="87"/>
    <col min="13582" max="13583" width="5.83203125" style="87" customWidth="1"/>
    <col min="13584" max="13584" width="6.5" style="87" customWidth="1"/>
    <col min="13585" max="13826" width="8.83203125" style="87"/>
    <col min="13827" max="13827" width="3.6640625" style="87" customWidth="1"/>
    <col min="13828" max="13828" width="4.33203125" style="87" customWidth="1"/>
    <col min="13829" max="13829" width="1.5" style="87" customWidth="1"/>
    <col min="13830" max="13831" width="12.1640625" style="87" customWidth="1"/>
    <col min="13832" max="13832" width="1.33203125" style="87" customWidth="1"/>
    <col min="13833" max="13837" width="8.83203125" style="87"/>
    <col min="13838" max="13839" width="5.83203125" style="87" customWidth="1"/>
    <col min="13840" max="13840" width="6.5" style="87" customWidth="1"/>
    <col min="13841" max="14082" width="8.83203125" style="87"/>
    <col min="14083" max="14083" width="3.6640625" style="87" customWidth="1"/>
    <col min="14084" max="14084" width="4.33203125" style="87" customWidth="1"/>
    <col min="14085" max="14085" width="1.5" style="87" customWidth="1"/>
    <col min="14086" max="14087" width="12.1640625" style="87" customWidth="1"/>
    <col min="14088" max="14088" width="1.33203125" style="87" customWidth="1"/>
    <col min="14089" max="14093" width="8.83203125" style="87"/>
    <col min="14094" max="14095" width="5.83203125" style="87" customWidth="1"/>
    <col min="14096" max="14096" width="6.5" style="87" customWidth="1"/>
    <col min="14097" max="14338" width="8.83203125" style="87"/>
    <col min="14339" max="14339" width="3.6640625" style="87" customWidth="1"/>
    <col min="14340" max="14340" width="4.33203125" style="87" customWidth="1"/>
    <col min="14341" max="14341" width="1.5" style="87" customWidth="1"/>
    <col min="14342" max="14343" width="12.1640625" style="87" customWidth="1"/>
    <col min="14344" max="14344" width="1.33203125" style="87" customWidth="1"/>
    <col min="14345" max="14349" width="8.83203125" style="87"/>
    <col min="14350" max="14351" width="5.83203125" style="87" customWidth="1"/>
    <col min="14352" max="14352" width="6.5" style="87" customWidth="1"/>
    <col min="14353" max="14594" width="8.83203125" style="87"/>
    <col min="14595" max="14595" width="3.6640625" style="87" customWidth="1"/>
    <col min="14596" max="14596" width="4.33203125" style="87" customWidth="1"/>
    <col min="14597" max="14597" width="1.5" style="87" customWidth="1"/>
    <col min="14598" max="14599" width="12.1640625" style="87" customWidth="1"/>
    <col min="14600" max="14600" width="1.33203125" style="87" customWidth="1"/>
    <col min="14601" max="14605" width="8.83203125" style="87"/>
    <col min="14606" max="14607" width="5.83203125" style="87" customWidth="1"/>
    <col min="14608" max="14608" width="6.5" style="87" customWidth="1"/>
    <col min="14609" max="14850" width="8.83203125" style="87"/>
    <col min="14851" max="14851" width="3.6640625" style="87" customWidth="1"/>
    <col min="14852" max="14852" width="4.33203125" style="87" customWidth="1"/>
    <col min="14853" max="14853" width="1.5" style="87" customWidth="1"/>
    <col min="14854" max="14855" width="12.1640625" style="87" customWidth="1"/>
    <col min="14856" max="14856" width="1.33203125" style="87" customWidth="1"/>
    <col min="14857" max="14861" width="8.83203125" style="87"/>
    <col min="14862" max="14863" width="5.83203125" style="87" customWidth="1"/>
    <col min="14864" max="14864" width="6.5" style="87" customWidth="1"/>
    <col min="14865" max="15106" width="8.83203125" style="87"/>
    <col min="15107" max="15107" width="3.6640625" style="87" customWidth="1"/>
    <col min="15108" max="15108" width="4.33203125" style="87" customWidth="1"/>
    <col min="15109" max="15109" width="1.5" style="87" customWidth="1"/>
    <col min="15110" max="15111" width="12.1640625" style="87" customWidth="1"/>
    <col min="15112" max="15112" width="1.33203125" style="87" customWidth="1"/>
    <col min="15113" max="15117" width="8.83203125" style="87"/>
    <col min="15118" max="15119" width="5.83203125" style="87" customWidth="1"/>
    <col min="15120" max="15120" width="6.5" style="87" customWidth="1"/>
    <col min="15121" max="15362" width="8.83203125" style="87"/>
    <col min="15363" max="15363" width="3.6640625" style="87" customWidth="1"/>
    <col min="15364" max="15364" width="4.33203125" style="87" customWidth="1"/>
    <col min="15365" max="15365" width="1.5" style="87" customWidth="1"/>
    <col min="15366" max="15367" width="12.1640625" style="87" customWidth="1"/>
    <col min="15368" max="15368" width="1.33203125" style="87" customWidth="1"/>
    <col min="15369" max="15373" width="8.83203125" style="87"/>
    <col min="15374" max="15375" width="5.83203125" style="87" customWidth="1"/>
    <col min="15376" max="15376" width="6.5" style="87" customWidth="1"/>
    <col min="15377" max="15618" width="8.83203125" style="87"/>
    <col min="15619" max="15619" width="3.6640625" style="87" customWidth="1"/>
    <col min="15620" max="15620" width="4.33203125" style="87" customWidth="1"/>
    <col min="15621" max="15621" width="1.5" style="87" customWidth="1"/>
    <col min="15622" max="15623" width="12.1640625" style="87" customWidth="1"/>
    <col min="15624" max="15624" width="1.33203125" style="87" customWidth="1"/>
    <col min="15625" max="15629" width="8.83203125" style="87"/>
    <col min="15630" max="15631" width="5.83203125" style="87" customWidth="1"/>
    <col min="15632" max="15632" width="6.5" style="87" customWidth="1"/>
    <col min="15633" max="15874" width="8.83203125" style="87"/>
    <col min="15875" max="15875" width="3.6640625" style="87" customWidth="1"/>
    <col min="15876" max="15876" width="4.33203125" style="87" customWidth="1"/>
    <col min="15877" max="15877" width="1.5" style="87" customWidth="1"/>
    <col min="15878" max="15879" width="12.1640625" style="87" customWidth="1"/>
    <col min="15880" max="15880" width="1.33203125" style="87" customWidth="1"/>
    <col min="15881" max="15885" width="8.83203125" style="87"/>
    <col min="15886" max="15887" width="5.83203125" style="87" customWidth="1"/>
    <col min="15888" max="15888" width="6.5" style="87" customWidth="1"/>
    <col min="15889" max="16130" width="8.83203125" style="87"/>
    <col min="16131" max="16131" width="3.6640625" style="87" customWidth="1"/>
    <col min="16132" max="16132" width="4.33203125" style="87" customWidth="1"/>
    <col min="16133" max="16133" width="1.5" style="87" customWidth="1"/>
    <col min="16134" max="16135" width="12.1640625" style="87" customWidth="1"/>
    <col min="16136" max="16136" width="1.33203125" style="87" customWidth="1"/>
    <col min="16137" max="16141" width="8.83203125" style="87"/>
    <col min="16142" max="16143" width="5.83203125" style="87" customWidth="1"/>
    <col min="16144" max="16144" width="6.5" style="87" customWidth="1"/>
    <col min="16145" max="16384" width="8.83203125" style="87"/>
  </cols>
  <sheetData>
    <row r="1" spans="1:21">
      <c r="A1" s="63" t="s">
        <v>204</v>
      </c>
      <c r="C1" s="87" t="s">
        <v>246</v>
      </c>
      <c r="K1" s="88" t="s">
        <v>247</v>
      </c>
      <c r="L1" s="89"/>
    </row>
    <row r="2" spans="1:21" ht="15" thickBot="1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0</v>
      </c>
      <c r="N2" s="93" t="s">
        <v>251</v>
      </c>
      <c r="O2" s="94" t="s">
        <v>252</v>
      </c>
      <c r="P2" s="95" t="s">
        <v>253</v>
      </c>
    </row>
    <row r="3" spans="1:21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0</v>
      </c>
      <c r="N3" s="91">
        <v>0</v>
      </c>
      <c r="O3" s="98">
        <v>0</v>
      </c>
      <c r="P3" s="99">
        <f>1+C4/20</f>
        <v>1.35</v>
      </c>
    </row>
    <row r="4" spans="1:21" ht="15" thickBot="1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>
      <c r="A5" s="63" t="s">
        <v>210</v>
      </c>
      <c r="N5" s="100">
        <v>0</v>
      </c>
      <c r="O5" s="101">
        <v>1</v>
      </c>
      <c r="P5" s="102">
        <v>1</v>
      </c>
    </row>
    <row r="6" spans="1:21" ht="15" thickBot="1">
      <c r="A6" s="64" t="b">
        <f>AND(M2,M3)</f>
        <v>0</v>
      </c>
      <c r="N6" s="96">
        <v>2</v>
      </c>
      <c r="O6" s="103">
        <v>1</v>
      </c>
      <c r="P6" s="104">
        <v>1</v>
      </c>
    </row>
    <row r="7" spans="1:21">
      <c r="A7" s="63" t="s">
        <v>211</v>
      </c>
      <c r="R7" s="105"/>
    </row>
    <row r="8" spans="1:21">
      <c r="A8" s="65" t="s">
        <v>201</v>
      </c>
      <c r="R8" s="105"/>
    </row>
    <row r="9" spans="1:21" ht="15" thickBot="1">
      <c r="A9" s="64">
        <f>VLOOKUP(A8,OpenSolverResultCodes,2,FALSE)</f>
        <v>0</v>
      </c>
    </row>
    <row r="10" spans="1:21" ht="15" thickBot="1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-10</v>
      </c>
      <c r="T10" s="105" t="s">
        <v>8</v>
      </c>
      <c r="U10" s="87">
        <v>2</v>
      </c>
    </row>
    <row r="11" spans="1:21">
      <c r="P11" s="105" t="s">
        <v>256</v>
      </c>
      <c r="Q11" s="87">
        <v>0</v>
      </c>
      <c r="R11" s="105" t="s">
        <v>8</v>
      </c>
      <c r="S11" s="87">
        <v>-10</v>
      </c>
      <c r="T11" s="105" t="s">
        <v>8</v>
      </c>
      <c r="U11" s="87">
        <v>1</v>
      </c>
    </row>
    <row r="13" spans="1:21">
      <c r="R13" s="105" t="s">
        <v>257</v>
      </c>
      <c r="S13" s="87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 enableFormatConditionsCalculation="0"/>
  <dimension ref="A1:AR51"/>
  <sheetViews>
    <sheetView workbookViewId="0">
      <selection activeCell="B51" sqref="B51"/>
    </sheetView>
  </sheetViews>
  <sheetFormatPr baseColWidth="10" defaultColWidth="8.83203125" defaultRowHeight="12" x14ac:dyDescent="0"/>
  <cols>
    <col min="1" max="4" width="8.83203125" style="87"/>
    <col min="5" max="5" width="1.5" style="87" customWidth="1"/>
    <col min="6" max="260" width="8.83203125" style="87"/>
    <col min="261" max="261" width="1.5" style="87" customWidth="1"/>
    <col min="262" max="516" width="8.83203125" style="87"/>
    <col min="517" max="517" width="1.5" style="87" customWidth="1"/>
    <col min="518" max="772" width="8.83203125" style="87"/>
    <col min="773" max="773" width="1.5" style="87" customWidth="1"/>
    <col min="774" max="1028" width="8.83203125" style="87"/>
    <col min="1029" max="1029" width="1.5" style="87" customWidth="1"/>
    <col min="1030" max="1284" width="8.83203125" style="87"/>
    <col min="1285" max="1285" width="1.5" style="87" customWidth="1"/>
    <col min="1286" max="1540" width="8.83203125" style="87"/>
    <col min="1541" max="1541" width="1.5" style="87" customWidth="1"/>
    <col min="1542" max="1796" width="8.83203125" style="87"/>
    <col min="1797" max="1797" width="1.5" style="87" customWidth="1"/>
    <col min="1798" max="2052" width="8.83203125" style="87"/>
    <col min="2053" max="2053" width="1.5" style="87" customWidth="1"/>
    <col min="2054" max="2308" width="8.83203125" style="87"/>
    <col min="2309" max="2309" width="1.5" style="87" customWidth="1"/>
    <col min="2310" max="2564" width="8.83203125" style="87"/>
    <col min="2565" max="2565" width="1.5" style="87" customWidth="1"/>
    <col min="2566" max="2820" width="8.83203125" style="87"/>
    <col min="2821" max="2821" width="1.5" style="87" customWidth="1"/>
    <col min="2822" max="3076" width="8.83203125" style="87"/>
    <col min="3077" max="3077" width="1.5" style="87" customWidth="1"/>
    <col min="3078" max="3332" width="8.83203125" style="87"/>
    <col min="3333" max="3333" width="1.5" style="87" customWidth="1"/>
    <col min="3334" max="3588" width="8.83203125" style="87"/>
    <col min="3589" max="3589" width="1.5" style="87" customWidth="1"/>
    <col min="3590" max="3844" width="8.83203125" style="87"/>
    <col min="3845" max="3845" width="1.5" style="87" customWidth="1"/>
    <col min="3846" max="4100" width="8.83203125" style="87"/>
    <col min="4101" max="4101" width="1.5" style="87" customWidth="1"/>
    <col min="4102" max="4356" width="8.83203125" style="87"/>
    <col min="4357" max="4357" width="1.5" style="87" customWidth="1"/>
    <col min="4358" max="4612" width="8.83203125" style="87"/>
    <col min="4613" max="4613" width="1.5" style="87" customWidth="1"/>
    <col min="4614" max="4868" width="8.83203125" style="87"/>
    <col min="4869" max="4869" width="1.5" style="87" customWidth="1"/>
    <col min="4870" max="5124" width="8.83203125" style="87"/>
    <col min="5125" max="5125" width="1.5" style="87" customWidth="1"/>
    <col min="5126" max="5380" width="8.83203125" style="87"/>
    <col min="5381" max="5381" width="1.5" style="87" customWidth="1"/>
    <col min="5382" max="5636" width="8.83203125" style="87"/>
    <col min="5637" max="5637" width="1.5" style="87" customWidth="1"/>
    <col min="5638" max="5892" width="8.83203125" style="87"/>
    <col min="5893" max="5893" width="1.5" style="87" customWidth="1"/>
    <col min="5894" max="6148" width="8.83203125" style="87"/>
    <col min="6149" max="6149" width="1.5" style="87" customWidth="1"/>
    <col min="6150" max="6404" width="8.83203125" style="87"/>
    <col min="6405" max="6405" width="1.5" style="87" customWidth="1"/>
    <col min="6406" max="6660" width="8.83203125" style="87"/>
    <col min="6661" max="6661" width="1.5" style="87" customWidth="1"/>
    <col min="6662" max="6916" width="8.83203125" style="87"/>
    <col min="6917" max="6917" width="1.5" style="87" customWidth="1"/>
    <col min="6918" max="7172" width="8.83203125" style="87"/>
    <col min="7173" max="7173" width="1.5" style="87" customWidth="1"/>
    <col min="7174" max="7428" width="8.83203125" style="87"/>
    <col min="7429" max="7429" width="1.5" style="87" customWidth="1"/>
    <col min="7430" max="7684" width="8.83203125" style="87"/>
    <col min="7685" max="7685" width="1.5" style="87" customWidth="1"/>
    <col min="7686" max="7940" width="8.83203125" style="87"/>
    <col min="7941" max="7941" width="1.5" style="87" customWidth="1"/>
    <col min="7942" max="8196" width="8.83203125" style="87"/>
    <col min="8197" max="8197" width="1.5" style="87" customWidth="1"/>
    <col min="8198" max="8452" width="8.83203125" style="87"/>
    <col min="8453" max="8453" width="1.5" style="87" customWidth="1"/>
    <col min="8454" max="8708" width="8.83203125" style="87"/>
    <col min="8709" max="8709" width="1.5" style="87" customWidth="1"/>
    <col min="8710" max="8964" width="8.83203125" style="87"/>
    <col min="8965" max="8965" width="1.5" style="87" customWidth="1"/>
    <col min="8966" max="9220" width="8.83203125" style="87"/>
    <col min="9221" max="9221" width="1.5" style="87" customWidth="1"/>
    <col min="9222" max="9476" width="8.83203125" style="87"/>
    <col min="9477" max="9477" width="1.5" style="87" customWidth="1"/>
    <col min="9478" max="9732" width="8.83203125" style="87"/>
    <col min="9733" max="9733" width="1.5" style="87" customWidth="1"/>
    <col min="9734" max="9988" width="8.83203125" style="87"/>
    <col min="9989" max="9989" width="1.5" style="87" customWidth="1"/>
    <col min="9990" max="10244" width="8.83203125" style="87"/>
    <col min="10245" max="10245" width="1.5" style="87" customWidth="1"/>
    <col min="10246" max="10500" width="8.83203125" style="87"/>
    <col min="10501" max="10501" width="1.5" style="87" customWidth="1"/>
    <col min="10502" max="10756" width="8.83203125" style="87"/>
    <col min="10757" max="10757" width="1.5" style="87" customWidth="1"/>
    <col min="10758" max="11012" width="8.83203125" style="87"/>
    <col min="11013" max="11013" width="1.5" style="87" customWidth="1"/>
    <col min="11014" max="11268" width="8.83203125" style="87"/>
    <col min="11269" max="11269" width="1.5" style="87" customWidth="1"/>
    <col min="11270" max="11524" width="8.83203125" style="87"/>
    <col min="11525" max="11525" width="1.5" style="87" customWidth="1"/>
    <col min="11526" max="11780" width="8.83203125" style="87"/>
    <col min="11781" max="11781" width="1.5" style="87" customWidth="1"/>
    <col min="11782" max="12036" width="8.83203125" style="87"/>
    <col min="12037" max="12037" width="1.5" style="87" customWidth="1"/>
    <col min="12038" max="12292" width="8.83203125" style="87"/>
    <col min="12293" max="12293" width="1.5" style="87" customWidth="1"/>
    <col min="12294" max="12548" width="8.83203125" style="87"/>
    <col min="12549" max="12549" width="1.5" style="87" customWidth="1"/>
    <col min="12550" max="12804" width="8.83203125" style="87"/>
    <col min="12805" max="12805" width="1.5" style="87" customWidth="1"/>
    <col min="12806" max="13060" width="8.83203125" style="87"/>
    <col min="13061" max="13061" width="1.5" style="87" customWidth="1"/>
    <col min="13062" max="13316" width="8.83203125" style="87"/>
    <col min="13317" max="13317" width="1.5" style="87" customWidth="1"/>
    <col min="13318" max="13572" width="8.83203125" style="87"/>
    <col min="13573" max="13573" width="1.5" style="87" customWidth="1"/>
    <col min="13574" max="13828" width="8.83203125" style="87"/>
    <col min="13829" max="13829" width="1.5" style="87" customWidth="1"/>
    <col min="13830" max="14084" width="8.83203125" style="87"/>
    <col min="14085" max="14085" width="1.5" style="87" customWidth="1"/>
    <col min="14086" max="14340" width="8.83203125" style="87"/>
    <col min="14341" max="14341" width="1.5" style="87" customWidth="1"/>
    <col min="14342" max="14596" width="8.83203125" style="87"/>
    <col min="14597" max="14597" width="1.5" style="87" customWidth="1"/>
    <col min="14598" max="14852" width="8.83203125" style="87"/>
    <col min="14853" max="14853" width="1.5" style="87" customWidth="1"/>
    <col min="14854" max="15108" width="8.83203125" style="87"/>
    <col min="15109" max="15109" width="1.5" style="87" customWidth="1"/>
    <col min="15110" max="15364" width="8.83203125" style="87"/>
    <col min="15365" max="15365" width="1.5" style="87" customWidth="1"/>
    <col min="15366" max="15620" width="8.83203125" style="87"/>
    <col min="15621" max="15621" width="1.5" style="87" customWidth="1"/>
    <col min="15622" max="15876" width="8.83203125" style="87"/>
    <col min="15877" max="15877" width="1.5" style="87" customWidth="1"/>
    <col min="15878" max="16132" width="8.83203125" style="87"/>
    <col min="16133" max="16133" width="1.5" style="87" customWidth="1"/>
    <col min="16134" max="16384" width="8.83203125" style="87"/>
  </cols>
  <sheetData>
    <row r="1" spans="1:44">
      <c r="A1" s="87" t="s">
        <v>258</v>
      </c>
      <c r="B1" s="87" t="s">
        <v>259</v>
      </c>
    </row>
    <row r="2" spans="1:44">
      <c r="A2" s="87">
        <v>2.5000000000000001E-2</v>
      </c>
      <c r="B2" s="87">
        <v>0.05</v>
      </c>
    </row>
    <row r="3" spans="1:44">
      <c r="A3" s="87" t="s">
        <v>256</v>
      </c>
      <c r="B3" s="87" t="s">
        <v>255</v>
      </c>
    </row>
    <row r="4" spans="1:44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>
      <c r="A47" s="87" t="s">
        <v>261</v>
      </c>
      <c r="B47" s="87">
        <f>MIN(B5:AP45)</f>
        <v>5.1851594388177826</v>
      </c>
    </row>
    <row r="48" spans="1:44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>
      <c r="A50" s="87" t="s">
        <v>254</v>
      </c>
      <c r="B50" s="87">
        <f>SUMPRODUCT(y,AR5:AR45)</f>
        <v>0.4250000000000001</v>
      </c>
    </row>
    <row r="51" spans="1: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 enableFormatConditionsCalculation="0"/>
  <dimension ref="A1:H33"/>
  <sheetViews>
    <sheetView showGridLines="0" workbookViewId="0">
      <selection activeCell="CV100" sqref="CV100"/>
    </sheetView>
  </sheetViews>
  <sheetFormatPr baseColWidth="10" defaultColWidth="8.83203125" defaultRowHeight="14" x14ac:dyDescent="0"/>
  <cols>
    <col min="1" max="1" width="5.83203125" style="17" customWidth="1"/>
    <col min="2" max="2" width="8.1640625" bestFit="1" customWidth="1"/>
    <col min="3" max="3" width="9.6640625" bestFit="1" customWidth="1"/>
    <col min="4" max="4" width="9.5" bestFit="1" customWidth="1"/>
    <col min="5" max="5" width="12.1640625" bestFit="1" customWidth="1"/>
    <col min="6" max="6" width="13" bestFit="1" customWidth="1"/>
    <col min="7" max="7" width="15.33203125" bestFit="1" customWidth="1"/>
    <col min="8" max="8" width="16" bestFit="1" customWidth="1"/>
  </cols>
  <sheetData>
    <row r="1" spans="1:8">
      <c r="A1" s="17" t="s">
        <v>411</v>
      </c>
    </row>
    <row r="2" spans="1:8">
      <c r="A2" s="17" t="s">
        <v>284</v>
      </c>
      <c r="B2" s="177"/>
      <c r="C2" s="177"/>
      <c r="D2" s="177"/>
      <c r="E2" s="177"/>
      <c r="F2" s="177"/>
      <c r="G2" s="177"/>
      <c r="H2" s="177"/>
    </row>
    <row r="3" spans="1:8">
      <c r="A3" s="17" t="s">
        <v>413</v>
      </c>
      <c r="B3" s="177"/>
      <c r="C3" s="177"/>
      <c r="D3" s="177"/>
      <c r="E3" s="177"/>
      <c r="F3" s="177"/>
      <c r="G3" s="177"/>
      <c r="H3" s="177"/>
    </row>
    <row r="4" spans="1:8">
      <c r="B4" s="177"/>
      <c r="C4" s="177"/>
      <c r="D4" s="177"/>
      <c r="E4" s="177"/>
      <c r="F4" s="177"/>
      <c r="G4" s="177"/>
      <c r="H4" s="177"/>
    </row>
    <row r="5" spans="1:8" ht="15" thickBot="1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" thickBot="1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35.000000100000001</v>
      </c>
      <c r="H7" s="107">
        <v>1E+100</v>
      </c>
    </row>
    <row r="8" spans="1:8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10.000000099999999</v>
      </c>
      <c r="H8" s="108">
        <v>10.000000099999999</v>
      </c>
    </row>
    <row r="9" spans="1:8">
      <c r="B9" s="106" t="s">
        <v>272</v>
      </c>
      <c r="C9" s="75" t="s">
        <v>287</v>
      </c>
      <c r="D9" s="75">
        <v>0</v>
      </c>
      <c r="E9" s="75">
        <v>15</v>
      </c>
      <c r="F9" s="75">
        <v>40</v>
      </c>
      <c r="G9" s="109">
        <v>1E+100</v>
      </c>
      <c r="H9" s="108">
        <v>15</v>
      </c>
    </row>
    <row r="10" spans="1:8">
      <c r="B10" s="106" t="s">
        <v>308</v>
      </c>
      <c r="C10" s="75" t="s">
        <v>288</v>
      </c>
      <c r="D10" s="75">
        <v>0</v>
      </c>
      <c r="E10" s="75">
        <v>10</v>
      </c>
      <c r="F10" s="75">
        <v>40</v>
      </c>
      <c r="G10" s="109">
        <v>1E+100</v>
      </c>
      <c r="H10" s="108">
        <v>10</v>
      </c>
    </row>
    <row r="11" spans="1:8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>
      <c r="B12" s="106" t="s">
        <v>273</v>
      </c>
      <c r="C12" s="75" t="s">
        <v>290</v>
      </c>
      <c r="D12" s="75">
        <v>0</v>
      </c>
      <c r="E12" s="75">
        <v>35</v>
      </c>
      <c r="F12" s="75">
        <v>35</v>
      </c>
      <c r="G12" s="109">
        <v>1E+100</v>
      </c>
      <c r="H12" s="108">
        <v>35</v>
      </c>
    </row>
    <row r="13" spans="1:8">
      <c r="B13" s="106" t="s">
        <v>274</v>
      </c>
      <c r="C13" s="75" t="s">
        <v>291</v>
      </c>
      <c r="D13" s="75">
        <v>0</v>
      </c>
      <c r="E13" s="75">
        <v>0</v>
      </c>
      <c r="F13" s="75">
        <v>20</v>
      </c>
      <c r="G13" s="75">
        <v>5.0000001000000003</v>
      </c>
      <c r="H13" s="108">
        <v>5.0000001000000003</v>
      </c>
    </row>
    <row r="14" spans="1:8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5.0000001000000003</v>
      </c>
      <c r="H14" s="107">
        <v>1E+100</v>
      </c>
    </row>
    <row r="15" spans="1:8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5.0000001000000003</v>
      </c>
      <c r="H15" s="107">
        <v>1E+100</v>
      </c>
    </row>
    <row r="16" spans="1:8">
      <c r="B16" s="106" t="s">
        <v>311</v>
      </c>
      <c r="C16" s="75" t="s">
        <v>294</v>
      </c>
      <c r="D16" s="75">
        <v>0</v>
      </c>
      <c r="E16" s="75">
        <v>5</v>
      </c>
      <c r="F16" s="75">
        <v>30</v>
      </c>
      <c r="G16" s="109">
        <v>1E+100</v>
      </c>
      <c r="H16" s="108">
        <v>5</v>
      </c>
    </row>
    <row r="17" spans="1:8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5.0000001000000003</v>
      </c>
      <c r="H18" s="108">
        <v>5.0000001000000003</v>
      </c>
    </row>
    <row r="19" spans="1:8">
      <c r="B19" s="106" t="s">
        <v>278</v>
      </c>
      <c r="C19" s="75" t="s">
        <v>297</v>
      </c>
      <c r="D19" s="75">
        <v>0</v>
      </c>
      <c r="E19" s="75">
        <v>5</v>
      </c>
      <c r="F19" s="75">
        <v>10</v>
      </c>
      <c r="G19" s="109">
        <v>1E+100</v>
      </c>
      <c r="H19" s="108">
        <v>5</v>
      </c>
    </row>
    <row r="20" spans="1:8">
      <c r="B20" s="106" t="s">
        <v>312</v>
      </c>
      <c r="C20" s="75" t="s">
        <v>298</v>
      </c>
      <c r="D20" s="75">
        <v>0</v>
      </c>
      <c r="E20" s="75">
        <v>5</v>
      </c>
      <c r="F20" s="75">
        <v>15</v>
      </c>
      <c r="G20" s="109">
        <v>1E+100</v>
      </c>
      <c r="H20" s="108">
        <v>5</v>
      </c>
    </row>
    <row r="21" spans="1:8" ht="15" thickBot="1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5.0000001000000003</v>
      </c>
      <c r="H21" s="112">
        <v>1E+100</v>
      </c>
    </row>
    <row r="22" spans="1:8">
      <c r="B22" s="177"/>
      <c r="C22" s="177"/>
      <c r="D22" s="177"/>
      <c r="E22" s="177"/>
      <c r="F22" s="177"/>
      <c r="G22" s="177"/>
      <c r="H22" s="177"/>
    </row>
    <row r="23" spans="1:8" ht="15" thickBot="1">
      <c r="A23" s="17" t="s">
        <v>134</v>
      </c>
      <c r="B23" s="177"/>
      <c r="C23" s="177"/>
      <c r="D23" s="177"/>
      <c r="E23" s="177"/>
      <c r="F23" s="177"/>
      <c r="G23" s="177"/>
      <c r="H23" s="177"/>
    </row>
    <row r="24" spans="1:8" ht="15" thickBot="1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>
      <c r="B26" s="106" t="s">
        <v>315</v>
      </c>
      <c r="C26" s="75" t="s">
        <v>301</v>
      </c>
      <c r="D26" s="75">
        <v>300</v>
      </c>
      <c r="E26" s="75">
        <v>-10</v>
      </c>
      <c r="F26" s="75">
        <v>300</v>
      </c>
      <c r="G26" s="75">
        <v>100</v>
      </c>
      <c r="H26" s="108">
        <v>0</v>
      </c>
    </row>
    <row r="27" spans="1:8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>
      <c r="B30" s="106" t="s">
        <v>283</v>
      </c>
      <c r="C30" s="75" t="s">
        <v>305</v>
      </c>
      <c r="D30" s="75">
        <v>200</v>
      </c>
      <c r="E30" s="75">
        <v>25</v>
      </c>
      <c r="F30" s="75">
        <v>200</v>
      </c>
      <c r="G30" s="75">
        <v>0</v>
      </c>
      <c r="H30" s="108">
        <v>100</v>
      </c>
    </row>
    <row r="31" spans="1:8">
      <c r="B31" s="106" t="s">
        <v>317</v>
      </c>
      <c r="C31" s="75" t="s">
        <v>306</v>
      </c>
      <c r="D31" s="75">
        <v>100</v>
      </c>
      <c r="E31" s="75">
        <v>30</v>
      </c>
      <c r="F31" s="75">
        <v>100</v>
      </c>
      <c r="G31" s="75">
        <v>0</v>
      </c>
      <c r="H31" s="108">
        <v>100</v>
      </c>
    </row>
    <row r="32" spans="1:8" ht="15" thickBot="1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>
      <c r="B33" s="177"/>
      <c r="C33" s="177"/>
      <c r="D33" s="177"/>
      <c r="E33" s="177"/>
      <c r="F33" s="177"/>
      <c r="G33" s="177"/>
      <c r="H33" s="17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 enableFormatConditionsCalculation="0"/>
  <dimension ref="A1:J24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" style="87" customWidth="1"/>
  </cols>
  <sheetData>
    <row r="1" spans="1:10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" thickBot="1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" thickBot="1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" thickBot="1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>
      <c r="A7" s="63" t="s">
        <v>211</v>
      </c>
    </row>
    <row r="8" spans="1:10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" thickBot="1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" thickBot="1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>
      <c r="C15" t="s">
        <v>263</v>
      </c>
      <c r="D15">
        <v>0</v>
      </c>
      <c r="E15" s="81">
        <v>0</v>
      </c>
      <c r="F15">
        <v>200</v>
      </c>
      <c r="G15" s="81">
        <v>100</v>
      </c>
      <c r="H15">
        <v>0</v>
      </c>
      <c r="I15">
        <f>SUM(D15:H15)</f>
        <v>300</v>
      </c>
      <c r="J15">
        <v>300</v>
      </c>
    </row>
    <row r="16" spans="1:10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>
      <c r="C20" t="s">
        <v>0</v>
      </c>
      <c r="D20">
        <f>SUMPRODUCT(D9:H11,D14:H16)</f>
        <v>13250</v>
      </c>
    </row>
    <row r="22" spans="3:8">
      <c r="D22" t="s">
        <v>319</v>
      </c>
    </row>
    <row r="23" spans="3:8">
      <c r="D23">
        <v>13250</v>
      </c>
    </row>
    <row r="24" spans="3:8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 enableFormatConditionsCalculation="0"/>
  <dimension ref="A1:E27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" style="87" customWidth="1"/>
    <col min="3" max="3" width="25.33203125" style="87" bestFit="1" customWidth="1"/>
    <col min="4" max="4" width="12" style="87" bestFit="1" customWidth="1"/>
    <col min="5" max="16384" width="8.83203125" style="87"/>
  </cols>
  <sheetData>
    <row r="1" spans="1:5">
      <c r="A1" s="63" t="s">
        <v>364</v>
      </c>
      <c r="C1" s="117"/>
      <c r="D1" s="118"/>
      <c r="E1" s="117"/>
    </row>
    <row r="2" spans="1:5" ht="15" thickBot="1">
      <c r="A2" s="64" t="s">
        <v>206</v>
      </c>
      <c r="C2" s="119"/>
      <c r="D2" s="120"/>
      <c r="E2" s="117"/>
    </row>
    <row r="3" spans="1:5">
      <c r="A3" s="63" t="s">
        <v>209</v>
      </c>
      <c r="C3" s="121" t="s">
        <v>321</v>
      </c>
      <c r="D3" s="122">
        <v>365</v>
      </c>
      <c r="E3" s="123"/>
    </row>
    <row r="4" spans="1:5" ht="15" thickBot="1">
      <c r="A4" s="64" t="s">
        <v>208</v>
      </c>
      <c r="C4" s="121" t="s">
        <v>322</v>
      </c>
      <c r="D4" s="122">
        <v>5</v>
      </c>
      <c r="E4" s="123"/>
    </row>
    <row r="5" spans="1:5">
      <c r="A5" s="63" t="s">
        <v>210</v>
      </c>
      <c r="C5" s="121" t="s">
        <v>323</v>
      </c>
      <c r="D5" s="124">
        <v>10</v>
      </c>
      <c r="E5" s="123"/>
    </row>
    <row r="6" spans="1:5" ht="15" thickBot="1">
      <c r="A6" s="64" t="e">
        <f>AND(D17)</f>
        <v>#DIV/0!</v>
      </c>
      <c r="C6" s="121" t="s">
        <v>324</v>
      </c>
      <c r="D6" s="124">
        <v>20</v>
      </c>
      <c r="E6" s="123"/>
    </row>
    <row r="7" spans="1:5">
      <c r="A7" s="63" t="s">
        <v>211</v>
      </c>
      <c r="C7" s="121" t="s">
        <v>325</v>
      </c>
      <c r="D7" s="122">
        <v>0.1</v>
      </c>
      <c r="E7" s="123"/>
    </row>
    <row r="8" spans="1: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" thickBot="1">
      <c r="A9" s="64">
        <f>VLOOKUP(A8,OpenSolverResultCodes,2,FALSE)</f>
        <v>0</v>
      </c>
      <c r="C9" s="121"/>
      <c r="D9" s="122"/>
      <c r="E9" s="123"/>
    </row>
    <row r="10" spans="1:5" ht="15" thickBot="1">
      <c r="A10" s="173" t="str">
        <f>HYPERLINK("[OpenSolver Tester.xlsm]Results!A1", "&lt;- Results")</f>
        <v>&lt;- Results</v>
      </c>
      <c r="C10" s="121"/>
      <c r="D10" s="122"/>
      <c r="E10" s="123"/>
    </row>
    <row r="11" spans="1:5">
      <c r="C11" s="121" t="s">
        <v>327</v>
      </c>
      <c r="D11" s="125">
        <v>0</v>
      </c>
      <c r="E11" s="123"/>
    </row>
    <row r="12" spans="1:5">
      <c r="C12" s="121" t="s">
        <v>328</v>
      </c>
      <c r="D12" s="122">
        <f>D11/D4</f>
        <v>0</v>
      </c>
      <c r="E12" s="123"/>
    </row>
    <row r="13" spans="1:5">
      <c r="C13" s="121" t="s">
        <v>329</v>
      </c>
      <c r="D13" s="124">
        <f>D8*D11/2</f>
        <v>0</v>
      </c>
      <c r="E13" s="123"/>
    </row>
    <row r="14" spans="1:5">
      <c r="C14" s="121" t="s">
        <v>330</v>
      </c>
      <c r="D14" s="126" t="e">
        <f>D5/D12</f>
        <v>#DIV/0!</v>
      </c>
      <c r="E14" s="123"/>
    </row>
    <row r="15" spans="1:5">
      <c r="C15" s="121"/>
      <c r="D15" s="122"/>
      <c r="E15" s="123"/>
    </row>
    <row r="16" spans="1:5">
      <c r="C16" s="121" t="s">
        <v>331</v>
      </c>
      <c r="D16" s="127" t="e">
        <f>D13+D14</f>
        <v>#DIV/0!</v>
      </c>
      <c r="E16" s="123"/>
    </row>
    <row r="17" spans="3:4">
      <c r="D17" s="87" t="e">
        <f>D16&lt;0.75</f>
        <v>#DIV/0!</v>
      </c>
    </row>
    <row r="25" spans="3:4">
      <c r="C25" s="87" t="s">
        <v>332</v>
      </c>
    </row>
    <row r="26" spans="3:4">
      <c r="C26" s="87" t="s">
        <v>333</v>
      </c>
    </row>
    <row r="27" spans="3:4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 enableFormatConditionsCalculation="0"/>
  <dimension ref="A1:P36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" style="87" customWidth="1"/>
    <col min="3" max="3" width="9.83203125" style="87" customWidth="1"/>
    <col min="4" max="4" width="2.5" style="90" bestFit="1" customWidth="1"/>
    <col min="5" max="5" width="2.5" style="87" bestFit="1" customWidth="1"/>
    <col min="6" max="9" width="5.83203125" style="87" customWidth="1"/>
    <col min="10" max="10" width="15.1640625" style="140" bestFit="1" customWidth="1"/>
    <col min="11" max="11" width="3.5" style="87" bestFit="1" customWidth="1"/>
    <col min="12" max="13" width="8.83203125" style="87"/>
    <col min="14" max="14" width="10.83203125" style="90" customWidth="1"/>
    <col min="15" max="16" width="8.83203125" style="90"/>
    <col min="17" max="16384" width="8.83203125" style="87"/>
  </cols>
  <sheetData>
    <row r="1" spans="1:16" s="129" customFormat="1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" thickBot="1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10</v>
      </c>
      <c r="G2" s="130">
        <v>10</v>
      </c>
      <c r="H2" s="130">
        <v>10</v>
      </c>
      <c r="I2" s="130">
        <v>10</v>
      </c>
      <c r="J2" s="128">
        <f>SQRT(($F$2-D2)^2+($G$2-E2)^2)</f>
        <v>14.142135623730951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13.45362404707371</v>
      </c>
      <c r="K3" s="100"/>
      <c r="N3" s="90" t="s">
        <v>343</v>
      </c>
      <c r="O3" s="90">
        <f>$F$2</f>
        <v>10</v>
      </c>
      <c r="P3" s="90">
        <f>$G$2</f>
        <v>10</v>
      </c>
    </row>
    <row r="4" spans="1:16" s="129" customFormat="1" ht="15" thickBot="1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12.041594578792296</v>
      </c>
      <c r="K4" s="100"/>
      <c r="N4" s="90"/>
      <c r="O4" s="90"/>
      <c r="P4" s="90"/>
    </row>
    <row r="5" spans="1:16" s="129" customFormat="1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12.806248474865697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" thickBot="1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0</v>
      </c>
      <c r="K6" s="100"/>
      <c r="N6" s="90" t="s">
        <v>343</v>
      </c>
      <c r="O6" s="90">
        <f>$F$2</f>
        <v>10</v>
      </c>
      <c r="P6" s="90">
        <f>$G$2</f>
        <v>10</v>
      </c>
    </row>
    <row r="7" spans="1:16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52.44360272446265</v>
      </c>
      <c r="K7" s="123"/>
    </row>
    <row r="8" spans="1:16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" thickBot="1">
      <c r="A9" s="64">
        <f>VLOOKUP(A8,OpenSolverResultCodes,2,FALSE)</f>
        <v>0</v>
      </c>
      <c r="N9" s="90" t="s">
        <v>345</v>
      </c>
      <c r="O9" s="90">
        <f>$H$2</f>
        <v>10</v>
      </c>
      <c r="P9" s="90">
        <f>$I$2</f>
        <v>10</v>
      </c>
    </row>
    <row r="10" spans="1:16" ht="15" thickBot="1">
      <c r="A10" s="173" t="str">
        <f>HYPERLINK("[OpenSolver Tester.xlsm]Results!A1", "&lt;- Results")</f>
        <v>&lt;- Results</v>
      </c>
    </row>
    <row r="11" spans="1:16">
      <c r="N11" s="90" t="str">
        <f>C5</f>
        <v>Location 4</v>
      </c>
      <c r="O11" s="90">
        <f>D5</f>
        <v>2</v>
      </c>
      <c r="P11" s="90">
        <f>E5</f>
        <v>0</v>
      </c>
    </row>
    <row r="12" spans="1:16">
      <c r="N12" s="90" t="s">
        <v>346</v>
      </c>
      <c r="O12" s="90">
        <f>$H$2</f>
        <v>10</v>
      </c>
      <c r="P12" s="90">
        <f>$I$2</f>
        <v>10</v>
      </c>
    </row>
    <row r="14" spans="1:16">
      <c r="N14" s="90" t="s">
        <v>343</v>
      </c>
      <c r="O14" s="90">
        <f>$F$2</f>
        <v>10</v>
      </c>
      <c r="P14" s="90">
        <f>$G$2</f>
        <v>10</v>
      </c>
    </row>
    <row r="15" spans="1:16">
      <c r="N15" s="90" t="s">
        <v>345</v>
      </c>
      <c r="O15" s="90">
        <f>$H$2</f>
        <v>10</v>
      </c>
      <c r="P15" s="90">
        <f>$I$2</f>
        <v>10</v>
      </c>
    </row>
    <row r="18" spans="4:16">
      <c r="N18" s="90" t="s">
        <v>126</v>
      </c>
      <c r="O18" s="90">
        <v>9</v>
      </c>
    </row>
    <row r="19" spans="4:16">
      <c r="N19" s="90" t="s">
        <v>224</v>
      </c>
      <c r="O19" s="90">
        <v>15</v>
      </c>
    </row>
    <row r="20" spans="4:16">
      <c r="N20" s="90" t="s">
        <v>128</v>
      </c>
      <c r="O20" s="90">
        <v>18</v>
      </c>
    </row>
    <row r="21" spans="4:16">
      <c r="N21" s="90" t="s">
        <v>225</v>
      </c>
      <c r="O21" s="90">
        <v>15</v>
      </c>
    </row>
    <row r="23" spans="4:16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>
      <c r="D27" s="87"/>
      <c r="F27" s="90"/>
      <c r="G27" s="90"/>
      <c r="H27" s="90"/>
      <c r="J27" s="87"/>
      <c r="N27" s="87"/>
      <c r="O27" s="87"/>
      <c r="P27" s="87"/>
    </row>
    <row r="28" spans="4:16">
      <c r="D28" s="87"/>
      <c r="F28" s="90"/>
      <c r="G28" s="90"/>
      <c r="H28" s="90"/>
      <c r="J28" s="87"/>
      <c r="N28" s="87"/>
      <c r="O28" s="87"/>
      <c r="P28" s="87"/>
    </row>
    <row r="29" spans="4:16">
      <c r="D29" s="87"/>
      <c r="F29" s="90"/>
      <c r="G29" s="90"/>
      <c r="H29" s="90"/>
      <c r="J29" s="87"/>
      <c r="N29" s="87"/>
      <c r="O29" s="87"/>
      <c r="P29" s="87"/>
    </row>
    <row r="30" spans="4:16">
      <c r="D30" s="87"/>
      <c r="F30" s="90"/>
      <c r="G30" s="90"/>
      <c r="H30" s="90"/>
      <c r="J30" s="87"/>
      <c r="N30" s="87"/>
      <c r="O30" s="87"/>
      <c r="P30" s="87"/>
    </row>
    <row r="31" spans="4:16">
      <c r="D31" s="87"/>
      <c r="F31" s="90"/>
      <c r="G31" s="90"/>
      <c r="H31" s="90"/>
      <c r="J31" s="87"/>
      <c r="N31" s="87"/>
      <c r="O31" s="87"/>
      <c r="P31" s="87"/>
    </row>
    <row r="32" spans="4:16">
      <c r="D32" s="87"/>
      <c r="F32" s="90"/>
      <c r="G32" s="90"/>
      <c r="H32" s="90"/>
      <c r="J32" s="87"/>
      <c r="N32" s="87"/>
      <c r="O32" s="87"/>
      <c r="P32" s="87"/>
    </row>
    <row r="33" spans="4:16">
      <c r="D33" s="87"/>
      <c r="F33" s="90"/>
      <c r="G33" s="90"/>
      <c r="H33" s="90"/>
      <c r="J33" s="87"/>
      <c r="N33" s="87"/>
      <c r="O33" s="87"/>
      <c r="P33" s="87"/>
    </row>
    <row r="34" spans="4:16">
      <c r="D34" s="87"/>
      <c r="F34" s="90"/>
      <c r="G34" s="90"/>
      <c r="H34" s="90"/>
      <c r="J34" s="87"/>
      <c r="N34" s="87"/>
      <c r="O34" s="87"/>
      <c r="P34" s="87"/>
    </row>
    <row r="35" spans="4:16">
      <c r="D35" s="87"/>
      <c r="F35" s="90"/>
      <c r="G35" s="90"/>
      <c r="H35" s="90"/>
      <c r="J35" s="87"/>
      <c r="N35" s="87"/>
      <c r="O35" s="87"/>
      <c r="P35" s="87"/>
    </row>
    <row r="36" spans="4:16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 enableFormatConditionsCalculation="0"/>
  <dimension ref="A1:I31"/>
  <sheetViews>
    <sheetView workbookViewId="0">
      <selection activeCell="D51" sqref="D51"/>
    </sheetView>
  </sheetViews>
  <sheetFormatPr baseColWidth="10" defaultColWidth="10.33203125" defaultRowHeight="14" x14ac:dyDescent="0"/>
  <cols>
    <col min="1" max="1" width="15" style="61" bestFit="1" customWidth="1"/>
    <col min="2" max="2" width="3" style="87" customWidth="1"/>
    <col min="3" max="3" width="10.33203125" style="141" customWidth="1"/>
    <col min="4" max="4" width="7" style="141" customWidth="1"/>
    <col min="5" max="16384" width="10.33203125" style="141"/>
  </cols>
  <sheetData>
    <row r="1" spans="1:9">
      <c r="A1" s="63" t="s">
        <v>364</v>
      </c>
      <c r="C1" s="181" t="s">
        <v>347</v>
      </c>
      <c r="D1" s="181"/>
      <c r="E1" s="181"/>
    </row>
    <row r="2" spans="1:9" ht="15" thickBot="1">
      <c r="A2" s="64" t="s">
        <v>205</v>
      </c>
      <c r="C2" s="142" t="s">
        <v>348</v>
      </c>
      <c r="D2" s="141">
        <v>3</v>
      </c>
      <c r="H2" s="141" t="s">
        <v>349</v>
      </c>
    </row>
    <row r="3" spans="1:9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" thickBot="1">
      <c r="A4" s="64" t="s">
        <v>208</v>
      </c>
      <c r="C4" s="142" t="s">
        <v>351</v>
      </c>
      <c r="D4" s="141">
        <v>7</v>
      </c>
      <c r="H4" s="141">
        <f>COS(RADIANS(D7))*D2</f>
        <v>2.9544232590366239</v>
      </c>
      <c r="I4" s="141">
        <f>SIN(RADIANS(D7))*D2</f>
        <v>0.52094453300079102</v>
      </c>
    </row>
    <row r="5" spans="1:9">
      <c r="A5" s="63" t="s">
        <v>210</v>
      </c>
      <c r="H5" s="141">
        <f>H4+COS(RADIANS(D8))*D3</f>
        <v>7.8784620240976633</v>
      </c>
      <c r="I5" s="141">
        <f>I4+SIN(RADIANS(D8))*D3</f>
        <v>1.3891854213354426</v>
      </c>
    </row>
    <row r="6" spans="1:9" ht="15" thickBot="1">
      <c r="A6" s="64" t="b">
        <f>AND(F16)</f>
        <v>0</v>
      </c>
      <c r="C6" s="181" t="s">
        <v>228</v>
      </c>
      <c r="D6" s="181"/>
      <c r="E6" s="181"/>
    </row>
    <row r="7" spans="1:9">
      <c r="A7" s="63" t="s">
        <v>211</v>
      </c>
      <c r="C7" s="143" t="s">
        <v>352</v>
      </c>
      <c r="D7" s="144">
        <v>10</v>
      </c>
      <c r="E7" s="141" t="s">
        <v>353</v>
      </c>
    </row>
    <row r="8" spans="1:9">
      <c r="A8" s="65" t="s">
        <v>201</v>
      </c>
      <c r="C8" s="143" t="s">
        <v>354</v>
      </c>
      <c r="D8" s="144">
        <v>10</v>
      </c>
      <c r="E8" s="141" t="s">
        <v>353</v>
      </c>
      <c r="H8" s="141">
        <f>D4</f>
        <v>7</v>
      </c>
      <c r="I8" s="141">
        <v>0</v>
      </c>
    </row>
    <row r="9" spans="1:9" ht="15" thickBot="1">
      <c r="A9" s="64">
        <f>VLOOKUP(A8,OpenSolverResultCodes,2,FALSE)</f>
        <v>0</v>
      </c>
    </row>
    <row r="10" spans="1:9" ht="15" thickBot="1">
      <c r="A10" s="173" t="str">
        <f>HYPERLINK("[OpenSolver Tester.xlsm]Results!A1", "&lt;- Results")</f>
        <v>&lt;- Results</v>
      </c>
      <c r="C10" s="181" t="s">
        <v>355</v>
      </c>
      <c r="D10" s="181"/>
      <c r="E10" s="181"/>
    </row>
    <row r="11" spans="1:9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>
      <c r="C12" s="146">
        <f>D2*COS(RADIANS(D7))+D3*COS(RADIANS(D8))</f>
        <v>7.8784620240976633</v>
      </c>
      <c r="D12" s="146">
        <f>D4</f>
        <v>7</v>
      </c>
      <c r="E12" s="146">
        <f>D12-C12</f>
        <v>-0.87846202409766327</v>
      </c>
      <c r="F12" s="146">
        <f>E12^2</f>
        <v>0.77169552778176354</v>
      </c>
    </row>
    <row r="13" spans="1:9">
      <c r="C13" s="146">
        <f>D2*SIN(RADIANS(D7))+D3*SIN(RADIANS(D8))</f>
        <v>1.3891854213354426</v>
      </c>
      <c r="D13" s="146">
        <v>0</v>
      </c>
      <c r="E13" s="146">
        <f>C13-D13</f>
        <v>1.3891854213354426</v>
      </c>
      <c r="F13" s="146">
        <f>E13^2</f>
        <v>1.9298361348509314</v>
      </c>
    </row>
    <row r="15" spans="1:9">
      <c r="C15" s="181" t="s">
        <v>360</v>
      </c>
      <c r="D15" s="181"/>
      <c r="E15" s="181"/>
      <c r="F15" s="147">
        <f>SUM(F12:F13)</f>
        <v>2.7015316626326951</v>
      </c>
    </row>
    <row r="16" spans="1:9">
      <c r="C16" s="148"/>
      <c r="F16" s="141" t="b">
        <f>ABS(F15)&lt;=0.000001</f>
        <v>0</v>
      </c>
    </row>
    <row r="27" spans="3:4">
      <c r="C27" s="141" t="s">
        <v>361</v>
      </c>
      <c r="D27" s="144">
        <v>-30</v>
      </c>
    </row>
    <row r="28" spans="3:4">
      <c r="C28" s="141" t="s">
        <v>362</v>
      </c>
      <c r="D28" s="144">
        <v>50</v>
      </c>
    </row>
    <row r="30" spans="3:4">
      <c r="C30" s="141" t="s">
        <v>363</v>
      </c>
      <c r="D30" s="144">
        <v>30</v>
      </c>
    </row>
    <row r="31" spans="3:4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 enableFormatConditionsCalculation="0"/>
  <dimension ref="A1:I13"/>
  <sheetViews>
    <sheetView workbookViewId="0">
      <selection activeCell="J3" sqref="J3"/>
    </sheetView>
  </sheetViews>
  <sheetFormatPr baseColWidth="10" defaultColWidth="8.83203125" defaultRowHeight="14" x14ac:dyDescent="0"/>
  <cols>
    <col min="1" max="1" width="15" style="61" bestFit="1" customWidth="1"/>
    <col min="2" max="2" width="3" style="87" customWidth="1"/>
  </cols>
  <sheetData>
    <row r="1" spans="1:9">
      <c r="A1" s="63" t="s">
        <v>364</v>
      </c>
      <c r="D1" t="s">
        <v>367</v>
      </c>
      <c r="E1" t="s">
        <v>366</v>
      </c>
      <c r="F1" t="s">
        <v>365</v>
      </c>
    </row>
    <row r="2" spans="1:9" ht="15" thickBot="1">
      <c r="A2" s="64" t="s">
        <v>205</v>
      </c>
      <c r="D2">
        <v>250</v>
      </c>
      <c r="E2">
        <v>100</v>
      </c>
      <c r="F2">
        <v>0</v>
      </c>
    </row>
    <row r="3" spans="1:9">
      <c r="A3" s="63" t="s">
        <v>209</v>
      </c>
    </row>
    <row r="4" spans="1:9" ht="15" thickBot="1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>
      <c r="A5" s="63" t="s">
        <v>210</v>
      </c>
    </row>
    <row r="6" spans="1:9" ht="15" thickBot="1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" thickBot="1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" thickBot="1">
      <c r="A10" s="173" t="str">
        <f>HYPERLINK("[OpenSolver Tester.xlsm]Results!A1", "&lt;- Results")</f>
        <v>&lt;- Results</v>
      </c>
    </row>
    <row r="11" spans="1:9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>
      <c r="D12" s="149">
        <v>250</v>
      </c>
      <c r="E12" s="149">
        <v>100</v>
      </c>
      <c r="F12" s="149">
        <v>0</v>
      </c>
      <c r="G12" s="149">
        <v>50</v>
      </c>
    </row>
    <row r="13" spans="1:9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 enableFormatConditionsCalculation="0"/>
  <dimension ref="A1:H17"/>
  <sheetViews>
    <sheetView showGridLines="0" workbookViewId="0">
      <selection activeCell="CV100" sqref="CV100"/>
    </sheetView>
  </sheetViews>
  <sheetFormatPr baseColWidth="10" defaultColWidth="8.83203125" defaultRowHeight="14" x14ac:dyDescent="0"/>
  <cols>
    <col min="1" max="1" width="5.83203125" style="17" customWidth="1"/>
    <col min="2" max="2" width="6.5" bestFit="1" customWidth="1"/>
    <col min="3" max="3" width="13.1640625" bestFit="1" customWidth="1"/>
    <col min="4" max="4" width="9.5" bestFit="1" customWidth="1"/>
    <col min="5" max="5" width="12.1640625" bestFit="1" customWidth="1"/>
    <col min="6" max="6" width="13" bestFit="1" customWidth="1"/>
    <col min="7" max="7" width="15.33203125" bestFit="1" customWidth="1"/>
    <col min="8" max="8" width="16" bestFit="1" customWidth="1"/>
  </cols>
  <sheetData>
    <row r="1" spans="1:8">
      <c r="A1" s="17" t="s">
        <v>411</v>
      </c>
    </row>
    <row r="2" spans="1:8">
      <c r="A2" s="17" t="s">
        <v>403</v>
      </c>
      <c r="B2" s="177"/>
      <c r="C2" s="177"/>
      <c r="D2" s="177"/>
      <c r="E2" s="177"/>
      <c r="F2" s="177"/>
      <c r="G2" s="177"/>
      <c r="H2" s="177"/>
    </row>
    <row r="3" spans="1:8">
      <c r="A3" s="17" t="s">
        <v>414</v>
      </c>
      <c r="B3" s="177"/>
      <c r="C3" s="177"/>
      <c r="D3" s="177"/>
      <c r="E3" s="177"/>
      <c r="F3" s="177"/>
      <c r="G3" s="177"/>
      <c r="H3" s="177"/>
    </row>
    <row r="4" spans="1:8">
      <c r="B4" s="177"/>
      <c r="C4" s="177"/>
      <c r="D4" s="177"/>
      <c r="E4" s="177"/>
      <c r="F4" s="177"/>
      <c r="G4" s="177"/>
      <c r="H4" s="177"/>
    </row>
    <row r="5" spans="1:8" ht="15" thickBot="1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" thickBot="1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>
      <c r="B7" s="106" t="s">
        <v>400</v>
      </c>
      <c r="C7" s="75" t="s">
        <v>404</v>
      </c>
      <c r="D7" s="75">
        <v>250</v>
      </c>
      <c r="E7" s="75">
        <v>0</v>
      </c>
      <c r="F7" s="75">
        <v>0.1</v>
      </c>
      <c r="G7" s="109">
        <v>1.9999999999999999E-7</v>
      </c>
      <c r="H7" s="107">
        <v>1E+100</v>
      </c>
    </row>
    <row r="8" spans="1:8">
      <c r="B8" s="106" t="s">
        <v>401</v>
      </c>
      <c r="C8" s="75" t="s">
        <v>405</v>
      </c>
      <c r="D8" s="75">
        <v>100</v>
      </c>
      <c r="E8" s="75">
        <v>0</v>
      </c>
      <c r="F8" s="75">
        <v>0.25</v>
      </c>
      <c r="G8" s="109">
        <v>1E+100</v>
      </c>
      <c r="H8" s="107">
        <v>9.9999999999999995E-8</v>
      </c>
    </row>
    <row r="9" spans="1:8" ht="15" thickBot="1">
      <c r="B9" s="110" t="s">
        <v>402</v>
      </c>
      <c r="C9" s="111" t="s">
        <v>406</v>
      </c>
      <c r="D9" s="111">
        <v>0</v>
      </c>
      <c r="E9" s="111">
        <v>0</v>
      </c>
      <c r="F9" s="111">
        <v>0.4</v>
      </c>
      <c r="G9" s="161">
        <v>1.9999999999999999E-7</v>
      </c>
      <c r="H9" s="112">
        <v>1E+100</v>
      </c>
    </row>
    <row r="10" spans="1:8">
      <c r="B10" s="177"/>
      <c r="C10" s="177"/>
      <c r="D10" s="177"/>
      <c r="E10" s="177"/>
      <c r="F10" s="177"/>
      <c r="G10" s="177"/>
      <c r="H10" s="177"/>
    </row>
    <row r="11" spans="1:8" ht="15" thickBot="1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" thickBot="1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>
      <c r="B13" s="106" t="s">
        <v>395</v>
      </c>
      <c r="C13" s="75" t="s">
        <v>4</v>
      </c>
      <c r="D13" s="75">
        <v>350</v>
      </c>
      <c r="E13" s="75">
        <v>0</v>
      </c>
      <c r="F13" s="75">
        <v>350</v>
      </c>
      <c r="G13" s="75">
        <v>21.6</v>
      </c>
      <c r="H13" s="108">
        <v>0</v>
      </c>
    </row>
    <row r="14" spans="1:8">
      <c r="B14" s="106" t="s">
        <v>396</v>
      </c>
      <c r="C14" s="75" t="s">
        <v>211</v>
      </c>
      <c r="D14" s="75">
        <v>100</v>
      </c>
      <c r="E14" s="75">
        <v>0</v>
      </c>
      <c r="F14" s="75">
        <v>100</v>
      </c>
      <c r="G14" s="75">
        <v>0</v>
      </c>
      <c r="H14" s="108">
        <v>166.66666670000001</v>
      </c>
    </row>
    <row r="15" spans="1:8">
      <c r="B15" s="106" t="s">
        <v>383</v>
      </c>
      <c r="C15" s="75" t="s">
        <v>201</v>
      </c>
      <c r="D15" s="75">
        <v>-500</v>
      </c>
      <c r="E15" s="75">
        <v>0</v>
      </c>
      <c r="F15" s="75">
        <v>0</v>
      </c>
      <c r="G15" s="75">
        <v>0</v>
      </c>
      <c r="H15" s="108">
        <v>100</v>
      </c>
    </row>
    <row r="16" spans="1:8" ht="15" thickBot="1">
      <c r="B16" s="110" t="s">
        <v>397</v>
      </c>
      <c r="C16" s="111">
        <v>0</v>
      </c>
      <c r="D16" s="111">
        <v>0</v>
      </c>
      <c r="E16" s="111">
        <v>0</v>
      </c>
      <c r="F16" s="111">
        <v>72</v>
      </c>
      <c r="G16" s="161">
        <v>1E+100</v>
      </c>
      <c r="H16" s="113">
        <v>500</v>
      </c>
    </row>
    <row r="17" spans="2:8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 enableFormatConditionsCalculation="0"/>
  <dimension ref="A1:O13"/>
  <sheetViews>
    <sheetView workbookViewId="0">
      <selection activeCell="O24" sqref="O24"/>
    </sheetView>
  </sheetViews>
  <sheetFormatPr baseColWidth="10" defaultColWidth="8.83203125" defaultRowHeight="14" x14ac:dyDescent="0"/>
  <cols>
    <col min="1" max="1" width="15" style="61" bestFit="1" customWidth="1"/>
    <col min="2" max="2" width="3" style="87" customWidth="1"/>
    <col min="14" max="14" width="10.6640625" customWidth="1"/>
    <col min="15" max="15" width="11.5" customWidth="1"/>
  </cols>
  <sheetData>
    <row r="1" spans="1:15">
      <c r="A1" s="63" t="s">
        <v>364</v>
      </c>
      <c r="D1" t="s">
        <v>367</v>
      </c>
      <c r="E1" t="s">
        <v>366</v>
      </c>
      <c r="F1" t="s">
        <v>365</v>
      </c>
      <c r="L1" t="s">
        <v>391</v>
      </c>
      <c r="M1" t="s">
        <v>392</v>
      </c>
      <c r="N1" t="s">
        <v>393</v>
      </c>
      <c r="O1" t="s">
        <v>394</v>
      </c>
    </row>
    <row r="2" spans="1:15" ht="15" thickBot="1">
      <c r="A2" s="64" t="s">
        <v>205</v>
      </c>
      <c r="D2">
        <v>250</v>
      </c>
      <c r="E2">
        <v>100</v>
      </c>
      <c r="F2" s="81">
        <v>0</v>
      </c>
      <c r="L2" t="s">
        <v>395</v>
      </c>
      <c r="M2">
        <v>0</v>
      </c>
      <c r="N2">
        <v>21.6</v>
      </c>
      <c r="O2">
        <v>0</v>
      </c>
    </row>
    <row r="3" spans="1:15">
      <c r="A3" s="63" t="s">
        <v>209</v>
      </c>
      <c r="L3" t="s">
        <v>396</v>
      </c>
      <c r="M3">
        <v>0</v>
      </c>
      <c r="N3">
        <v>0</v>
      </c>
      <c r="O3">
        <v>166.66666670000001</v>
      </c>
    </row>
    <row r="4" spans="1:15" ht="15" thickBot="1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>
      <c r="A5" s="63" t="s">
        <v>210</v>
      </c>
      <c r="L5" t="s">
        <v>397</v>
      </c>
      <c r="M5">
        <v>0</v>
      </c>
      <c r="N5" s="81">
        <v>1E+100</v>
      </c>
      <c r="O5">
        <v>500</v>
      </c>
    </row>
    <row r="6" spans="1:15" ht="15" thickBot="1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398</v>
      </c>
      <c r="M7" t="s">
        <v>399</v>
      </c>
      <c r="N7" t="s">
        <v>393</v>
      </c>
      <c r="O7" t="s">
        <v>394</v>
      </c>
    </row>
    <row r="8" spans="1:1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400</v>
      </c>
      <c r="M8">
        <v>0</v>
      </c>
      <c r="N8" s="81">
        <v>1.9999999999999999E-7</v>
      </c>
      <c r="O8" s="81">
        <v>1E+100</v>
      </c>
    </row>
    <row r="9" spans="1:15" ht="15" thickBot="1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401</v>
      </c>
      <c r="M9">
        <v>0</v>
      </c>
      <c r="N9" s="81">
        <v>1E+100</v>
      </c>
      <c r="O9" s="81">
        <v>9.9999999999999995E-8</v>
      </c>
    </row>
    <row r="10" spans="1:15" ht="15" thickBot="1">
      <c r="A10" s="173" t="str">
        <f>HYPERLINK("[OpenSolver Tester.xlsm]Results!A1", "&lt;- Results")</f>
        <v>&lt;- Results</v>
      </c>
      <c r="L10" t="s">
        <v>402</v>
      </c>
      <c r="M10">
        <v>0</v>
      </c>
      <c r="N10" s="81">
        <v>1.9999999999999999E-7</v>
      </c>
      <c r="O10" s="81">
        <v>1E+100</v>
      </c>
    </row>
    <row r="11" spans="1:1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>
      <c r="D12" s="163">
        <v>250</v>
      </c>
      <c r="E12" s="163">
        <v>100</v>
      </c>
      <c r="F12" s="163">
        <v>0</v>
      </c>
      <c r="G12" s="163">
        <v>50</v>
      </c>
    </row>
    <row r="13" spans="1:1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 enableFormatConditionsCalculation="0"/>
  <dimension ref="A1:J21"/>
  <sheetViews>
    <sheetView workbookViewId="0">
      <selection activeCell="C15" sqref="C15:F21"/>
    </sheetView>
  </sheetViews>
  <sheetFormatPr baseColWidth="10" defaultColWidth="8.83203125" defaultRowHeight="14" x14ac:dyDescent="0"/>
  <cols>
    <col min="1" max="1" width="15" style="61" bestFit="1" customWidth="1"/>
    <col min="2" max="2" width="3.33203125" customWidth="1"/>
    <col min="3" max="3" width="4.83203125" customWidth="1"/>
    <col min="4" max="4" width="7.6640625" style="168" customWidth="1"/>
    <col min="5" max="6" width="5.1640625" style="168" customWidth="1"/>
    <col min="7" max="7" width="3.1640625" style="168" customWidth="1"/>
    <col min="8" max="8" width="8.5" style="168" customWidth="1"/>
    <col min="9" max="9" width="3" style="168" bestFit="1" customWidth="1"/>
    <col min="10" max="10" width="6" style="168" customWidth="1"/>
    <col min="14" max="14" width="7.6640625" customWidth="1"/>
  </cols>
  <sheetData>
    <row r="1" spans="1:10">
      <c r="A1" s="63" t="s">
        <v>204</v>
      </c>
      <c r="D1" s="18" t="s">
        <v>31</v>
      </c>
    </row>
    <row r="2" spans="1:10" ht="15" thickBot="1">
      <c r="A2" s="64" t="s">
        <v>205</v>
      </c>
    </row>
    <row r="3" spans="1:10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" thickBot="1">
      <c r="A4" s="64" t="s">
        <v>207</v>
      </c>
      <c r="D4" s="168">
        <v>0</v>
      </c>
      <c r="E4" s="168">
        <v>5.2941175999999999</v>
      </c>
      <c r="F4" s="168">
        <v>0</v>
      </c>
      <c r="H4"/>
      <c r="I4"/>
      <c r="J4"/>
    </row>
    <row r="5" spans="1:10">
      <c r="A5" s="63" t="s">
        <v>210</v>
      </c>
    </row>
    <row r="6" spans="1:10" ht="15" thickBot="1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15.8823528</v>
      </c>
    </row>
    <row r="7" spans="1:10">
      <c r="A7" s="63" t="s">
        <v>211</v>
      </c>
    </row>
    <row r="8" spans="1:10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58.235293599999999</v>
      </c>
      <c r="I8" s="168" t="s">
        <v>8</v>
      </c>
      <c r="J8" s="168">
        <v>60</v>
      </c>
    </row>
    <row r="9" spans="1:10" ht="15" thickBot="1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116.4705872</v>
      </c>
      <c r="I9" s="168" t="s">
        <v>8</v>
      </c>
      <c r="J9" s="168">
        <v>150</v>
      </c>
    </row>
    <row r="10" spans="1:10" ht="15" thickBot="1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116.4705872</v>
      </c>
      <c r="I10" s="168" t="s">
        <v>9</v>
      </c>
      <c r="J10" s="168">
        <v>110</v>
      </c>
    </row>
    <row r="11" spans="1:10">
      <c r="D11" s="168">
        <v>19</v>
      </c>
      <c r="E11" s="168">
        <v>34</v>
      </c>
      <c r="F11" s="168">
        <v>-32</v>
      </c>
      <c r="H11" s="168">
        <f>SUMPRODUCT($D$4:$F$4,D11:F11)</f>
        <v>179.99999839999998</v>
      </c>
      <c r="I11" s="168" t="s">
        <v>10</v>
      </c>
      <c r="J11" s="168">
        <v>180</v>
      </c>
    </row>
    <row r="15" spans="1:10">
      <c r="C15" s="17" t="s">
        <v>15</v>
      </c>
    </row>
    <row r="16" spans="1:10">
      <c r="D16" s="168">
        <v>0</v>
      </c>
      <c r="E16" s="168">
        <v>5.294117647058874</v>
      </c>
      <c r="F16" s="168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68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 enableFormatConditionsCalculation="0"/>
  <dimension ref="A1:H21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.33203125" customWidth="1"/>
    <col min="3" max="4" width="9.33203125" customWidth="1"/>
    <col min="5" max="5" width="5.5" customWidth="1"/>
    <col min="6" max="6" width="3.6640625" customWidth="1"/>
    <col min="7" max="7" width="2.83203125" customWidth="1"/>
  </cols>
  <sheetData>
    <row r="1" spans="1:8">
      <c r="A1" s="63" t="s">
        <v>204</v>
      </c>
    </row>
    <row r="2" spans="1:8" ht="15" thickBot="1">
      <c r="A2" s="64" t="s">
        <v>205</v>
      </c>
    </row>
    <row r="3" spans="1:8">
      <c r="A3" s="63" t="s">
        <v>209</v>
      </c>
      <c r="C3" s="68" t="s">
        <v>126</v>
      </c>
      <c r="D3" s="70" t="s">
        <v>128</v>
      </c>
      <c r="E3" s="174"/>
      <c r="G3" s="174"/>
      <c r="H3" t="s">
        <v>410</v>
      </c>
    </row>
    <row r="4" spans="1:8" ht="15" thickBot="1">
      <c r="A4" s="64" t="s">
        <v>208</v>
      </c>
      <c r="C4" s="36">
        <v>0</v>
      </c>
      <c r="D4" s="175">
        <v>1</v>
      </c>
      <c r="E4" s="174"/>
      <c r="G4" s="174"/>
    </row>
    <row r="5" spans="1:8">
      <c r="A5" s="63" t="s">
        <v>210</v>
      </c>
      <c r="C5" s="35"/>
      <c r="D5" s="35"/>
      <c r="E5" s="174"/>
      <c r="F5" s="35"/>
      <c r="G5" s="174"/>
    </row>
    <row r="6" spans="1:8" ht="15" thickBot="1">
      <c r="A6" s="64" t="b">
        <f>AND(C20,D20,E20,C24)</f>
        <v>1</v>
      </c>
      <c r="C6" s="176">
        <f>100*(D4-(0.5+C4)^2)^2+(1-C4)^2</f>
        <v>57.25</v>
      </c>
      <c r="E6" s="174"/>
      <c r="F6" s="35"/>
      <c r="G6" s="174"/>
    </row>
    <row r="7" spans="1:8">
      <c r="A7" s="63" t="s">
        <v>211</v>
      </c>
      <c r="E7" s="174"/>
      <c r="F7" s="35"/>
      <c r="G7" s="174"/>
    </row>
    <row r="8" spans="1:8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" thickBot="1">
      <c r="A9" s="64">
        <f>VLOOKUP(A8,OpenSolverResultCodes,2,FALSE)</f>
        <v>0</v>
      </c>
      <c r="C9" s="36">
        <v>0</v>
      </c>
      <c r="D9" s="175">
        <v>1</v>
      </c>
      <c r="E9" s="36">
        <f>SUMPRODUCT(C9:D9,$C$4:$D$4,C8:D8)</f>
        <v>0</v>
      </c>
      <c r="F9" s="37" t="s">
        <v>9</v>
      </c>
      <c r="G9" s="175">
        <v>0</v>
      </c>
    </row>
    <row r="10" spans="1:8" ht="15" thickBot="1">
      <c r="A10" s="173" t="str">
        <f>HYPERLINK("[OpenSolver Tester.xlsm]Results!A1", "&lt;- Results")</f>
        <v>&lt;- Results</v>
      </c>
    </row>
    <row r="15" spans="1:8">
      <c r="C15" s="17" t="s">
        <v>15</v>
      </c>
      <c r="D15" s="174"/>
      <c r="E15" s="174"/>
      <c r="F15" s="174"/>
    </row>
    <row r="16" spans="1:8">
      <c r="D16" s="174">
        <v>0</v>
      </c>
      <c r="E16" s="174">
        <v>0</v>
      </c>
      <c r="F16" s="174"/>
    </row>
    <row r="17" spans="3:6">
      <c r="C17" t="s">
        <v>17</v>
      </c>
      <c r="D17" s="8" t="b">
        <f>ABS(D4-D16)/(1+ABS(D16))&lt;=0.000001</f>
        <v>0</v>
      </c>
      <c r="E17" s="8" t="b">
        <f>ABS(E4-E16)/(1+ABS(E16))&lt;=0.000001</f>
        <v>1</v>
      </c>
      <c r="F17" s="8"/>
    </row>
    <row r="18" spans="3:6">
      <c r="D18" s="174"/>
      <c r="E18" s="174"/>
      <c r="F18" s="174"/>
    </row>
    <row r="19" spans="3:6">
      <c r="C19" s="17" t="s">
        <v>16</v>
      </c>
      <c r="D19" s="174"/>
      <c r="E19" s="174"/>
      <c r="F19" s="174"/>
    </row>
    <row r="20" spans="3:6">
      <c r="D20" s="174">
        <v>7.25</v>
      </c>
      <c r="E20" s="174"/>
      <c r="F20" s="174"/>
    </row>
    <row r="21" spans="3:6">
      <c r="C21" t="s">
        <v>17</v>
      </c>
      <c r="D21" s="8" t="b">
        <f>ABS(D20-C6)/(1+ABS(D20))&lt;=0.000001</f>
        <v>0</v>
      </c>
      <c r="E21" s="174"/>
      <c r="F21" s="174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1:N18"/>
  <sheetViews>
    <sheetView workbookViewId="0">
      <selection activeCell="N20" sqref="N20"/>
    </sheetView>
  </sheetViews>
  <sheetFormatPr baseColWidth="10" defaultColWidth="8.83203125" defaultRowHeight="14" x14ac:dyDescent="0"/>
  <cols>
    <col min="1" max="1" width="2.5" customWidth="1"/>
    <col min="2" max="2" width="4.83203125" customWidth="1"/>
    <col min="3" max="5" width="5.1640625" style="1" customWidth="1"/>
    <col min="6" max="6" width="3.1640625" style="1" customWidth="1"/>
    <col min="7" max="7" width="8.5" style="1" customWidth="1"/>
    <col min="8" max="8" width="3" style="1" customWidth="1"/>
    <col min="9" max="10" width="6" style="1" customWidth="1"/>
    <col min="11" max="11" width="1.6640625" style="1" customWidth="1"/>
    <col min="12" max="14" width="7" customWidth="1"/>
    <col min="15" max="15" width="1.6640625" customWidth="1"/>
  </cols>
  <sheetData>
    <row r="1" spans="2:14">
      <c r="B1" t="s">
        <v>122</v>
      </c>
    </row>
    <row r="2" spans="2:14">
      <c r="G2"/>
      <c r="H2"/>
      <c r="I2"/>
      <c r="J2"/>
      <c r="K2"/>
    </row>
    <row r="3" spans="2:14">
      <c r="G3"/>
      <c r="H3"/>
      <c r="I3"/>
      <c r="J3"/>
      <c r="K3"/>
    </row>
    <row r="5" spans="2:14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>
      <c r="L12" s="1">
        <v>20</v>
      </c>
      <c r="M12" s="1">
        <f>M9*2</f>
        <v>1.8460000000000001</v>
      </c>
      <c r="N12">
        <v>50</v>
      </c>
    </row>
    <row r="15" spans="2:14">
      <c r="M15">
        <f>N9</f>
        <v>1</v>
      </c>
    </row>
    <row r="17" spans="13:13">
      <c r="M17">
        <f>L9</f>
        <v>1</v>
      </c>
    </row>
    <row r="18" spans="13:13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/>
  <dimension ref="B2:H35"/>
  <sheetViews>
    <sheetView workbookViewId="0"/>
  </sheetViews>
  <sheetFormatPr baseColWidth="10" defaultColWidth="9.1640625" defaultRowHeight="14" x14ac:dyDescent="0"/>
  <cols>
    <col min="1" max="1" width="3.5" style="42" customWidth="1"/>
    <col min="2" max="3" width="9.1640625" style="42"/>
    <col min="4" max="4" width="9.1640625" style="42" customWidth="1"/>
    <col min="5" max="5" width="18.33203125" style="42" customWidth="1"/>
    <col min="6" max="6" width="4.6640625" style="42" customWidth="1"/>
    <col min="7" max="7" width="3.5" style="43" customWidth="1"/>
    <col min="8" max="8" width="23.1640625" style="42" bestFit="1" customWidth="1"/>
    <col min="9" max="16384" width="9.1640625" style="42"/>
  </cols>
  <sheetData>
    <row r="2" spans="2:8">
      <c r="B2" s="48" t="s">
        <v>125</v>
      </c>
      <c r="C2" s="45"/>
      <c r="D2" s="45"/>
      <c r="E2" s="45"/>
      <c r="H2" s="39" t="s">
        <v>141</v>
      </c>
    </row>
    <row r="3" spans="2:8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>
      <c r="B5" s="46" t="s">
        <v>130</v>
      </c>
      <c r="C5" s="50">
        <v>2</v>
      </c>
      <c r="D5" s="45"/>
      <c r="E5" s="45" t="s">
        <v>131</v>
      </c>
    </row>
    <row r="6" spans="2:8">
      <c r="H6" s="40" t="s">
        <v>145</v>
      </c>
    </row>
    <row r="7" spans="2:8">
      <c r="B7" s="47" t="s">
        <v>132</v>
      </c>
      <c r="H7" s="40" t="s">
        <v>143</v>
      </c>
    </row>
    <row r="8" spans="2:8">
      <c r="B8" s="42" t="s">
        <v>133</v>
      </c>
      <c r="C8" s="46" t="s">
        <v>0</v>
      </c>
      <c r="H8" s="40" t="s">
        <v>146</v>
      </c>
    </row>
    <row r="9" spans="2:8">
      <c r="B9" s="42">
        <v>5</v>
      </c>
      <c r="C9" s="49">
        <f>B9*C3+SUMPRODUCT(B28:D28,B31:D31)</f>
        <v>5</v>
      </c>
    </row>
    <row r="10" spans="2:8">
      <c r="C10" s="45"/>
      <c r="H10" s="41" t="s">
        <v>147</v>
      </c>
    </row>
    <row r="11" spans="2:8">
      <c r="H11" s="41" t="s">
        <v>143</v>
      </c>
    </row>
    <row r="12" spans="2:8">
      <c r="B12" s="47" t="s">
        <v>134</v>
      </c>
      <c r="H12" s="41" t="s">
        <v>146</v>
      </c>
    </row>
    <row r="13" spans="2:8">
      <c r="B13" s="44"/>
      <c r="C13" s="44" t="s">
        <v>135</v>
      </c>
      <c r="D13" s="44"/>
      <c r="H13" s="41" t="s">
        <v>148</v>
      </c>
    </row>
    <row r="14" spans="2:8">
      <c r="B14" s="49">
        <f>C3+C4</f>
        <v>2</v>
      </c>
      <c r="C14" s="44" t="s">
        <v>9</v>
      </c>
      <c r="D14" s="49">
        <v>2</v>
      </c>
    </row>
    <row r="15" spans="2:8">
      <c r="B15" s="44"/>
      <c r="C15" s="44"/>
      <c r="D15" s="44"/>
    </row>
    <row r="16" spans="2:8">
      <c r="B16" s="44"/>
      <c r="C16" s="44" t="s">
        <v>136</v>
      </c>
      <c r="D16" s="44"/>
    </row>
    <row r="17" spans="2:4">
      <c r="B17" s="49">
        <f>C3+C5</f>
        <v>3</v>
      </c>
      <c r="C17" s="44" t="s">
        <v>9</v>
      </c>
      <c r="D17" s="49">
        <v>3</v>
      </c>
    </row>
    <row r="18" spans="2:4">
      <c r="B18" s="44"/>
      <c r="C18" s="44"/>
      <c r="D18" s="44"/>
    </row>
    <row r="19" spans="2:4">
      <c r="B19" s="44"/>
      <c r="C19" s="44" t="s">
        <v>142</v>
      </c>
      <c r="D19" s="44"/>
    </row>
    <row r="20" spans="2:4">
      <c r="B20" s="49">
        <f>C4+C5</f>
        <v>3</v>
      </c>
      <c r="C20" s="44" t="s">
        <v>8</v>
      </c>
      <c r="D20" s="49">
        <v>3</v>
      </c>
    </row>
    <row r="22" spans="2:4">
      <c r="B22" s="42" t="s">
        <v>137</v>
      </c>
    </row>
    <row r="23" spans="2:4">
      <c r="B23" s="42" t="s">
        <v>138</v>
      </c>
      <c r="C23" s="51" t="s">
        <v>140</v>
      </c>
    </row>
    <row r="24" spans="2:4">
      <c r="B24" s="42" t="s">
        <v>139</v>
      </c>
    </row>
    <row r="26" spans="2:4">
      <c r="B26" s="47" t="s">
        <v>149</v>
      </c>
    </row>
    <row r="27" spans="2:4">
      <c r="B27" s="44" t="s">
        <v>150</v>
      </c>
      <c r="C27" s="44" t="s">
        <v>151</v>
      </c>
      <c r="D27" s="44" t="s">
        <v>152</v>
      </c>
    </row>
    <row r="28" spans="2:4">
      <c r="B28" s="50">
        <v>0</v>
      </c>
      <c r="C28" s="50">
        <v>0</v>
      </c>
      <c r="D28" s="50">
        <v>0</v>
      </c>
    </row>
    <row r="29" spans="2:4">
      <c r="B29" s="53" t="s">
        <v>156</v>
      </c>
      <c r="C29" s="53" t="s">
        <v>156</v>
      </c>
      <c r="D29" s="53" t="s">
        <v>156</v>
      </c>
    </row>
    <row r="30" spans="2:4">
      <c r="B30" s="44" t="s">
        <v>153</v>
      </c>
      <c r="C30" s="44" t="s">
        <v>154</v>
      </c>
      <c r="D30" s="44" t="s">
        <v>155</v>
      </c>
    </row>
    <row r="31" spans="2:4">
      <c r="B31" s="52">
        <v>2</v>
      </c>
      <c r="C31" s="52">
        <v>3</v>
      </c>
      <c r="D31" s="52">
        <v>4</v>
      </c>
    </row>
    <row r="33" spans="2:4">
      <c r="B33" s="182" t="s">
        <v>157</v>
      </c>
      <c r="C33" s="183"/>
      <c r="D33" s="49">
        <f>SUM(B28:D28)</f>
        <v>0</v>
      </c>
    </row>
    <row r="34" spans="2:4">
      <c r="D34" s="44" t="s">
        <v>9</v>
      </c>
    </row>
    <row r="35" spans="2:4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75</vt:i4>
      </vt:variant>
    </vt:vector>
  </HeadingPairs>
  <TitlesOfParts>
    <vt:vector size="75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2015-02-11T23:57:03Z</dcterms:modified>
</cp:coreProperties>
</file>