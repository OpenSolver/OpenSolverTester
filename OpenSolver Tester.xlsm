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/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Couenne</definedName>
    <definedName name="OpenSolver_ChosenSolver" localSheetId="18" hidden="1">Couenne</definedName>
    <definedName name="OpenSolver_ChosenSolver" localSheetId="32" hidden="1">Couenne</definedName>
    <definedName name="OpenSolver_ChosenSolver" localSheetId="6" hidden="1">Couenne</definedName>
    <definedName name="OpenSolver_ChosenSolver" localSheetId="5" hidden="1">Couenne</definedName>
    <definedName name="OpenSolver_ChosenSolver" localSheetId="45" hidden="1">Couenne</definedName>
    <definedName name="OpenSolver_ChosenSolver" localSheetId="19" hidden="1">Couenne</definedName>
    <definedName name="OpenSolver_ChosenSolver" localSheetId="20" hidden="1">Couenne</definedName>
    <definedName name="OpenSolver_ChosenSolver" localSheetId="41" hidden="1">Couenne</definedName>
    <definedName name="OpenSolver_ChosenSolver" localSheetId="38" hidden="1">Couenne</definedName>
    <definedName name="OpenSolver_ChosenSolver" localSheetId="40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50" hidden="1">Couenne</definedName>
    <definedName name="OpenSolver_ChosenSolver" localSheetId="30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8" hidden="1">Couenne</definedName>
    <definedName name="OpenSolver_ChosenSolver" localSheetId="22" hidden="1">Couenne</definedName>
    <definedName name="OpenSolver_ChosenSolver" localSheetId="26" hidden="1">Couenne</definedName>
    <definedName name="OpenSolver_ChosenSolver" localSheetId="42" hidden="1">Couenne</definedName>
    <definedName name="OpenSolver_ChosenSolver" localSheetId="44" hidden="1">Couenne</definedName>
    <definedName name="OpenSolver_ChosenSolver" localSheetId="29" hidden="1">Couenne</definedName>
    <definedName name="OpenSolver_ChosenSolver" localSheetId="25" hidden="1">NeosCBC</definedName>
    <definedName name="OpenSolver_ChosenSolver" localSheetId="46" hidden="1">Couenne</definedName>
    <definedName name="OpenSolver_ChosenSolver" localSheetId="47" hidden="1">Couenne</definedName>
    <definedName name="OpenSolver_ChosenSolver" localSheetId="3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15" hidden="1">Couenne</definedName>
    <definedName name="OpenSolver_ChosenSolver" localSheetId="14" hidden="1">Couenne</definedName>
    <definedName name="OpenSolver_ChosenSolver" localSheetId="13" hidden="1">Couenne</definedName>
    <definedName name="OpenSolver_ChosenSolver" localSheetId="12" hidden="1">Couenne</definedName>
    <definedName name="OpenSolver_ChosenSolver" localSheetId="51" hidden="1">Couenne</definedName>
    <definedName name="OpenSolver_ChosenSolver" localSheetId="63" hidden="1">CBC</definedName>
    <definedName name="OpenSolver_ChosenSolver" localSheetId="64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NeosCou</definedName>
    <definedName name="OpenSolver_ChosenSolver" localSheetId="62" hidden="1">Couenne</definedName>
    <definedName name="OpenSolver_ChosenSolver" localSheetId="61" hidden="1">Couenne</definedName>
    <definedName name="OpenSolver_ChosenSolver" localSheetId="57" hidden="1">Couenne</definedName>
    <definedName name="OpenSolver_ChosenSolver" localSheetId="60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56" hidden="1">Couenne</definedName>
    <definedName name="OpenSolver_ChosenSolver" localSheetId="48" hidden="1">Couenne</definedName>
    <definedName name="OpenSolver_ChosenSolver" localSheetId="4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28" hidden="1">Couenne</definedName>
    <definedName name="OpenSolver_ChosenSolver" localSheetId="52" hidden="1">Couenne</definedName>
    <definedName name="OpenSolver_ChosenSolver" localSheetId="34" hidden="1">Couenne</definedName>
    <definedName name="OpenSolver_ChosenSolver" localSheetId="1" hidden="1">CBC</definedName>
    <definedName name="OpenSolver_ChosenSolver" localSheetId="49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3" hidden="1">Couenne</definedName>
    <definedName name="OpenSolver_ChosenSolver" localSheetId="2" hidden="1">Bonmin</definedName>
    <definedName name="OpenSolver_ChosenSolver" localSheetId="31" hidden="1">Couenne</definedName>
    <definedName name="OpenSolver_ChosenSolver" localSheetId="53" hidden="1">Couenne</definedName>
    <definedName name="OpenSolver_ChosenSolver" localSheetId="11" hidden="1">Couenne</definedName>
    <definedName name="OpenSolver_ChosenSolver" localSheetId="7" hidden="1">Couenne</definedName>
    <definedName name="OpenSolver_ChosenSolver" localSheetId="27" hidden="1">Couenne</definedName>
    <definedName name="OpenSolver_ChosenSolver" localSheetId="43" hidden="1">Couenne</definedName>
    <definedName name="OpenSolver_ChosenSolver" localSheetId="39" hidden="1">Couenne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25" hidden="1">FALSE</definedName>
    <definedName name="OpenSolver_DualsNewSheet" localSheetId="63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DualsNewSheet" localSheetId="2" hidden="1">FALSE</definedName>
    <definedName name="OpenSolver_GurobiParameters" localSheetId="53" hidden="1">SolverParameters!$F$5:$G$5</definedName>
    <definedName name="OpenSolver_LinearityCheck" localSheetId="25" hidden="1">1</definedName>
    <definedName name="OpenSolver_LinearityCheck" localSheetId="63" hidden="1">1</definedName>
    <definedName name="OpenSolver_LinearityCheck" localSheetId="1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2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SensitivityNames!$D$14:$H$16,SensitivityNames!$J$21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999999999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8" hidden="1">NonLin6!$D$7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8" hidden="1">NonLin6!$D$7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68" hidden="1">NonLin6!$D$8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68" hidden="1">NonLin6!$D$8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8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8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68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68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8" hidden="1">0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8" hidden="1">90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68" hidden="1">-180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68" hidden="1">0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34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88" l="1"/>
  <c r="E12" i="88"/>
  <c r="F12" i="88"/>
  <c r="C13" i="88"/>
  <c r="E13" i="88"/>
  <c r="F13" i="88"/>
  <c r="F15" i="88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/>
  <c r="D13" i="85"/>
  <c r="D12" i="85"/>
  <c r="D14" i="85"/>
  <c r="D16" i="85"/>
  <c r="S13" i="75"/>
  <c r="I39" i="3"/>
  <c r="D20" i="77"/>
  <c r="G6" i="65"/>
  <c r="J6" i="14"/>
  <c r="J2" i="87"/>
  <c r="J3" i="87"/>
  <c r="J4" i="87"/>
  <c r="J5" i="87"/>
  <c r="J6" i="87"/>
  <c r="J7" i="87"/>
  <c r="F4" i="68"/>
  <c r="C6" i="95"/>
  <c r="I6" i="71"/>
  <c r="G6" i="70"/>
  <c r="F6" i="69"/>
  <c r="H5" i="19"/>
  <c r="H5" i="38"/>
  <c r="H5" i="20"/>
  <c r="H15" i="2"/>
  <c r="H6" i="4"/>
  <c r="I6" i="66"/>
  <c r="G17" i="92"/>
  <c r="G4" i="92"/>
  <c r="H7" i="57"/>
  <c r="H7" i="11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J6" i="41"/>
  <c r="H7" i="12"/>
  <c r="H6" i="94"/>
  <c r="I7" i="9"/>
  <c r="S4" i="9"/>
  <c r="S4" i="8"/>
  <c r="I7" i="8"/>
  <c r="I6" i="6"/>
  <c r="H7" i="35"/>
  <c r="H7" i="34"/>
  <c r="H7" i="33"/>
  <c r="H7" i="31"/>
  <c r="H6" i="27"/>
  <c r="H6" i="26"/>
  <c r="H6" i="25"/>
  <c r="H6" i="32"/>
  <c r="H6" i="24"/>
  <c r="H6" i="22"/>
  <c r="E10" i="113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<sst xmlns="http://schemas.openxmlformats.org/spreadsheetml/2006/main" count="1858" uniqueCount="362">
  <si>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</si>
  <si>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</si>
  <si>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</si>
  <si>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</si>
  <si>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</si>
  <si>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</si>
  <si>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</si>
  <si>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</si>
  <si>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</si>
  <si>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</si>
  <si>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</si>
  <si>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</si>
  <si>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</si>
  <si>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</si>
  <si>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</si>
  <si>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</si>
  <si>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</si>
  <si>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</si>
  <si>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</si>
  <si>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</si>
  <si>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</si>
  <si>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</si>
  <si>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</si>
  <si>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</si>
  <si>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</si>
  <si>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</si>
  <si>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</si>
  <si>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</si>
  <si>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</si>
  <si>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</si>
  <si>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</si>
  <si>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</si>
  <si>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</si>
  <si>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</si>
  <si>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</si>
  <si>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</si>
  <si>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</si>
  <si>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</si>
  <si>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</si>
  <si>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</si>
  <si>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</si>
  <si>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</si>
  <si>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</si>
  <si>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</si>
  <si>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</si>
  <si>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</si>
  <si>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</si>
  <si>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</si>
  <si>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</si>
  <si>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</si>
  <si>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</si>
  <si>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</si>
  <si>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</si>
  <si>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</si>
  <si>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</si>
  <si>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</si>
  <si>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</si>
  <si>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</si>
  <si>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</si>
  <si>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</si>
  <si>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</si>
  <si>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</si>
  <si>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</si>
  <si>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</si>
  <si>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</si>
  <si>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</si>
  <si>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</si>
  <si>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</si>
  <si>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</si>
  <si>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</si>
  <si>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</si>
  <si>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</si>
  <si>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</si>
  <si>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</si>
  <si>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</si>
  <si>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</si>
  <si>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</si>
  <si>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</si>
  <si>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</si>
  <si>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</si>
  <si>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</si>
  <si>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</si>
  <si>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</si>
  <si>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</si>
  <si>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</si>
  <si>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</si>
  <si>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</si>
  <si>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</si>
  <si>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</si>
  <si>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</si>
  <si>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</si>
  <si>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</si>
  <si>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</si>
  <si>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</si>
  <si>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</si>
  <si>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</si>
  <si>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</si>
  <si>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</si>
  <si>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</si>
  <si>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</si>
  <si>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</si>
  <si>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</si>
  <si>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</si>
  <si>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</si>
  <si>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</si>
  <si>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</si>
  <si>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</si>
  <si>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</si>
  <si>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</si>
  <si>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</si>
  <si>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</si>
  <si>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</si>
  <si>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</si>
  <si>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</si>
  <si>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</si>
  <si>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</si>
  <si>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</si>
  <si>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</si>
  <si>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</si>
  <si>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</si>
  <si>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</si>
  <si>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</si>
  <si>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</si>
  <si>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</si>
  <si>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</si>
  <si>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</si>
  <si>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</si>
  <si>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</si>
  <si>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</si>
  <si>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</si>
  <si>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</si>
  <si>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</si>
  <si>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</si>
  <si>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</si>
  <si>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</si>
  <si>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</si>
  <si>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</si>
  <si>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</si>
  <si>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</si>
  <si>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</si>
  <si>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</si>
  <si>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</si>
  <si>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</si>
  <si>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</si>
  <si>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</si>
  <si>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</si>
  <si>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</si>
  <si>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</si>
  <si>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</si>
  <si>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</si>
  <si>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</si>
  <si>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</si>
  <si>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</si>
  <si>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</si>
  <si>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</si>
  <si>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</si>
  <si>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</si>
  <si>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</si>
  <si>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</si>
  <si>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</si>
  <si>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</si>
  <si>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</si>
  <si>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</si>
  <si>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</si>
  <si>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</si>
  <si>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</si>
  <si>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</si>
  <si>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</si>
  <si>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</si>
  <si>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</si>
  <si>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</si>
  <si>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</si>
  <si>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</si>
  <si>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</si>
  <si>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</si>
  <si>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</si>
  <si>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</si>
  <si>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</si>
  <si>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</si>
  <si>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</si>
  <si>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</si>
  <si>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</si>
  <si>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</si>
  <si>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</si>
  <si>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</si>
  <si>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</si>
  <si>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</si>
  <si>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</si>
  <si>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</si>
  <si>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</si>
  <si>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</si>
  <si>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</si>
  <si>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</si>
  <si>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</si>
  <si>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</si>
  <si>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</si>
  <si>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</si>
  <si>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</si>
  <si>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</si>
  <si>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</si>
  <si>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</si>
  <si>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</si>
  <si>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</si>
  <si>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</si>
  <si>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</si>
  <si>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</si>
  <si>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</si>
  <si>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</si>
  <si>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</si>
  <si>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</si>
  <si>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</si>
  <si>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</si>
  <si>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</si>
  <si>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</si>
  <si>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</si>
  <si>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</si>
  <si>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</si>
  <si>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</si>
  <si>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</si>
  <si>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</si>
  <si>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</si>
  <si>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</si>
  <si>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</si>
  <si>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</si>
  <si>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</si>
  <si>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</si>
  <si>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</si>
  <si>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</si>
  <si>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</si>
  <si>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</si>
  <si>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</si>
  <si>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</si>
  <si>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</si>
  <si>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</si>
  <si>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</si>
  <si>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</si>
  <si>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</si>
  <si>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</si>
  <si>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</si>
  <si>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</si>
  <si>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</si>
  <si>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</si>
  <si>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</si>
  <si>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</si>
  <si>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</si>
  <si>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</si>
  <si>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</si>
  <si>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</si>
  <si>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</si>
  <si>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</si>
  <si>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</si>
  <si>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</si>
  <si>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</si>
  <si>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</si>
  <si>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</si>
  <si>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</si>
  <si>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</si>
  <si>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</si>
  <si>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</si>
  <si>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</si>
  <si>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</si>
  <si>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</si>
  <si>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</si>
  <si>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</si>
  <si>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</si>
  <si>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</si>
  <si>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</si>
  <si>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</si>
  <si>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</si>
  <si>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</si>
  <si>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</si>
  <si>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</si>
  <si>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</si>
  <si>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</si>
  <si>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</si>
  <si>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</si>
  <si>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</si>
  <si>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</si>
  <si>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</si>
  <si>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</si>
  <si>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</si>
  <si>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</si>
  <si>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</si>
  <si>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</si>
  <si>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</si>
  <si>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</si>
  <si>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</si>
  <si>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</si>
  <si>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</si>
  <si>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</si>
  <si>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</si>
  <si>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</si>
  <si>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</si>
  <si>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</si>
  <si>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</si>
  <si>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</si>
  <si>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</si>
  <si>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</si>
  <si>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</si>
  <si>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</si>
  <si>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</si>
  <si>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</si>
  <si>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</si>
  <si>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</si>
  <si>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</si>
  <si>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</si>
  <si>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</si>
  <si>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</si>
  <si>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</si>
  <si>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</si>
  <si>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</si>
  <si>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</si>
  <si>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</si>
  <si>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</si>
  <si>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</si>
  <si>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</si>
  <si>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</si>
  <si>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</si>
  <si>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</si>
  <si>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</si>
  <si>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</si>
  <si>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</si>
  <si>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</si>
  <si>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</si>
  <si>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</si>
  <si>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</si>
  <si>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</si>
  <si>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</si>
  <si>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</si>
  <si>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</si>
  <si>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</si>
  <si>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</si>
  <si>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</si>
  <si>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</si>
  <si>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</si>
  <si>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</si>
  <si>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</si>
  <si>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</si>
  <si>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</si>
  <si>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</si>
  <si>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</si>
  <si>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</si>
  <si>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</si>
  <si>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</si>
  <si>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</si>
  <si>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</si>
  <si>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</si>
  <si>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</si>
  <si>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</si>
  <si>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</si>
  <si>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</si>
  <si>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</si>
  <si>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</si>
  <si>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</si>
  <si>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</si>
  <si>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</si>
  <si>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</si>
  <si>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</si>
  <si>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</si>
  <si>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</si>
  <si>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</si>
  <si>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PASS*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</si>
</sst>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01569824"/>
        <c:axId val="501566296"/>
        <c:axId val="569520392"/>
      </c:surface3DChart>
      <c:catAx>
        <c:axId val="50156982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662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015662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69824"/>
        <c:crosses val="min"/>
        <c:crossBetween val="between"/>
        <c:majorUnit val="0.1"/>
      </c:valAx>
      <c:serAx>
        <c:axId val="569520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662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571784"/>
        <c:axId val="501565512"/>
      </c:scatterChart>
      <c:valAx>
        <c:axId val="50157178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65512"/>
        <c:crosses val="autoZero"/>
        <c:crossBetween val="midCat"/>
        <c:majorUnit val="0.5"/>
      </c:valAx>
      <c:valAx>
        <c:axId val="50156551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7178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2.3571428570628075</c:v>
                </c:pt>
                <c:pt idx="2">
                  <c:v>6.9999999999689777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1.8557687224969026</c:v>
                </c:pt>
                <c:pt idx="2">
                  <c:v>2.2433632729246256E-10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574528"/>
        <c:axId val="501564336"/>
      </c:scatterChart>
      <c:valAx>
        <c:axId val="50157452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64336"/>
        <c:crosses val="autoZero"/>
        <c:crossBetween val="midCat"/>
        <c:majorUnit val="1"/>
      </c:valAx>
      <c:valAx>
        <c:axId val="50156433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57452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6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6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67" name="OpenSolver6"/>
        <xdr:cNvCxnSpPr>
          <a:stCxn id="65" idx="3"/>
          <a:endCxn id="6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6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71" name="OpenSolver10"/>
        <xdr:cNvCxnSpPr>
          <a:stCxn id="69" idx="3"/>
          <a:endCxn id="7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7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5" name="OpenSolver14"/>
        <xdr:cNvCxnSpPr>
          <a:stCxn id="73" idx="3"/>
          <a:endCxn id="7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4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4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3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90≥,0≤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4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0≥,-180≤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topLeftCell="A10" zoomScale="85" zoomScaleNormal="85" zoomScalePageLayoutView="85" workbookViewId="0">
      <selection activeCell="E57" sqref="E57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</row>
    <row r="4" spans="1:9" x14ac:dyDescent="0.25">
      <c r="A4" s="155" t="str">
        <f>HYPERLINK("[OpenSolver Tester.xlsm]'SimpleIP'!A1", "SimpleIP")</f>
        <v>SimpleIP</v>
      </c>
    </row>
    <row r="5" spans="1:9" x14ac:dyDescent="0.25">
      <c r="A5" s="155" t="str">
        <f>HYPERLINK("[OpenSolver Tester.xlsm]'OverlappingVars'!A1", "OverlappingVars")</f>
        <v>OverlappingVars</v>
      </c>
      <c r="H5"/>
    </row>
    <row r="6" spans="1:9" x14ac:dyDescent="0.25">
      <c r="A6" s="155" t="str">
        <f>HYPERLINK("[OpenSolver Tester.xlsm]'BlankRHS'!A1", "BlankRHS")</f>
        <v>BlankRHS</v>
      </c>
      <c r="H6"/>
    </row>
    <row r="7" spans="1:9" x14ac:dyDescent="0.25">
      <c r="A7" s="155" t="str">
        <f>HYPERLINK("[OpenSolver Tester.xlsm]'BlankLHS'!A1", "BlankLHS")</f>
        <v>BlankLHS</v>
      </c>
      <c r="H7"/>
    </row>
    <row r="8" spans="1:9" x14ac:dyDescent="0.25">
      <c r="A8" s="155" t="str">
        <f>HYPERLINK("[OpenSolver Tester.xlsm]'TextRHS'!A1", "TextRHS")</f>
        <v>TextRHS</v>
      </c>
      <c r="H8"/>
    </row>
    <row r="9" spans="1:9" x14ac:dyDescent="0.25">
      <c r="A9" s="155" t="str">
        <f>HYPERLINK("[OpenSolver Tester.xlsm]'ErrorRHS'!A1", "ErrorRHS")</f>
        <v>ErrorRHS</v>
      </c>
      <c r="H9"/>
    </row>
    <row r="10" spans="1:9" x14ac:dyDescent="0.25">
      <c r="A10" s="155" t="str">
        <f>HYPERLINK("[OpenSolver Tester.xlsm]'ErrorLHS'!A1", "ErrorLHS")</f>
        <v>ErrorLHS</v>
      </c>
    </row>
    <row r="11" spans="1:9" x14ac:dyDescent="0.25">
      <c r="A11" s="155" t="str">
        <f>HYPERLINK("[OpenSolver Tester.xlsm]'ErrorObj'!A1", "ErrorObj")</f>
        <v>ErrorObj</v>
      </c>
    </row>
    <row r="12" spans="1:9" x14ac:dyDescent="0.25">
      <c r="A12" s="155" t="str">
        <f>HYPERLINK("[OpenSolver Tester.xlsm]'TextObj'!A1", "TextObj")</f>
        <v>TextObj</v>
      </c>
    </row>
    <row r="13" spans="1:9" x14ac:dyDescent="0.25">
      <c r="A13" s="155" t="str">
        <f>HYPERLINK("[OpenSolver Tester.xlsm]'MergedVarsSubset'!A1", "MergedVarsSubset")</f>
        <v>MergedVarsSubset</v>
      </c>
    </row>
    <row r="14" spans="1:9" x14ac:dyDescent="0.25">
      <c r="A14" s="155" t="str">
        <f>HYPERLINK("[OpenSolver Tester.xlsm]'MergedVarsOK'!A1", "MergedVarsOK")</f>
        <v>MergedVarsOK</v>
      </c>
    </row>
    <row r="15" spans="1:9" x14ac:dyDescent="0.25">
      <c r="A15" s="155" t="str">
        <f>HYPERLINK("[OpenSolver Tester.xlsm]'MergedVarsBad'!A1", "MergedVarsBad")</f>
        <v>MergedVarsBad</v>
      </c>
    </row>
    <row r="16" spans="1:9" x14ac:dyDescent="0.25">
      <c r="A16" s="155" t="str">
        <f>HYPERLINK("[OpenSolver Tester.xlsm]'MergedRHS_OK'!A1", "MergedRHS_OK")</f>
        <v>MergedRHS_OK</v>
      </c>
    </row>
    <row r="17" spans="1:1" x14ac:dyDescent="0.25">
      <c r="A17" s="155" t="str">
        <f>HYPERLINK("[OpenSolver Tester.xlsm]'MergedLHS_OK'!A1", "MergedLHS_OK")</f>
        <v>MergedLHS_OK</v>
      </c>
    </row>
    <row r="18" spans="1:1" x14ac:dyDescent="0.25">
      <c r="A18" s="155" t="str">
        <f>HYPERLINK("[OpenSolver Tester.xlsm]'MergedLHSMultiple_OK'!A1", "MergedLHSMultiple_OK")</f>
        <v>MergedLHSMultiple_OK</v>
      </c>
    </row>
    <row r="19" spans="1:1" x14ac:dyDescent="0.25">
      <c r="A19" s="155" t="str">
        <f>HYPERLINK("[OpenSolver Tester.xlsm]'BinIntOverlap'!A1", "BinIntOverlap")</f>
        <v>BinIntOverlap</v>
      </c>
    </row>
    <row r="20" spans="1:1" x14ac:dyDescent="0.25">
      <c r="A20" s="155" t="str">
        <f>HYPERLINK("[OpenSolver Tester.xlsm]'ConFormula'!A1", "ConFormula")</f>
        <v>ConFormula</v>
      </c>
    </row>
    <row r="21" spans="1:1" x14ac:dyDescent="0.25">
      <c r="A21" s="155" t="str">
        <f>HYPERLINK("[OpenSolver Tester.xlsm]'ConFormulaInf'!A1", "ConFormulaInf")</f>
        <v>ConFormulaInf</v>
      </c>
    </row>
    <row r="22" spans="1:1" x14ac:dyDescent="0.25">
      <c r="A22" s="155" t="str">
        <f>HYPERLINK("[OpenSolver Tester.xlsm]'BadName!'!A1", "BadName!")</f>
        <v>BadName!</v>
      </c>
    </row>
    <row r="23" spans="1:1" x14ac:dyDescent="0.25">
      <c r="A23" s="155" t="str">
        <f>HYPERLINK("[OpenSolver Tester.xlsm]'EscapeSheetName(1)+2-1'!A1", "EscapeSheetName(1)+2-1")</f>
        <v>EscapeSheetName(1)+2-1</v>
      </c>
    </row>
    <row r="24" spans="1:1" x14ac:dyDescent="0.25">
      <c r="A24" s="155" t="str">
        <f>HYPERLINK("[OpenSolver Tester.xlsm]'DeletedConRef'!A1", "DeletedConRef")</f>
        <v>DeletedConRef</v>
      </c>
    </row>
    <row r="25" spans="1:1" x14ac:dyDescent="0.25">
      <c r="A25" s="155" t="str">
        <f>HYPERLINK("[OpenSolver Tester.xlsm]'DeletedObjRef'!A1", "DeletedObjRef")</f>
        <v>DeletedObjRef</v>
      </c>
    </row>
    <row r="26" spans="1:1" x14ac:dyDescent="0.25">
      <c r="A26" s="155" t="str">
        <f>HYPERLINK("[OpenSolver Tester.xlsm]'InfConstConstraint'!A1", "InfConstConstraint")</f>
        <v>InfConstConstraint</v>
      </c>
    </row>
    <row r="27" spans="1:1" x14ac:dyDescent="0.25">
      <c r="A27" s="155" t="str">
        <f>HYPERLINK("[OpenSolver Tester.xlsm]'FeasConstConstraint'!A1", "FeasConstConstraint")</f>
        <v>FeasConstConstraint</v>
      </c>
    </row>
    <row r="28" spans="1:1" x14ac:dyDescent="0.25">
      <c r="A28" s="155" t="str">
        <f>HYPERLINK("[OpenSolver Tester.xlsm]'Unbounded'!A1", "Unbounded")</f>
        <v>Unbounded</v>
      </c>
    </row>
    <row r="29" spans="1:1" x14ac:dyDescent="0.25">
      <c r="A29" s="155" t="str">
        <f>HYPERLINK("[OpenSolver Tester.xlsm]'ProtectedSheet'!A1", "ProtectedSheet")</f>
        <v>ProtectedSheet</v>
      </c>
    </row>
    <row r="30" spans="1:1" x14ac:dyDescent="0.25">
      <c r="A30" s="155" t="str">
        <f>HYPERLINK("[OpenSolver Tester.xlsm]'IndirectLBs'!A1", "IndirectLBs")</f>
        <v>IndirectLBs</v>
      </c>
    </row>
    <row r="31" spans="1:1" x14ac:dyDescent="0.25">
      <c r="A31" s="155" t="str">
        <f>HYPERLINK("[OpenSolver Tester.xlsm]'DirectLBs'!A1", "DirectLBs")</f>
        <v>DirectLBs</v>
      </c>
    </row>
    <row r="32" spans="1:1" x14ac:dyDescent="0.25">
      <c r="A32" s="155" t="str">
        <f>HYPERLINK("[OpenSolver Tester.xlsm]'SingleRangeLB'!A1", "SingleRangeLB")</f>
        <v>SingleRangeLB</v>
      </c>
    </row>
    <row r="33" spans="1:7" x14ac:dyDescent="0.25">
      <c r="A33" s="155" t="str">
        <f>HYPERLINK("[OpenSolver Tester.xlsm]'BinLB'!A1", "BinLB")</f>
        <v>BinLB</v>
      </c>
    </row>
    <row r="34" spans="1:7" x14ac:dyDescent="0.25">
      <c r="A34" s="155" t="str">
        <f>HYPERLINK("[OpenSolver Tester.xlsm]'BinIntLB'!A1", "BinIntLB")</f>
        <v>BinIntLB</v>
      </c>
    </row>
    <row r="35" spans="1:7" x14ac:dyDescent="0.25">
      <c r="A35" s="155" t="str">
        <f>HYPERLINK("[OpenSolver Tester.xlsm]'Relaxation'!A1", "Relaxation")</f>
        <v>Relaxation</v>
      </c>
    </row>
    <row r="36" spans="1:7" x14ac:dyDescent="0.25">
      <c r="A36" s="155" t="str">
        <f>HYPERLINK("[OpenSolver Tester.xlsm]'LargeRangeLB'!A1", "LargeRangeLB")</f>
        <v>LargeRangeLB</v>
      </c>
      <c r="G36" s="165"/>
    </row>
    <row r="37" spans="1:7" x14ac:dyDescent="0.25">
      <c r="A37" s="155" t="str">
        <f>HYPERLINK("[OpenSolver Tester.xlsm]'OverlapRangeLB'!A1", "OverlapRangeLB")</f>
        <v>OverlapRangeLB</v>
      </c>
      <c r="G37" s="165"/>
    </row>
    <row r="38" spans="1:7" x14ac:dyDescent="0.25">
      <c r="A38" s="155" t="str">
        <f>HYPERLINK("[OpenSolver Tester.xlsm]'OverlapRangeLBwithFormula'!A1", "OverlapRangeLBwithFormula")</f>
        <v>OverlapRangeLBwithFormula</v>
      </c>
      <c r="C38" s="162"/>
    </row>
    <row r="39" spans="1:7" x14ac:dyDescent="0.25">
      <c r="A39" s="155" t="str">
        <f>HYPERLINK("[OpenSolver Tester.xlsm]'ConstFormulaRangeLB'!A1", "ConstFormulaRangeLB")</f>
        <v>ConstFormulaRangeLB</v>
      </c>
    </row>
    <row r="40" spans="1:7" x14ac:dyDescent="0.25">
      <c r="A40" s="155" t="str">
        <f>HYPERLINK("[OpenSolver Tester.xlsm]'VariableFormulaRangeLB'!A1", "VariableFormulaRangeLB")</f>
        <v>VariableFormulaRangeLB</v>
      </c>
    </row>
    <row r="41" spans="1:7" x14ac:dyDescent="0.25">
      <c r="A41" s="155" t="str">
        <f>HYPERLINK("[OpenSolver Tester.xlsm]'ConstraintLB'!A1", "ConstraintLB")</f>
        <v>ConstraintLB</v>
      </c>
    </row>
    <row r="42" spans="1:7" x14ac:dyDescent="0.25">
      <c r="A42" s="155" t="str">
        <f>HYPERLINK("[OpenSolver Tester.xlsm]'ConstantLB'!A1", "ConstantLB")</f>
        <v>ConstantLB</v>
      </c>
    </row>
    <row r="43" spans="1:7" x14ac:dyDescent="0.25">
      <c r="A43" s="155" t="str">
        <f>HYPERLINK("[OpenSolver Tester.xlsm]'FormulaLB'!A1", "FormulaLB")</f>
        <v>FormulaLB</v>
      </c>
    </row>
    <row r="44" spans="1:7" x14ac:dyDescent="0.25">
      <c r="A44" s="155" t="str">
        <f>HYPERLINK("[OpenSolver Tester.xlsm]'VarConstraintLB'!A1", "VarConstraintLB")</f>
        <v>VarConstraintLB</v>
      </c>
    </row>
    <row r="45" spans="1:7" x14ac:dyDescent="0.25">
      <c r="A45" s="155" t="str">
        <f>HYPERLINK("[OpenSolver Tester.xlsm]'FractionalCoeffs'!A1", "FractionalCoeffs")</f>
        <v>FractionalCoeffs</v>
      </c>
    </row>
    <row r="46" spans="1:7" x14ac:dyDescent="0.25">
      <c r="A46" s="155" t="str">
        <f>HYPERLINK("[OpenSolver Tester.xlsm]'ComplexLayout'!A1", "ComplexLayout")</f>
        <v>ComplexLayout</v>
      </c>
    </row>
    <row r="47" spans="1:7" x14ac:dyDescent="0.25">
      <c r="A47" s="155" t="str">
        <f>HYPERLINK("[OpenSolver Tester.xlsm]'InfModel'!A1", "InfModel")</f>
        <v>InfModel</v>
      </c>
    </row>
    <row r="48" spans="1:7" x14ac:dyDescent="0.25">
      <c r="A48" s="155" t="str">
        <f>HYPERLINK("[OpenSolver Tester.xlsm]'IterativeCalc'!A1", "IterativeCalc")</f>
        <v>IterativeCalc</v>
      </c>
    </row>
    <row r="49" spans="1:1" x14ac:dyDescent="0.25">
      <c r="A49" s="155" t="str">
        <f>HYPERLINK("[OpenSolver Tester.xlsm]'NoObj'!A1", "NoObj")</f>
        <v>NoObj</v>
      </c>
    </row>
    <row r="50" spans="1:1" x14ac:dyDescent="0.25">
      <c r="A50" s="155" t="str">
        <f>HYPERLINK("[OpenSolver Tester.xlsm]'SeekObj'!A1", "SeekObj")</f>
        <v>SeekObj</v>
      </c>
    </row>
    <row r="51" spans="1:1" x14ac:dyDescent="0.25">
      <c r="A51" s="155" t="str">
        <f>HYPERLINK("[OpenSolver Tester.xlsm]'DiffSheetObj'!A1", "DiffSheetObj")</f>
        <v>DiffSheetObj</v>
      </c>
    </row>
    <row r="52" spans="1:1" x14ac:dyDescent="0.25">
      <c r="A52" s="155" t="str">
        <f>HYPERLINK("[OpenSolver Tester.xlsm]'NamedRanges'!A1", "NamedRanges")</f>
        <v>NamedRanges</v>
      </c>
    </row>
    <row r="53" spans="1:1" x14ac:dyDescent="0.25">
      <c r="A53" s="155" t="str">
        <f>HYPERLINK("[OpenSolver Tester.xlsm]'QuickSolve'!A1", "QuickSolve")</f>
        <v>QuickSolve</v>
      </c>
    </row>
    <row r="54" spans="1:1" x14ac:dyDescent="0.25">
      <c r="A54" s="155" t="str">
        <f>HYPERLINK("[OpenSolver Tester.xlsm]'SolverParameters'!A1", "SolverParameters")</f>
        <v>SolverParameters</v>
      </c>
    </row>
    <row r="55" spans="1:1" x14ac:dyDescent="0.25">
      <c r="A55" s="155" t="str">
        <f>HYPERLINK("[OpenSolver Tester.xlsm]'Sensitivity'!A1", "Sensitivity")</f>
        <v>Sensitivity</v>
      </c>
    </row>
    <row r="56" spans="1:1" x14ac:dyDescent="0.25">
      <c r="A56" s="155" t="str">
        <f>HYPERLINK("[OpenSolver Tester.xlsm]'SensitivityNames'!A1", "SensitivityNames")</f>
        <v>SensitivityNames</v>
      </c>
    </row>
    <row r="57" spans="1:1" x14ac:dyDescent="0.25">
      <c r="A57" s="155" t="str">
        <f>HYPERLINK("[OpenSolver Tester.xlsm]'NonLinSimple'!A1", "NonLinSimple")</f>
        <v>NonLinSimple</v>
      </c>
    </row>
    <row r="58" spans="1:1" x14ac:dyDescent="0.25">
      <c r="A58" s="155" t="str">
        <f>HYPERLINK("[OpenSolver Tester.xlsm]'NonLinLarge'!A1", "NonLinLarge")</f>
        <v>NonLinLarge</v>
      </c>
    </row>
    <row r="59" spans="1:1" x14ac:dyDescent="0.25">
      <c r="A59" s="155" t="str">
        <f>HYPERLINK("[OpenSolver Tester.xlsm]'NonLinObj'!A1", "NonLinObj")</f>
        <v>NonLinObj</v>
      </c>
    </row>
    <row r="60" spans="1:1" x14ac:dyDescent="0.25">
      <c r="A60" s="155" t="str">
        <f>HYPERLINK("[OpenSolver Tester.xlsm]'NonLinPruning'!A1", "NonLinPruning")</f>
        <v>NonLinPruning</v>
      </c>
    </row>
    <row r="61" spans="1:1" x14ac:dyDescent="0.25">
      <c r="A61" s="155" t="str">
        <f>HYPERLINK("[OpenSolver Tester.xlsm]'NonLinMinMax'!A1", "NonLinMinMax")</f>
        <v>NonLinMinMax</v>
      </c>
    </row>
    <row r="62" spans="1:1" x14ac:dyDescent="0.25">
      <c r="A62" s="155" t="str">
        <f>HYPERLINK("[OpenSolver Tester.xlsm]'NonLinConstraints'!A1", "NonLinConstraints")</f>
        <v>NonLinConstraints</v>
      </c>
    </row>
    <row r="63" spans="1:1" x14ac:dyDescent="0.25">
      <c r="A63" s="155" t="str">
        <f>HYPERLINK("[OpenSolver Tester.xlsm]'NonLinBinary'!A1", "NonLinBinary")</f>
        <v>NonLinBinary</v>
      </c>
    </row>
    <row r="64" spans="1:1" x14ac:dyDescent="0.25">
      <c r="A64" s="155" t="str">
        <f>HYPERLINK("[OpenSolver Tester.xlsm]'NonLin'!A1", "NonLin")</f>
        <v>NonLin</v>
      </c>
    </row>
    <row r="65" spans="1:9" x14ac:dyDescent="0.25">
      <c r="A65" s="155" t="str">
        <f>HYPERLINK("[OpenSolver Tester.xlsm]'NonLin2'!A1", "NonLin2")</f>
        <v>NonLin2</v>
      </c>
      <c r="H65" s="165"/>
    </row>
    <row r="66" spans="1:9" x14ac:dyDescent="0.25">
      <c r="A66" s="155" t="str">
        <f>HYPERLINK("[OpenSolver Tester.xlsm]'NonLin3'!A1", "NonLin3")</f>
        <v>NonLin3</v>
      </c>
      <c r="G66" s="163"/>
    </row>
    <row r="67" spans="1:9" x14ac:dyDescent="0.25">
      <c r="A67" s="155" t="str">
        <f>HYPERLINK("[OpenSolver Tester.xlsm]'NonLin4'!A1", "NonLin4")</f>
        <v>NonLin4</v>
      </c>
    </row>
    <row r="68" spans="1:9" x14ac:dyDescent="0.25">
      <c r="A68" s="155" t="str">
        <f>HYPERLINK("[OpenSolver Tester.xlsm]'NonLin5'!A1", "NonLin5")</f>
        <v>NonLin5</v>
      </c>
    </row>
    <row r="69" spans="1:9" x14ac:dyDescent="0.25">
      <c r="A69" s="155" t="str">
        <f>HYPERLINK("[OpenSolver Tester.xlsm]'NonLin6'!A1", "NonLin6")</f>
        <v>NonLin6</v>
      </c>
      <c r="B69" s="59" t="s">
        <v>332</v>
      </c>
      <c r="C69" s="59" t="s">
        <v>332</v>
      </c>
      <c r="D69" s="59" t="s">
        <v>332</v>
      </c>
      <c r="E69" s="59" t="s">
        <v>332</v>
      </c>
      <c r="F69" s="59" t="s">
        <v>332</v>
      </c>
      <c r="G69" s="59" t="s">
        <v>332</v>
      </c>
      <c r="H69" s="59" t="s">
        <v>361</v>
      </c>
      <c r="I69" s="59" t="s">
        <v>332</v>
      </c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5.2941176432260768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15.88235292967823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58.235294075486848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116.4705881509737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116.4705881509737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179.9999998696866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116.47058823529413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-8.1281411379308111E-8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721.4309382745945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14.547825357574927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28.799998453002694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-1.0000000000000002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-1.0000000000000002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-2.0000000099949999</v>
      </c>
      <c r="E4" s="134">
        <v>-2.0000000099966702</v>
      </c>
      <c r="F4" s="54">
        <v>-2.0000000099975002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6.8545359783201132</v>
      </c>
      <c r="Q3" s="9">
        <v>0</v>
      </c>
      <c r="R3" s="10">
        <v>10.999998578601817</v>
      </c>
      <c r="S3" s="9">
        <f>SUM(Q3:R3)</f>
        <v>10.999998578601817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-6.9568228067140581E-8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22.000001091466096</v>
      </c>
      <c r="S4" s="4">
        <f>SUM(Q4:R4)</f>
        <v>66.000000659761184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712.53566396794895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10.999999304317718</v>
      </c>
      <c r="J8" s="1" t="s">
        <v>8</v>
      </c>
      <c r="K8" s="1">
        <f>61.2345678+2.3*N3-S4</f>
        <v>10.999999890375079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21.99999853906721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  <c r="K7" t="s">
        <v>326</v>
      </c>
      <c r="L7" t="s">
        <v>327</v>
      </c>
      <c r="M7" t="s">
        <v>321</v>
      </c>
      <c r="N7" t="s">
        <v>322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355</v>
      </c>
      <c r="L8">
        <v>-1</v>
      </c>
      <c r="M8">
        <v>1</v>
      </c>
      <c r="N8">
        <v>1E+100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356</v>
      </c>
      <c r="L9">
        <v>0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357</v>
      </c>
      <c r="L10">
        <v>0</v>
      </c>
      <c r="M10">
        <v>1E+100</v>
      </c>
      <c r="N10">
        <v>1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M12" sqref="M1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-9.9993333332337904E-9</v>
      </c>
      <c r="G14" s="160">
        <v>-9.9989999997151892E-9</v>
      </c>
      <c r="H14" s="160">
        <v>-9.9996000000000001E-9</v>
      </c>
      <c r="I14">
        <f>SUM(D14:H14)</f>
        <v>199.99999350000195</v>
      </c>
      <c r="J14">
        <v>200</v>
      </c>
    </row>
    <row r="15" spans="1:10" x14ac:dyDescent="0.25">
      <c r="C15" t="s">
        <v>250</v>
      </c>
      <c r="D15" s="160">
        <v>-9.9997142857102896E-9</v>
      </c>
      <c r="E15" s="160">
        <v>2.98000238009931E-6</v>
      </c>
      <c r="F15" s="160">
        <v>200.000000019997</v>
      </c>
      <c r="G15" s="160">
        <v>100.000000019997</v>
      </c>
      <c r="H15" s="160">
        <v>-9.9979999966646899E-9</v>
      </c>
      <c r="I15">
        <f>SUM(D15:H15)</f>
        <v>300.00000299999869</v>
      </c>
      <c r="J15">
        <v>300</v>
      </c>
    </row>
    <row r="16" spans="1:10" x14ac:dyDescent="0.25">
      <c r="C16" t="s">
        <v>251</v>
      </c>
      <c r="D16" s="160">
        <v>-9.9998181818181799E-9</v>
      </c>
      <c r="E16" s="160">
        <v>200.00000350999801</v>
      </c>
      <c r="F16" s="160">
        <v>-9.9979999986622202E-9</v>
      </c>
      <c r="G16" s="160">
        <v>-9.9979999986618397E-9</v>
      </c>
      <c r="H16" s="160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300.00000000000028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13249.999898450105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5.2941176432347934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252.24913458368931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58.235294075582729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116.47058815116546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116.47058815116546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179.99999986998299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32.633916975965391</v>
      </c>
      <c r="E5">
        <v>0.61285955353369759</v>
      </c>
    </row>
    <row r="6" spans="1:15" ht="15.75" thickBot="1" x14ac:dyDescent="0.3">
      <c r="A6" s="63" t="b">
        <f>AND(F22)</f>
        <v>1</v>
      </c>
      <c r="F6">
        <f>D5^2*E5^2</f>
        <v>400.00031151789682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20.000007787945904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33.246776529499087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32.633916975965391</v>
      </c>
      <c r="G10" t="s">
        <v>9</v>
      </c>
      <c r="H10">
        <v>0</v>
      </c>
    </row>
    <row r="11" spans="1:15" x14ac:dyDescent="0.25">
      <c r="F11">
        <f>E5</f>
        <v>0.61285955353369759</v>
      </c>
      <c r="H11">
        <v>0</v>
      </c>
    </row>
    <row r="12" spans="1:15" x14ac:dyDescent="0.25">
      <c r="F12">
        <f>E5*D5+E5+D5</f>
        <v>53.246784317444991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53.246784317444991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53.246784317444991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-13.246768741553186</v>
      </c>
      <c r="G15" t="s">
        <v>8</v>
      </c>
      <c r="H15">
        <v>0</v>
      </c>
      <c r="O15" s="81"/>
    </row>
    <row r="16" spans="1:15" x14ac:dyDescent="0.25">
      <c r="F16">
        <f>E5-D5*E5+D5</f>
        <v>13.246768741553186</v>
      </c>
      <c r="G16" t="s">
        <v>8</v>
      </c>
      <c r="H16">
        <v>60</v>
      </c>
      <c r="O16" s="81"/>
    </row>
    <row r="17" spans="6:15" x14ac:dyDescent="0.25">
      <c r="F17">
        <f>E5-D5+E5*D5</f>
        <v>-12.021049634485792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5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1</v>
      </c>
    </row>
    <row r="18" spans="3:15" x14ac:dyDescent="0.25">
      <c r="C18" s="21" t="s">
        <v>57</v>
      </c>
      <c r="D18" s="22">
        <v>3</v>
      </c>
      <c r="E18" s="28">
        <f>46*D18</f>
        <v>138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1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2221</v>
      </c>
      <c r="F39">
        <f>SUMPRODUCT($D$3:$D$35,F3:F35)</f>
        <v>28</v>
      </c>
      <c r="G39">
        <f>SUMPRODUCT($D$3:$D$35,G3:G35)</f>
        <v>59</v>
      </c>
      <c r="H39">
        <f>SUMPRODUCT($D$3:$D$35,H3:H35)</f>
        <v>3177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2221</v>
      </c>
      <c r="K40" s="16" t="s">
        <v>9</v>
      </c>
      <c r="L40" s="16">
        <v>1900</v>
      </c>
      <c r="N40">
        <v>2221</v>
      </c>
      <c r="O40" t="b">
        <f>IF(N40=J40,TRUE,FALSE)</f>
        <v>1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2221</v>
      </c>
      <c r="K41" s="16" t="s">
        <v>8</v>
      </c>
      <c r="L41" s="16">
        <v>2100</v>
      </c>
      <c r="N41">
        <v>2221</v>
      </c>
      <c r="O41" t="b">
        <f>IF(N41=J41,TRUE,FALSE)</f>
        <v>1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-525.34999999999991</v>
      </c>
      <c r="K42" s="16" t="s">
        <v>8</v>
      </c>
      <c r="L42" s="16">
        <v>0</v>
      </c>
      <c r="N42">
        <v>-525.34999999999991</v>
      </c>
      <c r="O42" t="b">
        <f>IF(N42=J42,TRUE,FALSE)</f>
        <v>1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59</v>
      </c>
      <c r="K43" s="16" t="s">
        <v>9</v>
      </c>
      <c r="L43" s="16">
        <v>55</v>
      </c>
      <c r="N43">
        <v>59</v>
      </c>
      <c r="O43" t="b">
        <f>IF(N43=J43,TRUE,FALSE)</f>
        <v>1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3177</v>
      </c>
      <c r="K44" s="16" t="s">
        <v>8</v>
      </c>
      <c r="L44" s="16">
        <v>3220</v>
      </c>
      <c r="N44">
        <v>3177</v>
      </c>
      <c r="O44" t="b">
        <f>IF(N44=J44,TRUE,FALSE)</f>
        <v>1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topLeftCell="A28" workbookViewId="0"/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0.94240514019536503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135.09257326765851</v>
      </c>
      <c r="E11" s="108"/>
    </row>
    <row r="12" spans="1:5" x14ac:dyDescent="0.25">
      <c r="C12" s="106" t="s">
        <v>266</v>
      </c>
      <c r="D12" s="107">
        <f>D11/D4</f>
        <v>27.018514653531703</v>
      </c>
      <c r="E12" s="108"/>
    </row>
    <row r="13" spans="1:5" x14ac:dyDescent="0.25">
      <c r="C13" s="106" t="s">
        <v>267</v>
      </c>
      <c r="D13" s="109">
        <f>D8*D11/2</f>
        <v>0.37011663908947534</v>
      </c>
      <c r="E13" s="108"/>
    </row>
    <row r="14" spans="1:5" x14ac:dyDescent="0.25">
      <c r="C14" s="106" t="s">
        <v>268</v>
      </c>
      <c r="D14" s="110">
        <f>D5/D12</f>
        <v>0.37011657110813301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0.74023321019760835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2.3571428570628075</v>
      </c>
      <c r="I4" s="125">
        <f>SIN(RADIANS(D7))*D2</f>
        <v>1.8557687224969026</v>
      </c>
    </row>
    <row r="5" spans="1:9" x14ac:dyDescent="0.25">
      <c r="A5" s="62" t="s">
        <v>209</v>
      </c>
      <c r="H5" s="125">
        <f>H4+COS(RADIANS(D8))*D3</f>
        <v>6.9999999999689777</v>
      </c>
      <c r="I5" s="125">
        <f>I4+SIN(RADIANS(D8))*D3</f>
        <v>2.2433632729246256E-10</v>
      </c>
    </row>
    <row r="6" spans="1:9" ht="15.75" thickBot="1" x14ac:dyDescent="0.3">
      <c r="A6" s="63" t="b">
        <f>AND(F16)</f>
        <v>1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38.213210704209679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-21.786789296748118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6.9999999999689777</v>
      </c>
      <c r="D12" s="130">
        <f>D4</f>
        <v>7</v>
      </c>
      <c r="E12" s="130">
        <f>D12-C12</f>
        <v>3.1022295843285974E-11</v>
      </c>
      <c r="F12" s="130">
        <f>E12^2</f>
        <v>9.6238283938835823E-22</v>
      </c>
    </row>
    <row r="13" spans="1:9" x14ac:dyDescent="0.25">
      <c r="C13" s="130">
        <f>D2*SIN(RADIANS(D7))+D3*SIN(RADIANS(D8))</f>
        <v>2.2433632729246256E-10</v>
      </c>
      <c r="D13" s="130">
        <v>0</v>
      </c>
      <c r="E13" s="130">
        <f>C13-D13</f>
        <v>2.2433632729246256E-10</v>
      </c>
      <c r="F13" s="130">
        <f>E13^2</f>
        <v>5.032678774307088E-20</v>
      </c>
    </row>
    <row r="15" spans="1:9" x14ac:dyDescent="0.25">
      <c r="C15" s="180" t="s">
        <v>298</v>
      </c>
      <c r="D15" s="180"/>
      <c r="E15" s="180"/>
      <c r="F15" s="131">
        <f>SUM(F12:F13)</f>
        <v>5.1289170582459239E-20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2015-10-13T17:06:40Z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