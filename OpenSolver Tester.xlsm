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58" activeTab="58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HighlightingExample" sheetId="5" r:id="rId69"/>
    <sheet name="TestNewAutomodel" sheetId="40" r:id="rId70"/>
  </sheets>
  <functionGroups builtInGroupCount="18"/>
  <externalReferences>
    <externalReference r:id="rId71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Data!$L$1:$L$3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NeosBon</definedName>
    <definedName name="OpenSolver_ChosenSolver" localSheetId="27" hidden="1">NeosCBC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NeosCBC</definedName>
    <definedName name="OpenSolver_ChosenSolver" localSheetId="4" hidden="1">NeosCBC</definedName>
    <definedName name="OpenSolver_ChosenSolver" localSheetId="5" hidden="1">NeosCBC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NeosCBC</definedName>
    <definedName name="OpenSolver_ChosenSolver" localSheetId="54" hidden="1">NeosCBC</definedName>
    <definedName name="OpenSolver_ChosenSolver" localSheetId="55" hidden="1">NeosCBC</definedName>
    <definedName name="OpenSolver_ChosenSolver" localSheetId="56" hidden="1">Gurobi</definedName>
    <definedName name="OpenSolver_ChosenSolver" localSheetId="57" hidden="1">NeosBon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NeosCBC</definedName>
    <definedName name="OpenSolver_ChosenSolver" localSheetId="65" hidden="1">NeosBon</definedName>
    <definedName name="OpenSolver_ChosenSolver" localSheetId="66" hidden="1">NeosBon</definedName>
    <definedName name="OpenSolver_ChosenSolver" localSheetId="67" hidden="1">NeosCou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69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69" hidden="1">FALSE</definedName>
    <definedName name="OpenSolver_ModelParameters" localSheetId="68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8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8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8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69" hidden="1">TestNewAutomodel!$B$28:$D$28,TestNewAutomodel!$C$3:$C$5</definedName>
    <definedName name="solver_cvg" localSheetId="68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69" hidden="1">0.0001</definedName>
    <definedName name="solver_drv" localSheetId="68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69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1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69" hidden="1">2</definedName>
    <definedName name="solver_est" localSheetId="68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69" hidden="1">1</definedName>
    <definedName name="solver_itr" localSheetId="68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69" hidden="1">100</definedName>
    <definedName name="solver_lhs1" localSheetId="68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69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8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69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8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69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8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69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8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69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8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69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8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69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8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8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8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69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8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69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8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69" hidden="1">7</definedName>
    <definedName name="solver_nwt" localSheetId="68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69" hidden="1">1</definedName>
    <definedName name="solver_opt" localSheetId="68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69" hidden="1">TestNewAutomodel!$C$9</definedName>
    <definedName name="solver_pre" localSheetId="68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69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8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69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8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69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8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69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8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69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8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69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8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69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8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69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8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8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8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69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8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69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8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69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8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69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8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69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8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69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8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69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8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8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8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69" hidden="1">2</definedName>
    <definedName name="solver_sho" localSheetId="68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69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8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69" hidden="1">100</definedName>
    <definedName name="solver_tol" localSheetId="68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69" hidden="1">0.05</definedName>
    <definedName name="solver_typ" localSheetId="68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3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69" hidden="1">2</definedName>
    <definedName name="solver_val" localSheetId="68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69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 calcMode="manual"/>
</workbook>
</file>

<file path=xl/calcChain.xml><?xml version="1.0" encoding="utf-8"?>
<calcChain xmlns="http://schemas.openxmlformats.org/spreadsheetml/2006/main">
  <c r="I6" i="71" l="1"/>
  <c r="A6" i="88" l="1"/>
  <c r="F16" i="88"/>
  <c r="A9" i="88"/>
  <c r="C13" i="88"/>
  <c r="E13" i="88" s="1"/>
  <c r="F13" i="88" s="1"/>
  <c r="A6" i="87"/>
  <c r="J24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 s="1"/>
  <c r="A6" i="85" s="1"/>
  <c r="E12" i="88"/>
  <c r="F12" i="88" s="1"/>
  <c r="F15" i="88" s="1"/>
  <c r="O3" i="87"/>
  <c r="O6" i="87"/>
  <c r="P3" i="87"/>
  <c r="P6" i="87"/>
  <c r="O14" i="87"/>
  <c r="J4" i="87"/>
  <c r="O9" i="87"/>
  <c r="J2" i="87"/>
  <c r="J3" i="87"/>
  <c r="J5" i="87"/>
  <c r="P9" i="87"/>
  <c r="O12" i="87"/>
  <c r="P12" i="87"/>
  <c r="J7" i="87" l="1"/>
  <c r="A6" i="77" l="1"/>
  <c r="D24" i="77"/>
  <c r="D20" i="77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F6" i="69"/>
  <c r="H6" i="1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S13" i="75"/>
  <c r="C6" i="76"/>
  <c r="D7" i="76"/>
  <c r="B9" i="76"/>
  <c r="C10" i="76"/>
  <c r="D11" i="76"/>
  <c r="G6" i="70"/>
  <c r="G8" i="70"/>
  <c r="F4" i="68"/>
  <c r="G6" i="65"/>
  <c r="K6" i="63"/>
  <c r="H7" i="35"/>
  <c r="I6" i="66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32"/>
  <c r="H6" i="24"/>
  <c r="H6" i="22"/>
  <c r="H6" i="67"/>
  <c r="A13" i="76" l="1"/>
  <c r="B12" i="76"/>
  <c r="E4" i="76"/>
  <c r="D10" i="76"/>
  <c r="D6" i="76"/>
  <c r="H7" i="57"/>
  <c r="H5" i="38"/>
  <c r="H5" i="20"/>
  <c r="H5" i="19"/>
  <c r="I39" i="3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s="1"/>
  <c r="M9" i="57"/>
  <c r="N9" i="57"/>
</calcChain>
</file>

<file path=xl/sharedStrings.xml><?xml version="1.0" encoding="utf-8"?>
<sst xmlns="http://schemas.openxmlformats.org/spreadsheetml/2006/main" count="1785" uniqueCount="373">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</sst>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</cellStyleXfs>
  <cellXfs count="16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0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29773696"/>
        <c:axId val="329774784"/>
        <c:axId val="326098272"/>
      </c:surface3DChart>
      <c:catAx>
        <c:axId val="32977369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7478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2977478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73696"/>
        <c:crosses val="min"/>
        <c:crossBetween val="between"/>
        <c:majorUnit val="0.1"/>
      </c:valAx>
      <c:serAx>
        <c:axId val="32609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7478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0.49999853295374613</c:v>
                </c:pt>
                <c:pt idx="3">
                  <c:v>1</c:v>
                </c:pt>
                <c:pt idx="4">
                  <c:v>0.49999853295374613</c:v>
                </c:pt>
                <c:pt idx="6">
                  <c:v>1</c:v>
                </c:pt>
                <c:pt idx="7">
                  <c:v>0.4999986254183782</c:v>
                </c:pt>
                <c:pt idx="9">
                  <c:v>0</c:v>
                </c:pt>
                <c:pt idx="10">
                  <c:v>0.4999986254183782</c:v>
                </c:pt>
                <c:pt idx="12">
                  <c:v>0.49999853295374613</c:v>
                </c:pt>
                <c:pt idx="13">
                  <c:v>0.4999986254183782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60544"/>
        <c:axId val="278855648"/>
      </c:scatterChart>
      <c:valAx>
        <c:axId val="27886054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855648"/>
        <c:crosses val="autoZero"/>
        <c:crossBetween val="midCat"/>
        <c:majorUnit val="0.5"/>
      </c:valAx>
      <c:valAx>
        <c:axId val="2788556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86054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61088"/>
        <c:axId val="278858368"/>
      </c:scatterChart>
      <c:valAx>
        <c:axId val="27886108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858368"/>
        <c:crosses val="autoZero"/>
        <c:crossBetween val="midCat"/>
        <c:majorUnit val="1"/>
      </c:valAx>
      <c:valAx>
        <c:axId val="27885836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8610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59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60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61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62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3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64" name="OpenSolver 6"/>
        <xdr:cNvCxnSpPr>
          <a:stCxn id="62" idx="3"/>
          <a:endCxn id="63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65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6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7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68" name="OpenSolver 10"/>
        <xdr:cNvCxnSpPr>
          <a:stCxn id="66" idx="3"/>
          <a:endCxn id="67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69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70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1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72" name="OpenSolver 14"/>
        <xdr:cNvCxnSpPr>
          <a:stCxn id="70" idx="3"/>
          <a:endCxn id="71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73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74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5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76" name="OpenSolver 18"/>
        <xdr:cNvCxnSpPr>
          <a:stCxn id="74" idx="3"/>
          <a:endCxn id="75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77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6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47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8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49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50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51" name="OpenSolver 6"/>
        <xdr:cNvCxnSpPr>
          <a:stCxn id="49" idx="3"/>
          <a:endCxn id="50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52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53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54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55" name="OpenSolver 10"/>
        <xdr:cNvCxnSpPr>
          <a:stCxn id="53" idx="2"/>
          <a:endCxn id="54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56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0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N35" sqref="N35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1943100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C9" sqref="C9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5.2941176432322097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15.88235292969663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58.235294075554307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116.47058815110861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116.47058815110861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179.99999986989513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58">
        <v>5.2941175999999999</v>
      </c>
      <c r="F5" s="158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58">
        <v>5.2941176470588198</v>
      </c>
      <c r="F5" s="158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58">
        <v>2</v>
      </c>
      <c r="D5" s="158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58">
        <v>150</v>
      </c>
      <c r="K10" s="15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8">
        <f>SUMPRODUCT($D$5:$F$5,D10:F10)</f>
        <v>116.47058823529403</v>
      </c>
      <c r="H10" s="158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59">
        <v>5</v>
      </c>
      <c r="H10" s="159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59"/>
      <c r="H11" s="15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7" sqref="A7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120.4580152671756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0.45801526717557101</v>
      </c>
      <c r="E3" s="1">
        <v>5.0381679389313003</v>
      </c>
      <c r="F3" s="1">
        <v>0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256.9780315832412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60.000000000000014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120.4580152671756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0.45801526999999975</v>
      </c>
      <c r="E15" s="1">
        <v>5.0381679000000004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256.97802801981243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D13" sqref="D13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K9" sqref="K9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0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0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F17" sqref="F17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H20" sqref="H20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0</v>
      </c>
      <c r="F4">
        <v>0</v>
      </c>
      <c r="G4">
        <v>0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0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0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0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0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0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0</v>
      </c>
      <c r="F16" s="8" t="b">
        <f t="shared" si="0"/>
        <v>1</v>
      </c>
      <c r="G16" s="8" t="b">
        <f>ABS(G4-G15)/(1+ABS(G15))&lt;=0.000001</f>
        <v>0</v>
      </c>
      <c r="H16" s="8" t="b">
        <f t="shared" ref="H16" si="1">ABS(H4-H15)/(1+ABS(H15))&lt;=0.000001</f>
        <v>1</v>
      </c>
      <c r="I16" s="8" t="b">
        <f>ABS(I6-I15)/(1+ABS(I15))&lt;=0.000001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J28" sqref="J28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0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1" sqref="F11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1.000000000015</v>
      </c>
      <c r="D4">
        <v>1.00000000003005</v>
      </c>
      <c r="F4">
        <f>100*(D4-C4^2)^2+(1-C4)^2</f>
        <v>2.2524963775396108E-22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1</v>
      </c>
      <c r="C6">
        <v>1</v>
      </c>
      <c r="D6">
        <v>0</v>
      </c>
      <c r="E6">
        <f>SUMPRODUCT(C6:D6,$C$4:$D$4)</f>
        <v>1.000000000015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tabSelected="1" zoomScaleNormal="100" workbookViewId="0">
      <selection activeCell="H16" sqref="H16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36.092217412801197</v>
      </c>
      <c r="E5">
        <v>0.55413608898704303</v>
      </c>
    </row>
    <row r="6" spans="1:15" ht="15.75" thickBot="1" x14ac:dyDescent="0.3">
      <c r="A6" s="66" t="b">
        <f>AND(F15)</f>
        <v>1</v>
      </c>
      <c r="F6">
        <f>D5^2*E5^2</f>
        <v>400.00000799998838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20.000000199999707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36.646353501788241</v>
      </c>
      <c r="H9">
        <v>40</v>
      </c>
    </row>
    <row r="10" spans="1:15" x14ac:dyDescent="0.25">
      <c r="F10">
        <f>D5</f>
        <v>36.092217412801197</v>
      </c>
      <c r="G10" t="s">
        <v>9</v>
      </c>
      <c r="H10">
        <v>0</v>
      </c>
    </row>
    <row r="11" spans="1:15" x14ac:dyDescent="0.25">
      <c r="F11">
        <f>E5</f>
        <v>0.55413608898704303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K6" sqref="K6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K14" sqref="K14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0" sqref="S10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0.94240722656249998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0.41277465820312503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D24" sqref="D24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269</v>
      </c>
      <c r="D15">
        <v>0</v>
      </c>
      <c r="E15">
        <v>0</v>
      </c>
      <c r="F15">
        <v>200</v>
      </c>
      <c r="G15" s="89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270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F12" sqref="F12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0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</v>
      </c>
      <c r="E11" s="132"/>
    </row>
    <row r="12" spans="1:5" x14ac:dyDescent="0.25">
      <c r="C12" s="130" t="s">
        <v>336</v>
      </c>
      <c r="D12" s="131">
        <f>D11/D4</f>
        <v>0.2</v>
      </c>
      <c r="E12" s="132"/>
    </row>
    <row r="13" spans="1:5" x14ac:dyDescent="0.25">
      <c r="C13" s="130" t="s">
        <v>337</v>
      </c>
      <c r="D13" s="133">
        <f>D8*D11/2</f>
        <v>2.7397260273972603E-3</v>
      </c>
      <c r="E13" s="132"/>
    </row>
    <row r="14" spans="1:5" x14ac:dyDescent="0.25">
      <c r="C14" s="130" t="s">
        <v>338</v>
      </c>
      <c r="D14" s="135">
        <f>D5/D12</f>
        <v>50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50.0027397260274</v>
      </c>
      <c r="E16" s="132"/>
    </row>
    <row r="17" spans="3:4" x14ac:dyDescent="0.25">
      <c r="D17" s="96" t="b">
        <f>D16&lt;0.75</f>
        <v>0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3" sqref="J3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0.49999853295374613</v>
      </c>
      <c r="H2" s="139">
        <v>1.7113233039553806</v>
      </c>
      <c r="I2" s="139">
        <v>0.4999986254183782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0.49999853295374613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0.49999853295374613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0.4999986254183782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0.4999986254183782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0.49999853295374613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0.4999986254183782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F12" sqref="F12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0" t="s">
        <v>355</v>
      </c>
      <c r="D1" s="160"/>
      <c r="E1" s="160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0" t="s">
        <v>231</v>
      </c>
      <c r="D6" s="160"/>
      <c r="E6" s="160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0" t="s">
        <v>363</v>
      </c>
      <c r="D10" s="160"/>
      <c r="E10" s="160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0" t="s">
        <v>368</v>
      </c>
      <c r="D15" s="160"/>
      <c r="E15" s="160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1" t="s">
        <v>159</v>
      </c>
      <c r="C33" s="162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159</vt:i4>
      </vt:variant>
    </vt:vector>
  </HeadingPairs>
  <TitlesOfParts>
    <vt:vector size="229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2014-07-23T22:58:40Z</dcterms:modified>
</cp:coreProperties>
</file>