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1.xml" ContentType="application/vnd.openxmlformats-officedocument.drawingml.chart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harts/chart2.xml" ContentType="application/vnd.openxmlformats-officedocument.drawingml.chart+xml"/>
  <Override PartName="/xl/drawings/drawing51.xml" ContentType="application/vnd.openxmlformats-officedocument.drawing+xml"/>
  <Override PartName="/xl/charts/chart3.xml" ContentType="application/vnd.openxmlformats-officedocument.drawingml.chart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6800" windowHeight="20025" tabRatio="884" firstSheet="2" activeTab="3"/>
  </bookViews>
  <sheets>
    <sheet name="Data" sheetId="61" r:id="rId1"/>
    <sheet name="__OpenSolver__" sheetId="114" state="hidden" r:id="rId2"/>
    <sheet name="Results" sheetId="60" r:id="rId3"/>
    <sheet name="SimpleLP" sheetId="1" r:id="rId4"/>
    <sheet name="SimpleIP" sheetId="113" r:id="rId5"/>
    <sheet name="IP_SUMIF" sheetId="135" r:id="rId6"/>
    <sheet name="OverlappingVars" sheetId="22" r:id="rId7"/>
    <sheet name="BlankRHS" sheetId="24" r:id="rId8"/>
    <sheet name="BlankLHS" sheetId="32" r:id="rId9"/>
    <sheet name="TextRHS" sheetId="25" r:id="rId10"/>
    <sheet name="ErrorRHS" sheetId="26" r:id="rId11"/>
    <sheet name="ErrorLHS" sheetId="27" r:id="rId12"/>
    <sheet name="ErrorObj" sheetId="28" r:id="rId13"/>
    <sheet name="TextObj" sheetId="29" r:id="rId14"/>
    <sheet name="MergedVarsSubset" sheetId="30" r:id="rId15"/>
    <sheet name="MergedVarsOK" sheetId="31" r:id="rId16"/>
    <sheet name="MergedVarsBad" sheetId="36" r:id="rId17"/>
    <sheet name="MergedRHS_OK" sheetId="33" r:id="rId18"/>
    <sheet name="MergedLHS_OK" sheetId="34" r:id="rId19"/>
    <sheet name="MergedLHSMultiple_OK" sheetId="35" r:id="rId20"/>
    <sheet name="BinIntOverlap" sheetId="6" r:id="rId21"/>
    <sheet name="ConFormula" sheetId="8" r:id="rId22"/>
    <sheet name="ConFormulaInf" sheetId="9" r:id="rId23"/>
    <sheet name="BadName!" sheetId="10" r:id="rId24"/>
    <sheet name="EscapeSheetName(1)+2-1" sheetId="94" r:id="rId25"/>
    <sheet name="DeletedConRef" sheetId="12" r:id="rId26"/>
    <sheet name="DeletedObjRef" sheetId="55" r:id="rId27"/>
    <sheet name="InfConstConstraint" sheetId="14" r:id="rId28"/>
    <sheet name="FeasConstConstraint" sheetId="41" r:id="rId29"/>
    <sheet name="Unbounded" sheetId="111" r:id="rId30"/>
    <sheet name="ProtectedSheet" sheetId="18" r:id="rId31"/>
    <sheet name="IndirectLBs" sheetId="23" r:id="rId32"/>
    <sheet name="DirectLBs" sheetId="42" r:id="rId33"/>
    <sheet name="SingleRangeLB" sheetId="43" r:id="rId34"/>
    <sheet name="BinLB" sheetId="44" r:id="rId35"/>
    <sheet name="BinIntLB" sheetId="45" r:id="rId36"/>
    <sheet name="Relaxation" sheetId="98" r:id="rId37"/>
    <sheet name="LargeRangeLB" sheetId="46" r:id="rId38"/>
    <sheet name="OverlapRangeLB" sheetId="47" r:id="rId39"/>
    <sheet name="OverlapRangeLBwithFormula" sheetId="48" r:id="rId40"/>
    <sheet name="ConstFormulaRangeLB" sheetId="49" r:id="rId41"/>
    <sheet name="VariableFormulaRangeLB" sheetId="50" r:id="rId42"/>
    <sheet name="ConstraintLB" sheetId="51" r:id="rId43"/>
    <sheet name="ConstantLB" sheetId="52" r:id="rId44"/>
    <sheet name="FormulaLB" sheetId="53" r:id="rId45"/>
    <sheet name="VarConstraintLB" sheetId="54" r:id="rId46"/>
    <sheet name="FractionalCoeffs" sheetId="90" r:id="rId47"/>
    <sheet name="ComplexLayout" sheetId="7" r:id="rId48"/>
    <sheet name="InfModel" sheetId="11" r:id="rId49"/>
    <sheet name="IterativeCalc" sheetId="57" r:id="rId50"/>
    <sheet name="NoObj" sheetId="59" r:id="rId51"/>
    <sheet name="SeekObj" sheetId="92" r:id="rId52"/>
    <sheet name="SeekObjInf" sheetId="144" r:id="rId53"/>
    <sheet name="DiffSheetObj" sheetId="112" r:id="rId54"/>
    <sheet name="NamedRanges" sheetId="66" r:id="rId55"/>
    <sheet name="QuickSolve" sheetId="4" r:id="rId56"/>
    <sheet name="SolverParameters" sheetId="2" r:id="rId57"/>
    <sheet name="Warmstart" sheetId="155" r:id="rId58"/>
    <sheet name="Sensitivity" sheetId="65" r:id="rId59"/>
    <sheet name="SensitivityNames" sheetId="77" r:id="rId60"/>
    <sheet name="NonLinSimple" sheetId="20" r:id="rId61"/>
    <sheet name="NonLinLarge" sheetId="38" r:id="rId62"/>
    <sheet name="NonLinObj" sheetId="19" r:id="rId63"/>
    <sheet name="NonLinPruning" sheetId="69" r:id="rId64"/>
    <sheet name="NonLinMinMax" sheetId="70" r:id="rId65"/>
    <sheet name="NonLinConstraints" sheetId="71" r:id="rId66"/>
    <sheet name="NonLinBinary" sheetId="95" r:id="rId67"/>
    <sheet name="NonLin" sheetId="3" r:id="rId68"/>
    <sheet name="NonLin2" sheetId="68" r:id="rId69"/>
    <sheet name="NonLin3" sheetId="75" r:id="rId70"/>
    <sheet name="NonLin4" sheetId="85" r:id="rId71"/>
    <sheet name="NonLin5" sheetId="87" r:id="rId72"/>
    <sheet name="NonLin6" sheetId="88" r:id="rId73"/>
    <sheet name="Highlighting" sheetId="5" r:id="rId74"/>
    <sheet name="AutoModel" sheetId="40" r:id="rId75"/>
  </sheets>
  <functionGroups builtInGroupCount="18"/>
  <externalReferences>
    <externalReference r:id="rId76"/>
  </externalReferences>
  <definedNames>
    <definedName name="anscount" hidden="1">1</definedName>
    <definedName name="asdsad" localSheetId="53">#REF!</definedName>
    <definedName name="asdsad" localSheetId="5">#REF!</definedName>
    <definedName name="asdsad" localSheetId="36">#REF!</definedName>
    <definedName name="asdsad" localSheetId="52">#REF!</definedName>
    <definedName name="asdsad" localSheetId="4">#REF!</definedName>
    <definedName name="asdsad" localSheetId="29">#REF!</definedName>
    <definedName name="asdsad">#REF!</definedName>
    <definedName name="b">[1]InventoryStep!$B$4</definedName>
    <definedName name="CBCDualsNewSheet" hidden="1">FALSE</definedName>
    <definedName name="dffd" localSheetId="53">#REF!</definedName>
    <definedName name="dffd" localSheetId="24">#REF!</definedName>
    <definedName name="dffd" localSheetId="5">#REF!</definedName>
    <definedName name="dffd" localSheetId="36">#REF!</definedName>
    <definedName name="dffd" localSheetId="51">#REF!</definedName>
    <definedName name="dffd" localSheetId="52">#REF!</definedName>
    <definedName name="dffd" localSheetId="4">#REF!</definedName>
    <definedName name="dffd" localSheetId="29">#REF!</definedName>
    <definedName name="dffd">#REF!</definedName>
    <definedName name="DualsNewSheet" hidden="1">FALSE</definedName>
    <definedName name="feasibilitySolve" localSheetId="53" hidden="1">CBC (default)</definedName>
    <definedName name="feasibilitySolve" localSheetId="24" hidden="1">CBC (default)</definedName>
    <definedName name="feasibilitySolve" localSheetId="5" hidden="1">CBC (default)</definedName>
    <definedName name="feasibilitySolve" localSheetId="66" hidden="1">CBC (default)</definedName>
    <definedName name="feasibilitySolve" localSheetId="36" hidden="1">CBC (default)</definedName>
    <definedName name="feasibilitySolve" localSheetId="51" hidden="1">CBC (default)</definedName>
    <definedName name="feasibilitySolve" localSheetId="52" hidden="1">CBC (default)</definedName>
    <definedName name="feasibilitySolve" localSheetId="4" hidden="1">CBC (default)</definedName>
    <definedName name="feasibilitySolve" localSheetId="29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63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3">#REF!</definedName>
    <definedName name="Hey" localSheetId="24">#REF!</definedName>
    <definedName name="Hey" localSheetId="5">#REF!</definedName>
    <definedName name="Hey" localSheetId="66">#REF!</definedName>
    <definedName name="Hey" localSheetId="36">#REF!</definedName>
    <definedName name="Hey" localSheetId="51">#REF!</definedName>
    <definedName name="Hey" localSheetId="52">#REF!</definedName>
    <definedName name="Hey" localSheetId="4">#REF!</definedName>
    <definedName name="Hey" localSheetId="29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3">#REF!</definedName>
    <definedName name="junk" localSheetId="5">#REF!</definedName>
    <definedName name="junk" localSheetId="36">#REF!</definedName>
    <definedName name="junk" localSheetId="52">#REF!</definedName>
    <definedName name="junk" localSheetId="4">#REF!</definedName>
    <definedName name="junk" localSheetId="29">#REF!</definedName>
    <definedName name="junk">#REF!</definedName>
    <definedName name="K">[1]InventoryStep!$B$5</definedName>
    <definedName name="lll">Sensitivity!$I$9</definedName>
    <definedName name="MaximumCost" localSheetId="53">#REF!</definedName>
    <definedName name="MaximumCost" localSheetId="24">#REF!</definedName>
    <definedName name="MaximumCost" localSheetId="5">#REF!</definedName>
    <definedName name="MaximumCost" localSheetId="36">#REF!</definedName>
    <definedName name="MaximumCost" localSheetId="51">#REF!</definedName>
    <definedName name="MaximumCost" localSheetId="52">#REF!</definedName>
    <definedName name="MaximumCost" localSheetId="4">#REF!</definedName>
    <definedName name="MaximumCost" localSheetId="29">#REF!</definedName>
    <definedName name="MaximumCost">#REF!</definedName>
    <definedName name="me">2</definedName>
    <definedName name="MinValue" localSheetId="69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6" hidden="1">SolverParameters!$L$5:$M$5</definedName>
    <definedName name="OpenSolver_CBCParameters" localSheetId="56" hidden="1">SolverParameters!$C$5:$D$7</definedName>
    <definedName name="OpenSolver_ChosenSolver" localSheetId="23" hidden="1">Gurobi</definedName>
    <definedName name="OpenSolver_ChosenSolver" localSheetId="35" hidden="1">Gurobi</definedName>
    <definedName name="OpenSolver_ChosenSolver" localSheetId="20" hidden="1">Gurobi</definedName>
    <definedName name="OpenSolver_ChosenSolver" localSheetId="34" hidden="1">Gurobi</definedName>
    <definedName name="OpenSolver_ChosenSolver" localSheetId="8" hidden="1">Gurobi</definedName>
    <definedName name="OpenSolver_ChosenSolver" localSheetId="7" hidden="1">Gurobi</definedName>
    <definedName name="OpenSolver_ChosenSolver" localSheetId="47" hidden="1">Gurobi</definedName>
    <definedName name="OpenSolver_ChosenSolver" localSheetId="21" hidden="1">Gurobi</definedName>
    <definedName name="OpenSolver_ChosenSolver" localSheetId="22" hidden="1">Gurobi</definedName>
    <definedName name="OpenSolver_ChosenSolver" localSheetId="43" hidden="1">Gurobi</definedName>
    <definedName name="OpenSolver_ChosenSolver" localSheetId="40" hidden="1">Gurobi</definedName>
    <definedName name="OpenSolver_ChosenSolver" localSheetId="42" hidden="1">Gurobi</definedName>
    <definedName name="OpenSolver_ChosenSolver" localSheetId="25" hidden="1">Gurobi</definedName>
    <definedName name="OpenSolver_ChosenSolver" localSheetId="26" hidden="1">Gurobi</definedName>
    <definedName name="OpenSolver_ChosenSolver" localSheetId="53" hidden="1">Gurobi</definedName>
    <definedName name="OpenSolver_ChosenSolver" localSheetId="32" hidden="1">Gurobi</definedName>
    <definedName name="OpenSolver_ChosenSolver" localSheetId="11" hidden="1">Gurobi</definedName>
    <definedName name="OpenSolver_ChosenSolver" localSheetId="12" hidden="1">Gurobi</definedName>
    <definedName name="OpenSolver_ChosenSolver" localSheetId="10" hidden="1">Gurobi</definedName>
    <definedName name="OpenSolver_ChosenSolver" localSheetId="24" hidden="1">Gurobi</definedName>
    <definedName name="OpenSolver_ChosenSolver" localSheetId="28" hidden="1">Gurobi</definedName>
    <definedName name="OpenSolver_ChosenSolver" localSheetId="44" hidden="1">Gurobi</definedName>
    <definedName name="OpenSolver_ChosenSolver" localSheetId="46" hidden="1">Gurobi</definedName>
    <definedName name="OpenSolver_ChosenSolver" localSheetId="31" hidden="1">Gurobi</definedName>
    <definedName name="OpenSolver_ChosenSolver" localSheetId="27" hidden="1">Gurobi</definedName>
    <definedName name="OpenSolver_ChosenSolver" localSheetId="48" hidden="1">Gurobi</definedName>
    <definedName name="OpenSolver_ChosenSolver" localSheetId="5" hidden="1">Gurobi</definedName>
    <definedName name="OpenSolver_ChosenSolver" localSheetId="49" hidden="1">Gurobi</definedName>
    <definedName name="OpenSolver_ChosenSolver" localSheetId="37" hidden="1">Gurobi</definedName>
    <definedName name="OpenSolver_ChosenSolver" localSheetId="18" hidden="1">Gurobi</definedName>
    <definedName name="OpenSolver_ChosenSolver" localSheetId="19" hidden="1">Gurobi</definedName>
    <definedName name="OpenSolver_ChosenSolver" localSheetId="17" hidden="1">Gurobi</definedName>
    <definedName name="OpenSolver_ChosenSolver" localSheetId="16" hidden="1">Gurobi</definedName>
    <definedName name="OpenSolver_ChosenSolver" localSheetId="15" hidden="1">Gurobi</definedName>
    <definedName name="OpenSolver_ChosenSolver" localSheetId="14" hidden="1">Gurobi</definedName>
    <definedName name="OpenSolver_ChosenSolver" localSheetId="54" hidden="1">Gurobi</definedName>
    <definedName name="OpenSolver_ChosenSolver" localSheetId="67" hidden="1">Gurobi</definedName>
    <definedName name="OpenSolver_ChosenSolver" localSheetId="68" hidden="1">Gurobi</definedName>
    <definedName name="OpenSolver_ChosenSolver" localSheetId="69" hidden="1">Gurobi</definedName>
    <definedName name="OpenSolver_ChosenSolver" localSheetId="70" hidden="1">Gurobi</definedName>
    <definedName name="OpenSolver_ChosenSolver" localSheetId="71" hidden="1">Gurobi</definedName>
    <definedName name="OpenSolver_ChosenSolver" localSheetId="72" hidden="1">Gurobi</definedName>
    <definedName name="OpenSolver_ChosenSolver" localSheetId="66" hidden="1">Gurobi</definedName>
    <definedName name="OpenSolver_ChosenSolver" localSheetId="65" hidden="1">Gurobi</definedName>
    <definedName name="OpenSolver_ChosenSolver" localSheetId="61" hidden="1">Gurobi</definedName>
    <definedName name="OpenSolver_ChosenSolver" localSheetId="64" hidden="1">Gurobi</definedName>
    <definedName name="OpenSolver_ChosenSolver" localSheetId="62" hidden="1">Gurobi</definedName>
    <definedName name="OpenSolver_ChosenSolver" localSheetId="63" hidden="1">Gurobi</definedName>
    <definedName name="OpenSolver_ChosenSolver" localSheetId="60" hidden="1">Gurobi</definedName>
    <definedName name="OpenSolver_ChosenSolver" localSheetId="50" hidden="1">Gurobi</definedName>
    <definedName name="OpenSolver_ChosenSolver" localSheetId="6" hidden="1">Gurobi</definedName>
    <definedName name="OpenSolver_ChosenSolver" localSheetId="38" hidden="1">Gurobi</definedName>
    <definedName name="OpenSolver_ChosenSolver" localSheetId="39" hidden="1">Gurobi</definedName>
    <definedName name="OpenSolver_ChosenSolver" localSheetId="30" hidden="1">Gurobi</definedName>
    <definedName name="OpenSolver_ChosenSolver" localSheetId="55" hidden="1">Gurobi</definedName>
    <definedName name="OpenSolver_ChosenSolver" localSheetId="36" hidden="1">Gurobi</definedName>
    <definedName name="OpenSolver_ChosenSolver" localSheetId="2" hidden="1">CBC</definedName>
    <definedName name="OpenSolver_ChosenSolver" localSheetId="51" hidden="1">Gurobi</definedName>
    <definedName name="OpenSolver_ChosenSolver" localSheetId="52" hidden="1">Gurobi</definedName>
    <definedName name="OpenSolver_ChosenSolver" localSheetId="58" hidden="1">Gurobi</definedName>
    <definedName name="OpenSolver_ChosenSolver" localSheetId="59" hidden="1">Gurobi</definedName>
    <definedName name="OpenSolver_ChosenSolver" localSheetId="4" hidden="1">Gurobi</definedName>
    <definedName name="OpenSolver_ChosenSolver" localSheetId="3" hidden="1">Gurobi</definedName>
    <definedName name="OpenSolver_ChosenSolver" localSheetId="33" hidden="1">Gurobi</definedName>
    <definedName name="OpenSolver_ChosenSolver" localSheetId="56" hidden="1">Gurobi</definedName>
    <definedName name="OpenSolver_ChosenSolver" localSheetId="13" hidden="1">Gurobi</definedName>
    <definedName name="OpenSolver_ChosenSolver" localSheetId="9" hidden="1">Gurobi</definedName>
    <definedName name="OpenSolver_ChosenSolver" localSheetId="29" hidden="1">Gurobi</definedName>
    <definedName name="OpenSolver_ChosenSolver" localSheetId="45" hidden="1">Gurobi</definedName>
    <definedName name="OpenSolver_ChosenSolver" localSheetId="41" hidden="1">Gurobi</definedName>
    <definedName name="OpenSolver_ChosenSolver" localSheetId="57" hidden="1">Gurobi</definedName>
    <definedName name="OpenSolver_ConstraintList" localSheetId="5">#REF!</definedName>
    <definedName name="OpenSolver_ConstraintList" localSheetId="52">#REF!</definedName>
    <definedName name="OpenSolver_ConstraintList">#REF!</definedName>
    <definedName name="OpenSolver_CouenneParameters" localSheetId="56" hidden="1">SolverParameters!$O$5:$P$5</definedName>
    <definedName name="OpenSolver_Duals" localSheetId="58" hidden="1">Sensitivity!$K$1</definedName>
    <definedName name="OpenSolver_DualsNewSheet" localSheetId="23" hidden="1">0</definedName>
    <definedName name="OpenSolver_DualsNewSheet" localSheetId="35" hidden="1">0</definedName>
    <definedName name="OpenSolver_DualsNewSheet" localSheetId="20" hidden="1">0</definedName>
    <definedName name="OpenSolver_DualsNewSheet" localSheetId="34" hidden="1">0</definedName>
    <definedName name="OpenSolver_DualsNewSheet" localSheetId="8" hidden="1">0</definedName>
    <definedName name="OpenSolver_DualsNewSheet" localSheetId="7" hidden="1">0</definedName>
    <definedName name="OpenSolver_DualsNewSheet" localSheetId="47" hidden="1">0</definedName>
    <definedName name="OpenSolver_DualsNewSheet" localSheetId="21" hidden="1">0</definedName>
    <definedName name="OpenSolver_DualsNewSheet" localSheetId="43" hidden="1">0</definedName>
    <definedName name="OpenSolver_DualsNewSheet" localSheetId="40" hidden="1">0</definedName>
    <definedName name="OpenSolver_DualsNewSheet" localSheetId="42" hidden="1">0</definedName>
    <definedName name="OpenSolver_DualsNewSheet" localSheetId="53" hidden="1">0</definedName>
    <definedName name="OpenSolver_DualsNewSheet" localSheetId="32" hidden="1">0</definedName>
    <definedName name="OpenSolver_DualsNewSheet" localSheetId="24" hidden="1">0</definedName>
    <definedName name="OpenSolver_DualsNewSheet" localSheetId="28" hidden="1">0</definedName>
    <definedName name="OpenSolver_DualsNewSheet" localSheetId="44" hidden="1">0</definedName>
    <definedName name="OpenSolver_DualsNewSheet" localSheetId="46" hidden="1">0</definedName>
    <definedName name="OpenSolver_DualsNewSheet" localSheetId="31" hidden="1">0</definedName>
    <definedName name="OpenSolver_DualsNewSheet" localSheetId="48" hidden="1">0</definedName>
    <definedName name="OpenSolver_DualsNewSheet" localSheetId="5" hidden="1">0</definedName>
    <definedName name="OpenSolver_DualsNewSheet" localSheetId="49" hidden="1">0</definedName>
    <definedName name="OpenSolver_DualsNewSheet" localSheetId="37" hidden="1">0</definedName>
    <definedName name="OpenSolver_DualsNewSheet" localSheetId="18" hidden="1">0</definedName>
    <definedName name="OpenSolver_DualsNewSheet" localSheetId="17" hidden="1">0</definedName>
    <definedName name="OpenSolver_DualsNewSheet" localSheetId="15" hidden="1">0</definedName>
    <definedName name="OpenSolver_DualsNewSheet" localSheetId="54" hidden="1">0</definedName>
    <definedName name="OpenSolver_DualsNewSheet" localSheetId="50" hidden="1">0</definedName>
    <definedName name="OpenSolver_DualsNewSheet" localSheetId="6" hidden="1">0</definedName>
    <definedName name="OpenSolver_DualsNewSheet" localSheetId="38" hidden="1">0</definedName>
    <definedName name="OpenSolver_DualsNewSheet" localSheetId="39" hidden="1">0</definedName>
    <definedName name="OpenSolver_DualsNewSheet" localSheetId="55" hidden="1">0</definedName>
    <definedName name="OpenSolver_DualsNewSheet" localSheetId="36" hidden="1">0</definedName>
    <definedName name="OpenSolver_DualsNewSheet" localSheetId="2" hidden="1">0</definedName>
    <definedName name="OpenSolver_DualsNewSheet" localSheetId="51" hidden="1">1</definedName>
    <definedName name="OpenSolver_DualsNewSheet" localSheetId="58" hidden="1">1</definedName>
    <definedName name="OpenSolver_DualsNewSheet" localSheetId="59" hidden="1">1</definedName>
    <definedName name="OpenSolver_DualsNewSheet" localSheetId="4" hidden="1">0</definedName>
    <definedName name="OpenSolver_DualsNewSheet" localSheetId="3" hidden="1">0</definedName>
    <definedName name="OpenSolver_DualsNewSheet" localSheetId="33" hidden="1">0</definedName>
    <definedName name="OpenSolver_DualsNewSheet" localSheetId="56" hidden="1">0</definedName>
    <definedName name="OpenSolver_DualsNewSheet" localSheetId="29" hidden="1">0</definedName>
    <definedName name="OpenSolver_DualsNewSheet" localSheetId="45" hidden="1">0</definedName>
    <definedName name="OpenSolver_DualsNewSheet" localSheetId="41" hidden="1">0</definedName>
    <definedName name="OpenSolver_DualsNewSheet" localSheetId="57" hidden="1">0</definedName>
    <definedName name="OpenSolver_GurobiParameters" localSheetId="56" hidden="1">SolverParameters!$F$5:$G$5</definedName>
    <definedName name="OpenSolver_GurobiParameters" localSheetId="57" hidden="1">Warmstart!$C$20:$D$20</definedName>
    <definedName name="OpenSolver_LinearityCheck" localSheetId="23" hidden="1">1</definedName>
    <definedName name="OpenSolver_LinearityCheck" localSheetId="35" hidden="1">1</definedName>
    <definedName name="OpenSolver_LinearityCheck" localSheetId="20" hidden="1">1</definedName>
    <definedName name="OpenSolver_LinearityCheck" localSheetId="34" hidden="1">1</definedName>
    <definedName name="OpenSolver_LinearityCheck" localSheetId="8" hidden="1">1</definedName>
    <definedName name="OpenSolver_LinearityCheck" localSheetId="7" hidden="1">1</definedName>
    <definedName name="OpenSolver_LinearityCheck" localSheetId="47" hidden="1">1</definedName>
    <definedName name="OpenSolver_LinearityCheck" localSheetId="21" hidden="1">1</definedName>
    <definedName name="OpenSolver_LinearityCheck" localSheetId="22" hidden="1">1</definedName>
    <definedName name="OpenSolver_LinearityCheck" localSheetId="43" hidden="1">1</definedName>
    <definedName name="OpenSolver_LinearityCheck" localSheetId="40" hidden="1">1</definedName>
    <definedName name="OpenSolver_LinearityCheck" localSheetId="42" hidden="1">1</definedName>
    <definedName name="OpenSolver_LinearityCheck" localSheetId="25" hidden="1">1</definedName>
    <definedName name="OpenSolver_LinearityCheck" localSheetId="26" hidden="1">1</definedName>
    <definedName name="OpenSolver_LinearityCheck" localSheetId="53" hidden="1">1</definedName>
    <definedName name="OpenSolver_LinearityCheck" localSheetId="32" hidden="1">1</definedName>
    <definedName name="OpenSolver_LinearityCheck" localSheetId="11" hidden="1">1</definedName>
    <definedName name="OpenSolver_LinearityCheck" localSheetId="12" hidden="1">1</definedName>
    <definedName name="OpenSolver_LinearityCheck" localSheetId="10" hidden="1">1</definedName>
    <definedName name="OpenSolver_LinearityCheck" localSheetId="24" hidden="1">1</definedName>
    <definedName name="OpenSolver_LinearityCheck" localSheetId="28" hidden="1">1</definedName>
    <definedName name="OpenSolver_LinearityCheck" localSheetId="44" hidden="1">1</definedName>
    <definedName name="OpenSolver_LinearityCheck" localSheetId="46" hidden="1">1</definedName>
    <definedName name="OpenSolver_LinearityCheck" localSheetId="31" hidden="1">1</definedName>
    <definedName name="OpenSolver_LinearityCheck" localSheetId="27" hidden="1">1</definedName>
    <definedName name="OpenSolver_LinearityCheck" localSheetId="48" hidden="1">1</definedName>
    <definedName name="OpenSolver_LinearityCheck" localSheetId="5" hidden="1">1</definedName>
    <definedName name="OpenSolver_LinearityCheck" localSheetId="49" hidden="1">1</definedName>
    <definedName name="OpenSolver_LinearityCheck" localSheetId="37" hidden="1">1</definedName>
    <definedName name="OpenSolver_LinearityCheck" localSheetId="18" hidden="1">1</definedName>
    <definedName name="OpenSolver_LinearityCheck" localSheetId="19" hidden="1">1</definedName>
    <definedName name="OpenSolver_LinearityCheck" localSheetId="17" hidden="1">1</definedName>
    <definedName name="OpenSolver_LinearityCheck" localSheetId="16" hidden="1">1</definedName>
    <definedName name="OpenSolver_LinearityCheck" localSheetId="15" hidden="1">1</definedName>
    <definedName name="OpenSolver_LinearityCheck" localSheetId="14" hidden="1">1</definedName>
    <definedName name="OpenSolver_LinearityCheck" localSheetId="54" hidden="1">1</definedName>
    <definedName name="OpenSolver_LinearityCheck" localSheetId="67" hidden="1">1</definedName>
    <definedName name="OpenSolver_LinearityCheck" localSheetId="68" hidden="1">1</definedName>
    <definedName name="OpenSolver_LinearityCheck" localSheetId="69" hidden="1">1</definedName>
    <definedName name="OpenSolver_LinearityCheck" localSheetId="71" hidden="1">1</definedName>
    <definedName name="OpenSolver_LinearityCheck" localSheetId="72" hidden="1">1</definedName>
    <definedName name="OpenSolver_LinearityCheck" localSheetId="66" hidden="1">1</definedName>
    <definedName name="OpenSolver_LinearityCheck" localSheetId="65" hidden="1">1</definedName>
    <definedName name="OpenSolver_LinearityCheck" localSheetId="61" hidden="1">1</definedName>
    <definedName name="OpenSolver_LinearityCheck" localSheetId="64" hidden="1">1</definedName>
    <definedName name="OpenSolver_LinearityCheck" localSheetId="62" hidden="1">1</definedName>
    <definedName name="OpenSolver_LinearityCheck" localSheetId="63" hidden="1">1</definedName>
    <definedName name="OpenSolver_LinearityCheck" localSheetId="60" hidden="1">1</definedName>
    <definedName name="OpenSolver_LinearityCheck" localSheetId="50" hidden="1">1</definedName>
    <definedName name="OpenSolver_LinearityCheck" localSheetId="6" hidden="1">1</definedName>
    <definedName name="OpenSolver_LinearityCheck" localSheetId="38" hidden="1">1</definedName>
    <definedName name="OpenSolver_LinearityCheck" localSheetId="39" hidden="1">1</definedName>
    <definedName name="OpenSolver_LinearityCheck" localSheetId="30" hidden="1">1</definedName>
    <definedName name="OpenSolver_LinearityCheck" localSheetId="55" hidden="1">1</definedName>
    <definedName name="OpenSolver_LinearityCheck" localSheetId="36" hidden="1">1</definedName>
    <definedName name="OpenSolver_LinearityCheck" localSheetId="2" hidden="1">1</definedName>
    <definedName name="OpenSolver_LinearityCheck" localSheetId="51" hidden="1">1</definedName>
    <definedName name="OpenSolver_LinearityCheck" localSheetId="52" hidden="1">1</definedName>
    <definedName name="OpenSolver_LinearityCheck" localSheetId="58" hidden="1">1</definedName>
    <definedName name="OpenSolver_LinearityCheck" localSheetId="59" hidden="1">1</definedName>
    <definedName name="OpenSolver_LinearityCheck" localSheetId="4" hidden="1">1</definedName>
    <definedName name="OpenSolver_LinearityCheck" localSheetId="3" hidden="1">1</definedName>
    <definedName name="OpenSolver_LinearityCheck" localSheetId="33" hidden="1">1</definedName>
    <definedName name="OpenSolver_LinearityCheck" localSheetId="56" hidden="1">1</definedName>
    <definedName name="OpenSolver_LinearityCheck" localSheetId="13" hidden="1">1</definedName>
    <definedName name="OpenSolver_LinearityCheck" localSheetId="9" hidden="1">1</definedName>
    <definedName name="OpenSolver_LinearityCheck" localSheetId="29" hidden="1">1</definedName>
    <definedName name="OpenSolver_LinearityCheck" localSheetId="45" hidden="1">1</definedName>
    <definedName name="OpenSolver_LinearityCheck" localSheetId="41" hidden="1">1</definedName>
    <definedName name="OpenSolver_LinearityCheck" localSheetId="57" hidden="1">1</definedName>
    <definedName name="OpenSolver_ModelParameters">SimpleLP!$O$7:$P$7</definedName>
    <definedName name="OpenSolver_NeosBonParameters" localSheetId="56" hidden="1">SolverParameters!$U$5:$V$5</definedName>
    <definedName name="OpenSolver_NeosCBCParameters" localSheetId="56" hidden="1">SolverParameters!$I$5:$J$7</definedName>
    <definedName name="OpenSolver_NeosCouParameters" localSheetId="56" hidden="1">SolverParameters!$X$5:$Y$5</definedName>
    <definedName name="OpenSolver_NOMADParameters" localSheetId="56" hidden="1">SolverParameters!$R$5:$S$5</definedName>
    <definedName name="OpenSolver_UpdateSensitivity" localSheetId="2" hidden="1">1</definedName>
    <definedName name="OpenSolver_UpdateSensitivity" localSheetId="51" hidden="1">1</definedName>
    <definedName name="OpenSolver_UpdateSensitivity" localSheetId="58" hidden="1">1</definedName>
    <definedName name="OpenSolver_UpdateSensitivity" localSheetId="59" hidden="1">1</definedName>
    <definedName name="OpenSolverModelParameters" localSheetId="55" hidden="1">QuickSolve!$O$7:$P$7</definedName>
    <definedName name="OpenSolverResult">Data!$A$1:$A$7</definedName>
    <definedName name="OpenSolverResultCodes">Data!$A$1:$B$7</definedName>
    <definedName name="p" localSheetId="53">#REF!</definedName>
    <definedName name="p" localSheetId="24">#REF!</definedName>
    <definedName name="p" localSheetId="5">#REF!</definedName>
    <definedName name="p" localSheetId="36">#REF!</definedName>
    <definedName name="p" localSheetId="51">#REF!</definedName>
    <definedName name="p" localSheetId="52">#REF!</definedName>
    <definedName name="p" localSheetId="4">#REF!</definedName>
    <definedName name="p" localSheetId="29">#REF!</definedName>
    <definedName name="p">#REF!</definedName>
    <definedName name="q" localSheetId="53">#REF!</definedName>
    <definedName name="q" localSheetId="24">#REF!</definedName>
    <definedName name="q" localSheetId="5">#REF!</definedName>
    <definedName name="q" localSheetId="36">#REF!</definedName>
    <definedName name="q" localSheetId="51">#REF!</definedName>
    <definedName name="q" localSheetId="52">#REF!</definedName>
    <definedName name="q" localSheetId="4">#REF!</definedName>
    <definedName name="q" localSheetId="29">#REF!</definedName>
    <definedName name="q">#REF!</definedName>
    <definedName name="s" localSheetId="53">#REF!</definedName>
    <definedName name="s" localSheetId="24">#REF!</definedName>
    <definedName name="s" localSheetId="5">#REF!</definedName>
    <definedName name="s" localSheetId="36">#REF!</definedName>
    <definedName name="s" localSheetId="51">#REF!</definedName>
    <definedName name="s" localSheetId="52">#REF!</definedName>
    <definedName name="s" localSheetId="4">#REF!</definedName>
    <definedName name="s" localSheetId="29">#REF!</definedName>
    <definedName name="s">#REF!</definedName>
    <definedName name="Scale" localSheetId="23">'BadName!'!$O$8</definedName>
    <definedName name="Scale" localSheetId="35">BinIntLB!$O$10</definedName>
    <definedName name="Scale" localSheetId="20">BinIntOverlap!$P$7</definedName>
    <definedName name="Scale" localSheetId="34">BinLB!$O$10</definedName>
    <definedName name="Scale" localSheetId="8">BlankLHS!$O$7</definedName>
    <definedName name="Scale" localSheetId="7">BlankRHS!$O$7</definedName>
    <definedName name="Scale" localSheetId="47">ComplexLayout!$O$7</definedName>
    <definedName name="Scale" localSheetId="21">ConFormula!$O$8</definedName>
    <definedName name="Scale" localSheetId="22">ConFormulaInf!$O$8</definedName>
    <definedName name="Scale" localSheetId="43">ConstantLB!$O$10</definedName>
    <definedName name="Scale" localSheetId="40">ConstFormulaRangeLB!$O$9</definedName>
    <definedName name="Scale" localSheetId="42">ConstraintLB!$O$10</definedName>
    <definedName name="Scale" localSheetId="25">DeletedConRef!$O$8</definedName>
    <definedName name="Scale" localSheetId="26">DeletedObjRef!$O$8</definedName>
    <definedName name="Scale" localSheetId="11">ErrorLHS!$O$7</definedName>
    <definedName name="Scale" localSheetId="12">ErrorObj!$O$7</definedName>
    <definedName name="Scale" localSheetId="10">ErrorRHS!$O$7</definedName>
    <definedName name="Scale" localSheetId="24">'EscapeSheetName(1)+2-1'!$O$7</definedName>
    <definedName name="Scale" localSheetId="28">FeasConstConstraint!$Q$7</definedName>
    <definedName name="Scale" localSheetId="44">FormulaLB!$O$10</definedName>
    <definedName name="Scale" localSheetId="73">Highlighting!$P$6</definedName>
    <definedName name="Scale" localSheetId="31">IndirectLBs!$O$9</definedName>
    <definedName name="Scale" localSheetId="27">InfConstConstraint!$Q$7</definedName>
    <definedName name="Scale" localSheetId="48">InfModel!$O$8</definedName>
    <definedName name="Scale" localSheetId="5">IP_SUMIF!$O$7</definedName>
    <definedName name="Scale" localSheetId="49">IterativeCalc!$O$8</definedName>
    <definedName name="Scale" localSheetId="37">LargeRangeLB!$O$11</definedName>
    <definedName name="Scale" localSheetId="18">MergedLHS_OK!$O$8</definedName>
    <definedName name="Scale" localSheetId="19">MergedLHSMultiple_OK!$O$8</definedName>
    <definedName name="Scale" localSheetId="17">MergedRHS_OK!$O$8</definedName>
    <definedName name="Scale" localSheetId="16">MergedVarsBad!$O$8</definedName>
    <definedName name="Scale" localSheetId="15">MergedVarsOK!$O$8</definedName>
    <definedName name="Scale" localSheetId="14">MergedVarsSubset!$O$8</definedName>
    <definedName name="Scale" localSheetId="66">#REF!</definedName>
    <definedName name="Scale" localSheetId="50">NoObj!#REF!</definedName>
    <definedName name="Scale" localSheetId="6">OverlappingVars!$O$7</definedName>
    <definedName name="Scale" localSheetId="38">OverlapRangeLB!$O$11</definedName>
    <definedName name="Scale" localSheetId="39">OverlapRangeLBwithFormula!$O$11</definedName>
    <definedName name="Scale" localSheetId="30">ProtectedSheet!$O$7</definedName>
    <definedName name="Scale" localSheetId="55">QuickSolve!$O$7</definedName>
    <definedName name="Scale" localSheetId="36">Relaxation!$O$10</definedName>
    <definedName name="Scale" localSheetId="4">SimpleIP!$O$7</definedName>
    <definedName name="Scale" localSheetId="33">SingleRangeLB!$O$9</definedName>
    <definedName name="Scale" localSheetId="13">TextObj!$O$7</definedName>
    <definedName name="Scale" localSheetId="9">TextRHS!$O$7</definedName>
    <definedName name="Scale" localSheetId="29">Unbounded!$O$7</definedName>
    <definedName name="Scale" localSheetId="45">VarConstraintLB!$O$10</definedName>
    <definedName name="Scale" localSheetId="41">VariableFormulaRangeLB!$O$10</definedName>
    <definedName name="Scale">SimpleLP!$O$7</definedName>
    <definedName name="scale2" localSheetId="53">#REF!</definedName>
    <definedName name="scale2" localSheetId="5">#REF!</definedName>
    <definedName name="scale2" localSheetId="36">#REF!</definedName>
    <definedName name="scale2" localSheetId="52">#REF!</definedName>
    <definedName name="scale2" localSheetId="4">#REF!</definedName>
    <definedName name="scale2" localSheetId="29">#REF!</definedName>
    <definedName name="scale2">#REF!</definedName>
    <definedName name="sencount" hidden="1">1</definedName>
    <definedName name="Sheet1OpenSolverModelParameters" localSheetId="23">'BadName!'!$K$6:$K$6</definedName>
    <definedName name="Sheet1OpenSolverModelParameters" localSheetId="35">BinIntLB!$K$8:$K$8</definedName>
    <definedName name="Sheet1OpenSolverModelParameters" localSheetId="20">BinIntOverlap!$L$5:$L$5</definedName>
    <definedName name="Sheet1OpenSolverModelParameters" localSheetId="34">BinLB!$K$8:$K$8</definedName>
    <definedName name="Sheet1OpenSolverModelParameters" localSheetId="8">BlankLHS!$K$5:$K$5</definedName>
    <definedName name="Sheet1OpenSolverModelParameters" localSheetId="7">BlankRHS!$K$5:$K$5</definedName>
    <definedName name="Sheet1OpenSolverModelParameters" localSheetId="47">ComplexLayout!#REF!</definedName>
    <definedName name="Sheet1OpenSolverModelParameters" localSheetId="21">ConFormula!#REF!</definedName>
    <definedName name="Sheet1OpenSolverModelParameters" localSheetId="22">ConFormulaInf!#REF!</definedName>
    <definedName name="Sheet1OpenSolverModelParameters" localSheetId="43">ConstantLB!$K$8:$K$8</definedName>
    <definedName name="Sheet1OpenSolverModelParameters" localSheetId="40">ConstFormulaRangeLB!$K$7:$K$7</definedName>
    <definedName name="Sheet1OpenSolverModelParameters" localSheetId="42">ConstraintLB!$K$8:$K$8</definedName>
    <definedName name="Sheet1OpenSolverModelParameters" localSheetId="25">DeletedConRef!$K$6:$K$6</definedName>
    <definedName name="Sheet1OpenSolverModelParameters" localSheetId="26">DeletedObjRef!$K$6:$K$6</definedName>
    <definedName name="Sheet1OpenSolverModelParameters" localSheetId="11">ErrorLHS!$K$5:$K$5</definedName>
    <definedName name="Sheet1OpenSolverModelParameters" localSheetId="12">ErrorObj!$K$5:$K$5</definedName>
    <definedName name="Sheet1OpenSolverModelParameters" localSheetId="10">ErrorRHS!$K$5:$K$5</definedName>
    <definedName name="Sheet1OpenSolverModelParameters" localSheetId="24">'EscapeSheetName(1)+2-1'!$K$5:$K$5</definedName>
    <definedName name="Sheet1OpenSolverModelParameters" localSheetId="28">FeasConstConstraint!$M$5:$M$5</definedName>
    <definedName name="Sheet1OpenSolverModelParameters" localSheetId="44">FormulaLB!$K$8:$K$8</definedName>
    <definedName name="Sheet1OpenSolverModelParameters" localSheetId="73">Highlighting!$L$4:$L$4</definedName>
    <definedName name="Sheet1OpenSolverModelParameters" localSheetId="31">IndirectLBs!$K$7:$K$7</definedName>
    <definedName name="Sheet1OpenSolverModelParameters" localSheetId="27">InfConstConstraint!$M$5:$M$5</definedName>
    <definedName name="Sheet1OpenSolverModelParameters" localSheetId="48">InfModel!$K$6:$K$6</definedName>
    <definedName name="Sheet1OpenSolverModelParameters" localSheetId="5">IP_SUMIF!$K$5:$K$5</definedName>
    <definedName name="Sheet1OpenSolverModelParameters" localSheetId="49">IterativeCalc!$K$6:$K$6</definedName>
    <definedName name="Sheet1OpenSolverModelParameters" localSheetId="37">LargeRangeLB!$K$9:$K$9</definedName>
    <definedName name="Sheet1OpenSolverModelParameters" localSheetId="18">MergedLHS_OK!$K$6:$K$6</definedName>
    <definedName name="Sheet1OpenSolverModelParameters" localSheetId="19">MergedLHSMultiple_OK!$K$6:$K$6</definedName>
    <definedName name="Sheet1OpenSolverModelParameters" localSheetId="17">MergedRHS_OK!$K$6:$K$6</definedName>
    <definedName name="Sheet1OpenSolverModelParameters" localSheetId="16">MergedVarsBad!$K$6:$K$6</definedName>
    <definedName name="Sheet1OpenSolverModelParameters" localSheetId="15">MergedVarsOK!$K$6:$K$6</definedName>
    <definedName name="Sheet1OpenSolverModelParameters" localSheetId="14">MergedVarsSubset!$K$6:$K$6</definedName>
    <definedName name="Sheet1OpenSolverModelParameters" localSheetId="66">#REF!</definedName>
    <definedName name="Sheet1OpenSolverModelParameters" localSheetId="50">NoObj!$K$6:$K$6</definedName>
    <definedName name="Sheet1OpenSolverModelParameters" localSheetId="6">OverlappingVars!$K$5:$K$5</definedName>
    <definedName name="Sheet1OpenSolverModelParameters" localSheetId="38">OverlapRangeLB!$K$9:$K$9</definedName>
    <definedName name="Sheet1OpenSolverModelParameters" localSheetId="39">OverlapRangeLBwithFormula!$K$9:$K$9</definedName>
    <definedName name="Sheet1OpenSolverModelParameters" localSheetId="30">ProtectedSheet!$K$5:$K$5</definedName>
    <definedName name="Sheet1OpenSolverModelParameters" localSheetId="55">QuickSolve!$K$5:$K$5</definedName>
    <definedName name="Sheet1OpenSolverModelParameters" localSheetId="36">Relaxation!$K$8:$K$8</definedName>
    <definedName name="Sheet1OpenSolverModelParameters" localSheetId="4">SimpleIP!$K$5:$K$5</definedName>
    <definedName name="Sheet1OpenSolverModelParameters" localSheetId="33">SingleRangeLB!$K$7:$K$7</definedName>
    <definedName name="Sheet1OpenSolverModelParameters" localSheetId="13">TextObj!$K$5:$K$5</definedName>
    <definedName name="Sheet1OpenSolverModelParameters" localSheetId="9">TextRHS!$K$5:$K$5</definedName>
    <definedName name="Sheet1OpenSolverModelParameters" localSheetId="29">Unbounded!$K$5:$K$5</definedName>
    <definedName name="Sheet1OpenSolverModelParameters" localSheetId="45">VarConstraintLB!$K$8:$K$8</definedName>
    <definedName name="Sheet1OpenSolverModelParameters" localSheetId="41">VariableFormulaRangeLB!$K$8:$K$8</definedName>
    <definedName name="Sheet1OpenSolverModelParameters">SimpleLP!$K$5:$K$5</definedName>
    <definedName name="Solver" localSheetId="53" hidden="1">CBC (default)</definedName>
    <definedName name="Solver" localSheetId="24" hidden="1">CBC (default)</definedName>
    <definedName name="Solver" localSheetId="5" hidden="1">CBC (default)</definedName>
    <definedName name="Solver" localSheetId="66" hidden="1">CBC (default)</definedName>
    <definedName name="Solver" localSheetId="36" hidden="1">CBC (default)</definedName>
    <definedName name="Solver" localSheetId="51" hidden="1">CBC (default)</definedName>
    <definedName name="Solver" localSheetId="52" hidden="1">CBC (default)</definedName>
    <definedName name="Solver" localSheetId="4" hidden="1">CBC (default)</definedName>
    <definedName name="Solver" localSheetId="29" hidden="1">CBC (default)</definedName>
    <definedName name="Solver" hidden="1">CBC (default)</definedName>
    <definedName name="solver_adj" localSheetId="23" hidden="1">'BadName!'!$D$5:$F$5</definedName>
    <definedName name="solver_adj" localSheetId="35" hidden="1">BinIntLB!$D$5:$F$5</definedName>
    <definedName name="solver_adj" localSheetId="20" hidden="1">BinIntOverlap!$D$4:$G$4</definedName>
    <definedName name="solver_adj" localSheetId="34" hidden="1">BinLB!$D$5:$F$5</definedName>
    <definedName name="solver_adj" localSheetId="8" hidden="1">BlankLHS!$D$4:$F$4</definedName>
    <definedName name="solver_adj" localSheetId="7" hidden="1">BlankRHS!$D$4:$F$4</definedName>
    <definedName name="solver_adj" localSheetId="47" hidden="1">ComplexLayout!$D$4:$G$4,ComplexLayout!$Q$3:$R$4,ComplexLayout!$N$3:$N$4</definedName>
    <definedName name="solver_adj" localSheetId="21" hidden="1">ConFormula!$D$5:$G$5,ConFormula!$Q$4:$R$5,ConFormula!$N$4:$N$5</definedName>
    <definedName name="solver_adj" localSheetId="22" hidden="1">ConFormulaInf!$D$5:$G$5,ConFormulaInf!$Q$4:$R$5,ConFormulaInf!$N$4:$N$5</definedName>
    <definedName name="solver_adj" localSheetId="43" hidden="1">ConstantLB!$D$5:$F$5</definedName>
    <definedName name="solver_adj" localSheetId="40" hidden="1">ConstFormulaRangeLB!$D$4:$F$4</definedName>
    <definedName name="solver_adj" localSheetId="42" hidden="1">ConstraintLB!$D$5:$F$5</definedName>
    <definedName name="solver_adj" localSheetId="25" hidden="1">DeletedConRef!$D$5:$F$5</definedName>
    <definedName name="solver_adj" localSheetId="26" hidden="1">DeletedObjRef!$D$5:$F$5</definedName>
    <definedName name="solver_adj" localSheetId="53" hidden="1">DiffSheetObj!$D$2:$F$2</definedName>
    <definedName name="solver_adj" localSheetId="32" hidden="1">DirectLBs!$D$4:$F$4</definedName>
    <definedName name="solver_adj" localSheetId="11" hidden="1">ErrorLHS!$D$4:$F$4</definedName>
    <definedName name="solver_adj" localSheetId="12" hidden="1">ErrorObj!$D$4:$F$4</definedName>
    <definedName name="solver_adj" localSheetId="10" hidden="1">ErrorRHS!$D$4:$F$4</definedName>
    <definedName name="solver_adj" localSheetId="24" hidden="1">'EscapeSheetName(1)+2-1'!$D$4:$F$4</definedName>
    <definedName name="solver_adj" localSheetId="28" hidden="1">FeasConstConstraint!$D$4:$F$4</definedName>
    <definedName name="solver_adj" localSheetId="44" hidden="1">FormulaLB!$D$5:$F$5</definedName>
    <definedName name="solver_adj" localSheetId="46" hidden="1">FractionalCoeffs!$D$2:$F$2</definedName>
    <definedName name="solver_adj" localSheetId="31" hidden="1">IndirectLBs!$D$5:$F$5</definedName>
    <definedName name="solver_adj" localSheetId="27" hidden="1">InfConstConstraint!$D$4:$F$4</definedName>
    <definedName name="solver_adj" localSheetId="48" hidden="1">InfModel!$D$5:$F$5</definedName>
    <definedName name="solver_adj" localSheetId="5" hidden="1">IP_SUMIF!$E$5:$E$7</definedName>
    <definedName name="solver_adj" localSheetId="49" hidden="1">IterativeCalc!$D$5:$F$5</definedName>
    <definedName name="solver_adj" localSheetId="37" hidden="1">LargeRangeLB!$D$6:$F$6</definedName>
    <definedName name="solver_adj" localSheetId="18" hidden="1">MergedLHS_OK!$D$5:$E$5</definedName>
    <definedName name="solver_adj" localSheetId="19" hidden="1">MergedLHSMultiple_OK!$D$5:$F$5</definedName>
    <definedName name="solver_adj" localSheetId="17" hidden="1">MergedRHS_OK!$D$5:$E$5</definedName>
    <definedName name="solver_adj" localSheetId="16" hidden="1">MergedVarsBad!$D$5:$F$5</definedName>
    <definedName name="solver_adj" localSheetId="15" hidden="1">MergedVarsOK!$D$5:$E$5</definedName>
    <definedName name="solver_adj" localSheetId="14" hidden="1">MergedVarsSubset!$D$5:$F$5</definedName>
    <definedName name="solver_adj" localSheetId="54" hidden="1">NamedRanges!$D$4:$H$4</definedName>
    <definedName name="solver_adj" localSheetId="67" hidden="1">NonLin!$D$3:$D$35</definedName>
    <definedName name="solver_adj" localSheetId="68" hidden="1">NonLin2!$C$4:$D$4</definedName>
    <definedName name="solver_adj" localSheetId="69" hidden="1">NonLin3!$S$10:$S$11</definedName>
    <definedName name="solver_adj" localSheetId="70" hidden="1">NonLin4!$D$11</definedName>
    <definedName name="solver_adj" localSheetId="71" hidden="1">NonLin5!$F$2:$I$2</definedName>
    <definedName name="solver_adj" localSheetId="72" hidden="1">NonLin6!$D$7:$D$8</definedName>
    <definedName name="solver_adj" localSheetId="66" hidden="1">NonLinBinary!$C$4:$D$4</definedName>
    <definedName name="solver_adj" localSheetId="65" hidden="1">NonLinConstraints!$D$5:$H$5</definedName>
    <definedName name="solver_adj" localSheetId="61" hidden="1">NonLinLarge!$D$3:$F$3</definedName>
    <definedName name="solver_adj" localSheetId="64" hidden="1">NonLinMinMax!$D$4:$F$4</definedName>
    <definedName name="solver_adj" localSheetId="62" hidden="1">NonLinObj!$D$3:$F$3</definedName>
    <definedName name="solver_adj" localSheetId="63" hidden="1">NonLinPruning!$D$5:$E$5</definedName>
    <definedName name="solver_adj" localSheetId="60" hidden="1">NonLinSimple!$D$3:$F$3</definedName>
    <definedName name="solver_adj" localSheetId="50" hidden="1">NoObj!$D$5:$F$5</definedName>
    <definedName name="solver_adj" localSheetId="6" hidden="1">OverlappingVars!$D$4:$E$4,OverlappingVars!$E$4:$F$4</definedName>
    <definedName name="solver_adj" localSheetId="38" hidden="1">OverlapRangeLB!$D$6:$F$6</definedName>
    <definedName name="solver_adj" localSheetId="39" hidden="1">OverlapRangeLBwithFormula!$D$6:$F$6</definedName>
    <definedName name="solver_adj" localSheetId="30" hidden="1">ProtectedSheet!$D$4:$F$4</definedName>
    <definedName name="solver_adj" localSheetId="55" hidden="1">QuickSolve!$D$4:$F$4</definedName>
    <definedName name="solver_adj" localSheetId="36" hidden="1">Relaxation!$D$5:$F$5</definedName>
    <definedName name="solver_adj" localSheetId="51" hidden="1">SeekObj!$D$2:$F$2</definedName>
    <definedName name="solver_adj" localSheetId="52" hidden="1">SeekObjInf!$D$2:$F$2</definedName>
    <definedName name="solver_adj" localSheetId="58" hidden="1">Sensitivity!$D$4:$F$4</definedName>
    <definedName name="solver_adj" localSheetId="59" hidden="1">SensitivityNames!$J$21,SensitivityNames!$D$14:$H$16</definedName>
    <definedName name="solver_adj" localSheetId="4" hidden="1">SimpleIP!$E$5:$E$7</definedName>
    <definedName name="solver_adj" localSheetId="3" hidden="1">SimpleLP!$D$4:$F$4</definedName>
    <definedName name="solver_adj" localSheetId="33" hidden="1">SingleRangeLB!$D$4:$F$4</definedName>
    <definedName name="solver_adj" localSheetId="56" hidden="1">SolverParameters!$D$13:$F$13</definedName>
    <definedName name="solver_adj" localSheetId="13" hidden="1">TextObj!$D$4:$F$4</definedName>
    <definedName name="solver_adj" localSheetId="9" hidden="1">TextRHS!$D$4:$F$4</definedName>
    <definedName name="solver_adj" localSheetId="29" hidden="1">Unbounded!$D$4:$F$4</definedName>
    <definedName name="solver_adj" localSheetId="45" hidden="1">VarConstraintLB!$D$5:$F$5</definedName>
    <definedName name="solver_adj" localSheetId="41" hidden="1">VariableFormulaRangeLB!$D$5:$F$5</definedName>
    <definedName name="solver_adj" localSheetId="57" hidden="1">Warmstart!$D$1:$UE$1,Warmstart!$C$23:$C$24</definedName>
    <definedName name="solver_cvg" localSheetId="23" hidden="1">0.0001</definedName>
    <definedName name="solver_cvg" localSheetId="5" hidden="1">0.0001</definedName>
    <definedName name="solver_cvg" localSheetId="70" hidden="1">0.0001</definedName>
    <definedName name="solver_cvg" localSheetId="72" hidden="1">0.0001</definedName>
    <definedName name="solver_cvg" localSheetId="61" hidden="1">0.0001</definedName>
    <definedName name="solver_cvg" localSheetId="2" hidden="1">0.0001</definedName>
    <definedName name="solver_cvg" localSheetId="52" hidden="1">0.0001</definedName>
    <definedName name="solver_cvg" localSheetId="59" hidden="1">0.0001</definedName>
    <definedName name="solver_cvg" localSheetId="3" hidden="1">0.0001</definedName>
    <definedName name="solver_cvg" localSheetId="57" hidden="1">0.001</definedName>
    <definedName name="solver_drv" localSheetId="23" hidden="1">1</definedName>
    <definedName name="solver_drv" localSheetId="5" hidden="1">1</definedName>
    <definedName name="solver_drv" localSheetId="70" hidden="1">1</definedName>
    <definedName name="solver_drv" localSheetId="72" hidden="1">1</definedName>
    <definedName name="solver_drv" localSheetId="61" hidden="1">1</definedName>
    <definedName name="solver_drv" localSheetId="2" hidden="1">1</definedName>
    <definedName name="solver_drv" localSheetId="52" hidden="1">1</definedName>
    <definedName name="solver_drv" localSheetId="59" hidden="1">1</definedName>
    <definedName name="solver_drv" localSheetId="3" hidden="1">1</definedName>
    <definedName name="solver_drv" localSheetId="57" hidden="1">1</definedName>
    <definedName name="solver_est" localSheetId="23" hidden="1">1</definedName>
    <definedName name="solver_est" localSheetId="5" hidden="1">1</definedName>
    <definedName name="solver_est" localSheetId="70" hidden="1">1</definedName>
    <definedName name="solver_est" localSheetId="72" hidden="1">1</definedName>
    <definedName name="solver_est" localSheetId="61" hidden="1">1</definedName>
    <definedName name="solver_est" localSheetId="2" hidden="1">1</definedName>
    <definedName name="solver_est" localSheetId="52" hidden="1">1</definedName>
    <definedName name="solver_est" localSheetId="59" hidden="1">1</definedName>
    <definedName name="solver_est" localSheetId="3" hidden="1">1</definedName>
    <definedName name="solver_est" localSheetId="57" hidden="1">1</definedName>
    <definedName name="solver_itr" localSheetId="23" hidden="1">2147483647</definedName>
    <definedName name="solver_itr" localSheetId="35" hidden="1">2147483647</definedName>
    <definedName name="solver_itr" localSheetId="20" hidden="1">2147483647</definedName>
    <definedName name="solver_itr" localSheetId="34" hidden="1">2147483647</definedName>
    <definedName name="solver_itr" localSheetId="8" hidden="1">2147483647</definedName>
    <definedName name="solver_itr" localSheetId="7" hidden="1">2147483647</definedName>
    <definedName name="solver_itr" localSheetId="47" hidden="1">2147483647</definedName>
    <definedName name="solver_itr" localSheetId="21" hidden="1">2147483647</definedName>
    <definedName name="solver_itr" localSheetId="22" hidden="1">2147483647</definedName>
    <definedName name="solver_itr" localSheetId="43" hidden="1">2147483647</definedName>
    <definedName name="solver_itr" localSheetId="40" hidden="1">2147483647</definedName>
    <definedName name="solver_itr" localSheetId="42" hidden="1">2147483647</definedName>
    <definedName name="solver_itr" localSheetId="25" hidden="1">2147483647</definedName>
    <definedName name="solver_itr" localSheetId="53" hidden="1">2147483647</definedName>
    <definedName name="solver_itr" localSheetId="32" hidden="1">2147483647</definedName>
    <definedName name="solver_itr" localSheetId="11" hidden="1">2147483647</definedName>
    <definedName name="solver_itr" localSheetId="10" hidden="1">2147483647</definedName>
    <definedName name="solver_itr" localSheetId="24" hidden="1">2147483647</definedName>
    <definedName name="solver_itr" localSheetId="28" hidden="1">2147483647</definedName>
    <definedName name="solver_itr" localSheetId="44" hidden="1">2147483647</definedName>
    <definedName name="solver_itr" localSheetId="46" hidden="1">2147483647</definedName>
    <definedName name="solver_itr" localSheetId="31" hidden="1">2147483647</definedName>
    <definedName name="solver_itr" localSheetId="27" hidden="1">2147483647</definedName>
    <definedName name="solver_itr" localSheetId="48" hidden="1">2147483647</definedName>
    <definedName name="solver_itr" localSheetId="5" hidden="1">2147483647</definedName>
    <definedName name="solver_itr" localSheetId="49" hidden="1">2147483647</definedName>
    <definedName name="solver_itr" localSheetId="37" hidden="1">2147483647</definedName>
    <definedName name="solver_itr" localSheetId="18" hidden="1">2147483647</definedName>
    <definedName name="solver_itr" localSheetId="19" hidden="1">2147483647</definedName>
    <definedName name="solver_itr" localSheetId="17" hidden="1">2147483647</definedName>
    <definedName name="solver_itr" localSheetId="15" hidden="1">2147483647</definedName>
    <definedName name="solver_itr" localSheetId="54" hidden="1">2147483647</definedName>
    <definedName name="solver_itr" localSheetId="67" hidden="1">2147483647</definedName>
    <definedName name="solver_itr" localSheetId="68" hidden="1">2147483647</definedName>
    <definedName name="solver_itr" localSheetId="69" hidden="1">2147483647</definedName>
    <definedName name="solver_itr" localSheetId="71" hidden="1">2147483647</definedName>
    <definedName name="solver_itr" localSheetId="72" hidden="1">2147483647</definedName>
    <definedName name="solver_itr" localSheetId="66" hidden="1">2147483647</definedName>
    <definedName name="solver_itr" localSheetId="65" hidden="1">2147483647</definedName>
    <definedName name="solver_itr" localSheetId="61" hidden="1">2147483647</definedName>
    <definedName name="solver_itr" localSheetId="64" hidden="1">2147483647</definedName>
    <definedName name="solver_itr" localSheetId="62" hidden="1">2147483647</definedName>
    <definedName name="solver_itr" localSheetId="63" hidden="1">2147483647</definedName>
    <definedName name="solver_itr" localSheetId="60" hidden="1">2147483647</definedName>
    <definedName name="solver_itr" localSheetId="50" hidden="1">2147483647</definedName>
    <definedName name="solver_itr" localSheetId="6" hidden="1">2147483647</definedName>
    <definedName name="solver_itr" localSheetId="38" hidden="1">2147483647</definedName>
    <definedName name="solver_itr" localSheetId="39" hidden="1">2147483647</definedName>
    <definedName name="solver_itr" localSheetId="55" hidden="1">2147483647</definedName>
    <definedName name="solver_itr" localSheetId="36" hidden="1">2147483647</definedName>
    <definedName name="solver_itr" localSheetId="2" hidden="1">999999999</definedName>
    <definedName name="solver_itr" localSheetId="51" hidden="1">2147483647</definedName>
    <definedName name="solver_itr" localSheetId="52" hidden="1">2147483647</definedName>
    <definedName name="solver_itr" localSheetId="58" hidden="1">2147483647</definedName>
    <definedName name="solver_itr" localSheetId="59" hidden="1">2147483647</definedName>
    <definedName name="solver_itr" localSheetId="4" hidden="1">2147483647</definedName>
    <definedName name="solver_itr" localSheetId="3" hidden="1">1E+25</definedName>
    <definedName name="solver_itr" localSheetId="33" hidden="1">2147483647</definedName>
    <definedName name="solver_itr" localSheetId="56" hidden="1">1.5</definedName>
    <definedName name="solver_itr" localSheetId="9" hidden="1">2147483647</definedName>
    <definedName name="solver_itr" localSheetId="29" hidden="1">2147483647</definedName>
    <definedName name="solver_itr" localSheetId="45" hidden="1">2147483647</definedName>
    <definedName name="solver_itr" localSheetId="41" hidden="1">2147483647</definedName>
    <definedName name="solver_itr" localSheetId="57" hidden="1">999999999</definedName>
    <definedName name="solver_lhs1" localSheetId="23" hidden="1">'BadName!'!$H$9:$H$10</definedName>
    <definedName name="solver_lhs1" localSheetId="35" hidden="1">BinIntLB!$H$11:$H$13</definedName>
    <definedName name="solver_lhs1" localSheetId="20" hidden="1">BinIntOverlap!$I$8:$I$9</definedName>
    <definedName name="solver_lhs1" localSheetId="34" hidden="1">BinLB!$H$11:$H$13</definedName>
    <definedName name="solver_lhs1" localSheetId="8" hidden="1">BlankLHS!$H$8:$H$9</definedName>
    <definedName name="solver_lhs1" localSheetId="7" hidden="1">BlankRHS!$H$8:$H$9</definedName>
    <definedName name="solver_lhs1" localSheetId="47" hidden="1">ComplexLayout!$I$8:$I$9</definedName>
    <definedName name="solver_lhs1" localSheetId="21" hidden="1">ConFormula!$I$9:$I$10</definedName>
    <definedName name="solver_lhs1" localSheetId="22" hidden="1">ConFormulaInf!$I$9:$I$10</definedName>
    <definedName name="solver_lhs1" localSheetId="43" hidden="1">ConstantLB!$H$11:$H$13</definedName>
    <definedName name="solver_lhs1" localSheetId="40" hidden="1">ConstFormulaRangeLB!$H$10:$H$12</definedName>
    <definedName name="solver_lhs1" localSheetId="42" hidden="1">ConstraintLB!$H$11:$H$13</definedName>
    <definedName name="solver_lhs1" localSheetId="25" hidden="1">DeletedConRef!$H$9:$H$10</definedName>
    <definedName name="solver_lhs1" localSheetId="26" hidden="1">DeletedObjRef!$H$9:$H$10</definedName>
    <definedName name="solver_lhs1" localSheetId="53" hidden="1">DiffSheetObj!$G$6</definedName>
    <definedName name="solver_lhs1" localSheetId="32" hidden="1">DirectLBs!$H$10:$H$12</definedName>
    <definedName name="solver_lhs1" localSheetId="11" hidden="1">ErrorLHS!$H$8:$H$9</definedName>
    <definedName name="solver_lhs1" localSheetId="12" hidden="1">ErrorObj!$H$8:$H$9</definedName>
    <definedName name="solver_lhs1" localSheetId="10" hidden="1">ErrorRHS!$H$8:$H$9</definedName>
    <definedName name="solver_lhs1" localSheetId="24" hidden="1">'EscapeSheetName(1)+2-1'!$H$8:$H$9</definedName>
    <definedName name="solver_lhs1" localSheetId="28" hidden="1">FeasConstConstraint!$J$8:$J$9</definedName>
    <definedName name="solver_lhs1" localSheetId="44" hidden="1">FormulaLB!$H$11:$H$13</definedName>
    <definedName name="solver_lhs1" localSheetId="46" hidden="1">FractionalCoeffs!$G$6</definedName>
    <definedName name="solver_lhs1" localSheetId="31" hidden="1">IndirectLBs!$H$10:$H$11</definedName>
    <definedName name="solver_lhs1" localSheetId="27" hidden="1">InfConstConstraint!$J$8:$J$9</definedName>
    <definedName name="solver_lhs1" localSheetId="48" hidden="1">InfModel!$H$9:$H$10</definedName>
    <definedName name="solver_lhs1" localSheetId="5" hidden="1">IP_SUMIF!$D$10</definedName>
    <definedName name="solver_lhs1" localSheetId="49" hidden="1">IterativeCalc!$H$9:$H$10</definedName>
    <definedName name="solver_lhs1" localSheetId="37" hidden="1">LargeRangeLB!$H$12:$H$14</definedName>
    <definedName name="solver_lhs1" localSheetId="18" hidden="1">MergedLHS_OK!$H$9:$H$10</definedName>
    <definedName name="solver_lhs1" localSheetId="19" hidden="1">MergedLHSMultiple_OK!$H$9:$H$10</definedName>
    <definedName name="solver_lhs1" localSheetId="17" hidden="1">MergedRHS_OK!$H$9:$H$10</definedName>
    <definedName name="solver_lhs1" localSheetId="16" hidden="1">MergedVarsBad!$H$9:$H$10</definedName>
    <definedName name="solver_lhs1" localSheetId="15" hidden="1">MergedVarsOK!$H$9:$H$10</definedName>
    <definedName name="solver_lhs1" localSheetId="14" hidden="1">MergedVarsSubset!$H$9:$H$10</definedName>
    <definedName name="solver_lhs1" localSheetId="54" hidden="1">NamedRanges!$I$8</definedName>
    <definedName name="solver_lhs1" localSheetId="67" hidden="1">NonLin!$J$40</definedName>
    <definedName name="solver_lhs1" localSheetId="68" hidden="1">NonLin2!$E$6:$E$7</definedName>
    <definedName name="solver_lhs1" localSheetId="69" hidden="1">NonLin3!$S$10:$S$11</definedName>
    <definedName name="solver_lhs1" localSheetId="70" hidden="1">NonLin4!$D$11</definedName>
    <definedName name="solver_lhs1" localSheetId="72" hidden="1">NonLin6!$D$7</definedName>
    <definedName name="solver_lhs1" localSheetId="66" hidden="1">NonLinBinary!$E$8:$E$9</definedName>
    <definedName name="solver_lhs1" localSheetId="65" hidden="1">NonLinConstraints!$I$7:$I$9</definedName>
    <definedName name="solver_lhs1" localSheetId="61" hidden="1">NonLinLarge!$H$7:$H$8</definedName>
    <definedName name="solver_lhs1" localSheetId="64" hidden="1">NonLinMinMax!$G$8</definedName>
    <definedName name="solver_lhs1" localSheetId="62" hidden="1">NonLinObj!$H$7:$H$8</definedName>
    <definedName name="solver_lhs1" localSheetId="63" hidden="1">NonLinPruning!$F$8:$F$9</definedName>
    <definedName name="solver_lhs1" localSheetId="60" hidden="1">NonLinSimple!$H$7:$H$8</definedName>
    <definedName name="solver_lhs1" localSheetId="50" hidden="1">NoObj!$H$9:$H$10</definedName>
    <definedName name="solver_lhs1" localSheetId="6" hidden="1">OverlappingVars!$H$8:$H$9</definedName>
    <definedName name="solver_lhs1" localSheetId="38" hidden="1">OverlapRangeLB!$H$12:$H$14</definedName>
    <definedName name="solver_lhs1" localSheetId="39" hidden="1">OverlapRangeLBwithFormula!$H$12:$H$14</definedName>
    <definedName name="solver_lhs1" localSheetId="30" hidden="1">ProtectedSheet!$H$8:$H$9</definedName>
    <definedName name="solver_lhs1" localSheetId="55" hidden="1">QuickSolve!$H$8</definedName>
    <definedName name="solver_lhs1" localSheetId="36" hidden="1">Relaxation!$H$11:$H$13</definedName>
    <definedName name="solver_lhs1" localSheetId="51" hidden="1">SeekObj!$G$6</definedName>
    <definedName name="solver_lhs1" localSheetId="52" hidden="1">SeekObjInf!$G$6</definedName>
    <definedName name="solver_lhs1" localSheetId="58" hidden="1">Sensitivity!$G$8</definedName>
    <definedName name="solver_lhs1" localSheetId="59" hidden="1">SensitivityNames!$I$14:$I$16</definedName>
    <definedName name="solver_lhs1" localSheetId="4" hidden="1">SimpleIP!$D$10</definedName>
    <definedName name="solver_lhs1" localSheetId="3" hidden="1">SimpleLP!$H$8:$H$9</definedName>
    <definedName name="solver_lhs1" localSheetId="33" hidden="1">SingleRangeLB!$H$10:$H$12</definedName>
    <definedName name="solver_lhs1" localSheetId="56" hidden="1">SolverParameters!$H$17:$H$18</definedName>
    <definedName name="solver_lhs1" localSheetId="13" hidden="1">TextObj!$H$8:$H$9</definedName>
    <definedName name="solver_lhs1" localSheetId="9" hidden="1">TextRHS!$H$8:$H$9</definedName>
    <definedName name="solver_lhs1" localSheetId="29" hidden="1">Unbounded!$H$8:$H$9</definedName>
    <definedName name="solver_lhs1" localSheetId="45" hidden="1">VarConstraintLB!$H$11:$H$13</definedName>
    <definedName name="solver_lhs1" localSheetId="41" hidden="1">VariableFormulaRangeLB!$H$11:$H$13</definedName>
    <definedName name="solver_lhs1" localSheetId="57" hidden="1">Warmstart!$UF$4</definedName>
    <definedName name="solver_lhs10" localSheetId="61" hidden="1">NonLinLarge!$H$74</definedName>
    <definedName name="solver_lhs100" localSheetId="61" hidden="1">NonLinLarge!$H$74</definedName>
    <definedName name="solver_lhs101" localSheetId="61" hidden="1">NonLinLarge!$H$75:$H$138</definedName>
    <definedName name="solver_lhs102" localSheetId="61" hidden="1">NonLinLarge!$H$139</definedName>
    <definedName name="solver_lhs103" localSheetId="61" hidden="1">NonLinLarge!$H$7:$H$8</definedName>
    <definedName name="solver_lhs104" localSheetId="61" hidden="1">NonLinLarge!$H$9:$H$72</definedName>
    <definedName name="solver_lhs105" localSheetId="61" hidden="1">NonLinLarge!$H$73</definedName>
    <definedName name="solver_lhs106" localSheetId="61" hidden="1">NonLinLarge!$H$74</definedName>
    <definedName name="solver_lhs107" localSheetId="61" hidden="1">NonLinLarge!$H$75:$H$138</definedName>
    <definedName name="solver_lhs108" localSheetId="61" hidden="1">NonLinLarge!$H$139</definedName>
    <definedName name="solver_lhs109" localSheetId="61" hidden="1">NonLinLarge!$H$7:$H$8</definedName>
    <definedName name="solver_lhs11" localSheetId="61" hidden="1">NonLinLarge!$H$75:$H$138</definedName>
    <definedName name="solver_lhs110" localSheetId="61" hidden="1">NonLinLarge!$H$9:$H$72</definedName>
    <definedName name="solver_lhs111" localSheetId="61" hidden="1">NonLinLarge!$H$73</definedName>
    <definedName name="solver_lhs112" localSheetId="61" hidden="1">NonLinLarge!$H$74</definedName>
    <definedName name="solver_lhs113" localSheetId="61" hidden="1">NonLinLarge!$H$75:$H$138</definedName>
    <definedName name="solver_lhs114" localSheetId="61" hidden="1">NonLinLarge!$H$139</definedName>
    <definedName name="solver_lhs115" localSheetId="61" hidden="1">NonLinLarge!$H$7:$H$8</definedName>
    <definedName name="solver_lhs116" localSheetId="61" hidden="1">NonLinLarge!$H$9:$H$72</definedName>
    <definedName name="solver_lhs117" localSheetId="61" hidden="1">NonLinLarge!$H$73</definedName>
    <definedName name="solver_lhs118" localSheetId="61" hidden="1">NonLinLarge!$H$74</definedName>
    <definedName name="solver_lhs119" localSheetId="61" hidden="1">NonLinLarge!$H$75:$H$138</definedName>
    <definedName name="solver_lhs12" localSheetId="61" hidden="1">NonLinLarge!$H$139</definedName>
    <definedName name="solver_lhs120" localSheetId="61" hidden="1">NonLinLarge!$H$139</definedName>
    <definedName name="solver_lhs121" localSheetId="61" hidden="1">NonLinLarge!$H$7:$H$8</definedName>
    <definedName name="solver_lhs122" localSheetId="61" hidden="1">NonLinLarge!$H$9:$H$72</definedName>
    <definedName name="solver_lhs123" localSheetId="61" hidden="1">NonLinLarge!$H$73</definedName>
    <definedName name="solver_lhs124" localSheetId="61" hidden="1">NonLinLarge!$H$74</definedName>
    <definedName name="solver_lhs125" localSheetId="61" hidden="1">NonLinLarge!$H$75:$H$138</definedName>
    <definedName name="solver_lhs126" localSheetId="61" hidden="1">NonLinLarge!$H$139</definedName>
    <definedName name="solver_lhs127" localSheetId="61" hidden="1">NonLinLarge!$H$7:$H$8</definedName>
    <definedName name="solver_lhs128" localSheetId="61" hidden="1">NonLinLarge!$H$9:$H$72</definedName>
    <definedName name="solver_lhs129" localSheetId="61" hidden="1">NonLinLarge!$H$73</definedName>
    <definedName name="solver_lhs13" localSheetId="61" hidden="1">NonLinLarge!$H$7:$H$8</definedName>
    <definedName name="solver_lhs130" localSheetId="61" hidden="1">NonLinLarge!$H$74</definedName>
    <definedName name="solver_lhs131" localSheetId="61" hidden="1">NonLinLarge!$H$75:$H$138</definedName>
    <definedName name="solver_lhs132" localSheetId="61" hidden="1">NonLinLarge!$H$139</definedName>
    <definedName name="solver_lhs133" localSheetId="61" hidden="1">NonLinLarge!$H$7:$H$8</definedName>
    <definedName name="solver_lhs134" localSheetId="61" hidden="1">NonLinLarge!$H$9:$H$72</definedName>
    <definedName name="solver_lhs135" localSheetId="61" hidden="1">NonLinLarge!$H$73</definedName>
    <definedName name="solver_lhs136" localSheetId="61" hidden="1">NonLinLarge!$H$74</definedName>
    <definedName name="solver_lhs137" localSheetId="61" hidden="1">NonLinLarge!$H$75:$H$138</definedName>
    <definedName name="solver_lhs138" localSheetId="61" hidden="1">NonLinLarge!$H$139</definedName>
    <definedName name="solver_lhs139" localSheetId="61" hidden="1">NonLinLarge!$H$7:$H$8</definedName>
    <definedName name="solver_lhs14" localSheetId="61" hidden="1">NonLinLarge!$H$9:$H$72</definedName>
    <definedName name="solver_lhs140" localSheetId="61" hidden="1">NonLinLarge!$H$9:$H$72</definedName>
    <definedName name="solver_lhs141" localSheetId="61" hidden="1">NonLinLarge!$H$73</definedName>
    <definedName name="solver_lhs142" localSheetId="61" hidden="1">NonLinLarge!$H$74</definedName>
    <definedName name="solver_lhs143" localSheetId="61" hidden="1">NonLinLarge!$H$75:$H$138</definedName>
    <definedName name="solver_lhs144" localSheetId="61" hidden="1">NonLinLarge!$H$139</definedName>
    <definedName name="solver_lhs145" localSheetId="61" hidden="1">NonLinLarge!$H$7:$H$8</definedName>
    <definedName name="solver_lhs146" localSheetId="61" hidden="1">NonLinLarge!$H$9:$H$72</definedName>
    <definedName name="solver_lhs147" localSheetId="61" hidden="1">NonLinLarge!$H$73</definedName>
    <definedName name="solver_lhs148" localSheetId="61" hidden="1">NonLinLarge!$H$74</definedName>
    <definedName name="solver_lhs149" localSheetId="61" hidden="1">NonLinLarge!$H$75:$H$138</definedName>
    <definedName name="solver_lhs15" localSheetId="61" hidden="1">NonLinLarge!$H$73</definedName>
    <definedName name="solver_lhs150" localSheetId="61" hidden="1">NonLinLarge!$H$139</definedName>
    <definedName name="solver_lhs151" localSheetId="61" hidden="1">NonLinLarge!$H$7:$H$8</definedName>
    <definedName name="solver_lhs152" localSheetId="61" hidden="1">NonLinLarge!$H$9:$H$72</definedName>
    <definedName name="solver_lhs153" localSheetId="61" hidden="1">NonLinLarge!$H$73</definedName>
    <definedName name="solver_lhs154" localSheetId="61" hidden="1">NonLinLarge!$H$74</definedName>
    <definedName name="solver_lhs155" localSheetId="61" hidden="1">NonLinLarge!$H$75:$H$138</definedName>
    <definedName name="solver_lhs156" localSheetId="61" hidden="1">NonLinLarge!$H$139</definedName>
    <definedName name="solver_lhs157" localSheetId="61" hidden="1">NonLinLarge!$H$7:$H$8</definedName>
    <definedName name="solver_lhs158" localSheetId="61" hidden="1">NonLinLarge!$H$9:$H$72</definedName>
    <definedName name="solver_lhs159" localSheetId="61" hidden="1">NonLinLarge!$H$73</definedName>
    <definedName name="solver_lhs16" localSheetId="61" hidden="1">NonLinLarge!$H$74</definedName>
    <definedName name="solver_lhs160" localSheetId="61" hidden="1">NonLinLarge!$H$74</definedName>
    <definedName name="solver_lhs161" localSheetId="61" hidden="1">NonLinLarge!$H$75:$H$138</definedName>
    <definedName name="solver_lhs162" localSheetId="61" hidden="1">NonLinLarge!$H$139</definedName>
    <definedName name="solver_lhs163" localSheetId="61" hidden="1">NonLinLarge!$H$7:$H$8</definedName>
    <definedName name="solver_lhs164" localSheetId="61" hidden="1">NonLinLarge!$H$9:$H$72</definedName>
    <definedName name="solver_lhs165" localSheetId="61" hidden="1">NonLinLarge!$H$73</definedName>
    <definedName name="solver_lhs166" localSheetId="61" hidden="1">NonLinLarge!$H$74</definedName>
    <definedName name="solver_lhs167" localSheetId="61" hidden="1">NonLinLarge!$H$75:$H$138</definedName>
    <definedName name="solver_lhs168" localSheetId="61" hidden="1">NonLinLarge!$H$139</definedName>
    <definedName name="solver_lhs169" localSheetId="61" hidden="1">NonLinLarge!$H$7:$H$8</definedName>
    <definedName name="solver_lhs17" localSheetId="61" hidden="1">NonLinLarge!$H$75:$H$138</definedName>
    <definedName name="solver_lhs170" localSheetId="61" hidden="1">NonLinLarge!$H$9:$H$72</definedName>
    <definedName name="solver_lhs171" localSheetId="61" hidden="1">NonLinLarge!$H$73</definedName>
    <definedName name="solver_lhs172" localSheetId="61" hidden="1">NonLinLarge!$H$74</definedName>
    <definedName name="solver_lhs173" localSheetId="61" hidden="1">NonLinLarge!$H$75:$H$138</definedName>
    <definedName name="solver_lhs174" localSheetId="61" hidden="1">NonLinLarge!$H$139</definedName>
    <definedName name="solver_lhs175" localSheetId="61" hidden="1">NonLinLarge!$H$7:$H$8</definedName>
    <definedName name="solver_lhs176" localSheetId="61" hidden="1">NonLinLarge!$H$9:$H$72</definedName>
    <definedName name="solver_lhs177" localSheetId="61" hidden="1">NonLinLarge!$H$73</definedName>
    <definedName name="solver_lhs178" localSheetId="61" hidden="1">NonLinLarge!$H$74</definedName>
    <definedName name="solver_lhs179" localSheetId="61" hidden="1">NonLinLarge!$H$75:$H$138</definedName>
    <definedName name="solver_lhs18" localSheetId="61" hidden="1">NonLinLarge!$H$139</definedName>
    <definedName name="solver_lhs180" localSheetId="61" hidden="1">NonLinLarge!$H$139</definedName>
    <definedName name="solver_lhs181" localSheetId="61" hidden="1">NonLinLarge!$H$7:$H$8</definedName>
    <definedName name="solver_lhs182" localSheetId="61" hidden="1">NonLinLarge!$H$9:$H$72</definedName>
    <definedName name="solver_lhs183" localSheetId="61" hidden="1">NonLinLarge!$H$73</definedName>
    <definedName name="solver_lhs184" localSheetId="61" hidden="1">NonLinLarge!$H$74</definedName>
    <definedName name="solver_lhs185" localSheetId="61" hidden="1">NonLinLarge!$H$75:$H$138</definedName>
    <definedName name="solver_lhs186" localSheetId="61" hidden="1">NonLinLarge!$H$139</definedName>
    <definedName name="solver_lhs187" localSheetId="61" hidden="1">NonLinLarge!$H$7:$H$8</definedName>
    <definedName name="solver_lhs188" localSheetId="61" hidden="1">NonLinLarge!$H$9:$H$72</definedName>
    <definedName name="solver_lhs189" localSheetId="61" hidden="1">NonLinLarge!$H$73</definedName>
    <definedName name="solver_lhs19" localSheetId="61" hidden="1">NonLinLarge!$H$7:$H$8</definedName>
    <definedName name="solver_lhs190" localSheetId="61" hidden="1">NonLinLarge!$H$74</definedName>
    <definedName name="solver_lhs191" localSheetId="61" hidden="1">NonLinLarge!$H$75:$H$138</definedName>
    <definedName name="solver_lhs192" localSheetId="61" hidden="1">NonLinLarge!$H$139</definedName>
    <definedName name="solver_lhs193" localSheetId="61" hidden="1">NonLinLarge!$H$7:$H$8</definedName>
    <definedName name="solver_lhs194" localSheetId="61" hidden="1">NonLinLarge!$H$9:$H$72</definedName>
    <definedName name="solver_lhs195" localSheetId="61" hidden="1">NonLinLarge!$H$73</definedName>
    <definedName name="solver_lhs196" localSheetId="61" hidden="1">NonLinLarge!$H$74</definedName>
    <definedName name="solver_lhs197" localSheetId="61" hidden="1">NonLinLarge!$H$75:$H$138</definedName>
    <definedName name="solver_lhs198" localSheetId="61" hidden="1">NonLinLarge!$H$139</definedName>
    <definedName name="solver_lhs199" localSheetId="61" hidden="1">NonLinLarge!$H$7:$H$8</definedName>
    <definedName name="solver_lhs2" localSheetId="23" hidden="1">'BadName!'!$H$11</definedName>
    <definedName name="solver_lhs2" localSheetId="35" hidden="1">BinIntLB!$D$5:$F$5</definedName>
    <definedName name="solver_lhs2" localSheetId="20" hidden="1">BinIntOverlap!$I$10</definedName>
    <definedName name="solver_lhs2" localSheetId="34" hidden="1">BinLB!$D$5:$F$5</definedName>
    <definedName name="solver_lhs2" localSheetId="8" hidden="1">BlankLHS!$H$10</definedName>
    <definedName name="solver_lhs2" localSheetId="7" hidden="1">BlankRHS!$H$10</definedName>
    <definedName name="solver_lhs2" localSheetId="47" hidden="1">ComplexLayout!$I$10</definedName>
    <definedName name="solver_lhs2" localSheetId="21" hidden="1">ConFormula!$I$11</definedName>
    <definedName name="solver_lhs2" localSheetId="22" hidden="1">ConFormulaInf!$K$11</definedName>
    <definedName name="solver_lhs2" localSheetId="43" hidden="1">ConstantLB!$D$5</definedName>
    <definedName name="solver_lhs2" localSheetId="40" hidden="1">ConstFormulaRangeLB!$D$4:$F$4</definedName>
    <definedName name="solver_lhs2" localSheetId="25" hidden="1">DeletedConRef!$H$11</definedName>
    <definedName name="solver_lhs2" localSheetId="26" hidden="1">DeletedObjRef!$H$11</definedName>
    <definedName name="solver_lhs2" localSheetId="53" hidden="1">DiffSheetObj!$G$7</definedName>
    <definedName name="solver_lhs2" localSheetId="32" hidden="1">DirectLBs!$D$4:$F$4</definedName>
    <definedName name="solver_lhs2" localSheetId="11" hidden="1">ErrorLHS!$H$10</definedName>
    <definedName name="solver_lhs2" localSheetId="12" hidden="1">ErrorObj!$H$10</definedName>
    <definedName name="solver_lhs2" localSheetId="10" hidden="1">ErrorRHS!$H$10</definedName>
    <definedName name="solver_lhs2" localSheetId="24" hidden="1">'EscapeSheetName(1)+2-1'!$H$10</definedName>
    <definedName name="solver_lhs2" localSheetId="28" hidden="1">FeasConstConstraint!$J$10</definedName>
    <definedName name="solver_lhs2" localSheetId="44" hidden="1">FormulaLB!$D$5</definedName>
    <definedName name="solver_lhs2" localSheetId="46" hidden="1">FractionalCoeffs!$G$7</definedName>
    <definedName name="solver_lhs2" localSheetId="31" hidden="1">IndirectLBs!$H$12</definedName>
    <definedName name="solver_lhs2" localSheetId="27" hidden="1">InfConstConstraint!$J$10</definedName>
    <definedName name="solver_lhs2" localSheetId="48" hidden="1">InfModel!$H$11</definedName>
    <definedName name="solver_lhs2" localSheetId="5" hidden="1">IP_SUMIF!$E$5:$E$7</definedName>
    <definedName name="solver_lhs2" localSheetId="49" hidden="1">IterativeCalc!$H$11</definedName>
    <definedName name="solver_lhs2" localSheetId="37" hidden="1">LargeRangeLB!$D$6:$H$6</definedName>
    <definedName name="solver_lhs2" localSheetId="18" hidden="1">MergedLHS_OK!$H$11</definedName>
    <definedName name="solver_lhs2" localSheetId="19" hidden="1">MergedLHSMultiple_OK!$H$11</definedName>
    <definedName name="solver_lhs2" localSheetId="17" hidden="1">MergedRHS_OK!$H$11</definedName>
    <definedName name="solver_lhs2" localSheetId="16" hidden="1">MergedVarsBad!$H$11</definedName>
    <definedName name="solver_lhs2" localSheetId="15" hidden="1">MergedVarsOK!$H$11</definedName>
    <definedName name="solver_lhs2" localSheetId="14" hidden="1">MergedVarsSubset!$H$11</definedName>
    <definedName name="solver_lhs2" localSheetId="54" hidden="1">NamedRanges!$I$9</definedName>
    <definedName name="solver_lhs2" localSheetId="67" hidden="1">NonLin!$J$41:$J$42</definedName>
    <definedName name="solver_lhs2" localSheetId="69" hidden="1">NonLin3!$S$10:$S$11</definedName>
    <definedName name="solver_lhs2" localSheetId="72" hidden="1">NonLin6!$D$7</definedName>
    <definedName name="solver_lhs2" localSheetId="66" hidden="1">NonLinBinary!$C$4:$D$4</definedName>
    <definedName name="solver_lhs2" localSheetId="61" hidden="1">NonLinLarge!$H$9:$H$72</definedName>
    <definedName name="solver_lhs2" localSheetId="64" hidden="1">NonLinMinMax!$D$4:$F$4</definedName>
    <definedName name="solver_lhs2" localSheetId="62" hidden="1">NonLinObj!$H$9</definedName>
    <definedName name="solver_lhs2" localSheetId="63" hidden="1">NonLinPruning!$F$10:$F$11</definedName>
    <definedName name="solver_lhs2" localSheetId="60" hidden="1">NonLinSimple!$H$9</definedName>
    <definedName name="solver_lhs2" localSheetId="50" hidden="1">NoObj!$H$11</definedName>
    <definedName name="solver_lhs2" localSheetId="6" hidden="1">OverlappingVars!$H$10</definedName>
    <definedName name="solver_lhs2" localSheetId="38" hidden="1">OverlapRangeLB!$E$6:$H$6</definedName>
    <definedName name="solver_lhs2" localSheetId="39" hidden="1">OverlapRangeLBwithFormula!$D$6:$H$6</definedName>
    <definedName name="solver_lhs2" localSheetId="30" hidden="1">ProtectedSheet!$H$10</definedName>
    <definedName name="solver_lhs2" localSheetId="55" hidden="1">QuickSolve!$H$9:$H$10</definedName>
    <definedName name="solver_lhs2" localSheetId="36" hidden="1">Relaxation!$D$5:$F$5</definedName>
    <definedName name="solver_lhs2" localSheetId="51" hidden="1">SeekObj!$G$7</definedName>
    <definedName name="solver_lhs2" localSheetId="52" hidden="1">SeekObjInf!$G$7</definedName>
    <definedName name="solver_lhs2" localSheetId="58" hidden="1">Sensitivity!$G$9</definedName>
    <definedName name="solver_lhs2" localSheetId="59" hidden="1">SensitivityNames!$D$17:$H$17</definedName>
    <definedName name="solver_lhs2" localSheetId="4" hidden="1">SimpleIP!$E$5:$E$7</definedName>
    <definedName name="solver_lhs2" localSheetId="3" hidden="1">SimpleLP!$H$10</definedName>
    <definedName name="solver_lhs2" localSheetId="33" hidden="1">SingleRangeLB!$D$4:$F$4</definedName>
    <definedName name="solver_lhs2" localSheetId="56" hidden="1">SolverParameters!$H$19</definedName>
    <definedName name="solver_lhs2" localSheetId="13" hidden="1">TextObj!$H$10</definedName>
    <definedName name="solver_lhs2" localSheetId="9" hidden="1">TextRHS!$H$10</definedName>
    <definedName name="solver_lhs2" localSheetId="29" hidden="1">Unbounded!$H$10</definedName>
    <definedName name="solver_lhs2" localSheetId="45" hidden="1">VarConstraintLB!$D$7</definedName>
    <definedName name="solver_lhs2" localSheetId="41" hidden="1">VariableFormulaRangeLB!$D$5:$F$5</definedName>
    <definedName name="solver_lhs2" localSheetId="57" hidden="1">Warmstart!$D$1:$UE$1</definedName>
    <definedName name="solver_lhs20" localSheetId="61" hidden="1">NonLinLarge!$H$9:$H$72</definedName>
    <definedName name="solver_lhs200" localSheetId="61" hidden="1">NonLinLarge!$H$9:$H$72</definedName>
    <definedName name="solver_lhs201" localSheetId="61" hidden="1">NonLinLarge!$H$73</definedName>
    <definedName name="solver_lhs202" localSheetId="61" hidden="1">NonLinLarge!$H$74</definedName>
    <definedName name="solver_lhs203" localSheetId="61" hidden="1">NonLinLarge!$H$75:$H$138</definedName>
    <definedName name="solver_lhs204" localSheetId="61" hidden="1">NonLinLarge!$H$139</definedName>
    <definedName name="solver_lhs205" localSheetId="61" hidden="1">NonLinLarge!$H$7:$H$8</definedName>
    <definedName name="solver_lhs206" localSheetId="61" hidden="1">NonLinLarge!$H$9:$H$72</definedName>
    <definedName name="solver_lhs207" localSheetId="61" hidden="1">NonLinLarge!$H$73</definedName>
    <definedName name="solver_lhs208" localSheetId="61" hidden="1">NonLinLarge!$H$74</definedName>
    <definedName name="solver_lhs209" localSheetId="61" hidden="1">NonLinLarge!$H$75:$H$138</definedName>
    <definedName name="solver_lhs21" localSheetId="61" hidden="1">NonLinLarge!$H$73</definedName>
    <definedName name="solver_lhs210" localSheetId="61" hidden="1">NonLinLarge!$H$139</definedName>
    <definedName name="solver_lhs211" localSheetId="61" hidden="1">NonLinLarge!$H$7:$H$8</definedName>
    <definedName name="solver_lhs212" localSheetId="61" hidden="1">NonLinLarge!$H$9:$H$72</definedName>
    <definedName name="solver_lhs213" localSheetId="61" hidden="1">NonLinLarge!$H$73</definedName>
    <definedName name="solver_lhs214" localSheetId="61" hidden="1">NonLinLarge!$H$74</definedName>
    <definedName name="solver_lhs215" localSheetId="61" hidden="1">NonLinLarge!$H$75:$H$138</definedName>
    <definedName name="solver_lhs216" localSheetId="61" hidden="1">NonLinLarge!$H$139</definedName>
    <definedName name="solver_lhs217" localSheetId="61" hidden="1">NonLinLarge!$H$7:$H$8</definedName>
    <definedName name="solver_lhs218" localSheetId="61" hidden="1">NonLinLarge!$H$9:$H$72</definedName>
    <definedName name="solver_lhs219" localSheetId="61" hidden="1">NonLinLarge!$H$73</definedName>
    <definedName name="solver_lhs22" localSheetId="61" hidden="1">NonLinLarge!$H$74</definedName>
    <definedName name="solver_lhs220" localSheetId="61" hidden="1">NonLinLarge!$H$74</definedName>
    <definedName name="solver_lhs221" localSheetId="61" hidden="1">NonLinLarge!$H$75:$H$138</definedName>
    <definedName name="solver_lhs222" localSheetId="61" hidden="1">NonLinLarge!$H$139</definedName>
    <definedName name="solver_lhs223" localSheetId="61" hidden="1">NonLinLarge!$H$7:$H$8</definedName>
    <definedName name="solver_lhs224" localSheetId="61" hidden="1">NonLinLarge!$H$9:$H$72</definedName>
    <definedName name="solver_lhs225" localSheetId="61" hidden="1">NonLinLarge!$H$73</definedName>
    <definedName name="solver_lhs226" localSheetId="61" hidden="1">NonLinLarge!$H$74</definedName>
    <definedName name="solver_lhs227" localSheetId="61" hidden="1">NonLinLarge!$H$75:$H$138</definedName>
    <definedName name="solver_lhs228" localSheetId="61" hidden="1">NonLinLarge!$H$139</definedName>
    <definedName name="solver_lhs229" localSheetId="61" hidden="1">NonLinLarge!$H$7:$H$8</definedName>
    <definedName name="solver_lhs23" localSheetId="61" hidden="1">NonLinLarge!$H$75:$H$138</definedName>
    <definedName name="solver_lhs230" localSheetId="61" hidden="1">NonLinLarge!$H$9:$H$72</definedName>
    <definedName name="solver_lhs231" localSheetId="61" hidden="1">NonLinLarge!$H$73</definedName>
    <definedName name="solver_lhs232" localSheetId="61" hidden="1">NonLinLarge!$H$74</definedName>
    <definedName name="solver_lhs233" localSheetId="61" hidden="1">NonLinLarge!$H$75:$H$138</definedName>
    <definedName name="solver_lhs234" localSheetId="61" hidden="1">NonLinLarge!$H$139</definedName>
    <definedName name="solver_lhs235" localSheetId="61" hidden="1">NonLinLarge!$H$7:$H$8</definedName>
    <definedName name="solver_lhs236" localSheetId="61" hidden="1">NonLinLarge!$H$9:$H$72</definedName>
    <definedName name="solver_lhs237" localSheetId="61" hidden="1">NonLinLarge!$H$73</definedName>
    <definedName name="solver_lhs238" localSheetId="61" hidden="1">NonLinLarge!$H$74</definedName>
    <definedName name="solver_lhs239" localSheetId="61" hidden="1">NonLinLarge!$H$75:$H$138</definedName>
    <definedName name="solver_lhs24" localSheetId="61" hidden="1">NonLinLarge!$H$139</definedName>
    <definedName name="solver_lhs240" localSheetId="61" hidden="1">NonLinLarge!$H$139</definedName>
    <definedName name="solver_lhs241" localSheetId="61" hidden="1">NonLinLarge!$H$7:$H$8</definedName>
    <definedName name="solver_lhs242" localSheetId="61" hidden="1">NonLinLarge!$H$9:$H$72</definedName>
    <definedName name="solver_lhs243" localSheetId="61" hidden="1">NonLinLarge!$H$73</definedName>
    <definedName name="solver_lhs244" localSheetId="61" hidden="1">NonLinLarge!$H$74</definedName>
    <definedName name="solver_lhs245" localSheetId="61" hidden="1">NonLinLarge!$H$75:$H$138</definedName>
    <definedName name="solver_lhs246" localSheetId="61" hidden="1">NonLinLarge!$H$139</definedName>
    <definedName name="solver_lhs247" localSheetId="61" hidden="1">NonLinLarge!$H$7:$H$8</definedName>
    <definedName name="solver_lhs248" localSheetId="61" hidden="1">NonLinLarge!$H$9:$H$72</definedName>
    <definedName name="solver_lhs249" localSheetId="61" hidden="1">NonLinLarge!$H$73</definedName>
    <definedName name="solver_lhs25" localSheetId="61" hidden="1">NonLinLarge!$H$7:$H$8</definedName>
    <definedName name="solver_lhs250" localSheetId="61" hidden="1">NonLinLarge!$H$74</definedName>
    <definedName name="solver_lhs251" localSheetId="61" hidden="1">NonLinLarge!$H$75:$H$138</definedName>
    <definedName name="solver_lhs252" localSheetId="61" hidden="1">NonLinLarge!$H$139</definedName>
    <definedName name="solver_lhs253" localSheetId="61" hidden="1">NonLinLarge!$H$7:$H$8</definedName>
    <definedName name="solver_lhs254" localSheetId="61" hidden="1">NonLinLarge!$H$9:$H$72</definedName>
    <definedName name="solver_lhs255" localSheetId="61" hidden="1">NonLinLarge!$H$73</definedName>
    <definedName name="solver_lhs256" localSheetId="61" hidden="1">NonLinLarge!$H$74</definedName>
    <definedName name="solver_lhs257" localSheetId="61" hidden="1">NonLinLarge!$H$75:$H$138</definedName>
    <definedName name="solver_lhs258" localSheetId="61" hidden="1">NonLinLarge!$H$139</definedName>
    <definedName name="solver_lhs259" localSheetId="61" hidden="1">NonLinLarge!$H$7:$H$8</definedName>
    <definedName name="solver_lhs26" localSheetId="61" hidden="1">NonLinLarge!$H$9:$H$72</definedName>
    <definedName name="solver_lhs260" localSheetId="61" hidden="1">NonLinLarge!$H$9:$H$72</definedName>
    <definedName name="solver_lhs261" localSheetId="61" hidden="1">NonLinLarge!$H$73</definedName>
    <definedName name="solver_lhs262" localSheetId="61" hidden="1">NonLinLarge!$H$74</definedName>
    <definedName name="solver_lhs263" localSheetId="61" hidden="1">NonLinLarge!$H$75:$H$138</definedName>
    <definedName name="solver_lhs264" localSheetId="61" hidden="1">NonLinLarge!$H$139</definedName>
    <definedName name="solver_lhs265" localSheetId="61" hidden="1">NonLinLarge!$H$7:$H$8</definedName>
    <definedName name="solver_lhs266" localSheetId="61" hidden="1">NonLinLarge!$H$9:$H$72</definedName>
    <definedName name="solver_lhs267" localSheetId="61" hidden="1">NonLinLarge!$H$73</definedName>
    <definedName name="solver_lhs268" localSheetId="61" hidden="1">NonLinLarge!$H$74</definedName>
    <definedName name="solver_lhs269" localSheetId="61" hidden="1">NonLinLarge!$H$75:$H$138</definedName>
    <definedName name="solver_lhs27" localSheetId="61" hidden="1">NonLinLarge!$H$73</definedName>
    <definedName name="solver_lhs270" localSheetId="61" hidden="1">NonLinLarge!$H$139</definedName>
    <definedName name="solver_lhs271" localSheetId="61" hidden="1">NonLinLarge!$H$7:$H$8</definedName>
    <definedName name="solver_lhs272" localSheetId="61" hidden="1">NonLinLarge!$H$9:$H$72</definedName>
    <definedName name="solver_lhs273" localSheetId="61" hidden="1">NonLinLarge!$H$73</definedName>
    <definedName name="solver_lhs274" localSheetId="61" hidden="1">NonLinLarge!$H$74</definedName>
    <definedName name="solver_lhs275" localSheetId="61" hidden="1">NonLinLarge!$H$75:$H$138</definedName>
    <definedName name="solver_lhs276" localSheetId="61" hidden="1">NonLinLarge!$H$139</definedName>
    <definedName name="solver_lhs277" localSheetId="61" hidden="1">NonLinLarge!$H$7:$H$8</definedName>
    <definedName name="solver_lhs278" localSheetId="61" hidden="1">NonLinLarge!$H$9:$H$72</definedName>
    <definedName name="solver_lhs279" localSheetId="61" hidden="1">NonLinLarge!$H$73</definedName>
    <definedName name="solver_lhs28" localSheetId="61" hidden="1">NonLinLarge!$H$74</definedName>
    <definedName name="solver_lhs280" localSheetId="61" hidden="1">NonLinLarge!$H$74</definedName>
    <definedName name="solver_lhs281" localSheetId="61" hidden="1">NonLinLarge!$H$75:$H$138</definedName>
    <definedName name="solver_lhs282" localSheetId="61" hidden="1">NonLinLarge!$H$139</definedName>
    <definedName name="solver_lhs283" localSheetId="61" hidden="1">NonLinLarge!$H$7:$H$8</definedName>
    <definedName name="solver_lhs284" localSheetId="61" hidden="1">NonLinLarge!$H$9:$H$72</definedName>
    <definedName name="solver_lhs285" localSheetId="61" hidden="1">NonLinLarge!$H$73</definedName>
    <definedName name="solver_lhs286" localSheetId="61" hidden="1">NonLinLarge!$H$74</definedName>
    <definedName name="solver_lhs287" localSheetId="61" hidden="1">NonLinLarge!$H$75:$H$138</definedName>
    <definedName name="solver_lhs288" localSheetId="61" hidden="1">NonLinLarge!$H$139</definedName>
    <definedName name="solver_lhs289" localSheetId="61" hidden="1">NonLinLarge!$H$7:$H$8</definedName>
    <definedName name="solver_lhs29" localSheetId="61" hidden="1">NonLinLarge!$H$75:$H$138</definedName>
    <definedName name="solver_lhs290" localSheetId="61" hidden="1">NonLinLarge!$H$9:$H$72</definedName>
    <definedName name="solver_lhs291" localSheetId="61" hidden="1">NonLinLarge!$H$73</definedName>
    <definedName name="solver_lhs292" localSheetId="61" hidden="1">NonLinLarge!$H$74</definedName>
    <definedName name="solver_lhs293" localSheetId="61" hidden="1">NonLinLarge!$H$75:$H$138</definedName>
    <definedName name="solver_lhs294" localSheetId="61" hidden="1">NonLinLarge!$H$139</definedName>
    <definedName name="solver_lhs295" localSheetId="61" hidden="1">NonLinLarge!$H$7:$H$8</definedName>
    <definedName name="solver_lhs296" localSheetId="61" hidden="1">NonLinLarge!$H$9:$H$72</definedName>
    <definedName name="solver_lhs297" localSheetId="61" hidden="1">NonLinLarge!$H$73</definedName>
    <definedName name="solver_lhs298" localSheetId="61" hidden="1">NonLinLarge!$H$74</definedName>
    <definedName name="solver_lhs299" localSheetId="61" hidden="1">NonLinLarge!$H$75:$H$138</definedName>
    <definedName name="solver_lhs3" localSheetId="23" hidden="1">'BadName!'!$H$12</definedName>
    <definedName name="solver_lhs3" localSheetId="35" hidden="1">BinIntLB!$F$5</definedName>
    <definedName name="solver_lhs3" localSheetId="20" hidden="1">BinIntOverlap!$I$11</definedName>
    <definedName name="solver_lhs3" localSheetId="34" hidden="1">BinLB!$F$5</definedName>
    <definedName name="solver_lhs3" localSheetId="8" hidden="1">BlankLHS!$H$11</definedName>
    <definedName name="solver_lhs3" localSheetId="7" hidden="1">BlankRHS!$H$11</definedName>
    <definedName name="solver_lhs3" localSheetId="47" hidden="1">ComplexLayout!$I$11</definedName>
    <definedName name="solver_lhs3" localSheetId="21" hidden="1">ConFormula!$I$12</definedName>
    <definedName name="solver_lhs3" localSheetId="22" hidden="1">ConFormulaInf!$I$12</definedName>
    <definedName name="solver_lhs3" localSheetId="25" hidden="1">DeletedConRef!$H$12</definedName>
    <definedName name="solver_lhs3" localSheetId="26" hidden="1">DeletedObjRef!$H$12</definedName>
    <definedName name="solver_lhs3" localSheetId="53" hidden="1">DiffSheetObj!$G$8:$G$9</definedName>
    <definedName name="solver_lhs3" localSheetId="11" hidden="1">ErrorLHS!$H$11</definedName>
    <definedName name="solver_lhs3" localSheetId="12" hidden="1">ErrorObj!$H$11</definedName>
    <definedName name="solver_lhs3" localSheetId="10" hidden="1">ErrorRHS!$H$11</definedName>
    <definedName name="solver_lhs3" localSheetId="24" hidden="1">'EscapeSheetName(1)+2-1'!$H$11</definedName>
    <definedName name="solver_lhs3" localSheetId="28" hidden="1">FeasConstConstraint!$J$11</definedName>
    <definedName name="solver_lhs3" localSheetId="46" hidden="1">FractionalCoeffs!$G$8:$G$9</definedName>
    <definedName name="solver_lhs3" localSheetId="31" hidden="1">IndirectLBs!$H$13</definedName>
    <definedName name="solver_lhs3" localSheetId="27" hidden="1">InfConstConstraint!$J$11</definedName>
    <definedName name="solver_lhs3" localSheetId="48" hidden="1">InfModel!$H$12</definedName>
    <definedName name="solver_lhs3" localSheetId="49" hidden="1">IterativeCalc!$H$12</definedName>
    <definedName name="solver_lhs3" localSheetId="18" hidden="1">MergedLHS_OK!$H$12</definedName>
    <definedName name="solver_lhs3" localSheetId="19" hidden="1">MergedLHSMultiple_OK!$H$12</definedName>
    <definedName name="solver_lhs3" localSheetId="17" hidden="1">MergedRHS_OK!$H$12</definedName>
    <definedName name="solver_lhs3" localSheetId="16" hidden="1">MergedVarsBad!$H$12</definedName>
    <definedName name="solver_lhs3" localSheetId="15" hidden="1">MergedVarsOK!$H$12</definedName>
    <definedName name="solver_lhs3" localSheetId="14" hidden="1">MergedVarsSubset!$H$12</definedName>
    <definedName name="solver_lhs3" localSheetId="54" hidden="1">NamedRanges!$I$10:$I$11</definedName>
    <definedName name="solver_lhs3" localSheetId="67" hidden="1">NonLin!$J$43</definedName>
    <definedName name="solver_lhs3" localSheetId="72" hidden="1">NonLin6!$D$8</definedName>
    <definedName name="solver_lhs3" localSheetId="61" hidden="1">NonLinLarge!$H$73</definedName>
    <definedName name="solver_lhs3" localSheetId="62" hidden="1">NonLinObj!$H$10</definedName>
    <definedName name="solver_lhs3" localSheetId="63" hidden="1">NonLinPruning!$F$12:$F$18</definedName>
    <definedName name="solver_lhs3" localSheetId="60" hidden="1">NonLinSimple!$H$10</definedName>
    <definedName name="solver_lhs3" localSheetId="50" hidden="1">NoObj!$H$12</definedName>
    <definedName name="solver_lhs3" localSheetId="6" hidden="1">OverlappingVars!$H$11</definedName>
    <definedName name="solver_lhs3" localSheetId="30" hidden="1">ProtectedSheet!$H$11</definedName>
    <definedName name="solver_lhs3" localSheetId="36" hidden="1">Relaxation!$F$5</definedName>
    <definedName name="solver_lhs3" localSheetId="51" hidden="1">SeekObj!$G$8:$G$9</definedName>
    <definedName name="solver_lhs3" localSheetId="52" hidden="1">SeekObjInf!$G$8:$G$9</definedName>
    <definedName name="solver_lhs3" localSheetId="58" hidden="1">Sensitivity!$G$10:$G$11</definedName>
    <definedName name="solver_lhs3" localSheetId="59" hidden="1">SensitivityNames!$J$24</definedName>
    <definedName name="solver_lhs3" localSheetId="3" hidden="1">SimpleLP!$H$11</definedName>
    <definedName name="solver_lhs3" localSheetId="56" hidden="1">SolverParameters!$H$20</definedName>
    <definedName name="solver_lhs3" localSheetId="13" hidden="1">TextObj!$H$11</definedName>
    <definedName name="solver_lhs3" localSheetId="9" hidden="1">TextRHS!$H$11</definedName>
    <definedName name="solver_lhs3" localSheetId="29" hidden="1">Unbounded!$H$11</definedName>
    <definedName name="solver_lhs30" localSheetId="61" hidden="1">NonLinLarge!$H$139</definedName>
    <definedName name="solver_lhs300" localSheetId="61" hidden="1">NonLinLarge!$H$139</definedName>
    <definedName name="solver_lhs301" localSheetId="61" hidden="1">NonLinLarge!$H$7:$H$8</definedName>
    <definedName name="solver_lhs302" localSheetId="61" hidden="1">NonLinLarge!$H$9:$H$72</definedName>
    <definedName name="solver_lhs303" localSheetId="61" hidden="1">NonLinLarge!$H$73</definedName>
    <definedName name="solver_lhs304" localSheetId="61" hidden="1">NonLinLarge!$H$74</definedName>
    <definedName name="solver_lhs305" localSheetId="61" hidden="1">NonLinLarge!$H$75:$H$138</definedName>
    <definedName name="solver_lhs306" localSheetId="61" hidden="1">NonLinLarge!$H$139</definedName>
    <definedName name="solver_lhs307" localSheetId="61" hidden="1">NonLinLarge!$H$7:$H$8</definedName>
    <definedName name="solver_lhs308" localSheetId="61" hidden="1">NonLinLarge!$H$9:$H$72</definedName>
    <definedName name="solver_lhs309" localSheetId="61" hidden="1">NonLinLarge!$H$73</definedName>
    <definedName name="solver_lhs31" localSheetId="61" hidden="1">NonLinLarge!$H$7:$H$8</definedName>
    <definedName name="solver_lhs310" localSheetId="61" hidden="1">NonLinLarge!$H$74</definedName>
    <definedName name="solver_lhs311" localSheetId="61" hidden="1">NonLinLarge!$H$75:$H$138</definedName>
    <definedName name="solver_lhs312" localSheetId="61" hidden="1">NonLinLarge!$H$139</definedName>
    <definedName name="solver_lhs313" localSheetId="61" hidden="1">NonLinLarge!$H$7:$H$8</definedName>
    <definedName name="solver_lhs314" localSheetId="61" hidden="1">NonLinLarge!$H$9:$H$72</definedName>
    <definedName name="solver_lhs315" localSheetId="61" hidden="1">NonLinLarge!$H$73</definedName>
    <definedName name="solver_lhs316" localSheetId="61" hidden="1">NonLinLarge!$H$74</definedName>
    <definedName name="solver_lhs317" localSheetId="61" hidden="1">NonLinLarge!$H$75:$H$138</definedName>
    <definedName name="solver_lhs318" localSheetId="61" hidden="1">NonLinLarge!$H$139</definedName>
    <definedName name="solver_lhs319" localSheetId="61" hidden="1">NonLinLarge!$H$7:$H$8</definedName>
    <definedName name="solver_lhs32" localSheetId="61" hidden="1">NonLinLarge!$H$9:$H$72</definedName>
    <definedName name="solver_lhs320" localSheetId="61" hidden="1">NonLinLarge!$H$9:$H$72</definedName>
    <definedName name="solver_lhs321" localSheetId="61" hidden="1">NonLinLarge!$H$73</definedName>
    <definedName name="solver_lhs322" localSheetId="61" hidden="1">NonLinLarge!$H$74</definedName>
    <definedName name="solver_lhs323" localSheetId="61" hidden="1">NonLinLarge!$H$75:$H$138</definedName>
    <definedName name="solver_lhs324" localSheetId="61" hidden="1">NonLinLarge!$H$139</definedName>
    <definedName name="solver_lhs325" localSheetId="61" hidden="1">NonLinLarge!$H$7:$H$8</definedName>
    <definedName name="solver_lhs326" localSheetId="61" hidden="1">NonLinLarge!$H$9:$H$72</definedName>
    <definedName name="solver_lhs327" localSheetId="61" hidden="1">NonLinLarge!$H$73</definedName>
    <definedName name="solver_lhs328" localSheetId="61" hidden="1">NonLinLarge!$H$74</definedName>
    <definedName name="solver_lhs329" localSheetId="61" hidden="1">NonLinLarge!$H$75:$H$138</definedName>
    <definedName name="solver_lhs33" localSheetId="61" hidden="1">NonLinLarge!$H$73</definedName>
    <definedName name="solver_lhs330" localSheetId="61" hidden="1">NonLinLarge!$H$139</definedName>
    <definedName name="solver_lhs331" localSheetId="61" hidden="1">NonLinLarge!$H$7:$H$8</definedName>
    <definedName name="solver_lhs332" localSheetId="61" hidden="1">NonLinLarge!$H$9:$H$72</definedName>
    <definedName name="solver_lhs333" localSheetId="61" hidden="1">NonLinLarge!$H$73</definedName>
    <definedName name="solver_lhs334" localSheetId="61" hidden="1">NonLinLarge!$H$74</definedName>
    <definedName name="solver_lhs335" localSheetId="61" hidden="1">NonLinLarge!$H$75:$H$138</definedName>
    <definedName name="solver_lhs336" localSheetId="61" hidden="1">NonLinLarge!$H$139</definedName>
    <definedName name="solver_lhs337" localSheetId="61" hidden="1">NonLinLarge!$H$7:$H$8</definedName>
    <definedName name="solver_lhs338" localSheetId="61" hidden="1">NonLinLarge!$H$9:$H$72</definedName>
    <definedName name="solver_lhs339" localSheetId="61" hidden="1">NonLinLarge!$H$73</definedName>
    <definedName name="solver_lhs34" localSheetId="61" hidden="1">NonLinLarge!$H$74</definedName>
    <definedName name="solver_lhs340" localSheetId="61" hidden="1">NonLinLarge!$H$74</definedName>
    <definedName name="solver_lhs341" localSheetId="61" hidden="1">NonLinLarge!$H$75:$H$138</definedName>
    <definedName name="solver_lhs342" localSheetId="61" hidden="1">NonLinLarge!$H$139</definedName>
    <definedName name="solver_lhs343" localSheetId="61" hidden="1">NonLinLarge!$H$7:$H$8</definedName>
    <definedName name="solver_lhs344" localSheetId="61" hidden="1">NonLinLarge!$H$9:$H$72</definedName>
    <definedName name="solver_lhs345" localSheetId="61" hidden="1">NonLinLarge!$H$73</definedName>
    <definedName name="solver_lhs346" localSheetId="61" hidden="1">NonLinLarge!$H$74</definedName>
    <definedName name="solver_lhs347" localSheetId="61" hidden="1">NonLinLarge!$H$75:$H$138</definedName>
    <definedName name="solver_lhs348" localSheetId="61" hidden="1">NonLinLarge!$H$139</definedName>
    <definedName name="solver_lhs349" localSheetId="61" hidden="1">NonLinLarge!$H$7:$H$8</definedName>
    <definedName name="solver_lhs35" localSheetId="61" hidden="1">NonLinLarge!$H$75:$H$138</definedName>
    <definedName name="solver_lhs350" localSheetId="61" hidden="1">NonLinLarge!$H$9:$H$72</definedName>
    <definedName name="solver_lhs351" localSheetId="61" hidden="1">NonLinLarge!$H$73</definedName>
    <definedName name="solver_lhs352" localSheetId="61" hidden="1">NonLinLarge!$H$74</definedName>
    <definedName name="solver_lhs353" localSheetId="61" hidden="1">NonLinLarge!$H$75:$H$138</definedName>
    <definedName name="solver_lhs354" localSheetId="61" hidden="1">NonLinLarge!$H$139</definedName>
    <definedName name="solver_lhs355" localSheetId="61" hidden="1">NonLinLarge!$H$7:$H$8</definedName>
    <definedName name="solver_lhs356" localSheetId="61" hidden="1">NonLinLarge!$H$9:$H$72</definedName>
    <definedName name="solver_lhs357" localSheetId="61" hidden="1">NonLinLarge!$H$73</definedName>
    <definedName name="solver_lhs358" localSheetId="61" hidden="1">NonLinLarge!$H$74</definedName>
    <definedName name="solver_lhs359" localSheetId="61" hidden="1">NonLinLarge!$H$75:$H$138</definedName>
    <definedName name="solver_lhs36" localSheetId="61" hidden="1">NonLinLarge!$H$139</definedName>
    <definedName name="solver_lhs360" localSheetId="61" hidden="1">NonLinLarge!$H$139</definedName>
    <definedName name="solver_lhs361" localSheetId="61" hidden="1">NonLinLarge!$H$7:$H$8</definedName>
    <definedName name="solver_lhs362" localSheetId="61" hidden="1">NonLinLarge!$H$9:$H$72</definedName>
    <definedName name="solver_lhs363" localSheetId="61" hidden="1">NonLinLarge!$H$73</definedName>
    <definedName name="solver_lhs364" localSheetId="61" hidden="1">NonLinLarge!$H$74</definedName>
    <definedName name="solver_lhs365" localSheetId="61" hidden="1">NonLinLarge!$H$75:$H$138</definedName>
    <definedName name="solver_lhs366" localSheetId="61" hidden="1">NonLinLarge!$H$139</definedName>
    <definedName name="solver_lhs367" localSheetId="61" hidden="1">NonLinLarge!$H$7:$H$8</definedName>
    <definedName name="solver_lhs368" localSheetId="61" hidden="1">NonLinLarge!$H$9:$H$72</definedName>
    <definedName name="solver_lhs369" localSheetId="61" hidden="1">NonLinLarge!$H$73</definedName>
    <definedName name="solver_lhs37" localSheetId="61" hidden="1">NonLinLarge!$H$7:$H$8</definedName>
    <definedName name="solver_lhs370" localSheetId="61" hidden="1">NonLinLarge!$H$74</definedName>
    <definedName name="solver_lhs371" localSheetId="61" hidden="1">NonLinLarge!$H$75:$H$138</definedName>
    <definedName name="solver_lhs372" localSheetId="61" hidden="1">NonLinLarge!$H$139</definedName>
    <definedName name="solver_lhs373" localSheetId="61" hidden="1">NonLinLarge!$H$7:$H$8</definedName>
    <definedName name="solver_lhs374" localSheetId="61" hidden="1">NonLinLarge!$H$9:$H$72</definedName>
    <definedName name="solver_lhs375" localSheetId="61" hidden="1">NonLinLarge!$H$73</definedName>
    <definedName name="solver_lhs376" localSheetId="61" hidden="1">NonLinLarge!$H$74</definedName>
    <definedName name="solver_lhs377" localSheetId="61" hidden="1">NonLinLarge!$H$75:$H$138</definedName>
    <definedName name="solver_lhs378" localSheetId="61" hidden="1">NonLinLarge!$H$139</definedName>
    <definedName name="solver_lhs379" localSheetId="61" hidden="1">NonLinLarge!$H$7:$H$8</definedName>
    <definedName name="solver_lhs38" localSheetId="61" hidden="1">NonLinLarge!$H$9:$H$72</definedName>
    <definedName name="solver_lhs380" localSheetId="61" hidden="1">NonLinLarge!$H$9:$H$72</definedName>
    <definedName name="solver_lhs381" localSheetId="61" hidden="1">NonLinLarge!$H$73</definedName>
    <definedName name="solver_lhs382" localSheetId="61" hidden="1">NonLinLarge!$H$74</definedName>
    <definedName name="solver_lhs383" localSheetId="61" hidden="1">NonLinLarge!$H$75:$H$138</definedName>
    <definedName name="solver_lhs384" localSheetId="61" hidden="1">NonLinLarge!$H$139</definedName>
    <definedName name="solver_lhs385" localSheetId="61" hidden="1">NonLinLarge!$H$7:$H$8</definedName>
    <definedName name="solver_lhs386" localSheetId="61" hidden="1">NonLinLarge!$H$9:$H$72</definedName>
    <definedName name="solver_lhs387" localSheetId="61" hidden="1">NonLinLarge!$H$73</definedName>
    <definedName name="solver_lhs388" localSheetId="61" hidden="1">NonLinLarge!$H$74</definedName>
    <definedName name="solver_lhs389" localSheetId="61" hidden="1">NonLinLarge!$H$75:$H$138</definedName>
    <definedName name="solver_lhs39" localSheetId="61" hidden="1">NonLinLarge!$H$73</definedName>
    <definedName name="solver_lhs390" localSheetId="61" hidden="1">NonLinLarge!$H$139</definedName>
    <definedName name="solver_lhs391" localSheetId="61" hidden="1">NonLinLarge!$H$7:$H$8</definedName>
    <definedName name="solver_lhs392" localSheetId="61" hidden="1">NonLinLarge!$H$9:$H$72</definedName>
    <definedName name="solver_lhs393" localSheetId="61" hidden="1">NonLinLarge!$H$73</definedName>
    <definedName name="solver_lhs394" localSheetId="61" hidden="1">NonLinLarge!$H$74</definedName>
    <definedName name="solver_lhs395" localSheetId="61" hidden="1">NonLinLarge!$H$75:$H$138</definedName>
    <definedName name="solver_lhs396" localSheetId="61" hidden="1">NonLinLarge!$H$139</definedName>
    <definedName name="solver_lhs397" localSheetId="61" hidden="1">NonLinLarge!$H$7:$H$8</definedName>
    <definedName name="solver_lhs398" localSheetId="61" hidden="1">NonLinLarge!$H$9:$H$72</definedName>
    <definedName name="solver_lhs399" localSheetId="61" hidden="1">NonLinLarge!$H$73</definedName>
    <definedName name="solver_lhs4" localSheetId="35" hidden="1">BinIntLB!$E$5:$F$5</definedName>
    <definedName name="solver_lhs4" localSheetId="20" hidden="1">BinIntOverlap!$E$4:$F$4</definedName>
    <definedName name="solver_lhs4" localSheetId="47" hidden="1">ComplexLayout!$E$4:$F$4</definedName>
    <definedName name="solver_lhs4" localSheetId="21" hidden="1">ConFormula!$E$5:$F$5</definedName>
    <definedName name="solver_lhs4" localSheetId="22" hidden="1">ConFormulaInf!$E$5:$F$5</definedName>
    <definedName name="solver_lhs4" localSheetId="25" hidden="1">DeletedConRef!$K$1</definedName>
    <definedName name="solver_lhs4" localSheetId="31" hidden="1">IndirectLBs!$D$5:$E$5</definedName>
    <definedName name="solver_lhs4" localSheetId="48" hidden="1">InfModel!$D$5</definedName>
    <definedName name="solver_lhs4" localSheetId="54" hidden="1">NamedRanges!$I$12</definedName>
    <definedName name="solver_lhs4" localSheetId="67" hidden="1">NonLin!$J$44</definedName>
    <definedName name="solver_lhs4" localSheetId="72" hidden="1">NonLin6!$D$8</definedName>
    <definedName name="solver_lhs4" localSheetId="61" hidden="1">NonLinLarge!$H$74</definedName>
    <definedName name="solver_lhs4" localSheetId="36" hidden="1">Relaxation!$E$5:$F$5</definedName>
    <definedName name="solver_lhs4" localSheetId="58" hidden="1">Sensitivity!$G$20</definedName>
    <definedName name="solver_lhs4" localSheetId="59" hidden="1">SensitivityNames!$D$14:$H$16</definedName>
    <definedName name="solver_lhs4" localSheetId="57" hidden="1">Warmstart!$D$1:$UE$1</definedName>
    <definedName name="solver_lhs40" localSheetId="61" hidden="1">NonLinLarge!$H$74</definedName>
    <definedName name="solver_lhs400" localSheetId="61" hidden="1">NonLinLarge!$H$74</definedName>
    <definedName name="solver_lhs401" localSheetId="61" hidden="1">NonLinLarge!$H$75:$H$138</definedName>
    <definedName name="solver_lhs402" localSheetId="61" hidden="1">NonLinLarge!$H$139</definedName>
    <definedName name="solver_lhs403" localSheetId="61" hidden="1">NonLinLarge!$H$7:$H$8</definedName>
    <definedName name="solver_lhs404" localSheetId="61" hidden="1">NonLinLarge!$H$9:$H$72</definedName>
    <definedName name="solver_lhs405" localSheetId="61" hidden="1">NonLinLarge!$H$73</definedName>
    <definedName name="solver_lhs406" localSheetId="61" hidden="1">NonLinLarge!$H$74</definedName>
    <definedName name="solver_lhs407" localSheetId="61" hidden="1">NonLinLarge!$H$75:$H$138</definedName>
    <definedName name="solver_lhs408" localSheetId="61" hidden="1">NonLinLarge!$H$139</definedName>
    <definedName name="solver_lhs409" localSheetId="61" hidden="1">NonLinLarge!$H$7:$H$8</definedName>
    <definedName name="solver_lhs41" localSheetId="61" hidden="1">NonLinLarge!$H$75:$H$138</definedName>
    <definedName name="solver_lhs410" localSheetId="61" hidden="1">NonLinLarge!$H$9:$H$72</definedName>
    <definedName name="solver_lhs411" localSheetId="61" hidden="1">NonLinLarge!$H$73</definedName>
    <definedName name="solver_lhs412" localSheetId="61" hidden="1">NonLinLarge!$H$74</definedName>
    <definedName name="solver_lhs413" localSheetId="61" hidden="1">NonLinLarge!$H$75:$H$138</definedName>
    <definedName name="solver_lhs414" localSheetId="61" hidden="1">NonLinLarge!$H$139</definedName>
    <definedName name="solver_lhs415" localSheetId="61" hidden="1">NonLinLarge!$H$7:$H$8</definedName>
    <definedName name="solver_lhs416" localSheetId="61" hidden="1">NonLinLarge!$H$9:$H$72</definedName>
    <definedName name="solver_lhs417" localSheetId="61" hidden="1">NonLinLarge!$H$73</definedName>
    <definedName name="solver_lhs418" localSheetId="61" hidden="1">NonLinLarge!$H$74</definedName>
    <definedName name="solver_lhs419" localSheetId="61" hidden="1">NonLinLarge!$H$75:$H$138</definedName>
    <definedName name="solver_lhs42" localSheetId="61" hidden="1">NonLinLarge!$H$139</definedName>
    <definedName name="solver_lhs420" localSheetId="61" hidden="1">NonLinLarge!$H$139</definedName>
    <definedName name="solver_lhs421" localSheetId="61" hidden="1">NonLinLarge!$H$7:$H$8</definedName>
    <definedName name="solver_lhs422" localSheetId="61" hidden="1">NonLinLarge!$H$9:$H$72</definedName>
    <definedName name="solver_lhs423" localSheetId="61" hidden="1">NonLinLarge!$H$73</definedName>
    <definedName name="solver_lhs424" localSheetId="61" hidden="1">NonLinLarge!$H$74</definedName>
    <definedName name="solver_lhs425" localSheetId="61" hidden="1">NonLinLarge!$H$75:$H$138</definedName>
    <definedName name="solver_lhs426" localSheetId="61" hidden="1">NonLinLarge!$H$139</definedName>
    <definedName name="solver_lhs427" localSheetId="61" hidden="1">NonLinLarge!$H$7:$H$8</definedName>
    <definedName name="solver_lhs428" localSheetId="61" hidden="1">NonLinLarge!$H$9:$H$72</definedName>
    <definedName name="solver_lhs429" localSheetId="61" hidden="1">NonLinLarge!$H$73</definedName>
    <definedName name="solver_lhs43" localSheetId="61" hidden="1">NonLinLarge!$H$7:$H$8</definedName>
    <definedName name="solver_lhs430" localSheetId="61" hidden="1">NonLinLarge!$H$74</definedName>
    <definedName name="solver_lhs431" localSheetId="61" hidden="1">NonLinLarge!$H$75:$H$138</definedName>
    <definedName name="solver_lhs432" localSheetId="61" hidden="1">NonLinLarge!$H$139</definedName>
    <definedName name="solver_lhs433" localSheetId="61" hidden="1">NonLinLarge!$H$7:$H$8</definedName>
    <definedName name="solver_lhs434" localSheetId="61" hidden="1">NonLinLarge!$H$9:$H$72</definedName>
    <definedName name="solver_lhs435" localSheetId="61" hidden="1">NonLinLarge!$H$73</definedName>
    <definedName name="solver_lhs436" localSheetId="61" hidden="1">NonLinLarge!$H$74</definedName>
    <definedName name="solver_lhs437" localSheetId="61" hidden="1">NonLinLarge!$H$75:$H$138</definedName>
    <definedName name="solver_lhs438" localSheetId="61" hidden="1">NonLinLarge!$H$139</definedName>
    <definedName name="solver_lhs439" localSheetId="61" hidden="1">NonLinLarge!$H$7:$H$8</definedName>
    <definedName name="solver_lhs44" localSheetId="61" hidden="1">NonLinLarge!$H$9:$H$72</definedName>
    <definedName name="solver_lhs440" localSheetId="61" hidden="1">NonLinLarge!$H$9:$H$72</definedName>
    <definedName name="solver_lhs441" localSheetId="61" hidden="1">NonLinLarge!$H$73</definedName>
    <definedName name="solver_lhs442" localSheetId="61" hidden="1">NonLinLarge!$H$74</definedName>
    <definedName name="solver_lhs443" localSheetId="61" hidden="1">NonLinLarge!$H$75:$H$138</definedName>
    <definedName name="solver_lhs444" localSheetId="61" hidden="1">NonLinLarge!$H$139</definedName>
    <definedName name="solver_lhs445" localSheetId="61" hidden="1">NonLinLarge!$H$7:$H$8</definedName>
    <definedName name="solver_lhs446" localSheetId="61" hidden="1">NonLinLarge!$H$9:$H$72</definedName>
    <definedName name="solver_lhs447" localSheetId="61" hidden="1">NonLinLarge!$H$73</definedName>
    <definedName name="solver_lhs448" localSheetId="61" hidden="1">NonLinLarge!$H$74</definedName>
    <definedName name="solver_lhs449" localSheetId="61" hidden="1">NonLinLarge!$H$75:$H$138</definedName>
    <definedName name="solver_lhs45" localSheetId="61" hidden="1">NonLinLarge!$H$73</definedName>
    <definedName name="solver_lhs450" localSheetId="61" hidden="1">NonLinLarge!$H$139</definedName>
    <definedName name="solver_lhs451" localSheetId="61" hidden="1">NonLinLarge!$H$7:$H$8</definedName>
    <definedName name="solver_lhs452" localSheetId="61" hidden="1">NonLinLarge!$H$9:$H$72</definedName>
    <definedName name="solver_lhs453" localSheetId="61" hidden="1">NonLinLarge!$H$73</definedName>
    <definedName name="solver_lhs454" localSheetId="61" hidden="1">NonLinLarge!$H$74</definedName>
    <definedName name="solver_lhs455" localSheetId="61" hidden="1">NonLinLarge!$H$75:$H$138</definedName>
    <definedName name="solver_lhs456" localSheetId="61" hidden="1">NonLinLarge!$H$139</definedName>
    <definedName name="solver_lhs457" localSheetId="61" hidden="1">NonLinLarge!$H$7:$H$8</definedName>
    <definedName name="solver_lhs458" localSheetId="61" hidden="1">NonLinLarge!$H$9:$H$72</definedName>
    <definedName name="solver_lhs459" localSheetId="61" hidden="1">NonLinLarge!$H$73</definedName>
    <definedName name="solver_lhs46" localSheetId="61" hidden="1">NonLinLarge!$H$74</definedName>
    <definedName name="solver_lhs460" localSheetId="61" hidden="1">NonLinLarge!$H$74</definedName>
    <definedName name="solver_lhs461" localSheetId="61" hidden="1">NonLinLarge!$H$75:$H$138</definedName>
    <definedName name="solver_lhs462" localSheetId="61" hidden="1">NonLinLarge!$H$139</definedName>
    <definedName name="solver_lhs463" localSheetId="61" hidden="1">NonLinLarge!$H$7:$H$8</definedName>
    <definedName name="solver_lhs464" localSheetId="61" hidden="1">NonLinLarge!$H$9:$H$72</definedName>
    <definedName name="solver_lhs465" localSheetId="61" hidden="1">NonLinLarge!$H$73</definedName>
    <definedName name="solver_lhs466" localSheetId="61" hidden="1">NonLinLarge!$H$74</definedName>
    <definedName name="solver_lhs467" localSheetId="61" hidden="1">NonLinLarge!$H$75:$H$138</definedName>
    <definedName name="solver_lhs468" localSheetId="61" hidden="1">NonLinLarge!$H$139</definedName>
    <definedName name="solver_lhs469" localSheetId="61" hidden="1">NonLinLarge!$H$7:$H$8</definedName>
    <definedName name="solver_lhs47" localSheetId="61" hidden="1">NonLinLarge!$H$75:$H$138</definedName>
    <definedName name="solver_lhs470" localSheetId="61" hidden="1">NonLinLarge!$H$9:$H$72</definedName>
    <definedName name="solver_lhs471" localSheetId="61" hidden="1">NonLinLarge!$H$73</definedName>
    <definedName name="solver_lhs472" localSheetId="61" hidden="1">NonLinLarge!$H$74</definedName>
    <definedName name="solver_lhs473" localSheetId="61" hidden="1">NonLinLarge!$H$75:$H$138</definedName>
    <definedName name="solver_lhs474" localSheetId="61" hidden="1">NonLinLarge!$H$139</definedName>
    <definedName name="solver_lhs475" localSheetId="61" hidden="1">NonLinLarge!$H$7:$H$8</definedName>
    <definedName name="solver_lhs476" localSheetId="61" hidden="1">NonLinLarge!$H$9:$H$72</definedName>
    <definedName name="solver_lhs477" localSheetId="61" hidden="1">NonLinLarge!$H$73</definedName>
    <definedName name="solver_lhs478" localSheetId="61" hidden="1">NonLinLarge!$H$74</definedName>
    <definedName name="solver_lhs479" localSheetId="61" hidden="1">NonLinLarge!$H$75:$H$138</definedName>
    <definedName name="solver_lhs48" localSheetId="61" hidden="1">NonLinLarge!$H$139</definedName>
    <definedName name="solver_lhs480" localSheetId="61" hidden="1">NonLinLarge!$H$139</definedName>
    <definedName name="solver_lhs481" localSheetId="61" hidden="1">NonLinLarge!$H$7:$H$8</definedName>
    <definedName name="solver_lhs482" localSheetId="61" hidden="1">NonLinLarge!$H$9:$H$72</definedName>
    <definedName name="solver_lhs483" localSheetId="61" hidden="1">NonLinLarge!$H$73</definedName>
    <definedName name="solver_lhs484" localSheetId="61" hidden="1">NonLinLarge!$H$74</definedName>
    <definedName name="solver_lhs485" localSheetId="61" hidden="1">NonLinLarge!$H$75:$H$138</definedName>
    <definedName name="solver_lhs486" localSheetId="61" hidden="1">NonLinLarge!$H$139</definedName>
    <definedName name="solver_lhs487" localSheetId="61" hidden="1">NonLinLarge!$H$7:$H$8</definedName>
    <definedName name="solver_lhs488" localSheetId="61" hidden="1">NonLinLarge!$H$9:$H$72</definedName>
    <definedName name="solver_lhs489" localSheetId="61" hidden="1">NonLinLarge!$H$73</definedName>
    <definedName name="solver_lhs49" localSheetId="61" hidden="1">NonLinLarge!$H$7:$H$8</definedName>
    <definedName name="solver_lhs490" localSheetId="61" hidden="1">NonLinLarge!$H$74</definedName>
    <definedName name="solver_lhs491" localSheetId="61" hidden="1">NonLinLarge!$H$75:$H$138</definedName>
    <definedName name="solver_lhs492" localSheetId="61" hidden="1">NonLinLarge!$H$139</definedName>
    <definedName name="solver_lhs493" localSheetId="61" hidden="1">NonLinLarge!$H$7:$H$8</definedName>
    <definedName name="solver_lhs494" localSheetId="61" hidden="1">NonLinLarge!$H$9:$H$72</definedName>
    <definedName name="solver_lhs495" localSheetId="61" hidden="1">NonLinLarge!$H$73</definedName>
    <definedName name="solver_lhs496" localSheetId="61" hidden="1">NonLinLarge!$H$74</definedName>
    <definedName name="solver_lhs497" localSheetId="61" hidden="1">NonLinLarge!$H$75:$H$138</definedName>
    <definedName name="solver_lhs498" localSheetId="61" hidden="1">NonLinLarge!$H$139</definedName>
    <definedName name="solver_lhs499" localSheetId="61" hidden="1">NonLinLarge!$H$7:$H$8</definedName>
    <definedName name="solver_lhs5" localSheetId="20" hidden="1">BinIntOverlap!$D$4:$F$4</definedName>
    <definedName name="solver_lhs5" localSheetId="47" hidden="1">ComplexLayout!$D$4:$F$4</definedName>
    <definedName name="solver_lhs5" localSheetId="21" hidden="1">ConFormula!$D$5:$F$5</definedName>
    <definedName name="solver_lhs5" localSheetId="22" hidden="1">ConFormulaInf!$D$5:$F$5</definedName>
    <definedName name="solver_lhs5" localSheetId="31" hidden="1">IndirectLBs!$D$5</definedName>
    <definedName name="solver_lhs5" localSheetId="67" hidden="1">NonLin!$D$3:$D$35</definedName>
    <definedName name="solver_lhs5" localSheetId="61" hidden="1">NonLinLarge!$H$75:$H$138</definedName>
    <definedName name="solver_lhs5" localSheetId="57" hidden="1">Warmstart!#REF!</definedName>
    <definedName name="solver_lhs50" localSheetId="61" hidden="1">NonLinLarge!$H$9:$H$72</definedName>
    <definedName name="solver_lhs500" localSheetId="61" hidden="1">NonLinLarge!$H$9:$H$72</definedName>
    <definedName name="solver_lhs501" localSheetId="61" hidden="1">NonLinLarge!$H$73</definedName>
    <definedName name="solver_lhs502" localSheetId="61" hidden="1">NonLinLarge!$H$74</definedName>
    <definedName name="solver_lhs503" localSheetId="61" hidden="1">NonLinLarge!$H$75:$H$138</definedName>
    <definedName name="solver_lhs504" localSheetId="61" hidden="1">NonLinLarge!$H$139</definedName>
    <definedName name="solver_lhs505" localSheetId="61" hidden="1">NonLinLarge!$H$7:$H$8</definedName>
    <definedName name="solver_lhs506" localSheetId="61" hidden="1">NonLinLarge!$H$9:$H$72</definedName>
    <definedName name="solver_lhs507" localSheetId="61" hidden="1">NonLinLarge!$H$73</definedName>
    <definedName name="solver_lhs508" localSheetId="61" hidden="1">NonLinLarge!$H$74</definedName>
    <definedName name="solver_lhs509" localSheetId="61" hidden="1">NonLinLarge!$H$75:$H$138</definedName>
    <definedName name="solver_lhs51" localSheetId="61" hidden="1">NonLinLarge!$H$73</definedName>
    <definedName name="solver_lhs510" localSheetId="61" hidden="1">NonLinLarge!$H$139</definedName>
    <definedName name="solver_lhs511" localSheetId="61" hidden="1">NonLinLarge!$H$7:$H$8</definedName>
    <definedName name="solver_lhs512" localSheetId="61" hidden="1">NonLinLarge!$H$9:$H$72</definedName>
    <definedName name="solver_lhs513" localSheetId="61" hidden="1">NonLinLarge!$H$73</definedName>
    <definedName name="solver_lhs514" localSheetId="61" hidden="1">NonLinLarge!$H$74</definedName>
    <definedName name="solver_lhs515" localSheetId="61" hidden="1">NonLinLarge!$H$75:$H$138</definedName>
    <definedName name="solver_lhs516" localSheetId="61" hidden="1">NonLinLarge!$H$139</definedName>
    <definedName name="solver_lhs517" localSheetId="61" hidden="1">NonLinLarge!$H$7:$H$8</definedName>
    <definedName name="solver_lhs518" localSheetId="61" hidden="1">NonLinLarge!$H$9:$H$72</definedName>
    <definedName name="solver_lhs519" localSheetId="61" hidden="1">NonLinLarge!$H$73</definedName>
    <definedName name="solver_lhs52" localSheetId="61" hidden="1">NonLinLarge!$H$74</definedName>
    <definedName name="solver_lhs520" localSheetId="61" hidden="1">NonLinLarge!$H$74</definedName>
    <definedName name="solver_lhs521" localSheetId="61" hidden="1">NonLinLarge!$H$75:$H$138</definedName>
    <definedName name="solver_lhs522" localSheetId="61" hidden="1">NonLinLarge!$H$139</definedName>
    <definedName name="solver_lhs523" localSheetId="61" hidden="1">NonLinLarge!$H$7:$H$8</definedName>
    <definedName name="solver_lhs524" localSheetId="61" hidden="1">NonLinLarge!$H$9:$H$72</definedName>
    <definedName name="solver_lhs525" localSheetId="61" hidden="1">NonLinLarge!$H$73</definedName>
    <definedName name="solver_lhs526" localSheetId="61" hidden="1">NonLinLarge!$H$74</definedName>
    <definedName name="solver_lhs527" localSheetId="61" hidden="1">NonLinLarge!$H$75:$H$138</definedName>
    <definedName name="solver_lhs528" localSheetId="61" hidden="1">NonLinLarge!$H$139</definedName>
    <definedName name="solver_lhs529" localSheetId="61" hidden="1">NonLinLarge!$H$7:$H$8</definedName>
    <definedName name="solver_lhs53" localSheetId="61" hidden="1">NonLinLarge!$H$75:$H$138</definedName>
    <definedName name="solver_lhs530" localSheetId="61" hidden="1">NonLinLarge!$H$9:$H$72</definedName>
    <definedName name="solver_lhs531" localSheetId="61" hidden="1">NonLinLarge!$H$73</definedName>
    <definedName name="solver_lhs532" localSheetId="61" hidden="1">NonLinLarge!$H$74</definedName>
    <definedName name="solver_lhs533" localSheetId="61" hidden="1">NonLinLarge!$H$75:$H$138</definedName>
    <definedName name="solver_lhs534" localSheetId="61" hidden="1">NonLinLarge!$H$139</definedName>
    <definedName name="solver_lhs535" localSheetId="61" hidden="1">NonLinLarge!$H$7:$H$8</definedName>
    <definedName name="solver_lhs536" localSheetId="61" hidden="1">NonLinLarge!$H$9:$H$72</definedName>
    <definedName name="solver_lhs537" localSheetId="61" hidden="1">NonLinLarge!$H$73</definedName>
    <definedName name="solver_lhs538" localSheetId="61" hidden="1">NonLinLarge!$H$74</definedName>
    <definedName name="solver_lhs539" localSheetId="61" hidden="1">NonLinLarge!$H$75:$H$138</definedName>
    <definedName name="solver_lhs54" localSheetId="61" hidden="1">NonLinLarge!$H$139</definedName>
    <definedName name="solver_lhs540" localSheetId="61" hidden="1">NonLinLarge!$H$139</definedName>
    <definedName name="solver_lhs541" localSheetId="61" hidden="1">NonLinLarge!$H$7:$H$8</definedName>
    <definedName name="solver_lhs542" localSheetId="61" hidden="1">NonLinLarge!$H$9:$H$72</definedName>
    <definedName name="solver_lhs543" localSheetId="61" hidden="1">NonLinLarge!$H$73</definedName>
    <definedName name="solver_lhs544" localSheetId="61" hidden="1">NonLinLarge!$H$74</definedName>
    <definedName name="solver_lhs545" localSheetId="61" hidden="1">NonLinLarge!$H$75:$H$138</definedName>
    <definedName name="solver_lhs546" localSheetId="61" hidden="1">NonLinLarge!$H$139</definedName>
    <definedName name="solver_lhs547" localSheetId="61" hidden="1">NonLinLarge!$H$7:$H$8</definedName>
    <definedName name="solver_lhs548" localSheetId="61" hidden="1">NonLinLarge!$H$9:$H$72</definedName>
    <definedName name="solver_lhs549" localSheetId="61" hidden="1">NonLinLarge!$H$73</definedName>
    <definedName name="solver_lhs55" localSheetId="61" hidden="1">NonLinLarge!$H$7:$H$8</definedName>
    <definedName name="solver_lhs550" localSheetId="61" hidden="1">NonLinLarge!$H$74</definedName>
    <definedName name="solver_lhs551" localSheetId="61" hidden="1">NonLinLarge!$H$75:$H$138</definedName>
    <definedName name="solver_lhs552" localSheetId="61" hidden="1">NonLinLarge!$H$139</definedName>
    <definedName name="solver_lhs553" localSheetId="61" hidden="1">NonLinLarge!$H$7:$H$8</definedName>
    <definedName name="solver_lhs554" localSheetId="61" hidden="1">NonLinLarge!$H$9:$H$72</definedName>
    <definedName name="solver_lhs555" localSheetId="61" hidden="1">NonLinLarge!$H$73</definedName>
    <definedName name="solver_lhs556" localSheetId="61" hidden="1">NonLinLarge!$H$74</definedName>
    <definedName name="solver_lhs557" localSheetId="61" hidden="1">NonLinLarge!$H$75:$H$138</definedName>
    <definedName name="solver_lhs558" localSheetId="61" hidden="1">NonLinLarge!$H$139</definedName>
    <definedName name="solver_lhs559" localSheetId="61" hidden="1">NonLinLarge!$H$7:$H$8</definedName>
    <definedName name="solver_lhs56" localSheetId="61" hidden="1">NonLinLarge!$H$9:$H$72</definedName>
    <definedName name="solver_lhs560" localSheetId="61" hidden="1">NonLinLarge!$H$9:$H$72</definedName>
    <definedName name="solver_lhs561" localSheetId="61" hidden="1">NonLinLarge!$H$73</definedName>
    <definedName name="solver_lhs562" localSheetId="61" hidden="1">NonLinLarge!$H$74</definedName>
    <definedName name="solver_lhs563" localSheetId="61" hidden="1">NonLinLarge!$H$75:$H$138</definedName>
    <definedName name="solver_lhs564" localSheetId="61" hidden="1">NonLinLarge!$H$139</definedName>
    <definedName name="solver_lhs565" localSheetId="61" hidden="1">NonLinLarge!$H$7:$H$8</definedName>
    <definedName name="solver_lhs566" localSheetId="61" hidden="1">NonLinLarge!$H$9:$H$72</definedName>
    <definedName name="solver_lhs567" localSheetId="61" hidden="1">NonLinLarge!$H$73</definedName>
    <definedName name="solver_lhs568" localSheetId="61" hidden="1">NonLinLarge!$H$74</definedName>
    <definedName name="solver_lhs569" localSheetId="61" hidden="1">NonLinLarge!$H$75:$H$138</definedName>
    <definedName name="solver_lhs57" localSheetId="61" hidden="1">NonLinLarge!$H$73</definedName>
    <definedName name="solver_lhs570" localSheetId="61" hidden="1">NonLinLarge!$H$139</definedName>
    <definedName name="solver_lhs571" localSheetId="61" hidden="1">NonLinLarge!$H$7:$H$8</definedName>
    <definedName name="solver_lhs572" localSheetId="61" hidden="1">NonLinLarge!$H$9:$H$72</definedName>
    <definedName name="solver_lhs573" localSheetId="61" hidden="1">NonLinLarge!$H$73</definedName>
    <definedName name="solver_lhs574" localSheetId="61" hidden="1">NonLinLarge!$H$74</definedName>
    <definedName name="solver_lhs575" localSheetId="61" hidden="1">NonLinLarge!$H$75:$H$138</definedName>
    <definedName name="solver_lhs576" localSheetId="61" hidden="1">NonLinLarge!$H$139</definedName>
    <definedName name="solver_lhs577" localSheetId="61" hidden="1">NonLinLarge!$H$7:$H$8</definedName>
    <definedName name="solver_lhs578" localSheetId="61" hidden="1">NonLinLarge!$H$9:$H$72</definedName>
    <definedName name="solver_lhs579" localSheetId="61" hidden="1">NonLinLarge!$H$73</definedName>
    <definedName name="solver_lhs58" localSheetId="61" hidden="1">NonLinLarge!$H$74</definedName>
    <definedName name="solver_lhs580" localSheetId="61" hidden="1">NonLinLarge!$H$74</definedName>
    <definedName name="solver_lhs581" localSheetId="61" hidden="1">NonLinLarge!$H$75:$H$138</definedName>
    <definedName name="solver_lhs582" localSheetId="61" hidden="1">NonLinLarge!$H$139</definedName>
    <definedName name="solver_lhs583" localSheetId="61" hidden="1">NonLinLarge!$H$7:$H$8</definedName>
    <definedName name="solver_lhs584" localSheetId="61" hidden="1">NonLinLarge!$H$9:$H$72</definedName>
    <definedName name="solver_lhs585" localSheetId="61" hidden="1">NonLinLarge!$H$73</definedName>
    <definedName name="solver_lhs586" localSheetId="61" hidden="1">NonLinLarge!$H$74</definedName>
    <definedName name="solver_lhs587" localSheetId="61" hidden="1">NonLinLarge!$H$75:$H$138</definedName>
    <definedName name="solver_lhs588" localSheetId="61" hidden="1">NonLinLarge!$H$139</definedName>
    <definedName name="solver_lhs589" localSheetId="61" hidden="1">NonLinLarge!$H$7:$H$8</definedName>
    <definedName name="solver_lhs59" localSheetId="61" hidden="1">NonLinLarge!$H$75:$H$138</definedName>
    <definedName name="solver_lhs590" localSheetId="61" hidden="1">NonLinLarge!$H$9:$H$72</definedName>
    <definedName name="solver_lhs591" localSheetId="61" hidden="1">NonLinLarge!$H$73</definedName>
    <definedName name="solver_lhs592" localSheetId="61" hidden="1">NonLinLarge!$H$74</definedName>
    <definedName name="solver_lhs593" localSheetId="61" hidden="1">NonLinLarge!$H$75:$H$138</definedName>
    <definedName name="solver_lhs594" localSheetId="61" hidden="1">NonLinLarge!$H$139</definedName>
    <definedName name="solver_lhs595" localSheetId="61" hidden="1">NonLinLarge!$H$7:$H$8</definedName>
    <definedName name="solver_lhs596" localSheetId="61" hidden="1">NonLinLarge!$H$9:$H$72</definedName>
    <definedName name="solver_lhs597" localSheetId="61" hidden="1">NonLinLarge!$H$73</definedName>
    <definedName name="solver_lhs598" localSheetId="61" hidden="1">NonLinLarge!$H$74</definedName>
    <definedName name="solver_lhs599" localSheetId="61" hidden="1">NonLinLarge!$H$75:$H$138</definedName>
    <definedName name="solver_lhs6" localSheetId="47" hidden="1">ComplexLayout!$S$3:$S$4</definedName>
    <definedName name="solver_lhs6" localSheetId="21" hidden="1">ConFormula!$S$4:$S$5</definedName>
    <definedName name="solver_lhs6" localSheetId="22" hidden="1">ConFormulaInf!$S$4:$S$5</definedName>
    <definedName name="solver_lhs6" localSheetId="61" hidden="1">NonLinLarge!$H$139</definedName>
    <definedName name="solver_lhs60" localSheetId="61" hidden="1">NonLinLarge!$H$139</definedName>
    <definedName name="solver_lhs600" localSheetId="61" hidden="1">NonLinLarge!$H$139</definedName>
    <definedName name="solver_lhs61" localSheetId="61" hidden="1">NonLinLarge!$H$7:$H$8</definedName>
    <definedName name="solver_lhs62" localSheetId="61" hidden="1">NonLinLarge!$H$9:$H$72</definedName>
    <definedName name="solver_lhs63" localSheetId="61" hidden="1">NonLinLarge!$H$73</definedName>
    <definedName name="solver_lhs64" localSheetId="61" hidden="1">NonLinLarge!$H$74</definedName>
    <definedName name="solver_lhs65" localSheetId="61" hidden="1">NonLinLarge!$H$75:$H$138</definedName>
    <definedName name="solver_lhs66" localSheetId="61" hidden="1">NonLinLarge!$H$139</definedName>
    <definedName name="solver_lhs67" localSheetId="61" hidden="1">NonLinLarge!$H$7:$H$8</definedName>
    <definedName name="solver_lhs68" localSheetId="61" hidden="1">NonLinLarge!$H$9:$H$72</definedName>
    <definedName name="solver_lhs69" localSheetId="61" hidden="1">NonLinLarge!$H$73</definedName>
    <definedName name="solver_lhs7" localSheetId="47" hidden="1">ComplexLayout!$Q$5:$R$5</definedName>
    <definedName name="solver_lhs7" localSheetId="21" hidden="1">ConFormula!$Q$6:$R$6</definedName>
    <definedName name="solver_lhs7" localSheetId="22" hidden="1">ConFormulaInf!$Q$6:$R$6</definedName>
    <definedName name="solver_lhs7" localSheetId="61" hidden="1">NonLinLarge!$H$7:$H$8</definedName>
    <definedName name="solver_lhs70" localSheetId="61" hidden="1">NonLinLarge!$H$74</definedName>
    <definedName name="solver_lhs71" localSheetId="61" hidden="1">NonLinLarge!$H$75:$H$138</definedName>
    <definedName name="solver_lhs72" localSheetId="61" hidden="1">NonLinLarge!$H$139</definedName>
    <definedName name="solver_lhs73" localSheetId="61" hidden="1">NonLinLarge!$H$7:$H$8</definedName>
    <definedName name="solver_lhs74" localSheetId="61" hidden="1">NonLinLarge!$H$9:$H$72</definedName>
    <definedName name="solver_lhs75" localSheetId="61" hidden="1">NonLinLarge!$H$73</definedName>
    <definedName name="solver_lhs76" localSheetId="61" hidden="1">NonLinLarge!$H$74</definedName>
    <definedName name="solver_lhs77" localSheetId="61" hidden="1">NonLinLarge!$H$75:$H$138</definedName>
    <definedName name="solver_lhs78" localSheetId="61" hidden="1">NonLinLarge!$H$139</definedName>
    <definedName name="solver_lhs79" localSheetId="61" hidden="1">NonLinLarge!$H$7:$H$8</definedName>
    <definedName name="solver_lhs8" localSheetId="21" hidden="1">ConFormula!$I$10</definedName>
    <definedName name="solver_lhs8" localSheetId="22" hidden="1">ConFormulaInf!$I$10</definedName>
    <definedName name="solver_lhs8" localSheetId="61" hidden="1">NonLinLarge!$H$9:$H$72</definedName>
    <definedName name="solver_lhs80" localSheetId="61" hidden="1">NonLinLarge!$H$9:$H$72</definedName>
    <definedName name="solver_lhs81" localSheetId="61" hidden="1">NonLinLarge!$H$73</definedName>
    <definedName name="solver_lhs82" localSheetId="61" hidden="1">NonLinLarge!$H$74</definedName>
    <definedName name="solver_lhs83" localSheetId="61" hidden="1">NonLinLarge!$H$75:$H$138</definedName>
    <definedName name="solver_lhs84" localSheetId="61" hidden="1">NonLinLarge!$H$139</definedName>
    <definedName name="solver_lhs85" localSheetId="61" hidden="1">NonLinLarge!$H$7:$H$8</definedName>
    <definedName name="solver_lhs86" localSheetId="61" hidden="1">NonLinLarge!$H$9:$H$72</definedName>
    <definedName name="solver_lhs87" localSheetId="61" hidden="1">NonLinLarge!$H$73</definedName>
    <definedName name="solver_lhs88" localSheetId="61" hidden="1">NonLinLarge!$H$74</definedName>
    <definedName name="solver_lhs89" localSheetId="61" hidden="1">NonLinLarge!$H$75:$H$138</definedName>
    <definedName name="solver_lhs9" localSheetId="22" hidden="1">ConFormulaInf!$I$14</definedName>
    <definedName name="solver_lhs9" localSheetId="61" hidden="1">NonLinLarge!$H$73</definedName>
    <definedName name="solver_lhs90" localSheetId="61" hidden="1">NonLinLarge!$H$139</definedName>
    <definedName name="solver_lhs91" localSheetId="61" hidden="1">NonLinLarge!$H$7:$H$8</definedName>
    <definedName name="solver_lhs92" localSheetId="61" hidden="1">NonLinLarge!$H$9:$H$72</definedName>
    <definedName name="solver_lhs93" localSheetId="61" hidden="1">NonLinLarge!$H$73</definedName>
    <definedName name="solver_lhs94" localSheetId="61" hidden="1">NonLinLarge!$H$74</definedName>
    <definedName name="solver_lhs95" localSheetId="61" hidden="1">NonLinLarge!$H$75:$H$138</definedName>
    <definedName name="solver_lhs96" localSheetId="61" hidden="1">NonLinLarge!$H$139</definedName>
    <definedName name="solver_lhs97" localSheetId="61" hidden="1">NonLinLarge!$H$7:$H$8</definedName>
    <definedName name="solver_lhs98" localSheetId="61" hidden="1">NonLinLarge!$H$9:$H$72</definedName>
    <definedName name="solver_lhs99" localSheetId="61" hidden="1">NonLinLarge!$H$73</definedName>
    <definedName name="solver_lin" localSheetId="57" hidden="1">1</definedName>
    <definedName name="solver_neg" localSheetId="23" hidden="1">1</definedName>
    <definedName name="solver_neg" localSheetId="35" hidden="1">1</definedName>
    <definedName name="solver_neg" localSheetId="20" hidden="1">1</definedName>
    <definedName name="solver_neg" localSheetId="34" hidden="1">1</definedName>
    <definedName name="solver_neg" localSheetId="8" hidden="1">1</definedName>
    <definedName name="solver_neg" localSheetId="7" hidden="1">1</definedName>
    <definedName name="solver_neg" localSheetId="47" hidden="1">1</definedName>
    <definedName name="solver_neg" localSheetId="21" hidden="1">1</definedName>
    <definedName name="solver_neg" localSheetId="22" hidden="1">1</definedName>
    <definedName name="solver_neg" localSheetId="43" hidden="1">1</definedName>
    <definedName name="solver_neg" localSheetId="40" hidden="1">1</definedName>
    <definedName name="solver_neg" localSheetId="42" hidden="1">1</definedName>
    <definedName name="solver_neg" localSheetId="25" hidden="1">1</definedName>
    <definedName name="solver_neg" localSheetId="53" hidden="1">1</definedName>
    <definedName name="solver_neg" localSheetId="32" hidden="1">1</definedName>
    <definedName name="solver_neg" localSheetId="11" hidden="1">1</definedName>
    <definedName name="solver_neg" localSheetId="10" hidden="1">1</definedName>
    <definedName name="solver_neg" localSheetId="24" hidden="1">1</definedName>
    <definedName name="solver_neg" localSheetId="28" hidden="1">1</definedName>
    <definedName name="solver_neg" localSheetId="44" hidden="1">1</definedName>
    <definedName name="solver_neg" localSheetId="46" hidden="1">1</definedName>
    <definedName name="solver_neg" localSheetId="31" hidden="1">1</definedName>
    <definedName name="solver_neg" localSheetId="27" hidden="1">1</definedName>
    <definedName name="solver_neg" localSheetId="48" hidden="1">1</definedName>
    <definedName name="solver_neg" localSheetId="5" hidden="1">1</definedName>
    <definedName name="solver_neg" localSheetId="49" hidden="1">1</definedName>
    <definedName name="solver_neg" localSheetId="37" hidden="1">1</definedName>
    <definedName name="solver_neg" localSheetId="18" hidden="1">1</definedName>
    <definedName name="solver_neg" localSheetId="19" hidden="1">1</definedName>
    <definedName name="solver_neg" localSheetId="17" hidden="1">1</definedName>
    <definedName name="solver_neg" localSheetId="15" hidden="1">1</definedName>
    <definedName name="solver_neg" localSheetId="54" hidden="1">1</definedName>
    <definedName name="solver_neg" localSheetId="67" hidden="1">1</definedName>
    <definedName name="solver_neg" localSheetId="68" hidden="1">1</definedName>
    <definedName name="solver_neg" localSheetId="69" hidden="1">1</definedName>
    <definedName name="solver_neg" localSheetId="71" hidden="1">1</definedName>
    <definedName name="solver_neg" localSheetId="72" hidden="1">1</definedName>
    <definedName name="solver_neg" localSheetId="66" hidden="1">1</definedName>
    <definedName name="solver_neg" localSheetId="65" hidden="1">1</definedName>
    <definedName name="solver_neg" localSheetId="61" hidden="1">1</definedName>
    <definedName name="solver_neg" localSheetId="64" hidden="1">1</definedName>
    <definedName name="solver_neg" localSheetId="62" hidden="1">1</definedName>
    <definedName name="solver_neg" localSheetId="63" hidden="1">1</definedName>
    <definedName name="solver_neg" localSheetId="60" hidden="1">1</definedName>
    <definedName name="solver_neg" localSheetId="50" hidden="1">1</definedName>
    <definedName name="solver_neg" localSheetId="6" hidden="1">1</definedName>
    <definedName name="solver_neg" localSheetId="38" hidden="1">1</definedName>
    <definedName name="solver_neg" localSheetId="39" hidden="1">1</definedName>
    <definedName name="solver_neg" localSheetId="55" hidden="1">1</definedName>
    <definedName name="solver_neg" localSheetId="36" hidden="1">1</definedName>
    <definedName name="solver_neg" localSheetId="2" hidden="1">1</definedName>
    <definedName name="solver_neg" localSheetId="51" hidden="1">1</definedName>
    <definedName name="solver_neg" localSheetId="52" hidden="1">1</definedName>
    <definedName name="solver_neg" localSheetId="58" hidden="1">1</definedName>
    <definedName name="solver_neg" localSheetId="59" hidden="1">0</definedName>
    <definedName name="solver_neg" localSheetId="4" hidden="1">1</definedName>
    <definedName name="solver_neg" localSheetId="3" hidden="1">1</definedName>
    <definedName name="solver_neg" localSheetId="33" hidden="1">1</definedName>
    <definedName name="solver_neg" localSheetId="56" hidden="1">0</definedName>
    <definedName name="solver_neg" localSheetId="9" hidden="1">1</definedName>
    <definedName name="solver_neg" localSheetId="29" hidden="1">0</definedName>
    <definedName name="solver_neg" localSheetId="45" hidden="1">1</definedName>
    <definedName name="solver_neg" localSheetId="41" hidden="1">1</definedName>
    <definedName name="solver_neg" localSheetId="57" hidden="1">1</definedName>
    <definedName name="solver_num" localSheetId="23" hidden="1">3</definedName>
    <definedName name="solver_num" localSheetId="35" hidden="1">4</definedName>
    <definedName name="solver_num" localSheetId="20" hidden="1">5</definedName>
    <definedName name="solver_num" localSheetId="34" hidden="1">3</definedName>
    <definedName name="solver_num" localSheetId="8" hidden="1">3</definedName>
    <definedName name="solver_num" localSheetId="7" hidden="1">3</definedName>
    <definedName name="solver_num" localSheetId="47" hidden="1">7</definedName>
    <definedName name="solver_num" localSheetId="21" hidden="1">8</definedName>
    <definedName name="solver_num" localSheetId="22" hidden="1">9</definedName>
    <definedName name="solver_num" localSheetId="43" hidden="1">2</definedName>
    <definedName name="solver_num" localSheetId="40" hidden="1">2</definedName>
    <definedName name="solver_num" localSheetId="42" hidden="1">1</definedName>
    <definedName name="solver_num" localSheetId="25" hidden="1">4</definedName>
    <definedName name="solver_num" localSheetId="26" hidden="1">3</definedName>
    <definedName name="solver_num" localSheetId="53" hidden="1">3</definedName>
    <definedName name="solver_num" localSheetId="32" hidden="1">2</definedName>
    <definedName name="solver_num" localSheetId="11" hidden="1">3</definedName>
    <definedName name="solver_num" localSheetId="12" hidden="1">3</definedName>
    <definedName name="solver_num" localSheetId="10" hidden="1">3</definedName>
    <definedName name="solver_num" localSheetId="24" hidden="1">3</definedName>
    <definedName name="solver_num" localSheetId="28" hidden="1">3</definedName>
    <definedName name="solver_num" localSheetId="44" hidden="1">2</definedName>
    <definedName name="solver_num" localSheetId="46" hidden="1">3</definedName>
    <definedName name="solver_num" localSheetId="31" hidden="1">5</definedName>
    <definedName name="solver_num" localSheetId="27" hidden="1">3</definedName>
    <definedName name="solver_num" localSheetId="48" hidden="1">4</definedName>
    <definedName name="solver_num" localSheetId="5" hidden="1">2</definedName>
    <definedName name="solver_num" localSheetId="49" hidden="1">3</definedName>
    <definedName name="solver_num" localSheetId="37" hidden="1">2</definedName>
    <definedName name="solver_num" localSheetId="18" hidden="1">3</definedName>
    <definedName name="solver_num" localSheetId="19" hidden="1">3</definedName>
    <definedName name="solver_num" localSheetId="17" hidden="1">3</definedName>
    <definedName name="solver_num" localSheetId="16" hidden="1">3</definedName>
    <definedName name="solver_num" localSheetId="15" hidden="1">3</definedName>
    <definedName name="solver_num" localSheetId="14" hidden="1">3</definedName>
    <definedName name="solver_num" localSheetId="54" hidden="1">4</definedName>
    <definedName name="solver_num" localSheetId="67" hidden="1">5</definedName>
    <definedName name="solver_num" localSheetId="68" hidden="1">1</definedName>
    <definedName name="solver_num" localSheetId="69" hidden="1">2</definedName>
    <definedName name="solver_num" localSheetId="70" hidden="1">1</definedName>
    <definedName name="solver_num" localSheetId="71" hidden="1">0</definedName>
    <definedName name="solver_num" localSheetId="72" hidden="1">4</definedName>
    <definedName name="solver_num" localSheetId="66" hidden="1">2</definedName>
    <definedName name="solver_num" localSheetId="65" hidden="1">1</definedName>
    <definedName name="solver_num" localSheetId="61" hidden="1">6</definedName>
    <definedName name="solver_num" localSheetId="64" hidden="1">2</definedName>
    <definedName name="solver_num" localSheetId="62" hidden="1">3</definedName>
    <definedName name="solver_num" localSheetId="63" hidden="1">3</definedName>
    <definedName name="solver_num" localSheetId="60" hidden="1">3</definedName>
    <definedName name="solver_num" localSheetId="50" hidden="1">3</definedName>
    <definedName name="solver_num" localSheetId="6" hidden="1">3</definedName>
    <definedName name="solver_num" localSheetId="38" hidden="1">2</definedName>
    <definedName name="solver_num" localSheetId="39" hidden="1">2</definedName>
    <definedName name="solver_num" localSheetId="30" hidden="1">3</definedName>
    <definedName name="solver_num" localSheetId="55" hidden="1">2</definedName>
    <definedName name="solver_num" localSheetId="36" hidden="1">4</definedName>
    <definedName name="solver_num" localSheetId="2" hidden="1">0</definedName>
    <definedName name="solver_num" localSheetId="51" hidden="1">3</definedName>
    <definedName name="solver_num" localSheetId="52" hidden="1">3</definedName>
    <definedName name="solver_num" localSheetId="58" hidden="1">4</definedName>
    <definedName name="solver_num" localSheetId="59" hidden="1">4</definedName>
    <definedName name="solver_num" localSheetId="4" hidden="1">2</definedName>
    <definedName name="solver_num" localSheetId="3" hidden="1">3</definedName>
    <definedName name="solver_num" localSheetId="33" hidden="1">2</definedName>
    <definedName name="solver_num" localSheetId="56" hidden="1">3</definedName>
    <definedName name="solver_num" localSheetId="13" hidden="1">3</definedName>
    <definedName name="solver_num" localSheetId="9" hidden="1">3</definedName>
    <definedName name="solver_num" localSheetId="29" hidden="1">3</definedName>
    <definedName name="solver_num" localSheetId="45" hidden="1">2</definedName>
    <definedName name="solver_num" localSheetId="41" hidden="1">2</definedName>
    <definedName name="solver_num" localSheetId="57" hidden="1">2</definedName>
    <definedName name="solver_nwt" localSheetId="23" hidden="1">1</definedName>
    <definedName name="solver_nwt" localSheetId="5" hidden="1">1</definedName>
    <definedName name="solver_nwt" localSheetId="70" hidden="1">1</definedName>
    <definedName name="solver_nwt" localSheetId="72" hidden="1">1</definedName>
    <definedName name="solver_nwt" localSheetId="61" hidden="1">1</definedName>
    <definedName name="solver_nwt" localSheetId="2" hidden="1">1</definedName>
    <definedName name="solver_nwt" localSheetId="52" hidden="1">1</definedName>
    <definedName name="solver_nwt" localSheetId="59" hidden="1">1</definedName>
    <definedName name="solver_nwt" localSheetId="3" hidden="1">1</definedName>
    <definedName name="solver_nwt" localSheetId="57" hidden="1">1</definedName>
    <definedName name="solver_opt" localSheetId="23" hidden="1">'BadName!'!$H$7</definedName>
    <definedName name="solver_opt" localSheetId="35" hidden="1">BinIntLB!$H$9</definedName>
    <definedName name="solver_opt" localSheetId="20" hidden="1">BinIntOverlap!$I$6</definedName>
    <definedName name="solver_opt" localSheetId="34" hidden="1">BinLB!$H$9</definedName>
    <definedName name="solver_opt" localSheetId="8" hidden="1">BlankLHS!$H$6</definedName>
    <definedName name="solver_opt" localSheetId="7" hidden="1">BlankRHS!$H$6</definedName>
    <definedName name="solver_opt" localSheetId="47" hidden="1">ComplexLayout!$I$6</definedName>
    <definedName name="solver_opt" localSheetId="21" hidden="1">ConFormula!$I$7</definedName>
    <definedName name="solver_opt" localSheetId="22" hidden="1">ConFormulaInf!$I$7</definedName>
    <definedName name="solver_opt" localSheetId="43" hidden="1">ConstantLB!$H$9</definedName>
    <definedName name="solver_opt" localSheetId="40" hidden="1">ConstFormulaRangeLB!$H$8</definedName>
    <definedName name="solver_opt" localSheetId="42" hidden="1">ConstraintLB!$H$9</definedName>
    <definedName name="solver_opt" localSheetId="25" hidden="1">DeletedConRef!$H$7</definedName>
    <definedName name="solver_opt" localSheetId="26" hidden="1">DeletedObjRef!#REF!</definedName>
    <definedName name="solver_opt" localSheetId="53" hidden="1">SeekObj!$G$17</definedName>
    <definedName name="solver_opt" localSheetId="32" hidden="1">DirectLBs!$H$8</definedName>
    <definedName name="solver_opt" localSheetId="11" hidden="1">ErrorLHS!$H$6</definedName>
    <definedName name="solver_opt" localSheetId="12" hidden="1">ErrorObj!$H$6</definedName>
    <definedName name="solver_opt" localSheetId="10" hidden="1">ErrorRHS!$H$6</definedName>
    <definedName name="solver_opt" localSheetId="24" hidden="1">'EscapeSheetName(1)+2-1'!$H$6</definedName>
    <definedName name="solver_opt" localSheetId="28" hidden="1">FeasConstConstraint!$J$6</definedName>
    <definedName name="solver_opt" localSheetId="44" hidden="1">FormulaLB!$H$9</definedName>
    <definedName name="solver_opt" localSheetId="46" hidden="1">FractionalCoeffs!$G$4</definedName>
    <definedName name="solver_opt" localSheetId="31" hidden="1">IndirectLBs!$H$8</definedName>
    <definedName name="solver_opt" localSheetId="27" hidden="1">InfConstConstraint!$J$6</definedName>
    <definedName name="solver_opt" localSheetId="48" hidden="1">InfModel!$H$7</definedName>
    <definedName name="solver_opt" localSheetId="5" hidden="1">IP_SUMIF!$E$10</definedName>
    <definedName name="solver_opt" localSheetId="49" hidden="1">IterativeCalc!$H$7</definedName>
    <definedName name="solver_opt" localSheetId="37" hidden="1">LargeRangeLB!$H$10</definedName>
    <definedName name="solver_opt" localSheetId="18" hidden="1">MergedLHS_OK!$H$7</definedName>
    <definedName name="solver_opt" localSheetId="19" hidden="1">MergedLHSMultiple_OK!$H$7</definedName>
    <definedName name="solver_opt" localSheetId="17" hidden="1">MergedRHS_OK!$H$7</definedName>
    <definedName name="solver_opt" localSheetId="16" hidden="1">MergedVarsBad!$H$7</definedName>
    <definedName name="solver_opt" localSheetId="15" hidden="1">MergedVarsOK!$H$7</definedName>
    <definedName name="solver_opt" localSheetId="14" hidden="1">MergedVarsSubset!$H$7</definedName>
    <definedName name="solver_opt" localSheetId="54" hidden="1">NamedRanges!$I$6</definedName>
    <definedName name="solver_opt" localSheetId="67" hidden="1">NonLin!$I$39</definedName>
    <definedName name="solver_opt" localSheetId="68" hidden="1">NonLin2!$F$4</definedName>
    <definedName name="solver_opt" localSheetId="69" hidden="1">NonLin3!$S$13</definedName>
    <definedName name="solver_opt" localSheetId="70" hidden="1">NonLin4!$D$16</definedName>
    <definedName name="solver_opt" localSheetId="71" hidden="1">NonLin5!$J$7</definedName>
    <definedName name="solver_opt" localSheetId="72" hidden="1">NonLin6!$F$15</definedName>
    <definedName name="solver_opt" localSheetId="66" hidden="1">NonLinBinary!$C$6</definedName>
    <definedName name="solver_opt" localSheetId="65" hidden="1">NonLinConstraints!$I$6</definedName>
    <definedName name="solver_opt" localSheetId="61" hidden="1">NonLinLarge!$H$5</definedName>
    <definedName name="solver_opt" localSheetId="64" hidden="1">NonLinMinMax!$G$6</definedName>
    <definedName name="solver_opt" localSheetId="62" hidden="1">NonLinObj!$H$5</definedName>
    <definedName name="solver_opt" localSheetId="63" hidden="1">NonLinPruning!$F$6</definedName>
    <definedName name="solver_opt" localSheetId="60" hidden="1">NonLinSimple!$H$5</definedName>
    <definedName name="solver_opt" localSheetId="6" hidden="1">OverlappingVars!$H$6</definedName>
    <definedName name="solver_opt" localSheetId="38" hidden="1">OverlapRangeLB!$H$10</definedName>
    <definedName name="solver_opt" localSheetId="39" hidden="1">OverlapRangeLBwithFormula!$H$10</definedName>
    <definedName name="solver_opt" localSheetId="30" hidden="1">ProtectedSheet!$H$6</definedName>
    <definedName name="solver_opt" localSheetId="55" hidden="1">QuickSolve!$H$6</definedName>
    <definedName name="solver_opt" localSheetId="36" hidden="1">Relaxation!$H$9</definedName>
    <definedName name="solver_opt" localSheetId="51" hidden="1">SeekObj!$G$4</definedName>
    <definedName name="solver_opt" localSheetId="52" hidden="1">SeekObjInf!$G$4</definedName>
    <definedName name="solver_opt" localSheetId="58" hidden="1">Sensitivity!$G$6</definedName>
    <definedName name="solver_opt" localSheetId="59" hidden="1">SensitivityNames!$D$20</definedName>
    <definedName name="solver_opt" localSheetId="4" hidden="1">SimpleIP!$E$10</definedName>
    <definedName name="solver_opt" localSheetId="3" hidden="1">SimpleLP!$H$6</definedName>
    <definedName name="solver_opt" localSheetId="33" hidden="1">SingleRangeLB!$H$8</definedName>
    <definedName name="solver_opt" localSheetId="56" hidden="1">SolverParameters!$H$15</definedName>
    <definedName name="solver_opt" localSheetId="13" hidden="1">TextObj!$H$6</definedName>
    <definedName name="solver_opt" localSheetId="9" hidden="1">TextRHS!$H$6</definedName>
    <definedName name="solver_opt" localSheetId="29" hidden="1">Unbounded!$H$6</definedName>
    <definedName name="solver_opt" localSheetId="45" hidden="1">VarConstraintLB!$H$9</definedName>
    <definedName name="solver_opt" localSheetId="41" hidden="1">VariableFormulaRangeLB!$H$9</definedName>
    <definedName name="solver_opt" localSheetId="57" hidden="1">Warmstart!$UF$2</definedName>
    <definedName name="solver_pre" localSheetId="63" hidden="1">0.001</definedName>
    <definedName name="solver_pre" localSheetId="2" hidden="1">0.000001</definedName>
    <definedName name="solver_pre" localSheetId="59" hidden="1">0.0001</definedName>
    <definedName name="solver_rel1" localSheetId="23" hidden="1">1</definedName>
    <definedName name="solver_rel1" localSheetId="35" hidden="1">3</definedName>
    <definedName name="solver_rel1" localSheetId="20" hidden="1">1</definedName>
    <definedName name="solver_rel1" localSheetId="34" hidden="1">3</definedName>
    <definedName name="solver_rel1" localSheetId="8" hidden="1">1</definedName>
    <definedName name="solver_rel1" localSheetId="7" hidden="1">1</definedName>
    <definedName name="solver_rel1" localSheetId="47" hidden="1">1</definedName>
    <definedName name="solver_rel1" localSheetId="21" hidden="1">1</definedName>
    <definedName name="solver_rel1" localSheetId="22" hidden="1">1</definedName>
    <definedName name="solver_rel1" localSheetId="43" hidden="1">3</definedName>
    <definedName name="solver_rel1" localSheetId="40" hidden="1">3</definedName>
    <definedName name="solver_rel1" localSheetId="42" hidden="1">3</definedName>
    <definedName name="solver_rel1" localSheetId="25" hidden="1">1</definedName>
    <definedName name="solver_rel1" localSheetId="26" hidden="1">1</definedName>
    <definedName name="solver_rel1" localSheetId="53" hidden="1">2</definedName>
    <definedName name="solver_rel1" localSheetId="32" hidden="1">3</definedName>
    <definedName name="solver_rel1" localSheetId="11" hidden="1">1</definedName>
    <definedName name="solver_rel1" localSheetId="12" hidden="1">1</definedName>
    <definedName name="solver_rel1" localSheetId="10" hidden="1">1</definedName>
    <definedName name="solver_rel1" localSheetId="24" hidden="1">1</definedName>
    <definedName name="solver_rel1" localSheetId="28" hidden="1">1</definedName>
    <definedName name="solver_rel1" localSheetId="44" hidden="1">3</definedName>
    <definedName name="solver_rel1" localSheetId="46" hidden="1">2</definedName>
    <definedName name="solver_rel1" localSheetId="31" hidden="1">1</definedName>
    <definedName name="solver_rel1" localSheetId="27" hidden="1">1</definedName>
    <definedName name="solver_rel1" localSheetId="48" hidden="1">1</definedName>
    <definedName name="solver_rel1" localSheetId="5" hidden="1">1</definedName>
    <definedName name="solver_rel1" localSheetId="49" hidden="1">1</definedName>
    <definedName name="solver_rel1" localSheetId="37" hidden="1">3</definedName>
    <definedName name="solver_rel1" localSheetId="18" hidden="1">1</definedName>
    <definedName name="solver_rel1" localSheetId="19" hidden="1">1</definedName>
    <definedName name="solver_rel1" localSheetId="17" hidden="1">1</definedName>
    <definedName name="solver_rel1" localSheetId="16" hidden="1">1</definedName>
    <definedName name="solver_rel1" localSheetId="15" hidden="1">1</definedName>
    <definedName name="solver_rel1" localSheetId="14" hidden="1">1</definedName>
    <definedName name="solver_rel1" localSheetId="54" hidden="1">1</definedName>
    <definedName name="solver_rel1" localSheetId="67" hidden="1">3</definedName>
    <definedName name="solver_rel1" localSheetId="68" hidden="1">3</definedName>
    <definedName name="solver_rel1" localSheetId="69" hidden="1">3</definedName>
    <definedName name="solver_rel1" localSheetId="70" hidden="1">1</definedName>
    <definedName name="solver_rel1" localSheetId="72" hidden="1">3</definedName>
    <definedName name="solver_rel1" localSheetId="66" hidden="1">3</definedName>
    <definedName name="solver_rel1" localSheetId="65" hidden="1">1</definedName>
    <definedName name="solver_rel1" localSheetId="61" hidden="1">1</definedName>
    <definedName name="solver_rel1" localSheetId="64" hidden="1">1</definedName>
    <definedName name="solver_rel1" localSheetId="62" hidden="1">1</definedName>
    <definedName name="solver_rel1" localSheetId="63" hidden="1">1</definedName>
    <definedName name="solver_rel1" localSheetId="60" hidden="1">1</definedName>
    <definedName name="solver_rel1" localSheetId="50" hidden="1">1</definedName>
    <definedName name="solver_rel1" localSheetId="6" hidden="1">1</definedName>
    <definedName name="solver_rel1" localSheetId="38" hidden="1">3</definedName>
    <definedName name="solver_rel1" localSheetId="39" hidden="1">3</definedName>
    <definedName name="solver_rel1" localSheetId="30" hidden="1">1</definedName>
    <definedName name="solver_rel1" localSheetId="55" hidden="1">1</definedName>
    <definedName name="solver_rel1" localSheetId="36" hidden="1">3</definedName>
    <definedName name="solver_rel1" localSheetId="51" hidden="1">2</definedName>
    <definedName name="solver_rel1" localSheetId="52" hidden="1">2</definedName>
    <definedName name="solver_rel1" localSheetId="58" hidden="1">1</definedName>
    <definedName name="solver_rel1" localSheetId="59" hidden="1">1</definedName>
    <definedName name="solver_rel1" localSheetId="4" hidden="1">1</definedName>
    <definedName name="solver_rel1" localSheetId="3" hidden="1">1</definedName>
    <definedName name="solver_rel1" localSheetId="33" hidden="1">3</definedName>
    <definedName name="solver_rel1" localSheetId="56" hidden="1">1</definedName>
    <definedName name="solver_rel1" localSheetId="13" hidden="1">1</definedName>
    <definedName name="solver_rel1" localSheetId="9" hidden="1">1</definedName>
    <definedName name="solver_rel1" localSheetId="29" hidden="1">1</definedName>
    <definedName name="solver_rel1" localSheetId="45" hidden="1">3</definedName>
    <definedName name="solver_rel1" localSheetId="41" hidden="1">3</definedName>
    <definedName name="solver_rel1" localSheetId="57" hidden="1">1</definedName>
    <definedName name="solver_rel10" localSheetId="61" hidden="1">1</definedName>
    <definedName name="solver_rel100" localSheetId="61" hidden="1">1</definedName>
    <definedName name="solver_rel101" localSheetId="61" hidden="1">3</definedName>
    <definedName name="solver_rel102" localSheetId="61" hidden="1">2</definedName>
    <definedName name="solver_rel103" localSheetId="61" hidden="1">1</definedName>
    <definedName name="solver_rel104" localSheetId="61" hidden="1">3</definedName>
    <definedName name="solver_rel105" localSheetId="61" hidden="1">2</definedName>
    <definedName name="solver_rel106" localSheetId="61" hidden="1">1</definedName>
    <definedName name="solver_rel107" localSheetId="61" hidden="1">3</definedName>
    <definedName name="solver_rel108" localSheetId="61" hidden="1">2</definedName>
    <definedName name="solver_rel109" localSheetId="61" hidden="1">1</definedName>
    <definedName name="solver_rel11" localSheetId="61" hidden="1">3</definedName>
    <definedName name="solver_rel110" localSheetId="61" hidden="1">3</definedName>
    <definedName name="solver_rel111" localSheetId="61" hidden="1">2</definedName>
    <definedName name="solver_rel112" localSheetId="61" hidden="1">1</definedName>
    <definedName name="solver_rel113" localSheetId="61" hidden="1">3</definedName>
    <definedName name="solver_rel114" localSheetId="61" hidden="1">2</definedName>
    <definedName name="solver_rel115" localSheetId="61" hidden="1">1</definedName>
    <definedName name="solver_rel116" localSheetId="61" hidden="1">3</definedName>
    <definedName name="solver_rel117" localSheetId="61" hidden="1">2</definedName>
    <definedName name="solver_rel118" localSheetId="61" hidden="1">1</definedName>
    <definedName name="solver_rel119" localSheetId="61" hidden="1">3</definedName>
    <definedName name="solver_rel12" localSheetId="61" hidden="1">2</definedName>
    <definedName name="solver_rel120" localSheetId="61" hidden="1">2</definedName>
    <definedName name="solver_rel121" localSheetId="61" hidden="1">1</definedName>
    <definedName name="solver_rel122" localSheetId="61" hidden="1">3</definedName>
    <definedName name="solver_rel123" localSheetId="61" hidden="1">2</definedName>
    <definedName name="solver_rel124" localSheetId="61" hidden="1">1</definedName>
    <definedName name="solver_rel125" localSheetId="61" hidden="1">3</definedName>
    <definedName name="solver_rel126" localSheetId="61" hidden="1">2</definedName>
    <definedName name="solver_rel127" localSheetId="61" hidden="1">1</definedName>
    <definedName name="solver_rel128" localSheetId="61" hidden="1">3</definedName>
    <definedName name="solver_rel129" localSheetId="61" hidden="1">2</definedName>
    <definedName name="solver_rel13" localSheetId="61" hidden="1">1</definedName>
    <definedName name="solver_rel130" localSheetId="61" hidden="1">1</definedName>
    <definedName name="solver_rel131" localSheetId="61" hidden="1">3</definedName>
    <definedName name="solver_rel132" localSheetId="61" hidden="1">2</definedName>
    <definedName name="solver_rel133" localSheetId="61" hidden="1">1</definedName>
    <definedName name="solver_rel134" localSheetId="61" hidden="1">3</definedName>
    <definedName name="solver_rel135" localSheetId="61" hidden="1">2</definedName>
    <definedName name="solver_rel136" localSheetId="61" hidden="1">1</definedName>
    <definedName name="solver_rel137" localSheetId="61" hidden="1">3</definedName>
    <definedName name="solver_rel138" localSheetId="61" hidden="1">2</definedName>
    <definedName name="solver_rel139" localSheetId="61" hidden="1">1</definedName>
    <definedName name="solver_rel14" localSheetId="61" hidden="1">3</definedName>
    <definedName name="solver_rel140" localSheetId="61" hidden="1">3</definedName>
    <definedName name="solver_rel141" localSheetId="61" hidden="1">2</definedName>
    <definedName name="solver_rel142" localSheetId="61" hidden="1">1</definedName>
    <definedName name="solver_rel143" localSheetId="61" hidden="1">3</definedName>
    <definedName name="solver_rel144" localSheetId="61" hidden="1">2</definedName>
    <definedName name="solver_rel145" localSheetId="61" hidden="1">1</definedName>
    <definedName name="solver_rel146" localSheetId="61" hidden="1">3</definedName>
    <definedName name="solver_rel147" localSheetId="61" hidden="1">2</definedName>
    <definedName name="solver_rel148" localSheetId="61" hidden="1">1</definedName>
    <definedName name="solver_rel149" localSheetId="61" hidden="1">3</definedName>
    <definedName name="solver_rel15" localSheetId="61" hidden="1">2</definedName>
    <definedName name="solver_rel150" localSheetId="61" hidden="1">2</definedName>
    <definedName name="solver_rel151" localSheetId="61" hidden="1">1</definedName>
    <definedName name="solver_rel152" localSheetId="61" hidden="1">3</definedName>
    <definedName name="solver_rel153" localSheetId="61" hidden="1">2</definedName>
    <definedName name="solver_rel154" localSheetId="61" hidden="1">1</definedName>
    <definedName name="solver_rel155" localSheetId="61" hidden="1">3</definedName>
    <definedName name="solver_rel156" localSheetId="61" hidden="1">2</definedName>
    <definedName name="solver_rel157" localSheetId="61" hidden="1">1</definedName>
    <definedName name="solver_rel158" localSheetId="61" hidden="1">3</definedName>
    <definedName name="solver_rel159" localSheetId="61" hidden="1">2</definedName>
    <definedName name="solver_rel16" localSheetId="61" hidden="1">1</definedName>
    <definedName name="solver_rel160" localSheetId="61" hidden="1">1</definedName>
    <definedName name="solver_rel161" localSheetId="61" hidden="1">3</definedName>
    <definedName name="solver_rel162" localSheetId="61" hidden="1">2</definedName>
    <definedName name="solver_rel163" localSheetId="61" hidden="1">1</definedName>
    <definedName name="solver_rel164" localSheetId="61" hidden="1">3</definedName>
    <definedName name="solver_rel165" localSheetId="61" hidden="1">2</definedName>
    <definedName name="solver_rel166" localSheetId="61" hidden="1">1</definedName>
    <definedName name="solver_rel167" localSheetId="61" hidden="1">3</definedName>
    <definedName name="solver_rel168" localSheetId="61" hidden="1">2</definedName>
    <definedName name="solver_rel169" localSheetId="61" hidden="1">1</definedName>
    <definedName name="solver_rel17" localSheetId="61" hidden="1">3</definedName>
    <definedName name="solver_rel170" localSheetId="61" hidden="1">3</definedName>
    <definedName name="solver_rel171" localSheetId="61" hidden="1">2</definedName>
    <definedName name="solver_rel172" localSheetId="61" hidden="1">1</definedName>
    <definedName name="solver_rel173" localSheetId="61" hidden="1">3</definedName>
    <definedName name="solver_rel174" localSheetId="61" hidden="1">2</definedName>
    <definedName name="solver_rel175" localSheetId="61" hidden="1">1</definedName>
    <definedName name="solver_rel176" localSheetId="61" hidden="1">3</definedName>
    <definedName name="solver_rel177" localSheetId="61" hidden="1">2</definedName>
    <definedName name="solver_rel178" localSheetId="61" hidden="1">1</definedName>
    <definedName name="solver_rel179" localSheetId="61" hidden="1">3</definedName>
    <definedName name="solver_rel18" localSheetId="61" hidden="1">2</definedName>
    <definedName name="solver_rel180" localSheetId="61" hidden="1">2</definedName>
    <definedName name="solver_rel181" localSheetId="61" hidden="1">1</definedName>
    <definedName name="solver_rel182" localSheetId="61" hidden="1">3</definedName>
    <definedName name="solver_rel183" localSheetId="61" hidden="1">2</definedName>
    <definedName name="solver_rel184" localSheetId="61" hidden="1">1</definedName>
    <definedName name="solver_rel185" localSheetId="61" hidden="1">3</definedName>
    <definedName name="solver_rel186" localSheetId="61" hidden="1">2</definedName>
    <definedName name="solver_rel187" localSheetId="61" hidden="1">1</definedName>
    <definedName name="solver_rel188" localSheetId="61" hidden="1">3</definedName>
    <definedName name="solver_rel189" localSheetId="61" hidden="1">2</definedName>
    <definedName name="solver_rel19" localSheetId="61" hidden="1">1</definedName>
    <definedName name="solver_rel190" localSheetId="61" hidden="1">1</definedName>
    <definedName name="solver_rel191" localSheetId="61" hidden="1">3</definedName>
    <definedName name="solver_rel192" localSheetId="61" hidden="1">2</definedName>
    <definedName name="solver_rel193" localSheetId="61" hidden="1">1</definedName>
    <definedName name="solver_rel194" localSheetId="61" hidden="1">3</definedName>
    <definedName name="solver_rel195" localSheetId="61" hidden="1">2</definedName>
    <definedName name="solver_rel196" localSheetId="61" hidden="1">1</definedName>
    <definedName name="solver_rel197" localSheetId="61" hidden="1">3</definedName>
    <definedName name="solver_rel198" localSheetId="61" hidden="1">2</definedName>
    <definedName name="solver_rel199" localSheetId="61" hidden="1">1</definedName>
    <definedName name="solver_rel2" localSheetId="23" hidden="1">3</definedName>
    <definedName name="solver_rel2" localSheetId="35" hidden="1">3</definedName>
    <definedName name="solver_rel2" localSheetId="20" hidden="1">3</definedName>
    <definedName name="solver_rel2" localSheetId="34" hidden="1">3</definedName>
    <definedName name="solver_rel2" localSheetId="8" hidden="1">3</definedName>
    <definedName name="solver_rel2" localSheetId="7" hidden="1">3</definedName>
    <definedName name="solver_rel2" localSheetId="47" hidden="1">3</definedName>
    <definedName name="solver_rel2" localSheetId="21" hidden="1">3</definedName>
    <definedName name="solver_rel2" localSheetId="22" hidden="1">1</definedName>
    <definedName name="solver_rel2" localSheetId="43" hidden="1">3</definedName>
    <definedName name="solver_rel2" localSheetId="40" hidden="1">3</definedName>
    <definedName name="solver_rel2" localSheetId="25" hidden="1">3</definedName>
    <definedName name="solver_rel2" localSheetId="26" hidden="1">3</definedName>
    <definedName name="solver_rel2" localSheetId="53" hidden="1">3</definedName>
    <definedName name="solver_rel2" localSheetId="32" hidden="1">3</definedName>
    <definedName name="solver_rel2" localSheetId="11" hidden="1">3</definedName>
    <definedName name="solver_rel2" localSheetId="12" hidden="1">3</definedName>
    <definedName name="solver_rel2" localSheetId="10" hidden="1">3</definedName>
    <definedName name="solver_rel2" localSheetId="24" hidden="1">3</definedName>
    <definedName name="solver_rel2" localSheetId="28" hidden="1">3</definedName>
    <definedName name="solver_rel2" localSheetId="44" hidden="1">3</definedName>
    <definedName name="solver_rel2" localSheetId="46" hidden="1">3</definedName>
    <definedName name="solver_rel2" localSheetId="31" hidden="1">3</definedName>
    <definedName name="solver_rel2" localSheetId="27" hidden="1">3</definedName>
    <definedName name="solver_rel2" localSheetId="48" hidden="1">3</definedName>
    <definedName name="solver_rel2" localSheetId="5" hidden="1">5</definedName>
    <definedName name="solver_rel2" localSheetId="49" hidden="1">3</definedName>
    <definedName name="solver_rel2" localSheetId="37" hidden="1">3</definedName>
    <definedName name="solver_rel2" localSheetId="18" hidden="1">3</definedName>
    <definedName name="solver_rel2" localSheetId="19" hidden="1">3</definedName>
    <definedName name="solver_rel2" localSheetId="17" hidden="1">3</definedName>
    <definedName name="solver_rel2" localSheetId="16" hidden="1">3</definedName>
    <definedName name="solver_rel2" localSheetId="15" hidden="1">3</definedName>
    <definedName name="solver_rel2" localSheetId="14" hidden="1">3</definedName>
    <definedName name="solver_rel2" localSheetId="54" hidden="1">3</definedName>
    <definedName name="solver_rel2" localSheetId="67" hidden="1">1</definedName>
    <definedName name="solver_rel2" localSheetId="69" hidden="1">1</definedName>
    <definedName name="solver_rel2" localSheetId="72" hidden="1">1</definedName>
    <definedName name="solver_rel2" localSheetId="66" hidden="1">5</definedName>
    <definedName name="solver_rel2" localSheetId="61" hidden="1">3</definedName>
    <definedName name="solver_rel2" localSheetId="64" hidden="1">4</definedName>
    <definedName name="solver_rel2" localSheetId="62" hidden="1">3</definedName>
    <definedName name="solver_rel2" localSheetId="63" hidden="1">3</definedName>
    <definedName name="solver_rel2" localSheetId="60" hidden="1">3</definedName>
    <definedName name="solver_rel2" localSheetId="50" hidden="1">3</definedName>
    <definedName name="solver_rel2" localSheetId="6" hidden="1">3</definedName>
    <definedName name="solver_rel2" localSheetId="38" hidden="1">3</definedName>
    <definedName name="solver_rel2" localSheetId="39" hidden="1">3</definedName>
    <definedName name="solver_rel2" localSheetId="30" hidden="1">3</definedName>
    <definedName name="solver_rel2" localSheetId="55" hidden="1">3</definedName>
    <definedName name="solver_rel2" localSheetId="36" hidden="1">3</definedName>
    <definedName name="solver_rel2" localSheetId="51" hidden="1">3</definedName>
    <definedName name="solver_rel2" localSheetId="52" hidden="1">3</definedName>
    <definedName name="solver_rel2" localSheetId="58" hidden="1">3</definedName>
    <definedName name="solver_rel2" localSheetId="59" hidden="1">2</definedName>
    <definedName name="solver_rel2" localSheetId="4" hidden="1">5</definedName>
    <definedName name="solver_rel2" localSheetId="3" hidden="1">3</definedName>
    <definedName name="solver_rel2" localSheetId="33" hidden="1">3</definedName>
    <definedName name="solver_rel2" localSheetId="56" hidden="1">3</definedName>
    <definedName name="solver_rel2" localSheetId="13" hidden="1">3</definedName>
    <definedName name="solver_rel2" localSheetId="9" hidden="1">3</definedName>
    <definedName name="solver_rel2" localSheetId="29" hidden="1">3</definedName>
    <definedName name="solver_rel2" localSheetId="45" hidden="1">1</definedName>
    <definedName name="solver_rel2" localSheetId="41" hidden="1">3</definedName>
    <definedName name="solver_rel2" localSheetId="57" hidden="1">5</definedName>
    <definedName name="solver_rel20" localSheetId="61" hidden="1">3</definedName>
    <definedName name="solver_rel200" localSheetId="61" hidden="1">3</definedName>
    <definedName name="solver_rel201" localSheetId="61" hidden="1">2</definedName>
    <definedName name="solver_rel202" localSheetId="61" hidden="1">1</definedName>
    <definedName name="solver_rel203" localSheetId="61" hidden="1">3</definedName>
    <definedName name="solver_rel204" localSheetId="61" hidden="1">2</definedName>
    <definedName name="solver_rel205" localSheetId="61" hidden="1">1</definedName>
    <definedName name="solver_rel206" localSheetId="61" hidden="1">3</definedName>
    <definedName name="solver_rel207" localSheetId="61" hidden="1">2</definedName>
    <definedName name="solver_rel208" localSheetId="61" hidden="1">1</definedName>
    <definedName name="solver_rel209" localSheetId="61" hidden="1">3</definedName>
    <definedName name="solver_rel21" localSheetId="61" hidden="1">2</definedName>
    <definedName name="solver_rel210" localSheetId="61" hidden="1">2</definedName>
    <definedName name="solver_rel211" localSheetId="61" hidden="1">1</definedName>
    <definedName name="solver_rel212" localSheetId="61" hidden="1">3</definedName>
    <definedName name="solver_rel213" localSheetId="61" hidden="1">2</definedName>
    <definedName name="solver_rel214" localSheetId="61" hidden="1">1</definedName>
    <definedName name="solver_rel215" localSheetId="61" hidden="1">3</definedName>
    <definedName name="solver_rel216" localSheetId="61" hidden="1">2</definedName>
    <definedName name="solver_rel217" localSheetId="61" hidden="1">1</definedName>
    <definedName name="solver_rel218" localSheetId="61" hidden="1">3</definedName>
    <definedName name="solver_rel219" localSheetId="61" hidden="1">2</definedName>
    <definedName name="solver_rel22" localSheetId="61" hidden="1">1</definedName>
    <definedName name="solver_rel220" localSheetId="61" hidden="1">1</definedName>
    <definedName name="solver_rel221" localSheetId="61" hidden="1">3</definedName>
    <definedName name="solver_rel222" localSheetId="61" hidden="1">2</definedName>
    <definedName name="solver_rel223" localSheetId="61" hidden="1">1</definedName>
    <definedName name="solver_rel224" localSheetId="61" hidden="1">3</definedName>
    <definedName name="solver_rel225" localSheetId="61" hidden="1">2</definedName>
    <definedName name="solver_rel226" localSheetId="61" hidden="1">1</definedName>
    <definedName name="solver_rel227" localSheetId="61" hidden="1">3</definedName>
    <definedName name="solver_rel228" localSheetId="61" hidden="1">2</definedName>
    <definedName name="solver_rel229" localSheetId="61" hidden="1">1</definedName>
    <definedName name="solver_rel23" localSheetId="61" hidden="1">3</definedName>
    <definedName name="solver_rel230" localSheetId="61" hidden="1">3</definedName>
    <definedName name="solver_rel231" localSheetId="61" hidden="1">2</definedName>
    <definedName name="solver_rel232" localSheetId="61" hidden="1">1</definedName>
    <definedName name="solver_rel233" localSheetId="61" hidden="1">3</definedName>
    <definedName name="solver_rel234" localSheetId="61" hidden="1">2</definedName>
    <definedName name="solver_rel235" localSheetId="61" hidden="1">1</definedName>
    <definedName name="solver_rel236" localSheetId="61" hidden="1">3</definedName>
    <definedName name="solver_rel237" localSheetId="61" hidden="1">2</definedName>
    <definedName name="solver_rel238" localSheetId="61" hidden="1">1</definedName>
    <definedName name="solver_rel239" localSheetId="61" hidden="1">3</definedName>
    <definedName name="solver_rel24" localSheetId="61" hidden="1">2</definedName>
    <definedName name="solver_rel240" localSheetId="61" hidden="1">2</definedName>
    <definedName name="solver_rel241" localSheetId="61" hidden="1">1</definedName>
    <definedName name="solver_rel242" localSheetId="61" hidden="1">3</definedName>
    <definedName name="solver_rel243" localSheetId="61" hidden="1">2</definedName>
    <definedName name="solver_rel244" localSheetId="61" hidden="1">1</definedName>
    <definedName name="solver_rel245" localSheetId="61" hidden="1">3</definedName>
    <definedName name="solver_rel246" localSheetId="61" hidden="1">2</definedName>
    <definedName name="solver_rel247" localSheetId="61" hidden="1">1</definedName>
    <definedName name="solver_rel248" localSheetId="61" hidden="1">3</definedName>
    <definedName name="solver_rel249" localSheetId="61" hidden="1">2</definedName>
    <definedName name="solver_rel25" localSheetId="61" hidden="1">1</definedName>
    <definedName name="solver_rel250" localSheetId="61" hidden="1">1</definedName>
    <definedName name="solver_rel251" localSheetId="61" hidden="1">3</definedName>
    <definedName name="solver_rel252" localSheetId="61" hidden="1">2</definedName>
    <definedName name="solver_rel253" localSheetId="61" hidden="1">1</definedName>
    <definedName name="solver_rel254" localSheetId="61" hidden="1">3</definedName>
    <definedName name="solver_rel255" localSheetId="61" hidden="1">2</definedName>
    <definedName name="solver_rel256" localSheetId="61" hidden="1">1</definedName>
    <definedName name="solver_rel257" localSheetId="61" hidden="1">3</definedName>
    <definedName name="solver_rel258" localSheetId="61" hidden="1">2</definedName>
    <definedName name="solver_rel259" localSheetId="61" hidden="1">1</definedName>
    <definedName name="solver_rel26" localSheetId="61" hidden="1">3</definedName>
    <definedName name="solver_rel260" localSheetId="61" hidden="1">3</definedName>
    <definedName name="solver_rel261" localSheetId="61" hidden="1">2</definedName>
    <definedName name="solver_rel262" localSheetId="61" hidden="1">1</definedName>
    <definedName name="solver_rel263" localSheetId="61" hidden="1">3</definedName>
    <definedName name="solver_rel264" localSheetId="61" hidden="1">2</definedName>
    <definedName name="solver_rel265" localSheetId="61" hidden="1">1</definedName>
    <definedName name="solver_rel266" localSheetId="61" hidden="1">3</definedName>
    <definedName name="solver_rel267" localSheetId="61" hidden="1">2</definedName>
    <definedName name="solver_rel268" localSheetId="61" hidden="1">1</definedName>
    <definedName name="solver_rel269" localSheetId="61" hidden="1">3</definedName>
    <definedName name="solver_rel27" localSheetId="61" hidden="1">2</definedName>
    <definedName name="solver_rel270" localSheetId="61" hidden="1">2</definedName>
    <definedName name="solver_rel271" localSheetId="61" hidden="1">1</definedName>
    <definedName name="solver_rel272" localSheetId="61" hidden="1">3</definedName>
    <definedName name="solver_rel273" localSheetId="61" hidden="1">2</definedName>
    <definedName name="solver_rel274" localSheetId="61" hidden="1">1</definedName>
    <definedName name="solver_rel275" localSheetId="61" hidden="1">3</definedName>
    <definedName name="solver_rel276" localSheetId="61" hidden="1">2</definedName>
    <definedName name="solver_rel277" localSheetId="61" hidden="1">1</definedName>
    <definedName name="solver_rel278" localSheetId="61" hidden="1">3</definedName>
    <definedName name="solver_rel279" localSheetId="61" hidden="1">2</definedName>
    <definedName name="solver_rel28" localSheetId="61" hidden="1">1</definedName>
    <definedName name="solver_rel280" localSheetId="61" hidden="1">1</definedName>
    <definedName name="solver_rel281" localSheetId="61" hidden="1">3</definedName>
    <definedName name="solver_rel282" localSheetId="61" hidden="1">2</definedName>
    <definedName name="solver_rel283" localSheetId="61" hidden="1">1</definedName>
    <definedName name="solver_rel284" localSheetId="61" hidden="1">3</definedName>
    <definedName name="solver_rel285" localSheetId="61" hidden="1">2</definedName>
    <definedName name="solver_rel286" localSheetId="61" hidden="1">1</definedName>
    <definedName name="solver_rel287" localSheetId="61" hidden="1">3</definedName>
    <definedName name="solver_rel288" localSheetId="61" hidden="1">2</definedName>
    <definedName name="solver_rel289" localSheetId="61" hidden="1">1</definedName>
    <definedName name="solver_rel29" localSheetId="61" hidden="1">3</definedName>
    <definedName name="solver_rel290" localSheetId="61" hidden="1">3</definedName>
    <definedName name="solver_rel291" localSheetId="61" hidden="1">2</definedName>
    <definedName name="solver_rel292" localSheetId="61" hidden="1">1</definedName>
    <definedName name="solver_rel293" localSheetId="61" hidden="1">3</definedName>
    <definedName name="solver_rel294" localSheetId="61" hidden="1">2</definedName>
    <definedName name="solver_rel295" localSheetId="61" hidden="1">1</definedName>
    <definedName name="solver_rel296" localSheetId="61" hidden="1">3</definedName>
    <definedName name="solver_rel297" localSheetId="61" hidden="1">2</definedName>
    <definedName name="solver_rel298" localSheetId="61" hidden="1">1</definedName>
    <definedName name="solver_rel299" localSheetId="61" hidden="1">3</definedName>
    <definedName name="solver_rel3" localSheetId="23" hidden="1">1</definedName>
    <definedName name="solver_rel3" localSheetId="35" hidden="1">5</definedName>
    <definedName name="solver_rel3" localSheetId="20" hidden="1">1</definedName>
    <definedName name="solver_rel3" localSheetId="34" hidden="1">5</definedName>
    <definedName name="solver_rel3" localSheetId="8" hidden="1">2</definedName>
    <definedName name="solver_rel3" localSheetId="7" hidden="1">2</definedName>
    <definedName name="solver_rel3" localSheetId="47" hidden="1">1</definedName>
    <definedName name="solver_rel3" localSheetId="21" hidden="1">1</definedName>
    <definedName name="solver_rel3" localSheetId="22" hidden="1">1</definedName>
    <definedName name="solver_rel3" localSheetId="25" hidden="1">1</definedName>
    <definedName name="solver_rel3" localSheetId="26" hidden="1">1</definedName>
    <definedName name="solver_rel3" localSheetId="53" hidden="1">1</definedName>
    <definedName name="solver_rel3" localSheetId="11" hidden="1">2</definedName>
    <definedName name="solver_rel3" localSheetId="12" hidden="1">2</definedName>
    <definedName name="solver_rel3" localSheetId="10" hidden="1">2</definedName>
    <definedName name="solver_rel3" localSheetId="24" hidden="1">2</definedName>
    <definedName name="solver_rel3" localSheetId="28" hidden="1">3</definedName>
    <definedName name="solver_rel3" localSheetId="46" hidden="1">1</definedName>
    <definedName name="solver_rel3" localSheetId="31" hidden="1">2</definedName>
    <definedName name="solver_rel3" localSheetId="27" hidden="1">2</definedName>
    <definedName name="solver_rel3" localSheetId="48" hidden="1">1</definedName>
    <definedName name="solver_rel3" localSheetId="49" hidden="1">2</definedName>
    <definedName name="solver_rel3" localSheetId="18" hidden="1">2</definedName>
    <definedName name="solver_rel3" localSheetId="19" hidden="1">2</definedName>
    <definedName name="solver_rel3" localSheetId="17" hidden="1">2</definedName>
    <definedName name="solver_rel3" localSheetId="16" hidden="1">2</definedName>
    <definedName name="solver_rel3" localSheetId="15" hidden="1">2</definedName>
    <definedName name="solver_rel3" localSheetId="14" hidden="1">2</definedName>
    <definedName name="solver_rel3" localSheetId="54" hidden="1">1</definedName>
    <definedName name="solver_rel3" localSheetId="67" hidden="1">3</definedName>
    <definedName name="solver_rel3" localSheetId="72" hidden="1">3</definedName>
    <definedName name="solver_rel3" localSheetId="61" hidden="1">2</definedName>
    <definedName name="solver_rel3" localSheetId="62" hidden="1">2</definedName>
    <definedName name="solver_rel3" localSheetId="63" hidden="1">1</definedName>
    <definedName name="solver_rel3" localSheetId="60" hidden="1">2</definedName>
    <definedName name="solver_rel3" localSheetId="50" hidden="1">2</definedName>
    <definedName name="solver_rel3" localSheetId="6" hidden="1">2</definedName>
    <definedName name="solver_rel3" localSheetId="30" hidden="1">2</definedName>
    <definedName name="solver_rel3" localSheetId="36" hidden="1">5</definedName>
    <definedName name="solver_rel3" localSheetId="51" hidden="1">1</definedName>
    <definedName name="solver_rel3" localSheetId="52" hidden="1">1</definedName>
    <definedName name="solver_rel3" localSheetId="58" hidden="1">1</definedName>
    <definedName name="solver_rel3" localSheetId="59" hidden="1">2</definedName>
    <definedName name="solver_rel3" localSheetId="3" hidden="1">2</definedName>
    <definedName name="solver_rel3" localSheetId="56" hidden="1">2</definedName>
    <definedName name="solver_rel3" localSheetId="13" hidden="1">2</definedName>
    <definedName name="solver_rel3" localSheetId="9" hidden="1">2</definedName>
    <definedName name="solver_rel3" localSheetId="29" hidden="1">2</definedName>
    <definedName name="solver_rel30" localSheetId="61" hidden="1">2</definedName>
    <definedName name="solver_rel300" localSheetId="61" hidden="1">2</definedName>
    <definedName name="solver_rel301" localSheetId="61" hidden="1">1</definedName>
    <definedName name="solver_rel302" localSheetId="61" hidden="1">3</definedName>
    <definedName name="solver_rel303" localSheetId="61" hidden="1">2</definedName>
    <definedName name="solver_rel304" localSheetId="61" hidden="1">1</definedName>
    <definedName name="solver_rel305" localSheetId="61" hidden="1">3</definedName>
    <definedName name="solver_rel306" localSheetId="61" hidden="1">2</definedName>
    <definedName name="solver_rel307" localSheetId="61" hidden="1">1</definedName>
    <definedName name="solver_rel308" localSheetId="61" hidden="1">3</definedName>
    <definedName name="solver_rel309" localSheetId="61" hidden="1">2</definedName>
    <definedName name="solver_rel31" localSheetId="61" hidden="1">1</definedName>
    <definedName name="solver_rel310" localSheetId="61" hidden="1">1</definedName>
    <definedName name="solver_rel311" localSheetId="61" hidden="1">3</definedName>
    <definedName name="solver_rel312" localSheetId="61" hidden="1">2</definedName>
    <definedName name="solver_rel313" localSheetId="61" hidden="1">1</definedName>
    <definedName name="solver_rel314" localSheetId="61" hidden="1">3</definedName>
    <definedName name="solver_rel315" localSheetId="61" hidden="1">2</definedName>
    <definedName name="solver_rel316" localSheetId="61" hidden="1">1</definedName>
    <definedName name="solver_rel317" localSheetId="61" hidden="1">3</definedName>
    <definedName name="solver_rel318" localSheetId="61" hidden="1">2</definedName>
    <definedName name="solver_rel319" localSheetId="61" hidden="1">1</definedName>
    <definedName name="solver_rel32" localSheetId="61" hidden="1">3</definedName>
    <definedName name="solver_rel320" localSheetId="61" hidden="1">3</definedName>
    <definedName name="solver_rel321" localSheetId="61" hidden="1">2</definedName>
    <definedName name="solver_rel322" localSheetId="61" hidden="1">1</definedName>
    <definedName name="solver_rel323" localSheetId="61" hidden="1">3</definedName>
    <definedName name="solver_rel324" localSheetId="61" hidden="1">2</definedName>
    <definedName name="solver_rel325" localSheetId="61" hidden="1">1</definedName>
    <definedName name="solver_rel326" localSheetId="61" hidden="1">3</definedName>
    <definedName name="solver_rel327" localSheetId="61" hidden="1">2</definedName>
    <definedName name="solver_rel328" localSheetId="61" hidden="1">1</definedName>
    <definedName name="solver_rel329" localSheetId="61" hidden="1">3</definedName>
    <definedName name="solver_rel33" localSheetId="61" hidden="1">2</definedName>
    <definedName name="solver_rel330" localSheetId="61" hidden="1">2</definedName>
    <definedName name="solver_rel331" localSheetId="61" hidden="1">1</definedName>
    <definedName name="solver_rel332" localSheetId="61" hidden="1">3</definedName>
    <definedName name="solver_rel333" localSheetId="61" hidden="1">2</definedName>
    <definedName name="solver_rel334" localSheetId="61" hidden="1">1</definedName>
    <definedName name="solver_rel335" localSheetId="61" hidden="1">3</definedName>
    <definedName name="solver_rel336" localSheetId="61" hidden="1">2</definedName>
    <definedName name="solver_rel337" localSheetId="61" hidden="1">1</definedName>
    <definedName name="solver_rel338" localSheetId="61" hidden="1">3</definedName>
    <definedName name="solver_rel339" localSheetId="61" hidden="1">2</definedName>
    <definedName name="solver_rel34" localSheetId="61" hidden="1">1</definedName>
    <definedName name="solver_rel340" localSheetId="61" hidden="1">1</definedName>
    <definedName name="solver_rel341" localSheetId="61" hidden="1">3</definedName>
    <definedName name="solver_rel342" localSheetId="61" hidden="1">2</definedName>
    <definedName name="solver_rel343" localSheetId="61" hidden="1">1</definedName>
    <definedName name="solver_rel344" localSheetId="61" hidden="1">3</definedName>
    <definedName name="solver_rel345" localSheetId="61" hidden="1">2</definedName>
    <definedName name="solver_rel346" localSheetId="61" hidden="1">1</definedName>
    <definedName name="solver_rel347" localSheetId="61" hidden="1">3</definedName>
    <definedName name="solver_rel348" localSheetId="61" hidden="1">2</definedName>
    <definedName name="solver_rel349" localSheetId="61" hidden="1">1</definedName>
    <definedName name="solver_rel35" localSheetId="61" hidden="1">3</definedName>
    <definedName name="solver_rel350" localSheetId="61" hidden="1">3</definedName>
    <definedName name="solver_rel351" localSheetId="61" hidden="1">2</definedName>
    <definedName name="solver_rel352" localSheetId="61" hidden="1">1</definedName>
    <definedName name="solver_rel353" localSheetId="61" hidden="1">3</definedName>
    <definedName name="solver_rel354" localSheetId="61" hidden="1">2</definedName>
    <definedName name="solver_rel355" localSheetId="61" hidden="1">1</definedName>
    <definedName name="solver_rel356" localSheetId="61" hidden="1">3</definedName>
    <definedName name="solver_rel357" localSheetId="61" hidden="1">2</definedName>
    <definedName name="solver_rel358" localSheetId="61" hidden="1">1</definedName>
    <definedName name="solver_rel359" localSheetId="61" hidden="1">3</definedName>
    <definedName name="solver_rel36" localSheetId="61" hidden="1">2</definedName>
    <definedName name="solver_rel360" localSheetId="61" hidden="1">2</definedName>
    <definedName name="solver_rel361" localSheetId="61" hidden="1">1</definedName>
    <definedName name="solver_rel362" localSheetId="61" hidden="1">3</definedName>
    <definedName name="solver_rel363" localSheetId="61" hidden="1">2</definedName>
    <definedName name="solver_rel364" localSheetId="61" hidden="1">1</definedName>
    <definedName name="solver_rel365" localSheetId="61" hidden="1">3</definedName>
    <definedName name="solver_rel366" localSheetId="61" hidden="1">2</definedName>
    <definedName name="solver_rel367" localSheetId="61" hidden="1">1</definedName>
    <definedName name="solver_rel368" localSheetId="61" hidden="1">3</definedName>
    <definedName name="solver_rel369" localSheetId="61" hidden="1">2</definedName>
    <definedName name="solver_rel37" localSheetId="61" hidden="1">1</definedName>
    <definedName name="solver_rel370" localSheetId="61" hidden="1">1</definedName>
    <definedName name="solver_rel371" localSheetId="61" hidden="1">3</definedName>
    <definedName name="solver_rel372" localSheetId="61" hidden="1">2</definedName>
    <definedName name="solver_rel373" localSheetId="61" hidden="1">1</definedName>
    <definedName name="solver_rel374" localSheetId="61" hidden="1">3</definedName>
    <definedName name="solver_rel375" localSheetId="61" hidden="1">2</definedName>
    <definedName name="solver_rel376" localSheetId="61" hidden="1">1</definedName>
    <definedName name="solver_rel377" localSheetId="61" hidden="1">3</definedName>
    <definedName name="solver_rel378" localSheetId="61" hidden="1">2</definedName>
    <definedName name="solver_rel379" localSheetId="61" hidden="1">1</definedName>
    <definedName name="solver_rel38" localSheetId="61" hidden="1">3</definedName>
    <definedName name="solver_rel380" localSheetId="61" hidden="1">3</definedName>
    <definedName name="solver_rel381" localSheetId="61" hidden="1">2</definedName>
    <definedName name="solver_rel382" localSheetId="61" hidden="1">1</definedName>
    <definedName name="solver_rel383" localSheetId="61" hidden="1">3</definedName>
    <definedName name="solver_rel384" localSheetId="61" hidden="1">2</definedName>
    <definedName name="solver_rel385" localSheetId="61" hidden="1">1</definedName>
    <definedName name="solver_rel386" localSheetId="61" hidden="1">3</definedName>
    <definedName name="solver_rel387" localSheetId="61" hidden="1">2</definedName>
    <definedName name="solver_rel388" localSheetId="61" hidden="1">1</definedName>
    <definedName name="solver_rel389" localSheetId="61" hidden="1">3</definedName>
    <definedName name="solver_rel39" localSheetId="61" hidden="1">2</definedName>
    <definedName name="solver_rel390" localSheetId="61" hidden="1">2</definedName>
    <definedName name="solver_rel391" localSheetId="61" hidden="1">1</definedName>
    <definedName name="solver_rel392" localSheetId="61" hidden="1">3</definedName>
    <definedName name="solver_rel393" localSheetId="61" hidden="1">2</definedName>
    <definedName name="solver_rel394" localSheetId="61" hidden="1">1</definedName>
    <definedName name="solver_rel395" localSheetId="61" hidden="1">3</definedName>
    <definedName name="solver_rel396" localSheetId="61" hidden="1">2</definedName>
    <definedName name="solver_rel397" localSheetId="61" hidden="1">1</definedName>
    <definedName name="solver_rel398" localSheetId="61" hidden="1">3</definedName>
    <definedName name="solver_rel399" localSheetId="61" hidden="1">2</definedName>
    <definedName name="solver_rel4" localSheetId="35" hidden="1">4</definedName>
    <definedName name="solver_rel4" localSheetId="20" hidden="1">5</definedName>
    <definedName name="solver_rel4" localSheetId="47" hidden="1">5</definedName>
    <definedName name="solver_rel4" localSheetId="21" hidden="1">5</definedName>
    <definedName name="solver_rel4" localSheetId="22" hidden="1">5</definedName>
    <definedName name="solver_rel4" localSheetId="25" hidden="1">1</definedName>
    <definedName name="solver_rel4" localSheetId="31" hidden="1">3</definedName>
    <definedName name="solver_rel4" localSheetId="48" hidden="1">1</definedName>
    <definedName name="solver_rel4" localSheetId="54" hidden="1">2</definedName>
    <definedName name="solver_rel4" localSheetId="67" hidden="1">1</definedName>
    <definedName name="solver_rel4" localSheetId="72" hidden="1">1</definedName>
    <definedName name="solver_rel4" localSheetId="61" hidden="1">1</definedName>
    <definedName name="solver_rel4" localSheetId="36" hidden="1">4</definedName>
    <definedName name="solver_rel4" localSheetId="58" hidden="1">2</definedName>
    <definedName name="solver_rel4" localSheetId="59" hidden="1">3</definedName>
    <definedName name="solver_rel4" localSheetId="57" hidden="1">4</definedName>
    <definedName name="solver_rel40" localSheetId="61" hidden="1">1</definedName>
    <definedName name="solver_rel400" localSheetId="61" hidden="1">1</definedName>
    <definedName name="solver_rel401" localSheetId="61" hidden="1">3</definedName>
    <definedName name="solver_rel402" localSheetId="61" hidden="1">2</definedName>
    <definedName name="solver_rel403" localSheetId="61" hidden="1">1</definedName>
    <definedName name="solver_rel404" localSheetId="61" hidden="1">3</definedName>
    <definedName name="solver_rel405" localSheetId="61" hidden="1">2</definedName>
    <definedName name="solver_rel406" localSheetId="61" hidden="1">1</definedName>
    <definedName name="solver_rel407" localSheetId="61" hidden="1">3</definedName>
    <definedName name="solver_rel408" localSheetId="61" hidden="1">2</definedName>
    <definedName name="solver_rel409" localSheetId="61" hidden="1">1</definedName>
    <definedName name="solver_rel41" localSheetId="61" hidden="1">3</definedName>
    <definedName name="solver_rel410" localSheetId="61" hidden="1">3</definedName>
    <definedName name="solver_rel411" localSheetId="61" hidden="1">2</definedName>
    <definedName name="solver_rel412" localSheetId="61" hidden="1">1</definedName>
    <definedName name="solver_rel413" localSheetId="61" hidden="1">3</definedName>
    <definedName name="solver_rel414" localSheetId="61" hidden="1">2</definedName>
    <definedName name="solver_rel415" localSheetId="61" hidden="1">1</definedName>
    <definedName name="solver_rel416" localSheetId="61" hidden="1">3</definedName>
    <definedName name="solver_rel417" localSheetId="61" hidden="1">2</definedName>
    <definedName name="solver_rel418" localSheetId="61" hidden="1">1</definedName>
    <definedName name="solver_rel419" localSheetId="61" hidden="1">3</definedName>
    <definedName name="solver_rel42" localSheetId="61" hidden="1">2</definedName>
    <definedName name="solver_rel420" localSheetId="61" hidden="1">2</definedName>
    <definedName name="solver_rel421" localSheetId="61" hidden="1">1</definedName>
    <definedName name="solver_rel422" localSheetId="61" hidden="1">3</definedName>
    <definedName name="solver_rel423" localSheetId="61" hidden="1">2</definedName>
    <definedName name="solver_rel424" localSheetId="61" hidden="1">1</definedName>
    <definedName name="solver_rel425" localSheetId="61" hidden="1">3</definedName>
    <definedName name="solver_rel426" localSheetId="61" hidden="1">2</definedName>
    <definedName name="solver_rel427" localSheetId="61" hidden="1">1</definedName>
    <definedName name="solver_rel428" localSheetId="61" hidden="1">3</definedName>
    <definedName name="solver_rel429" localSheetId="61" hidden="1">2</definedName>
    <definedName name="solver_rel43" localSheetId="61" hidden="1">1</definedName>
    <definedName name="solver_rel430" localSheetId="61" hidden="1">1</definedName>
    <definedName name="solver_rel431" localSheetId="61" hidden="1">3</definedName>
    <definedName name="solver_rel432" localSheetId="61" hidden="1">2</definedName>
    <definedName name="solver_rel433" localSheetId="61" hidden="1">1</definedName>
    <definedName name="solver_rel434" localSheetId="61" hidden="1">3</definedName>
    <definedName name="solver_rel435" localSheetId="61" hidden="1">2</definedName>
    <definedName name="solver_rel436" localSheetId="61" hidden="1">1</definedName>
    <definedName name="solver_rel437" localSheetId="61" hidden="1">3</definedName>
    <definedName name="solver_rel438" localSheetId="61" hidden="1">2</definedName>
    <definedName name="solver_rel439" localSheetId="61" hidden="1">1</definedName>
    <definedName name="solver_rel44" localSheetId="61" hidden="1">3</definedName>
    <definedName name="solver_rel440" localSheetId="61" hidden="1">3</definedName>
    <definedName name="solver_rel441" localSheetId="61" hidden="1">2</definedName>
    <definedName name="solver_rel442" localSheetId="61" hidden="1">1</definedName>
    <definedName name="solver_rel443" localSheetId="61" hidden="1">3</definedName>
    <definedName name="solver_rel444" localSheetId="61" hidden="1">2</definedName>
    <definedName name="solver_rel445" localSheetId="61" hidden="1">1</definedName>
    <definedName name="solver_rel446" localSheetId="61" hidden="1">3</definedName>
    <definedName name="solver_rel447" localSheetId="61" hidden="1">2</definedName>
    <definedName name="solver_rel448" localSheetId="61" hidden="1">1</definedName>
    <definedName name="solver_rel449" localSheetId="61" hidden="1">3</definedName>
    <definedName name="solver_rel45" localSheetId="61" hidden="1">2</definedName>
    <definedName name="solver_rel450" localSheetId="61" hidden="1">2</definedName>
    <definedName name="solver_rel451" localSheetId="61" hidden="1">1</definedName>
    <definedName name="solver_rel452" localSheetId="61" hidden="1">3</definedName>
    <definedName name="solver_rel453" localSheetId="61" hidden="1">2</definedName>
    <definedName name="solver_rel454" localSheetId="61" hidden="1">1</definedName>
    <definedName name="solver_rel455" localSheetId="61" hidden="1">3</definedName>
    <definedName name="solver_rel456" localSheetId="61" hidden="1">2</definedName>
    <definedName name="solver_rel457" localSheetId="61" hidden="1">1</definedName>
    <definedName name="solver_rel458" localSheetId="61" hidden="1">3</definedName>
    <definedName name="solver_rel459" localSheetId="61" hidden="1">2</definedName>
    <definedName name="solver_rel46" localSheetId="61" hidden="1">1</definedName>
    <definedName name="solver_rel460" localSheetId="61" hidden="1">1</definedName>
    <definedName name="solver_rel461" localSheetId="61" hidden="1">3</definedName>
    <definedName name="solver_rel462" localSheetId="61" hidden="1">2</definedName>
    <definedName name="solver_rel463" localSheetId="61" hidden="1">1</definedName>
    <definedName name="solver_rel464" localSheetId="61" hidden="1">3</definedName>
    <definedName name="solver_rel465" localSheetId="61" hidden="1">2</definedName>
    <definedName name="solver_rel466" localSheetId="61" hidden="1">1</definedName>
    <definedName name="solver_rel467" localSheetId="61" hidden="1">3</definedName>
    <definedName name="solver_rel468" localSheetId="61" hidden="1">2</definedName>
    <definedName name="solver_rel469" localSheetId="61" hidden="1">1</definedName>
    <definedName name="solver_rel47" localSheetId="61" hidden="1">3</definedName>
    <definedName name="solver_rel470" localSheetId="61" hidden="1">3</definedName>
    <definedName name="solver_rel471" localSheetId="61" hidden="1">2</definedName>
    <definedName name="solver_rel472" localSheetId="61" hidden="1">1</definedName>
    <definedName name="solver_rel473" localSheetId="61" hidden="1">3</definedName>
    <definedName name="solver_rel474" localSheetId="61" hidden="1">2</definedName>
    <definedName name="solver_rel475" localSheetId="61" hidden="1">1</definedName>
    <definedName name="solver_rel476" localSheetId="61" hidden="1">3</definedName>
    <definedName name="solver_rel477" localSheetId="61" hidden="1">2</definedName>
    <definedName name="solver_rel478" localSheetId="61" hidden="1">1</definedName>
    <definedName name="solver_rel479" localSheetId="61" hidden="1">3</definedName>
    <definedName name="solver_rel48" localSheetId="61" hidden="1">2</definedName>
    <definedName name="solver_rel480" localSheetId="61" hidden="1">2</definedName>
    <definedName name="solver_rel481" localSheetId="61" hidden="1">1</definedName>
    <definedName name="solver_rel482" localSheetId="61" hidden="1">3</definedName>
    <definedName name="solver_rel483" localSheetId="61" hidden="1">2</definedName>
    <definedName name="solver_rel484" localSheetId="61" hidden="1">1</definedName>
    <definedName name="solver_rel485" localSheetId="61" hidden="1">3</definedName>
    <definedName name="solver_rel486" localSheetId="61" hidden="1">2</definedName>
    <definedName name="solver_rel487" localSheetId="61" hidden="1">1</definedName>
    <definedName name="solver_rel488" localSheetId="61" hidden="1">3</definedName>
    <definedName name="solver_rel489" localSheetId="61" hidden="1">2</definedName>
    <definedName name="solver_rel49" localSheetId="61" hidden="1">1</definedName>
    <definedName name="solver_rel490" localSheetId="61" hidden="1">1</definedName>
    <definedName name="solver_rel491" localSheetId="61" hidden="1">3</definedName>
    <definedName name="solver_rel492" localSheetId="61" hidden="1">2</definedName>
    <definedName name="solver_rel493" localSheetId="61" hidden="1">1</definedName>
    <definedName name="solver_rel494" localSheetId="61" hidden="1">3</definedName>
    <definedName name="solver_rel495" localSheetId="61" hidden="1">2</definedName>
    <definedName name="solver_rel496" localSheetId="61" hidden="1">1</definedName>
    <definedName name="solver_rel497" localSheetId="61" hidden="1">3</definedName>
    <definedName name="solver_rel498" localSheetId="61" hidden="1">2</definedName>
    <definedName name="solver_rel499" localSheetId="61" hidden="1">1</definedName>
    <definedName name="solver_rel5" localSheetId="20" hidden="1">4</definedName>
    <definedName name="solver_rel5" localSheetId="47" hidden="1">4</definedName>
    <definedName name="solver_rel5" localSheetId="21" hidden="1">4</definedName>
    <definedName name="solver_rel5" localSheetId="22" hidden="1">4</definedName>
    <definedName name="solver_rel5" localSheetId="31" hidden="1">1</definedName>
    <definedName name="solver_rel5" localSheetId="67" hidden="1">4</definedName>
    <definedName name="solver_rel5" localSheetId="61" hidden="1">3</definedName>
    <definedName name="solver_rel5" localSheetId="57" hidden="1">1</definedName>
    <definedName name="solver_rel50" localSheetId="61" hidden="1">3</definedName>
    <definedName name="solver_rel500" localSheetId="61" hidden="1">3</definedName>
    <definedName name="solver_rel501" localSheetId="61" hidden="1">2</definedName>
    <definedName name="solver_rel502" localSheetId="61" hidden="1">1</definedName>
    <definedName name="solver_rel503" localSheetId="61" hidden="1">3</definedName>
    <definedName name="solver_rel504" localSheetId="61" hidden="1">2</definedName>
    <definedName name="solver_rel505" localSheetId="61" hidden="1">1</definedName>
    <definedName name="solver_rel506" localSheetId="61" hidden="1">3</definedName>
    <definedName name="solver_rel507" localSheetId="61" hidden="1">2</definedName>
    <definedName name="solver_rel508" localSheetId="61" hidden="1">1</definedName>
    <definedName name="solver_rel509" localSheetId="61" hidden="1">3</definedName>
    <definedName name="solver_rel51" localSheetId="61" hidden="1">2</definedName>
    <definedName name="solver_rel510" localSheetId="61" hidden="1">2</definedName>
    <definedName name="solver_rel511" localSheetId="61" hidden="1">1</definedName>
    <definedName name="solver_rel512" localSheetId="61" hidden="1">3</definedName>
    <definedName name="solver_rel513" localSheetId="61" hidden="1">2</definedName>
    <definedName name="solver_rel514" localSheetId="61" hidden="1">1</definedName>
    <definedName name="solver_rel515" localSheetId="61" hidden="1">3</definedName>
    <definedName name="solver_rel516" localSheetId="61" hidden="1">2</definedName>
    <definedName name="solver_rel517" localSheetId="61" hidden="1">1</definedName>
    <definedName name="solver_rel518" localSheetId="61" hidden="1">3</definedName>
    <definedName name="solver_rel519" localSheetId="61" hidden="1">2</definedName>
    <definedName name="solver_rel52" localSheetId="61" hidden="1">1</definedName>
    <definedName name="solver_rel520" localSheetId="61" hidden="1">1</definedName>
    <definedName name="solver_rel521" localSheetId="61" hidden="1">3</definedName>
    <definedName name="solver_rel522" localSheetId="61" hidden="1">2</definedName>
    <definedName name="solver_rel523" localSheetId="61" hidden="1">1</definedName>
    <definedName name="solver_rel524" localSheetId="61" hidden="1">3</definedName>
    <definedName name="solver_rel525" localSheetId="61" hidden="1">2</definedName>
    <definedName name="solver_rel526" localSheetId="61" hidden="1">1</definedName>
    <definedName name="solver_rel527" localSheetId="61" hidden="1">3</definedName>
    <definedName name="solver_rel528" localSheetId="61" hidden="1">2</definedName>
    <definedName name="solver_rel529" localSheetId="61" hidden="1">1</definedName>
    <definedName name="solver_rel53" localSheetId="61" hidden="1">3</definedName>
    <definedName name="solver_rel530" localSheetId="61" hidden="1">3</definedName>
    <definedName name="solver_rel531" localSheetId="61" hidden="1">2</definedName>
    <definedName name="solver_rel532" localSheetId="61" hidden="1">1</definedName>
    <definedName name="solver_rel533" localSheetId="61" hidden="1">3</definedName>
    <definedName name="solver_rel534" localSheetId="61" hidden="1">2</definedName>
    <definedName name="solver_rel535" localSheetId="61" hidden="1">1</definedName>
    <definedName name="solver_rel536" localSheetId="61" hidden="1">3</definedName>
    <definedName name="solver_rel537" localSheetId="61" hidden="1">2</definedName>
    <definedName name="solver_rel538" localSheetId="61" hidden="1">1</definedName>
    <definedName name="solver_rel539" localSheetId="61" hidden="1">3</definedName>
    <definedName name="solver_rel54" localSheetId="61" hidden="1">2</definedName>
    <definedName name="solver_rel540" localSheetId="61" hidden="1">2</definedName>
    <definedName name="solver_rel541" localSheetId="61" hidden="1">1</definedName>
    <definedName name="solver_rel542" localSheetId="61" hidden="1">3</definedName>
    <definedName name="solver_rel543" localSheetId="61" hidden="1">2</definedName>
    <definedName name="solver_rel544" localSheetId="61" hidden="1">1</definedName>
    <definedName name="solver_rel545" localSheetId="61" hidden="1">3</definedName>
    <definedName name="solver_rel546" localSheetId="61" hidden="1">2</definedName>
    <definedName name="solver_rel547" localSheetId="61" hidden="1">1</definedName>
    <definedName name="solver_rel548" localSheetId="61" hidden="1">3</definedName>
    <definedName name="solver_rel549" localSheetId="61" hidden="1">2</definedName>
    <definedName name="solver_rel55" localSheetId="61" hidden="1">1</definedName>
    <definedName name="solver_rel550" localSheetId="61" hidden="1">1</definedName>
    <definedName name="solver_rel551" localSheetId="61" hidden="1">3</definedName>
    <definedName name="solver_rel552" localSheetId="61" hidden="1">2</definedName>
    <definedName name="solver_rel553" localSheetId="61" hidden="1">1</definedName>
    <definedName name="solver_rel554" localSheetId="61" hidden="1">3</definedName>
    <definedName name="solver_rel555" localSheetId="61" hidden="1">2</definedName>
    <definedName name="solver_rel556" localSheetId="61" hidden="1">1</definedName>
    <definedName name="solver_rel557" localSheetId="61" hidden="1">3</definedName>
    <definedName name="solver_rel558" localSheetId="61" hidden="1">2</definedName>
    <definedName name="solver_rel559" localSheetId="61" hidden="1">1</definedName>
    <definedName name="solver_rel56" localSheetId="61" hidden="1">3</definedName>
    <definedName name="solver_rel560" localSheetId="61" hidden="1">3</definedName>
    <definedName name="solver_rel561" localSheetId="61" hidden="1">2</definedName>
    <definedName name="solver_rel562" localSheetId="61" hidden="1">1</definedName>
    <definedName name="solver_rel563" localSheetId="61" hidden="1">3</definedName>
    <definedName name="solver_rel564" localSheetId="61" hidden="1">2</definedName>
    <definedName name="solver_rel565" localSheetId="61" hidden="1">1</definedName>
    <definedName name="solver_rel566" localSheetId="61" hidden="1">3</definedName>
    <definedName name="solver_rel567" localSheetId="61" hidden="1">2</definedName>
    <definedName name="solver_rel568" localSheetId="61" hidden="1">1</definedName>
    <definedName name="solver_rel569" localSheetId="61" hidden="1">3</definedName>
    <definedName name="solver_rel57" localSheetId="61" hidden="1">2</definedName>
    <definedName name="solver_rel570" localSheetId="61" hidden="1">2</definedName>
    <definedName name="solver_rel571" localSheetId="61" hidden="1">1</definedName>
    <definedName name="solver_rel572" localSheetId="61" hidden="1">3</definedName>
    <definedName name="solver_rel573" localSheetId="61" hidden="1">2</definedName>
    <definedName name="solver_rel574" localSheetId="61" hidden="1">1</definedName>
    <definedName name="solver_rel575" localSheetId="61" hidden="1">3</definedName>
    <definedName name="solver_rel576" localSheetId="61" hidden="1">2</definedName>
    <definedName name="solver_rel577" localSheetId="61" hidden="1">1</definedName>
    <definedName name="solver_rel578" localSheetId="61" hidden="1">3</definedName>
    <definedName name="solver_rel579" localSheetId="61" hidden="1">2</definedName>
    <definedName name="solver_rel58" localSheetId="61" hidden="1">1</definedName>
    <definedName name="solver_rel580" localSheetId="61" hidden="1">1</definedName>
    <definedName name="solver_rel581" localSheetId="61" hidden="1">3</definedName>
    <definedName name="solver_rel582" localSheetId="61" hidden="1">2</definedName>
    <definedName name="solver_rel583" localSheetId="61" hidden="1">1</definedName>
    <definedName name="solver_rel584" localSheetId="61" hidden="1">3</definedName>
    <definedName name="solver_rel585" localSheetId="61" hidden="1">2</definedName>
    <definedName name="solver_rel586" localSheetId="61" hidden="1">1</definedName>
    <definedName name="solver_rel587" localSheetId="61" hidden="1">3</definedName>
    <definedName name="solver_rel588" localSheetId="61" hidden="1">2</definedName>
    <definedName name="solver_rel589" localSheetId="61" hidden="1">1</definedName>
    <definedName name="solver_rel59" localSheetId="61" hidden="1">3</definedName>
    <definedName name="solver_rel590" localSheetId="61" hidden="1">3</definedName>
    <definedName name="solver_rel591" localSheetId="61" hidden="1">2</definedName>
    <definedName name="solver_rel592" localSheetId="61" hidden="1">1</definedName>
    <definedName name="solver_rel593" localSheetId="61" hidden="1">3</definedName>
    <definedName name="solver_rel594" localSheetId="61" hidden="1">2</definedName>
    <definedName name="solver_rel595" localSheetId="61" hidden="1">1</definedName>
    <definedName name="solver_rel596" localSheetId="61" hidden="1">3</definedName>
    <definedName name="solver_rel597" localSheetId="61" hidden="1">2</definedName>
    <definedName name="solver_rel598" localSheetId="61" hidden="1">1</definedName>
    <definedName name="solver_rel599" localSheetId="61" hidden="1">3</definedName>
    <definedName name="solver_rel6" localSheetId="47" hidden="1">1</definedName>
    <definedName name="solver_rel6" localSheetId="21" hidden="1">1</definedName>
    <definedName name="solver_rel6" localSheetId="22" hidden="1">1</definedName>
    <definedName name="solver_rel6" localSheetId="61" hidden="1">2</definedName>
    <definedName name="solver_rel60" localSheetId="61" hidden="1">2</definedName>
    <definedName name="solver_rel600" localSheetId="61" hidden="1">2</definedName>
    <definedName name="solver_rel61" localSheetId="61" hidden="1">1</definedName>
    <definedName name="solver_rel62" localSheetId="61" hidden="1">3</definedName>
    <definedName name="solver_rel63" localSheetId="61" hidden="1">2</definedName>
    <definedName name="solver_rel64" localSheetId="61" hidden="1">1</definedName>
    <definedName name="solver_rel65" localSheetId="61" hidden="1">3</definedName>
    <definedName name="solver_rel66" localSheetId="61" hidden="1">2</definedName>
    <definedName name="solver_rel67" localSheetId="61" hidden="1">1</definedName>
    <definedName name="solver_rel68" localSheetId="61" hidden="1">3</definedName>
    <definedName name="solver_rel69" localSheetId="61" hidden="1">2</definedName>
    <definedName name="solver_rel7" localSheetId="47" hidden="1">3</definedName>
    <definedName name="solver_rel7" localSheetId="21" hidden="1">3</definedName>
    <definedName name="solver_rel7" localSheetId="22" hidden="1">3</definedName>
    <definedName name="solver_rel7" localSheetId="61" hidden="1">1</definedName>
    <definedName name="solver_rel70" localSheetId="61" hidden="1">1</definedName>
    <definedName name="solver_rel71" localSheetId="61" hidden="1">3</definedName>
    <definedName name="solver_rel72" localSheetId="61" hidden="1">2</definedName>
    <definedName name="solver_rel73" localSheetId="61" hidden="1">1</definedName>
    <definedName name="solver_rel74" localSheetId="61" hidden="1">3</definedName>
    <definedName name="solver_rel75" localSheetId="61" hidden="1">2</definedName>
    <definedName name="solver_rel76" localSheetId="61" hidden="1">1</definedName>
    <definedName name="solver_rel77" localSheetId="61" hidden="1">3</definedName>
    <definedName name="solver_rel78" localSheetId="61" hidden="1">2</definedName>
    <definedName name="solver_rel79" localSheetId="61" hidden="1">1</definedName>
    <definedName name="solver_rel8" localSheetId="21" hidden="1">3</definedName>
    <definedName name="solver_rel8" localSheetId="22" hidden="1">3</definedName>
    <definedName name="solver_rel8" localSheetId="61" hidden="1">3</definedName>
    <definedName name="solver_rel80" localSheetId="61" hidden="1">3</definedName>
    <definedName name="solver_rel81" localSheetId="61" hidden="1">2</definedName>
    <definedName name="solver_rel82" localSheetId="61" hidden="1">1</definedName>
    <definedName name="solver_rel83" localSheetId="61" hidden="1">3</definedName>
    <definedName name="solver_rel84" localSheetId="61" hidden="1">2</definedName>
    <definedName name="solver_rel85" localSheetId="61" hidden="1">1</definedName>
    <definedName name="solver_rel86" localSheetId="61" hidden="1">3</definedName>
    <definedName name="solver_rel87" localSheetId="61" hidden="1">2</definedName>
    <definedName name="solver_rel88" localSheetId="61" hidden="1">1</definedName>
    <definedName name="solver_rel89" localSheetId="61" hidden="1">3</definedName>
    <definedName name="solver_rel9" localSheetId="22" hidden="1">1</definedName>
    <definedName name="solver_rel9" localSheetId="61" hidden="1">2</definedName>
    <definedName name="solver_rel90" localSheetId="61" hidden="1">2</definedName>
    <definedName name="solver_rel91" localSheetId="61" hidden="1">1</definedName>
    <definedName name="solver_rel92" localSheetId="61" hidden="1">3</definedName>
    <definedName name="solver_rel93" localSheetId="61" hidden="1">2</definedName>
    <definedName name="solver_rel94" localSheetId="61" hidden="1">1</definedName>
    <definedName name="solver_rel95" localSheetId="61" hidden="1">3</definedName>
    <definedName name="solver_rel96" localSheetId="61" hidden="1">2</definedName>
    <definedName name="solver_rel97" localSheetId="61" hidden="1">1</definedName>
    <definedName name="solver_rel98" localSheetId="61" hidden="1">3</definedName>
    <definedName name="solver_rel99" localSheetId="61" hidden="1">2</definedName>
    <definedName name="solver_rhs1" localSheetId="23" hidden="1">'BadName!'!$J$9:$J$10</definedName>
    <definedName name="solver_rhs1" localSheetId="35" hidden="1">BinIntLB!$J$11:$J$13</definedName>
    <definedName name="solver_rhs1" localSheetId="20" hidden="1">BinIntOverlap!$K$8:$K$9</definedName>
    <definedName name="solver_rhs1" localSheetId="34" hidden="1">BinLB!$J$11:$J$13</definedName>
    <definedName name="solver_rhs1" localSheetId="8" hidden="1">BlankLHS!$J$8:$J$9</definedName>
    <definedName name="solver_rhs1" localSheetId="7" hidden="1">BlankRHS!$J$8:$J$9</definedName>
    <definedName name="solver_rhs1" localSheetId="47" hidden="1">ComplexLayout!$K$8:$K$9</definedName>
    <definedName name="solver_rhs1" localSheetId="21" hidden="1">ConFormula!$K$9:$K$10</definedName>
    <definedName name="solver_rhs1" localSheetId="22" hidden="1">ConFormulaInf!$K$9:$K$10</definedName>
    <definedName name="solver_rhs1" localSheetId="43" hidden="1">ConstantLB!$J$11:$J$13</definedName>
    <definedName name="solver_rhs1" localSheetId="40" hidden="1">ConstFormulaRangeLB!$J$10:$J$12</definedName>
    <definedName name="solver_rhs1" localSheetId="42" hidden="1">ConstraintLB!$J$11:$J$13</definedName>
    <definedName name="solver_rhs1" localSheetId="25" hidden="1">DeletedConRef!$J$9:$J$10</definedName>
    <definedName name="solver_rhs1" localSheetId="26" hidden="1">DeletedObjRef!$J$9:$J$10</definedName>
    <definedName name="solver_rhs1" localSheetId="53" hidden="1">DiffSheetObj!$I$6</definedName>
    <definedName name="solver_rhs1" localSheetId="32" hidden="1">DirectLBs!$J$10:$J$12</definedName>
    <definedName name="solver_rhs1" localSheetId="11" hidden="1">ErrorLHS!$J$8:$J$9</definedName>
    <definedName name="solver_rhs1" localSheetId="12" hidden="1">ErrorObj!$J$8:$J$9</definedName>
    <definedName name="solver_rhs1" localSheetId="10" hidden="1">ErrorRHS!$J$8:$J$9</definedName>
    <definedName name="solver_rhs1" localSheetId="24" hidden="1">'EscapeSheetName(1)+2-1'!$J$8:$J$9</definedName>
    <definedName name="solver_rhs1" localSheetId="28" hidden="1">FeasConstConstraint!$L$8:$L$9</definedName>
    <definedName name="solver_rhs1" localSheetId="44" hidden="1">FormulaLB!$J$11:$J$13</definedName>
    <definedName name="solver_rhs1" localSheetId="46" hidden="1">FractionalCoeffs!$I$6</definedName>
    <definedName name="solver_rhs1" localSheetId="31" hidden="1">IndirectLBs!$J$10:$J$11</definedName>
    <definedName name="solver_rhs1" localSheetId="27" hidden="1">InfConstConstraint!$L$8:$L$9</definedName>
    <definedName name="solver_rhs1" localSheetId="48" hidden="1">InfModel!$J$9:$J$10</definedName>
    <definedName name="solver_rhs1" localSheetId="5" hidden="1">IP_SUMIF!$C$10</definedName>
    <definedName name="solver_rhs1" localSheetId="49" hidden="1">IterativeCalc!$J$9:$J$10</definedName>
    <definedName name="solver_rhs1" localSheetId="37" hidden="1">LargeRangeLB!$J$12:$J$14</definedName>
    <definedName name="solver_rhs1" localSheetId="18" hidden="1">MergedLHS_OK!$J$9:$J$10</definedName>
    <definedName name="solver_rhs1" localSheetId="19" hidden="1">MergedLHSMultiple_OK!$J$9:$J$10</definedName>
    <definedName name="solver_rhs1" localSheetId="17" hidden="1">MergedRHS_OK!$J$9:$J$10</definedName>
    <definedName name="solver_rhs1" localSheetId="16" hidden="1">MergedVarsBad!$J$9:$J$10</definedName>
    <definedName name="solver_rhs1" localSheetId="15" hidden="1">MergedVarsOK!$J$9:$J$10</definedName>
    <definedName name="solver_rhs1" localSheetId="14" hidden="1">MergedVarsSubset!$J$9:$J$10</definedName>
    <definedName name="solver_rhs1" localSheetId="54" hidden="1">NamedRanges!$K$8</definedName>
    <definedName name="solver_rhs1" localSheetId="67" hidden="1">NonLin!$L$40</definedName>
    <definedName name="solver_rhs1" localSheetId="68" hidden="1">NonLin2!$G$6:$G$7</definedName>
    <definedName name="solver_rhs1" localSheetId="69" hidden="1">NonLin3!$Q$10:$Q$11</definedName>
    <definedName name="solver_rhs1" localSheetId="70" hidden="1">1000</definedName>
    <definedName name="solver_rhs1" localSheetId="72" hidden="1">0</definedName>
    <definedName name="solver_rhs1" localSheetId="66" hidden="1">NonLinBinary!$G$8:$G$9</definedName>
    <definedName name="solver_rhs1" localSheetId="65" hidden="1">NonLinConstraints!$K$7:$K$9</definedName>
    <definedName name="solver_rhs1" localSheetId="61" hidden="1">NonLinLarge!$J$7:$J$8</definedName>
    <definedName name="solver_rhs1" localSheetId="64" hidden="1">NonLinMinMax!$I$8</definedName>
    <definedName name="solver_rhs1" localSheetId="62" hidden="1">NonLinObj!$J$7:$J$8</definedName>
    <definedName name="solver_rhs1" localSheetId="63" hidden="1">NonLinPruning!$H$8:$H$9</definedName>
    <definedName name="solver_rhs1" localSheetId="60" hidden="1">NonLinSimple!$J$7:$J$8</definedName>
    <definedName name="solver_rhs1" localSheetId="50" hidden="1">NoObj!$J$9:$J$10</definedName>
    <definedName name="solver_rhs1" localSheetId="6" hidden="1">OverlappingVars!$J$8:$J$9</definedName>
    <definedName name="solver_rhs1" localSheetId="38" hidden="1">OverlapRangeLB!$J$12:$J$14</definedName>
    <definedName name="solver_rhs1" localSheetId="39" hidden="1">OverlapRangeLBwithFormula!$J$12:$J$14</definedName>
    <definedName name="solver_rhs1" localSheetId="30" hidden="1">ProtectedSheet!$J$8:$J$9</definedName>
    <definedName name="solver_rhs1" localSheetId="55" hidden="1">QuickSolve!$J$8</definedName>
    <definedName name="solver_rhs1" localSheetId="36" hidden="1">Relaxation!$J$11:$J$13</definedName>
    <definedName name="solver_rhs1" localSheetId="51" hidden="1">SeekObj!$I$6</definedName>
    <definedName name="solver_rhs1" localSheetId="52" hidden="1">SeekObjInf!$I$6</definedName>
    <definedName name="solver_rhs1" localSheetId="58" hidden="1">Sensitivity!$I$8</definedName>
    <definedName name="solver_rhs1" localSheetId="59" hidden="1">SensitivityNames!$J$14:$J$16</definedName>
    <definedName name="solver_rhs1" localSheetId="4" hidden="1">SimpleIP!$C$10</definedName>
    <definedName name="solver_rhs1" localSheetId="3" hidden="1">SimpleLP!$J$8:$J$9</definedName>
    <definedName name="solver_rhs1" localSheetId="33" hidden="1">SingleRangeLB!$J$10:$J$12</definedName>
    <definedName name="solver_rhs1" localSheetId="56" hidden="1">SolverParameters!$J$17:$J$18</definedName>
    <definedName name="solver_rhs1" localSheetId="13" hidden="1">TextObj!$J$8:$J$9</definedName>
    <definedName name="solver_rhs1" localSheetId="9" hidden="1">TextRHS!$J$8:$J$9</definedName>
    <definedName name="solver_rhs1" localSheetId="29" hidden="1">Unbounded!$J$8:$J$9</definedName>
    <definedName name="solver_rhs1" localSheetId="45" hidden="1">VarConstraintLB!$J$11:$J$13</definedName>
    <definedName name="solver_rhs1" localSheetId="41" hidden="1">VariableFormulaRangeLB!$J$11:$J$13</definedName>
    <definedName name="solver_rhs1" localSheetId="57" hidden="1">Warmstart!$UH$4</definedName>
    <definedName name="solver_rhs10" localSheetId="61" hidden="1">NonLinLarge!$J$74</definedName>
    <definedName name="solver_rhs100" localSheetId="61" hidden="1">NonLinLarge!$J$74</definedName>
    <definedName name="solver_rhs101" localSheetId="61" hidden="1">NonLinLarge!$J$75:$J$138</definedName>
    <definedName name="solver_rhs102" localSheetId="61" hidden="1">NonLinLarge!$J$139</definedName>
    <definedName name="solver_rhs103" localSheetId="61" hidden="1">NonLinLarge!$J$7:$J$8</definedName>
    <definedName name="solver_rhs104" localSheetId="61" hidden="1">NonLinLarge!$J$9:$J$72</definedName>
    <definedName name="solver_rhs105" localSheetId="61" hidden="1">NonLinLarge!$J$73</definedName>
    <definedName name="solver_rhs106" localSheetId="61" hidden="1">NonLinLarge!$J$74</definedName>
    <definedName name="solver_rhs107" localSheetId="61" hidden="1">NonLinLarge!$J$75:$J$138</definedName>
    <definedName name="solver_rhs108" localSheetId="61" hidden="1">NonLinLarge!$J$139</definedName>
    <definedName name="solver_rhs109" localSheetId="61" hidden="1">NonLinLarge!$J$7:$J$8</definedName>
    <definedName name="solver_rhs11" localSheetId="61" hidden="1">NonLinLarge!$J$75:$J$138</definedName>
    <definedName name="solver_rhs110" localSheetId="61" hidden="1">NonLinLarge!$J$9:$J$72</definedName>
    <definedName name="solver_rhs111" localSheetId="61" hidden="1">NonLinLarge!$J$73</definedName>
    <definedName name="solver_rhs112" localSheetId="61" hidden="1">NonLinLarge!$J$74</definedName>
    <definedName name="solver_rhs113" localSheetId="61" hidden="1">NonLinLarge!$J$75:$J$138</definedName>
    <definedName name="solver_rhs114" localSheetId="61" hidden="1">NonLinLarge!$J$139</definedName>
    <definedName name="solver_rhs115" localSheetId="61" hidden="1">NonLinLarge!$J$7:$J$8</definedName>
    <definedName name="solver_rhs116" localSheetId="61" hidden="1">NonLinLarge!$J$9:$J$72</definedName>
    <definedName name="solver_rhs117" localSheetId="61" hidden="1">NonLinLarge!$J$73</definedName>
    <definedName name="solver_rhs118" localSheetId="61" hidden="1">NonLinLarge!$J$74</definedName>
    <definedName name="solver_rhs119" localSheetId="61" hidden="1">NonLinLarge!$J$75:$J$138</definedName>
    <definedName name="solver_rhs12" localSheetId="61" hidden="1">NonLinLarge!$J$139</definedName>
    <definedName name="solver_rhs120" localSheetId="61" hidden="1">NonLinLarge!$J$139</definedName>
    <definedName name="solver_rhs121" localSheetId="61" hidden="1">NonLinLarge!$J$7:$J$8</definedName>
    <definedName name="solver_rhs122" localSheetId="61" hidden="1">NonLinLarge!$J$9:$J$72</definedName>
    <definedName name="solver_rhs123" localSheetId="61" hidden="1">NonLinLarge!$J$73</definedName>
    <definedName name="solver_rhs124" localSheetId="61" hidden="1">NonLinLarge!$J$74</definedName>
    <definedName name="solver_rhs125" localSheetId="61" hidden="1">NonLinLarge!$J$75:$J$138</definedName>
    <definedName name="solver_rhs126" localSheetId="61" hidden="1">NonLinLarge!$J$139</definedName>
    <definedName name="solver_rhs127" localSheetId="61" hidden="1">NonLinLarge!$J$7:$J$8</definedName>
    <definedName name="solver_rhs128" localSheetId="61" hidden="1">NonLinLarge!$J$9:$J$72</definedName>
    <definedName name="solver_rhs129" localSheetId="61" hidden="1">NonLinLarge!$J$73</definedName>
    <definedName name="solver_rhs13" localSheetId="61" hidden="1">NonLinLarge!$J$7:$J$8</definedName>
    <definedName name="solver_rhs130" localSheetId="61" hidden="1">NonLinLarge!$J$74</definedName>
    <definedName name="solver_rhs131" localSheetId="61" hidden="1">NonLinLarge!$J$75:$J$138</definedName>
    <definedName name="solver_rhs132" localSheetId="61" hidden="1">NonLinLarge!$J$139</definedName>
    <definedName name="solver_rhs133" localSheetId="61" hidden="1">NonLinLarge!$J$7:$J$8</definedName>
    <definedName name="solver_rhs134" localSheetId="61" hidden="1">NonLinLarge!$J$9:$J$72</definedName>
    <definedName name="solver_rhs135" localSheetId="61" hidden="1">NonLinLarge!$J$73</definedName>
    <definedName name="solver_rhs136" localSheetId="61" hidden="1">NonLinLarge!$J$74</definedName>
    <definedName name="solver_rhs137" localSheetId="61" hidden="1">NonLinLarge!$J$75:$J$138</definedName>
    <definedName name="solver_rhs138" localSheetId="61" hidden="1">NonLinLarge!$J$139</definedName>
    <definedName name="solver_rhs139" localSheetId="61" hidden="1">NonLinLarge!$J$7:$J$8</definedName>
    <definedName name="solver_rhs14" localSheetId="61" hidden="1">NonLinLarge!$J$9:$J$72</definedName>
    <definedName name="solver_rhs140" localSheetId="61" hidden="1">NonLinLarge!$J$9:$J$72</definedName>
    <definedName name="solver_rhs141" localSheetId="61" hidden="1">NonLinLarge!$J$73</definedName>
    <definedName name="solver_rhs142" localSheetId="61" hidden="1">NonLinLarge!$J$74</definedName>
    <definedName name="solver_rhs143" localSheetId="61" hidden="1">NonLinLarge!$J$75:$J$138</definedName>
    <definedName name="solver_rhs144" localSheetId="61" hidden="1">NonLinLarge!$J$139</definedName>
    <definedName name="solver_rhs145" localSheetId="61" hidden="1">NonLinLarge!$J$7:$J$8</definedName>
    <definedName name="solver_rhs146" localSheetId="61" hidden="1">NonLinLarge!$J$9:$J$72</definedName>
    <definedName name="solver_rhs147" localSheetId="61" hidden="1">NonLinLarge!$J$73</definedName>
    <definedName name="solver_rhs148" localSheetId="61" hidden="1">NonLinLarge!$J$74</definedName>
    <definedName name="solver_rhs149" localSheetId="61" hidden="1">NonLinLarge!$J$75:$J$138</definedName>
    <definedName name="solver_rhs15" localSheetId="61" hidden="1">NonLinLarge!$J$73</definedName>
    <definedName name="solver_rhs150" localSheetId="61" hidden="1">NonLinLarge!$J$139</definedName>
    <definedName name="solver_rhs151" localSheetId="61" hidden="1">NonLinLarge!$J$7:$J$8</definedName>
    <definedName name="solver_rhs152" localSheetId="61" hidden="1">NonLinLarge!$J$9:$J$72</definedName>
    <definedName name="solver_rhs153" localSheetId="61" hidden="1">NonLinLarge!$J$73</definedName>
    <definedName name="solver_rhs154" localSheetId="61" hidden="1">NonLinLarge!$J$74</definedName>
    <definedName name="solver_rhs155" localSheetId="61" hidden="1">NonLinLarge!$J$75:$J$138</definedName>
    <definedName name="solver_rhs156" localSheetId="61" hidden="1">NonLinLarge!$J$139</definedName>
    <definedName name="solver_rhs157" localSheetId="61" hidden="1">NonLinLarge!$J$7:$J$8</definedName>
    <definedName name="solver_rhs158" localSheetId="61" hidden="1">NonLinLarge!$J$9:$J$72</definedName>
    <definedName name="solver_rhs159" localSheetId="61" hidden="1">NonLinLarge!$J$73</definedName>
    <definedName name="solver_rhs16" localSheetId="61" hidden="1">NonLinLarge!$J$74</definedName>
    <definedName name="solver_rhs160" localSheetId="61" hidden="1">NonLinLarge!$J$74</definedName>
    <definedName name="solver_rhs161" localSheetId="61" hidden="1">NonLinLarge!$J$75:$J$138</definedName>
    <definedName name="solver_rhs162" localSheetId="61" hidden="1">NonLinLarge!$J$139</definedName>
    <definedName name="solver_rhs163" localSheetId="61" hidden="1">NonLinLarge!$J$7:$J$8</definedName>
    <definedName name="solver_rhs164" localSheetId="61" hidden="1">NonLinLarge!$J$9:$J$72</definedName>
    <definedName name="solver_rhs165" localSheetId="61" hidden="1">NonLinLarge!$J$73</definedName>
    <definedName name="solver_rhs166" localSheetId="61" hidden="1">NonLinLarge!$J$74</definedName>
    <definedName name="solver_rhs167" localSheetId="61" hidden="1">NonLinLarge!$J$75:$J$138</definedName>
    <definedName name="solver_rhs168" localSheetId="61" hidden="1">NonLinLarge!$J$139</definedName>
    <definedName name="solver_rhs169" localSheetId="61" hidden="1">NonLinLarge!$J$7:$J$8</definedName>
    <definedName name="solver_rhs17" localSheetId="61" hidden="1">NonLinLarge!$J$75:$J$138</definedName>
    <definedName name="solver_rhs170" localSheetId="61" hidden="1">NonLinLarge!$J$9:$J$72</definedName>
    <definedName name="solver_rhs171" localSheetId="61" hidden="1">NonLinLarge!$J$73</definedName>
    <definedName name="solver_rhs172" localSheetId="61" hidden="1">NonLinLarge!$J$74</definedName>
    <definedName name="solver_rhs173" localSheetId="61" hidden="1">NonLinLarge!$J$75:$J$138</definedName>
    <definedName name="solver_rhs174" localSheetId="61" hidden="1">NonLinLarge!$J$139</definedName>
    <definedName name="solver_rhs175" localSheetId="61" hidden="1">NonLinLarge!$J$7:$J$8</definedName>
    <definedName name="solver_rhs176" localSheetId="61" hidden="1">NonLinLarge!$J$9:$J$72</definedName>
    <definedName name="solver_rhs177" localSheetId="61" hidden="1">NonLinLarge!$J$73</definedName>
    <definedName name="solver_rhs178" localSheetId="61" hidden="1">NonLinLarge!$J$74</definedName>
    <definedName name="solver_rhs179" localSheetId="61" hidden="1">NonLinLarge!$J$75:$J$138</definedName>
    <definedName name="solver_rhs18" localSheetId="61" hidden="1">NonLinLarge!$J$139</definedName>
    <definedName name="solver_rhs180" localSheetId="61" hidden="1">NonLinLarge!$J$139</definedName>
    <definedName name="solver_rhs181" localSheetId="61" hidden="1">NonLinLarge!$J$7:$J$8</definedName>
    <definedName name="solver_rhs182" localSheetId="61" hidden="1">NonLinLarge!$J$9:$J$72</definedName>
    <definedName name="solver_rhs183" localSheetId="61" hidden="1">NonLinLarge!$J$73</definedName>
    <definedName name="solver_rhs184" localSheetId="61" hidden="1">NonLinLarge!$J$74</definedName>
    <definedName name="solver_rhs185" localSheetId="61" hidden="1">NonLinLarge!$J$75:$J$138</definedName>
    <definedName name="solver_rhs186" localSheetId="61" hidden="1">NonLinLarge!$J$139</definedName>
    <definedName name="solver_rhs187" localSheetId="61" hidden="1">NonLinLarge!$J$7:$J$8</definedName>
    <definedName name="solver_rhs188" localSheetId="61" hidden="1">NonLinLarge!$J$9:$J$72</definedName>
    <definedName name="solver_rhs189" localSheetId="61" hidden="1">NonLinLarge!$J$73</definedName>
    <definedName name="solver_rhs19" localSheetId="61" hidden="1">NonLinLarge!$J$7:$J$8</definedName>
    <definedName name="solver_rhs190" localSheetId="61" hidden="1">NonLinLarge!$J$74</definedName>
    <definedName name="solver_rhs191" localSheetId="61" hidden="1">NonLinLarge!$J$75:$J$138</definedName>
    <definedName name="solver_rhs192" localSheetId="61" hidden="1">NonLinLarge!$J$139</definedName>
    <definedName name="solver_rhs193" localSheetId="61" hidden="1">NonLinLarge!$J$7:$J$8</definedName>
    <definedName name="solver_rhs194" localSheetId="61" hidden="1">NonLinLarge!$J$9:$J$72</definedName>
    <definedName name="solver_rhs195" localSheetId="61" hidden="1">NonLinLarge!$J$73</definedName>
    <definedName name="solver_rhs196" localSheetId="61" hidden="1">NonLinLarge!$J$74</definedName>
    <definedName name="solver_rhs197" localSheetId="61" hidden="1">NonLinLarge!$J$75:$J$138</definedName>
    <definedName name="solver_rhs198" localSheetId="61" hidden="1">NonLinLarge!$J$139</definedName>
    <definedName name="solver_rhs199" localSheetId="61" hidden="1">NonLinLarge!$J$7:$J$8</definedName>
    <definedName name="solver_rhs2" localSheetId="23" hidden="1">'BadName!'!$J$11</definedName>
    <definedName name="solver_rhs2" localSheetId="35" hidden="1">BinIntLB!$E$7</definedName>
    <definedName name="solver_rhs2" localSheetId="20" hidden="1">BinIntOverlap!$K$10</definedName>
    <definedName name="solver_rhs2" localSheetId="34" hidden="1">BinLB!$E$7</definedName>
    <definedName name="solver_rhs2" localSheetId="8" hidden="1">BlankLHS!$J$10</definedName>
    <definedName name="solver_rhs2" localSheetId="7" hidden="1">BlankRHS!$J$10</definedName>
    <definedName name="solver_rhs2" localSheetId="47" hidden="1">ComplexLayout!$K$10</definedName>
    <definedName name="solver_rhs2" localSheetId="21" hidden="1">ConFormula!$K$11</definedName>
    <definedName name="solver_rhs2" localSheetId="22" hidden="1">ConFormulaInf!$N$11</definedName>
    <definedName name="solver_rhs2" localSheetId="43" hidden="1">-10</definedName>
    <definedName name="solver_rhs2" localSheetId="40" hidden="1">ConstFormulaRangeLB!$D$6:$F$6</definedName>
    <definedName name="solver_rhs2" localSheetId="25" hidden="1">DeletedConRef!$J$11</definedName>
    <definedName name="solver_rhs2" localSheetId="26" hidden="1">DeletedObjRef!$J$11</definedName>
    <definedName name="solver_rhs2" localSheetId="53" hidden="1">DiffSheetObj!$I$7</definedName>
    <definedName name="solver_rhs2" localSheetId="32" hidden="1">DirectLBs!$D$6:$F$6</definedName>
    <definedName name="solver_rhs2" localSheetId="11" hidden="1">ErrorLHS!$J$10</definedName>
    <definedName name="solver_rhs2" localSheetId="12" hidden="1">ErrorObj!$J$10</definedName>
    <definedName name="solver_rhs2" localSheetId="10" hidden="1">ErrorRHS!$J$10</definedName>
    <definedName name="solver_rhs2" localSheetId="24" hidden="1">'EscapeSheetName(1)+2-1'!$J$10</definedName>
    <definedName name="solver_rhs2" localSheetId="28" hidden="1">FeasConstConstraint!$L$10</definedName>
    <definedName name="solver_rhs2" localSheetId="44" hidden="1">-10*2</definedName>
    <definedName name="solver_rhs2" localSheetId="46" hidden="1">FractionalCoeffs!$I$7</definedName>
    <definedName name="solver_rhs2" localSheetId="31" hidden="1">IndirectLBs!$J$12</definedName>
    <definedName name="solver_rhs2" localSheetId="27" hidden="1">InfConstConstraint!$L$10</definedName>
    <definedName name="solver_rhs2" localSheetId="48" hidden="1">InfModel!$J$11</definedName>
    <definedName name="solver_rhs2" localSheetId="5" hidden="1">binary</definedName>
    <definedName name="solver_rhs2" localSheetId="49" hidden="1">IterativeCalc!$J$11</definedName>
    <definedName name="solver_rhs2" localSheetId="37" hidden="1">LargeRangeLB!$D$8:$H$8</definedName>
    <definedName name="solver_rhs2" localSheetId="18" hidden="1">MergedLHS_OK!$J$11</definedName>
    <definedName name="solver_rhs2" localSheetId="19" hidden="1">MergedLHSMultiple_OK!$J$11</definedName>
    <definedName name="solver_rhs2" localSheetId="17" hidden="1">MergedRHS_OK!$J$11</definedName>
    <definedName name="solver_rhs2" localSheetId="16" hidden="1">MergedVarsBad!$J$11</definedName>
    <definedName name="solver_rhs2" localSheetId="15" hidden="1">MergedVarsOK!$J$11</definedName>
    <definedName name="solver_rhs2" localSheetId="14" hidden="1">MergedVarsSubset!$J$11</definedName>
    <definedName name="solver_rhs2" localSheetId="54" hidden="1">NamedRanges!$K$9</definedName>
    <definedName name="solver_rhs2" localSheetId="67" hidden="1">NonLin!$L$41:$L$42</definedName>
    <definedName name="solver_rhs2" localSheetId="69" hidden="1">NonLin3!$U$10:$U$11</definedName>
    <definedName name="solver_rhs2" localSheetId="72" hidden="1">90</definedName>
    <definedName name="solver_rhs2" localSheetId="66" hidden="1">binary</definedName>
    <definedName name="solver_rhs2" localSheetId="61" hidden="1">NonLinLarge!$J$9:$J$72</definedName>
    <definedName name="solver_rhs2" localSheetId="64" hidden="1">integer</definedName>
    <definedName name="solver_rhs2" localSheetId="62" hidden="1">NonLinObj!$J$9</definedName>
    <definedName name="solver_rhs2" localSheetId="63" hidden="1">NonLinPruning!$H$10:$H$11</definedName>
    <definedName name="solver_rhs2" localSheetId="60" hidden="1">NonLinSimple!$J$9</definedName>
    <definedName name="solver_rhs2" localSheetId="50" hidden="1">NoObj!$J$11</definedName>
    <definedName name="solver_rhs2" localSheetId="6" hidden="1">OverlappingVars!$J$10</definedName>
    <definedName name="solver_rhs2" localSheetId="38" hidden="1">OverlapRangeLB!$E$8:$H$8</definedName>
    <definedName name="solver_rhs2" localSheetId="39" hidden="1">OverlapRangeLBwithFormula!$D$8:$H$8</definedName>
    <definedName name="solver_rhs2" localSheetId="30" hidden="1">ProtectedSheet!$J$10</definedName>
    <definedName name="solver_rhs2" localSheetId="55" hidden="1">QuickSolve!$J$9:$J$10</definedName>
    <definedName name="solver_rhs2" localSheetId="36" hidden="1">Relaxation!$E$7</definedName>
    <definedName name="solver_rhs2" localSheetId="51" hidden="1">SeekObj!$I$7</definedName>
    <definedName name="solver_rhs2" localSheetId="52" hidden="1">SeekObjInf!$I$7</definedName>
    <definedName name="solver_rhs2" localSheetId="58" hidden="1">Sensitivity!$I$9</definedName>
    <definedName name="solver_rhs2" localSheetId="59" hidden="1">SensitivityNames!$D$18:$H$18</definedName>
    <definedName name="solver_rhs2" localSheetId="4" hidden="1">binary</definedName>
    <definedName name="solver_rhs2" localSheetId="3" hidden="1">SimpleLP!$J$10</definedName>
    <definedName name="solver_rhs2" localSheetId="33" hidden="1">-2</definedName>
    <definedName name="solver_rhs2" localSheetId="56" hidden="1">SolverParameters!$J$19</definedName>
    <definedName name="solver_rhs2" localSheetId="13" hidden="1">TextObj!$J$10</definedName>
    <definedName name="solver_rhs2" localSheetId="9" hidden="1">TextRHS!$J$10</definedName>
    <definedName name="solver_rhs2" localSheetId="29" hidden="1">Unbounded!$J$10</definedName>
    <definedName name="solver_rhs2" localSheetId="45" hidden="1">VarConstraintLB!$D$5</definedName>
    <definedName name="solver_rhs2" localSheetId="41" hidden="1">VariableFormulaRangeLB!$D$7:$F$7</definedName>
    <definedName name="solver_rhs2" localSheetId="57" hidden="1">binary</definedName>
    <definedName name="solver_rhs20" localSheetId="61" hidden="1">NonLinLarge!$J$9:$J$72</definedName>
    <definedName name="solver_rhs200" localSheetId="61" hidden="1">NonLinLarge!$J$9:$J$72</definedName>
    <definedName name="solver_rhs201" localSheetId="61" hidden="1">NonLinLarge!$J$73</definedName>
    <definedName name="solver_rhs202" localSheetId="61" hidden="1">NonLinLarge!$J$74</definedName>
    <definedName name="solver_rhs203" localSheetId="61" hidden="1">NonLinLarge!$J$75:$J$138</definedName>
    <definedName name="solver_rhs204" localSheetId="61" hidden="1">NonLinLarge!$J$139</definedName>
    <definedName name="solver_rhs205" localSheetId="61" hidden="1">NonLinLarge!$J$7:$J$8</definedName>
    <definedName name="solver_rhs206" localSheetId="61" hidden="1">NonLinLarge!$J$9:$J$72</definedName>
    <definedName name="solver_rhs207" localSheetId="61" hidden="1">NonLinLarge!$J$73</definedName>
    <definedName name="solver_rhs208" localSheetId="61" hidden="1">NonLinLarge!$J$74</definedName>
    <definedName name="solver_rhs209" localSheetId="61" hidden="1">NonLinLarge!$J$75:$J$138</definedName>
    <definedName name="solver_rhs21" localSheetId="61" hidden="1">NonLinLarge!$J$73</definedName>
    <definedName name="solver_rhs210" localSheetId="61" hidden="1">NonLinLarge!$J$139</definedName>
    <definedName name="solver_rhs211" localSheetId="61" hidden="1">NonLinLarge!$J$7:$J$8</definedName>
    <definedName name="solver_rhs212" localSheetId="61" hidden="1">NonLinLarge!$J$9:$J$72</definedName>
    <definedName name="solver_rhs213" localSheetId="61" hidden="1">NonLinLarge!$J$73</definedName>
    <definedName name="solver_rhs214" localSheetId="61" hidden="1">NonLinLarge!$J$74</definedName>
    <definedName name="solver_rhs215" localSheetId="61" hidden="1">NonLinLarge!$J$75:$J$138</definedName>
    <definedName name="solver_rhs216" localSheetId="61" hidden="1">NonLinLarge!$J$139</definedName>
    <definedName name="solver_rhs217" localSheetId="61" hidden="1">NonLinLarge!$J$7:$J$8</definedName>
    <definedName name="solver_rhs218" localSheetId="61" hidden="1">NonLinLarge!$J$9:$J$72</definedName>
    <definedName name="solver_rhs219" localSheetId="61" hidden="1">NonLinLarge!$J$73</definedName>
    <definedName name="solver_rhs22" localSheetId="61" hidden="1">NonLinLarge!$J$74</definedName>
    <definedName name="solver_rhs220" localSheetId="61" hidden="1">NonLinLarge!$J$74</definedName>
    <definedName name="solver_rhs221" localSheetId="61" hidden="1">NonLinLarge!$J$75:$J$138</definedName>
    <definedName name="solver_rhs222" localSheetId="61" hidden="1">NonLinLarge!$J$139</definedName>
    <definedName name="solver_rhs223" localSheetId="61" hidden="1">NonLinLarge!$J$7:$J$8</definedName>
    <definedName name="solver_rhs224" localSheetId="61" hidden="1">NonLinLarge!$J$9:$J$72</definedName>
    <definedName name="solver_rhs225" localSheetId="61" hidden="1">NonLinLarge!$J$73</definedName>
    <definedName name="solver_rhs226" localSheetId="61" hidden="1">NonLinLarge!$J$74</definedName>
    <definedName name="solver_rhs227" localSheetId="61" hidden="1">NonLinLarge!$J$75:$J$138</definedName>
    <definedName name="solver_rhs228" localSheetId="61" hidden="1">NonLinLarge!$J$139</definedName>
    <definedName name="solver_rhs229" localSheetId="61" hidden="1">NonLinLarge!$J$7:$J$8</definedName>
    <definedName name="solver_rhs23" localSheetId="61" hidden="1">NonLinLarge!$J$75:$J$138</definedName>
    <definedName name="solver_rhs230" localSheetId="61" hidden="1">NonLinLarge!$J$9:$J$72</definedName>
    <definedName name="solver_rhs231" localSheetId="61" hidden="1">NonLinLarge!$J$73</definedName>
    <definedName name="solver_rhs232" localSheetId="61" hidden="1">NonLinLarge!$J$74</definedName>
    <definedName name="solver_rhs233" localSheetId="61" hidden="1">NonLinLarge!$J$75:$J$138</definedName>
    <definedName name="solver_rhs234" localSheetId="61" hidden="1">NonLinLarge!$J$139</definedName>
    <definedName name="solver_rhs235" localSheetId="61" hidden="1">NonLinLarge!$J$7:$J$8</definedName>
    <definedName name="solver_rhs236" localSheetId="61" hidden="1">NonLinLarge!$J$9:$J$72</definedName>
    <definedName name="solver_rhs237" localSheetId="61" hidden="1">NonLinLarge!$J$73</definedName>
    <definedName name="solver_rhs238" localSheetId="61" hidden="1">NonLinLarge!$J$74</definedName>
    <definedName name="solver_rhs239" localSheetId="61" hidden="1">NonLinLarge!$J$75:$J$138</definedName>
    <definedName name="solver_rhs24" localSheetId="61" hidden="1">NonLinLarge!$J$139</definedName>
    <definedName name="solver_rhs240" localSheetId="61" hidden="1">NonLinLarge!$J$139</definedName>
    <definedName name="solver_rhs241" localSheetId="61" hidden="1">NonLinLarge!$J$7:$J$8</definedName>
    <definedName name="solver_rhs242" localSheetId="61" hidden="1">NonLinLarge!$J$9:$J$72</definedName>
    <definedName name="solver_rhs243" localSheetId="61" hidden="1">NonLinLarge!$J$73</definedName>
    <definedName name="solver_rhs244" localSheetId="61" hidden="1">NonLinLarge!$J$74</definedName>
    <definedName name="solver_rhs245" localSheetId="61" hidden="1">NonLinLarge!$J$75:$J$138</definedName>
    <definedName name="solver_rhs246" localSheetId="61" hidden="1">NonLinLarge!$J$139</definedName>
    <definedName name="solver_rhs247" localSheetId="61" hidden="1">NonLinLarge!$J$7:$J$8</definedName>
    <definedName name="solver_rhs248" localSheetId="61" hidden="1">NonLinLarge!$J$9:$J$72</definedName>
    <definedName name="solver_rhs249" localSheetId="61" hidden="1">NonLinLarge!$J$73</definedName>
    <definedName name="solver_rhs25" localSheetId="61" hidden="1">NonLinLarge!$J$7:$J$8</definedName>
    <definedName name="solver_rhs250" localSheetId="61" hidden="1">NonLinLarge!$J$74</definedName>
    <definedName name="solver_rhs251" localSheetId="61" hidden="1">NonLinLarge!$J$75:$J$138</definedName>
    <definedName name="solver_rhs252" localSheetId="61" hidden="1">NonLinLarge!$J$139</definedName>
    <definedName name="solver_rhs253" localSheetId="61" hidden="1">NonLinLarge!$J$7:$J$8</definedName>
    <definedName name="solver_rhs254" localSheetId="61" hidden="1">NonLinLarge!$J$9:$J$72</definedName>
    <definedName name="solver_rhs255" localSheetId="61" hidden="1">NonLinLarge!$J$73</definedName>
    <definedName name="solver_rhs256" localSheetId="61" hidden="1">NonLinLarge!$J$74</definedName>
    <definedName name="solver_rhs257" localSheetId="61" hidden="1">NonLinLarge!$J$75:$J$138</definedName>
    <definedName name="solver_rhs258" localSheetId="61" hidden="1">NonLinLarge!$J$139</definedName>
    <definedName name="solver_rhs259" localSheetId="61" hidden="1">NonLinLarge!$J$7:$J$8</definedName>
    <definedName name="solver_rhs26" localSheetId="61" hidden="1">NonLinLarge!$J$9:$J$72</definedName>
    <definedName name="solver_rhs260" localSheetId="61" hidden="1">NonLinLarge!$J$9:$J$72</definedName>
    <definedName name="solver_rhs261" localSheetId="61" hidden="1">NonLinLarge!$J$73</definedName>
    <definedName name="solver_rhs262" localSheetId="61" hidden="1">NonLinLarge!$J$74</definedName>
    <definedName name="solver_rhs263" localSheetId="61" hidden="1">NonLinLarge!$J$75:$J$138</definedName>
    <definedName name="solver_rhs264" localSheetId="61" hidden="1">NonLinLarge!$J$139</definedName>
    <definedName name="solver_rhs265" localSheetId="61" hidden="1">NonLinLarge!$J$7:$J$8</definedName>
    <definedName name="solver_rhs266" localSheetId="61" hidden="1">NonLinLarge!$J$9:$J$72</definedName>
    <definedName name="solver_rhs267" localSheetId="61" hidden="1">NonLinLarge!$J$73</definedName>
    <definedName name="solver_rhs268" localSheetId="61" hidden="1">NonLinLarge!$J$74</definedName>
    <definedName name="solver_rhs269" localSheetId="61" hidden="1">NonLinLarge!$J$75:$J$138</definedName>
    <definedName name="solver_rhs27" localSheetId="61" hidden="1">NonLinLarge!$J$73</definedName>
    <definedName name="solver_rhs270" localSheetId="61" hidden="1">NonLinLarge!$J$139</definedName>
    <definedName name="solver_rhs271" localSheetId="61" hidden="1">NonLinLarge!$J$7:$J$8</definedName>
    <definedName name="solver_rhs272" localSheetId="61" hidden="1">NonLinLarge!$J$9:$J$72</definedName>
    <definedName name="solver_rhs273" localSheetId="61" hidden="1">NonLinLarge!$J$73</definedName>
    <definedName name="solver_rhs274" localSheetId="61" hidden="1">NonLinLarge!$J$74</definedName>
    <definedName name="solver_rhs275" localSheetId="61" hidden="1">NonLinLarge!$J$75:$J$138</definedName>
    <definedName name="solver_rhs276" localSheetId="61" hidden="1">NonLinLarge!$J$139</definedName>
    <definedName name="solver_rhs277" localSheetId="61" hidden="1">NonLinLarge!$J$7:$J$8</definedName>
    <definedName name="solver_rhs278" localSheetId="61" hidden="1">NonLinLarge!$J$9:$J$72</definedName>
    <definedName name="solver_rhs279" localSheetId="61" hidden="1">NonLinLarge!$J$73</definedName>
    <definedName name="solver_rhs28" localSheetId="61" hidden="1">NonLinLarge!$J$74</definedName>
    <definedName name="solver_rhs280" localSheetId="61" hidden="1">NonLinLarge!$J$74</definedName>
    <definedName name="solver_rhs281" localSheetId="61" hidden="1">NonLinLarge!$J$75:$J$138</definedName>
    <definedName name="solver_rhs282" localSheetId="61" hidden="1">NonLinLarge!$J$139</definedName>
    <definedName name="solver_rhs283" localSheetId="61" hidden="1">NonLinLarge!$J$7:$J$8</definedName>
    <definedName name="solver_rhs284" localSheetId="61" hidden="1">NonLinLarge!$J$9:$J$72</definedName>
    <definedName name="solver_rhs285" localSheetId="61" hidden="1">NonLinLarge!$J$73</definedName>
    <definedName name="solver_rhs286" localSheetId="61" hidden="1">NonLinLarge!$J$74</definedName>
    <definedName name="solver_rhs287" localSheetId="61" hidden="1">NonLinLarge!$J$75:$J$138</definedName>
    <definedName name="solver_rhs288" localSheetId="61" hidden="1">NonLinLarge!$J$139</definedName>
    <definedName name="solver_rhs289" localSheetId="61" hidden="1">NonLinLarge!$J$7:$J$8</definedName>
    <definedName name="solver_rhs29" localSheetId="61" hidden="1">NonLinLarge!$J$75:$J$138</definedName>
    <definedName name="solver_rhs290" localSheetId="61" hidden="1">NonLinLarge!$J$9:$J$72</definedName>
    <definedName name="solver_rhs291" localSheetId="61" hidden="1">NonLinLarge!$J$73</definedName>
    <definedName name="solver_rhs292" localSheetId="61" hidden="1">NonLinLarge!$J$74</definedName>
    <definedName name="solver_rhs293" localSheetId="61" hidden="1">NonLinLarge!$J$75:$J$138</definedName>
    <definedName name="solver_rhs294" localSheetId="61" hidden="1">NonLinLarge!$J$139</definedName>
    <definedName name="solver_rhs295" localSheetId="61" hidden="1">NonLinLarge!$J$7:$J$8</definedName>
    <definedName name="solver_rhs296" localSheetId="61" hidden="1">NonLinLarge!$J$9:$J$72</definedName>
    <definedName name="solver_rhs297" localSheetId="61" hidden="1">NonLinLarge!$J$73</definedName>
    <definedName name="solver_rhs298" localSheetId="61" hidden="1">NonLinLarge!$J$74</definedName>
    <definedName name="solver_rhs299" localSheetId="61" hidden="1">NonLinLarge!$J$75:$J$138</definedName>
    <definedName name="solver_rhs3" localSheetId="23" hidden="1">'BadName!'!$J$12</definedName>
    <definedName name="solver_rhs3" localSheetId="35" hidden="1">binary</definedName>
    <definedName name="solver_rhs3" localSheetId="20" hidden="1">BinIntOverlap!$K$11</definedName>
    <definedName name="solver_rhs3" localSheetId="34" hidden="1">binary</definedName>
    <definedName name="solver_rhs3" localSheetId="8" hidden="1">BlankLHS!$J$11</definedName>
    <definedName name="solver_rhs3" localSheetId="7" hidden="1">BlankRHS!$J$11</definedName>
    <definedName name="solver_rhs3" localSheetId="47" hidden="1">ComplexLayout!$K$11</definedName>
    <definedName name="solver_rhs3" localSheetId="21" hidden="1">ConFormula!$K$12</definedName>
    <definedName name="solver_rhs3" localSheetId="22" hidden="1">ConFormulaInf!$K$12</definedName>
    <definedName name="solver_rhs3" localSheetId="25" hidden="1">DeletedConRef!$J$12</definedName>
    <definedName name="solver_rhs3" localSheetId="26" hidden="1">DeletedObjRef!$J$12</definedName>
    <definedName name="solver_rhs3" localSheetId="53" hidden="1">DiffSheetObj!$I$8:$I$9</definedName>
    <definedName name="solver_rhs3" localSheetId="11" hidden="1">ErrorLHS!$J$11</definedName>
    <definedName name="solver_rhs3" localSheetId="12" hidden="1">ErrorObj!$J$11</definedName>
    <definedName name="solver_rhs3" localSheetId="10" hidden="1">ErrorRHS!$J$11</definedName>
    <definedName name="solver_rhs3" localSheetId="24" hidden="1">'EscapeSheetName(1)+2-1'!$J$11</definedName>
    <definedName name="solver_rhs3" localSheetId="28" hidden="1">FeasConstConstraint!$L$11</definedName>
    <definedName name="solver_rhs3" localSheetId="46" hidden="1">FractionalCoeffs!$I$8:$I$9</definedName>
    <definedName name="solver_rhs3" localSheetId="31" hidden="1">IndirectLBs!$J$13</definedName>
    <definedName name="solver_rhs3" localSheetId="27" hidden="1">InfConstConstraint!$L$11</definedName>
    <definedName name="solver_rhs3" localSheetId="48" hidden="1">InfModel!$J$12</definedName>
    <definedName name="solver_rhs3" localSheetId="49" hidden="1">IterativeCalc!$J$12</definedName>
    <definedName name="solver_rhs3" localSheetId="18" hidden="1">MergedLHS_OK!$J$12</definedName>
    <definedName name="solver_rhs3" localSheetId="19" hidden="1">MergedLHSMultiple_OK!$J$12</definedName>
    <definedName name="solver_rhs3" localSheetId="17" hidden="1">MergedRHS_OK!$J$12</definedName>
    <definedName name="solver_rhs3" localSheetId="16" hidden="1">MergedVarsBad!$J$12</definedName>
    <definedName name="solver_rhs3" localSheetId="15" hidden="1">MergedVarsOK!$J$12</definedName>
    <definedName name="solver_rhs3" localSheetId="14" hidden="1">MergedVarsSubset!$J$12</definedName>
    <definedName name="solver_rhs3" localSheetId="54" hidden="1">NamedRanges!$K$10:$K$11</definedName>
    <definedName name="solver_rhs3" localSheetId="67" hidden="1">NonLin!$L$43</definedName>
    <definedName name="solver_rhs3" localSheetId="72" hidden="1">-180</definedName>
    <definedName name="solver_rhs3" localSheetId="61" hidden="1">NonLinLarge!$J$73</definedName>
    <definedName name="solver_rhs3" localSheetId="62" hidden="1">NonLinObj!$J$10</definedName>
    <definedName name="solver_rhs3" localSheetId="63" hidden="1">NonLinPruning!$H$12:$H$18</definedName>
    <definedName name="solver_rhs3" localSheetId="60" hidden="1">NonLinSimple!$J$10</definedName>
    <definedName name="solver_rhs3" localSheetId="50" hidden="1">NoObj!$J$12</definedName>
    <definedName name="solver_rhs3" localSheetId="6" hidden="1">OverlappingVars!$J$11</definedName>
    <definedName name="solver_rhs3" localSheetId="30" hidden="1">ProtectedSheet!$J$11</definedName>
    <definedName name="solver_rhs3" localSheetId="36" hidden="1">binary</definedName>
    <definedName name="solver_rhs3" localSheetId="51" hidden="1">SeekObj!$I$8:$I$9</definedName>
    <definedName name="solver_rhs3" localSheetId="52" hidden="1">SeekObjInf!$I$8:$I$9</definedName>
    <definedName name="solver_rhs3" localSheetId="58" hidden="1">Sensitivity!$I$10:$I$11</definedName>
    <definedName name="solver_rhs3" localSheetId="59" hidden="1">SensitivityNames!$J$24</definedName>
    <definedName name="solver_rhs3" localSheetId="3" hidden="1">SimpleLP!$J$11</definedName>
    <definedName name="solver_rhs3" localSheetId="56" hidden="1">SolverParameters!$J$20</definedName>
    <definedName name="solver_rhs3" localSheetId="13" hidden="1">TextObj!$J$11</definedName>
    <definedName name="solver_rhs3" localSheetId="9" hidden="1">TextRHS!$J$11</definedName>
    <definedName name="solver_rhs3" localSheetId="29" hidden="1">Unbounded!$J$11</definedName>
    <definedName name="solver_rhs30" localSheetId="61" hidden="1">NonLinLarge!$J$139</definedName>
    <definedName name="solver_rhs300" localSheetId="61" hidden="1">NonLinLarge!$J$139</definedName>
    <definedName name="solver_rhs301" localSheetId="61" hidden="1">NonLinLarge!$J$7:$J$8</definedName>
    <definedName name="solver_rhs302" localSheetId="61" hidden="1">NonLinLarge!$J$9:$J$72</definedName>
    <definedName name="solver_rhs303" localSheetId="61" hidden="1">NonLinLarge!$J$73</definedName>
    <definedName name="solver_rhs304" localSheetId="61" hidden="1">NonLinLarge!$J$74</definedName>
    <definedName name="solver_rhs305" localSheetId="61" hidden="1">NonLinLarge!$J$75:$J$138</definedName>
    <definedName name="solver_rhs306" localSheetId="61" hidden="1">NonLinLarge!$J$139</definedName>
    <definedName name="solver_rhs307" localSheetId="61" hidden="1">NonLinLarge!$J$7:$J$8</definedName>
    <definedName name="solver_rhs308" localSheetId="61" hidden="1">NonLinLarge!$J$9:$J$72</definedName>
    <definedName name="solver_rhs309" localSheetId="61" hidden="1">NonLinLarge!$J$73</definedName>
    <definedName name="solver_rhs31" localSheetId="61" hidden="1">NonLinLarge!$J$7:$J$8</definedName>
    <definedName name="solver_rhs310" localSheetId="61" hidden="1">NonLinLarge!$J$74</definedName>
    <definedName name="solver_rhs311" localSheetId="61" hidden="1">NonLinLarge!$J$75:$J$138</definedName>
    <definedName name="solver_rhs312" localSheetId="61" hidden="1">NonLinLarge!$J$139</definedName>
    <definedName name="solver_rhs313" localSheetId="61" hidden="1">NonLinLarge!$J$7:$J$8</definedName>
    <definedName name="solver_rhs314" localSheetId="61" hidden="1">NonLinLarge!$J$9:$J$72</definedName>
    <definedName name="solver_rhs315" localSheetId="61" hidden="1">NonLinLarge!$J$73</definedName>
    <definedName name="solver_rhs316" localSheetId="61" hidden="1">NonLinLarge!$J$74</definedName>
    <definedName name="solver_rhs317" localSheetId="61" hidden="1">NonLinLarge!$J$75:$J$138</definedName>
    <definedName name="solver_rhs318" localSheetId="61" hidden="1">NonLinLarge!$J$139</definedName>
    <definedName name="solver_rhs319" localSheetId="61" hidden="1">NonLinLarge!$J$7:$J$8</definedName>
    <definedName name="solver_rhs32" localSheetId="61" hidden="1">NonLinLarge!$J$9:$J$72</definedName>
    <definedName name="solver_rhs320" localSheetId="61" hidden="1">NonLinLarge!$J$9:$J$72</definedName>
    <definedName name="solver_rhs321" localSheetId="61" hidden="1">NonLinLarge!$J$73</definedName>
    <definedName name="solver_rhs322" localSheetId="61" hidden="1">NonLinLarge!$J$74</definedName>
    <definedName name="solver_rhs323" localSheetId="61" hidden="1">NonLinLarge!$J$75:$J$138</definedName>
    <definedName name="solver_rhs324" localSheetId="61" hidden="1">NonLinLarge!$J$139</definedName>
    <definedName name="solver_rhs325" localSheetId="61" hidden="1">NonLinLarge!$J$7:$J$8</definedName>
    <definedName name="solver_rhs326" localSheetId="61" hidden="1">NonLinLarge!$J$9:$J$72</definedName>
    <definedName name="solver_rhs327" localSheetId="61" hidden="1">NonLinLarge!$J$73</definedName>
    <definedName name="solver_rhs328" localSheetId="61" hidden="1">NonLinLarge!$J$74</definedName>
    <definedName name="solver_rhs329" localSheetId="61" hidden="1">NonLinLarge!$J$75:$J$138</definedName>
    <definedName name="solver_rhs33" localSheetId="61" hidden="1">NonLinLarge!$J$73</definedName>
    <definedName name="solver_rhs330" localSheetId="61" hidden="1">NonLinLarge!$J$139</definedName>
    <definedName name="solver_rhs331" localSheetId="61" hidden="1">NonLinLarge!$J$7:$J$8</definedName>
    <definedName name="solver_rhs332" localSheetId="61" hidden="1">NonLinLarge!$J$9:$J$72</definedName>
    <definedName name="solver_rhs333" localSheetId="61" hidden="1">NonLinLarge!$J$73</definedName>
    <definedName name="solver_rhs334" localSheetId="61" hidden="1">NonLinLarge!$J$74</definedName>
    <definedName name="solver_rhs335" localSheetId="61" hidden="1">NonLinLarge!$J$75:$J$138</definedName>
    <definedName name="solver_rhs336" localSheetId="61" hidden="1">NonLinLarge!$J$139</definedName>
    <definedName name="solver_rhs337" localSheetId="61" hidden="1">NonLinLarge!$J$7:$J$8</definedName>
    <definedName name="solver_rhs338" localSheetId="61" hidden="1">NonLinLarge!$J$9:$J$72</definedName>
    <definedName name="solver_rhs339" localSheetId="61" hidden="1">NonLinLarge!$J$73</definedName>
    <definedName name="solver_rhs34" localSheetId="61" hidden="1">NonLinLarge!$J$74</definedName>
    <definedName name="solver_rhs340" localSheetId="61" hidden="1">NonLinLarge!$J$74</definedName>
    <definedName name="solver_rhs341" localSheetId="61" hidden="1">NonLinLarge!$J$75:$J$138</definedName>
    <definedName name="solver_rhs342" localSheetId="61" hidden="1">NonLinLarge!$J$139</definedName>
    <definedName name="solver_rhs343" localSheetId="61" hidden="1">NonLinLarge!$J$7:$J$8</definedName>
    <definedName name="solver_rhs344" localSheetId="61" hidden="1">NonLinLarge!$J$9:$J$72</definedName>
    <definedName name="solver_rhs345" localSheetId="61" hidden="1">NonLinLarge!$J$73</definedName>
    <definedName name="solver_rhs346" localSheetId="61" hidden="1">NonLinLarge!$J$74</definedName>
    <definedName name="solver_rhs347" localSheetId="61" hidden="1">NonLinLarge!$J$75:$J$138</definedName>
    <definedName name="solver_rhs348" localSheetId="61" hidden="1">NonLinLarge!$J$139</definedName>
    <definedName name="solver_rhs349" localSheetId="61" hidden="1">NonLinLarge!$J$7:$J$8</definedName>
    <definedName name="solver_rhs35" localSheetId="61" hidden="1">NonLinLarge!$J$75:$J$138</definedName>
    <definedName name="solver_rhs350" localSheetId="61" hidden="1">NonLinLarge!$J$9:$J$72</definedName>
    <definedName name="solver_rhs351" localSheetId="61" hidden="1">NonLinLarge!$J$73</definedName>
    <definedName name="solver_rhs352" localSheetId="61" hidden="1">NonLinLarge!$J$74</definedName>
    <definedName name="solver_rhs353" localSheetId="61" hidden="1">NonLinLarge!$J$75:$J$138</definedName>
    <definedName name="solver_rhs354" localSheetId="61" hidden="1">NonLinLarge!$J$139</definedName>
    <definedName name="solver_rhs355" localSheetId="61" hidden="1">NonLinLarge!$J$7:$J$8</definedName>
    <definedName name="solver_rhs356" localSheetId="61" hidden="1">NonLinLarge!$J$9:$J$72</definedName>
    <definedName name="solver_rhs357" localSheetId="61" hidden="1">NonLinLarge!$J$73</definedName>
    <definedName name="solver_rhs358" localSheetId="61" hidden="1">NonLinLarge!$J$74</definedName>
    <definedName name="solver_rhs359" localSheetId="61" hidden="1">NonLinLarge!$J$75:$J$138</definedName>
    <definedName name="solver_rhs36" localSheetId="61" hidden="1">NonLinLarge!$J$139</definedName>
    <definedName name="solver_rhs360" localSheetId="61" hidden="1">NonLinLarge!$J$139</definedName>
    <definedName name="solver_rhs361" localSheetId="61" hidden="1">NonLinLarge!$J$7:$J$8</definedName>
    <definedName name="solver_rhs362" localSheetId="61" hidden="1">NonLinLarge!$J$9:$J$72</definedName>
    <definedName name="solver_rhs363" localSheetId="61" hidden="1">NonLinLarge!$J$73</definedName>
    <definedName name="solver_rhs364" localSheetId="61" hidden="1">NonLinLarge!$J$74</definedName>
    <definedName name="solver_rhs365" localSheetId="61" hidden="1">NonLinLarge!$J$75:$J$138</definedName>
    <definedName name="solver_rhs366" localSheetId="61" hidden="1">NonLinLarge!$J$139</definedName>
    <definedName name="solver_rhs367" localSheetId="61" hidden="1">NonLinLarge!$J$7:$J$8</definedName>
    <definedName name="solver_rhs368" localSheetId="61" hidden="1">NonLinLarge!$J$9:$J$72</definedName>
    <definedName name="solver_rhs369" localSheetId="61" hidden="1">NonLinLarge!$J$73</definedName>
    <definedName name="solver_rhs37" localSheetId="61" hidden="1">NonLinLarge!$J$7:$J$8</definedName>
    <definedName name="solver_rhs370" localSheetId="61" hidden="1">NonLinLarge!$J$74</definedName>
    <definedName name="solver_rhs371" localSheetId="61" hidden="1">NonLinLarge!$J$75:$J$138</definedName>
    <definedName name="solver_rhs372" localSheetId="61" hidden="1">NonLinLarge!$J$139</definedName>
    <definedName name="solver_rhs373" localSheetId="61" hidden="1">NonLinLarge!$J$7:$J$8</definedName>
    <definedName name="solver_rhs374" localSheetId="61" hidden="1">NonLinLarge!$J$9:$J$72</definedName>
    <definedName name="solver_rhs375" localSheetId="61" hidden="1">NonLinLarge!$J$73</definedName>
    <definedName name="solver_rhs376" localSheetId="61" hidden="1">NonLinLarge!$J$74</definedName>
    <definedName name="solver_rhs377" localSheetId="61" hidden="1">NonLinLarge!$J$75:$J$138</definedName>
    <definedName name="solver_rhs378" localSheetId="61" hidden="1">NonLinLarge!$J$139</definedName>
    <definedName name="solver_rhs379" localSheetId="61" hidden="1">NonLinLarge!$J$7:$J$8</definedName>
    <definedName name="solver_rhs38" localSheetId="61" hidden="1">NonLinLarge!$J$9:$J$72</definedName>
    <definedName name="solver_rhs380" localSheetId="61" hidden="1">NonLinLarge!$J$9:$J$72</definedName>
    <definedName name="solver_rhs381" localSheetId="61" hidden="1">NonLinLarge!$J$73</definedName>
    <definedName name="solver_rhs382" localSheetId="61" hidden="1">NonLinLarge!$J$74</definedName>
    <definedName name="solver_rhs383" localSheetId="61" hidden="1">NonLinLarge!$J$75:$J$138</definedName>
    <definedName name="solver_rhs384" localSheetId="61" hidden="1">NonLinLarge!$J$139</definedName>
    <definedName name="solver_rhs385" localSheetId="61" hidden="1">NonLinLarge!$J$7:$J$8</definedName>
    <definedName name="solver_rhs386" localSheetId="61" hidden="1">NonLinLarge!$J$9:$J$72</definedName>
    <definedName name="solver_rhs387" localSheetId="61" hidden="1">NonLinLarge!$J$73</definedName>
    <definedName name="solver_rhs388" localSheetId="61" hidden="1">NonLinLarge!$J$74</definedName>
    <definedName name="solver_rhs389" localSheetId="61" hidden="1">NonLinLarge!$J$75:$J$138</definedName>
    <definedName name="solver_rhs39" localSheetId="61" hidden="1">NonLinLarge!$J$73</definedName>
    <definedName name="solver_rhs390" localSheetId="61" hidden="1">NonLinLarge!$J$139</definedName>
    <definedName name="solver_rhs391" localSheetId="61" hidden="1">NonLinLarge!$J$7:$J$8</definedName>
    <definedName name="solver_rhs392" localSheetId="61" hidden="1">NonLinLarge!$J$9:$J$72</definedName>
    <definedName name="solver_rhs393" localSheetId="61" hidden="1">NonLinLarge!$J$73</definedName>
    <definedName name="solver_rhs394" localSheetId="61" hidden="1">NonLinLarge!$J$74</definedName>
    <definedName name="solver_rhs395" localSheetId="61" hidden="1">NonLinLarge!$J$75:$J$138</definedName>
    <definedName name="solver_rhs396" localSheetId="61" hidden="1">NonLinLarge!$J$139</definedName>
    <definedName name="solver_rhs397" localSheetId="61" hidden="1">NonLinLarge!$J$7:$J$8</definedName>
    <definedName name="solver_rhs398" localSheetId="61" hidden="1">NonLinLarge!$J$9:$J$72</definedName>
    <definedName name="solver_rhs399" localSheetId="61" hidden="1">NonLinLarge!$J$73</definedName>
    <definedName name="solver_rhs4" localSheetId="35" hidden="1">integer</definedName>
    <definedName name="solver_rhs4" localSheetId="20" hidden="1">binary</definedName>
    <definedName name="solver_rhs4" localSheetId="47" hidden="1">binary</definedName>
    <definedName name="solver_rhs4" localSheetId="21" hidden="1">binary</definedName>
    <definedName name="solver_rhs4" localSheetId="22" hidden="1">binary</definedName>
    <definedName name="solver_rhs4" localSheetId="25" hidden="1">DeletedConRef!#REF!</definedName>
    <definedName name="solver_rhs4" localSheetId="31" hidden="1">IndirectLBs!$D$6:$E$6</definedName>
    <definedName name="solver_rhs4" localSheetId="48" hidden="1">2</definedName>
    <definedName name="solver_rhs4" localSheetId="54" hidden="1">NamedRanges!$K$12</definedName>
    <definedName name="solver_rhs4" localSheetId="67" hidden="1">NonLin!$L$44</definedName>
    <definedName name="solver_rhs4" localSheetId="72" hidden="1">0</definedName>
    <definedName name="solver_rhs4" localSheetId="61" hidden="1">NonLinLarge!$J$74</definedName>
    <definedName name="solver_rhs4" localSheetId="36" hidden="1">integer</definedName>
    <definedName name="solver_rhs4" localSheetId="58" hidden="1">Sensitivity!$G$20</definedName>
    <definedName name="solver_rhs4" localSheetId="59" hidden="1">0</definedName>
    <definedName name="solver_rhs4" localSheetId="57" hidden="1">integer</definedName>
    <definedName name="solver_rhs40" localSheetId="61" hidden="1">NonLinLarge!$J$74</definedName>
    <definedName name="solver_rhs400" localSheetId="61" hidden="1">NonLinLarge!$J$74</definedName>
    <definedName name="solver_rhs401" localSheetId="61" hidden="1">NonLinLarge!$J$75:$J$138</definedName>
    <definedName name="solver_rhs402" localSheetId="61" hidden="1">NonLinLarge!$J$139</definedName>
    <definedName name="solver_rhs403" localSheetId="61" hidden="1">NonLinLarge!$J$7:$J$8</definedName>
    <definedName name="solver_rhs404" localSheetId="61" hidden="1">NonLinLarge!$J$9:$J$72</definedName>
    <definedName name="solver_rhs405" localSheetId="61" hidden="1">NonLinLarge!$J$73</definedName>
    <definedName name="solver_rhs406" localSheetId="61" hidden="1">NonLinLarge!$J$74</definedName>
    <definedName name="solver_rhs407" localSheetId="61" hidden="1">NonLinLarge!$J$75:$J$138</definedName>
    <definedName name="solver_rhs408" localSheetId="61" hidden="1">NonLinLarge!$J$139</definedName>
    <definedName name="solver_rhs409" localSheetId="61" hidden="1">NonLinLarge!$J$7:$J$8</definedName>
    <definedName name="solver_rhs41" localSheetId="61" hidden="1">NonLinLarge!$J$75:$J$138</definedName>
    <definedName name="solver_rhs410" localSheetId="61" hidden="1">NonLinLarge!$J$9:$J$72</definedName>
    <definedName name="solver_rhs411" localSheetId="61" hidden="1">NonLinLarge!$J$73</definedName>
    <definedName name="solver_rhs412" localSheetId="61" hidden="1">NonLinLarge!$J$74</definedName>
    <definedName name="solver_rhs413" localSheetId="61" hidden="1">NonLinLarge!$J$75:$J$138</definedName>
    <definedName name="solver_rhs414" localSheetId="61" hidden="1">NonLinLarge!$J$139</definedName>
    <definedName name="solver_rhs415" localSheetId="61" hidden="1">NonLinLarge!$J$7:$J$8</definedName>
    <definedName name="solver_rhs416" localSheetId="61" hidden="1">NonLinLarge!$J$9:$J$72</definedName>
    <definedName name="solver_rhs417" localSheetId="61" hidden="1">NonLinLarge!$J$73</definedName>
    <definedName name="solver_rhs418" localSheetId="61" hidden="1">NonLinLarge!$J$74</definedName>
    <definedName name="solver_rhs419" localSheetId="61" hidden="1">NonLinLarge!$J$75:$J$138</definedName>
    <definedName name="solver_rhs42" localSheetId="61" hidden="1">NonLinLarge!$J$139</definedName>
    <definedName name="solver_rhs420" localSheetId="61" hidden="1">NonLinLarge!$J$139</definedName>
    <definedName name="solver_rhs421" localSheetId="61" hidden="1">NonLinLarge!$J$7:$J$8</definedName>
    <definedName name="solver_rhs422" localSheetId="61" hidden="1">NonLinLarge!$J$9:$J$72</definedName>
    <definedName name="solver_rhs423" localSheetId="61" hidden="1">NonLinLarge!$J$73</definedName>
    <definedName name="solver_rhs424" localSheetId="61" hidden="1">NonLinLarge!$J$74</definedName>
    <definedName name="solver_rhs425" localSheetId="61" hidden="1">NonLinLarge!$J$75:$J$138</definedName>
    <definedName name="solver_rhs426" localSheetId="61" hidden="1">NonLinLarge!$J$139</definedName>
    <definedName name="solver_rhs427" localSheetId="61" hidden="1">NonLinLarge!$J$7:$J$8</definedName>
    <definedName name="solver_rhs428" localSheetId="61" hidden="1">NonLinLarge!$J$9:$J$72</definedName>
    <definedName name="solver_rhs429" localSheetId="61" hidden="1">NonLinLarge!$J$73</definedName>
    <definedName name="solver_rhs43" localSheetId="61" hidden="1">NonLinLarge!$J$7:$J$8</definedName>
    <definedName name="solver_rhs430" localSheetId="61" hidden="1">NonLinLarge!$J$74</definedName>
    <definedName name="solver_rhs431" localSheetId="61" hidden="1">NonLinLarge!$J$75:$J$138</definedName>
    <definedName name="solver_rhs432" localSheetId="61" hidden="1">NonLinLarge!$J$139</definedName>
    <definedName name="solver_rhs433" localSheetId="61" hidden="1">NonLinLarge!$J$7:$J$8</definedName>
    <definedName name="solver_rhs434" localSheetId="61" hidden="1">NonLinLarge!$J$9:$J$72</definedName>
    <definedName name="solver_rhs435" localSheetId="61" hidden="1">NonLinLarge!$J$73</definedName>
    <definedName name="solver_rhs436" localSheetId="61" hidden="1">NonLinLarge!$J$74</definedName>
    <definedName name="solver_rhs437" localSheetId="61" hidden="1">NonLinLarge!$J$75:$J$138</definedName>
    <definedName name="solver_rhs438" localSheetId="61" hidden="1">NonLinLarge!$J$139</definedName>
    <definedName name="solver_rhs439" localSheetId="61" hidden="1">NonLinLarge!$J$7:$J$8</definedName>
    <definedName name="solver_rhs44" localSheetId="61" hidden="1">NonLinLarge!$J$9:$J$72</definedName>
    <definedName name="solver_rhs440" localSheetId="61" hidden="1">NonLinLarge!$J$9:$J$72</definedName>
    <definedName name="solver_rhs441" localSheetId="61" hidden="1">NonLinLarge!$J$73</definedName>
    <definedName name="solver_rhs442" localSheetId="61" hidden="1">NonLinLarge!$J$74</definedName>
    <definedName name="solver_rhs443" localSheetId="61" hidden="1">NonLinLarge!$J$75:$J$138</definedName>
    <definedName name="solver_rhs444" localSheetId="61" hidden="1">NonLinLarge!$J$139</definedName>
    <definedName name="solver_rhs445" localSheetId="61" hidden="1">NonLinLarge!$J$7:$J$8</definedName>
    <definedName name="solver_rhs446" localSheetId="61" hidden="1">NonLinLarge!$J$9:$J$72</definedName>
    <definedName name="solver_rhs447" localSheetId="61" hidden="1">NonLinLarge!$J$73</definedName>
    <definedName name="solver_rhs448" localSheetId="61" hidden="1">NonLinLarge!$J$74</definedName>
    <definedName name="solver_rhs449" localSheetId="61" hidden="1">NonLinLarge!$J$75:$J$138</definedName>
    <definedName name="solver_rhs45" localSheetId="61" hidden="1">NonLinLarge!$J$73</definedName>
    <definedName name="solver_rhs450" localSheetId="61" hidden="1">NonLinLarge!$J$139</definedName>
    <definedName name="solver_rhs451" localSheetId="61" hidden="1">NonLinLarge!$J$7:$J$8</definedName>
    <definedName name="solver_rhs452" localSheetId="61" hidden="1">NonLinLarge!$J$9:$J$72</definedName>
    <definedName name="solver_rhs453" localSheetId="61" hidden="1">NonLinLarge!$J$73</definedName>
    <definedName name="solver_rhs454" localSheetId="61" hidden="1">NonLinLarge!$J$74</definedName>
    <definedName name="solver_rhs455" localSheetId="61" hidden="1">NonLinLarge!$J$75:$J$138</definedName>
    <definedName name="solver_rhs456" localSheetId="61" hidden="1">NonLinLarge!$J$139</definedName>
    <definedName name="solver_rhs457" localSheetId="61" hidden="1">NonLinLarge!$J$7:$J$8</definedName>
    <definedName name="solver_rhs458" localSheetId="61" hidden="1">NonLinLarge!$J$9:$J$72</definedName>
    <definedName name="solver_rhs459" localSheetId="61" hidden="1">NonLinLarge!$J$73</definedName>
    <definedName name="solver_rhs46" localSheetId="61" hidden="1">NonLinLarge!$J$74</definedName>
    <definedName name="solver_rhs460" localSheetId="61" hidden="1">NonLinLarge!$J$74</definedName>
    <definedName name="solver_rhs461" localSheetId="61" hidden="1">NonLinLarge!$J$75:$J$138</definedName>
    <definedName name="solver_rhs462" localSheetId="61" hidden="1">NonLinLarge!$J$139</definedName>
    <definedName name="solver_rhs463" localSheetId="61" hidden="1">NonLinLarge!$J$7:$J$8</definedName>
    <definedName name="solver_rhs464" localSheetId="61" hidden="1">NonLinLarge!$J$9:$J$72</definedName>
    <definedName name="solver_rhs465" localSheetId="61" hidden="1">NonLinLarge!$J$73</definedName>
    <definedName name="solver_rhs466" localSheetId="61" hidden="1">NonLinLarge!$J$74</definedName>
    <definedName name="solver_rhs467" localSheetId="61" hidden="1">NonLinLarge!$J$75:$J$138</definedName>
    <definedName name="solver_rhs468" localSheetId="61" hidden="1">NonLinLarge!$J$139</definedName>
    <definedName name="solver_rhs469" localSheetId="61" hidden="1">NonLinLarge!$J$7:$J$8</definedName>
    <definedName name="solver_rhs47" localSheetId="61" hidden="1">NonLinLarge!$J$75:$J$138</definedName>
    <definedName name="solver_rhs470" localSheetId="61" hidden="1">NonLinLarge!$J$9:$J$72</definedName>
    <definedName name="solver_rhs471" localSheetId="61" hidden="1">NonLinLarge!$J$73</definedName>
    <definedName name="solver_rhs472" localSheetId="61" hidden="1">NonLinLarge!$J$74</definedName>
    <definedName name="solver_rhs473" localSheetId="61" hidden="1">NonLinLarge!$J$75:$J$138</definedName>
    <definedName name="solver_rhs474" localSheetId="61" hidden="1">NonLinLarge!$J$139</definedName>
    <definedName name="solver_rhs475" localSheetId="61" hidden="1">NonLinLarge!$J$7:$J$8</definedName>
    <definedName name="solver_rhs476" localSheetId="61" hidden="1">NonLinLarge!$J$9:$J$72</definedName>
    <definedName name="solver_rhs477" localSheetId="61" hidden="1">NonLinLarge!$J$73</definedName>
    <definedName name="solver_rhs478" localSheetId="61" hidden="1">NonLinLarge!$J$74</definedName>
    <definedName name="solver_rhs479" localSheetId="61" hidden="1">NonLinLarge!$J$75:$J$138</definedName>
    <definedName name="solver_rhs48" localSheetId="61" hidden="1">NonLinLarge!$J$139</definedName>
    <definedName name="solver_rhs480" localSheetId="61" hidden="1">NonLinLarge!$J$139</definedName>
    <definedName name="solver_rhs481" localSheetId="61" hidden="1">NonLinLarge!$J$7:$J$8</definedName>
    <definedName name="solver_rhs482" localSheetId="61" hidden="1">NonLinLarge!$J$9:$J$72</definedName>
    <definedName name="solver_rhs483" localSheetId="61" hidden="1">NonLinLarge!$J$73</definedName>
    <definedName name="solver_rhs484" localSheetId="61" hidden="1">NonLinLarge!$J$74</definedName>
    <definedName name="solver_rhs485" localSheetId="61" hidden="1">NonLinLarge!$J$75:$J$138</definedName>
    <definedName name="solver_rhs486" localSheetId="61" hidden="1">NonLinLarge!$J$139</definedName>
    <definedName name="solver_rhs487" localSheetId="61" hidden="1">NonLinLarge!$J$7:$J$8</definedName>
    <definedName name="solver_rhs488" localSheetId="61" hidden="1">NonLinLarge!$J$9:$J$72</definedName>
    <definedName name="solver_rhs489" localSheetId="61" hidden="1">NonLinLarge!$J$73</definedName>
    <definedName name="solver_rhs49" localSheetId="61" hidden="1">NonLinLarge!$J$7:$J$8</definedName>
    <definedName name="solver_rhs490" localSheetId="61" hidden="1">NonLinLarge!$J$74</definedName>
    <definedName name="solver_rhs491" localSheetId="61" hidden="1">NonLinLarge!$J$75:$J$138</definedName>
    <definedName name="solver_rhs492" localSheetId="61" hidden="1">NonLinLarge!$J$139</definedName>
    <definedName name="solver_rhs493" localSheetId="61" hidden="1">NonLinLarge!$J$7:$J$8</definedName>
    <definedName name="solver_rhs494" localSheetId="61" hidden="1">NonLinLarge!$J$9:$J$72</definedName>
    <definedName name="solver_rhs495" localSheetId="61" hidden="1">NonLinLarge!$J$73</definedName>
    <definedName name="solver_rhs496" localSheetId="61" hidden="1">NonLinLarge!$J$74</definedName>
    <definedName name="solver_rhs497" localSheetId="61" hidden="1">NonLinLarge!$J$75:$J$138</definedName>
    <definedName name="solver_rhs498" localSheetId="61" hidden="1">NonLinLarge!$J$139</definedName>
    <definedName name="solver_rhs499" localSheetId="61" hidden="1">NonLinLarge!$J$7:$J$8</definedName>
    <definedName name="solver_rhs5" localSheetId="20" hidden="1">integer</definedName>
    <definedName name="solver_rhs5" localSheetId="47" hidden="1">integer</definedName>
    <definedName name="solver_rhs5" localSheetId="21" hidden="1">integer</definedName>
    <definedName name="solver_rhs5" localSheetId="22" hidden="1">integer</definedName>
    <definedName name="solver_rhs5" localSheetId="31" hidden="1">2</definedName>
    <definedName name="solver_rhs5" localSheetId="67" hidden="1">integer</definedName>
    <definedName name="solver_rhs5" localSheetId="61" hidden="1">NonLinLarge!$J$75:$J$138</definedName>
    <definedName name="solver_rhs5" localSheetId="57" hidden="1">1.5</definedName>
    <definedName name="solver_rhs50" localSheetId="61" hidden="1">NonLinLarge!$J$9:$J$72</definedName>
    <definedName name="solver_rhs500" localSheetId="61" hidden="1">NonLinLarge!$J$9:$J$72</definedName>
    <definedName name="solver_rhs501" localSheetId="61" hidden="1">NonLinLarge!$J$73</definedName>
    <definedName name="solver_rhs502" localSheetId="61" hidden="1">NonLinLarge!$J$74</definedName>
    <definedName name="solver_rhs503" localSheetId="61" hidden="1">NonLinLarge!$J$75:$J$138</definedName>
    <definedName name="solver_rhs504" localSheetId="61" hidden="1">NonLinLarge!$J$139</definedName>
    <definedName name="solver_rhs505" localSheetId="61" hidden="1">NonLinLarge!$J$7:$J$8</definedName>
    <definedName name="solver_rhs506" localSheetId="61" hidden="1">NonLinLarge!$J$9:$J$72</definedName>
    <definedName name="solver_rhs507" localSheetId="61" hidden="1">NonLinLarge!$J$73</definedName>
    <definedName name="solver_rhs508" localSheetId="61" hidden="1">NonLinLarge!$J$74</definedName>
    <definedName name="solver_rhs509" localSheetId="61" hidden="1">NonLinLarge!$J$75:$J$138</definedName>
    <definedName name="solver_rhs51" localSheetId="61" hidden="1">NonLinLarge!$J$73</definedName>
    <definedName name="solver_rhs510" localSheetId="61" hidden="1">NonLinLarge!$J$139</definedName>
    <definedName name="solver_rhs511" localSheetId="61" hidden="1">NonLinLarge!$J$7:$J$8</definedName>
    <definedName name="solver_rhs512" localSheetId="61" hidden="1">NonLinLarge!$J$9:$J$72</definedName>
    <definedName name="solver_rhs513" localSheetId="61" hidden="1">NonLinLarge!$J$73</definedName>
    <definedName name="solver_rhs514" localSheetId="61" hidden="1">NonLinLarge!$J$74</definedName>
    <definedName name="solver_rhs515" localSheetId="61" hidden="1">NonLinLarge!$J$75:$J$138</definedName>
    <definedName name="solver_rhs516" localSheetId="61" hidden="1">NonLinLarge!$J$139</definedName>
    <definedName name="solver_rhs517" localSheetId="61" hidden="1">NonLinLarge!$J$7:$J$8</definedName>
    <definedName name="solver_rhs518" localSheetId="61" hidden="1">NonLinLarge!$J$9:$J$72</definedName>
    <definedName name="solver_rhs519" localSheetId="61" hidden="1">NonLinLarge!$J$73</definedName>
    <definedName name="solver_rhs52" localSheetId="61" hidden="1">NonLinLarge!$J$74</definedName>
    <definedName name="solver_rhs520" localSheetId="61" hidden="1">NonLinLarge!$J$74</definedName>
    <definedName name="solver_rhs521" localSheetId="61" hidden="1">NonLinLarge!$J$75:$J$138</definedName>
    <definedName name="solver_rhs522" localSheetId="61" hidden="1">NonLinLarge!$J$139</definedName>
    <definedName name="solver_rhs523" localSheetId="61" hidden="1">NonLinLarge!$J$7:$J$8</definedName>
    <definedName name="solver_rhs524" localSheetId="61" hidden="1">NonLinLarge!$J$9:$J$72</definedName>
    <definedName name="solver_rhs525" localSheetId="61" hidden="1">NonLinLarge!$J$73</definedName>
    <definedName name="solver_rhs526" localSheetId="61" hidden="1">NonLinLarge!$J$74</definedName>
    <definedName name="solver_rhs527" localSheetId="61" hidden="1">NonLinLarge!$J$75:$J$138</definedName>
    <definedName name="solver_rhs528" localSheetId="61" hidden="1">NonLinLarge!$J$139</definedName>
    <definedName name="solver_rhs529" localSheetId="61" hidden="1">NonLinLarge!$J$7:$J$8</definedName>
    <definedName name="solver_rhs53" localSheetId="61" hidden="1">NonLinLarge!$J$75:$J$138</definedName>
    <definedName name="solver_rhs530" localSheetId="61" hidden="1">NonLinLarge!$J$9:$J$72</definedName>
    <definedName name="solver_rhs531" localSheetId="61" hidden="1">NonLinLarge!$J$73</definedName>
    <definedName name="solver_rhs532" localSheetId="61" hidden="1">NonLinLarge!$J$74</definedName>
    <definedName name="solver_rhs533" localSheetId="61" hidden="1">NonLinLarge!$J$75:$J$138</definedName>
    <definedName name="solver_rhs534" localSheetId="61" hidden="1">NonLinLarge!$J$139</definedName>
    <definedName name="solver_rhs535" localSheetId="61" hidden="1">NonLinLarge!$J$7:$J$8</definedName>
    <definedName name="solver_rhs536" localSheetId="61" hidden="1">NonLinLarge!$J$9:$J$72</definedName>
    <definedName name="solver_rhs537" localSheetId="61" hidden="1">NonLinLarge!$J$73</definedName>
    <definedName name="solver_rhs538" localSheetId="61" hidden="1">NonLinLarge!$J$74</definedName>
    <definedName name="solver_rhs539" localSheetId="61" hidden="1">NonLinLarge!$J$75:$J$138</definedName>
    <definedName name="solver_rhs54" localSheetId="61" hidden="1">NonLinLarge!$J$139</definedName>
    <definedName name="solver_rhs540" localSheetId="61" hidden="1">NonLinLarge!$J$139</definedName>
    <definedName name="solver_rhs541" localSheetId="61" hidden="1">NonLinLarge!$J$7:$J$8</definedName>
    <definedName name="solver_rhs542" localSheetId="61" hidden="1">NonLinLarge!$J$9:$J$72</definedName>
    <definedName name="solver_rhs543" localSheetId="61" hidden="1">NonLinLarge!$J$73</definedName>
    <definedName name="solver_rhs544" localSheetId="61" hidden="1">NonLinLarge!$J$74</definedName>
    <definedName name="solver_rhs545" localSheetId="61" hidden="1">NonLinLarge!$J$75:$J$138</definedName>
    <definedName name="solver_rhs546" localSheetId="61" hidden="1">NonLinLarge!$J$139</definedName>
    <definedName name="solver_rhs547" localSheetId="61" hidden="1">NonLinLarge!$J$7:$J$8</definedName>
    <definedName name="solver_rhs548" localSheetId="61" hidden="1">NonLinLarge!$J$9:$J$72</definedName>
    <definedName name="solver_rhs549" localSheetId="61" hidden="1">NonLinLarge!$J$73</definedName>
    <definedName name="solver_rhs55" localSheetId="61" hidden="1">NonLinLarge!$J$7:$J$8</definedName>
    <definedName name="solver_rhs550" localSheetId="61" hidden="1">NonLinLarge!$J$74</definedName>
    <definedName name="solver_rhs551" localSheetId="61" hidden="1">NonLinLarge!$J$75:$J$138</definedName>
    <definedName name="solver_rhs552" localSheetId="61" hidden="1">NonLinLarge!$J$139</definedName>
    <definedName name="solver_rhs553" localSheetId="61" hidden="1">NonLinLarge!$J$7:$J$8</definedName>
    <definedName name="solver_rhs554" localSheetId="61" hidden="1">NonLinLarge!$J$9:$J$72</definedName>
    <definedName name="solver_rhs555" localSheetId="61" hidden="1">NonLinLarge!$J$73</definedName>
    <definedName name="solver_rhs556" localSheetId="61" hidden="1">NonLinLarge!$J$74</definedName>
    <definedName name="solver_rhs557" localSheetId="61" hidden="1">NonLinLarge!$J$75:$J$138</definedName>
    <definedName name="solver_rhs558" localSheetId="61" hidden="1">NonLinLarge!$J$139</definedName>
    <definedName name="solver_rhs559" localSheetId="61" hidden="1">NonLinLarge!$J$7:$J$8</definedName>
    <definedName name="solver_rhs56" localSheetId="61" hidden="1">NonLinLarge!$J$9:$J$72</definedName>
    <definedName name="solver_rhs560" localSheetId="61" hidden="1">NonLinLarge!$J$9:$J$72</definedName>
    <definedName name="solver_rhs561" localSheetId="61" hidden="1">NonLinLarge!$J$73</definedName>
    <definedName name="solver_rhs562" localSheetId="61" hidden="1">NonLinLarge!$J$74</definedName>
    <definedName name="solver_rhs563" localSheetId="61" hidden="1">NonLinLarge!$J$75:$J$138</definedName>
    <definedName name="solver_rhs564" localSheetId="61" hidden="1">NonLinLarge!$J$139</definedName>
    <definedName name="solver_rhs565" localSheetId="61" hidden="1">NonLinLarge!$J$7:$J$8</definedName>
    <definedName name="solver_rhs566" localSheetId="61" hidden="1">NonLinLarge!$J$9:$J$72</definedName>
    <definedName name="solver_rhs567" localSheetId="61" hidden="1">NonLinLarge!$J$73</definedName>
    <definedName name="solver_rhs568" localSheetId="61" hidden="1">NonLinLarge!$J$74</definedName>
    <definedName name="solver_rhs569" localSheetId="61" hidden="1">NonLinLarge!$J$75:$J$138</definedName>
    <definedName name="solver_rhs57" localSheetId="61" hidden="1">NonLinLarge!$J$73</definedName>
    <definedName name="solver_rhs570" localSheetId="61" hidden="1">NonLinLarge!$J$139</definedName>
    <definedName name="solver_rhs571" localSheetId="61" hidden="1">NonLinLarge!$J$7:$J$8</definedName>
    <definedName name="solver_rhs572" localSheetId="61" hidden="1">NonLinLarge!$J$9:$J$72</definedName>
    <definedName name="solver_rhs573" localSheetId="61" hidden="1">NonLinLarge!$J$73</definedName>
    <definedName name="solver_rhs574" localSheetId="61" hidden="1">NonLinLarge!$J$74</definedName>
    <definedName name="solver_rhs575" localSheetId="61" hidden="1">NonLinLarge!$J$75:$J$138</definedName>
    <definedName name="solver_rhs576" localSheetId="61" hidden="1">NonLinLarge!$J$139</definedName>
    <definedName name="solver_rhs577" localSheetId="61" hidden="1">NonLinLarge!$J$7:$J$8</definedName>
    <definedName name="solver_rhs578" localSheetId="61" hidden="1">NonLinLarge!$J$9:$J$72</definedName>
    <definedName name="solver_rhs579" localSheetId="61" hidden="1">NonLinLarge!$J$73</definedName>
    <definedName name="solver_rhs58" localSheetId="61" hidden="1">NonLinLarge!$J$74</definedName>
    <definedName name="solver_rhs580" localSheetId="61" hidden="1">NonLinLarge!$J$74</definedName>
    <definedName name="solver_rhs581" localSheetId="61" hidden="1">NonLinLarge!$J$75:$J$138</definedName>
    <definedName name="solver_rhs582" localSheetId="61" hidden="1">NonLinLarge!$J$139</definedName>
    <definedName name="solver_rhs583" localSheetId="61" hidden="1">NonLinLarge!$J$7:$J$8</definedName>
    <definedName name="solver_rhs584" localSheetId="61" hidden="1">NonLinLarge!$J$9:$J$72</definedName>
    <definedName name="solver_rhs585" localSheetId="61" hidden="1">NonLinLarge!$J$73</definedName>
    <definedName name="solver_rhs586" localSheetId="61" hidden="1">NonLinLarge!$J$74</definedName>
    <definedName name="solver_rhs587" localSheetId="61" hidden="1">NonLinLarge!$J$75:$J$138</definedName>
    <definedName name="solver_rhs588" localSheetId="61" hidden="1">NonLinLarge!$J$139</definedName>
    <definedName name="solver_rhs589" localSheetId="61" hidden="1">NonLinLarge!$J$7:$J$8</definedName>
    <definedName name="solver_rhs59" localSheetId="61" hidden="1">NonLinLarge!$J$75:$J$138</definedName>
    <definedName name="solver_rhs590" localSheetId="61" hidden="1">NonLinLarge!$J$9:$J$72</definedName>
    <definedName name="solver_rhs591" localSheetId="61" hidden="1">NonLinLarge!$J$73</definedName>
    <definedName name="solver_rhs592" localSheetId="61" hidden="1">NonLinLarge!$J$74</definedName>
    <definedName name="solver_rhs593" localSheetId="61" hidden="1">NonLinLarge!$J$75:$J$138</definedName>
    <definedName name="solver_rhs594" localSheetId="61" hidden="1">NonLinLarge!$J$139</definedName>
    <definedName name="solver_rhs595" localSheetId="61" hidden="1">NonLinLarge!$J$7:$J$8</definedName>
    <definedName name="solver_rhs596" localSheetId="61" hidden="1">NonLinLarge!$J$9:$J$72</definedName>
    <definedName name="solver_rhs597" localSheetId="61" hidden="1">NonLinLarge!$J$73</definedName>
    <definedName name="solver_rhs598" localSheetId="61" hidden="1">NonLinLarge!$J$74</definedName>
    <definedName name="solver_rhs599" localSheetId="61" hidden="1">NonLinLarge!$J$75:$J$138</definedName>
    <definedName name="solver_rhs6" localSheetId="47" hidden="1">ComplexLayout!$U$3:$U$4</definedName>
    <definedName name="solver_rhs6" localSheetId="21" hidden="1">ConFormula!$U$4:$U$5</definedName>
    <definedName name="solver_rhs6" localSheetId="22" hidden="1">ConFormulaInf!$U$4:$U$5</definedName>
    <definedName name="solver_rhs6" localSheetId="61" hidden="1">NonLinLarge!$J$139</definedName>
    <definedName name="solver_rhs60" localSheetId="61" hidden="1">NonLinLarge!$J$139</definedName>
    <definedName name="solver_rhs600" localSheetId="61" hidden="1">NonLinLarge!$J$139</definedName>
    <definedName name="solver_rhs61" localSheetId="61" hidden="1">NonLinLarge!$J$7:$J$8</definedName>
    <definedName name="solver_rhs62" localSheetId="61" hidden="1">NonLinLarge!$J$9:$J$72</definedName>
    <definedName name="solver_rhs63" localSheetId="61" hidden="1">NonLinLarge!$J$73</definedName>
    <definedName name="solver_rhs64" localSheetId="61" hidden="1">NonLinLarge!$J$74</definedName>
    <definedName name="solver_rhs65" localSheetId="61" hidden="1">NonLinLarge!$J$75:$J$138</definedName>
    <definedName name="solver_rhs66" localSheetId="61" hidden="1">NonLinLarge!$J$139</definedName>
    <definedName name="solver_rhs67" localSheetId="61" hidden="1">NonLinLarge!$J$7:$J$8</definedName>
    <definedName name="solver_rhs68" localSheetId="61" hidden="1">NonLinLarge!$J$9:$J$72</definedName>
    <definedName name="solver_rhs69" localSheetId="61" hidden="1">NonLinLarge!$J$73</definedName>
    <definedName name="solver_rhs7" localSheetId="47" hidden="1">ComplexLayout!$Q$7:$R$7</definedName>
    <definedName name="solver_rhs7" localSheetId="21" hidden="1">ConFormula!$Q$8:$R$8</definedName>
    <definedName name="solver_rhs7" localSheetId="22" hidden="1">ConFormulaInf!$Q$8:$R$8</definedName>
    <definedName name="solver_rhs7" localSheetId="61" hidden="1">NonLinLarge!$J$7:$J$8</definedName>
    <definedName name="solver_rhs70" localSheetId="61" hidden="1">NonLinLarge!$J$74</definedName>
    <definedName name="solver_rhs71" localSheetId="61" hidden="1">NonLinLarge!$J$75:$J$138</definedName>
    <definedName name="solver_rhs72" localSheetId="61" hidden="1">NonLinLarge!$J$139</definedName>
    <definedName name="solver_rhs73" localSheetId="61" hidden="1">NonLinLarge!$J$7:$J$8</definedName>
    <definedName name="solver_rhs74" localSheetId="61" hidden="1">NonLinLarge!$J$9:$J$72</definedName>
    <definedName name="solver_rhs75" localSheetId="61" hidden="1">NonLinLarge!$J$73</definedName>
    <definedName name="solver_rhs76" localSheetId="61" hidden="1">NonLinLarge!$J$74</definedName>
    <definedName name="solver_rhs77" localSheetId="61" hidden="1">NonLinLarge!$J$75:$J$138</definedName>
    <definedName name="solver_rhs78" localSheetId="61" hidden="1">NonLinLarge!$J$139</definedName>
    <definedName name="solver_rhs79" localSheetId="61" hidden="1">NonLinLarge!$J$7:$J$8</definedName>
    <definedName name="solver_rhs8" localSheetId="21" hidden="1">ConFormula!$I$11/4+ConFormula!$B$3</definedName>
    <definedName name="solver_rhs8" localSheetId="22" hidden="1">ConFormulaInf!$I$11/4+ConFormulaInf!$B$3</definedName>
    <definedName name="solver_rhs8" localSheetId="61" hidden="1">NonLinLarge!$J$9:$J$72</definedName>
    <definedName name="solver_rhs80" localSheetId="61" hidden="1">NonLinLarge!$J$9:$J$72</definedName>
    <definedName name="solver_rhs81" localSheetId="61" hidden="1">NonLinLarge!$J$73</definedName>
    <definedName name="solver_rhs82" localSheetId="61" hidden="1">NonLinLarge!$J$74</definedName>
    <definedName name="solver_rhs83" localSheetId="61" hidden="1">NonLinLarge!$J$75:$J$138</definedName>
    <definedName name="solver_rhs84" localSheetId="61" hidden="1">NonLinLarge!$J$139</definedName>
    <definedName name="solver_rhs85" localSheetId="61" hidden="1">NonLinLarge!$J$7:$J$8</definedName>
    <definedName name="solver_rhs86" localSheetId="61" hidden="1">NonLinLarge!$J$9:$J$72</definedName>
    <definedName name="solver_rhs87" localSheetId="61" hidden="1">NonLinLarge!$J$73</definedName>
    <definedName name="solver_rhs88" localSheetId="61" hidden="1">NonLinLarge!$J$74</definedName>
    <definedName name="solver_rhs89" localSheetId="61" hidden="1">NonLinLarge!$J$75:$J$138</definedName>
    <definedName name="solver_rhs9" localSheetId="22" hidden="1">5*ConFormulaInf!$I$15-1</definedName>
    <definedName name="solver_rhs9" localSheetId="61" hidden="1">NonLinLarge!$J$73</definedName>
    <definedName name="solver_rhs90" localSheetId="61" hidden="1">NonLinLarge!$J$139</definedName>
    <definedName name="solver_rhs91" localSheetId="61" hidden="1">NonLinLarge!$J$7:$J$8</definedName>
    <definedName name="solver_rhs92" localSheetId="61" hidden="1">NonLinLarge!$J$9:$J$72</definedName>
    <definedName name="solver_rhs93" localSheetId="61" hidden="1">NonLinLarge!$J$73</definedName>
    <definedName name="solver_rhs94" localSheetId="61" hidden="1">NonLinLarge!$J$74</definedName>
    <definedName name="solver_rhs95" localSheetId="61" hidden="1">NonLinLarge!$J$75:$J$138</definedName>
    <definedName name="solver_rhs96" localSheetId="61" hidden="1">NonLinLarge!$J$139</definedName>
    <definedName name="solver_rhs97" localSheetId="61" hidden="1">NonLinLarge!$J$7:$J$8</definedName>
    <definedName name="solver_rhs98" localSheetId="61" hidden="1">NonLinLarge!$J$9:$J$72</definedName>
    <definedName name="solver_rhs99" localSheetId="61" hidden="1">NonLinLarge!$J$73</definedName>
    <definedName name="solver_rlx" localSheetId="23" hidden="1">0</definedName>
    <definedName name="solver_rlx" localSheetId="35" hidden="1">0</definedName>
    <definedName name="solver_rlx" localSheetId="20" hidden="1">0</definedName>
    <definedName name="solver_rlx" localSheetId="34" hidden="1">0</definedName>
    <definedName name="solver_rlx" localSheetId="8" hidden="1">0</definedName>
    <definedName name="solver_rlx" localSheetId="7" hidden="1">0</definedName>
    <definedName name="solver_rlx" localSheetId="47" hidden="1">0</definedName>
    <definedName name="solver_rlx" localSheetId="21" hidden="1">0</definedName>
    <definedName name="solver_rlx" localSheetId="22" hidden="1">0</definedName>
    <definedName name="solver_rlx" localSheetId="43" hidden="1">0</definedName>
    <definedName name="solver_rlx" localSheetId="40" hidden="1">0</definedName>
    <definedName name="solver_rlx" localSheetId="42" hidden="1">0</definedName>
    <definedName name="solver_rlx" localSheetId="25" hidden="1">0</definedName>
    <definedName name="solver_rlx" localSheetId="53" hidden="1">0</definedName>
    <definedName name="solver_rlx" localSheetId="32" hidden="1">0</definedName>
    <definedName name="solver_rlx" localSheetId="11" hidden="1">0</definedName>
    <definedName name="solver_rlx" localSheetId="10" hidden="1">0</definedName>
    <definedName name="solver_rlx" localSheetId="24" hidden="1">0</definedName>
    <definedName name="solver_rlx" localSheetId="28" hidden="1">0</definedName>
    <definedName name="solver_rlx" localSheetId="44" hidden="1">0</definedName>
    <definedName name="solver_rlx" localSheetId="46" hidden="1">0</definedName>
    <definedName name="solver_rlx" localSheetId="31" hidden="1">0</definedName>
    <definedName name="solver_rlx" localSheetId="27" hidden="1">0</definedName>
    <definedName name="solver_rlx" localSheetId="48" hidden="1">0</definedName>
    <definedName name="solver_rlx" localSheetId="5" hidden="1">0</definedName>
    <definedName name="solver_rlx" localSheetId="49" hidden="1">0</definedName>
    <definedName name="solver_rlx" localSheetId="37" hidden="1">0</definedName>
    <definedName name="solver_rlx" localSheetId="18" hidden="1">0</definedName>
    <definedName name="solver_rlx" localSheetId="19" hidden="1">0</definedName>
    <definedName name="solver_rlx" localSheetId="17" hidden="1">0</definedName>
    <definedName name="solver_rlx" localSheetId="15" hidden="1">0</definedName>
    <definedName name="solver_rlx" localSheetId="54" hidden="1">0</definedName>
    <definedName name="solver_rlx" localSheetId="67" hidden="1">0</definedName>
    <definedName name="solver_rlx" localSheetId="68" hidden="1">0</definedName>
    <definedName name="solver_rlx" localSheetId="69" hidden="1">0</definedName>
    <definedName name="solver_rlx" localSheetId="71" hidden="1">0</definedName>
    <definedName name="solver_rlx" localSheetId="72" hidden="1">0</definedName>
    <definedName name="solver_rlx" localSheetId="66" hidden="1">0</definedName>
    <definedName name="solver_rlx" localSheetId="65" hidden="1">0</definedName>
    <definedName name="solver_rlx" localSheetId="61" hidden="1">0</definedName>
    <definedName name="solver_rlx" localSheetId="64" hidden="1">0</definedName>
    <definedName name="solver_rlx" localSheetId="62" hidden="1">0</definedName>
    <definedName name="solver_rlx" localSheetId="63" hidden="1">0</definedName>
    <definedName name="solver_rlx" localSheetId="60" hidden="1">0</definedName>
    <definedName name="solver_rlx" localSheetId="50" hidden="1">0</definedName>
    <definedName name="solver_rlx" localSheetId="6" hidden="1">0</definedName>
    <definedName name="solver_rlx" localSheetId="38" hidden="1">0</definedName>
    <definedName name="solver_rlx" localSheetId="39" hidden="1">0</definedName>
    <definedName name="solver_rlx" localSheetId="55" hidden="1">0</definedName>
    <definedName name="solver_rlx" localSheetId="36" hidden="1">1</definedName>
    <definedName name="solver_rlx" localSheetId="2" hidden="1">2</definedName>
    <definedName name="solver_rlx" localSheetId="51" hidden="1">0</definedName>
    <definedName name="solver_rlx" localSheetId="52" hidden="1">0</definedName>
    <definedName name="solver_rlx" localSheetId="58" hidden="1">0</definedName>
    <definedName name="solver_rlx" localSheetId="59" hidden="1">0</definedName>
    <definedName name="solver_rlx" localSheetId="4" hidden="1">0</definedName>
    <definedName name="solver_rlx" localSheetId="3" hidden="1">0</definedName>
    <definedName name="solver_rlx" localSheetId="33" hidden="1">0</definedName>
    <definedName name="solver_rlx" localSheetId="56" hidden="1">0</definedName>
    <definedName name="solver_rlx" localSheetId="9" hidden="1">0</definedName>
    <definedName name="solver_rlx" localSheetId="29" hidden="1">0</definedName>
    <definedName name="solver_rlx" localSheetId="45" hidden="1">0</definedName>
    <definedName name="solver_rlx" localSheetId="41" hidden="1">0</definedName>
    <definedName name="solver_rlx" localSheetId="57" hidden="1">0</definedName>
    <definedName name="solver_scl" localSheetId="23" hidden="1">2</definedName>
    <definedName name="solver_scl" localSheetId="5" hidden="1">2</definedName>
    <definedName name="solver_scl" localSheetId="70" hidden="1">2</definedName>
    <definedName name="solver_scl" localSheetId="72" hidden="1">2</definedName>
    <definedName name="solver_scl" localSheetId="61" hidden="1">2</definedName>
    <definedName name="solver_scl" localSheetId="2" hidden="1">2</definedName>
    <definedName name="solver_scl" localSheetId="52" hidden="1">2</definedName>
    <definedName name="solver_scl" localSheetId="59" hidden="1">2</definedName>
    <definedName name="solver_scl" localSheetId="3" hidden="1">2</definedName>
    <definedName name="solver_scl" localSheetId="57" hidden="1">2</definedName>
    <definedName name="solver_sho" localSheetId="23" hidden="1">0</definedName>
    <definedName name="solver_sho" localSheetId="35" hidden="1">0</definedName>
    <definedName name="solver_sho" localSheetId="20" hidden="1">0</definedName>
    <definedName name="solver_sho" localSheetId="34" hidden="1">0</definedName>
    <definedName name="solver_sho" localSheetId="8" hidden="1">0</definedName>
    <definedName name="solver_sho" localSheetId="7" hidden="1">0</definedName>
    <definedName name="solver_sho" localSheetId="47" hidden="1">0</definedName>
    <definedName name="solver_sho" localSheetId="21" hidden="1">0</definedName>
    <definedName name="solver_sho" localSheetId="22" hidden="1">0</definedName>
    <definedName name="solver_sho" localSheetId="43" hidden="1">0</definedName>
    <definedName name="solver_sho" localSheetId="40" hidden="1">0</definedName>
    <definedName name="solver_sho" localSheetId="42" hidden="1">0</definedName>
    <definedName name="solver_sho" localSheetId="25" hidden="1">0</definedName>
    <definedName name="solver_sho" localSheetId="53" hidden="1">0</definedName>
    <definedName name="solver_sho" localSheetId="32" hidden="1">0</definedName>
    <definedName name="solver_sho" localSheetId="11" hidden="1">0</definedName>
    <definedName name="solver_sho" localSheetId="10" hidden="1">0</definedName>
    <definedName name="solver_sho" localSheetId="24" hidden="1">0</definedName>
    <definedName name="solver_sho" localSheetId="28" hidden="1">0</definedName>
    <definedName name="solver_sho" localSheetId="44" hidden="1">0</definedName>
    <definedName name="solver_sho" localSheetId="46" hidden="1">0</definedName>
    <definedName name="solver_sho" localSheetId="31" hidden="1">0</definedName>
    <definedName name="solver_sho" localSheetId="27" hidden="1">0</definedName>
    <definedName name="solver_sho" localSheetId="48" hidden="1">0</definedName>
    <definedName name="solver_sho" localSheetId="5" hidden="1">0</definedName>
    <definedName name="solver_sho" localSheetId="49" hidden="1">0</definedName>
    <definedName name="solver_sho" localSheetId="37" hidden="1">0</definedName>
    <definedName name="solver_sho" localSheetId="18" hidden="1">0</definedName>
    <definedName name="solver_sho" localSheetId="19" hidden="1">0</definedName>
    <definedName name="solver_sho" localSheetId="17" hidden="1">0</definedName>
    <definedName name="solver_sho" localSheetId="15" hidden="1">0</definedName>
    <definedName name="solver_sho" localSheetId="54" hidden="1">0</definedName>
    <definedName name="solver_sho" localSheetId="67" hidden="1">0</definedName>
    <definedName name="solver_sho" localSheetId="68" hidden="1">0</definedName>
    <definedName name="solver_sho" localSheetId="69" hidden="1">0</definedName>
    <definedName name="solver_sho" localSheetId="71" hidden="1">0</definedName>
    <definedName name="solver_sho" localSheetId="72" hidden="1">0</definedName>
    <definedName name="solver_sho" localSheetId="66" hidden="1">0</definedName>
    <definedName name="solver_sho" localSheetId="65" hidden="1">0</definedName>
    <definedName name="solver_sho" localSheetId="61" hidden="1">0</definedName>
    <definedName name="solver_sho" localSheetId="64" hidden="1">0</definedName>
    <definedName name="solver_sho" localSheetId="62" hidden="1">0</definedName>
    <definedName name="solver_sho" localSheetId="63" hidden="1">0</definedName>
    <definedName name="solver_sho" localSheetId="60" hidden="1">0</definedName>
    <definedName name="solver_sho" localSheetId="50" hidden="1">0</definedName>
    <definedName name="solver_sho" localSheetId="6" hidden="1">0</definedName>
    <definedName name="solver_sho" localSheetId="38" hidden="1">0</definedName>
    <definedName name="solver_sho" localSheetId="39" hidden="1">0</definedName>
    <definedName name="solver_sho" localSheetId="55" hidden="1">0</definedName>
    <definedName name="solver_sho" localSheetId="36" hidden="1">0</definedName>
    <definedName name="solver_sho" localSheetId="2" hidden="1">0</definedName>
    <definedName name="solver_sho" localSheetId="51" hidden="1">0</definedName>
    <definedName name="solver_sho" localSheetId="52" hidden="1">0</definedName>
    <definedName name="solver_sho" localSheetId="58" hidden="1">0</definedName>
    <definedName name="solver_sho" localSheetId="59" hidden="1">0</definedName>
    <definedName name="solver_sho" localSheetId="4" hidden="1">0</definedName>
    <definedName name="solver_sho" localSheetId="3" hidden="1">0</definedName>
    <definedName name="solver_sho" localSheetId="33" hidden="1">0</definedName>
    <definedName name="solver_sho" localSheetId="56" hidden="1">0</definedName>
    <definedName name="solver_sho" localSheetId="9" hidden="1">0</definedName>
    <definedName name="solver_sho" localSheetId="29" hidden="1">0</definedName>
    <definedName name="solver_sho" localSheetId="45" hidden="1">0</definedName>
    <definedName name="solver_sho" localSheetId="41" hidden="1">0</definedName>
    <definedName name="solver_sho" localSheetId="57" hidden="1">0</definedName>
    <definedName name="solver_tim" localSheetId="23" hidden="1">2147483647</definedName>
    <definedName name="solver_tim" localSheetId="35" hidden="1">2147483647</definedName>
    <definedName name="solver_tim" localSheetId="20" hidden="1">2147483647</definedName>
    <definedName name="solver_tim" localSheetId="34" hidden="1">2147483647</definedName>
    <definedName name="solver_tim" localSheetId="8" hidden="1">2147483647</definedName>
    <definedName name="solver_tim" localSheetId="7" hidden="1">2147483647</definedName>
    <definedName name="solver_tim" localSheetId="47" hidden="1">2147483647</definedName>
    <definedName name="solver_tim" localSheetId="21" hidden="1">2147483647</definedName>
    <definedName name="solver_tim" localSheetId="22" hidden="1">2147483647</definedName>
    <definedName name="solver_tim" localSheetId="43" hidden="1">2147483647</definedName>
    <definedName name="solver_tim" localSheetId="40" hidden="1">2147483647</definedName>
    <definedName name="solver_tim" localSheetId="42" hidden="1">2147483647</definedName>
    <definedName name="solver_tim" localSheetId="25" hidden="1">2147483647</definedName>
    <definedName name="solver_tim" localSheetId="53" hidden="1">2147483647</definedName>
    <definedName name="solver_tim" localSheetId="32" hidden="1">2147483647</definedName>
    <definedName name="solver_tim" localSheetId="11" hidden="1">2147483647</definedName>
    <definedName name="solver_tim" localSheetId="10" hidden="1">2147483647</definedName>
    <definedName name="solver_tim" localSheetId="24" hidden="1">2147483647</definedName>
    <definedName name="solver_tim" localSheetId="28" hidden="1">2147483647</definedName>
    <definedName name="solver_tim" localSheetId="44" hidden="1">2147483647</definedName>
    <definedName name="solver_tim" localSheetId="46" hidden="1">2147483647</definedName>
    <definedName name="solver_tim" localSheetId="31" hidden="1">2147483647</definedName>
    <definedName name="solver_tim" localSheetId="27" hidden="1">2147483647</definedName>
    <definedName name="solver_tim" localSheetId="48" hidden="1">2147483647</definedName>
    <definedName name="solver_tim" localSheetId="5" hidden="1">2147483647</definedName>
    <definedName name="solver_tim" localSheetId="49" hidden="1">2147483647</definedName>
    <definedName name="solver_tim" localSheetId="37" hidden="1">2147483647</definedName>
    <definedName name="solver_tim" localSheetId="18" hidden="1">2147483647</definedName>
    <definedName name="solver_tim" localSheetId="19" hidden="1">2147483647</definedName>
    <definedName name="solver_tim" localSheetId="17" hidden="1">2147483647</definedName>
    <definedName name="solver_tim" localSheetId="15" hidden="1">2147483647</definedName>
    <definedName name="solver_tim" localSheetId="54" hidden="1">2147483647</definedName>
    <definedName name="solver_tim" localSheetId="67" hidden="1">2147483647</definedName>
    <definedName name="solver_tim" localSheetId="68" hidden="1">2147483647</definedName>
    <definedName name="solver_tim" localSheetId="69" hidden="1">2147483647</definedName>
    <definedName name="solver_tim" localSheetId="71" hidden="1">2147483647</definedName>
    <definedName name="solver_tim" localSheetId="72" hidden="1">2147483647</definedName>
    <definedName name="solver_tim" localSheetId="66" hidden="1">2147483647</definedName>
    <definedName name="solver_tim" localSheetId="65" hidden="1">2147483647</definedName>
    <definedName name="solver_tim" localSheetId="61" hidden="1">2147483647</definedName>
    <definedName name="solver_tim" localSheetId="64" hidden="1">2147483647</definedName>
    <definedName name="solver_tim" localSheetId="62" hidden="1">2147483647</definedName>
    <definedName name="solver_tim" localSheetId="63" hidden="1">2147483647</definedName>
    <definedName name="solver_tim" localSheetId="60" hidden="1">2147483647</definedName>
    <definedName name="solver_tim" localSheetId="50" hidden="1">2147483647</definedName>
    <definedName name="solver_tim" localSheetId="6" hidden="1">2147483647</definedName>
    <definedName name="solver_tim" localSheetId="38" hidden="1">2147483647</definedName>
    <definedName name="solver_tim" localSheetId="39" hidden="1">2147483647</definedName>
    <definedName name="solver_tim" localSheetId="55" hidden="1">2147483647</definedName>
    <definedName name="solver_tim" localSheetId="36" hidden="1">2147483647</definedName>
    <definedName name="solver_tim" localSheetId="2" hidden="1">1E+25</definedName>
    <definedName name="solver_tim" localSheetId="51" hidden="1">2147483647</definedName>
    <definedName name="solver_tim" localSheetId="52" hidden="1">2147483647</definedName>
    <definedName name="solver_tim" localSheetId="58" hidden="1">2147483647</definedName>
    <definedName name="solver_tim" localSheetId="59" hidden="1">2147483647</definedName>
    <definedName name="solver_tim" localSheetId="4" hidden="1">2147483647</definedName>
    <definedName name="solver_tim" localSheetId="3" hidden="1">1E+25</definedName>
    <definedName name="solver_tim" localSheetId="33" hidden="1">2147483647</definedName>
    <definedName name="solver_tim" localSheetId="56" hidden="1">2147483647</definedName>
    <definedName name="solver_tim" localSheetId="9" hidden="1">2147483647</definedName>
    <definedName name="solver_tim" localSheetId="29" hidden="1">2147483647</definedName>
    <definedName name="solver_tim" localSheetId="45" hidden="1">2147483647</definedName>
    <definedName name="solver_tim" localSheetId="41" hidden="1">2147483647</definedName>
    <definedName name="solver_tim" localSheetId="57" hidden="1">2147483647</definedName>
    <definedName name="solver_tol" localSheetId="23" hidden="1">0.05</definedName>
    <definedName name="solver_tol" localSheetId="35" hidden="1">0.05</definedName>
    <definedName name="solver_tol" localSheetId="20" hidden="1">0.05</definedName>
    <definedName name="solver_tol" localSheetId="34" hidden="1">0.05</definedName>
    <definedName name="solver_tol" localSheetId="8" hidden="1">0.05</definedName>
    <definedName name="solver_tol" localSheetId="7" hidden="1">0.05</definedName>
    <definedName name="solver_tol" localSheetId="47" hidden="1">0.05</definedName>
    <definedName name="solver_tol" localSheetId="21" hidden="1">0.05</definedName>
    <definedName name="solver_tol" localSheetId="22" hidden="1">0.05</definedName>
    <definedName name="solver_tol" localSheetId="43" hidden="1">0.05</definedName>
    <definedName name="solver_tol" localSheetId="40" hidden="1">0.05</definedName>
    <definedName name="solver_tol" localSheetId="42" hidden="1">0.05</definedName>
    <definedName name="solver_tol" localSheetId="25" hidden="1">0.05</definedName>
    <definedName name="solver_tol" localSheetId="53" hidden="1">0.05</definedName>
    <definedName name="solver_tol" localSheetId="32" hidden="1">0.05</definedName>
    <definedName name="solver_tol" localSheetId="11" hidden="1">0.05</definedName>
    <definedName name="solver_tol" localSheetId="10" hidden="1">0.05</definedName>
    <definedName name="solver_tol" localSheetId="24" hidden="1">0.05</definedName>
    <definedName name="solver_tol" localSheetId="28" hidden="1">0.05</definedName>
    <definedName name="solver_tol" localSheetId="44" hidden="1">0.05</definedName>
    <definedName name="solver_tol" localSheetId="46" hidden="1">0.05</definedName>
    <definedName name="solver_tol" localSheetId="31" hidden="1">0.05</definedName>
    <definedName name="solver_tol" localSheetId="27" hidden="1">0.05</definedName>
    <definedName name="solver_tol" localSheetId="48" hidden="1">0.05</definedName>
    <definedName name="solver_tol" localSheetId="5" hidden="1">0.05</definedName>
    <definedName name="solver_tol" localSheetId="49" hidden="1">0.05</definedName>
    <definedName name="solver_tol" localSheetId="37" hidden="1">0.05</definedName>
    <definedName name="solver_tol" localSheetId="18" hidden="1">0.05</definedName>
    <definedName name="solver_tol" localSheetId="19" hidden="1">0.05</definedName>
    <definedName name="solver_tol" localSheetId="17" hidden="1">0.05</definedName>
    <definedName name="solver_tol" localSheetId="15" hidden="1">0.05</definedName>
    <definedName name="solver_tol" localSheetId="54" hidden="1">0.05</definedName>
    <definedName name="solver_tol" localSheetId="67" hidden="1">0.01</definedName>
    <definedName name="solver_tol" localSheetId="68" hidden="1">0.05</definedName>
    <definedName name="solver_tol" localSheetId="69" hidden="1">0.05</definedName>
    <definedName name="solver_tol" localSheetId="71" hidden="1">0.05</definedName>
    <definedName name="solver_tol" localSheetId="72" hidden="1">0.05</definedName>
    <definedName name="solver_tol" localSheetId="66" hidden="1">0.05</definedName>
    <definedName name="solver_tol" localSheetId="65" hidden="1">0.05</definedName>
    <definedName name="solver_tol" localSheetId="61" hidden="1">0.05</definedName>
    <definedName name="solver_tol" localSheetId="64" hidden="1">0.05</definedName>
    <definedName name="solver_tol" localSheetId="62" hidden="1">0.05</definedName>
    <definedName name="solver_tol" localSheetId="63" hidden="1">0.05</definedName>
    <definedName name="solver_tol" localSheetId="60" hidden="1">0.05</definedName>
    <definedName name="solver_tol" localSheetId="50" hidden="1">0.05</definedName>
    <definedName name="solver_tol" localSheetId="6" hidden="1">0.05</definedName>
    <definedName name="solver_tol" localSheetId="38" hidden="1">0.05</definedName>
    <definedName name="solver_tol" localSheetId="39" hidden="1">0.05</definedName>
    <definedName name="solver_tol" localSheetId="55" hidden="1">0.05</definedName>
    <definedName name="solver_tol" localSheetId="36" hidden="1">0.05</definedName>
    <definedName name="solver_tol" localSheetId="2" hidden="1">0.05</definedName>
    <definedName name="solver_tol" localSheetId="51" hidden="1">0.05</definedName>
    <definedName name="solver_tol" localSheetId="52" hidden="1">0.05</definedName>
    <definedName name="solver_tol" localSheetId="58" hidden="1">0.05</definedName>
    <definedName name="solver_tol" localSheetId="59" hidden="1">0.05</definedName>
    <definedName name="solver_tol" localSheetId="4" hidden="1">0.05</definedName>
    <definedName name="solver_tol" localSheetId="3" hidden="1">0.05</definedName>
    <definedName name="solver_tol" localSheetId="33" hidden="1">0.05</definedName>
    <definedName name="solver_tol" localSheetId="56" hidden="1">0.05</definedName>
    <definedName name="solver_tol" localSheetId="9" hidden="1">0.05</definedName>
    <definedName name="solver_tol" localSheetId="29" hidden="1">0.05</definedName>
    <definedName name="solver_tol" localSheetId="45" hidden="1">0.05</definedName>
    <definedName name="solver_tol" localSheetId="41" hidden="1">0.05</definedName>
    <definedName name="solver_tol" localSheetId="57" hidden="1">0.05</definedName>
    <definedName name="solver_typ" localSheetId="23" hidden="1">2</definedName>
    <definedName name="solver_typ" localSheetId="35" hidden="1">2</definedName>
    <definedName name="solver_typ" localSheetId="20" hidden="1">2</definedName>
    <definedName name="solver_typ" localSheetId="34" hidden="1">2</definedName>
    <definedName name="solver_typ" localSheetId="8" hidden="1">2</definedName>
    <definedName name="solver_typ" localSheetId="7" hidden="1">2</definedName>
    <definedName name="solver_typ" localSheetId="47" hidden="1">2</definedName>
    <definedName name="solver_typ" localSheetId="21" hidden="1">2</definedName>
    <definedName name="solver_typ" localSheetId="22" hidden="1">2</definedName>
    <definedName name="solver_typ" localSheetId="43" hidden="1">2</definedName>
    <definedName name="solver_typ" localSheetId="40" hidden="1">2</definedName>
    <definedName name="solver_typ" localSheetId="42" hidden="1">2</definedName>
    <definedName name="solver_typ" localSheetId="25" hidden="1">2</definedName>
    <definedName name="solver_typ" localSheetId="26" hidden="1">2</definedName>
    <definedName name="solver_typ" localSheetId="53" hidden="1">2</definedName>
    <definedName name="solver_typ" localSheetId="32" hidden="1">2</definedName>
    <definedName name="solver_typ" localSheetId="11" hidden="1">2</definedName>
    <definedName name="solver_typ" localSheetId="12" hidden="1">2</definedName>
    <definedName name="solver_typ" localSheetId="10" hidden="1">2</definedName>
    <definedName name="solver_typ" localSheetId="24" hidden="1">2</definedName>
    <definedName name="solver_typ" localSheetId="28" hidden="1">2</definedName>
    <definedName name="solver_typ" localSheetId="44" hidden="1">2</definedName>
    <definedName name="solver_typ" localSheetId="46" hidden="1">2</definedName>
    <definedName name="solver_typ" localSheetId="31" hidden="1">2</definedName>
    <definedName name="solver_typ" localSheetId="27" hidden="1">2</definedName>
    <definedName name="solver_typ" localSheetId="48" hidden="1">2</definedName>
    <definedName name="solver_typ" localSheetId="5" hidden="1">1</definedName>
    <definedName name="solver_typ" localSheetId="49" hidden="1">2</definedName>
    <definedName name="solver_typ" localSheetId="37" hidden="1">2</definedName>
    <definedName name="solver_typ" localSheetId="18" hidden="1">2</definedName>
    <definedName name="solver_typ" localSheetId="19" hidden="1">2</definedName>
    <definedName name="solver_typ" localSheetId="17" hidden="1">2</definedName>
    <definedName name="solver_typ" localSheetId="15" hidden="1">2</definedName>
    <definedName name="solver_typ" localSheetId="54" hidden="1">2</definedName>
    <definedName name="solver_typ" localSheetId="67" hidden="1">2</definedName>
    <definedName name="solver_typ" localSheetId="68" hidden="1">2</definedName>
    <definedName name="solver_typ" localSheetId="69" hidden="1">2</definedName>
    <definedName name="solver_typ" localSheetId="71" hidden="1">2</definedName>
    <definedName name="solver_typ" localSheetId="72" hidden="1">2</definedName>
    <definedName name="solver_typ" localSheetId="66" hidden="1">2</definedName>
    <definedName name="solver_typ" localSheetId="65" hidden="1">2</definedName>
    <definedName name="solver_typ" localSheetId="61" hidden="1">2</definedName>
    <definedName name="solver_typ" localSheetId="64" hidden="1">1</definedName>
    <definedName name="solver_typ" localSheetId="62" hidden="1">2</definedName>
    <definedName name="solver_typ" localSheetId="63" hidden="1">1</definedName>
    <definedName name="solver_typ" localSheetId="60" hidden="1">2</definedName>
    <definedName name="solver_typ" localSheetId="50" hidden="1">2</definedName>
    <definedName name="solver_typ" localSheetId="6" hidden="1">2</definedName>
    <definedName name="solver_typ" localSheetId="38" hidden="1">2</definedName>
    <definedName name="solver_typ" localSheetId="39" hidden="1">2</definedName>
    <definedName name="solver_typ" localSheetId="55" hidden="1">2</definedName>
    <definedName name="solver_typ" localSheetId="36" hidden="1">2</definedName>
    <definedName name="solver_typ" localSheetId="2" hidden="1">2</definedName>
    <definedName name="solver_typ" localSheetId="51" hidden="1">3</definedName>
    <definedName name="solver_typ" localSheetId="52" hidden="1">3</definedName>
    <definedName name="solver_typ" localSheetId="58" hidden="1">1</definedName>
    <definedName name="solver_typ" localSheetId="59" hidden="1">2</definedName>
    <definedName name="solver_typ" localSheetId="4" hidden="1">1</definedName>
    <definedName name="solver_typ" localSheetId="3" hidden="1">2</definedName>
    <definedName name="solver_typ" localSheetId="33" hidden="1">2</definedName>
    <definedName name="solver_typ" localSheetId="56" hidden="1">2</definedName>
    <definedName name="solver_typ" localSheetId="13" hidden="1">2</definedName>
    <definedName name="solver_typ" localSheetId="9" hidden="1">2</definedName>
    <definedName name="solver_typ" localSheetId="29" hidden="1">2</definedName>
    <definedName name="solver_typ" localSheetId="45" hidden="1">2</definedName>
    <definedName name="solver_typ" localSheetId="41" hidden="1">2</definedName>
    <definedName name="solver_typ" localSheetId="57" hidden="1">1</definedName>
    <definedName name="solver_val" localSheetId="23" hidden="1">0</definedName>
    <definedName name="solver_val" localSheetId="35" hidden="1">0</definedName>
    <definedName name="solver_val" localSheetId="20" hidden="1">0</definedName>
    <definedName name="solver_val" localSheetId="34" hidden="1">0</definedName>
    <definedName name="solver_val" localSheetId="8" hidden="1">0</definedName>
    <definedName name="solver_val" localSheetId="7" hidden="1">0</definedName>
    <definedName name="solver_val" localSheetId="47" hidden="1">0</definedName>
    <definedName name="solver_val" localSheetId="21" hidden="1">0</definedName>
    <definedName name="solver_val" localSheetId="22" hidden="1">0</definedName>
    <definedName name="solver_val" localSheetId="43" hidden="1">0</definedName>
    <definedName name="solver_val" localSheetId="40" hidden="1">0</definedName>
    <definedName name="solver_val" localSheetId="42" hidden="1">0</definedName>
    <definedName name="solver_val" localSheetId="25" hidden="1">0</definedName>
    <definedName name="solver_val" localSheetId="26" hidden="1">0</definedName>
    <definedName name="solver_val" localSheetId="53" hidden="1">0</definedName>
    <definedName name="solver_val" localSheetId="32" hidden="1">0</definedName>
    <definedName name="solver_val" localSheetId="11" hidden="1">0</definedName>
    <definedName name="solver_val" localSheetId="12" hidden="1">0</definedName>
    <definedName name="solver_val" localSheetId="10" hidden="1">0</definedName>
    <definedName name="solver_val" localSheetId="24" hidden="1">0</definedName>
    <definedName name="solver_val" localSheetId="28" hidden="1">0</definedName>
    <definedName name="solver_val" localSheetId="44" hidden="1">0</definedName>
    <definedName name="solver_val" localSheetId="46" hidden="1">0</definedName>
    <definedName name="solver_val" localSheetId="31" hidden="1">0</definedName>
    <definedName name="solver_val" localSheetId="27" hidden="1">0</definedName>
    <definedName name="solver_val" localSheetId="48" hidden="1">0</definedName>
    <definedName name="solver_val" localSheetId="5" hidden="1">0</definedName>
    <definedName name="solver_val" localSheetId="49" hidden="1">0</definedName>
    <definedName name="solver_val" localSheetId="37" hidden="1">0</definedName>
    <definedName name="solver_val" localSheetId="18" hidden="1">0</definedName>
    <definedName name="solver_val" localSheetId="19" hidden="1">0</definedName>
    <definedName name="solver_val" localSheetId="17" hidden="1">0</definedName>
    <definedName name="solver_val" localSheetId="15" hidden="1">0</definedName>
    <definedName name="solver_val" localSheetId="54" hidden="1">0</definedName>
    <definedName name="solver_val" localSheetId="67" hidden="1">0</definedName>
    <definedName name="solver_val" localSheetId="68" hidden="1">0</definedName>
    <definedName name="solver_val" localSheetId="69" hidden="1">0</definedName>
    <definedName name="solver_val" localSheetId="71" hidden="1">0</definedName>
    <definedName name="solver_val" localSheetId="72" hidden="1">0</definedName>
    <definedName name="solver_val" localSheetId="66" hidden="1">0</definedName>
    <definedName name="solver_val" localSheetId="65" hidden="1">0</definedName>
    <definedName name="solver_val" localSheetId="61" hidden="1">0</definedName>
    <definedName name="solver_val" localSheetId="64" hidden="1">0</definedName>
    <definedName name="solver_val" localSheetId="62" hidden="1">0</definedName>
    <definedName name="solver_val" localSheetId="63" hidden="1">0</definedName>
    <definedName name="solver_val" localSheetId="60" hidden="1">0</definedName>
    <definedName name="solver_val" localSheetId="50" hidden="1">0</definedName>
    <definedName name="solver_val" localSheetId="6" hidden="1">0</definedName>
    <definedName name="solver_val" localSheetId="38" hidden="1">0</definedName>
    <definedName name="solver_val" localSheetId="39" hidden="1">0</definedName>
    <definedName name="solver_val" localSheetId="55" hidden="1">0</definedName>
    <definedName name="solver_val" localSheetId="36" hidden="1">0</definedName>
    <definedName name="solver_val" localSheetId="2" hidden="1">0</definedName>
    <definedName name="solver_val" localSheetId="51" hidden="1">50</definedName>
    <definedName name="solver_val" localSheetId="52" hidden="1">50</definedName>
    <definedName name="solver_val" localSheetId="58" hidden="1">0</definedName>
    <definedName name="solver_val" localSheetId="59" hidden="1">0</definedName>
    <definedName name="solver_val" localSheetId="4" hidden="1">0</definedName>
    <definedName name="solver_val" localSheetId="3" hidden="1">0</definedName>
    <definedName name="solver_val" localSheetId="33" hidden="1">0</definedName>
    <definedName name="solver_val" localSheetId="56" hidden="1">0</definedName>
    <definedName name="solver_val" localSheetId="13" hidden="1">0</definedName>
    <definedName name="solver_val" localSheetId="9" hidden="1">0</definedName>
    <definedName name="solver_val" localSheetId="29" hidden="1">0</definedName>
    <definedName name="solver_val" localSheetId="45" hidden="1">0</definedName>
    <definedName name="solver_val" localSheetId="41" hidden="1">0</definedName>
    <definedName name="solver_val" localSheetId="57" hidden="1">0</definedName>
    <definedName name="TestType">Data!$D$1:$D$2</definedName>
    <definedName name="uhj">NonLinMinMax!$B$1</definedName>
    <definedName name="wa" localSheetId="70">#REF!</definedName>
    <definedName name="wa" localSheetId="71">#REF!</definedName>
    <definedName name="wa" localSheetId="72">#REF!</definedName>
    <definedName name="wa">NonLin3!$P$3</definedName>
    <definedName name="wb" localSheetId="70">#REF!</definedName>
    <definedName name="wb" localSheetId="71">#REF!</definedName>
    <definedName name="wb" localSheetId="72">#REF!</definedName>
    <definedName name="wb">NonLin3!$P$4</definedName>
    <definedName name="wc" localSheetId="70">#REF!</definedName>
    <definedName name="wc" localSheetId="71">#REF!</definedName>
    <definedName name="wc" localSheetId="72">#REF!</definedName>
    <definedName name="wc">NonLin3!$P$5</definedName>
    <definedName name="wd" localSheetId="70">#REF!</definedName>
    <definedName name="wd" localSheetId="71">#REF!</definedName>
    <definedName name="wd" localSheetId="72">#REF!</definedName>
    <definedName name="wd">NonLin3!$P$6</definedName>
    <definedName name="x" localSheetId="53">#REF!</definedName>
    <definedName name="x" localSheetId="24">#REF!</definedName>
    <definedName name="x" localSheetId="5">#REF!</definedName>
    <definedName name="x" localSheetId="69">NonLin3!$C$34:$AQ$34</definedName>
    <definedName name="x" localSheetId="72">NonLin6!$E$6</definedName>
    <definedName name="x" localSheetId="36">#REF!</definedName>
    <definedName name="x" localSheetId="51">#REF!</definedName>
    <definedName name="x" localSheetId="52">#REF!</definedName>
    <definedName name="x" localSheetId="4">#REF!</definedName>
    <definedName name="x" localSheetId="29">#REF!</definedName>
    <definedName name="x">#REF!</definedName>
    <definedName name="xa" localSheetId="70">#REF!</definedName>
    <definedName name="xa" localSheetId="71">#REF!</definedName>
    <definedName name="xa" localSheetId="72">#REF!</definedName>
    <definedName name="xa">NonLin3!$N$3</definedName>
    <definedName name="xb" localSheetId="70">#REF!</definedName>
    <definedName name="xb" localSheetId="71">#REF!</definedName>
    <definedName name="xb" localSheetId="72">#REF!</definedName>
    <definedName name="xb">NonLin3!$N$4</definedName>
    <definedName name="xc" localSheetId="70">#REF!</definedName>
    <definedName name="xc" localSheetId="71">#REF!</definedName>
    <definedName name="xc" localSheetId="72">#REF!</definedName>
    <definedName name="xc">NonLin3!$N$5</definedName>
    <definedName name="xd" localSheetId="70">#REF!</definedName>
    <definedName name="xd" localSheetId="71">#REF!</definedName>
    <definedName name="xd" localSheetId="72">#REF!</definedName>
    <definedName name="xd">NonLin3!$N$6</definedName>
    <definedName name="xstep" localSheetId="53">#REF!</definedName>
    <definedName name="xstep" localSheetId="24">#REF!</definedName>
    <definedName name="xstep" localSheetId="5">#REF!</definedName>
    <definedName name="xstep" localSheetId="36">#REF!</definedName>
    <definedName name="xstep" localSheetId="51">#REF!</definedName>
    <definedName name="xstep" localSheetId="52">#REF!</definedName>
    <definedName name="xstep" localSheetId="4">#REF!</definedName>
    <definedName name="xstep" localSheetId="29">#REF!</definedName>
    <definedName name="xstep">#REF!</definedName>
    <definedName name="y" localSheetId="53">#REF!</definedName>
    <definedName name="y" localSheetId="24">#REF!</definedName>
    <definedName name="y" localSheetId="5">#REF!</definedName>
    <definedName name="y" localSheetId="69">NonLin3!$B$35:$B$75</definedName>
    <definedName name="y" localSheetId="72">NonLin6!$E$7</definedName>
    <definedName name="y" localSheetId="36">#REF!</definedName>
    <definedName name="y" localSheetId="51">#REF!</definedName>
    <definedName name="y" localSheetId="52">#REF!</definedName>
    <definedName name="y" localSheetId="4">#REF!</definedName>
    <definedName name="y" localSheetId="29">#REF!</definedName>
    <definedName name="y">#REF!</definedName>
    <definedName name="ya" localSheetId="70">#REF!</definedName>
    <definedName name="ya" localSheetId="71">#REF!</definedName>
    <definedName name="ya" localSheetId="72">#REF!</definedName>
    <definedName name="ya">NonLin3!$O$3</definedName>
    <definedName name="yb" localSheetId="70">#REF!</definedName>
    <definedName name="yb" localSheetId="71">#REF!</definedName>
    <definedName name="yb" localSheetId="72">#REF!</definedName>
    <definedName name="yb">NonLin3!$O$4</definedName>
    <definedName name="yc" localSheetId="70">#REF!</definedName>
    <definedName name="yc" localSheetId="71">#REF!</definedName>
    <definedName name="yc" localSheetId="72">#REF!</definedName>
    <definedName name="yc">NonLin3!$O$5</definedName>
    <definedName name="yd" localSheetId="70">#REF!</definedName>
    <definedName name="yd" localSheetId="71">#REF!</definedName>
    <definedName name="yd" localSheetId="72">#REF!</definedName>
    <definedName name="yd">NonLin3!$O$6</definedName>
    <definedName name="ystep" localSheetId="53">#REF!</definedName>
    <definedName name="ystep" localSheetId="24">#REF!</definedName>
    <definedName name="ystep" localSheetId="5">#REF!</definedName>
    <definedName name="ystep" localSheetId="36">#REF!</definedName>
    <definedName name="ystep" localSheetId="51">#REF!</definedName>
    <definedName name="ystep" localSheetId="52">#REF!</definedName>
    <definedName name="ystep" localSheetId="4">#REF!</definedName>
    <definedName name="ystep" localSheetId="29">#REF!</definedName>
    <definedName name="ystep">#REF!</definedName>
  </definedNames>
  <calcPr calcId="171027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72" i="60" l="1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N10" i="10"/>
  <c r="A8" i="10"/>
  <c r="I18" i="10"/>
  <c r="D18" i="10"/>
  <c r="E18" i="10"/>
  <c r="F18" i="10"/>
  <c r="H7" i="10"/>
  <c r="D22" i="10"/>
  <c r="A6" i="10"/>
  <c r="I16" i="77"/>
  <c r="C25" i="155"/>
  <c r="A10" i="155"/>
  <c r="A9" i="155"/>
  <c r="UF4" i="155"/>
  <c r="UF2" i="155"/>
  <c r="C11" i="155"/>
  <c r="C13" i="155"/>
  <c r="A6" i="155"/>
  <c r="E7" i="68"/>
  <c r="F13" i="144"/>
  <c r="E13" i="144"/>
  <c r="D13" i="144"/>
  <c r="A10" i="144"/>
  <c r="G9" i="144"/>
  <c r="A9" i="144"/>
  <c r="G8" i="144"/>
  <c r="G7" i="144"/>
  <c r="G6" i="144"/>
  <c r="G4" i="144"/>
  <c r="G13" i="144"/>
  <c r="D10" i="135"/>
  <c r="E10" i="135"/>
  <c r="D21" i="135"/>
  <c r="F17" i="135"/>
  <c r="E17" i="135"/>
  <c r="D17" i="135"/>
  <c r="A10" i="135"/>
  <c r="A9" i="135"/>
  <c r="H6" i="28"/>
  <c r="A6" i="135"/>
  <c r="BS1" i="114"/>
  <c r="BR1" i="114"/>
  <c r="BQ1" i="114"/>
  <c r="BQ2" i="114"/>
  <c r="BQ3" i="114"/>
  <c r="BQ4" i="114"/>
  <c r="BQ5" i="114"/>
  <c r="BQ6" i="114"/>
  <c r="BQ7" i="114"/>
  <c r="BQ8" i="114"/>
  <c r="BQ9" i="114"/>
  <c r="BQ10" i="114"/>
  <c r="BQ11" i="114"/>
  <c r="BQ13" i="114"/>
  <c r="BQ14" i="114"/>
  <c r="BQ15" i="114"/>
  <c r="BQ16" i="114"/>
  <c r="BQ17" i="114"/>
  <c r="BQ18" i="114"/>
  <c r="BQ19" i="114"/>
  <c r="BQ20" i="114"/>
  <c r="BQ21" i="114"/>
  <c r="BQ22" i="114"/>
  <c r="BQ23" i="114"/>
  <c r="BQ24" i="114"/>
  <c r="BQ25" i="114"/>
  <c r="BQ26" i="114"/>
  <c r="BP1" i="114"/>
  <c r="BP2" i="114"/>
  <c r="BP3" i="114"/>
  <c r="BP4" i="114"/>
  <c r="BP5" i="114"/>
  <c r="BP6" i="114"/>
  <c r="BP7" i="114"/>
  <c r="BP9" i="114"/>
  <c r="BP10" i="114"/>
  <c r="BP11" i="114"/>
  <c r="BP12" i="114"/>
  <c r="BP13" i="114"/>
  <c r="BP14" i="114"/>
  <c r="BO1" i="114"/>
  <c r="BO2" i="114"/>
  <c r="BO3" i="114"/>
  <c r="BN1" i="114"/>
  <c r="BN2" i="114"/>
  <c r="BN3" i="114"/>
  <c r="BN4" i="114"/>
  <c r="BN5" i="114"/>
  <c r="BN6" i="114"/>
  <c r="BN7" i="114"/>
  <c r="BN8" i="114"/>
  <c r="BN9" i="114"/>
  <c r="BN11" i="114"/>
  <c r="BN12" i="114"/>
  <c r="BN13" i="114"/>
  <c r="BN14" i="114"/>
  <c r="BN15" i="114"/>
  <c r="BN16" i="114"/>
  <c r="BN17" i="114"/>
  <c r="BN18" i="114"/>
  <c r="BN19" i="114"/>
  <c r="BN20" i="114"/>
  <c r="BM1" i="114"/>
  <c r="BM2" i="114"/>
  <c r="BM3" i="114"/>
  <c r="BM4" i="114"/>
  <c r="BM5" i="114"/>
  <c r="BM7" i="114"/>
  <c r="BM8" i="114"/>
  <c r="BM10" i="114"/>
  <c r="BM11" i="114"/>
  <c r="BM12" i="114"/>
  <c r="BM13" i="114"/>
  <c r="BM14" i="114"/>
  <c r="BM15" i="114"/>
  <c r="BM16" i="114"/>
  <c r="BM17" i="114"/>
  <c r="BL1" i="114"/>
  <c r="BL2" i="114"/>
  <c r="BL3" i="114"/>
  <c r="BL4" i="114"/>
  <c r="BL5" i="114"/>
  <c r="BL7" i="114"/>
  <c r="BL10" i="114"/>
  <c r="BL11" i="114"/>
  <c r="BL12" i="114"/>
  <c r="BL14" i="114"/>
  <c r="BL15" i="114"/>
  <c r="BL16" i="114"/>
  <c r="BL17" i="114"/>
  <c r="BL18" i="114"/>
  <c r="BL19" i="114"/>
  <c r="BL20" i="114"/>
  <c r="BL21" i="114"/>
  <c r="BL22" i="114"/>
  <c r="BL23" i="114"/>
  <c r="BL24" i="114"/>
  <c r="BL25" i="114"/>
  <c r="BL26" i="114"/>
  <c r="BL27" i="114"/>
  <c r="BL28" i="114"/>
  <c r="BL29" i="114"/>
  <c r="BK1" i="114"/>
  <c r="BK2" i="114"/>
  <c r="BK3" i="114"/>
  <c r="BK4" i="114"/>
  <c r="BK5" i="114"/>
  <c r="BK6" i="114"/>
  <c r="BK7" i="114"/>
  <c r="BK8" i="114"/>
  <c r="BK9" i="114"/>
  <c r="BK11" i="114"/>
  <c r="BK12" i="114"/>
  <c r="BK13" i="114"/>
  <c r="BK14" i="114"/>
  <c r="BK15" i="114"/>
  <c r="BK16" i="114"/>
  <c r="BK17" i="114"/>
  <c r="BK18" i="114"/>
  <c r="BK19" i="114"/>
  <c r="BK20" i="114"/>
  <c r="BJ1" i="114"/>
  <c r="BJ2" i="114"/>
  <c r="BJ3" i="114"/>
  <c r="BJ4" i="114"/>
  <c r="BJ5" i="114"/>
  <c r="BJ6" i="114"/>
  <c r="BJ7" i="114"/>
  <c r="BJ8" i="114"/>
  <c r="BJ10" i="114"/>
  <c r="BJ11" i="114"/>
  <c r="BJ12" i="114"/>
  <c r="BJ13" i="114"/>
  <c r="BJ14" i="114"/>
  <c r="BJ15" i="114"/>
  <c r="BJ16" i="114"/>
  <c r="BJ17" i="114"/>
  <c r="BI1" i="114"/>
  <c r="BI2" i="114"/>
  <c r="BI3" i="114"/>
  <c r="BI4" i="114"/>
  <c r="BI5" i="114"/>
  <c r="BI7" i="114"/>
  <c r="BI8" i="114"/>
  <c r="BI9" i="114"/>
  <c r="BI11" i="114"/>
  <c r="BI12" i="114"/>
  <c r="BI13" i="114"/>
  <c r="BI14" i="114"/>
  <c r="BI15" i="114"/>
  <c r="BI16" i="114"/>
  <c r="BI17" i="114"/>
  <c r="BI18" i="114"/>
  <c r="BI19" i="114"/>
  <c r="BI20" i="114"/>
  <c r="BH1" i="114"/>
  <c r="BH2" i="114"/>
  <c r="BH3" i="114"/>
  <c r="BH4" i="114"/>
  <c r="BH5" i="114"/>
  <c r="BH6" i="114"/>
  <c r="BH7" i="114"/>
  <c r="BH8" i="114"/>
  <c r="BH9" i="114"/>
  <c r="BH10" i="114"/>
  <c r="BH12" i="114"/>
  <c r="BH13" i="114"/>
  <c r="BH14" i="114"/>
  <c r="BH15" i="114"/>
  <c r="BH16" i="114"/>
  <c r="BH17" i="114"/>
  <c r="BH18" i="114"/>
  <c r="BH19" i="114"/>
  <c r="BH20" i="114"/>
  <c r="BH21" i="114"/>
  <c r="BH22" i="114"/>
  <c r="BH23" i="114"/>
  <c r="BH24" i="114"/>
  <c r="BG1" i="114"/>
  <c r="BG2" i="114"/>
  <c r="BG3" i="114"/>
  <c r="BG4" i="114"/>
  <c r="BG5" i="114"/>
  <c r="BG6" i="114"/>
  <c r="BG9" i="114"/>
  <c r="BG10" i="114"/>
  <c r="BG12" i="114"/>
  <c r="BG13" i="114"/>
  <c r="BG14" i="114"/>
  <c r="BG15" i="114"/>
  <c r="BG16" i="114"/>
  <c r="BG17" i="114"/>
  <c r="BG18" i="114"/>
  <c r="BG19" i="114"/>
  <c r="BG20" i="114"/>
  <c r="BG21" i="114"/>
  <c r="BG22" i="114"/>
  <c r="BG23" i="114"/>
  <c r="BF1" i="114"/>
  <c r="BF2" i="114"/>
  <c r="BF3" i="114"/>
  <c r="BF4" i="114"/>
  <c r="BF5" i="114"/>
  <c r="BF6" i="114"/>
  <c r="BF9" i="114"/>
  <c r="BF11" i="114"/>
  <c r="BF15" i="114"/>
  <c r="BF17" i="114"/>
  <c r="BF18" i="114"/>
  <c r="BF22" i="114"/>
  <c r="BF24" i="114"/>
  <c r="BF28" i="114"/>
  <c r="BF31" i="114"/>
  <c r="BF35" i="114"/>
  <c r="BF37" i="114"/>
  <c r="BF40" i="114"/>
  <c r="BF42" i="114"/>
  <c r="BF44" i="114"/>
  <c r="BF48" i="114"/>
  <c r="BF50" i="114"/>
  <c r="BF55" i="114"/>
  <c r="BF57" i="114"/>
  <c r="BF61" i="114"/>
  <c r="BF64" i="114"/>
  <c r="BF68" i="114"/>
  <c r="BF70" i="114"/>
  <c r="BF77" i="114"/>
  <c r="BF78" i="114"/>
  <c r="BF83" i="114"/>
  <c r="BF85" i="114"/>
  <c r="BF90" i="114"/>
  <c r="BF91" i="114"/>
  <c r="BF97" i="114"/>
  <c r="BF98" i="114"/>
  <c r="BF103" i="114"/>
  <c r="BF104" i="114"/>
  <c r="BF106" i="114"/>
  <c r="BF110" i="114"/>
  <c r="BF111" i="114"/>
  <c r="BF116" i="114"/>
  <c r="BF117" i="114"/>
  <c r="BF118" i="114"/>
  <c r="BF119" i="114"/>
  <c r="BF124" i="114"/>
  <c r="BF125" i="114"/>
  <c r="BF131" i="114"/>
  <c r="BF132" i="114"/>
  <c r="BF137" i="114"/>
  <c r="BF138" i="114"/>
  <c r="BF142" i="114"/>
  <c r="BF144" i="114"/>
  <c r="BF145" i="114"/>
  <c r="BF148" i="114"/>
  <c r="BF150" i="114"/>
  <c r="BF151" i="114"/>
  <c r="BF152" i="114"/>
  <c r="BF155" i="114"/>
  <c r="BF157" i="114"/>
  <c r="BF158" i="114"/>
  <c r="BF161" i="114"/>
  <c r="BF164" i="114"/>
  <c r="BF165" i="114"/>
  <c r="BF168" i="114"/>
  <c r="BF170" i="114"/>
  <c r="BF171" i="114"/>
  <c r="BF173" i="114"/>
  <c r="BF175" i="114"/>
  <c r="BF177" i="114"/>
  <c r="BF178" i="114"/>
  <c r="BF181" i="114"/>
  <c r="BF183" i="114"/>
  <c r="BF184" i="114"/>
  <c r="BF185" i="114"/>
  <c r="BF188" i="114"/>
  <c r="BF190" i="114"/>
  <c r="BF191" i="114"/>
  <c r="BF194" i="114"/>
  <c r="BF197" i="114"/>
  <c r="BF198" i="114"/>
  <c r="BF201" i="114"/>
  <c r="BF203" i="114"/>
  <c r="BF204" i="114"/>
  <c r="BF208" i="114"/>
  <c r="BF210" i="114"/>
  <c r="BF211" i="114"/>
  <c r="BF214" i="114"/>
  <c r="BF216" i="114"/>
  <c r="BF217" i="114"/>
  <c r="BF218" i="114"/>
  <c r="BF221" i="114"/>
  <c r="BF223" i="114"/>
  <c r="BF224" i="114"/>
  <c r="BF227" i="114"/>
  <c r="BF231" i="114"/>
  <c r="BF232" i="114"/>
  <c r="BF235" i="114"/>
  <c r="BF237" i="114"/>
  <c r="BF238" i="114"/>
  <c r="BF240" i="114"/>
  <c r="BF242" i="114"/>
  <c r="BF244" i="114"/>
  <c r="BF245" i="114"/>
  <c r="BF248" i="114"/>
  <c r="BF250" i="114"/>
  <c r="BF251" i="114"/>
  <c r="BF252" i="114"/>
  <c r="BF255" i="114"/>
  <c r="BF257" i="114"/>
  <c r="BF258" i="114"/>
  <c r="BF261" i="114"/>
  <c r="BF264" i="114"/>
  <c r="BF265" i="114"/>
  <c r="BF268" i="114"/>
  <c r="BF270" i="114"/>
  <c r="BF271" i="114"/>
  <c r="BF275" i="114"/>
  <c r="BF277" i="114"/>
  <c r="BF278" i="114"/>
  <c r="BF281" i="114"/>
  <c r="BF283" i="114"/>
  <c r="BF284" i="114"/>
  <c r="BF285" i="114"/>
  <c r="BF288" i="114"/>
  <c r="BF290" i="114"/>
  <c r="BF291" i="114"/>
  <c r="BF294" i="114"/>
  <c r="BF297" i="114"/>
  <c r="BF298" i="114"/>
  <c r="BF301" i="114"/>
  <c r="BF303" i="114"/>
  <c r="BF304" i="114"/>
  <c r="BF306" i="114"/>
  <c r="BF308" i="114"/>
  <c r="BF310" i="114"/>
  <c r="BF311" i="114"/>
  <c r="BF314" i="114"/>
  <c r="BF316" i="114"/>
  <c r="BF317" i="114"/>
  <c r="BF318" i="114"/>
  <c r="BF321" i="114"/>
  <c r="BF323" i="114"/>
  <c r="BF324" i="114"/>
  <c r="BF327" i="114"/>
  <c r="BF330" i="114"/>
  <c r="BF331" i="114"/>
  <c r="BF334" i="114"/>
  <c r="BF336" i="114"/>
  <c r="BF337" i="114"/>
  <c r="BF342" i="114"/>
  <c r="BF344" i="114"/>
  <c r="BF345" i="114"/>
  <c r="BF348" i="114"/>
  <c r="BF350" i="114"/>
  <c r="BF351" i="114"/>
  <c r="BF352" i="114"/>
  <c r="BF355" i="114"/>
  <c r="BF357" i="114"/>
  <c r="BF358" i="114"/>
  <c r="BF361" i="114"/>
  <c r="BF364" i="114"/>
  <c r="BF365" i="114"/>
  <c r="BF368" i="114"/>
  <c r="BF370" i="114"/>
  <c r="BF371" i="114"/>
  <c r="BF373" i="114"/>
  <c r="BF375" i="114"/>
  <c r="BF377" i="114"/>
  <c r="BF378" i="114"/>
  <c r="BF381" i="114"/>
  <c r="BF383" i="114"/>
  <c r="BF384" i="114"/>
  <c r="BF385" i="114"/>
  <c r="BF388" i="114"/>
  <c r="BF390" i="114"/>
  <c r="BF391" i="114"/>
  <c r="BF394" i="114"/>
  <c r="BF397" i="114"/>
  <c r="BF398" i="114"/>
  <c r="BF401" i="114"/>
  <c r="BF403" i="114"/>
  <c r="BF404" i="114"/>
  <c r="BF408" i="114"/>
  <c r="BF410" i="114"/>
  <c r="BF411" i="114"/>
  <c r="BF414" i="114"/>
  <c r="BF416" i="114"/>
  <c r="BF417" i="114"/>
  <c r="BF418" i="114"/>
  <c r="BF421" i="114"/>
  <c r="BF423" i="114"/>
  <c r="BF424" i="114"/>
  <c r="BF427" i="114"/>
  <c r="BF430" i="114"/>
  <c r="BF431" i="114"/>
  <c r="BF434" i="114"/>
  <c r="BF436" i="114"/>
  <c r="BF437" i="114"/>
  <c r="BF439" i="114"/>
  <c r="BF441" i="114"/>
  <c r="BF443" i="114"/>
  <c r="BF444" i="114"/>
  <c r="BF447" i="114"/>
  <c r="BF449" i="114"/>
  <c r="BF450" i="114"/>
  <c r="BF451" i="114"/>
  <c r="BF452" i="114"/>
  <c r="BF455" i="114"/>
  <c r="BF457" i="114"/>
  <c r="BF458" i="114"/>
  <c r="BF461" i="114"/>
  <c r="BF464" i="114"/>
  <c r="BF465" i="114"/>
  <c r="BF468" i="114"/>
  <c r="BF470" i="114"/>
  <c r="BF471" i="114"/>
  <c r="BF475" i="114"/>
  <c r="BF477" i="114"/>
  <c r="BF478" i="114"/>
  <c r="BF481" i="114"/>
  <c r="BF483" i="114"/>
  <c r="BF484" i="114"/>
  <c r="BF485" i="114"/>
  <c r="BF488" i="114"/>
  <c r="BF490" i="114"/>
  <c r="BF491" i="114"/>
  <c r="BF494" i="114"/>
  <c r="BF497" i="114"/>
  <c r="BF498" i="114"/>
  <c r="BF501" i="114"/>
  <c r="BF503" i="114"/>
  <c r="BF504" i="114"/>
  <c r="BF506" i="114"/>
  <c r="BF508" i="114"/>
  <c r="BF510" i="114"/>
  <c r="BF511" i="114"/>
  <c r="BF514" i="114"/>
  <c r="BF516" i="114"/>
  <c r="BF517" i="114"/>
  <c r="BF518" i="114"/>
  <c r="BF521" i="114"/>
  <c r="BF523" i="114"/>
  <c r="BF524" i="114"/>
  <c r="BF527" i="114"/>
  <c r="BF530" i="114"/>
  <c r="BF531" i="114"/>
  <c r="BF534" i="114"/>
  <c r="BF536" i="114"/>
  <c r="BF537" i="114"/>
  <c r="BF541" i="114"/>
  <c r="BF543" i="114"/>
  <c r="BF544" i="114"/>
  <c r="BF547" i="114"/>
  <c r="BF549" i="114"/>
  <c r="BF550" i="114"/>
  <c r="BF551" i="114"/>
  <c r="BF554" i="114"/>
  <c r="BF556" i="114"/>
  <c r="BF557" i="114"/>
  <c r="BF560" i="114"/>
  <c r="BF564" i="114"/>
  <c r="BF565" i="114"/>
  <c r="BF568" i="114"/>
  <c r="BF570" i="114"/>
  <c r="BF571" i="114"/>
  <c r="BF573" i="114"/>
  <c r="BF575" i="114"/>
  <c r="BF577" i="114"/>
  <c r="BF578" i="114"/>
  <c r="BF581" i="114"/>
  <c r="BF583" i="114"/>
  <c r="BF584" i="114"/>
  <c r="BF585" i="114"/>
  <c r="BF588" i="114"/>
  <c r="BF590" i="114"/>
  <c r="BF591" i="114"/>
  <c r="BF594" i="114"/>
  <c r="BF597" i="114"/>
  <c r="BF598" i="114"/>
  <c r="BF601" i="114"/>
  <c r="BF603" i="114"/>
  <c r="BF604" i="114"/>
  <c r="BF606" i="114"/>
  <c r="BF607" i="114"/>
  <c r="BF609" i="114"/>
  <c r="BF610" i="114"/>
  <c r="BF611" i="114"/>
  <c r="BF612" i="114"/>
  <c r="BF613" i="114"/>
  <c r="BF614" i="114"/>
  <c r="BF615" i="114"/>
  <c r="BF616" i="114"/>
  <c r="BF617" i="114"/>
  <c r="BF618" i="114"/>
  <c r="BF619" i="114"/>
  <c r="BF620" i="114"/>
  <c r="BF621" i="114"/>
  <c r="BF622" i="114"/>
  <c r="BF623" i="114"/>
  <c r="BF624" i="114"/>
  <c r="BF625" i="114"/>
  <c r="BF626" i="114"/>
  <c r="BF627" i="114"/>
  <c r="BF628" i="114"/>
  <c r="BF629" i="114"/>
  <c r="BF630" i="114"/>
  <c r="BF631" i="114"/>
  <c r="BF632" i="114"/>
  <c r="BF633" i="114"/>
  <c r="BF634" i="114"/>
  <c r="BF635" i="114"/>
  <c r="BF636" i="114"/>
  <c r="BF637" i="114"/>
  <c r="BF638" i="114"/>
  <c r="BF639" i="114"/>
  <c r="BF640" i="114"/>
  <c r="BF641" i="114"/>
  <c r="BF642" i="114"/>
  <c r="BF643" i="114"/>
  <c r="BF644" i="114"/>
  <c r="BF645" i="114"/>
  <c r="BF646" i="114"/>
  <c r="BF647" i="114"/>
  <c r="BF648" i="114"/>
  <c r="BF649" i="114"/>
  <c r="BF650" i="114"/>
  <c r="BF651" i="114"/>
  <c r="BF652" i="114"/>
  <c r="BF653" i="114"/>
  <c r="BF654" i="114"/>
  <c r="BF655" i="114"/>
  <c r="BF656" i="114"/>
  <c r="BF657" i="114"/>
  <c r="BF658" i="114"/>
  <c r="BF659" i="114"/>
  <c r="BF660" i="114"/>
  <c r="BF661" i="114"/>
  <c r="BF662" i="114"/>
  <c r="BF663" i="114"/>
  <c r="BF664" i="114"/>
  <c r="BF665" i="114"/>
  <c r="BF666" i="114"/>
  <c r="BF667" i="114"/>
  <c r="BF668" i="114"/>
  <c r="BF669" i="114"/>
  <c r="BF670" i="114"/>
  <c r="BF671" i="114"/>
  <c r="BF672" i="114"/>
  <c r="BF673" i="114"/>
  <c r="BF674" i="114"/>
  <c r="BF675" i="114"/>
  <c r="BF676" i="114"/>
  <c r="BF677" i="114"/>
  <c r="BF678" i="114"/>
  <c r="BF679" i="114"/>
  <c r="BF680" i="114"/>
  <c r="BF681" i="114"/>
  <c r="BF682" i="114"/>
  <c r="BF683" i="114"/>
  <c r="BF684" i="114"/>
  <c r="BF685" i="114"/>
  <c r="BF686" i="114"/>
  <c r="BF687" i="114"/>
  <c r="BF688" i="114"/>
  <c r="BF689" i="114"/>
  <c r="BF690" i="114"/>
  <c r="BF691" i="114"/>
  <c r="BF692" i="114"/>
  <c r="BF693" i="114"/>
  <c r="BF694" i="114"/>
  <c r="BF695" i="114"/>
  <c r="BF696" i="114"/>
  <c r="BF697" i="114"/>
  <c r="BF698" i="114"/>
  <c r="BF699" i="114"/>
  <c r="BF700" i="114"/>
  <c r="BF701" i="114"/>
  <c r="BF702" i="114"/>
  <c r="BF703" i="114"/>
  <c r="BF704" i="114"/>
  <c r="BF705" i="114"/>
  <c r="BF706" i="114"/>
  <c r="BF707" i="114"/>
  <c r="BF708" i="114"/>
  <c r="BF709" i="114"/>
  <c r="BF710" i="114"/>
  <c r="BF711" i="114"/>
  <c r="BF712" i="114"/>
  <c r="BF713" i="114"/>
  <c r="BF714" i="114"/>
  <c r="BF715" i="114"/>
  <c r="BF716" i="114"/>
  <c r="BF717" i="114"/>
  <c r="BF718" i="114"/>
  <c r="BF719" i="114"/>
  <c r="BF720" i="114"/>
  <c r="BF721" i="114"/>
  <c r="BF722" i="114"/>
  <c r="BF723" i="114"/>
  <c r="BF724" i="114"/>
  <c r="BF725" i="114"/>
  <c r="BF726" i="114"/>
  <c r="BF727" i="114"/>
  <c r="BF728" i="114"/>
  <c r="BF729" i="114"/>
  <c r="BF730" i="114"/>
  <c r="BF731" i="114"/>
  <c r="BF732" i="114"/>
  <c r="BF733" i="114"/>
  <c r="BF734" i="114"/>
  <c r="BF735" i="114"/>
  <c r="BF736" i="114"/>
  <c r="BF737" i="114"/>
  <c r="BF738" i="114"/>
  <c r="BF739" i="114"/>
  <c r="BF740" i="114"/>
  <c r="BF741" i="114"/>
  <c r="BF742" i="114"/>
  <c r="BF743" i="114"/>
  <c r="BF744" i="114"/>
  <c r="BF745" i="114"/>
  <c r="BF746" i="114"/>
  <c r="BF747" i="114"/>
  <c r="BF748" i="114"/>
  <c r="BF749" i="114"/>
  <c r="BF750" i="114"/>
  <c r="BF751" i="114"/>
  <c r="BF752" i="114"/>
  <c r="BF753" i="114"/>
  <c r="BF754" i="114"/>
  <c r="BF755" i="114"/>
  <c r="BF756" i="114"/>
  <c r="BF757" i="114"/>
  <c r="BF758" i="114"/>
  <c r="BF759" i="114"/>
  <c r="BF760" i="114"/>
  <c r="BF761" i="114"/>
  <c r="BF762" i="114"/>
  <c r="BF763" i="114"/>
  <c r="BF764" i="114"/>
  <c r="BF765" i="114"/>
  <c r="BF766" i="114"/>
  <c r="BF767" i="114"/>
  <c r="BF768" i="114"/>
  <c r="BF769" i="114"/>
  <c r="BF770" i="114"/>
  <c r="BF771" i="114"/>
  <c r="BF772" i="114"/>
  <c r="BF773" i="114"/>
  <c r="BF774" i="114"/>
  <c r="BF775" i="114"/>
  <c r="BF776" i="114"/>
  <c r="BF777" i="114"/>
  <c r="BF778" i="114"/>
  <c r="BF779" i="114"/>
  <c r="BF780" i="114"/>
  <c r="BF781" i="114"/>
  <c r="BF782" i="114"/>
  <c r="BF783" i="114"/>
  <c r="BF784" i="114"/>
  <c r="BF785" i="114"/>
  <c r="BF786" i="114"/>
  <c r="BF787" i="114"/>
  <c r="BF788" i="114"/>
  <c r="BF789" i="114"/>
  <c r="BF790" i="114"/>
  <c r="BF791" i="114"/>
  <c r="BF792" i="114"/>
  <c r="BF793" i="114"/>
  <c r="BF794" i="114"/>
  <c r="BF795" i="114"/>
  <c r="BF796" i="114"/>
  <c r="BF797" i="114"/>
  <c r="BF798" i="114"/>
  <c r="BF799" i="114"/>
  <c r="BF800" i="114"/>
  <c r="BF801" i="114"/>
  <c r="BF802" i="114"/>
  <c r="BF803" i="114"/>
  <c r="BF804" i="114"/>
  <c r="BF805" i="114"/>
  <c r="BF806" i="114"/>
  <c r="BF807" i="114"/>
  <c r="BF808" i="114"/>
  <c r="BF809" i="114"/>
  <c r="BF810" i="114"/>
  <c r="BF811" i="114"/>
  <c r="BF812" i="114"/>
  <c r="BF813" i="114"/>
  <c r="BF814" i="114"/>
  <c r="BF815" i="114"/>
  <c r="BF816" i="114"/>
  <c r="BF817" i="114"/>
  <c r="BF818" i="114"/>
  <c r="BF819" i="114"/>
  <c r="BF820" i="114"/>
  <c r="BF821" i="114"/>
  <c r="BF822" i="114"/>
  <c r="BF823" i="114"/>
  <c r="BF824" i="114"/>
  <c r="BF825" i="114"/>
  <c r="BF826" i="114"/>
  <c r="BF827" i="114"/>
  <c r="BF828" i="114"/>
  <c r="BF829" i="114"/>
  <c r="BF830" i="114"/>
  <c r="BF831" i="114"/>
  <c r="BF832" i="114"/>
  <c r="BF833" i="114"/>
  <c r="BF834" i="114"/>
  <c r="BF835" i="114"/>
  <c r="BF836" i="114"/>
  <c r="BF837" i="114"/>
  <c r="BF838" i="114"/>
  <c r="BF839" i="114"/>
  <c r="BF840" i="114"/>
  <c r="BF841" i="114"/>
  <c r="BF842" i="114"/>
  <c r="BF843" i="114"/>
  <c r="BF844" i="114"/>
  <c r="BF845" i="114"/>
  <c r="BF846" i="114"/>
  <c r="BF847" i="114"/>
  <c r="BF848" i="114"/>
  <c r="BF849" i="114"/>
  <c r="BF850" i="114"/>
  <c r="BF851" i="114"/>
  <c r="BF852" i="114"/>
  <c r="BF853" i="114"/>
  <c r="BF854" i="114"/>
  <c r="BF855" i="114"/>
  <c r="BF856" i="114"/>
  <c r="BF857" i="114"/>
  <c r="BF858" i="114"/>
  <c r="BF859" i="114"/>
  <c r="BF860" i="114"/>
  <c r="BF861" i="114"/>
  <c r="BF862" i="114"/>
  <c r="BF863" i="114"/>
  <c r="BF864" i="114"/>
  <c r="BF865" i="114"/>
  <c r="BF866" i="114"/>
  <c r="BF867" i="114"/>
  <c r="BF868" i="114"/>
  <c r="BF869" i="114"/>
  <c r="BF870" i="114"/>
  <c r="BF871" i="114"/>
  <c r="BF872" i="114"/>
  <c r="BF873" i="114"/>
  <c r="BF874" i="114"/>
  <c r="BF875" i="114"/>
  <c r="BF876" i="114"/>
  <c r="BF877" i="114"/>
  <c r="BF878" i="114"/>
  <c r="BF879" i="114"/>
  <c r="BF880" i="114"/>
  <c r="BF881" i="114"/>
  <c r="BF882" i="114"/>
  <c r="BF883" i="114"/>
  <c r="BF884" i="114"/>
  <c r="BF885" i="114"/>
  <c r="BF886" i="114"/>
  <c r="BF887" i="114"/>
  <c r="BF888" i="114"/>
  <c r="BF889" i="114"/>
  <c r="BF890" i="114"/>
  <c r="BF891" i="114"/>
  <c r="BF892" i="114"/>
  <c r="BF893" i="114"/>
  <c r="BF894" i="114"/>
  <c r="BF895" i="114"/>
  <c r="BF896" i="114"/>
  <c r="BF897" i="114"/>
  <c r="BF898" i="114"/>
  <c r="BF899" i="114"/>
  <c r="BF900" i="114"/>
  <c r="BF901" i="114"/>
  <c r="BF902" i="114"/>
  <c r="BF903" i="114"/>
  <c r="BF904" i="114"/>
  <c r="BF905" i="114"/>
  <c r="BF906" i="114"/>
  <c r="BF907" i="114"/>
  <c r="BF908" i="114"/>
  <c r="BF909" i="114"/>
  <c r="BF910" i="114"/>
  <c r="BF911" i="114"/>
  <c r="BF912" i="114"/>
  <c r="BF913" i="114"/>
  <c r="BF914" i="114"/>
  <c r="BF915" i="114"/>
  <c r="BF916" i="114"/>
  <c r="BF917" i="114"/>
  <c r="BF918" i="114"/>
  <c r="BF919" i="114"/>
  <c r="BF920" i="114"/>
  <c r="BF921" i="114"/>
  <c r="BF922" i="114"/>
  <c r="BF923" i="114"/>
  <c r="BF924" i="114"/>
  <c r="BF925" i="114"/>
  <c r="BF926" i="114"/>
  <c r="BF927" i="114"/>
  <c r="BF928" i="114"/>
  <c r="BF929" i="114"/>
  <c r="BF930" i="114"/>
  <c r="BF931" i="114"/>
  <c r="BF932" i="114"/>
  <c r="BF933" i="114"/>
  <c r="BF934" i="114"/>
  <c r="BF935" i="114"/>
  <c r="BF936" i="114"/>
  <c r="BF937" i="114"/>
  <c r="BF938" i="114"/>
  <c r="BF939" i="114"/>
  <c r="BF940" i="114"/>
  <c r="BF941" i="114"/>
  <c r="BF942" i="114"/>
  <c r="BF943" i="114"/>
  <c r="BF944" i="114"/>
  <c r="BF945" i="114"/>
  <c r="BF946" i="114"/>
  <c r="BF947" i="114"/>
  <c r="BF948" i="114"/>
  <c r="BF949" i="114"/>
  <c r="BF950" i="114"/>
  <c r="BF951" i="114"/>
  <c r="BF952" i="114"/>
  <c r="BF953" i="114"/>
  <c r="BF954" i="114"/>
  <c r="BF955" i="114"/>
  <c r="BF956" i="114"/>
  <c r="BF957" i="114"/>
  <c r="BF958" i="114"/>
  <c r="BF959" i="114"/>
  <c r="BF960" i="114"/>
  <c r="BF961" i="114"/>
  <c r="BF962" i="114"/>
  <c r="BF963" i="114"/>
  <c r="BF964" i="114"/>
  <c r="BF965" i="114"/>
  <c r="BF966" i="114"/>
  <c r="BF967" i="114"/>
  <c r="BF968" i="114"/>
  <c r="BF969" i="114"/>
  <c r="BF970" i="114"/>
  <c r="BF971" i="114"/>
  <c r="BF972" i="114"/>
  <c r="BF973" i="114"/>
  <c r="BF974" i="114"/>
  <c r="BF975" i="114"/>
  <c r="BF976" i="114"/>
  <c r="BF977" i="114"/>
  <c r="BF978" i="114"/>
  <c r="BF979" i="114"/>
  <c r="BF980" i="114"/>
  <c r="BF981" i="114"/>
  <c r="BF982" i="114"/>
  <c r="BF983" i="114"/>
  <c r="BF984" i="114"/>
  <c r="BF985" i="114"/>
  <c r="BF986" i="114"/>
  <c r="BF987" i="114"/>
  <c r="BF988" i="114"/>
  <c r="BF989" i="114"/>
  <c r="BF990" i="114"/>
  <c r="BF991" i="114"/>
  <c r="BF992" i="114"/>
  <c r="BF993" i="114"/>
  <c r="BF994" i="114"/>
  <c r="BF995" i="114"/>
  <c r="BF996" i="114"/>
  <c r="BF997" i="114"/>
  <c r="BF998" i="114"/>
  <c r="BF999" i="114"/>
  <c r="BF1000" i="114"/>
  <c r="BF1001" i="114"/>
  <c r="BF1002" i="114"/>
  <c r="BF1003" i="114"/>
  <c r="BF1004" i="114"/>
  <c r="BF1005" i="114"/>
  <c r="BF1006" i="114"/>
  <c r="BF1007" i="114"/>
  <c r="BF1008" i="114"/>
  <c r="BF1009" i="114"/>
  <c r="BF1010" i="114"/>
  <c r="BF1011" i="114"/>
  <c r="BF1012" i="114"/>
  <c r="BF1013" i="114"/>
  <c r="BF1014" i="114"/>
  <c r="BF1015" i="114"/>
  <c r="BF1016" i="114"/>
  <c r="BF1017" i="114"/>
  <c r="BF1018" i="114"/>
  <c r="BF1019" i="114"/>
  <c r="BF1020" i="114"/>
  <c r="BF1021" i="114"/>
  <c r="BF1022" i="114"/>
  <c r="BF1023" i="114"/>
  <c r="BF1024" i="114"/>
  <c r="BF1025" i="114"/>
  <c r="BF1026" i="114"/>
  <c r="BF1027" i="114"/>
  <c r="BF1028" i="114"/>
  <c r="BF1029" i="114"/>
  <c r="BF1030" i="114"/>
  <c r="BF1031" i="114"/>
  <c r="BF1032" i="114"/>
  <c r="BF1033" i="114"/>
  <c r="BF1034" i="114"/>
  <c r="BF1035" i="114"/>
  <c r="BF1036" i="114"/>
  <c r="BF1037" i="114"/>
  <c r="BF1038" i="114"/>
  <c r="BF1039" i="114"/>
  <c r="BF1040" i="114"/>
  <c r="BF1041" i="114"/>
  <c r="BF1042" i="114"/>
  <c r="BF1043" i="114"/>
  <c r="BF1044" i="114"/>
  <c r="BF1045" i="114"/>
  <c r="BF1046" i="114"/>
  <c r="BF1047" i="114"/>
  <c r="BF1048" i="114"/>
  <c r="BF1049" i="114"/>
  <c r="BF1050" i="114"/>
  <c r="BF1051" i="114"/>
  <c r="BF1052" i="114"/>
  <c r="BF1053" i="114"/>
  <c r="BF1054" i="114"/>
  <c r="BF1055" i="114"/>
  <c r="BF1056" i="114"/>
  <c r="BF1057" i="114"/>
  <c r="BF1058" i="114"/>
  <c r="BF1059" i="114"/>
  <c r="BF1060" i="114"/>
  <c r="BF1061" i="114"/>
  <c r="BF1062" i="114"/>
  <c r="BF1063" i="114"/>
  <c r="BF1064" i="114"/>
  <c r="BF1065" i="114"/>
  <c r="BF1066" i="114"/>
  <c r="BF1067" i="114"/>
  <c r="BF1068" i="114"/>
  <c r="BF1069" i="114"/>
  <c r="BF1070" i="114"/>
  <c r="BF1071" i="114"/>
  <c r="BF1072" i="114"/>
  <c r="BF1073" i="114"/>
  <c r="BF1074" i="114"/>
  <c r="BF1075" i="114"/>
  <c r="BF1076" i="114"/>
  <c r="BF1077" i="114"/>
  <c r="BF1078" i="114"/>
  <c r="BF1079" i="114"/>
  <c r="BF1080" i="114"/>
  <c r="BF1081" i="114"/>
  <c r="BF1082" i="114"/>
  <c r="BF1083" i="114"/>
  <c r="BF1084" i="114"/>
  <c r="BF1085" i="114"/>
  <c r="BF1086" i="114"/>
  <c r="BF1087" i="114"/>
  <c r="BF1088" i="114"/>
  <c r="BF1089" i="114"/>
  <c r="BF1090" i="114"/>
  <c r="BF1091" i="114"/>
  <c r="BF1092" i="114"/>
  <c r="BF1093" i="114"/>
  <c r="BF1094" i="114"/>
  <c r="BF1095" i="114"/>
  <c r="BF1096" i="114"/>
  <c r="BF1097" i="114"/>
  <c r="BF1098" i="114"/>
  <c r="BF1099" i="114"/>
  <c r="BF1100" i="114"/>
  <c r="BF1101" i="114"/>
  <c r="BF1102" i="114"/>
  <c r="BF1103" i="114"/>
  <c r="BF1104" i="114"/>
  <c r="BF1105" i="114"/>
  <c r="BF1106" i="114"/>
  <c r="BF1107" i="114"/>
  <c r="BF1108" i="114"/>
  <c r="BF1109" i="114"/>
  <c r="BF1110" i="114"/>
  <c r="BF1111" i="114"/>
  <c r="BF1112" i="114"/>
  <c r="BF1113" i="114"/>
  <c r="BF1114" i="114"/>
  <c r="BF1115" i="114"/>
  <c r="BF1116" i="114"/>
  <c r="BF1117" i="114"/>
  <c r="BF1118" i="114"/>
  <c r="BF1119" i="114"/>
  <c r="BF1120" i="114"/>
  <c r="BF1121" i="114"/>
  <c r="BF1122" i="114"/>
  <c r="BF1123" i="114"/>
  <c r="BF1124" i="114"/>
  <c r="BF1125" i="114"/>
  <c r="BF1126" i="114"/>
  <c r="BF1127" i="114"/>
  <c r="BF1128" i="114"/>
  <c r="BF1129" i="114"/>
  <c r="BF1130" i="114"/>
  <c r="BF1131" i="114"/>
  <c r="BF1132" i="114"/>
  <c r="BF1133" i="114"/>
  <c r="BF1134" i="114"/>
  <c r="BF1135" i="114"/>
  <c r="BF1136" i="114"/>
  <c r="BF1137" i="114"/>
  <c r="BF1138" i="114"/>
  <c r="BF1139" i="114"/>
  <c r="BF1140" i="114"/>
  <c r="BF1141" i="114"/>
  <c r="BF1142" i="114"/>
  <c r="BF1143" i="114"/>
  <c r="BF1144" i="114"/>
  <c r="BF1145" i="114"/>
  <c r="BF1146" i="114"/>
  <c r="BF1147" i="114"/>
  <c r="BF1148" i="114"/>
  <c r="BF1149" i="114"/>
  <c r="BF1150" i="114"/>
  <c r="BF1151" i="114"/>
  <c r="BF1152" i="114"/>
  <c r="BF1153" i="114"/>
  <c r="BF1154" i="114"/>
  <c r="BF1155" i="114"/>
  <c r="BF1156" i="114"/>
  <c r="BF1157" i="114"/>
  <c r="BF1158" i="114"/>
  <c r="BF1159" i="114"/>
  <c r="BF1160" i="114"/>
  <c r="BF1161" i="114"/>
  <c r="BF1162" i="114"/>
  <c r="BF1163" i="114"/>
  <c r="BF1164" i="114"/>
  <c r="BF1165" i="114"/>
  <c r="BF1166" i="114"/>
  <c r="BF1167" i="114"/>
  <c r="BF1168" i="114"/>
  <c r="BF1169" i="114"/>
  <c r="BF1170" i="114"/>
  <c r="BF1171" i="114"/>
  <c r="BF1172" i="114"/>
  <c r="BF1173" i="114"/>
  <c r="BF1174" i="114"/>
  <c r="BF1175" i="114"/>
  <c r="BF1176" i="114"/>
  <c r="BF1177" i="114"/>
  <c r="BF1178" i="114"/>
  <c r="BF1179" i="114"/>
  <c r="BF1180" i="114"/>
  <c r="BF1181" i="114"/>
  <c r="BF1182" i="114"/>
  <c r="BF1183" i="114"/>
  <c r="BF1184" i="114"/>
  <c r="BF1185" i="114"/>
  <c r="BF1186" i="114"/>
  <c r="BF1187" i="114"/>
  <c r="BF1188" i="114"/>
  <c r="BF1189" i="114"/>
  <c r="BF1190" i="114"/>
  <c r="BF1191" i="114"/>
  <c r="BF1192" i="114"/>
  <c r="BF1193" i="114"/>
  <c r="BF1194" i="114"/>
  <c r="BF1195" i="114"/>
  <c r="BF1196" i="114"/>
  <c r="BF1197" i="114"/>
  <c r="BF1198" i="114"/>
  <c r="BF1199" i="114"/>
  <c r="BF1200" i="114"/>
  <c r="BF1201" i="114"/>
  <c r="BF1202" i="114"/>
  <c r="BF1203" i="114"/>
  <c r="BF1204" i="114"/>
  <c r="BF1205" i="114"/>
  <c r="BF1206" i="114"/>
  <c r="BF1207" i="114"/>
  <c r="BF1208" i="114"/>
  <c r="BF1209" i="114"/>
  <c r="BF1210" i="114"/>
  <c r="BF1211" i="114"/>
  <c r="BF1212" i="114"/>
  <c r="BF1213" i="114"/>
  <c r="BF1214" i="114"/>
  <c r="BF1215" i="114"/>
  <c r="BF1216" i="114"/>
  <c r="BF1217" i="114"/>
  <c r="BF1218" i="114"/>
  <c r="BF1219" i="114"/>
  <c r="BF1220" i="114"/>
  <c r="BF1221" i="114"/>
  <c r="BF1222" i="114"/>
  <c r="BF1223" i="114"/>
  <c r="BF1224" i="114"/>
  <c r="BF1225" i="114"/>
  <c r="BF1226" i="114"/>
  <c r="BF1227" i="114"/>
  <c r="BF1228" i="114"/>
  <c r="BF1229" i="114"/>
  <c r="BF1230" i="114"/>
  <c r="BF1231" i="114"/>
  <c r="BF1232" i="114"/>
  <c r="BF1233" i="114"/>
  <c r="BF1234" i="114"/>
  <c r="BF1235" i="114"/>
  <c r="BF1236" i="114"/>
  <c r="BF1237" i="114"/>
  <c r="BF1238" i="114"/>
  <c r="BF1239" i="114"/>
  <c r="BF1240" i="114"/>
  <c r="BF1241" i="114"/>
  <c r="BF1242" i="114"/>
  <c r="BF1243" i="114"/>
  <c r="BF1244" i="114"/>
  <c r="BF1245" i="114"/>
  <c r="BF1246" i="114"/>
  <c r="BF1247" i="114"/>
  <c r="BF1248" i="114"/>
  <c r="BF1249" i="114"/>
  <c r="BF1250" i="114"/>
  <c r="BF1251" i="114"/>
  <c r="BF1252" i="114"/>
  <c r="BF1253" i="114"/>
  <c r="BF1254" i="114"/>
  <c r="BF1255" i="114"/>
  <c r="BF1256" i="114"/>
  <c r="BF1257" i="114"/>
  <c r="BF1258" i="114"/>
  <c r="BF1259" i="114"/>
  <c r="BF1260" i="114"/>
  <c r="BF1261" i="114"/>
  <c r="BF1262" i="114"/>
  <c r="BF1263" i="114"/>
  <c r="BF1264" i="114"/>
  <c r="BF1265" i="114"/>
  <c r="BF1266" i="114"/>
  <c r="BF1267" i="114"/>
  <c r="BF1268" i="114"/>
  <c r="BF1269" i="114"/>
  <c r="BF1270" i="114"/>
  <c r="BF1271" i="114"/>
  <c r="BF1272" i="114"/>
  <c r="BF1273" i="114"/>
  <c r="BF1274" i="114"/>
  <c r="BF1275" i="114"/>
  <c r="BF1276" i="114"/>
  <c r="BF1277" i="114"/>
  <c r="BF1278" i="114"/>
  <c r="BF1279" i="114"/>
  <c r="BF1280" i="114"/>
  <c r="BF1281" i="114"/>
  <c r="BF1282" i="114"/>
  <c r="BF1283" i="114"/>
  <c r="BF1284" i="114"/>
  <c r="BF1285" i="114"/>
  <c r="BF1286" i="114"/>
  <c r="BF1287" i="114"/>
  <c r="BF1288" i="114"/>
  <c r="BF1289" i="114"/>
  <c r="BF1290" i="114"/>
  <c r="BF1291" i="114"/>
  <c r="BF1292" i="114"/>
  <c r="BF1293" i="114"/>
  <c r="BF1294" i="114"/>
  <c r="BF1295" i="114"/>
  <c r="BF1296" i="114"/>
  <c r="BF1297" i="114"/>
  <c r="BF1298" i="114"/>
  <c r="BF1299" i="114"/>
  <c r="BF1300" i="114"/>
  <c r="BF1301" i="114"/>
  <c r="BF1302" i="114"/>
  <c r="BF1303" i="114"/>
  <c r="BF1304" i="114"/>
  <c r="BF1305" i="114"/>
  <c r="BF1306" i="114"/>
  <c r="BF1307" i="114"/>
  <c r="BF1308" i="114"/>
  <c r="BF1309" i="114"/>
  <c r="BF1310" i="114"/>
  <c r="BF1311" i="114"/>
  <c r="BF1312" i="114"/>
  <c r="BF1313" i="114"/>
  <c r="BF1314" i="114"/>
  <c r="BF1315" i="114"/>
  <c r="BF1316" i="114"/>
  <c r="BF1317" i="114"/>
  <c r="BF1318" i="114"/>
  <c r="BF1319" i="114"/>
  <c r="BF1320" i="114"/>
  <c r="BF1321" i="114"/>
  <c r="BF1322" i="114"/>
  <c r="BF1323" i="114"/>
  <c r="BF1324" i="114"/>
  <c r="BF1325" i="114"/>
  <c r="BF1326" i="114"/>
  <c r="BF1327" i="114"/>
  <c r="BF1328" i="114"/>
  <c r="BF1329" i="114"/>
  <c r="BF1330" i="114"/>
  <c r="BF1331" i="114"/>
  <c r="BF1332" i="114"/>
  <c r="BF1333" i="114"/>
  <c r="BF1334" i="114"/>
  <c r="BF1335" i="114"/>
  <c r="BF1336" i="114"/>
  <c r="BF1337" i="114"/>
  <c r="BF1338" i="114"/>
  <c r="BF1339" i="114"/>
  <c r="BF1340" i="114"/>
  <c r="BF1341" i="114"/>
  <c r="BF1342" i="114"/>
  <c r="BF1343" i="114"/>
  <c r="BF1344" i="114"/>
  <c r="BF1345" i="114"/>
  <c r="BF1346" i="114"/>
  <c r="BF1347" i="114"/>
  <c r="BF1348" i="114"/>
  <c r="BF1349" i="114"/>
  <c r="BF1350" i="114"/>
  <c r="BF1351" i="114"/>
  <c r="BF1352" i="114"/>
  <c r="BF1353" i="114"/>
  <c r="BF1354" i="114"/>
  <c r="BF1355" i="114"/>
  <c r="BF1356" i="114"/>
  <c r="BF1357" i="114"/>
  <c r="BF1358" i="114"/>
  <c r="BF1359" i="114"/>
  <c r="BF1360" i="114"/>
  <c r="BF1361" i="114"/>
  <c r="BF1362" i="114"/>
  <c r="BF1363" i="114"/>
  <c r="BF1364" i="114"/>
  <c r="BF1365" i="114"/>
  <c r="BF1366" i="114"/>
  <c r="BF1367" i="114"/>
  <c r="BF1368" i="114"/>
  <c r="BF1369" i="114"/>
  <c r="BF1370" i="114"/>
  <c r="BF1371" i="114"/>
  <c r="BF1372" i="114"/>
  <c r="BF1373" i="114"/>
  <c r="BF1374" i="114"/>
  <c r="BF1375" i="114"/>
  <c r="BF1376" i="114"/>
  <c r="BF1377" i="114"/>
  <c r="BF1378" i="114"/>
  <c r="BF1379" i="114"/>
  <c r="BF1380" i="114"/>
  <c r="BF1381" i="114"/>
  <c r="BF1382" i="114"/>
  <c r="BF1383" i="114"/>
  <c r="BF1384" i="114"/>
  <c r="BF1385" i="114"/>
  <c r="BF1386" i="114"/>
  <c r="BF1387" i="114"/>
  <c r="BF1388" i="114"/>
  <c r="BF1389" i="114"/>
  <c r="BF1390" i="114"/>
  <c r="BF1391" i="114"/>
  <c r="BF1392" i="114"/>
  <c r="BF1393" i="114"/>
  <c r="BF1394" i="114"/>
  <c r="BF1395" i="114"/>
  <c r="BF1396" i="114"/>
  <c r="BF1397" i="114"/>
  <c r="BF1398" i="114"/>
  <c r="BF1399" i="114"/>
  <c r="BF1400" i="114"/>
  <c r="BF1401" i="114"/>
  <c r="BF1402" i="114"/>
  <c r="BF1403" i="114"/>
  <c r="BF1404" i="114"/>
  <c r="BF1405" i="114"/>
  <c r="BF1406" i="114"/>
  <c r="BF1407" i="114"/>
  <c r="BF1408" i="114"/>
  <c r="BF1409" i="114"/>
  <c r="BF1410" i="114"/>
  <c r="BF1411" i="114"/>
  <c r="BF1412" i="114"/>
  <c r="BF1413" i="114"/>
  <c r="BF1414" i="114"/>
  <c r="BF1415" i="114"/>
  <c r="BF1416" i="114"/>
  <c r="BF1417" i="114"/>
  <c r="BF1418" i="114"/>
  <c r="BF1419" i="114"/>
  <c r="BF1420" i="114"/>
  <c r="BF1421" i="114"/>
  <c r="BF1422" i="114"/>
  <c r="BF1423" i="114"/>
  <c r="BF1424" i="114"/>
  <c r="BF1425" i="114"/>
  <c r="BF1426" i="114"/>
  <c r="BF1427" i="114"/>
  <c r="BF1428" i="114"/>
  <c r="BF1429" i="114"/>
  <c r="BF1430" i="114"/>
  <c r="BF1431" i="114"/>
  <c r="BF1432" i="114"/>
  <c r="BF1433" i="114"/>
  <c r="BF1434" i="114"/>
  <c r="BF1435" i="114"/>
  <c r="BF1436" i="114"/>
  <c r="BF1437" i="114"/>
  <c r="BF1438" i="114"/>
  <c r="BF1439" i="114"/>
  <c r="BF1440" i="114"/>
  <c r="BF1441" i="114"/>
  <c r="BF1442" i="114"/>
  <c r="BF1443" i="114"/>
  <c r="BF1444" i="114"/>
  <c r="BF1445" i="114"/>
  <c r="BF1446" i="114"/>
  <c r="BF1447" i="114"/>
  <c r="BF1448" i="114"/>
  <c r="BF1449" i="114"/>
  <c r="BF1450" i="114"/>
  <c r="BF1451" i="114"/>
  <c r="BF1452" i="114"/>
  <c r="BF1453" i="114"/>
  <c r="BF1454" i="114"/>
  <c r="BF1455" i="114"/>
  <c r="BF1456" i="114"/>
  <c r="BF1457" i="114"/>
  <c r="BF1458" i="114"/>
  <c r="BF1459" i="114"/>
  <c r="BF1460" i="114"/>
  <c r="BF1461" i="114"/>
  <c r="BF1462" i="114"/>
  <c r="BF1463" i="114"/>
  <c r="BF1464" i="114"/>
  <c r="BF1465" i="114"/>
  <c r="BF1466" i="114"/>
  <c r="BF1467" i="114"/>
  <c r="BF1468" i="114"/>
  <c r="BF1469" i="114"/>
  <c r="BF1470" i="114"/>
  <c r="BF1471" i="114"/>
  <c r="BF1472" i="114"/>
  <c r="BF1473" i="114"/>
  <c r="BF1474" i="114"/>
  <c r="BF1475" i="114"/>
  <c r="BF1476" i="114"/>
  <c r="BF1477" i="114"/>
  <c r="BF1478" i="114"/>
  <c r="BF1479" i="114"/>
  <c r="BF1480" i="114"/>
  <c r="BF1481" i="114"/>
  <c r="BF1482" i="114"/>
  <c r="BF1483" i="114"/>
  <c r="BF1484" i="114"/>
  <c r="BF1485" i="114"/>
  <c r="BF1486" i="114"/>
  <c r="BF1487" i="114"/>
  <c r="BF1488" i="114"/>
  <c r="BF1489" i="114"/>
  <c r="BF1490" i="114"/>
  <c r="BF1491" i="114"/>
  <c r="BF1492" i="114"/>
  <c r="BF1493" i="114"/>
  <c r="BF1494" i="114"/>
  <c r="BF1495" i="114"/>
  <c r="BF1496" i="114"/>
  <c r="BF1497" i="114"/>
  <c r="BF1498" i="114"/>
  <c r="BF1499" i="114"/>
  <c r="BF1500" i="114"/>
  <c r="BF1501" i="114"/>
  <c r="BF1502" i="114"/>
  <c r="BF1503" i="114"/>
  <c r="BF1504" i="114"/>
  <c r="BF1505" i="114"/>
  <c r="BF1506" i="114"/>
  <c r="BF1507" i="114"/>
  <c r="BF1508" i="114"/>
  <c r="BF1509" i="114"/>
  <c r="BF1510" i="114"/>
  <c r="BF1511" i="114"/>
  <c r="BF1512" i="114"/>
  <c r="BF1513" i="114"/>
  <c r="BF1514" i="114"/>
  <c r="BF1515" i="114"/>
  <c r="BF1516" i="114"/>
  <c r="BF1517" i="114"/>
  <c r="BF1518" i="114"/>
  <c r="BF1519" i="114"/>
  <c r="BF1520" i="114"/>
  <c r="BF1521" i="114"/>
  <c r="BF1522" i="114"/>
  <c r="BF1523" i="114"/>
  <c r="BF1524" i="114"/>
  <c r="BF1525" i="114"/>
  <c r="BF1526" i="114"/>
  <c r="BF1527" i="114"/>
  <c r="BF1528" i="114"/>
  <c r="BF1529" i="114"/>
  <c r="BF1530" i="114"/>
  <c r="BF1531" i="114"/>
  <c r="BF1532" i="114"/>
  <c r="BF1533" i="114"/>
  <c r="BF1534" i="114"/>
  <c r="BF1535" i="114"/>
  <c r="BF1536" i="114"/>
  <c r="BF1537" i="114"/>
  <c r="BF1538" i="114"/>
  <c r="BF1539" i="114"/>
  <c r="BF1540" i="114"/>
  <c r="BF1541" i="114"/>
  <c r="BF1542" i="114"/>
  <c r="BF1543" i="114"/>
  <c r="BF1544" i="114"/>
  <c r="BF1545" i="114"/>
  <c r="BF1546" i="114"/>
  <c r="BF1547" i="114"/>
  <c r="BF1548" i="114"/>
  <c r="BF1549" i="114"/>
  <c r="BF1550" i="114"/>
  <c r="BF1551" i="114"/>
  <c r="BF1552" i="114"/>
  <c r="BF1553" i="114"/>
  <c r="BF1554" i="114"/>
  <c r="BF1555" i="114"/>
  <c r="BF1556" i="114"/>
  <c r="BF1557" i="114"/>
  <c r="BF1558" i="114"/>
  <c r="BF1559" i="114"/>
  <c r="BF1560" i="114"/>
  <c r="BF1561" i="114"/>
  <c r="BF1562" i="114"/>
  <c r="BF1563" i="114"/>
  <c r="BF1564" i="114"/>
  <c r="BF1565" i="114"/>
  <c r="BF1566" i="114"/>
  <c r="BF1567" i="114"/>
  <c r="BF1568" i="114"/>
  <c r="BF1569" i="114"/>
  <c r="BF1570" i="114"/>
  <c r="BF1571" i="114"/>
  <c r="BF1572" i="114"/>
  <c r="BF1573" i="114"/>
  <c r="BF1574" i="114"/>
  <c r="BF1575" i="114"/>
  <c r="BF1576" i="114"/>
  <c r="BF1577" i="114"/>
  <c r="BF1578" i="114"/>
  <c r="BF1579" i="114"/>
  <c r="BF1580" i="114"/>
  <c r="BF1581" i="114"/>
  <c r="BF1582" i="114"/>
  <c r="BF1583" i="114"/>
  <c r="BF1584" i="114"/>
  <c r="BF1585" i="114"/>
  <c r="BF1586" i="114"/>
  <c r="BF1587" i="114"/>
  <c r="BF1588" i="114"/>
  <c r="BF1589" i="114"/>
  <c r="BF1590" i="114"/>
  <c r="BF1591" i="114"/>
  <c r="BF1592" i="114"/>
  <c r="BF1593" i="114"/>
  <c r="BF1594" i="114"/>
  <c r="BF1595" i="114"/>
  <c r="BF1596" i="114"/>
  <c r="BF1597" i="114"/>
  <c r="BF1598" i="114"/>
  <c r="BF1599" i="114"/>
  <c r="BF1600" i="114"/>
  <c r="BF1601" i="114"/>
  <c r="BF1602" i="114"/>
  <c r="BF1603" i="114"/>
  <c r="BF1604" i="114"/>
  <c r="BF1605" i="114"/>
  <c r="BF1606" i="114"/>
  <c r="BF1607" i="114"/>
  <c r="BF1608" i="114"/>
  <c r="BF1609" i="114"/>
  <c r="BF1610" i="114"/>
  <c r="BF1611" i="114"/>
  <c r="BF1612" i="114"/>
  <c r="BF1613" i="114"/>
  <c r="BF1614" i="114"/>
  <c r="BF1615" i="114"/>
  <c r="BF1616" i="114"/>
  <c r="BF1617" i="114"/>
  <c r="BF1618" i="114"/>
  <c r="BF1619" i="114"/>
  <c r="BF1620" i="114"/>
  <c r="BF1621" i="114"/>
  <c r="BF1622" i="114"/>
  <c r="BF1623" i="114"/>
  <c r="BF1624" i="114"/>
  <c r="BF1625" i="114"/>
  <c r="BF1626" i="114"/>
  <c r="BF1627" i="114"/>
  <c r="BF1628" i="114"/>
  <c r="BF1629" i="114"/>
  <c r="BF1630" i="114"/>
  <c r="BF1631" i="114"/>
  <c r="BF1632" i="114"/>
  <c r="BF1633" i="114"/>
  <c r="BF1634" i="114"/>
  <c r="BF1635" i="114"/>
  <c r="BF1636" i="114"/>
  <c r="BF1637" i="114"/>
  <c r="BF1638" i="114"/>
  <c r="BF1639" i="114"/>
  <c r="BF1640" i="114"/>
  <c r="BF1641" i="114"/>
  <c r="BF1642" i="114"/>
  <c r="BF1643" i="114"/>
  <c r="BF1644" i="114"/>
  <c r="BF1645" i="114"/>
  <c r="BF1646" i="114"/>
  <c r="BF1647" i="114"/>
  <c r="BF1648" i="114"/>
  <c r="BF1649" i="114"/>
  <c r="BF1650" i="114"/>
  <c r="BF1651" i="114"/>
  <c r="BF1652" i="114"/>
  <c r="BF1653" i="114"/>
  <c r="BF1654" i="114"/>
  <c r="BF1655" i="114"/>
  <c r="BF1656" i="114"/>
  <c r="BF1657" i="114"/>
  <c r="BF1658" i="114"/>
  <c r="BF1659" i="114"/>
  <c r="BF1660" i="114"/>
  <c r="BF1661" i="114"/>
  <c r="BF1662" i="114"/>
  <c r="BF1663" i="114"/>
  <c r="BF1664" i="114"/>
  <c r="BF1665" i="114"/>
  <c r="BF1666" i="114"/>
  <c r="BF1667" i="114"/>
  <c r="BF1668" i="114"/>
  <c r="BF1669" i="114"/>
  <c r="BF1670" i="114"/>
  <c r="BF1671" i="114"/>
  <c r="BF1672" i="114"/>
  <c r="BF1673" i="114"/>
  <c r="BF1674" i="114"/>
  <c r="BF1675" i="114"/>
  <c r="BF1676" i="114"/>
  <c r="BF1677" i="114"/>
  <c r="BF1678" i="114"/>
  <c r="BF1679" i="114"/>
  <c r="BF1680" i="114"/>
  <c r="BF1681" i="114"/>
  <c r="BF1682" i="114"/>
  <c r="BF1683" i="114"/>
  <c r="BF1684" i="114"/>
  <c r="BF1685" i="114"/>
  <c r="BF1686" i="114"/>
  <c r="BF1687" i="114"/>
  <c r="BF1688" i="114"/>
  <c r="BF1689" i="114"/>
  <c r="BF1690" i="114"/>
  <c r="BF1691" i="114"/>
  <c r="BF1692" i="114"/>
  <c r="BF1693" i="114"/>
  <c r="BF1694" i="114"/>
  <c r="BF1695" i="114"/>
  <c r="BF1696" i="114"/>
  <c r="BF1697" i="114"/>
  <c r="BF1698" i="114"/>
  <c r="BF1699" i="114"/>
  <c r="BF1700" i="114"/>
  <c r="BF1701" i="114"/>
  <c r="BF1702" i="114"/>
  <c r="BF1703" i="114"/>
  <c r="BF1704" i="114"/>
  <c r="BF1705" i="114"/>
  <c r="BF1706" i="114"/>
  <c r="BF1707" i="114"/>
  <c r="BF1708" i="114"/>
  <c r="BF1709" i="114"/>
  <c r="BF1710" i="114"/>
  <c r="BF1711" i="114"/>
  <c r="BF1712" i="114"/>
  <c r="BF1713" i="114"/>
  <c r="BF1714" i="114"/>
  <c r="BF1715" i="114"/>
  <c r="BF1716" i="114"/>
  <c r="BF1717" i="114"/>
  <c r="BF1718" i="114"/>
  <c r="BF1719" i="114"/>
  <c r="BF1720" i="114"/>
  <c r="BF1721" i="114"/>
  <c r="BF1722" i="114"/>
  <c r="BF1723" i="114"/>
  <c r="BF1724" i="114"/>
  <c r="BF1725" i="114"/>
  <c r="BF1726" i="114"/>
  <c r="BF1727" i="114"/>
  <c r="BF1728" i="114"/>
  <c r="BF1729" i="114"/>
  <c r="BF1730" i="114"/>
  <c r="BF1731" i="114"/>
  <c r="BF1732" i="114"/>
  <c r="BF1733" i="114"/>
  <c r="BF1734" i="114"/>
  <c r="BF1735" i="114"/>
  <c r="BF1736" i="114"/>
  <c r="BF1737" i="114"/>
  <c r="BF1738" i="114"/>
  <c r="BF1739" i="114"/>
  <c r="BF1740" i="114"/>
  <c r="BF1741" i="114"/>
  <c r="BF1742" i="114"/>
  <c r="BF1743" i="114"/>
  <c r="BF1744" i="114"/>
  <c r="BF1745" i="114"/>
  <c r="BF1746" i="114"/>
  <c r="BF1747" i="114"/>
  <c r="BF1748" i="114"/>
  <c r="BF1749" i="114"/>
  <c r="BF1750" i="114"/>
  <c r="BF1751" i="114"/>
  <c r="BF1752" i="114"/>
  <c r="BF1753" i="114"/>
  <c r="BF1754" i="114"/>
  <c r="BF1755" i="114"/>
  <c r="BF1756" i="114"/>
  <c r="BF1757" i="114"/>
  <c r="BF1758" i="114"/>
  <c r="BF1759" i="114"/>
  <c r="BF1760" i="114"/>
  <c r="BF1761" i="114"/>
  <c r="BF1762" i="114"/>
  <c r="BF1763" i="114"/>
  <c r="BF1764" i="114"/>
  <c r="BF1765" i="114"/>
  <c r="BF1766" i="114"/>
  <c r="BF1767" i="114"/>
  <c r="BF1768" i="114"/>
  <c r="BF1769" i="114"/>
  <c r="BF1770" i="114"/>
  <c r="BF1771" i="114"/>
  <c r="BF1772" i="114"/>
  <c r="BF1773" i="114"/>
  <c r="BF1774" i="114"/>
  <c r="BF1775" i="114"/>
  <c r="BF1776" i="114"/>
  <c r="BF1777" i="114"/>
  <c r="BF1778" i="114"/>
  <c r="BF1779" i="114"/>
  <c r="BF1780" i="114"/>
  <c r="BF1781" i="114"/>
  <c r="BF1782" i="114"/>
  <c r="BF1783" i="114"/>
  <c r="BF1784" i="114"/>
  <c r="BF1785" i="114"/>
  <c r="BF1786" i="114"/>
  <c r="BF1787" i="114"/>
  <c r="BF1788" i="114"/>
  <c r="BF1789" i="114"/>
  <c r="BF1790" i="114"/>
  <c r="BF1791" i="114"/>
  <c r="BF1792" i="114"/>
  <c r="BF1793" i="114"/>
  <c r="BF1794" i="114"/>
  <c r="BF1795" i="114"/>
  <c r="BF1796" i="114"/>
  <c r="BF1797" i="114"/>
  <c r="BF1798" i="114"/>
  <c r="BF1799" i="114"/>
  <c r="BF1800" i="114"/>
  <c r="BF1801" i="114"/>
  <c r="BF1802" i="114"/>
  <c r="BF1803" i="114"/>
  <c r="BF1804" i="114"/>
  <c r="BF1805" i="114"/>
  <c r="BF1806" i="114"/>
  <c r="BF1807" i="114"/>
  <c r="BF1808" i="114"/>
  <c r="BF1809" i="114"/>
  <c r="BF1810" i="114"/>
  <c r="BF1811" i="114"/>
  <c r="BF1812" i="114"/>
  <c r="BF1813" i="114"/>
  <c r="BF1814" i="114"/>
  <c r="BE1" i="114"/>
  <c r="BE2" i="114"/>
  <c r="BE3" i="114"/>
  <c r="BE4" i="114"/>
  <c r="BE5" i="114"/>
  <c r="BE6" i="114"/>
  <c r="BE9" i="114"/>
  <c r="BE10" i="114"/>
  <c r="BE12" i="114"/>
  <c r="BE13" i="114"/>
  <c r="BE14" i="114"/>
  <c r="BE15" i="114"/>
  <c r="BE16" i="114"/>
  <c r="BE17" i="114"/>
  <c r="BE18" i="114"/>
  <c r="BE19" i="114"/>
  <c r="BE20" i="114"/>
  <c r="BE21" i="114"/>
  <c r="BE22" i="114"/>
  <c r="BE23" i="114"/>
  <c r="BD1" i="114"/>
  <c r="BD2" i="114"/>
  <c r="BD3" i="114"/>
  <c r="BD4" i="114"/>
  <c r="BD5" i="114"/>
  <c r="BD6" i="114"/>
  <c r="BD7" i="114"/>
  <c r="BD8" i="114"/>
  <c r="BD9" i="114"/>
  <c r="BD10" i="114"/>
  <c r="BD11" i="114"/>
  <c r="BD12" i="114"/>
  <c r="BD13" i="114"/>
  <c r="BD15" i="114"/>
  <c r="BD16" i="114"/>
  <c r="BD17" i="114"/>
  <c r="BD18" i="114"/>
  <c r="BD19" i="114"/>
  <c r="BD20" i="114"/>
  <c r="BD21" i="114"/>
  <c r="BD22" i="114"/>
  <c r="BD23" i="114"/>
  <c r="BD24" i="114"/>
  <c r="BD25" i="114"/>
  <c r="BD26" i="114"/>
  <c r="BD27" i="114"/>
  <c r="BD28" i="114"/>
  <c r="BD29" i="114"/>
  <c r="BC1" i="114"/>
  <c r="BC2" i="114"/>
  <c r="BC3" i="114"/>
  <c r="BC4" i="114"/>
  <c r="BC5" i="114"/>
  <c r="BC6" i="114"/>
  <c r="BC7" i="114"/>
  <c r="BC8" i="114"/>
  <c r="BC12" i="114"/>
  <c r="BC13" i="114"/>
  <c r="BC14" i="114"/>
  <c r="BC16" i="114"/>
  <c r="BC17" i="114"/>
  <c r="BC18" i="114"/>
  <c r="BC19" i="114"/>
  <c r="BC20" i="114"/>
  <c r="BC21" i="114"/>
  <c r="BC22" i="114"/>
  <c r="BC23" i="114"/>
  <c r="BC24" i="114"/>
  <c r="BC25" i="114"/>
  <c r="BC26" i="114"/>
  <c r="BC27" i="114"/>
  <c r="BC28" i="114"/>
  <c r="BC29" i="114"/>
  <c r="BB1" i="114"/>
  <c r="BB2" i="114"/>
  <c r="BB3" i="114"/>
  <c r="BB4" i="114"/>
  <c r="BB5" i="114"/>
  <c r="BB6" i="114"/>
  <c r="BB7" i="114"/>
  <c r="BB8" i="114"/>
  <c r="BB11" i="114"/>
  <c r="BB12" i="114"/>
  <c r="BB14" i="114"/>
  <c r="BB15" i="114"/>
  <c r="BB16" i="114"/>
  <c r="BB17" i="114"/>
  <c r="BB18" i="114"/>
  <c r="BB19" i="114"/>
  <c r="BB20" i="114"/>
  <c r="BB21" i="114"/>
  <c r="BB22" i="114"/>
  <c r="BB23" i="114"/>
  <c r="BB24" i="114"/>
  <c r="BB25" i="114"/>
  <c r="BA1" i="114"/>
  <c r="BA2" i="114"/>
  <c r="BA3" i="114"/>
  <c r="BA4" i="114"/>
  <c r="BA5" i="114"/>
  <c r="BA6" i="114"/>
  <c r="BA8" i="114"/>
  <c r="BA9" i="114"/>
  <c r="BA10" i="114"/>
  <c r="BA12" i="114"/>
  <c r="BA13" i="114"/>
  <c r="BA14" i="114"/>
  <c r="BA15" i="114"/>
  <c r="BA16" i="114"/>
  <c r="BA17" i="114"/>
  <c r="BA18" i="114"/>
  <c r="BA19" i="114"/>
  <c r="BA20" i="114"/>
  <c r="BA21" i="114"/>
  <c r="AZ1" i="114"/>
  <c r="AZ2" i="114"/>
  <c r="AZ3" i="114"/>
  <c r="AZ4" i="114"/>
  <c r="AZ5" i="114"/>
  <c r="AZ6" i="114"/>
  <c r="AZ9" i="114"/>
  <c r="AZ11" i="114"/>
  <c r="AZ12" i="114"/>
  <c r="AZ14" i="114"/>
  <c r="AZ15" i="114"/>
  <c r="AZ16" i="114"/>
  <c r="AZ17" i="114"/>
  <c r="AZ18" i="114"/>
  <c r="AZ19" i="114"/>
  <c r="AZ20" i="114"/>
  <c r="AZ21" i="114"/>
  <c r="AZ22" i="114"/>
  <c r="AZ23" i="114"/>
  <c r="AZ24" i="114"/>
  <c r="AZ25" i="114"/>
  <c r="AZ26" i="114"/>
  <c r="AZ27" i="114"/>
  <c r="AY1" i="114"/>
  <c r="AY2" i="114"/>
  <c r="AY3" i="114"/>
  <c r="AY4" i="114"/>
  <c r="AY5" i="114"/>
  <c r="AY6" i="114"/>
  <c r="AY10" i="114"/>
  <c r="AY11" i="114"/>
  <c r="AY13" i="114"/>
  <c r="AY14" i="114"/>
  <c r="AY15" i="114"/>
  <c r="AY16" i="114"/>
  <c r="AY17" i="114"/>
  <c r="AY18" i="114"/>
  <c r="AY19" i="114"/>
  <c r="AY20" i="114"/>
  <c r="AY21" i="114"/>
  <c r="AY22" i="114"/>
  <c r="AY23" i="114"/>
  <c r="AY24" i="114"/>
  <c r="AX1" i="114"/>
  <c r="AX2" i="114"/>
  <c r="AX3" i="114"/>
  <c r="AX4" i="114"/>
  <c r="AX5" i="114"/>
  <c r="AX6" i="114"/>
  <c r="AX7" i="114"/>
  <c r="AX10" i="114"/>
  <c r="AX11" i="114"/>
  <c r="AX12" i="114"/>
  <c r="AX14" i="114"/>
  <c r="AX15" i="114"/>
  <c r="AX16" i="114"/>
  <c r="AX17" i="114"/>
  <c r="AX18" i="114"/>
  <c r="AX19" i="114"/>
  <c r="AX20" i="114"/>
  <c r="AX21" i="114"/>
  <c r="AX22" i="114"/>
  <c r="AX23" i="114"/>
  <c r="AX24" i="114"/>
  <c r="AX25" i="114"/>
  <c r="AW1" i="114"/>
  <c r="AW2" i="114"/>
  <c r="AW3" i="114"/>
  <c r="AW4" i="114"/>
  <c r="AW5" i="114"/>
  <c r="AW6" i="114"/>
  <c r="AW7" i="114"/>
  <c r="AW10" i="114"/>
  <c r="AW11" i="114"/>
  <c r="AW12" i="114"/>
  <c r="AW13" i="114"/>
  <c r="AW14" i="114"/>
  <c r="AW15" i="114"/>
  <c r="AW16" i="114"/>
  <c r="AW17" i="114"/>
  <c r="AW18" i="114"/>
  <c r="AW19" i="114"/>
  <c r="AW20" i="114"/>
  <c r="AW21" i="114"/>
  <c r="AW22" i="114"/>
  <c r="AW23" i="114"/>
  <c r="AV1" i="114"/>
  <c r="AV2" i="114"/>
  <c r="AV3" i="114"/>
  <c r="AV4" i="114"/>
  <c r="AV5" i="114"/>
  <c r="AV6" i="114"/>
  <c r="AV7" i="114"/>
  <c r="AV10" i="114"/>
  <c r="AV11" i="114"/>
  <c r="AV13" i="114"/>
  <c r="AV14" i="114"/>
  <c r="AV15" i="114"/>
  <c r="AV16" i="114"/>
  <c r="AV17" i="114"/>
  <c r="AV18" i="114"/>
  <c r="AV19" i="114"/>
  <c r="AV20" i="114"/>
  <c r="AV21" i="114"/>
  <c r="AV22" i="114"/>
  <c r="AV23" i="114"/>
  <c r="AV24" i="114"/>
  <c r="AU1" i="114"/>
  <c r="AU2" i="114"/>
  <c r="AU3" i="114"/>
  <c r="AU4" i="114"/>
  <c r="AU5" i="114"/>
  <c r="AU6" i="114"/>
  <c r="AU7" i="114"/>
  <c r="AU10" i="114"/>
  <c r="AU11" i="114"/>
  <c r="AU12" i="114"/>
  <c r="AU14" i="114"/>
  <c r="AU15" i="114"/>
  <c r="AU16" i="114"/>
  <c r="AU17" i="114"/>
  <c r="AU18" i="114"/>
  <c r="AU19" i="114"/>
  <c r="AU20" i="114"/>
  <c r="AU21" i="114"/>
  <c r="AU22" i="114"/>
  <c r="AU23" i="114"/>
  <c r="AU24" i="114"/>
  <c r="AU25" i="114"/>
  <c r="AU26" i="114"/>
  <c r="AU27" i="114"/>
  <c r="AT1" i="114"/>
  <c r="AT2" i="114"/>
  <c r="AT3" i="114"/>
  <c r="AT4" i="114"/>
  <c r="AT5" i="114"/>
  <c r="AT6" i="114"/>
  <c r="AT7" i="114"/>
  <c r="AT10" i="114"/>
  <c r="AT11" i="114"/>
  <c r="AT12" i="114"/>
  <c r="AT13" i="114"/>
  <c r="AT14" i="114"/>
  <c r="AT15" i="114"/>
  <c r="AT17" i="114"/>
  <c r="AT18" i="114"/>
  <c r="AT19" i="114"/>
  <c r="AT20" i="114"/>
  <c r="AT21" i="114"/>
  <c r="AT22" i="114"/>
  <c r="AT23" i="114"/>
  <c r="AT24" i="114"/>
  <c r="AT25" i="114"/>
  <c r="AT26" i="114"/>
  <c r="AT27" i="114"/>
  <c r="AT28" i="114"/>
  <c r="AT29" i="114"/>
  <c r="AT30" i="114"/>
  <c r="AT31" i="114"/>
  <c r="AT32" i="114"/>
  <c r="AT33" i="114"/>
  <c r="AT34" i="114"/>
  <c r="AT35" i="114"/>
  <c r="AT36" i="114"/>
  <c r="AS1" i="114"/>
  <c r="AS2" i="114"/>
  <c r="AS3" i="114"/>
  <c r="AS4" i="114"/>
  <c r="AS5" i="114"/>
  <c r="AS6" i="114"/>
  <c r="AS10" i="114"/>
  <c r="AS11" i="114"/>
  <c r="AS13" i="114"/>
  <c r="AS14" i="114"/>
  <c r="AS15" i="114"/>
  <c r="AS16" i="114"/>
  <c r="AS17" i="114"/>
  <c r="AS18" i="114"/>
  <c r="AS19" i="114"/>
  <c r="AS20" i="114"/>
  <c r="AS21" i="114"/>
  <c r="AS22" i="114"/>
  <c r="AS23" i="114"/>
  <c r="AS24" i="114"/>
  <c r="AR1" i="114"/>
  <c r="AR2" i="114"/>
  <c r="AR3" i="114"/>
  <c r="AR4" i="114"/>
  <c r="AR5" i="114"/>
  <c r="AR6" i="114"/>
  <c r="AR7" i="114"/>
  <c r="AR8" i="114"/>
  <c r="AR9" i="114"/>
  <c r="AR10" i="114"/>
  <c r="AR12" i="114"/>
  <c r="AR13" i="114"/>
  <c r="AR14" i="114"/>
  <c r="AR15" i="114"/>
  <c r="AR16" i="114"/>
  <c r="AR17" i="114"/>
  <c r="AR18" i="114"/>
  <c r="AR19" i="114"/>
  <c r="AR20" i="114"/>
  <c r="AR21" i="114"/>
  <c r="AQ1" i="114"/>
  <c r="AQ2" i="114"/>
  <c r="AQ3" i="114"/>
  <c r="AQ4" i="114"/>
  <c r="AQ5" i="114"/>
  <c r="AQ6" i="114"/>
  <c r="AQ7" i="114"/>
  <c r="AQ8" i="114"/>
  <c r="AQ9" i="114"/>
  <c r="AQ10" i="114"/>
  <c r="AQ12" i="114"/>
  <c r="AQ13" i="114"/>
  <c r="AQ14" i="114"/>
  <c r="AQ15" i="114"/>
  <c r="AQ16" i="114"/>
  <c r="AQ17" i="114"/>
  <c r="AQ18" i="114"/>
  <c r="AQ19" i="114"/>
  <c r="AQ20" i="114"/>
  <c r="AQ21" i="114"/>
  <c r="AP1" i="114"/>
  <c r="AP2" i="114"/>
  <c r="AP3" i="114"/>
  <c r="AP4" i="114"/>
  <c r="AP5" i="114"/>
  <c r="AP6" i="114"/>
  <c r="AP7" i="114"/>
  <c r="AP8" i="114"/>
  <c r="AP9" i="114"/>
  <c r="AP10" i="114"/>
  <c r="AP12" i="114"/>
  <c r="AP13" i="114"/>
  <c r="AP14" i="114"/>
  <c r="AP15" i="114"/>
  <c r="AP16" i="114"/>
  <c r="AP17" i="114"/>
  <c r="AP18" i="114"/>
  <c r="AP19" i="114"/>
  <c r="AP20" i="114"/>
  <c r="AP21" i="114"/>
  <c r="AO1" i="114"/>
  <c r="AO2" i="114"/>
  <c r="AO3" i="114"/>
  <c r="AO4" i="114"/>
  <c r="AO5" i="114"/>
  <c r="AO6" i="114"/>
  <c r="AO7" i="114"/>
  <c r="AO8" i="114"/>
  <c r="AO9" i="114"/>
  <c r="AO11" i="114"/>
  <c r="AO12" i="114"/>
  <c r="AO13" i="114"/>
  <c r="AO14" i="114"/>
  <c r="AO15" i="114"/>
  <c r="AO16" i="114"/>
  <c r="AO17" i="114"/>
  <c r="AO18" i="114"/>
  <c r="AN1" i="114"/>
  <c r="AN2" i="114"/>
  <c r="AN3" i="114"/>
  <c r="AN4" i="114"/>
  <c r="AN5" i="114"/>
  <c r="AN6" i="114"/>
  <c r="AN7" i="114"/>
  <c r="AN8" i="114"/>
  <c r="AN9" i="114"/>
  <c r="AN10" i="114"/>
  <c r="AN12" i="114"/>
  <c r="AN13" i="114"/>
  <c r="AN14" i="114"/>
  <c r="AN15" i="114"/>
  <c r="AN16" i="114"/>
  <c r="AN17" i="114"/>
  <c r="AN18" i="114"/>
  <c r="AN19" i="114"/>
  <c r="AN20" i="114"/>
  <c r="AN21" i="114"/>
  <c r="AM1" i="114"/>
  <c r="AM2" i="114"/>
  <c r="AM3" i="114"/>
  <c r="AM4" i="114"/>
  <c r="AM5" i="114"/>
  <c r="AM6" i="114"/>
  <c r="AM7" i="114"/>
  <c r="AM8" i="114"/>
  <c r="AM9" i="114"/>
  <c r="AM10" i="114"/>
  <c r="AM12" i="114"/>
  <c r="AM13" i="114"/>
  <c r="AM14" i="114"/>
  <c r="AM15" i="114"/>
  <c r="AM16" i="114"/>
  <c r="AM17" i="114"/>
  <c r="AM18" i="114"/>
  <c r="AM19" i="114"/>
  <c r="AM20" i="114"/>
  <c r="AM21" i="114"/>
  <c r="AL1" i="114"/>
  <c r="AL2" i="114"/>
  <c r="AL3" i="114"/>
  <c r="AL4" i="114"/>
  <c r="AL5" i="114"/>
  <c r="AL6" i="114"/>
  <c r="AL7" i="114"/>
  <c r="AL8" i="114"/>
  <c r="AL9" i="114"/>
  <c r="AL10" i="114"/>
  <c r="AL12" i="114"/>
  <c r="AL13" i="114"/>
  <c r="AL14" i="114"/>
  <c r="AL15" i="114"/>
  <c r="AL16" i="114"/>
  <c r="AL17" i="114"/>
  <c r="AL18" i="114"/>
  <c r="AL19" i="114"/>
  <c r="AL20" i="114"/>
  <c r="AL21" i="114"/>
  <c r="AK1" i="114"/>
  <c r="AK2" i="114"/>
  <c r="AK3" i="114"/>
  <c r="AK4" i="114"/>
  <c r="AK5" i="114"/>
  <c r="AK6" i="114"/>
  <c r="AK7" i="114"/>
  <c r="AK8" i="114"/>
  <c r="AK9" i="114"/>
  <c r="AK10" i="114"/>
  <c r="AK12" i="114"/>
  <c r="AK13" i="114"/>
  <c r="AK14" i="114"/>
  <c r="AK15" i="114"/>
  <c r="AK16" i="114"/>
  <c r="AK17" i="114"/>
  <c r="AK18" i="114"/>
  <c r="AK19" i="114"/>
  <c r="AK20" i="114"/>
  <c r="AK21" i="114"/>
  <c r="AJ1" i="114"/>
  <c r="AJ2" i="114"/>
  <c r="AJ3" i="114"/>
  <c r="AJ4" i="114"/>
  <c r="AJ5" i="114"/>
  <c r="AJ6" i="114"/>
  <c r="AJ7" i="114"/>
  <c r="AJ8" i="114"/>
  <c r="AJ9" i="114"/>
  <c r="AJ10" i="114"/>
  <c r="AJ12" i="114"/>
  <c r="AJ13" i="114"/>
  <c r="AJ14" i="114"/>
  <c r="AJ15" i="114"/>
  <c r="AJ16" i="114"/>
  <c r="AJ17" i="114"/>
  <c r="AJ18" i="114"/>
  <c r="AJ19" i="114"/>
  <c r="AJ20" i="114"/>
  <c r="AJ21" i="114"/>
  <c r="AI1" i="114"/>
  <c r="AI2" i="114"/>
  <c r="AI3" i="114"/>
  <c r="AI4" i="114"/>
  <c r="AI5" i="114"/>
  <c r="AI6" i="114"/>
  <c r="AI7" i="114"/>
  <c r="AI8" i="114"/>
  <c r="AI9" i="114"/>
  <c r="AI10" i="114"/>
  <c r="AI11" i="114"/>
  <c r="AI12" i="114"/>
  <c r="AI14" i="114"/>
  <c r="AI15" i="114"/>
  <c r="AI16" i="114"/>
  <c r="AI17" i="114"/>
  <c r="AI18" i="114"/>
  <c r="AI19" i="114"/>
  <c r="AI20" i="114"/>
  <c r="AI21" i="114"/>
  <c r="AI22" i="114"/>
  <c r="AI23" i="114"/>
  <c r="AI24" i="114"/>
  <c r="AI25" i="114"/>
  <c r="AI26" i="114"/>
  <c r="AI27" i="114"/>
  <c r="AH1" i="114"/>
  <c r="AH2" i="114"/>
  <c r="AH3" i="114"/>
  <c r="AH4" i="114"/>
  <c r="AH5" i="114"/>
  <c r="AH6" i="114"/>
  <c r="AH7" i="114"/>
  <c r="AH8" i="114"/>
  <c r="AH9" i="114"/>
  <c r="AH10" i="114"/>
  <c r="AH11" i="114"/>
  <c r="AH12" i="114"/>
  <c r="AH14" i="114"/>
  <c r="AH15" i="114"/>
  <c r="AH16" i="114"/>
  <c r="AH17" i="114"/>
  <c r="AH18" i="114"/>
  <c r="AH19" i="114"/>
  <c r="AH20" i="114"/>
  <c r="AH21" i="114"/>
  <c r="AH22" i="114"/>
  <c r="AH23" i="114"/>
  <c r="AH24" i="114"/>
  <c r="AH25" i="114"/>
  <c r="AH26" i="114"/>
  <c r="AH27" i="114"/>
  <c r="AG1" i="114"/>
  <c r="AG2" i="114"/>
  <c r="AG3" i="114"/>
  <c r="AG4" i="114"/>
  <c r="AG5" i="114"/>
  <c r="AG6" i="114"/>
  <c r="AG7" i="114"/>
  <c r="AG8" i="114"/>
  <c r="AG9" i="114"/>
  <c r="AG10" i="114"/>
  <c r="AG11" i="114"/>
  <c r="AG13" i="114"/>
  <c r="AG14" i="114"/>
  <c r="AG15" i="114"/>
  <c r="AG16" i="114"/>
  <c r="AG17" i="114"/>
  <c r="AG18" i="114"/>
  <c r="AG19" i="114"/>
  <c r="AG20" i="114"/>
  <c r="AG21" i="114"/>
  <c r="AG22" i="114"/>
  <c r="AG23" i="114"/>
  <c r="AG24" i="114"/>
  <c r="AF1" i="114"/>
  <c r="AF2" i="114"/>
  <c r="AF3" i="114"/>
  <c r="AF4" i="114"/>
  <c r="AF5" i="114"/>
  <c r="AF6" i="114"/>
  <c r="AF7" i="114"/>
  <c r="AF8" i="114"/>
  <c r="AF9" i="114"/>
  <c r="AF10" i="114"/>
  <c r="AF12" i="114"/>
  <c r="AF13" i="114"/>
  <c r="AF14" i="114"/>
  <c r="AF15" i="114"/>
  <c r="AF16" i="114"/>
  <c r="AF17" i="114"/>
  <c r="AF18" i="114"/>
  <c r="AF19" i="114"/>
  <c r="AF20" i="114"/>
  <c r="AF21" i="114"/>
  <c r="AE1" i="114"/>
  <c r="AE2" i="114"/>
  <c r="AE3" i="114"/>
  <c r="AE4" i="114"/>
  <c r="AE5" i="114"/>
  <c r="AE6" i="114"/>
  <c r="AE7" i="114"/>
  <c r="AE8" i="114"/>
  <c r="AE9" i="114"/>
  <c r="AE10" i="114"/>
  <c r="AE12" i="114"/>
  <c r="AE13" i="114"/>
  <c r="AE14" i="114"/>
  <c r="AE15" i="114"/>
  <c r="AE16" i="114"/>
  <c r="AE17" i="114"/>
  <c r="AE18" i="114"/>
  <c r="AE19" i="114"/>
  <c r="AE20" i="114"/>
  <c r="AE21" i="114"/>
  <c r="AD1" i="114"/>
  <c r="AD2" i="114"/>
  <c r="AD3" i="114"/>
  <c r="AD4" i="114"/>
  <c r="AD5" i="114"/>
  <c r="AD6" i="114"/>
  <c r="AD7" i="114"/>
  <c r="AD10" i="114"/>
  <c r="AD11" i="114"/>
  <c r="AD12" i="114"/>
  <c r="AD13" i="114"/>
  <c r="AD15" i="114"/>
  <c r="AD16" i="114"/>
  <c r="AD17" i="114"/>
  <c r="AD18" i="114"/>
  <c r="AD19" i="114"/>
  <c r="AD20" i="114"/>
  <c r="AD21" i="114"/>
  <c r="AD22" i="114"/>
  <c r="AD23" i="114"/>
  <c r="AD24" i="114"/>
  <c r="AD25" i="114"/>
  <c r="AD26" i="114"/>
  <c r="AD27" i="114"/>
  <c r="AD28" i="114"/>
  <c r="AD29" i="114"/>
  <c r="AD30" i="114"/>
  <c r="AC1" i="114"/>
  <c r="AC2" i="114"/>
  <c r="AC3" i="114"/>
  <c r="AC4" i="114"/>
  <c r="AC5" i="114"/>
  <c r="H10" i="18"/>
  <c r="AC6" i="114"/>
  <c r="H11" i="18"/>
  <c r="AC7" i="114"/>
  <c r="AC8" i="114"/>
  <c r="H6" i="18"/>
  <c r="AC9" i="114"/>
  <c r="AC10" i="114"/>
  <c r="AC11" i="114"/>
  <c r="AC12" i="114"/>
  <c r="AC13" i="114"/>
  <c r="AC14" i="114"/>
  <c r="AC15" i="114"/>
  <c r="AB1" i="114"/>
  <c r="AB2" i="114"/>
  <c r="AB3" i="114"/>
  <c r="AB4" i="114"/>
  <c r="AB5" i="114"/>
  <c r="AB6" i="114"/>
  <c r="AB7" i="114"/>
  <c r="AB10" i="114"/>
  <c r="AB11" i="114"/>
  <c r="AB13" i="114"/>
  <c r="AB14" i="114"/>
  <c r="AB15" i="114"/>
  <c r="AB16" i="114"/>
  <c r="AB17" i="114"/>
  <c r="AB18" i="114"/>
  <c r="AB19" i="114"/>
  <c r="AB20" i="114"/>
  <c r="AB21" i="114"/>
  <c r="AB22" i="114"/>
  <c r="AB23" i="114"/>
  <c r="AB24" i="114"/>
  <c r="AA1" i="114"/>
  <c r="AA2" i="114"/>
  <c r="AA3" i="114"/>
  <c r="AA4" i="114"/>
  <c r="AA5" i="114"/>
  <c r="AA6" i="114"/>
  <c r="AA7" i="114"/>
  <c r="AA10" i="114"/>
  <c r="AA11" i="114"/>
  <c r="AA13" i="114"/>
  <c r="AA14" i="114"/>
  <c r="AA15" i="114"/>
  <c r="AA16" i="114"/>
  <c r="AA17" i="114"/>
  <c r="AA18" i="114"/>
  <c r="AA19" i="114"/>
  <c r="AA20" i="114"/>
  <c r="AA21" i="114"/>
  <c r="AA22" i="114"/>
  <c r="AA23" i="114"/>
  <c r="AA24" i="114"/>
  <c r="Z1" i="114"/>
  <c r="Z2" i="114"/>
  <c r="Z3" i="114"/>
  <c r="Z4" i="114"/>
  <c r="Z5" i="114"/>
  <c r="Z6" i="114"/>
  <c r="Z9" i="114"/>
  <c r="Z10" i="114"/>
  <c r="Z12" i="114"/>
  <c r="Z13" i="114"/>
  <c r="Z14" i="114"/>
  <c r="Z15" i="114"/>
  <c r="Z16" i="114"/>
  <c r="Z17" i="114"/>
  <c r="Z18" i="114"/>
  <c r="Z19" i="114"/>
  <c r="Z20" i="114"/>
  <c r="Z21" i="114"/>
  <c r="Z22" i="114"/>
  <c r="Z23" i="114"/>
  <c r="Y1" i="114"/>
  <c r="Y2" i="114"/>
  <c r="Y3" i="114"/>
  <c r="Y4" i="114"/>
  <c r="Y5" i="114"/>
  <c r="Y8" i="114"/>
  <c r="Y9" i="114"/>
  <c r="Y10" i="114"/>
  <c r="Y11" i="114"/>
  <c r="Y12" i="114"/>
  <c r="Y13" i="114"/>
  <c r="Y14" i="114"/>
  <c r="Y15" i="114"/>
  <c r="Y16" i="114"/>
  <c r="Y17" i="114"/>
  <c r="X1" i="114"/>
  <c r="X2" i="114"/>
  <c r="X3" i="114"/>
  <c r="X4" i="114"/>
  <c r="X5" i="114"/>
  <c r="X6" i="114"/>
  <c r="X9" i="114"/>
  <c r="X10" i="114"/>
  <c r="X11" i="114"/>
  <c r="X13" i="114"/>
  <c r="X14" i="114"/>
  <c r="X15" i="114"/>
  <c r="X16" i="114"/>
  <c r="X17" i="114"/>
  <c r="X18" i="114"/>
  <c r="X19" i="114"/>
  <c r="X20" i="114"/>
  <c r="X21" i="114"/>
  <c r="X22" i="114"/>
  <c r="X23" i="114"/>
  <c r="X24" i="114"/>
  <c r="X25" i="114"/>
  <c r="X26" i="114"/>
  <c r="W1" i="114"/>
  <c r="W2" i="114"/>
  <c r="W3" i="114"/>
  <c r="W4" i="114"/>
  <c r="W5" i="114"/>
  <c r="W6" i="114"/>
  <c r="W7" i="114"/>
  <c r="W10" i="114"/>
  <c r="W11" i="114"/>
  <c r="W13" i="114"/>
  <c r="W14" i="114"/>
  <c r="W15" i="114"/>
  <c r="W16" i="114"/>
  <c r="W17" i="114"/>
  <c r="W18" i="114"/>
  <c r="W19" i="114"/>
  <c r="W20" i="114"/>
  <c r="W21" i="114"/>
  <c r="W22" i="114"/>
  <c r="W23" i="114"/>
  <c r="W24" i="114"/>
  <c r="V1" i="114"/>
  <c r="V2" i="114"/>
  <c r="V3" i="114"/>
  <c r="V4" i="114"/>
  <c r="H12" i="10"/>
  <c r="V5" i="114"/>
  <c r="V6" i="114"/>
  <c r="V7" i="114"/>
  <c r="V8" i="114"/>
  <c r="V9" i="114"/>
  <c r="U1" i="114"/>
  <c r="U2" i="114"/>
  <c r="U3" i="114"/>
  <c r="U4" i="114"/>
  <c r="U5" i="114"/>
  <c r="U6" i="114"/>
  <c r="U7" i="114"/>
  <c r="U9" i="114"/>
  <c r="U10" i="114"/>
  <c r="U11" i="114"/>
  <c r="U12" i="114"/>
  <c r="U14" i="114"/>
  <c r="U15" i="114"/>
  <c r="U16" i="114"/>
  <c r="U18" i="114"/>
  <c r="U19" i="114"/>
  <c r="U20" i="114"/>
  <c r="U21" i="114"/>
  <c r="U22" i="114"/>
  <c r="U23" i="114"/>
  <c r="U24" i="114"/>
  <c r="U25" i="114"/>
  <c r="U26" i="114"/>
  <c r="U27" i="114"/>
  <c r="U29" i="114"/>
  <c r="U30" i="114"/>
  <c r="U31" i="114"/>
  <c r="U32" i="114"/>
  <c r="U33" i="114"/>
  <c r="U34" i="114"/>
  <c r="U35" i="114"/>
  <c r="U36" i="114"/>
  <c r="U37" i="114"/>
  <c r="U38" i="114"/>
  <c r="U39" i="114"/>
  <c r="U40" i="114"/>
  <c r="U41" i="114"/>
  <c r="T1" i="114"/>
  <c r="T2" i="114"/>
  <c r="T3" i="114"/>
  <c r="T4" i="114"/>
  <c r="T5" i="114"/>
  <c r="T6" i="114"/>
  <c r="T7" i="114"/>
  <c r="T10" i="114"/>
  <c r="T11" i="114"/>
  <c r="T12" i="114"/>
  <c r="T13" i="114"/>
  <c r="T15" i="114"/>
  <c r="T16" i="114"/>
  <c r="T18" i="114"/>
  <c r="T19" i="114"/>
  <c r="T20" i="114"/>
  <c r="T21" i="114"/>
  <c r="T22" i="114"/>
  <c r="T23" i="114"/>
  <c r="T24" i="114"/>
  <c r="T25" i="114"/>
  <c r="T26" i="114"/>
  <c r="T27" i="114"/>
  <c r="T28" i="114"/>
  <c r="T29" i="114"/>
  <c r="T30" i="114"/>
  <c r="T31" i="114"/>
  <c r="T32" i="114"/>
  <c r="T34" i="114"/>
  <c r="T35" i="114"/>
  <c r="T36" i="114"/>
  <c r="T37" i="114"/>
  <c r="T38" i="114"/>
  <c r="T39" i="114"/>
  <c r="S1" i="114"/>
  <c r="S2" i="114"/>
  <c r="S3" i="114"/>
  <c r="S4" i="114"/>
  <c r="S5" i="114"/>
  <c r="S6" i="114"/>
  <c r="S7" i="114"/>
  <c r="S10" i="114"/>
  <c r="S11" i="114"/>
  <c r="S12" i="114"/>
  <c r="S13" i="114"/>
  <c r="S15" i="114"/>
  <c r="S16" i="114"/>
  <c r="S17" i="114"/>
  <c r="S18" i="114"/>
  <c r="S19" i="114"/>
  <c r="S20" i="114"/>
  <c r="S21" i="114"/>
  <c r="S22" i="114"/>
  <c r="S23" i="114"/>
  <c r="S24" i="114"/>
  <c r="S25" i="114"/>
  <c r="S26" i="114"/>
  <c r="S27" i="114"/>
  <c r="S28" i="114"/>
  <c r="S29" i="114"/>
  <c r="S30" i="114"/>
  <c r="R1" i="114"/>
  <c r="R2" i="114"/>
  <c r="R3" i="114"/>
  <c r="R4" i="114"/>
  <c r="R5" i="114"/>
  <c r="R6" i="114"/>
  <c r="R7" i="114"/>
  <c r="R9" i="114"/>
  <c r="R10" i="114"/>
  <c r="R12" i="114"/>
  <c r="R13" i="114"/>
  <c r="R14" i="114"/>
  <c r="R15" i="114"/>
  <c r="R16" i="114"/>
  <c r="R17" i="114"/>
  <c r="R18" i="114"/>
  <c r="R19" i="114"/>
  <c r="R20" i="114"/>
  <c r="R21" i="114"/>
  <c r="R22" i="114"/>
  <c r="R23" i="114"/>
  <c r="Q1" i="114"/>
  <c r="Q2" i="114"/>
  <c r="Q3" i="114"/>
  <c r="Q4" i="114"/>
  <c r="Q5" i="114"/>
  <c r="Q6" i="114"/>
  <c r="Q7" i="114"/>
  <c r="Q10" i="114"/>
  <c r="Q11" i="114"/>
  <c r="Q13" i="114"/>
  <c r="Q14" i="114"/>
  <c r="Q15" i="114"/>
  <c r="Q16" i="114"/>
  <c r="Q17" i="114"/>
  <c r="Q18" i="114"/>
  <c r="Q19" i="114"/>
  <c r="Q20" i="114"/>
  <c r="Q21" i="114"/>
  <c r="Q22" i="114"/>
  <c r="Q23" i="114"/>
  <c r="Q24" i="114"/>
  <c r="P1" i="114"/>
  <c r="P2" i="114"/>
  <c r="P3" i="114"/>
  <c r="P4" i="114"/>
  <c r="P5" i="114"/>
  <c r="P6" i="114"/>
  <c r="P7" i="114"/>
  <c r="P10" i="114"/>
  <c r="P11" i="114"/>
  <c r="P13" i="114"/>
  <c r="P14" i="114"/>
  <c r="P15" i="114"/>
  <c r="P16" i="114"/>
  <c r="P17" i="114"/>
  <c r="P18" i="114"/>
  <c r="P19" i="114"/>
  <c r="P20" i="114"/>
  <c r="P21" i="114"/>
  <c r="P22" i="114"/>
  <c r="P23" i="114"/>
  <c r="P24" i="114"/>
  <c r="O1" i="114"/>
  <c r="O2" i="114"/>
  <c r="O3" i="114"/>
  <c r="O4" i="114"/>
  <c r="O5" i="114"/>
  <c r="H11" i="36"/>
  <c r="O6" i="114"/>
  <c r="H12" i="36"/>
  <c r="O7" i="114"/>
  <c r="O8" i="114"/>
  <c r="H7" i="36"/>
  <c r="O9" i="114"/>
  <c r="O10" i="114"/>
  <c r="O11" i="114"/>
  <c r="O12" i="114"/>
  <c r="O13" i="114"/>
  <c r="O14" i="114"/>
  <c r="O15" i="114"/>
  <c r="N1" i="114"/>
  <c r="N2" i="114"/>
  <c r="N3" i="114"/>
  <c r="N4" i="114"/>
  <c r="N5" i="114"/>
  <c r="N6" i="114"/>
  <c r="N7" i="114"/>
  <c r="N10" i="114"/>
  <c r="N11" i="114"/>
  <c r="N13" i="114"/>
  <c r="N14" i="114"/>
  <c r="N15" i="114"/>
  <c r="N16" i="114"/>
  <c r="N17" i="114"/>
  <c r="N18" i="114"/>
  <c r="N19" i="114"/>
  <c r="N20" i="114"/>
  <c r="N21" i="114"/>
  <c r="N22" i="114"/>
  <c r="N23" i="114"/>
  <c r="N24" i="114"/>
  <c r="M1" i="114"/>
  <c r="M2" i="114"/>
  <c r="M3" i="114"/>
  <c r="M4" i="114"/>
  <c r="M5" i="114"/>
  <c r="H11" i="30"/>
  <c r="M6" i="114"/>
  <c r="H12" i="30"/>
  <c r="M7" i="114"/>
  <c r="M8" i="114"/>
  <c r="H7" i="30"/>
  <c r="M9" i="114"/>
  <c r="M10" i="114"/>
  <c r="M11" i="114"/>
  <c r="M12" i="114"/>
  <c r="M13" i="114"/>
  <c r="M14" i="114"/>
  <c r="M15" i="114"/>
  <c r="L1" i="114"/>
  <c r="L2" i="114"/>
  <c r="L3" i="114"/>
  <c r="L4" i="114"/>
  <c r="L5" i="114"/>
  <c r="L8" i="114"/>
  <c r="L9" i="114"/>
  <c r="L10" i="114"/>
  <c r="L11" i="114"/>
  <c r="L12" i="114"/>
  <c r="L13" i="114"/>
  <c r="L14" i="114"/>
  <c r="L15" i="114"/>
  <c r="L16" i="114"/>
  <c r="L17" i="114"/>
  <c r="K1" i="114"/>
  <c r="K2" i="114"/>
  <c r="K3" i="114"/>
  <c r="K4" i="114"/>
  <c r="K5" i="114"/>
  <c r="K8" i="114"/>
  <c r="K9" i="114"/>
  <c r="K10" i="114"/>
  <c r="K11" i="114"/>
  <c r="K12" i="114"/>
  <c r="K13" i="114"/>
  <c r="K14" i="114"/>
  <c r="K15" i="114"/>
  <c r="K16" i="114"/>
  <c r="K17" i="114"/>
  <c r="J1" i="114"/>
  <c r="J2" i="114"/>
  <c r="J3" i="114"/>
  <c r="J4" i="114"/>
  <c r="J5" i="114"/>
  <c r="J6" i="114"/>
  <c r="H10" i="27"/>
  <c r="J7" i="114"/>
  <c r="J9" i="114"/>
  <c r="J10" i="114"/>
  <c r="J12" i="114"/>
  <c r="J13" i="114"/>
  <c r="J14" i="114"/>
  <c r="J15" i="114"/>
  <c r="J16" i="114"/>
  <c r="J17" i="114"/>
  <c r="J18" i="114"/>
  <c r="J19" i="114"/>
  <c r="J20" i="114"/>
  <c r="J21" i="114"/>
  <c r="J22" i="114"/>
  <c r="J23" i="114"/>
  <c r="I1" i="114"/>
  <c r="I2" i="114"/>
  <c r="I3" i="114"/>
  <c r="I4" i="114"/>
  <c r="I5" i="114"/>
  <c r="I6" i="114"/>
  <c r="I9" i="114"/>
  <c r="I10" i="114"/>
  <c r="I12" i="114"/>
  <c r="I13" i="114"/>
  <c r="I14" i="114"/>
  <c r="I15" i="114"/>
  <c r="J10" i="26"/>
  <c r="I16" i="114"/>
  <c r="I17" i="114"/>
  <c r="I18" i="114"/>
  <c r="I19" i="114"/>
  <c r="I20" i="114"/>
  <c r="I21" i="114"/>
  <c r="I22" i="114"/>
  <c r="I23" i="114"/>
  <c r="H1" i="114"/>
  <c r="H2" i="114"/>
  <c r="H3" i="114"/>
  <c r="H4" i="114"/>
  <c r="H5" i="114"/>
  <c r="H6" i="114"/>
  <c r="H9" i="114"/>
  <c r="H10" i="114"/>
  <c r="H12" i="114"/>
  <c r="H13" i="114"/>
  <c r="H14" i="114"/>
  <c r="H15" i="114"/>
  <c r="H16" i="114"/>
  <c r="H17" i="114"/>
  <c r="H18" i="114"/>
  <c r="H19" i="114"/>
  <c r="H20" i="114"/>
  <c r="H21" i="114"/>
  <c r="H22" i="114"/>
  <c r="H23" i="114"/>
  <c r="G1" i="114"/>
  <c r="G2" i="114"/>
  <c r="G3" i="114"/>
  <c r="G4" i="114"/>
  <c r="G5" i="114"/>
  <c r="G6" i="114"/>
  <c r="G7" i="114"/>
  <c r="G8" i="114"/>
  <c r="G10" i="114"/>
  <c r="G11" i="114"/>
  <c r="G13" i="114"/>
  <c r="G14" i="114"/>
  <c r="G15" i="114"/>
  <c r="G16" i="114"/>
  <c r="G17" i="114"/>
  <c r="G18" i="114"/>
  <c r="G19" i="114"/>
  <c r="G20" i="114"/>
  <c r="G21" i="114"/>
  <c r="G22" i="114"/>
  <c r="G23" i="114"/>
  <c r="G24" i="114"/>
  <c r="F1" i="114"/>
  <c r="F2" i="114"/>
  <c r="F3" i="114"/>
  <c r="F4" i="114"/>
  <c r="F5" i="114"/>
  <c r="F6" i="114"/>
  <c r="F7" i="114"/>
  <c r="F10" i="114"/>
  <c r="F11" i="114"/>
  <c r="F13" i="114"/>
  <c r="F14" i="114"/>
  <c r="F15" i="114"/>
  <c r="F16" i="114"/>
  <c r="F17" i="114"/>
  <c r="F18" i="114"/>
  <c r="F19" i="114"/>
  <c r="F20" i="114"/>
  <c r="F21" i="114"/>
  <c r="F22" i="114"/>
  <c r="F23" i="114"/>
  <c r="F24" i="114"/>
  <c r="E1" i="114"/>
  <c r="E2" i="114"/>
  <c r="E3" i="114"/>
  <c r="E4" i="114"/>
  <c r="E5" i="114"/>
  <c r="E6" i="114"/>
  <c r="E7" i="114"/>
  <c r="E10" i="114"/>
  <c r="E11" i="114"/>
  <c r="E13" i="114"/>
  <c r="E14" i="114"/>
  <c r="E15" i="114"/>
  <c r="E16" i="114"/>
  <c r="E17" i="114"/>
  <c r="E18" i="114"/>
  <c r="E19" i="114"/>
  <c r="E20" i="114"/>
  <c r="E21" i="114"/>
  <c r="E22" i="114"/>
  <c r="E23" i="114"/>
  <c r="E24" i="114"/>
  <c r="D1" i="114"/>
  <c r="D2" i="114"/>
  <c r="D3" i="114"/>
  <c r="D4" i="114"/>
  <c r="D5" i="114"/>
  <c r="D6" i="114"/>
  <c r="D8" i="114"/>
  <c r="D9" i="114"/>
  <c r="D10" i="114"/>
  <c r="D12" i="114"/>
  <c r="D13" i="114"/>
  <c r="D14" i="114"/>
  <c r="D15" i="114"/>
  <c r="D16" i="114"/>
  <c r="D17" i="114"/>
  <c r="D18" i="114"/>
  <c r="D19" i="114"/>
  <c r="D20" i="114"/>
  <c r="D21" i="114"/>
  <c r="C1" i="114"/>
  <c r="C2" i="114"/>
  <c r="C3" i="114"/>
  <c r="C4" i="114"/>
  <c r="C5" i="114"/>
  <c r="C6" i="114"/>
  <c r="C7" i="114"/>
  <c r="C10" i="114"/>
  <c r="C11" i="114"/>
  <c r="C13" i="114"/>
  <c r="C14" i="114"/>
  <c r="C15" i="114"/>
  <c r="C16" i="114"/>
  <c r="C17" i="114"/>
  <c r="C18" i="114"/>
  <c r="C19" i="114"/>
  <c r="C20" i="114"/>
  <c r="C21" i="114"/>
  <c r="C22" i="114"/>
  <c r="C23" i="114"/>
  <c r="C24" i="114"/>
  <c r="B1" i="114"/>
  <c r="B2" i="114"/>
  <c r="B3" i="114"/>
  <c r="A1" i="114"/>
  <c r="H6" i="1"/>
  <c r="S4" i="9"/>
  <c r="I7" i="9"/>
  <c r="D20" i="77"/>
  <c r="C12" i="88"/>
  <c r="D12" i="88"/>
  <c r="E12" i="88"/>
  <c r="F12" i="88"/>
  <c r="C13" i="88"/>
  <c r="E13" i="88"/>
  <c r="F13" i="88"/>
  <c r="J2" i="87"/>
  <c r="J3" i="87"/>
  <c r="J6" i="87"/>
  <c r="J4" i="87"/>
  <c r="J5" i="87"/>
  <c r="P3" i="75"/>
  <c r="D34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AH34" i="75"/>
  <c r="AI34" i="75"/>
  <c r="AJ34" i="75"/>
  <c r="AK34" i="75"/>
  <c r="AL34" i="75"/>
  <c r="AM34" i="75"/>
  <c r="AN34" i="75"/>
  <c r="AO34" i="75"/>
  <c r="AP34" i="75"/>
  <c r="P4" i="75"/>
  <c r="AP35" i="75"/>
  <c r="F4" i="68"/>
  <c r="I39" i="3"/>
  <c r="C6" i="95"/>
  <c r="I6" i="71"/>
  <c r="G6" i="70"/>
  <c r="F6" i="69"/>
  <c r="H5" i="19"/>
  <c r="H5" i="38"/>
  <c r="H5" i="20"/>
  <c r="G6" i="65"/>
  <c r="H15" i="2"/>
  <c r="H6" i="4"/>
  <c r="BA11" i="114"/>
  <c r="I6" i="66"/>
  <c r="G17" i="92"/>
  <c r="G4" i="92"/>
  <c r="H7" i="57"/>
  <c r="H7" i="11"/>
  <c r="AU13" i="114"/>
  <c r="S3" i="7"/>
  <c r="I6" i="7"/>
  <c r="G4" i="90"/>
  <c r="H9" i="54"/>
  <c r="H9" i="53"/>
  <c r="H9" i="52"/>
  <c r="H9" i="51"/>
  <c r="H9" i="50"/>
  <c r="H8" i="49"/>
  <c r="H10" i="48"/>
  <c r="H10" i="47"/>
  <c r="H10" i="46"/>
  <c r="H9" i="98"/>
  <c r="H9" i="45"/>
  <c r="H9" i="44"/>
  <c r="H8" i="43"/>
  <c r="H8" i="42"/>
  <c r="H8" i="23"/>
  <c r="H6" i="111"/>
  <c r="AB12" i="114"/>
  <c r="J6" i="41"/>
  <c r="J6" i="14"/>
  <c r="Z11" i="114"/>
  <c r="H7" i="12"/>
  <c r="X12" i="114"/>
  <c r="H6" i="94"/>
  <c r="S4" i="8"/>
  <c r="I7" i="8"/>
  <c r="I6" i="6"/>
  <c r="H7" i="35"/>
  <c r="H7" i="34"/>
  <c r="H7" i="33"/>
  <c r="H7" i="31"/>
  <c r="H6" i="27"/>
  <c r="H6" i="26"/>
  <c r="H6" i="25"/>
  <c r="H11" i="114"/>
  <c r="H6" i="32"/>
  <c r="H6" i="24"/>
  <c r="H6" i="22"/>
  <c r="E10" i="113"/>
  <c r="D8" i="85"/>
  <c r="D13" i="85"/>
  <c r="D12" i="85"/>
  <c r="D14" i="85"/>
  <c r="D17" i="113"/>
  <c r="E17" i="113"/>
  <c r="F17" i="113"/>
  <c r="D17" i="22"/>
  <c r="E17" i="22"/>
  <c r="F17" i="22"/>
  <c r="D17" i="1"/>
  <c r="E17" i="1"/>
  <c r="F17" i="1"/>
  <c r="A10" i="113"/>
  <c r="D10" i="113"/>
  <c r="D7" i="114"/>
  <c r="A9" i="113"/>
  <c r="F13" i="112"/>
  <c r="E13" i="112"/>
  <c r="D13" i="112"/>
  <c r="A10" i="112"/>
  <c r="G9" i="112"/>
  <c r="AY9" i="114"/>
  <c r="A9" i="112"/>
  <c r="G8" i="112"/>
  <c r="G7" i="112"/>
  <c r="AY8" i="114"/>
  <c r="G6" i="112"/>
  <c r="AY7" i="114"/>
  <c r="A6" i="111"/>
  <c r="H11" i="111"/>
  <c r="AB9" i="114"/>
  <c r="H10" i="111"/>
  <c r="AB8" i="114"/>
  <c r="A10" i="111"/>
  <c r="H9" i="111"/>
  <c r="A9" i="111"/>
  <c r="H8" i="111"/>
  <c r="AQ34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J26" i="69"/>
  <c r="D19" i="98"/>
  <c r="A10" i="98"/>
  <c r="A9" i="98"/>
  <c r="F19" i="98"/>
  <c r="H11" i="98"/>
  <c r="E19" i="98"/>
  <c r="H12" i="98"/>
  <c r="H13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A6" i="95"/>
  <c r="F17" i="94"/>
  <c r="E17" i="94"/>
  <c r="D17" i="94"/>
  <c r="H11" i="94"/>
  <c r="W9" i="114"/>
  <c r="H10" i="94"/>
  <c r="W8" i="114"/>
  <c r="A10" i="94"/>
  <c r="H9" i="94"/>
  <c r="A9" i="94"/>
  <c r="H8" i="94"/>
  <c r="A6" i="94"/>
  <c r="F13" i="92"/>
  <c r="E13" i="92"/>
  <c r="D13" i="92"/>
  <c r="A10" i="92"/>
  <c r="G9" i="92"/>
  <c r="A9" i="92"/>
  <c r="G8" i="92"/>
  <c r="G7" i="92"/>
  <c r="AX9" i="114"/>
  <c r="G6" i="92"/>
  <c r="AX8" i="114"/>
  <c r="F13" i="90"/>
  <c r="E13" i="90"/>
  <c r="D13" i="90"/>
  <c r="A10" i="90"/>
  <c r="G9" i="90"/>
  <c r="AS9" i="114"/>
  <c r="A9" i="90"/>
  <c r="G8" i="90"/>
  <c r="G7" i="90"/>
  <c r="AS8" i="114"/>
  <c r="G6" i="90"/>
  <c r="AS7" i="114"/>
  <c r="A10" i="88"/>
  <c r="A9" i="88"/>
  <c r="H8" i="88"/>
  <c r="I4" i="88"/>
  <c r="I5" i="88"/>
  <c r="H4" i="88"/>
  <c r="H5" i="88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H17" i="77"/>
  <c r="G17" i="77"/>
  <c r="F17" i="77"/>
  <c r="E17" i="77"/>
  <c r="D17" i="77"/>
  <c r="I15" i="77"/>
  <c r="I14" i="77"/>
  <c r="A10" i="77"/>
  <c r="A9" i="77"/>
  <c r="A10" i="75"/>
  <c r="A9" i="75"/>
  <c r="A10" i="71"/>
  <c r="A9" i="71"/>
  <c r="I8" i="71"/>
  <c r="I9" i="71"/>
  <c r="I7" i="71"/>
  <c r="E12" i="70"/>
  <c r="D12" i="70"/>
  <c r="A10" i="70"/>
  <c r="A9" i="70"/>
  <c r="G8" i="70"/>
  <c r="BI6" i="114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6" i="68"/>
  <c r="BM6" i="114"/>
  <c r="H16" i="66"/>
  <c r="G16" i="66"/>
  <c r="F16" i="66"/>
  <c r="E16" i="66"/>
  <c r="D16" i="66"/>
  <c r="I12" i="66"/>
  <c r="AZ10" i="114"/>
  <c r="I11" i="66"/>
  <c r="I10" i="66"/>
  <c r="A10" i="66"/>
  <c r="I9" i="66"/>
  <c r="AZ8" i="114"/>
  <c r="A9" i="66"/>
  <c r="I8" i="66"/>
  <c r="AZ7" i="114"/>
  <c r="F15" i="65"/>
  <c r="E15" i="65"/>
  <c r="D15" i="65"/>
  <c r="G11" i="65"/>
  <c r="BC11" i="114"/>
  <c r="C11" i="65"/>
  <c r="G10" i="65"/>
  <c r="A10" i="65"/>
  <c r="G9" i="65"/>
  <c r="BC10" i="114"/>
  <c r="A9" i="65"/>
  <c r="G8" i="65"/>
  <c r="BC9" i="114"/>
  <c r="F24" i="2"/>
  <c r="E24" i="2"/>
  <c r="D24" i="2"/>
  <c r="H20" i="2"/>
  <c r="BB10" i="114"/>
  <c r="H19" i="2"/>
  <c r="BB9" i="114"/>
  <c r="H18" i="2"/>
  <c r="H17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BA7" i="114"/>
  <c r="H12" i="59"/>
  <c r="AW9" i="114"/>
  <c r="H11" i="59"/>
  <c r="AW8" i="114"/>
  <c r="H10" i="59"/>
  <c r="A10" i="59"/>
  <c r="H9" i="59"/>
  <c r="A9" i="59"/>
  <c r="F18" i="57"/>
  <c r="E18" i="57"/>
  <c r="D18" i="57"/>
  <c r="H12" i="57"/>
  <c r="AV9" i="114"/>
  <c r="H11" i="57"/>
  <c r="AV8" i="114"/>
  <c r="H10" i="57"/>
  <c r="A10" i="57"/>
  <c r="H9" i="57"/>
  <c r="A9" i="57"/>
  <c r="F19" i="54"/>
  <c r="E19" i="54"/>
  <c r="D19" i="54"/>
  <c r="H13" i="54"/>
  <c r="H12" i="54"/>
  <c r="H11" i="54"/>
  <c r="A10" i="54"/>
  <c r="A9" i="54"/>
  <c r="F19" i="53"/>
  <c r="E19" i="53"/>
  <c r="D19" i="53"/>
  <c r="H13" i="53"/>
  <c r="H12" i="53"/>
  <c r="H11" i="53"/>
  <c r="A10" i="53"/>
  <c r="A9" i="53"/>
  <c r="F19" i="52"/>
  <c r="E19" i="52"/>
  <c r="D19" i="52"/>
  <c r="H13" i="52"/>
  <c r="H12" i="52"/>
  <c r="H11" i="52"/>
  <c r="A10" i="52"/>
  <c r="A9" i="52"/>
  <c r="F19" i="51"/>
  <c r="E19" i="51"/>
  <c r="D19" i="51"/>
  <c r="H13" i="51"/>
  <c r="H12" i="51"/>
  <c r="H11" i="51"/>
  <c r="A10" i="51"/>
  <c r="A9" i="51"/>
  <c r="F19" i="50"/>
  <c r="E19" i="50"/>
  <c r="D19" i="50"/>
  <c r="H13" i="50"/>
  <c r="H12" i="50"/>
  <c r="H11" i="50"/>
  <c r="A10" i="50"/>
  <c r="A9" i="50"/>
  <c r="F7" i="50"/>
  <c r="E7" i="50"/>
  <c r="D7" i="50"/>
  <c r="F18" i="49"/>
  <c r="E18" i="49"/>
  <c r="D18" i="49"/>
  <c r="H12" i="49"/>
  <c r="H11" i="49"/>
  <c r="H10" i="49"/>
  <c r="A10" i="49"/>
  <c r="A9" i="49"/>
  <c r="D6" i="49"/>
  <c r="E6" i="49"/>
  <c r="F6" i="49"/>
  <c r="F20" i="48"/>
  <c r="E20" i="48"/>
  <c r="D20" i="48"/>
  <c r="H14" i="48"/>
  <c r="H13" i="48"/>
  <c r="H12" i="48"/>
  <c r="A10" i="48"/>
  <c r="A9" i="48"/>
  <c r="H6" i="48"/>
  <c r="F20" i="47"/>
  <c r="E20" i="47"/>
  <c r="D20" i="47"/>
  <c r="H14" i="47"/>
  <c r="H13" i="47"/>
  <c r="H12" i="47"/>
  <c r="A10" i="47"/>
  <c r="A9" i="47"/>
  <c r="F20" i="46"/>
  <c r="E20" i="46"/>
  <c r="D20" i="46"/>
  <c r="H14" i="46"/>
  <c r="H13" i="46"/>
  <c r="H12" i="46"/>
  <c r="A10" i="46"/>
  <c r="A9" i="46"/>
  <c r="F19" i="45"/>
  <c r="E19" i="45"/>
  <c r="D19" i="45"/>
  <c r="H13" i="45"/>
  <c r="H12" i="45"/>
  <c r="H11" i="45"/>
  <c r="A10" i="45"/>
  <c r="A9" i="45"/>
  <c r="F19" i="44"/>
  <c r="E19" i="44"/>
  <c r="D19" i="44"/>
  <c r="H13" i="44"/>
  <c r="H12" i="44"/>
  <c r="H11" i="44"/>
  <c r="A10" i="44"/>
  <c r="A9" i="44"/>
  <c r="F18" i="43"/>
  <c r="E18" i="43"/>
  <c r="D18" i="43"/>
  <c r="H12" i="43"/>
  <c r="H11" i="43"/>
  <c r="H10" i="43"/>
  <c r="A10" i="43"/>
  <c r="A9" i="43"/>
  <c r="E6" i="43"/>
  <c r="F18" i="42"/>
  <c r="E18" i="42"/>
  <c r="D18" i="42"/>
  <c r="H12" i="42"/>
  <c r="H11" i="42"/>
  <c r="H10" i="42"/>
  <c r="A10" i="42"/>
  <c r="A9" i="42"/>
  <c r="F19" i="23"/>
  <c r="E19" i="23"/>
  <c r="D19" i="23"/>
  <c r="H13" i="23"/>
  <c r="AD9" i="114"/>
  <c r="H12" i="23"/>
  <c r="AD8" i="114"/>
  <c r="H11" i="23"/>
  <c r="H10" i="23"/>
  <c r="A10" i="23"/>
  <c r="A9" i="23"/>
  <c r="H139" i="38"/>
  <c r="H138" i="38"/>
  <c r="H137" i="38"/>
  <c r="H136" i="38"/>
  <c r="H135" i="38"/>
  <c r="BF135" i="114"/>
  <c r="H134" i="38"/>
  <c r="H133" i="38"/>
  <c r="H132" i="38"/>
  <c r="H131" i="38"/>
  <c r="H130" i="38"/>
  <c r="H129" i="38"/>
  <c r="H128" i="38"/>
  <c r="BF128" i="114"/>
  <c r="H127" i="38"/>
  <c r="H126" i="38"/>
  <c r="H125" i="38"/>
  <c r="H124" i="38"/>
  <c r="H123" i="38"/>
  <c r="H122" i="38"/>
  <c r="BF122" i="114"/>
  <c r="H121" i="38"/>
  <c r="H120" i="38"/>
  <c r="H119" i="38"/>
  <c r="H118" i="38"/>
  <c r="H117" i="38"/>
  <c r="H116" i="38"/>
  <c r="H115" i="38"/>
  <c r="H114" i="38"/>
  <c r="BF114" i="114"/>
  <c r="H113" i="38"/>
  <c r="H112" i="38"/>
  <c r="H111" i="38"/>
  <c r="H110" i="38"/>
  <c r="H109" i="38"/>
  <c r="H108" i="38"/>
  <c r="BF108" i="114"/>
  <c r="H107" i="38"/>
  <c r="H106" i="38"/>
  <c r="H105" i="38"/>
  <c r="H104" i="38"/>
  <c r="H103" i="38"/>
  <c r="H102" i="38"/>
  <c r="H101" i="38"/>
  <c r="BF101" i="114"/>
  <c r="H100" i="38"/>
  <c r="H99" i="38"/>
  <c r="H98" i="38"/>
  <c r="H97" i="38"/>
  <c r="H96" i="38"/>
  <c r="H95" i="38"/>
  <c r="H94" i="38"/>
  <c r="BF94" i="114"/>
  <c r="H93" i="38"/>
  <c r="H92" i="38"/>
  <c r="H91" i="38"/>
  <c r="H90" i="38"/>
  <c r="H89" i="38"/>
  <c r="H88" i="38"/>
  <c r="BF88" i="114"/>
  <c r="H87" i="38"/>
  <c r="H86" i="38"/>
  <c r="H85" i="38"/>
  <c r="H84" i="38"/>
  <c r="BF84" i="114"/>
  <c r="H83" i="38"/>
  <c r="H82" i="38"/>
  <c r="H81" i="38"/>
  <c r="BF81" i="114"/>
  <c r="H80" i="38"/>
  <c r="H79" i="38"/>
  <c r="H78" i="38"/>
  <c r="H77" i="38"/>
  <c r="H76" i="38"/>
  <c r="H75" i="38"/>
  <c r="BF75" i="114"/>
  <c r="H74" i="38"/>
  <c r="H73" i="38"/>
  <c r="H72" i="38"/>
  <c r="H71" i="38"/>
  <c r="BF71" i="114"/>
  <c r="H70" i="38"/>
  <c r="H69" i="38"/>
  <c r="H68" i="38"/>
  <c r="H67" i="38"/>
  <c r="H66" i="38"/>
  <c r="H65" i="38"/>
  <c r="BF65" i="114"/>
  <c r="H64" i="38"/>
  <c r="H63" i="38"/>
  <c r="H62" i="38"/>
  <c r="H61" i="38"/>
  <c r="H60" i="38"/>
  <c r="H59" i="38"/>
  <c r="H58" i="38"/>
  <c r="BF58" i="114"/>
  <c r="H57" i="38"/>
  <c r="H56" i="38"/>
  <c r="H55" i="38"/>
  <c r="H54" i="38"/>
  <c r="H53" i="38"/>
  <c r="H52" i="38"/>
  <c r="BF52" i="114"/>
  <c r="H51" i="38"/>
  <c r="BF51" i="114"/>
  <c r="H50" i="38"/>
  <c r="H49" i="38"/>
  <c r="H48" i="38"/>
  <c r="H47" i="38"/>
  <c r="H46" i="38"/>
  <c r="H45" i="38"/>
  <c r="BF45" i="114"/>
  <c r="H44" i="38"/>
  <c r="H43" i="38"/>
  <c r="H42" i="38"/>
  <c r="H41" i="38"/>
  <c r="H40" i="38"/>
  <c r="H39" i="38"/>
  <c r="H38" i="38"/>
  <c r="BF38" i="114"/>
  <c r="H37" i="38"/>
  <c r="H36" i="38"/>
  <c r="H35" i="38"/>
  <c r="H34" i="38"/>
  <c r="H33" i="38"/>
  <c r="H32" i="38"/>
  <c r="BF32" i="114"/>
  <c r="H31" i="38"/>
  <c r="H30" i="38"/>
  <c r="H29" i="38"/>
  <c r="H28" i="38"/>
  <c r="H27" i="38"/>
  <c r="H26" i="38"/>
  <c r="H25" i="38"/>
  <c r="BF25" i="114"/>
  <c r="H24" i="38"/>
  <c r="H23" i="38"/>
  <c r="H22" i="38"/>
  <c r="H21" i="38"/>
  <c r="H20" i="38"/>
  <c r="H19" i="38"/>
  <c r="BF19" i="114"/>
  <c r="H18" i="38"/>
  <c r="H17" i="38"/>
  <c r="H16" i="38"/>
  <c r="H15" i="38"/>
  <c r="H14" i="38"/>
  <c r="H13" i="38"/>
  <c r="H12" i="38"/>
  <c r="BF12" i="114"/>
  <c r="H11" i="38"/>
  <c r="H10" i="38"/>
  <c r="A10" i="38"/>
  <c r="H9" i="38"/>
  <c r="A9" i="38"/>
  <c r="H8" i="38"/>
  <c r="H7" i="38"/>
  <c r="K3" i="38"/>
  <c r="J3" i="38"/>
  <c r="I3" i="38"/>
  <c r="F16" i="20"/>
  <c r="E16" i="20"/>
  <c r="D16" i="20"/>
  <c r="H10" i="20"/>
  <c r="BE8" i="114"/>
  <c r="A10" i="20"/>
  <c r="H9" i="20"/>
  <c r="BE7" i="114"/>
  <c r="A9" i="20"/>
  <c r="H8" i="20"/>
  <c r="H7" i="20"/>
  <c r="F16" i="19"/>
  <c r="E16" i="19"/>
  <c r="D16" i="19"/>
  <c r="H10" i="19"/>
  <c r="BG8" i="114"/>
  <c r="A10" i="19"/>
  <c r="H9" i="19"/>
  <c r="BG7" i="114"/>
  <c r="A9" i="19"/>
  <c r="H8" i="19"/>
  <c r="H7" i="19"/>
  <c r="H39" i="3"/>
  <c r="G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A10" i="18"/>
  <c r="H9" i="18"/>
  <c r="A9" i="18"/>
  <c r="H8" i="18"/>
  <c r="F17" i="41"/>
  <c r="E17" i="41"/>
  <c r="D17" i="41"/>
  <c r="J11" i="41"/>
  <c r="AA9" i="114"/>
  <c r="J10" i="41"/>
  <c r="AA8" i="114"/>
  <c r="A10" i="41"/>
  <c r="J9" i="41"/>
  <c r="A9" i="41"/>
  <c r="J8" i="41"/>
  <c r="J11" i="14"/>
  <c r="Z8" i="114"/>
  <c r="J10" i="14"/>
  <c r="Z7" i="114"/>
  <c r="A10" i="14"/>
  <c r="J9" i="14"/>
  <c r="A9" i="14"/>
  <c r="J8" i="14"/>
  <c r="H12" i="55"/>
  <c r="Y7" i="114"/>
  <c r="H11" i="55"/>
  <c r="Y6" i="114"/>
  <c r="H10" i="55"/>
  <c r="A10" i="55"/>
  <c r="H9" i="55"/>
  <c r="A9" i="55"/>
  <c r="H12" i="12"/>
  <c r="X8" i="114"/>
  <c r="H11" i="12"/>
  <c r="X7" i="114"/>
  <c r="H10" i="12"/>
  <c r="A10" i="12"/>
  <c r="H9" i="12"/>
  <c r="A9" i="12"/>
  <c r="H12" i="11"/>
  <c r="AU9" i="114"/>
  <c r="H11" i="11"/>
  <c r="AU8" i="114"/>
  <c r="H10" i="11"/>
  <c r="A10" i="11"/>
  <c r="H9" i="11"/>
  <c r="A9" i="11"/>
  <c r="H11" i="10"/>
  <c r="H10" i="10"/>
  <c r="A10" i="10"/>
  <c r="H9" i="10"/>
  <c r="A9" i="10"/>
  <c r="W18" i="9"/>
  <c r="V18" i="9"/>
  <c r="O18" i="9"/>
  <c r="G18" i="9"/>
  <c r="F18" i="9"/>
  <c r="E18" i="9"/>
  <c r="D18" i="9"/>
  <c r="W17" i="9"/>
  <c r="V17" i="9"/>
  <c r="O17" i="9"/>
  <c r="I12" i="9"/>
  <c r="U8" i="114"/>
  <c r="N11" i="9"/>
  <c r="U28" i="114"/>
  <c r="I10" i="9"/>
  <c r="U13" i="114"/>
  <c r="A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T9" i="114"/>
  <c r="I11" i="8"/>
  <c r="I10" i="8"/>
  <c r="T14" i="114"/>
  <c r="A10" i="8"/>
  <c r="I9" i="8"/>
  <c r="A9" i="8"/>
  <c r="R6" i="8"/>
  <c r="Q6" i="8"/>
  <c r="S5" i="8"/>
  <c r="K9" i="8"/>
  <c r="N37" i="7"/>
  <c r="N38" i="7"/>
  <c r="L30" i="7"/>
  <c r="L33" i="7"/>
  <c r="L34" i="7"/>
  <c r="L35" i="7"/>
  <c r="L38" i="7"/>
  <c r="K33" i="7"/>
  <c r="K34" i="7"/>
  <c r="K35" i="7"/>
  <c r="L36" i="7"/>
  <c r="W17" i="7"/>
  <c r="V17" i="7"/>
  <c r="O17" i="7"/>
  <c r="G17" i="7"/>
  <c r="F17" i="7"/>
  <c r="E17" i="7"/>
  <c r="D17" i="7"/>
  <c r="W16" i="7"/>
  <c r="V16" i="7"/>
  <c r="O16" i="7"/>
  <c r="I11" i="7"/>
  <c r="AT9" i="114"/>
  <c r="I10" i="7"/>
  <c r="AT8" i="114"/>
  <c r="A10" i="7"/>
  <c r="I9" i="7"/>
  <c r="A9" i="7"/>
  <c r="I8" i="7"/>
  <c r="R5" i="7"/>
  <c r="Q5" i="7"/>
  <c r="S4" i="7"/>
  <c r="K8" i="7"/>
  <c r="G17" i="6"/>
  <c r="F17" i="6"/>
  <c r="E17" i="6"/>
  <c r="D17" i="6"/>
  <c r="I11" i="6"/>
  <c r="S9" i="114"/>
  <c r="I10" i="6"/>
  <c r="S8" i="114"/>
  <c r="A10" i="6"/>
  <c r="I9" i="6"/>
  <c r="A9" i="6"/>
  <c r="I8" i="6"/>
  <c r="F18" i="35"/>
  <c r="E18" i="35"/>
  <c r="D18" i="35"/>
  <c r="H12" i="35"/>
  <c r="R8" i="114"/>
  <c r="A10" i="35"/>
  <c r="H9" i="35"/>
  <c r="A9" i="35"/>
  <c r="F18" i="34"/>
  <c r="E18" i="34"/>
  <c r="D18" i="34"/>
  <c r="H12" i="34"/>
  <c r="Q9" i="114"/>
  <c r="H11" i="34"/>
  <c r="Q8" i="114"/>
  <c r="G10" i="34"/>
  <c r="A10" i="34"/>
  <c r="H9" i="34"/>
  <c r="A9" i="34"/>
  <c r="F18" i="33"/>
  <c r="E18" i="33"/>
  <c r="D18" i="33"/>
  <c r="H12" i="33"/>
  <c r="P9" i="114"/>
  <c r="H11" i="33"/>
  <c r="P8" i="114"/>
  <c r="H10" i="33"/>
  <c r="A10" i="33"/>
  <c r="H9" i="33"/>
  <c r="A9" i="33"/>
  <c r="F18" i="36"/>
  <c r="E18" i="36"/>
  <c r="D18" i="36"/>
  <c r="H10" i="36"/>
  <c r="A10" i="36"/>
  <c r="H9" i="36"/>
  <c r="A9" i="36"/>
  <c r="D22" i="36"/>
  <c r="F18" i="31"/>
  <c r="E18" i="31"/>
  <c r="D18" i="31"/>
  <c r="H12" i="31"/>
  <c r="N9" i="114"/>
  <c r="H11" i="31"/>
  <c r="N8" i="114"/>
  <c r="H10" i="31"/>
  <c r="A10" i="31"/>
  <c r="H9" i="31"/>
  <c r="A9" i="31"/>
  <c r="F18" i="30"/>
  <c r="E18" i="30"/>
  <c r="D18" i="30"/>
  <c r="H10" i="30"/>
  <c r="A10" i="30"/>
  <c r="H9" i="30"/>
  <c r="A9" i="30"/>
  <c r="D22" i="30"/>
  <c r="D21" i="29"/>
  <c r="F17" i="29"/>
  <c r="E17" i="29"/>
  <c r="D17" i="29"/>
  <c r="H11" i="29"/>
  <c r="L7" i="114"/>
  <c r="H10" i="29"/>
  <c r="L6" i="114"/>
  <c r="A10" i="29"/>
  <c r="H9" i="29"/>
  <c r="A9" i="29"/>
  <c r="H8" i="29"/>
  <c r="F17" i="28"/>
  <c r="E17" i="28"/>
  <c r="D17" i="28"/>
  <c r="H11" i="28"/>
  <c r="K7" i="114"/>
  <c r="H10" i="28"/>
  <c r="K6" i="114"/>
  <c r="A10" i="28"/>
  <c r="H9" i="28"/>
  <c r="A9" i="28"/>
  <c r="H8" i="28"/>
  <c r="D21" i="28"/>
  <c r="F17" i="27"/>
  <c r="E17" i="27"/>
  <c r="D17" i="27"/>
  <c r="H11" i="27"/>
  <c r="J8" i="114"/>
  <c r="A10" i="27"/>
  <c r="H9" i="27"/>
  <c r="A9" i="27"/>
  <c r="H8" i="27"/>
  <c r="F17" i="26"/>
  <c r="E17" i="26"/>
  <c r="D17" i="26"/>
  <c r="H11" i="26"/>
  <c r="I8" i="114"/>
  <c r="H10" i="26"/>
  <c r="I7" i="114"/>
  <c r="A10" i="26"/>
  <c r="H9" i="26"/>
  <c r="A9" i="26"/>
  <c r="H8" i="26"/>
  <c r="F17" i="25"/>
  <c r="E17" i="25"/>
  <c r="D17" i="25"/>
  <c r="H11" i="25"/>
  <c r="H8" i="114"/>
  <c r="H10" i="25"/>
  <c r="H7" i="114"/>
  <c r="A10" i="25"/>
  <c r="H9" i="25"/>
  <c r="A9" i="25"/>
  <c r="H8" i="25"/>
  <c r="F17" i="32"/>
  <c r="E17" i="32"/>
  <c r="D17" i="32"/>
  <c r="H11" i="32"/>
  <c r="G9" i="114"/>
  <c r="A10" i="32"/>
  <c r="H9" i="32"/>
  <c r="A9" i="32"/>
  <c r="H8" i="32"/>
  <c r="A6" i="32"/>
  <c r="F17" i="24"/>
  <c r="E17" i="24"/>
  <c r="D17" i="24"/>
  <c r="H11" i="24"/>
  <c r="F9" i="114"/>
  <c r="H10" i="24"/>
  <c r="F8" i="114"/>
  <c r="A10" i="24"/>
  <c r="H9" i="24"/>
  <c r="A9" i="24"/>
  <c r="H8" i="24"/>
  <c r="A6" i="24"/>
  <c r="H11" i="22"/>
  <c r="E9" i="114"/>
  <c r="H10" i="22"/>
  <c r="E8" i="114"/>
  <c r="A10" i="22"/>
  <c r="H9" i="22"/>
  <c r="A9" i="22"/>
  <c r="H8" i="22"/>
  <c r="H11" i="1"/>
  <c r="C9" i="114"/>
  <c r="H10" i="1"/>
  <c r="C8" i="114"/>
  <c r="A10" i="1"/>
  <c r="H9" i="1"/>
  <c r="A9" i="1"/>
  <c r="H8" i="1"/>
  <c r="J45" i="75"/>
  <c r="C45" i="75"/>
  <c r="AQ53" i="75"/>
  <c r="AA44" i="75"/>
  <c r="AQ48" i="75"/>
  <c r="AC56" i="75"/>
  <c r="AG60" i="75"/>
  <c r="I49" i="75"/>
  <c r="N56" i="75"/>
  <c r="R60" i="75"/>
  <c r="Y63" i="75"/>
  <c r="AK45" i="75"/>
  <c r="Z50" i="75"/>
  <c r="AJ56" i="75"/>
  <c r="AN60" i="75"/>
  <c r="D64" i="75"/>
  <c r="P66" i="75"/>
  <c r="V68" i="75"/>
  <c r="T70" i="75"/>
  <c r="AD72" i="75"/>
  <c r="U54" i="75"/>
  <c r="Y58" i="75"/>
  <c r="X61" i="75"/>
  <c r="AF63" i="75"/>
  <c r="X65" i="75"/>
  <c r="J67" i="75"/>
  <c r="AE68" i="75"/>
  <c r="M70" i="75"/>
  <c r="AL71" i="75"/>
  <c r="AJ44" i="75"/>
  <c r="Q53" i="75"/>
  <c r="AP59" i="75"/>
  <c r="AC64" i="75"/>
  <c r="AF67" i="75"/>
  <c r="AM70" i="75"/>
  <c r="W73" i="75"/>
  <c r="AF74" i="75"/>
  <c r="Y75" i="75"/>
  <c r="AI56" i="75"/>
  <c r="AI62" i="75"/>
  <c r="D67" i="75"/>
  <c r="AD69" i="75"/>
  <c r="AK72" i="75"/>
  <c r="AG73" i="75"/>
  <c r="AL74" i="75"/>
  <c r="AM75" i="75"/>
  <c r="C52" i="75"/>
  <c r="H56" i="75"/>
  <c r="L60" i="75"/>
  <c r="AM63" i="75"/>
  <c r="AH66" i="75"/>
  <c r="L68" i="75"/>
  <c r="F70" i="75"/>
  <c r="AI71" i="75"/>
  <c r="F73" i="75"/>
  <c r="AL73" i="75"/>
  <c r="AA74" i="75"/>
  <c r="P75" i="75"/>
  <c r="N42" i="75"/>
  <c r="X53" i="75"/>
  <c r="AA55" i="75"/>
  <c r="E57" i="75"/>
  <c r="Z58" i="75"/>
  <c r="D60" i="75"/>
  <c r="Y61" i="75"/>
  <c r="AH62" i="75"/>
  <c r="L64" i="75"/>
  <c r="Q65" i="75"/>
  <c r="F66" i="75"/>
  <c r="AL66" i="75"/>
  <c r="AA67" i="75"/>
  <c r="P68" i="75"/>
  <c r="E69" i="75"/>
  <c r="AK69" i="75"/>
  <c r="AH70" i="75"/>
  <c r="W71" i="75"/>
  <c r="L72" i="75"/>
  <c r="AP72" i="75"/>
  <c r="P73" i="75"/>
  <c r="AF73" i="75"/>
  <c r="I74" i="75"/>
  <c r="Y74" i="75"/>
  <c r="AO74" i="75"/>
  <c r="R75" i="75"/>
  <c r="AH75" i="75"/>
  <c r="AD51" i="75"/>
  <c r="S56" i="75"/>
  <c r="AH59" i="75"/>
  <c r="C63" i="75"/>
  <c r="AI64" i="75"/>
  <c r="G66" i="75"/>
  <c r="AB67" i="75"/>
  <c r="AL69" i="75"/>
  <c r="H71" i="75"/>
  <c r="AC72" i="75"/>
  <c r="AK73" i="75"/>
  <c r="AH74" i="75"/>
  <c r="W75" i="75"/>
  <c r="H53" i="75"/>
  <c r="G59" i="75"/>
  <c r="F62" i="75"/>
  <c r="G64" i="75"/>
  <c r="AK65" i="75"/>
  <c r="O67" i="75"/>
  <c r="AJ68" i="75"/>
  <c r="N70" i="75"/>
  <c r="AA71" i="75"/>
  <c r="J73" i="75"/>
  <c r="AP73" i="75"/>
  <c r="AE74" i="75"/>
  <c r="X75" i="75"/>
  <c r="K36" i="7"/>
  <c r="K38" i="7"/>
  <c r="D21" i="25"/>
  <c r="F11" i="68"/>
  <c r="A6" i="68"/>
  <c r="BM9" i="114"/>
  <c r="K37" i="3"/>
  <c r="A6" i="3"/>
  <c r="BL13" i="114"/>
  <c r="D21" i="95"/>
  <c r="BK10" i="114"/>
  <c r="I16" i="71"/>
  <c r="A6" i="71"/>
  <c r="BJ9" i="114"/>
  <c r="G12" i="70"/>
  <c r="BI10" i="114"/>
  <c r="F22" i="69"/>
  <c r="A6" i="69"/>
  <c r="BH11" i="114"/>
  <c r="D20" i="19"/>
  <c r="A6" i="19"/>
  <c r="BG11" i="114"/>
  <c r="BF21" i="114"/>
  <c r="BF41" i="114"/>
  <c r="BF73" i="114"/>
  <c r="BF93" i="114"/>
  <c r="BF113" i="114"/>
  <c r="BF121" i="114"/>
  <c r="BF141" i="114"/>
  <c r="BF193" i="114"/>
  <c r="BF213" i="114"/>
  <c r="BF241" i="114"/>
  <c r="BF273" i="114"/>
  <c r="BF293" i="114"/>
  <c r="BF313" i="114"/>
  <c r="BF333" i="114"/>
  <c r="BF341" i="114"/>
  <c r="BF393" i="114"/>
  <c r="BF413" i="114"/>
  <c r="BF433" i="114"/>
  <c r="BF473" i="114"/>
  <c r="BF493" i="114"/>
  <c r="BF513" i="114"/>
  <c r="BF533" i="114"/>
  <c r="BF553" i="114"/>
  <c r="BF593" i="114"/>
  <c r="BF7" i="114"/>
  <c r="BF27" i="114"/>
  <c r="BF47" i="114"/>
  <c r="BF67" i="114"/>
  <c r="BF14" i="114"/>
  <c r="BF34" i="114"/>
  <c r="BF54" i="114"/>
  <c r="BF74" i="114"/>
  <c r="BF134" i="114"/>
  <c r="BF154" i="114"/>
  <c r="BF174" i="114"/>
  <c r="BF206" i="114"/>
  <c r="BF226" i="114"/>
  <c r="BF234" i="114"/>
  <c r="BF254" i="114"/>
  <c r="BF274" i="114"/>
  <c r="BF326" i="114"/>
  <c r="BF354" i="114"/>
  <c r="BF374" i="114"/>
  <c r="BF406" i="114"/>
  <c r="BF426" i="114"/>
  <c r="BF446" i="114"/>
  <c r="BF454" i="114"/>
  <c r="BF474" i="114"/>
  <c r="BF526" i="114"/>
  <c r="BF546" i="114"/>
  <c r="BF574" i="114"/>
  <c r="BF60" i="114"/>
  <c r="BF140" i="114"/>
  <c r="BF167" i="114"/>
  <c r="BF187" i="114"/>
  <c r="BF247" i="114"/>
  <c r="BF347" i="114"/>
  <c r="BF8" i="114"/>
  <c r="BF220" i="114"/>
  <c r="BF287" i="114"/>
  <c r="BF307" i="114"/>
  <c r="BF339" i="114"/>
  <c r="BF400" i="114"/>
  <c r="BF407" i="114"/>
  <c r="BF487" i="114"/>
  <c r="BF567" i="114"/>
  <c r="BF587" i="114"/>
  <c r="BF87" i="114"/>
  <c r="BF127" i="114"/>
  <c r="BF160" i="114"/>
  <c r="BF180" i="114"/>
  <c r="BF200" i="114"/>
  <c r="BF207" i="114"/>
  <c r="BF367" i="114"/>
  <c r="BF387" i="114"/>
  <c r="BF440" i="114"/>
  <c r="BF100" i="114"/>
  <c r="BF107" i="114"/>
  <c r="BF147" i="114"/>
  <c r="BF280" i="114"/>
  <c r="BF300" i="114"/>
  <c r="BF320" i="114"/>
  <c r="BF420" i="114"/>
  <c r="BF480" i="114"/>
  <c r="BF500" i="114"/>
  <c r="BF520" i="114"/>
  <c r="BF559" i="114"/>
  <c r="BF580" i="114"/>
  <c r="BF600" i="114"/>
  <c r="BF260" i="114"/>
  <c r="BF360" i="114"/>
  <c r="BF380" i="114"/>
  <c r="BF460" i="114"/>
  <c r="BF507" i="114"/>
  <c r="BF539" i="114"/>
  <c r="BF80" i="114"/>
  <c r="BF267" i="114"/>
  <c r="BF340" i="114"/>
  <c r="BF467" i="114"/>
  <c r="BF540" i="114"/>
  <c r="BF29" i="114"/>
  <c r="BF49" i="114"/>
  <c r="BF69" i="114"/>
  <c r="BF89" i="114"/>
  <c r="BF109" i="114"/>
  <c r="BF149" i="114"/>
  <c r="BF169" i="114"/>
  <c r="BF189" i="114"/>
  <c r="BF209" i="114"/>
  <c r="BF229" i="114"/>
  <c r="BF249" i="114"/>
  <c r="BF269" i="114"/>
  <c r="BF289" i="114"/>
  <c r="BF309" i="114"/>
  <c r="BF329" i="114"/>
  <c r="BF349" i="114"/>
  <c r="BF369" i="114"/>
  <c r="BF389" i="114"/>
  <c r="BF409" i="114"/>
  <c r="BF429" i="114"/>
  <c r="BF469" i="114"/>
  <c r="BF489" i="114"/>
  <c r="BF509" i="114"/>
  <c r="BF529" i="114"/>
  <c r="BF561" i="114"/>
  <c r="BF569" i="114"/>
  <c r="BF589" i="114"/>
  <c r="BF23" i="114"/>
  <c r="BF10" i="114"/>
  <c r="BF30" i="114"/>
  <c r="BF82" i="114"/>
  <c r="BF102" i="114"/>
  <c r="BF130" i="114"/>
  <c r="BF162" i="114"/>
  <c r="BF182" i="114"/>
  <c r="BF202" i="114"/>
  <c r="BF222" i="114"/>
  <c r="BF230" i="114"/>
  <c r="BF282" i="114"/>
  <c r="BF302" i="114"/>
  <c r="BF322" i="114"/>
  <c r="BF362" i="114"/>
  <c r="BF382" i="114"/>
  <c r="BF402" i="114"/>
  <c r="BF422" i="114"/>
  <c r="BF442" i="114"/>
  <c r="BF482" i="114"/>
  <c r="BF502" i="114"/>
  <c r="BF522" i="114"/>
  <c r="BF542" i="114"/>
  <c r="BF562" i="114"/>
  <c r="BF582" i="114"/>
  <c r="BF602" i="114"/>
  <c r="BF43" i="114"/>
  <c r="BF63" i="114"/>
  <c r="BF95" i="114"/>
  <c r="BF123" i="114"/>
  <c r="BF136" i="114"/>
  <c r="BF263" i="114"/>
  <c r="BF295" i="114"/>
  <c r="BF315" i="114"/>
  <c r="BF363" i="114"/>
  <c r="BF415" i="114"/>
  <c r="BF448" i="114"/>
  <c r="BF463" i="114"/>
  <c r="BF495" i="114"/>
  <c r="BF515" i="114"/>
  <c r="BF548" i="114"/>
  <c r="BF56" i="114"/>
  <c r="BF115" i="114"/>
  <c r="BF143" i="114"/>
  <c r="BF256" i="114"/>
  <c r="BF356" i="114"/>
  <c r="BF376" i="114"/>
  <c r="BF428" i="114"/>
  <c r="BF456" i="114"/>
  <c r="BF76" i="114"/>
  <c r="BF236" i="114"/>
  <c r="BF335" i="114"/>
  <c r="BF535" i="114"/>
  <c r="BF36" i="114"/>
  <c r="BF96" i="114"/>
  <c r="BF163" i="114"/>
  <c r="BF215" i="114"/>
  <c r="BF243" i="114"/>
  <c r="BF276" i="114"/>
  <c r="BF296" i="114"/>
  <c r="BF343" i="114"/>
  <c r="BF476" i="114"/>
  <c r="BF496" i="114"/>
  <c r="BF576" i="114"/>
  <c r="BF596" i="114"/>
  <c r="BF396" i="114"/>
  <c r="BF555" i="114"/>
  <c r="BF16" i="114"/>
  <c r="BF156" i="114"/>
  <c r="BF176" i="114"/>
  <c r="BF196" i="114"/>
  <c r="BF435" i="114"/>
  <c r="BF563" i="114"/>
  <c r="BF13" i="114"/>
  <c r="BF33" i="114"/>
  <c r="BF53" i="114"/>
  <c r="BF105" i="114"/>
  <c r="BF129" i="114"/>
  <c r="BF133" i="114"/>
  <c r="BF153" i="114"/>
  <c r="BF205" i="114"/>
  <c r="BF225" i="114"/>
  <c r="BF233" i="114"/>
  <c r="BF253" i="114"/>
  <c r="BF305" i="114"/>
  <c r="BF325" i="114"/>
  <c r="BF353" i="114"/>
  <c r="BF405" i="114"/>
  <c r="BF425" i="114"/>
  <c r="BF445" i="114"/>
  <c r="BF453" i="114"/>
  <c r="BF505" i="114"/>
  <c r="BF525" i="114"/>
  <c r="BF545" i="114"/>
  <c r="BF605" i="114"/>
  <c r="BF39" i="114"/>
  <c r="BF26" i="114"/>
  <c r="BF46" i="114"/>
  <c r="BF62" i="114"/>
  <c r="BF66" i="114"/>
  <c r="BF86" i="114"/>
  <c r="BF126" i="114"/>
  <c r="BF146" i="114"/>
  <c r="BF166" i="114"/>
  <c r="BF186" i="114"/>
  <c r="BF246" i="114"/>
  <c r="BF262" i="114"/>
  <c r="BF266" i="114"/>
  <c r="BF286" i="114"/>
  <c r="BF338" i="114"/>
  <c r="BF346" i="114"/>
  <c r="BF366" i="114"/>
  <c r="BF386" i="114"/>
  <c r="BF438" i="114"/>
  <c r="BF462" i="114"/>
  <c r="BF466" i="114"/>
  <c r="BF486" i="114"/>
  <c r="BF538" i="114"/>
  <c r="BF558" i="114"/>
  <c r="BF566" i="114"/>
  <c r="BF586" i="114"/>
  <c r="BF59" i="114"/>
  <c r="BF99" i="114"/>
  <c r="BF172" i="114"/>
  <c r="BF192" i="114"/>
  <c r="BF279" i="114"/>
  <c r="BF299" i="114"/>
  <c r="BF319" i="114"/>
  <c r="BF419" i="114"/>
  <c r="BF479" i="114"/>
  <c r="BF499" i="114"/>
  <c r="BF519" i="114"/>
  <c r="BF552" i="114"/>
  <c r="BF579" i="114"/>
  <c r="BF595" i="114"/>
  <c r="BF599" i="114"/>
  <c r="BF79" i="114"/>
  <c r="BF179" i="114"/>
  <c r="BF199" i="114"/>
  <c r="BF512" i="114"/>
  <c r="BF528" i="114"/>
  <c r="BF92" i="114"/>
  <c r="BF139" i="114"/>
  <c r="BF272" i="114"/>
  <c r="BF472" i="114"/>
  <c r="BF72" i="114"/>
  <c r="BF112" i="114"/>
  <c r="BF219" i="114"/>
  <c r="BF259" i="114"/>
  <c r="BF332" i="114"/>
  <c r="BF359" i="114"/>
  <c r="BF379" i="114"/>
  <c r="BF395" i="114"/>
  <c r="BF399" i="114"/>
  <c r="BF432" i="114"/>
  <c r="BF459" i="114"/>
  <c r="BF532" i="114"/>
  <c r="BF20" i="114"/>
  <c r="BF159" i="114"/>
  <c r="BF195" i="114"/>
  <c r="BF239" i="114"/>
  <c r="BF292" i="114"/>
  <c r="BF312" i="114"/>
  <c r="BF328" i="114"/>
  <c r="BF412" i="114"/>
  <c r="BF492" i="114"/>
  <c r="BF572" i="114"/>
  <c r="BF592" i="114"/>
  <c r="BF120" i="114"/>
  <c r="BF212" i="114"/>
  <c r="BF228" i="114"/>
  <c r="BF372" i="114"/>
  <c r="BF392" i="114"/>
  <c r="L3" i="38"/>
  <c r="A6" i="38"/>
  <c r="BF608" i="114"/>
  <c r="D20" i="20"/>
  <c r="A6" i="20"/>
  <c r="BE11" i="114"/>
  <c r="D24" i="77"/>
  <c r="A6" i="77"/>
  <c r="BD14" i="114"/>
  <c r="G15" i="65"/>
  <c r="A6" i="65"/>
  <c r="BC15" i="114"/>
  <c r="H24" i="2"/>
  <c r="A6" i="2"/>
  <c r="BB13" i="114"/>
  <c r="I16" i="66"/>
  <c r="A6" i="66"/>
  <c r="AZ13" i="114"/>
  <c r="G13" i="112"/>
  <c r="A6" i="112"/>
  <c r="AY12" i="114"/>
  <c r="G13" i="92"/>
  <c r="A6" i="92"/>
  <c r="AX13" i="114"/>
  <c r="D22" i="57"/>
  <c r="AV12" i="114"/>
  <c r="D21" i="7"/>
  <c r="A6" i="7"/>
  <c r="AT16" i="114"/>
  <c r="G13" i="90"/>
  <c r="A6" i="90"/>
  <c r="AS12" i="114"/>
  <c r="D23" i="54"/>
  <c r="A6" i="54"/>
  <c r="AR11" i="114"/>
  <c r="D23" i="53"/>
  <c r="A6" i="53"/>
  <c r="AQ11" i="114"/>
  <c r="D23" i="52"/>
  <c r="A6" i="52"/>
  <c r="AP11" i="114"/>
  <c r="D23" i="51"/>
  <c r="A6" i="51"/>
  <c r="AO10" i="114"/>
  <c r="D23" i="50"/>
  <c r="A6" i="50"/>
  <c r="AN11" i="114"/>
  <c r="D22" i="49"/>
  <c r="A6" i="49"/>
  <c r="AM11" i="114"/>
  <c r="D24" i="48"/>
  <c r="A6" i="48"/>
  <c r="AL11" i="114"/>
  <c r="D24" i="47"/>
  <c r="A6" i="47"/>
  <c r="AK11" i="114"/>
  <c r="D24" i="46"/>
  <c r="A6" i="46"/>
  <c r="AJ11" i="114"/>
  <c r="D23" i="98"/>
  <c r="A6" i="98"/>
  <c r="AI13" i="114"/>
  <c r="D23" i="45"/>
  <c r="A6" i="45"/>
  <c r="AH13" i="114"/>
  <c r="D23" i="44"/>
  <c r="A6" i="44"/>
  <c r="AG12" i="114"/>
  <c r="D22" i="43"/>
  <c r="A6" i="43"/>
  <c r="AF11" i="114"/>
  <c r="D22" i="42"/>
  <c r="A6" i="42"/>
  <c r="AE11" i="114"/>
  <c r="D23" i="23"/>
  <c r="A6" i="23"/>
  <c r="AD14" i="114"/>
  <c r="D21" i="41"/>
  <c r="A6" i="41"/>
  <c r="AA12" i="114"/>
  <c r="D21" i="94"/>
  <c r="W12" i="114"/>
  <c r="D22" i="9"/>
  <c r="U17" i="114"/>
  <c r="I14" i="8"/>
  <c r="T8" i="114"/>
  <c r="T33" i="114"/>
  <c r="D22" i="8"/>
  <c r="A6" i="8"/>
  <c r="T17" i="114"/>
  <c r="D21" i="6"/>
  <c r="A6" i="6"/>
  <c r="S14" i="114"/>
  <c r="D22" i="35"/>
  <c r="R11" i="114"/>
  <c r="D22" i="34"/>
  <c r="A6" i="34"/>
  <c r="Q12" i="114"/>
  <c r="D22" i="33"/>
  <c r="A6" i="33"/>
  <c r="P12" i="114"/>
  <c r="D22" i="31"/>
  <c r="A6" i="31"/>
  <c r="N12" i="114"/>
  <c r="D21" i="27"/>
  <c r="J11" i="114"/>
  <c r="D21" i="32"/>
  <c r="G12" i="114"/>
  <c r="D21" i="24"/>
  <c r="F12" i="114"/>
  <c r="D21" i="22"/>
  <c r="A6" i="22"/>
  <c r="E12" i="114"/>
  <c r="D21" i="113"/>
  <c r="A6" i="113"/>
  <c r="D11" i="114"/>
  <c r="D21" i="1"/>
  <c r="A6" i="1"/>
  <c r="C12" i="114"/>
  <c r="D21" i="26"/>
  <c r="I11" i="114"/>
  <c r="L75" i="75"/>
  <c r="W74" i="75"/>
  <c r="AH73" i="75"/>
  <c r="AF72" i="75"/>
  <c r="K71" i="75"/>
  <c r="AO69" i="75"/>
  <c r="T68" i="75"/>
  <c r="AP66" i="75"/>
  <c r="U65" i="75"/>
  <c r="AB63" i="75"/>
  <c r="Q61" i="75"/>
  <c r="R58" i="75"/>
  <c r="AQ75" i="75"/>
  <c r="O75" i="75"/>
  <c r="Z74" i="75"/>
  <c r="AC73" i="75"/>
  <c r="M72" i="75"/>
  <c r="AI70" i="75"/>
  <c r="N69" i="75"/>
  <c r="L67" i="75"/>
  <c r="AH65" i="75"/>
  <c r="M64" i="75"/>
  <c r="Y62" i="75"/>
  <c r="AC58" i="75"/>
  <c r="C56" i="75"/>
  <c r="AQ47" i="75"/>
  <c r="AD75" i="75"/>
  <c r="N75" i="75"/>
  <c r="AK74" i="75"/>
  <c r="U74" i="75"/>
  <c r="E74" i="75"/>
  <c r="AB73" i="75"/>
  <c r="L73" i="75"/>
  <c r="AJ72" i="75"/>
  <c r="D72" i="75"/>
  <c r="O71" i="75"/>
  <c r="Z70" i="75"/>
  <c r="AC69" i="75"/>
  <c r="AN68" i="75"/>
  <c r="H68" i="75"/>
  <c r="S67" i="75"/>
  <c r="AD66" i="75"/>
  <c r="AO65" i="75"/>
  <c r="I65" i="75"/>
  <c r="AH63" i="75"/>
  <c r="W62" i="75"/>
  <c r="I61" i="75"/>
  <c r="AE59" i="75"/>
  <c r="J58" i="75"/>
  <c r="AF56" i="75"/>
  <c r="K55" i="75"/>
  <c r="AI52" i="75"/>
  <c r="AJ75" i="75"/>
  <c r="H75" i="75"/>
  <c r="S74" i="75"/>
  <c r="AD73" i="75"/>
  <c r="AN72" i="75"/>
  <c r="S71" i="75"/>
  <c r="AG69" i="75"/>
  <c r="AM67" i="75"/>
  <c r="AC65" i="75"/>
  <c r="R63" i="75"/>
  <c r="W59" i="75"/>
  <c r="S55" i="75"/>
  <c r="Y50" i="75"/>
  <c r="AE75" i="75"/>
  <c r="V74" i="75"/>
  <c r="Y73" i="75"/>
  <c r="U72" i="75"/>
  <c r="V69" i="75"/>
  <c r="AE66" i="75"/>
  <c r="N62" i="75"/>
  <c r="AD55" i="75"/>
  <c r="U75" i="75"/>
  <c r="AB74" i="75"/>
  <c r="G73" i="75"/>
  <c r="G70" i="75"/>
  <c r="AQ66" i="75"/>
  <c r="AD63" i="75"/>
  <c r="U58" i="75"/>
  <c r="I45" i="75"/>
  <c r="AQ72" i="75"/>
  <c r="V71" i="75"/>
  <c r="AJ69" i="75"/>
  <c r="O68" i="75"/>
  <c r="AG66" i="75"/>
  <c r="H65" i="75"/>
  <c r="K63" i="75"/>
  <c r="AI60" i="75"/>
  <c r="AB57" i="75"/>
  <c r="AA52" i="75"/>
  <c r="F72" i="75"/>
  <c r="AQ69" i="75"/>
  <c r="AO67" i="75"/>
  <c r="AI65" i="75"/>
  <c r="T63" i="75"/>
  <c r="AQ59" i="75"/>
  <c r="AE55" i="75"/>
  <c r="C47" i="75"/>
  <c r="AP42" i="75"/>
  <c r="AF62" i="75"/>
  <c r="Q59" i="75"/>
  <c r="I55" i="75"/>
  <c r="F46" i="75"/>
  <c r="AF59" i="75"/>
  <c r="X55" i="75"/>
  <c r="X44" i="75"/>
  <c r="J43" i="75"/>
  <c r="AD52" i="75"/>
  <c r="W40" i="75"/>
  <c r="M37" i="75"/>
  <c r="AN75" i="75"/>
  <c r="D75" i="75"/>
  <c r="O74" i="75"/>
  <c r="Z73" i="75"/>
  <c r="P72" i="75"/>
  <c r="AL70" i="75"/>
  <c r="Y69" i="75"/>
  <c r="D68" i="75"/>
  <c r="Z66" i="75"/>
  <c r="E65" i="75"/>
  <c r="G63" i="75"/>
  <c r="AB60" i="75"/>
  <c r="AC57" i="75"/>
  <c r="AI75" i="75"/>
  <c r="G75" i="75"/>
  <c r="R74" i="75"/>
  <c r="U73" i="75"/>
  <c r="AN71" i="75"/>
  <c r="S70" i="75"/>
  <c r="AO68" i="75"/>
  <c r="AM66" i="75"/>
  <c r="R65" i="75"/>
  <c r="C64" i="75"/>
  <c r="L61" i="75"/>
  <c r="M58" i="75"/>
  <c r="N55" i="75"/>
  <c r="AP75" i="75"/>
  <c r="Z75" i="75"/>
  <c r="J75" i="75"/>
  <c r="AG74" i="75"/>
  <c r="Q74" i="75"/>
  <c r="AN73" i="75"/>
  <c r="X73" i="75"/>
  <c r="H73" i="75"/>
  <c r="AB72" i="75"/>
  <c r="AM71" i="75"/>
  <c r="G71" i="75"/>
  <c r="R70" i="75"/>
  <c r="U69" i="75"/>
  <c r="AF68" i="75"/>
  <c r="AQ67" i="75"/>
  <c r="K67" i="75"/>
  <c r="V66" i="75"/>
  <c r="AG65" i="75"/>
  <c r="AG64" i="75"/>
  <c r="W63" i="75"/>
  <c r="M62" i="75"/>
  <c r="AJ60" i="75"/>
  <c r="O59" i="75"/>
  <c r="AK57" i="75"/>
  <c r="P56" i="75"/>
  <c r="AO54" i="75"/>
  <c r="N51" i="75"/>
  <c r="AB75" i="75"/>
  <c r="AQ74" i="75"/>
  <c r="K74" i="75"/>
  <c r="V73" i="75"/>
  <c r="X72" i="75"/>
  <c r="C71" i="75"/>
  <c r="Q69" i="75"/>
  <c r="W67" i="75"/>
  <c r="M65" i="75"/>
  <c r="AM62" i="75"/>
  <c r="M57" i="75"/>
  <c r="C55" i="75"/>
  <c r="AF48" i="75"/>
  <c r="K75" i="75"/>
  <c r="N74" i="75"/>
  <c r="Q73" i="75"/>
  <c r="P71" i="75"/>
  <c r="Q68" i="75"/>
  <c r="Z65" i="75"/>
  <c r="G60" i="75"/>
  <c r="AO75" i="75"/>
  <c r="I75" i="75"/>
  <c r="L74" i="75"/>
  <c r="Y72" i="75"/>
  <c r="R69" i="75"/>
  <c r="K66" i="75"/>
  <c r="AD62" i="75"/>
  <c r="AQ56" i="75"/>
  <c r="W51" i="75"/>
  <c r="AA72" i="75"/>
  <c r="F71" i="75"/>
  <c r="T69" i="75"/>
  <c r="AP67" i="75"/>
  <c r="Q66" i="75"/>
  <c r="AF64" i="75"/>
  <c r="AG62" i="75"/>
  <c r="C60" i="75"/>
  <c r="AM56" i="75"/>
  <c r="Q50" i="75"/>
  <c r="Y71" i="75"/>
  <c r="W69" i="75"/>
  <c r="Q67" i="75"/>
  <c r="O65" i="75"/>
  <c r="AK62" i="75"/>
  <c r="AL58" i="75"/>
  <c r="AD54" i="75"/>
  <c r="AJ49" i="75"/>
  <c r="X36" i="75"/>
  <c r="AQ61" i="75"/>
  <c r="L58" i="75"/>
  <c r="E53" i="75"/>
  <c r="E42" i="75"/>
  <c r="AE58" i="75"/>
  <c r="I54" i="75"/>
  <c r="R47" i="75"/>
  <c r="E41" i="75"/>
  <c r="T50" i="75"/>
  <c r="Y52" i="75"/>
  <c r="L35" i="75"/>
  <c r="AB35" i="75"/>
  <c r="E36" i="75"/>
  <c r="U36" i="75"/>
  <c r="AK36" i="75"/>
  <c r="N37" i="75"/>
  <c r="AD37" i="75"/>
  <c r="C38" i="75"/>
  <c r="S38" i="75"/>
  <c r="AI38" i="75"/>
  <c r="H39" i="75"/>
  <c r="X39" i="75"/>
  <c r="AN39" i="75"/>
  <c r="Q40" i="75"/>
  <c r="AG40" i="75"/>
  <c r="J41" i="75"/>
  <c r="Z41" i="75"/>
  <c r="AP41" i="75"/>
  <c r="I35" i="75"/>
  <c r="Y35" i="75"/>
  <c r="AO35" i="75"/>
  <c r="R36" i="75"/>
  <c r="AH36" i="75"/>
  <c r="G37" i="75"/>
  <c r="W37" i="75"/>
  <c r="AM37" i="75"/>
  <c r="L38" i="75"/>
  <c r="AB38" i="75"/>
  <c r="E39" i="75"/>
  <c r="U39" i="75"/>
  <c r="AK39" i="75"/>
  <c r="N40" i="75"/>
  <c r="AD40" i="75"/>
  <c r="C41" i="75"/>
  <c r="S41" i="75"/>
  <c r="AI41" i="75"/>
  <c r="F35" i="75"/>
  <c r="V35" i="75"/>
  <c r="AL35" i="75"/>
  <c r="K36" i="75"/>
  <c r="AA36" i="75"/>
  <c r="AQ36" i="75"/>
  <c r="P37" i="75"/>
  <c r="AF37" i="75"/>
  <c r="I38" i="75"/>
  <c r="Y38" i="75"/>
  <c r="AO38" i="75"/>
  <c r="R39" i="75"/>
  <c r="AH39" i="75"/>
  <c r="G40" i="75"/>
  <c r="AQ35" i="75"/>
  <c r="AC37" i="75"/>
  <c r="W39" i="75"/>
  <c r="AB40" i="75"/>
  <c r="Y41" i="75"/>
  <c r="K42" i="75"/>
  <c r="AA42" i="75"/>
  <c r="AQ42" i="75"/>
  <c r="P43" i="75"/>
  <c r="AF43" i="75"/>
  <c r="I44" i="75"/>
  <c r="S13" i="75"/>
  <c r="BN10" i="114"/>
  <c r="D35" i="75"/>
  <c r="T35" i="75"/>
  <c r="AJ35" i="75"/>
  <c r="M36" i="75"/>
  <c r="AC36" i="75"/>
  <c r="F37" i="75"/>
  <c r="V37" i="75"/>
  <c r="AL37" i="75"/>
  <c r="K38" i="75"/>
  <c r="AA38" i="75"/>
  <c r="AQ38" i="75"/>
  <c r="P39" i="75"/>
  <c r="P35" i="75"/>
  <c r="I36" i="75"/>
  <c r="AO36" i="75"/>
  <c r="AH37" i="75"/>
  <c r="W38" i="75"/>
  <c r="L39" i="75"/>
  <c r="AJ39" i="75"/>
  <c r="U40" i="75"/>
  <c r="AO40" i="75"/>
  <c r="V41" i="75"/>
  <c r="C42" i="75"/>
  <c r="Q35" i="75"/>
  <c r="AK35" i="75"/>
  <c r="V36" i="75"/>
  <c r="AP36" i="75"/>
  <c r="S37" i="75"/>
  <c r="AQ37" i="75"/>
  <c r="T38" i="75"/>
  <c r="AN38" i="75"/>
  <c r="Y39" i="75"/>
  <c r="F40" i="75"/>
  <c r="Z40" i="75"/>
  <c r="G41" i="75"/>
  <c r="AA41" i="75"/>
  <c r="D42" i="75"/>
  <c r="Z35" i="75"/>
  <c r="C36" i="75"/>
  <c r="W36" i="75"/>
  <c r="D37" i="75"/>
  <c r="X37" i="75"/>
  <c r="E38" i="75"/>
  <c r="AC38" i="75"/>
  <c r="J39" i="75"/>
  <c r="AD39" i="75"/>
  <c r="K40" i="75"/>
  <c r="AB36" i="75"/>
  <c r="G39" i="75"/>
  <c r="AJ40" i="75"/>
  <c r="AO41" i="75"/>
  <c r="W42" i="75"/>
  <c r="D43" i="75"/>
  <c r="X43" i="75"/>
  <c r="E44" i="75"/>
  <c r="Y44" i="75"/>
  <c r="AO44" i="75"/>
  <c r="R45" i="75"/>
  <c r="AH45" i="75"/>
  <c r="G46" i="75"/>
  <c r="W46" i="75"/>
  <c r="AM46" i="75"/>
  <c r="L47" i="75"/>
  <c r="AB47" i="75"/>
  <c r="E48" i="75"/>
  <c r="U48" i="75"/>
  <c r="AK48" i="75"/>
  <c r="N49" i="75"/>
  <c r="AD49" i="75"/>
  <c r="C50" i="75"/>
  <c r="S50" i="75"/>
  <c r="AI50" i="75"/>
  <c r="H51" i="75"/>
  <c r="X51" i="75"/>
  <c r="AN51" i="75"/>
  <c r="Q52" i="75"/>
  <c r="AG52" i="75"/>
  <c r="J53" i="75"/>
  <c r="Z53" i="75"/>
  <c r="AP53" i="75"/>
  <c r="O54" i="75"/>
  <c r="AE54" i="75"/>
  <c r="P36" i="75"/>
  <c r="F38" i="75"/>
  <c r="AA39" i="75"/>
  <c r="AE40" i="75"/>
  <c r="T41" i="75"/>
  <c r="L42" i="75"/>
  <c r="AB42" i="75"/>
  <c r="E43" i="75"/>
  <c r="U43" i="75"/>
  <c r="AK43" i="75"/>
  <c r="N44" i="75"/>
  <c r="H35" i="75"/>
  <c r="Q36" i="75"/>
  <c r="R37" i="75"/>
  <c r="O38" i="75"/>
  <c r="T39" i="75"/>
  <c r="I40" i="75"/>
  <c r="AK40" i="75"/>
  <c r="AD41" i="75"/>
  <c r="E35" i="75"/>
  <c r="AG35" i="75"/>
  <c r="Z36" i="75"/>
  <c r="K37" i="75"/>
  <c r="AI37" i="75"/>
  <c r="X38" i="75"/>
  <c r="M39" i="75"/>
  <c r="AO39" i="75"/>
  <c r="X35" i="75"/>
  <c r="Y36" i="75"/>
  <c r="Z37" i="75"/>
  <c r="AE38" i="75"/>
  <c r="AB39" i="75"/>
  <c r="M40" i="75"/>
  <c r="F41" i="75"/>
  <c r="AH41" i="75"/>
  <c r="M35" i="75"/>
  <c r="F36" i="75"/>
  <c r="AD36" i="75"/>
  <c r="O37" i="75"/>
  <c r="D38" i="75"/>
  <c r="AF38" i="75"/>
  <c r="Q39" i="75"/>
  <c r="J40" i="75"/>
  <c r="AL40" i="75"/>
  <c r="W41" i="75"/>
  <c r="J35" i="75"/>
  <c r="AH35" i="75"/>
  <c r="S36" i="75"/>
  <c r="H37" i="75"/>
  <c r="AJ37" i="75"/>
  <c r="U38" i="75"/>
  <c r="N39" i="75"/>
  <c r="AP39" i="75"/>
  <c r="L36" i="75"/>
  <c r="AM39" i="75"/>
  <c r="Q41" i="75"/>
  <c r="S42" i="75"/>
  <c r="H43" i="75"/>
  <c r="AJ43" i="75"/>
  <c r="U44" i="75"/>
  <c r="F45" i="75"/>
  <c r="Z45" i="75"/>
  <c r="C46" i="75"/>
  <c r="AA46" i="75"/>
  <c r="D47" i="75"/>
  <c r="X47" i="75"/>
  <c r="I48" i="75"/>
  <c r="AC48" i="75"/>
  <c r="J49" i="75"/>
  <c r="AH49" i="75"/>
  <c r="K50" i="75"/>
  <c r="AE50" i="75"/>
  <c r="L51" i="75"/>
  <c r="AF51" i="75"/>
  <c r="M52" i="75"/>
  <c r="AK52" i="75"/>
  <c r="R53" i="75"/>
  <c r="AL53" i="75"/>
  <c r="S54" i="75"/>
  <c r="O35" i="75"/>
  <c r="AG37" i="75"/>
  <c r="AQ39" i="75"/>
  <c r="D41" i="75"/>
  <c r="H42" i="75"/>
  <c r="AF42" i="75"/>
  <c r="M43" i="75"/>
  <c r="AG43" i="75"/>
  <c r="R44" i="75"/>
  <c r="AH44" i="75"/>
  <c r="G45" i="75"/>
  <c r="W45" i="75"/>
  <c r="AM45" i="75"/>
  <c r="L46" i="75"/>
  <c r="AB46" i="75"/>
  <c r="E47" i="75"/>
  <c r="U47" i="75"/>
  <c r="AK47" i="75"/>
  <c r="N48" i="75"/>
  <c r="AD48" i="75"/>
  <c r="C49" i="75"/>
  <c r="S49" i="75"/>
  <c r="AI49" i="75"/>
  <c r="H50" i="75"/>
  <c r="X50" i="75"/>
  <c r="AN50" i="75"/>
  <c r="Q51" i="75"/>
  <c r="AG51" i="75"/>
  <c r="J52" i="75"/>
  <c r="Z52" i="75"/>
  <c r="AP52" i="75"/>
  <c r="O53" i="75"/>
  <c r="AE53" i="75"/>
  <c r="D54" i="75"/>
  <c r="T54" i="75"/>
  <c r="AJ54" i="75"/>
  <c r="T36" i="75"/>
  <c r="AK37" i="75"/>
  <c r="O39" i="75"/>
  <c r="X40" i="75"/>
  <c r="M41" i="75"/>
  <c r="I42" i="75"/>
  <c r="Y42" i="75"/>
  <c r="AO42" i="75"/>
  <c r="R43" i="75"/>
  <c r="AH43" i="75"/>
  <c r="G44" i="75"/>
  <c r="W44" i="75"/>
  <c r="AM44" i="75"/>
  <c r="L45" i="75"/>
  <c r="AB45" i="75"/>
  <c r="E46" i="75"/>
  <c r="U46" i="75"/>
  <c r="AK46" i="75"/>
  <c r="N47" i="75"/>
  <c r="AD47" i="75"/>
  <c r="P41" i="75"/>
  <c r="S43" i="75"/>
  <c r="AN44" i="75"/>
  <c r="AH46" i="75"/>
  <c r="C48" i="75"/>
  <c r="AI48" i="75"/>
  <c r="X49" i="75"/>
  <c r="M50" i="75"/>
  <c r="J51" i="75"/>
  <c r="AP51" i="75"/>
  <c r="AE52" i="75"/>
  <c r="T53" i="75"/>
  <c r="Q54" i="75"/>
  <c r="AQ54" i="75"/>
  <c r="P55" i="75"/>
  <c r="AF55" i="75"/>
  <c r="I56" i="75"/>
  <c r="Y56" i="75"/>
  <c r="AO56" i="75"/>
  <c r="R57" i="75"/>
  <c r="AH57" i="75"/>
  <c r="G58" i="75"/>
  <c r="W58" i="75"/>
  <c r="AM58" i="75"/>
  <c r="L59" i="75"/>
  <c r="AB59" i="75"/>
  <c r="E60" i="75"/>
  <c r="U60" i="75"/>
  <c r="AK60" i="75"/>
  <c r="N61" i="75"/>
  <c r="AD61" i="75"/>
  <c r="C62" i="75"/>
  <c r="I37" i="75"/>
  <c r="X41" i="75"/>
  <c r="G43" i="75"/>
  <c r="AB44" i="75"/>
  <c r="V46" i="75"/>
  <c r="AM47" i="75"/>
  <c r="AB48" i="75"/>
  <c r="Y49" i="75"/>
  <c r="N50" i="75"/>
  <c r="C51" i="75"/>
  <c r="AI51" i="75"/>
  <c r="X52" i="75"/>
  <c r="M53" i="75"/>
  <c r="J54" i="75"/>
  <c r="AN54" i="75"/>
  <c r="Q55" i="75"/>
  <c r="AG55" i="75"/>
  <c r="J56" i="75"/>
  <c r="Z56" i="75"/>
  <c r="AP56" i="75"/>
  <c r="O57" i="75"/>
  <c r="AE57" i="75"/>
  <c r="D58" i="75"/>
  <c r="T58" i="75"/>
  <c r="AJ58" i="75"/>
  <c r="M59" i="75"/>
  <c r="AC59" i="75"/>
  <c r="F60" i="75"/>
  <c r="V60" i="75"/>
  <c r="AN35" i="75"/>
  <c r="G38" i="75"/>
  <c r="E40" i="75"/>
  <c r="R41" i="75"/>
  <c r="AC35" i="75"/>
  <c r="C37" i="75"/>
  <c r="P38" i="75"/>
  <c r="AG39" i="75"/>
  <c r="AP40" i="75"/>
  <c r="AM41" i="75"/>
  <c r="AD35" i="75"/>
  <c r="AE36" i="75"/>
  <c r="T37" i="75"/>
  <c r="Q38" i="75"/>
  <c r="V39" i="75"/>
  <c r="K35" i="75"/>
  <c r="AH38" i="75"/>
  <c r="AG41" i="75"/>
  <c r="AI42" i="75"/>
  <c r="AB43" i="75"/>
  <c r="AC44" i="75"/>
  <c r="N45" i="75"/>
  <c r="AP45" i="75"/>
  <c r="AE46" i="75"/>
  <c r="P47" i="75"/>
  <c r="AN47" i="75"/>
  <c r="AG48" i="75"/>
  <c r="V49" i="75"/>
  <c r="G50" i="75"/>
  <c r="AM50" i="75"/>
  <c r="T51" i="75"/>
  <c r="I52" i="75"/>
  <c r="AO52" i="75"/>
  <c r="AD53" i="75"/>
  <c r="K54" i="75"/>
  <c r="AE35" i="75"/>
  <c r="AL38" i="75"/>
  <c r="AM40" i="75"/>
  <c r="P42" i="75"/>
  <c r="AN42" i="75"/>
  <c r="AC43" i="75"/>
  <c r="V44" i="75"/>
  <c r="AP44" i="75"/>
  <c r="S45" i="75"/>
  <c r="AQ45" i="75"/>
  <c r="T46" i="75"/>
  <c r="AN46" i="75"/>
  <c r="Y47" i="75"/>
  <c r="F48" i="75"/>
  <c r="Z48" i="75"/>
  <c r="G49" i="75"/>
  <c r="AA49" i="75"/>
  <c r="D50" i="75"/>
  <c r="AB50" i="75"/>
  <c r="I51" i="75"/>
  <c r="AC51" i="75"/>
  <c r="N52" i="75"/>
  <c r="AH52" i="75"/>
  <c r="K53" i="75"/>
  <c r="AI53" i="75"/>
  <c r="L54" i="75"/>
  <c r="AF54" i="75"/>
  <c r="AJ36" i="75"/>
  <c r="Z38" i="75"/>
  <c r="P40" i="75"/>
  <c r="U41" i="75"/>
  <c r="Q42" i="75"/>
  <c r="AK42" i="75"/>
  <c r="V43" i="75"/>
  <c r="AP43" i="75"/>
  <c r="S44" i="75"/>
  <c r="AQ44" i="75"/>
  <c r="T45" i="75"/>
  <c r="AN45" i="75"/>
  <c r="Y46" i="75"/>
  <c r="F47" i="75"/>
  <c r="Z47" i="75"/>
  <c r="R42" i="75"/>
  <c r="H44" i="75"/>
  <c r="R46" i="75"/>
  <c r="K48" i="75"/>
  <c r="H49" i="75"/>
  <c r="E50" i="75"/>
  <c r="R51" i="75"/>
  <c r="O52" i="75"/>
  <c r="AF35" i="75"/>
  <c r="AM38" i="75"/>
  <c r="AC40" i="75"/>
  <c r="U35" i="75"/>
  <c r="AA37" i="75"/>
  <c r="I39" i="75"/>
  <c r="AH40" i="75"/>
  <c r="AQ41" i="75"/>
  <c r="G36" i="75"/>
  <c r="L37" i="75"/>
  <c r="AG38" i="75"/>
  <c r="AL39" i="75"/>
  <c r="R38" i="75"/>
  <c r="F42" i="75"/>
  <c r="L43" i="75"/>
  <c r="Q44" i="75"/>
  <c r="V45" i="75"/>
  <c r="O46" i="75"/>
  <c r="H47" i="75"/>
  <c r="M48" i="75"/>
  <c r="F49" i="75"/>
  <c r="AP49" i="75"/>
  <c r="AQ50" i="75"/>
  <c r="AJ51" i="75"/>
  <c r="AC52" i="75"/>
  <c r="AH53" i="75"/>
  <c r="AA54" i="75"/>
  <c r="V38" i="75"/>
  <c r="L41" i="75"/>
  <c r="X42" i="75"/>
  <c r="Y43" i="75"/>
  <c r="Z44" i="75"/>
  <c r="K45" i="75"/>
  <c r="AI45" i="75"/>
  <c r="X46" i="75"/>
  <c r="M47" i="75"/>
  <c r="AO47" i="75"/>
  <c r="AH48" i="75"/>
  <c r="O49" i="75"/>
  <c r="AQ49" i="75"/>
  <c r="AF50" i="75"/>
  <c r="U51" i="75"/>
  <c r="F52" i="75"/>
  <c r="AL52" i="75"/>
  <c r="W53" i="75"/>
  <c r="H54" i="75"/>
  <c r="S35" i="75"/>
  <c r="U37" i="75"/>
  <c r="D40" i="75"/>
  <c r="AC41" i="75"/>
  <c r="AC42" i="75"/>
  <c r="N43" i="75"/>
  <c r="C44" i="75"/>
  <c r="AE44" i="75"/>
  <c r="P45" i="75"/>
  <c r="I46" i="75"/>
  <c r="AG46" i="75"/>
  <c r="V47" i="75"/>
  <c r="AH42" i="75"/>
  <c r="M45" i="75"/>
  <c r="AL47" i="75"/>
  <c r="P49" i="75"/>
  <c r="AC50" i="75"/>
  <c r="G52" i="75"/>
  <c r="L53" i="75"/>
  <c r="Y54" i="75"/>
  <c r="H55" i="75"/>
  <c r="AB55" i="75"/>
  <c r="M56" i="75"/>
  <c r="AG56" i="75"/>
  <c r="N57" i="75"/>
  <c r="AL57" i="75"/>
  <c r="O58" i="75"/>
  <c r="AI58" i="75"/>
  <c r="P59" i="75"/>
  <c r="AJ59" i="75"/>
  <c r="Q60" i="75"/>
  <c r="AO60" i="75"/>
  <c r="V61" i="75"/>
  <c r="AP61" i="75"/>
  <c r="N38" i="75"/>
  <c r="V42" i="75"/>
  <c r="L44" i="75"/>
  <c r="AL46" i="75"/>
  <c r="L48" i="75"/>
  <c r="Q49" i="75"/>
  <c r="V50" i="75"/>
  <c r="S51" i="75"/>
  <c r="P52" i="75"/>
  <c r="U53" i="75"/>
  <c r="Z54" i="75"/>
  <c r="M55" i="75"/>
  <c r="AK55" i="75"/>
  <c r="R56" i="75"/>
  <c r="AL56" i="75"/>
  <c r="S57" i="75"/>
  <c r="AM57" i="75"/>
  <c r="P58" i="75"/>
  <c r="AN58" i="75"/>
  <c r="U59" i="75"/>
  <c r="AO59" i="75"/>
  <c r="Z60" i="75"/>
  <c r="AP60" i="75"/>
  <c r="O61" i="75"/>
  <c r="AE61" i="75"/>
  <c r="D62" i="75"/>
  <c r="T62" i="75"/>
  <c r="AJ62" i="75"/>
  <c r="M63" i="75"/>
  <c r="AC63" i="75"/>
  <c r="F64" i="75"/>
  <c r="V64" i="75"/>
  <c r="AL64" i="75"/>
  <c r="Y37" i="75"/>
  <c r="AF41" i="75"/>
  <c r="K43" i="75"/>
  <c r="AF44" i="75"/>
  <c r="J46" i="75"/>
  <c r="AE47" i="75"/>
  <c r="W48" i="75"/>
  <c r="L49" i="75"/>
  <c r="AM35" i="75"/>
  <c r="D44" i="75"/>
  <c r="AN48" i="75"/>
  <c r="AP50" i="75"/>
  <c r="T52" i="75"/>
  <c r="AO53" i="75"/>
  <c r="G55" i="75"/>
  <c r="AM55" i="75"/>
  <c r="AB56" i="75"/>
  <c r="Y57" i="75"/>
  <c r="N58" i="75"/>
  <c r="C59" i="75"/>
  <c r="AI59" i="75"/>
  <c r="X60" i="75"/>
  <c r="M61" i="75"/>
  <c r="J62" i="75"/>
  <c r="AE62" i="75"/>
  <c r="J63" i="75"/>
  <c r="AE63" i="75"/>
  <c r="I64" i="75"/>
  <c r="AE64" i="75"/>
  <c r="G65" i="75"/>
  <c r="W65" i="75"/>
  <c r="AM65" i="75"/>
  <c r="L66" i="75"/>
  <c r="AB66" i="75"/>
  <c r="E67" i="75"/>
  <c r="U67" i="75"/>
  <c r="AK67" i="75"/>
  <c r="N68" i="75"/>
  <c r="AD68" i="75"/>
  <c r="C69" i="75"/>
  <c r="S69" i="75"/>
  <c r="AI69" i="75"/>
  <c r="H70" i="75"/>
  <c r="X70" i="75"/>
  <c r="AN70" i="75"/>
  <c r="Q71" i="75"/>
  <c r="AG71" i="75"/>
  <c r="J72" i="75"/>
  <c r="Z72" i="75"/>
  <c r="AN41" i="75"/>
  <c r="P48" i="75"/>
  <c r="AG50" i="75"/>
  <c r="K52" i="75"/>
  <c r="AF53" i="75"/>
  <c r="J55" i="75"/>
  <c r="AP55" i="75"/>
  <c r="AE56" i="75"/>
  <c r="AG36" i="75"/>
  <c r="D39" i="75"/>
  <c r="N41" i="75"/>
  <c r="J36" i="75"/>
  <c r="AE37" i="75"/>
  <c r="AC39" i="75"/>
  <c r="K41" i="75"/>
  <c r="N35" i="75"/>
  <c r="O36" i="75"/>
  <c r="AB37" i="75"/>
  <c r="AK38" i="75"/>
  <c r="C40" i="75"/>
  <c r="L40" i="75"/>
  <c r="O42" i="75"/>
  <c r="T43" i="75"/>
  <c r="AG44" i="75"/>
  <c r="AD45" i="75"/>
  <c r="S46" i="75"/>
  <c r="T47" i="75"/>
  <c r="Q48" i="75"/>
  <c r="R49" i="75"/>
  <c r="O50" i="75"/>
  <c r="D51" i="75"/>
  <c r="E52" i="75"/>
  <c r="F53" i="75"/>
  <c r="C54" i="75"/>
  <c r="AI54" i="75"/>
  <c r="K39" i="75"/>
  <c r="AB41" i="75"/>
  <c r="AJ42" i="75"/>
  <c r="AO43" i="75"/>
  <c r="AD44" i="75"/>
  <c r="O45" i="75"/>
  <c r="D46" i="75"/>
  <c r="AF46" i="75"/>
  <c r="Q47" i="75"/>
  <c r="J48" i="75"/>
  <c r="AL48" i="75"/>
  <c r="W49" i="75"/>
  <c r="L50" i="75"/>
  <c r="AJ50" i="75"/>
  <c r="Y51" i="75"/>
  <c r="J37" i="75"/>
  <c r="AF39" i="75"/>
  <c r="AL41" i="75"/>
  <c r="N36" i="75"/>
  <c r="H38" i="75"/>
  <c r="R40" i="75"/>
  <c r="O41" i="75"/>
  <c r="R35" i="75"/>
  <c r="AI36" i="75"/>
  <c r="AN37" i="75"/>
  <c r="F39" i="75"/>
  <c r="AA35" i="75"/>
  <c r="T40" i="75"/>
  <c r="AE42" i="75"/>
  <c r="AN43" i="75"/>
  <c r="AK44" i="75"/>
  <c r="AL45" i="75"/>
  <c r="AI46" i="75"/>
  <c r="AF47" i="75"/>
  <c r="Y48" i="75"/>
  <c r="Z49" i="75"/>
  <c r="W50" i="75"/>
  <c r="P51" i="75"/>
  <c r="U52" i="75"/>
  <c r="N53" i="75"/>
  <c r="G54" i="75"/>
  <c r="AF36" i="75"/>
  <c r="O40" i="75"/>
  <c r="AJ41" i="75"/>
  <c r="I43" i="75"/>
  <c r="F44" i="75"/>
  <c r="AL44" i="75"/>
  <c r="AA45" i="75"/>
  <c r="H46" i="75"/>
  <c r="AJ46" i="75"/>
  <c r="AC47" i="75"/>
  <c r="R48" i="75"/>
  <c r="AP48" i="75"/>
  <c r="AE49" i="75"/>
  <c r="P50" i="75"/>
  <c r="E51" i="75"/>
  <c r="AK51" i="75"/>
  <c r="V52" i="75"/>
  <c r="G53" i="75"/>
  <c r="AM53" i="75"/>
  <c r="X54" i="75"/>
  <c r="D36" i="75"/>
  <c r="AP38" i="75"/>
  <c r="AN40" i="75"/>
  <c r="M42" i="75"/>
  <c r="F43" i="75"/>
  <c r="AD43" i="75"/>
  <c r="O44" i="75"/>
  <c r="D45" i="75"/>
  <c r="AF45" i="75"/>
  <c r="Q46" i="75"/>
  <c r="J47" i="75"/>
  <c r="S39" i="75"/>
  <c r="AI43" i="75"/>
  <c r="G47" i="75"/>
  <c r="AA48" i="75"/>
  <c r="AN49" i="75"/>
  <c r="Z51" i="75"/>
  <c r="AM52" i="75"/>
  <c r="AJ53" i="75"/>
  <c r="AM54" i="75"/>
  <c r="T55" i="75"/>
  <c r="AN55" i="75"/>
  <c r="U56" i="75"/>
  <c r="F57" i="75"/>
  <c r="Z57" i="75"/>
  <c r="C58" i="75"/>
  <c r="AA58" i="75"/>
  <c r="D59" i="75"/>
  <c r="X59" i="75"/>
  <c r="I60" i="75"/>
  <c r="AC60" i="75"/>
  <c r="J61" i="75"/>
  <c r="AH61" i="75"/>
  <c r="G35" i="75"/>
  <c r="AI40" i="75"/>
  <c r="W43" i="75"/>
  <c r="AG45" i="75"/>
  <c r="AA47" i="75"/>
  <c r="AJ48" i="75"/>
  <c r="AO49" i="75"/>
  <c r="AL50" i="75"/>
  <c r="AQ51" i="75"/>
  <c r="AN52" i="75"/>
  <c r="AK53" i="75"/>
  <c r="E55" i="75"/>
  <c r="Y55" i="75"/>
  <c r="F56" i="75"/>
  <c r="AD56" i="75"/>
  <c r="G57" i="75"/>
  <c r="AA57" i="75"/>
  <c r="H58" i="75"/>
  <c r="AB58" i="75"/>
  <c r="I59" i="75"/>
  <c r="AG59" i="75"/>
  <c r="N60" i="75"/>
  <c r="AH60" i="75"/>
  <c r="G61" i="75"/>
  <c r="W61" i="75"/>
  <c r="AM61" i="75"/>
  <c r="L62" i="75"/>
  <c r="AB62" i="75"/>
  <c r="E63" i="75"/>
  <c r="U63" i="75"/>
  <c r="AK63" i="75"/>
  <c r="N64" i="75"/>
  <c r="AD64" i="75"/>
  <c r="W35" i="75"/>
  <c r="H40" i="75"/>
  <c r="Z42" i="75"/>
  <c r="AQ43" i="75"/>
  <c r="U45" i="75"/>
  <c r="AP46" i="75"/>
  <c r="G48" i="75"/>
  <c r="AM48" i="75"/>
  <c r="AB49" i="75"/>
  <c r="H41" i="75"/>
  <c r="AP37" i="75"/>
  <c r="AJ38" i="75"/>
  <c r="AM36" i="75"/>
  <c r="I41" i="75"/>
  <c r="K46" i="75"/>
  <c r="AL49" i="75"/>
  <c r="V53" i="75"/>
  <c r="T42" i="75"/>
  <c r="AE45" i="75"/>
  <c r="V48" i="75"/>
  <c r="M51" i="75"/>
  <c r="C53" i="75"/>
  <c r="P54" i="75"/>
  <c r="J38" i="75"/>
  <c r="AK41" i="75"/>
  <c r="Z43" i="75"/>
  <c r="AI44" i="75"/>
  <c r="M46" i="75"/>
  <c r="AH47" i="75"/>
  <c r="AC45" i="75"/>
  <c r="AF49" i="75"/>
  <c r="W52" i="75"/>
  <c r="AG54" i="75"/>
  <c r="AJ55" i="75"/>
  <c r="AK56" i="75"/>
  <c r="AP57" i="75"/>
  <c r="AQ58" i="75"/>
  <c r="AN59" i="75"/>
  <c r="F61" i="75"/>
  <c r="G62" i="75"/>
  <c r="AL42" i="75"/>
  <c r="K47" i="75"/>
  <c r="AG49" i="75"/>
  <c r="AA51" i="75"/>
  <c r="AC53" i="75"/>
  <c r="U55" i="75"/>
  <c r="V56" i="75"/>
  <c r="W57" i="75"/>
  <c r="X58" i="75"/>
  <c r="Y59" i="75"/>
  <c r="AD60" i="75"/>
  <c r="S61" i="75"/>
  <c r="H62" i="75"/>
  <c r="AN62" i="75"/>
  <c r="AG63" i="75"/>
  <c r="Z64" i="75"/>
  <c r="AD38" i="75"/>
  <c r="AA43" i="75"/>
  <c r="Z46" i="75"/>
  <c r="AE48" i="75"/>
  <c r="AO37" i="75"/>
  <c r="H48" i="75"/>
  <c r="O51" i="75"/>
  <c r="I53" i="75"/>
  <c r="AP54" i="75"/>
  <c r="D56" i="75"/>
  <c r="I57" i="75"/>
  <c r="F58" i="75"/>
  <c r="K59" i="75"/>
  <c r="H60" i="75"/>
  <c r="E61" i="75"/>
  <c r="O62" i="75"/>
  <c r="AP62" i="75"/>
  <c r="Z63" i="75"/>
  <c r="O64" i="75"/>
  <c r="AO64" i="75"/>
  <c r="S65" i="75"/>
  <c r="AQ65" i="75"/>
  <c r="T66" i="75"/>
  <c r="AN66" i="75"/>
  <c r="Y67" i="75"/>
  <c r="F68" i="75"/>
  <c r="Z68" i="75"/>
  <c r="G69" i="75"/>
  <c r="AA69" i="75"/>
  <c r="D70" i="75"/>
  <c r="AB70" i="75"/>
  <c r="I71" i="75"/>
  <c r="AC71" i="75"/>
  <c r="N72" i="75"/>
  <c r="AH72" i="75"/>
  <c r="S47" i="75"/>
  <c r="F51" i="75"/>
  <c r="AQ52" i="75"/>
  <c r="AK54" i="75"/>
  <c r="G56" i="75"/>
  <c r="D57" i="75"/>
  <c r="AJ57" i="75"/>
  <c r="AG58" i="75"/>
  <c r="V59" i="75"/>
  <c r="K60" i="75"/>
  <c r="AQ60" i="75"/>
  <c r="AF61" i="75"/>
  <c r="Q62" i="75"/>
  <c r="AL62" i="75"/>
  <c r="P63" i="75"/>
  <c r="AL63" i="75"/>
  <c r="P64" i="75"/>
  <c r="AK64" i="75"/>
  <c r="L65" i="75"/>
  <c r="AB65" i="75"/>
  <c r="E66" i="75"/>
  <c r="U66" i="75"/>
  <c r="AK66" i="75"/>
  <c r="N67" i="75"/>
  <c r="AD67" i="75"/>
  <c r="C68" i="75"/>
  <c r="S68" i="75"/>
  <c r="AI68" i="75"/>
  <c r="H69" i="75"/>
  <c r="X69" i="75"/>
  <c r="AN69" i="75"/>
  <c r="Q70" i="75"/>
  <c r="AG70" i="75"/>
  <c r="J71" i="75"/>
  <c r="Z71" i="75"/>
  <c r="AP71" i="75"/>
  <c r="O72" i="75"/>
  <c r="AE72" i="75"/>
  <c r="AN36" i="75"/>
  <c r="N46" i="75"/>
  <c r="R50" i="75"/>
  <c r="AM51" i="75"/>
  <c r="U49" i="75"/>
  <c r="F54" i="75"/>
  <c r="AL55" i="75"/>
  <c r="P57" i="75"/>
  <c r="AK58" i="75"/>
  <c r="O60" i="75"/>
  <c r="AJ61" i="75"/>
  <c r="AO62" i="75"/>
  <c r="AN63" i="75"/>
  <c r="AN64" i="75"/>
  <c r="AD65" i="75"/>
  <c r="S66" i="75"/>
  <c r="H67" i="75"/>
  <c r="AN67" i="75"/>
  <c r="AC68" i="75"/>
  <c r="Z69" i="75"/>
  <c r="O70" i="75"/>
  <c r="D71" i="75"/>
  <c r="AJ71" i="75"/>
  <c r="AG72" i="75"/>
  <c r="K73" i="75"/>
  <c r="AA73" i="75"/>
  <c r="AQ73" i="75"/>
  <c r="P74" i="75"/>
  <c r="Y40" i="75"/>
  <c r="V40" i="75"/>
  <c r="M38" i="75"/>
  <c r="AM42" i="75"/>
  <c r="AQ46" i="75"/>
  <c r="AA50" i="75"/>
  <c r="W54" i="75"/>
  <c r="Q43" i="75"/>
  <c r="P46" i="75"/>
  <c r="K49" i="75"/>
  <c r="AO51" i="75"/>
  <c r="S53" i="75"/>
  <c r="AB54" i="75"/>
  <c r="AE39" i="75"/>
  <c r="U42" i="75"/>
  <c r="AL43" i="75"/>
  <c r="H45" i="75"/>
  <c r="AC46" i="75"/>
  <c r="AA40" i="75"/>
  <c r="W47" i="75"/>
  <c r="U50" i="75"/>
  <c r="D53" i="75"/>
  <c r="D55" i="75"/>
  <c r="E56" i="75"/>
  <c r="J57" i="75"/>
  <c r="K58" i="75"/>
  <c r="H59" i="75"/>
  <c r="M60" i="75"/>
  <c r="R61" i="75"/>
  <c r="H36" i="75"/>
  <c r="AM43" i="75"/>
  <c r="D48" i="75"/>
  <c r="F50" i="75"/>
  <c r="H52" i="75"/>
  <c r="R54" i="75"/>
  <c r="AC55" i="75"/>
  <c r="AH56" i="75"/>
  <c r="AI57" i="75"/>
  <c r="AF58" i="75"/>
  <c r="AK59" i="75"/>
  <c r="AL60" i="75"/>
  <c r="AA61" i="75"/>
  <c r="P62" i="75"/>
  <c r="I63" i="75"/>
  <c r="AO63" i="75"/>
  <c r="AH64" i="75"/>
  <c r="AQ40" i="75"/>
  <c r="P44" i="75"/>
  <c r="O47" i="75"/>
  <c r="D49" i="75"/>
  <c r="AD42" i="75"/>
  <c r="AC49" i="75"/>
  <c r="AE51" i="75"/>
  <c r="Y53" i="75"/>
  <c r="O55" i="75"/>
  <c r="L56" i="75"/>
  <c r="Q57" i="75"/>
  <c r="V58" i="75"/>
  <c r="S59" i="75"/>
  <c r="P60" i="75"/>
  <c r="U61" i="75"/>
  <c r="U62" i="75"/>
  <c r="D63" i="75"/>
  <c r="AJ63" i="75"/>
  <c r="T64" i="75"/>
  <c r="C65" i="75"/>
  <c r="AA65" i="75"/>
  <c r="D66" i="75"/>
  <c r="X66" i="75"/>
  <c r="I67" i="75"/>
  <c r="AC67" i="75"/>
  <c r="J68" i="75"/>
  <c r="AH68" i="75"/>
  <c r="K69" i="75"/>
  <c r="AE69" i="75"/>
  <c r="L70" i="75"/>
  <c r="AF70" i="75"/>
  <c r="M71" i="75"/>
  <c r="AK71" i="75"/>
  <c r="R72" i="75"/>
  <c r="AL72" i="75"/>
  <c r="E49" i="75"/>
  <c r="V51" i="75"/>
  <c r="P53" i="75"/>
  <c r="R55" i="75"/>
  <c r="O56" i="75"/>
  <c r="L57" i="75"/>
  <c r="I58" i="75"/>
  <c r="AO58" i="75"/>
  <c r="AD59" i="75"/>
  <c r="S60" i="75"/>
  <c r="H61" i="75"/>
  <c r="AN61" i="75"/>
  <c r="V62" i="75"/>
  <c r="AQ62" i="75"/>
  <c r="V63" i="75"/>
  <c r="AQ63" i="75"/>
  <c r="U64" i="75"/>
  <c r="AQ64" i="75"/>
  <c r="P65" i="75"/>
  <c r="AF65" i="75"/>
  <c r="I66" i="75"/>
  <c r="Y66" i="75"/>
  <c r="AO66" i="75"/>
  <c r="R67" i="75"/>
  <c r="AH67" i="75"/>
  <c r="G68" i="75"/>
  <c r="W68" i="75"/>
  <c r="AM68" i="75"/>
  <c r="L69" i="75"/>
  <c r="AB69" i="75"/>
  <c r="E70" i="75"/>
  <c r="U70" i="75"/>
  <c r="AK70" i="75"/>
  <c r="N71" i="75"/>
  <c r="AD71" i="75"/>
  <c r="C72" i="75"/>
  <c r="S72" i="75"/>
  <c r="AI72" i="75"/>
  <c r="C39" i="75"/>
  <c r="AI47" i="75"/>
  <c r="AH50" i="75"/>
  <c r="L52" i="75"/>
  <c r="AO50" i="75"/>
  <c r="AL54" i="75"/>
  <c r="K56" i="75"/>
  <c r="AF57" i="75"/>
  <c r="J59" i="75"/>
  <c r="AE60" i="75"/>
  <c r="I62" i="75"/>
  <c r="H63" i="75"/>
  <c r="H64" i="75"/>
  <c r="F65" i="75"/>
  <c r="AL65" i="75"/>
  <c r="AA66" i="75"/>
  <c r="P67" i="75"/>
  <c r="E68" i="75"/>
  <c r="AK68" i="75"/>
  <c r="AH69" i="75"/>
  <c r="W70" i="75"/>
  <c r="L71" i="75"/>
  <c r="I72" i="75"/>
  <c r="AO72" i="75"/>
  <c r="O73" i="75"/>
  <c r="AE73" i="75"/>
  <c r="D74" i="75"/>
  <c r="T74" i="75"/>
  <c r="AJ74" i="75"/>
  <c r="M75" i="75"/>
  <c r="AC75" i="75"/>
  <c r="I50" i="75"/>
  <c r="H57" i="75"/>
  <c r="AM60" i="75"/>
  <c r="N63" i="75"/>
  <c r="AP65" i="75"/>
  <c r="T67" i="75"/>
  <c r="AG68" i="75"/>
  <c r="C70" i="75"/>
  <c r="AF71" i="75"/>
  <c r="G42" i="75"/>
  <c r="AE41" i="75"/>
  <c r="Z39" i="75"/>
  <c r="M44" i="75"/>
  <c r="AJ47" i="75"/>
  <c r="AB51" i="75"/>
  <c r="Q37" i="75"/>
  <c r="J44" i="75"/>
  <c r="I47" i="75"/>
  <c r="AM49" i="75"/>
  <c r="R52" i="75"/>
  <c r="AA53" i="75"/>
  <c r="AI35" i="75"/>
  <c r="AF40" i="75"/>
  <c r="AG42" i="75"/>
  <c r="K44" i="75"/>
  <c r="X45" i="75"/>
  <c r="AO46" i="75"/>
  <c r="C43" i="75"/>
  <c r="S48" i="75"/>
  <c r="AK50" i="75"/>
  <c r="AB53" i="75"/>
  <c r="L55" i="75"/>
  <c r="Q56" i="75"/>
  <c r="V57" i="75"/>
  <c r="S58" i="75"/>
  <c r="T59" i="75"/>
  <c r="Y60" i="75"/>
  <c r="Z61" i="75"/>
  <c r="AI39" i="75"/>
  <c r="Q45" i="75"/>
  <c r="T48" i="75"/>
  <c r="AD50" i="75"/>
  <c r="AF52" i="75"/>
  <c r="AH54" i="75"/>
  <c r="AO55" i="75"/>
  <c r="C57" i="75"/>
  <c r="AQ57" i="75"/>
  <c r="E59" i="75"/>
  <c r="J60" i="75"/>
  <c r="C61" i="75"/>
  <c r="AI61" i="75"/>
  <c r="X62" i="75"/>
  <c r="Q63" i="75"/>
  <c r="J64" i="75"/>
  <c r="AP64" i="75"/>
  <c r="J42" i="75"/>
  <c r="E45" i="75"/>
  <c r="AP47" i="75"/>
  <c r="T49" i="75"/>
  <c r="Y45" i="75"/>
  <c r="J50" i="75"/>
  <c r="D52" i="75"/>
  <c r="N54" i="75"/>
  <c r="W55" i="75"/>
  <c r="T56" i="75"/>
  <c r="AG57" i="75"/>
  <c r="AD58" i="75"/>
  <c r="AA59" i="75"/>
  <c r="AF60" i="75"/>
  <c r="AC61" i="75"/>
  <c r="Z62" i="75"/>
  <c r="O63" i="75"/>
  <c r="AP63" i="75"/>
  <c r="Y64" i="75"/>
  <c r="K65" i="75"/>
  <c r="AE65" i="75"/>
  <c r="H66" i="75"/>
  <c r="AF66" i="75"/>
  <c r="M67" i="75"/>
  <c r="AG67" i="75"/>
  <c r="R68" i="75"/>
  <c r="AL68" i="75"/>
  <c r="O69" i="75"/>
  <c r="AM69" i="75"/>
  <c r="P70" i="75"/>
  <c r="AJ70" i="75"/>
  <c r="U71" i="75"/>
  <c r="AO71" i="75"/>
  <c r="V72" i="75"/>
  <c r="T44" i="75"/>
  <c r="AK49" i="75"/>
  <c r="AL51" i="75"/>
  <c r="E54" i="75"/>
  <c r="Z55" i="75"/>
  <c r="W56" i="75"/>
  <c r="T57" i="75"/>
  <c r="Q58" i="75"/>
  <c r="F59" i="75"/>
  <c r="AL59" i="75"/>
  <c r="AA60" i="75"/>
  <c r="P61" i="75"/>
  <c r="E62" i="75"/>
  <c r="AA62" i="75"/>
  <c r="F63" i="75"/>
  <c r="AA63" i="75"/>
  <c r="E64" i="75"/>
  <c r="AA64" i="75"/>
  <c r="D65" i="75"/>
  <c r="T65" i="75"/>
  <c r="AJ65" i="75"/>
  <c r="M66" i="75"/>
  <c r="AC66" i="75"/>
  <c r="F67" i="75"/>
  <c r="V67" i="75"/>
  <c r="AL67" i="75"/>
  <c r="K68" i="75"/>
  <c r="AA68" i="75"/>
  <c r="AQ68" i="75"/>
  <c r="P69" i="75"/>
  <c r="AF69" i="75"/>
  <c r="I70" i="75"/>
  <c r="Y70" i="75"/>
  <c r="AO70" i="75"/>
  <c r="R71" i="75"/>
  <c r="AH71" i="75"/>
  <c r="G72" i="75"/>
  <c r="W72" i="75"/>
  <c r="AM72" i="75"/>
  <c r="O43" i="75"/>
  <c r="X48" i="75"/>
  <c r="G51" i="75"/>
  <c r="AB52" i="75"/>
  <c r="S52" i="75"/>
  <c r="F55" i="75"/>
  <c r="AA56" i="75"/>
  <c r="E58" i="75"/>
  <c r="Z59" i="75"/>
  <c r="D61" i="75"/>
  <c r="S62" i="75"/>
  <c r="S63" i="75"/>
  <c r="S64" i="75"/>
  <c r="N65" i="75"/>
  <c r="C66" i="75"/>
  <c r="AI66" i="75"/>
  <c r="X67" i="75"/>
  <c r="M68" i="75"/>
  <c r="J69" i="75"/>
  <c r="AP69" i="75"/>
  <c r="AE70" i="75"/>
  <c r="T71" i="75"/>
  <c r="Q72" i="75"/>
  <c r="C73" i="75"/>
  <c r="S73" i="75"/>
  <c r="AI73" i="75"/>
  <c r="H74" i="75"/>
  <c r="X74" i="75"/>
  <c r="AN74" i="75"/>
  <c r="Q75" i="75"/>
  <c r="AG75" i="75"/>
  <c r="V54" i="75"/>
  <c r="AN57" i="75"/>
  <c r="AB61" i="75"/>
  <c r="AI63" i="75"/>
  <c r="O66" i="75"/>
  <c r="AJ67" i="75"/>
  <c r="F69" i="75"/>
  <c r="AA70" i="75"/>
  <c r="E72" i="75"/>
  <c r="I73" i="75"/>
  <c r="AO73" i="75"/>
  <c r="AD74" i="75"/>
  <c r="S75" i="75"/>
  <c r="AE43" i="75"/>
  <c r="AN53" i="75"/>
  <c r="AI55" i="75"/>
  <c r="AH58" i="75"/>
  <c r="AC62" i="75"/>
  <c r="Q64" i="75"/>
  <c r="R66" i="75"/>
  <c r="AF75" i="75"/>
  <c r="AM74" i="75"/>
  <c r="G74" i="75"/>
  <c r="R73" i="75"/>
  <c r="AQ71" i="75"/>
  <c r="V70" i="75"/>
  <c r="I69" i="75"/>
  <c r="AE67" i="75"/>
  <c r="J66" i="75"/>
  <c r="AB64" i="75"/>
  <c r="R62" i="75"/>
  <c r="AM59" i="75"/>
  <c r="AN56" i="75"/>
  <c r="AA75" i="75"/>
  <c r="AP74" i="75"/>
  <c r="J74" i="75"/>
  <c r="M73" i="75"/>
  <c r="X71" i="75"/>
  <c r="K70" i="75"/>
  <c r="Y68" i="75"/>
  <c r="W66" i="75"/>
  <c r="J65" i="75"/>
  <c r="X63" i="75"/>
  <c r="W60" i="75"/>
  <c r="X57" i="75"/>
  <c r="AG53" i="75"/>
  <c r="AL75" i="75"/>
  <c r="V75" i="75"/>
  <c r="F75" i="75"/>
  <c r="AC74" i="75"/>
  <c r="M74" i="75"/>
  <c r="AJ73" i="75"/>
  <c r="T73" i="75"/>
  <c r="D73" i="75"/>
  <c r="T72" i="75"/>
  <c r="AE71" i="75"/>
  <c r="AP70" i="75"/>
  <c r="J70" i="75"/>
  <c r="M69" i="75"/>
  <c r="X68" i="75"/>
  <c r="AI67" i="75"/>
  <c r="C67" i="75"/>
  <c r="N66" i="75"/>
  <c r="Y65" i="75"/>
  <c r="W64" i="75"/>
  <c r="L63" i="75"/>
  <c r="AO61" i="75"/>
  <c r="T60" i="75"/>
  <c r="AP58" i="75"/>
  <c r="U57" i="75"/>
  <c r="AQ55" i="75"/>
  <c r="M54" i="75"/>
  <c r="AD46" i="75"/>
  <c r="T75" i="75"/>
  <c r="AI74" i="75"/>
  <c r="C74" i="75"/>
  <c r="N73" i="75"/>
  <c r="H72" i="75"/>
  <c r="AD70" i="75"/>
  <c r="AB68" i="75"/>
  <c r="G67" i="75"/>
  <c r="AM64" i="75"/>
  <c r="AG61" i="75"/>
  <c r="X56" i="75"/>
  <c r="AC54" i="75"/>
  <c r="S40" i="75"/>
  <c r="C75" i="75"/>
  <c r="F74" i="75"/>
  <c r="E73" i="75"/>
  <c r="AQ70" i="75"/>
  <c r="I68" i="75"/>
  <c r="X64" i="75"/>
  <c r="R59" i="75"/>
  <c r="AK75" i="75"/>
  <c r="E75" i="75"/>
  <c r="AM73" i="75"/>
  <c r="AB71" i="75"/>
  <c r="U68" i="75"/>
  <c r="V65" i="75"/>
  <c r="T61" i="75"/>
  <c r="V55" i="75"/>
  <c r="M49" i="75"/>
  <c r="K72" i="75"/>
  <c r="AC70" i="75"/>
  <c r="D69" i="75"/>
  <c r="Z67" i="75"/>
  <c r="AN65" i="75"/>
  <c r="K64" i="75"/>
  <c r="K62" i="75"/>
  <c r="N59" i="75"/>
  <c r="AH55" i="75"/>
  <c r="AO45" i="75"/>
  <c r="E71" i="75"/>
  <c r="AP68" i="75"/>
  <c r="AJ66" i="75"/>
  <c r="AJ64" i="75"/>
  <c r="AK61" i="75"/>
  <c r="AO57" i="75"/>
  <c r="AJ52" i="75"/>
  <c r="O48" i="75"/>
  <c r="R64" i="75"/>
  <c r="K61" i="75"/>
  <c r="K57" i="75"/>
  <c r="K51" i="75"/>
  <c r="AL61" i="75"/>
  <c r="AD57" i="75"/>
  <c r="AH51" i="75"/>
  <c r="AJ45" i="75"/>
  <c r="E37" i="75"/>
  <c r="AG47" i="75"/>
  <c r="AO48" i="75"/>
  <c r="AL36" i="75"/>
  <c r="E39" i="3"/>
  <c r="J41" i="3"/>
  <c r="O41" i="3"/>
  <c r="D16" i="85"/>
  <c r="H16" i="4"/>
  <c r="H20" i="4"/>
  <c r="A6" i="57"/>
  <c r="F15" i="88"/>
  <c r="J7" i="87"/>
  <c r="A6" i="70"/>
  <c r="F15" i="7"/>
  <c r="F16" i="9"/>
  <c r="F16" i="8"/>
  <c r="F16" i="88"/>
  <c r="A6" i="88"/>
  <c r="BQ12" i="114"/>
  <c r="D17" i="85"/>
  <c r="A6" i="85"/>
  <c r="BO4" i="114"/>
  <c r="J24" i="87"/>
  <c r="BP8" i="114"/>
  <c r="C77" i="75"/>
  <c r="J40" i="3"/>
  <c r="J42" i="3"/>
  <c r="O42" i="3"/>
  <c r="J43" i="3"/>
  <c r="J44" i="3"/>
  <c r="O40" i="3"/>
  <c r="BL6" i="114"/>
  <c r="O43" i="3"/>
  <c r="BL8" i="114"/>
  <c r="O44" i="3"/>
  <c r="BL9" i="114"/>
  <c r="N78" i="75"/>
  <c r="AS38" i="75"/>
  <c r="AN78" i="75"/>
  <c r="AB78" i="75"/>
  <c r="AS64" i="75"/>
  <c r="AJ78" i="75"/>
  <c r="AS73" i="75"/>
  <c r="AS39" i="75"/>
  <c r="AS61" i="75"/>
  <c r="AS74" i="75"/>
  <c r="Q78" i="75"/>
  <c r="AS56" i="75"/>
  <c r="H78" i="75"/>
  <c r="AS60" i="75"/>
  <c r="AS49" i="75"/>
  <c r="AS35" i="75"/>
  <c r="AS69" i="75"/>
  <c r="AS55" i="75"/>
  <c r="AI78" i="75"/>
  <c r="AS43" i="75"/>
  <c r="T78" i="75"/>
  <c r="AS48" i="75"/>
  <c r="D78" i="75"/>
  <c r="AS68" i="75"/>
  <c r="AS54" i="75"/>
  <c r="AS75" i="75"/>
  <c r="AS62" i="75"/>
  <c r="AS44" i="75"/>
  <c r="Z78" i="75"/>
  <c r="K78" i="75"/>
  <c r="F78" i="75"/>
  <c r="AS37" i="75"/>
  <c r="AS58" i="75"/>
  <c r="M78" i="75"/>
  <c r="AD78" i="75"/>
  <c r="I78" i="75"/>
  <c r="E78" i="75"/>
  <c r="AO78" i="75"/>
  <c r="P78" i="75"/>
  <c r="C78" i="75"/>
  <c r="Y78" i="75"/>
  <c r="U78" i="75"/>
  <c r="AL78" i="75"/>
  <c r="AF78" i="75"/>
  <c r="AG78" i="75"/>
  <c r="L78" i="75"/>
  <c r="X78" i="75"/>
  <c r="AS63" i="75"/>
  <c r="AS65" i="75"/>
  <c r="AS66" i="75"/>
  <c r="G78" i="75"/>
  <c r="AM78" i="75"/>
  <c r="AS71" i="75"/>
  <c r="AS59" i="75"/>
  <c r="V78" i="75"/>
  <c r="AS40" i="75"/>
  <c r="AS70" i="75"/>
  <c r="AS57" i="75"/>
  <c r="AS47" i="75"/>
  <c r="AA78" i="75"/>
  <c r="AS52" i="75"/>
  <c r="AP78" i="75"/>
  <c r="O78" i="75"/>
  <c r="AS50" i="75"/>
  <c r="R78" i="75"/>
  <c r="AS67" i="75"/>
  <c r="AC78" i="75"/>
  <c r="AS53" i="75"/>
  <c r="AS45" i="75"/>
  <c r="AH78" i="75"/>
  <c r="AS51" i="75"/>
  <c r="J78" i="75"/>
  <c r="AS36" i="75"/>
  <c r="AS41" i="75"/>
  <c r="AK78" i="75"/>
  <c r="AQ78" i="75"/>
  <c r="AS42" i="75"/>
  <c r="W78" i="75"/>
  <c r="AS46" i="75"/>
  <c r="AE78" i="75"/>
  <c r="S78" i="75"/>
  <c r="AS72" i="75"/>
  <c r="C80" i="75"/>
  <c r="L3" i="75"/>
  <c r="M3" i="75"/>
  <c r="C81" i="75"/>
  <c r="L2" i="75"/>
  <c r="M2" i="75"/>
  <c r="A6" i="75"/>
</calcChain>
</file>

<file path=xl/sharedStrings.xml><?xml version="1.0" encoding="utf-8"?>
<sst xmlns="http://schemas.openxmlformats.org/spreadsheetml/2006/main" count="2102" uniqueCount="421">
  <si>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</si>
  <si>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</si>
  <si>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</si>
  <si>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</si>
  <si>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</si>
  <si>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</si>
  <si>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</si>
  <si>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</si>
  <si>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</si>
  <si>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</si>
  <si>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</si>
  <si>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</si>
  <si>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</si>
  <si>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</si>
  <si>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</si>
  <si>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</si>
  <si>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</si>
  <si>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</si>
  <si>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</si>
  <si>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</si>
  <si>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</si>
  <si>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</si>
  <si>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</si>
  <si>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</si>
  <si>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</si>
  <si>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</si>
  <si>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</si>
  <si>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</si>
  <si>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</si>
  <si>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</si>
  <si>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</si>
  <si>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</si>
  <si>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</si>
  <si>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</si>
  <si>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</si>
  <si>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</si>
  <si>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</si>
  <si>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</si>
  <si>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</si>
  <si>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</si>
  <si>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</si>
  <si>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</si>
  <si>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</si>
  <si>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</si>
  <si>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</si>
  <si>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</si>
  <si>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</si>
  <si>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</si>
  <si>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</si>
  <si>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</si>
  <si>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</si>
  <si>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</si>
  <si>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</si>
  <si>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</si>
  <si>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</si>
  <si>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</si>
  <si>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</si>
  <si>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</si>
  <si>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</si>
  <si>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</si>
  <si>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</si>
  <si>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</si>
  <si>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</si>
  <si>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</si>
  <si>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</si>
  <si>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</si>
  <si>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</si>
  <si>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</si>
  <si>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</si>
  <si>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</si>
  <si>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</si>
  <si>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</si>
  <si>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</si>
  <si>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</si>
  <si>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</si>
  <si>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</si>
  <si>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</si>
  <si>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</si>
  <si>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</si>
  <si>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</si>
  <si>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</si>
  <si>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</si>
  <si>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</si>
  <si>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</si>
  <si>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</si>
  <si>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</si>
  <si>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</si>
  <si>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</si>
  <si>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</si>
  <si>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</si>
  <si>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</si>
  <si>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</si>
  <si>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</si>
  <si>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</si>
  <si>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</si>
  <si>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</si>
  <si>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</si>
  <si>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</si>
  <si>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</si>
  <si>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</si>
  <si>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</si>
  <si>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</si>
  <si>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</si>
  <si>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</si>
  <si>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</si>
  <si>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</si>
  <si>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</si>
  <si>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</si>
  <si>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</si>
  <si>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</si>
  <si>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</si>
  <si>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</si>
  <si>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</si>
  <si>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</si>
  <si>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</si>
  <si>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</si>
  <si>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</si>
  <si>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</si>
  <si>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</si>
  <si>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</si>
  <si>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</si>
  <si>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</si>
  <si>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</si>
  <si>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</si>
  <si>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</si>
  <si>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</si>
  <si>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</si>
  <si>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</si>
  <si>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</si>
  <si>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</si>
  <si>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</si>
  <si>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</si>
  <si>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</si>
  <si>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</si>
  <si>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</si>
  <si>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</si>
  <si>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</si>
  <si>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</si>
  <si>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</si>
  <si>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</si>
  <si>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</si>
  <si>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</si>
  <si>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</si>
  <si>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</si>
  <si>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</si>
  <si>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</si>
  <si>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</si>
  <si>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</si>
  <si>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</si>
  <si>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</si>
  <si>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</si>
  <si>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</si>
  <si>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</si>
  <si>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</si>
  <si>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</si>
  <si>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</si>
  <si>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</si>
  <si>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</si>
  <si>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</si>
  <si>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</si>
  <si>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</si>
  <si>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</si>
  <si>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</si>
  <si>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</si>
  <si>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</si>
  <si>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</si>
  <si>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</si>
  <si>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</si>
  <si>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</si>
  <si>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</si>
  <si>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</si>
  <si>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</si>
  <si>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</si>
  <si>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</si>
  <si>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</si>
  <si>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</si>
  <si>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</si>
  <si>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</si>
  <si>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</si>
  <si>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</si>
  <si>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</si>
  <si>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</si>
  <si>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</si>
  <si>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</si>
  <si>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</si>
  <si>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</si>
  <si>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</si>
  <si>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</si>
  <si>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</si>
  <si>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</si>
  <si>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</si>
  <si>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</si>
  <si>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</si>
  <si>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</si>
  <si>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</si>
  <si>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</si>
  <si>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</si>
  <si>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</si>
  <si>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</si>
  <si>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</si>
  <si>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</si>
  <si>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</si>
  <si>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</si>
  <si>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</si>
  <si>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</si>
  <si>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</si>
  <si>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</si>
  <si>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</si>
  <si>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</si>
  <si>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</si>
  <si>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</si>
  <si>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</si>
  <si>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</si>
  <si>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</si>
  <si>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</si>
  <si>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</si>
  <si>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</si>
  <si>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</si>
  <si>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</si>
  <si>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</si>
  <si>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</si>
  <si>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</si>
  <si>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</si>
  <si>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</si>
  <si>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</si>
  <si>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</si>
  <si>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</si>
  <si>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</si>
  <si>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</si>
  <si>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</si>
  <si>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</si>
  <si>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</si>
  <si>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</si>
  <si>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</si>
  <si>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</si>
  <si>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</si>
  <si>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</si>
  <si>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</si>
  <si>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</si>
  <si>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</si>
  <si>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</si>
  <si>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</si>
  <si>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</si>
  <si>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</si>
  <si>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</si>
  <si>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</si>
  <si>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</si>
  <si>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</si>
  <si>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</si>
  <si>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</si>
  <si>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</si>
  <si>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</si>
  <si>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</si>
  <si>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</si>
  <si>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</si>
  <si>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</si>
  <si>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</si>
  <si>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</si>
  <si>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</si>
  <si>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</si>
  <si>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</si>
  <si>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</si>
  <si>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</si>
  <si>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</si>
  <si>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</si>
  <si>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</si>
  <si>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</si>
  <si>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</si>
  <si>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</si>
  <si>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</si>
  <si>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</si>
  <si>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</si>
  <si>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</si>
  <si>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</si>
  <si>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</si>
  <si>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</si>
  <si>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</si>
  <si>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</si>
  <si>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</si>
  <si>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</si>
  <si>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</si>
  <si>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</si>
  <si>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</si>
  <si>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</si>
  <si>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</si>
  <si>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</si>
  <si>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</si>
  <si>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</si>
  <si>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</si>
  <si>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</si>
  <si>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</si>
  <si>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</si>
  <si>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</si>
  <si>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</si>
  <si>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</si>
  <si>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</si>
  <si>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</si>
  <si>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</si>
  <si>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</si>
  <si>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</si>
  <si>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</si>
  <si>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</si>
  <si>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</si>
  <si>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</si>
  <si>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</si>
  <si>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</si>
  <si>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</si>
  <si>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</si>
  <si>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</si>
  <si>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</si>
  <si>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</si>
  <si>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</si>
  <si>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</si>
  <si>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</si>
  <si>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</si>
  <si>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</si>
  <si>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</si>
  <si>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</si>
  <si>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</si>
  <si>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</si>
  <si>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</si>
  <si>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</si>
  <si>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</si>
  <si>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</si>
  <si>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</si>
  <si>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</si>
  <si>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</si>
  <si>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</si>
  <si>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</si>
  <si>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</si>
  <si>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</si>
  <si>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</si>
  <si>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</si>
  <si>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</si>
  <si>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</si>
  <si>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</si>
  <si>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</si>
  <si>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</si>
  <si>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</si>
  <si>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</si>
  <si>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</si>
  <si>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</si>
  <si>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</si>
  <si>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</si>
  <si>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NOMAD Options</t>
  </si>
  <si>
    <t>stop_if_feasible</t>
  </si>
  <si>
    <t>NeosCou Options</t>
  </si>
  <si>
    <t>Unbounded model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</si>
  <si>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</si>
  <si>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</si>
  <si>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</si>
  <si>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</si>
  <si>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</si>
  <si>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</si>
  <si>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</si>
  <si>
    <t>D4</t>
  </si>
  <si>
    <t>E4</t>
  </si>
  <si>
    <t>F4</t>
  </si>
  <si>
    <t>G9&gt;=I9</t>
  </si>
  <si>
    <t>G10&lt;=I10</t>
  </si>
  <si>
    <t>G11&lt;=I11</t>
  </si>
  <si>
    <t>J21</t>
  </si>
  <si>
    <t>D14</t>
  </si>
  <si>
    <t>E14</t>
  </si>
  <si>
    <t>F14</t>
  </si>
  <si>
    <t>G14</t>
  </si>
  <si>
    <t>H14</t>
  </si>
  <si>
    <t>D15</t>
  </si>
  <si>
    <t>E15</t>
  </si>
  <si>
    <t>F15</t>
  </si>
  <si>
    <t>G15</t>
  </si>
  <si>
    <t>H15</t>
  </si>
  <si>
    <t>D16</t>
  </si>
  <si>
    <t>E16</t>
  </si>
  <si>
    <t>F16</t>
  </si>
  <si>
    <t>G16</t>
  </si>
  <si>
    <t>H16</t>
  </si>
  <si>
    <t>I14&lt;=J14</t>
  </si>
  <si>
    <t>I15&lt;=J15</t>
  </si>
  <si>
    <t>I16&lt;=J16</t>
  </si>
  <si>
    <t>D17=D18</t>
  </si>
  <si>
    <t>E17=E18</t>
  </si>
  <si>
    <t>F17=F18</t>
  </si>
  <si>
    <t>G17=G18</t>
  </si>
  <si>
    <t>H17=H18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</si>
  <si>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</si>
  <si>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</si>
  <si>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</si>
  <si>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</si>
  <si>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</si>
  <si>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</si>
  <si>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</si>
  <si>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</si>
  <si>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</si>
  <si>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</si>
  <si>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</si>
  <si>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</si>
  <si>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</si>
  <si>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</si>
  <si>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</si>
  <si>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G20=G20</t>
  </si>
  <si>
    <t>Empty</t>
  </si>
  <si>
    <t>Constraint</t>
  </si>
  <si>
    <t>This is an empty constraint</t>
  </si>
  <si>
    <t>It tests what happens for constraints that don't get sent to the solver</t>
  </si>
  <si>
    <t>J24=J24</t>
  </si>
  <si>
    <t>Binary problem with SUMIF instead of SUMPRODUCT</t>
  </si>
  <si>
    <t>This model has a zero objective and is seeking 50, so infeasible</t>
  </si>
  <si>
    <t>cost</t>
  </si>
  <si>
    <t>volume</t>
  </si>
  <si>
    <t>Nb: This deliberately takes a while to solve to optimality using CBC if cuts and heuristics are turned off</t>
  </si>
  <si>
    <t>Actual</t>
  </si>
  <si>
    <t>Expected</t>
  </si>
  <si>
    <t>We use this sheet to test warmstarts and the validity detection</t>
  </si>
  <si>
    <t>We set the iteration limit very low, so that Gurobi will not solve unless it is provided the optimal solution as a warmstart</t>
  </si>
  <si>
    <t>We then permute the values of the starting solution to check whether they get loaded as a warmstart</t>
  </si>
  <si>
    <t>This variable is not in the model, we just use it test bounds</t>
  </si>
  <si>
    <t>Heuristics</t>
  </si>
  <si>
    <t>This variable is not in the model, we use it for the sum below to stop this constraint being treated like a bound</t>
  </si>
  <si>
    <t>NA</t>
  </si>
  <si>
    <t>Works on Excel 2016, result now changes based on INFO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</si>
</sst>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.00"/>
    <numFmt numFmtId="165" formatCode="&quot;$&quot;#,##0.00;[Red]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8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3" fillId="17" borderId="17" xfId="8" applyFill="1" applyBorder="1"/>
    <xf numFmtId="0" fontId="25" fillId="0" borderId="0" xfId="8" applyFont="1"/>
    <xf numFmtId="0" fontId="13" fillId="11" borderId="37" xfId="8" applyFont="1" applyFill="1" applyBorder="1"/>
    <xf numFmtId="0" fontId="25" fillId="0" borderId="0" xfId="8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tyles" Target="styles.xml"/><Relationship Id="rId8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0C-496F-BA72-9837BFAD9040}"/>
            </c:ext>
          </c:extLst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0C-496F-BA72-9837BFAD9040}"/>
            </c:ext>
          </c:extLst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0C-496F-BA72-9837BFAD9040}"/>
            </c:ext>
          </c:extLst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0C-496F-BA72-9837BFAD9040}"/>
            </c:ext>
          </c:extLst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0C-496F-BA72-9837BFAD9040}"/>
            </c:ext>
          </c:extLst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0C-496F-BA72-9837BFAD9040}"/>
            </c:ext>
          </c:extLst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0C-496F-BA72-9837BFAD9040}"/>
            </c:ext>
          </c:extLst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0C-496F-BA72-9837BFAD9040}"/>
            </c:ext>
          </c:extLst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0C-496F-BA72-9837BFAD9040}"/>
            </c:ext>
          </c:extLst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0C-496F-BA72-9837BFAD9040}"/>
            </c:ext>
          </c:extLst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A0C-496F-BA72-9837BFAD9040}"/>
            </c:ext>
          </c:extLst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A0C-496F-BA72-9837BFAD9040}"/>
            </c:ext>
          </c:extLst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A0C-496F-BA72-9837BFAD9040}"/>
            </c:ext>
          </c:extLst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A0C-496F-BA72-9837BFAD9040}"/>
            </c:ext>
          </c:extLst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A0C-496F-BA72-9837BFAD9040}"/>
            </c:ext>
          </c:extLst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A0C-496F-BA72-9837BFAD9040}"/>
            </c:ext>
          </c:extLst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A0C-496F-BA72-9837BFAD9040}"/>
            </c:ext>
          </c:extLst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0C-496F-BA72-9837BFAD9040}"/>
            </c:ext>
          </c:extLst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0C-496F-BA72-9837BFAD9040}"/>
            </c:ext>
          </c:extLst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0C-496F-BA72-9837BFAD9040}"/>
            </c:ext>
          </c:extLst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0C-496F-BA72-9837BFAD9040}"/>
            </c:ext>
          </c:extLst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0C-496F-BA72-9837BFAD9040}"/>
            </c:ext>
          </c:extLst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A0C-496F-BA72-9837BFAD9040}"/>
            </c:ext>
          </c:extLst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A0C-496F-BA72-9837BFAD9040}"/>
            </c:ext>
          </c:extLst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A0C-496F-BA72-9837BFAD9040}"/>
            </c:ext>
          </c:extLst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A0C-496F-BA72-9837BFAD9040}"/>
            </c:ext>
          </c:extLst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A0C-496F-BA72-9837BFAD9040}"/>
            </c:ext>
          </c:extLst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A0C-496F-BA72-9837BFAD9040}"/>
            </c:ext>
          </c:extLst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A0C-496F-BA72-9837BFAD9040}"/>
            </c:ext>
          </c:extLst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A0C-496F-BA72-9837BFAD9040}"/>
            </c:ext>
          </c:extLst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A0C-496F-BA72-9837BFAD9040}"/>
            </c:ext>
          </c:extLst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A0C-496F-BA72-9837BFAD9040}"/>
            </c:ext>
          </c:extLst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A0C-496F-BA72-9837BFAD9040}"/>
            </c:ext>
          </c:extLst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A0C-496F-BA72-9837BFAD9040}"/>
            </c:ext>
          </c:extLst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A0C-496F-BA72-9837BFAD9040}"/>
            </c:ext>
          </c:extLst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A0C-496F-BA72-9837BFAD9040}"/>
            </c:ext>
          </c:extLst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A0C-496F-BA72-9837BFAD9040}"/>
            </c:ext>
          </c:extLst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A0C-496F-BA72-9837BFAD9040}"/>
            </c:ext>
          </c:extLst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A0C-496F-BA72-9837BFAD9040}"/>
            </c:ext>
          </c:extLst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3A0C-496F-BA72-9837BFAD9040}"/>
            </c:ext>
          </c:extLst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3A0C-496F-BA72-9837BFAD9040}"/>
            </c:ext>
          </c:extLst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152710528"/>
        <c:axId val="152720896"/>
        <c:axId val="152658368"/>
      </c:surface3DChart>
      <c:catAx>
        <c:axId val="15271052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72089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15272089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710528"/>
        <c:crosses val="min"/>
        <c:crossBetween val="between"/>
        <c:majorUnit val="0.1"/>
      </c:valAx>
      <c:serAx>
        <c:axId val="152658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72089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9-4790-A723-77676B9810BE}"/>
            </c:ext>
          </c:extLst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59-4790-A723-77676B9810BE}"/>
            </c:ext>
          </c:extLst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59-4790-A723-77676B9810BE}"/>
            </c:ext>
          </c:extLst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2</c:v>
                </c:pt>
                <c:pt idx="7">
                  <c:v>0</c:v>
                </c:pt>
                <c:pt idx="9">
                  <c:v>2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1</c:v>
                </c:pt>
                <c:pt idx="4">
                  <c:v>0</c:v>
                </c:pt>
                <c:pt idx="6">
                  <c:v>1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59-4790-A723-77676B981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054208"/>
        <c:axId val="153056000"/>
      </c:scatterChart>
      <c:valAx>
        <c:axId val="153054208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3056000"/>
        <c:crosses val="autoZero"/>
        <c:crossBetween val="midCat"/>
        <c:majorUnit val="0.5"/>
      </c:valAx>
      <c:valAx>
        <c:axId val="15305600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3054208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8BE-432C-9606-F8CBD3401A0F}"/>
              </c:ext>
            </c:extLst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BE-432C-9606-F8CBD3401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574720"/>
        <c:axId val="146576512"/>
      </c:scatterChart>
      <c:valAx>
        <c:axId val="146574720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576512"/>
        <c:crosses val="autoZero"/>
        <c:crossBetween val="midCat"/>
        <c:majorUnit val="1"/>
      </c:valAx>
      <c:valAx>
        <c:axId val="146576512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57472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8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9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10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11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8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9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10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11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7" name="OpenSolver6"/>
        <xdr:cNvCxnSpPr>
          <a:stCxn id="25" idx="3"/>
          <a:endCxn id="2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8" name="OpenSolver7"/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9" name="OpenSolver8"/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0" name="OpenSolver9"/>
        <xdr:cNvSpPr/>
      </xdr:nvSpPr>
      <xdr:spPr>
        <a:xfrm>
          <a:off x="36576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1" name="OpenSolver10"/>
        <xdr:cNvCxnSpPr>
          <a:stCxn id="29" idx="3"/>
          <a:endCxn id="3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2" name="OpenSolver11"/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3" name="OpenSolver12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4" name="OpenSolver13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5" name="OpenSolver14"/>
        <xdr:cNvCxnSpPr>
          <a:stCxn id="33" idx="3"/>
          <a:endCxn id="3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36" name="OpenSolver15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5143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3657600" y="1752600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48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9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0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1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53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4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5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7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8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9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1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2" name="OpenSolver1"/>
        <xdr:cNvSpPr/>
      </xdr:nvSpPr>
      <xdr:spPr>
        <a:xfrm>
          <a:off x="1162050" y="781050"/>
          <a:ext cx="1524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3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6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37" name="OpenSolver6"/>
        <xdr:cNvCxnSpPr>
          <a:stCxn id="35" idx="3"/>
          <a:endCxn id="3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3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1" name="OpenSolver10"/>
        <xdr:cNvCxnSpPr>
          <a:stCxn id="39" idx="3"/>
          <a:endCxn id="4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4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45" name="OpenSolver14"/>
        <xdr:cNvCxnSpPr>
          <a:stCxn id="43" idx="3"/>
          <a:endCxn id="4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4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485900" y="781050"/>
          <a:ext cx="10382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/>
        <xdr:cNvSpPr/>
      </xdr:nvSpPr>
      <xdr:spPr>
        <a:xfrm>
          <a:off x="321945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5</xdr:row>
      <xdr:rowOff>120650</xdr:rowOff>
    </xdr:from>
    <xdr:to>
      <xdr:col>7</xdr:col>
      <xdr:colOff>212039</xdr:colOff>
      <xdr:row>6</xdr:row>
      <xdr:rowOff>47625</xdr:rowOff>
    </xdr:to>
    <xdr:sp macro="" textlink="">
      <xdr:nvSpPr>
        <xdr:cNvPr id="19" name="OpenSolver3"/>
        <xdr:cNvSpPr/>
      </xdr:nvSpPr>
      <xdr:spPr>
        <a:xfrm>
          <a:off x="32004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/>
        <xdr:cNvSpPr/>
      </xdr:nvSpPr>
      <xdr:spPr>
        <a:xfrm>
          <a:off x="321945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1" name="OpenSolver5"/>
        <xdr:cNvSpPr/>
      </xdr:nvSpPr>
      <xdr:spPr>
        <a:xfrm>
          <a:off x="3981450" y="1552575"/>
          <a:ext cx="11049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7814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23" name="OpenSolver7"/>
        <xdr:cNvSpPr/>
      </xdr:nvSpPr>
      <xdr:spPr>
        <a:xfrm>
          <a:off x="36909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2194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398145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7814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7" name="OpenSolver11"/>
        <xdr:cNvSpPr/>
      </xdr:nvSpPr>
      <xdr:spPr>
        <a:xfrm>
          <a:off x="36909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/>
        <xdr:cNvSpPr/>
      </xdr:nvSpPr>
      <xdr:spPr>
        <a:xfrm>
          <a:off x="321945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/>
        <xdr:cNvSpPr/>
      </xdr:nvSpPr>
      <xdr:spPr>
        <a:xfrm>
          <a:off x="398145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7814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5"/>
        <xdr:cNvSpPr/>
      </xdr:nvSpPr>
      <xdr:spPr>
        <a:xfrm>
          <a:off x="36909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86050" y="1552575"/>
          <a:ext cx="771525" cy="59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 flipV="1">
          <a:off x="3457575" y="1752600"/>
          <a:ext cx="200025" cy="95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120650</xdr:rowOff>
    </xdr:from>
    <xdr:to>
      <xdr:col>9</xdr:col>
      <xdr:colOff>90488</xdr:colOff>
      <xdr:row>9</xdr:row>
      <xdr:rowOff>174625</xdr:rowOff>
    </xdr:to>
    <xdr:sp macro="" textlink="">
      <xdr:nvSpPr>
        <xdr:cNvPr id="8" name="OpenSolver7"/>
        <xdr:cNvSpPr/>
      </xdr:nvSpPr>
      <xdr:spPr>
        <a:xfrm>
          <a:off x="3367088" y="1673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86050" y="1752600"/>
          <a:ext cx="77152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195263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1947863"/>
          <a:ext cx="200025" cy="10001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118269</xdr:rowOff>
    </xdr:from>
    <xdr:to>
      <xdr:col>9</xdr:col>
      <xdr:colOff>90488</xdr:colOff>
      <xdr:row>10</xdr:row>
      <xdr:rowOff>172244</xdr:rowOff>
    </xdr:to>
    <xdr:sp macro="" textlink="">
      <xdr:nvSpPr>
        <xdr:cNvPr id="12" name="OpenSolver11"/>
        <xdr:cNvSpPr/>
      </xdr:nvSpPr>
      <xdr:spPr>
        <a:xfrm>
          <a:off x="3367088" y="1870869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240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195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196850</xdr:colOff>
      <xdr:row>4</xdr:row>
      <xdr:rowOff>107950</xdr:rowOff>
    </xdr:from>
    <xdr:to>
      <xdr:col>8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06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6195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381500" y="1362075"/>
          <a:ext cx="11906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814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40909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6195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381500" y="1752600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814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40909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6195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381500" y="1952625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814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40909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17" name="OpenSolver16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18" name="OpenSolver17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19" name="OpenSolver1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1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2" name="OpenSolver2"/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3" name="OpenSolver3"/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4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35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6" name="OpenSolver6"/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7" name="OpenSolver7"/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38" name="OpenSolver8"/>
        <xdr:cNvCxnSpPr>
          <a:stCxn id="36" idx="3"/>
          <a:endCxn id="37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39" name="OpenSolver9"/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" name="OpenSolver10"/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1" name="OpenSolver11"/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2" name="OpenSolver12"/>
        <xdr:cNvCxnSpPr>
          <a:stCxn id="40" idx="3"/>
          <a:endCxn id="41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3" name="OpenSolver13"/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14"/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15"/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16"/>
        <xdr:cNvCxnSpPr>
          <a:stCxn id="44" idx="3"/>
          <a:endCxn id="45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47" name="OpenSolver17"/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8" name="OpenSolver18"/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9" name="OpenSolver19"/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50" name="OpenSolver20"/>
        <xdr:cNvCxnSpPr>
          <a:stCxn id="48" idx="3"/>
          <a:endCxn id="49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51" name="OpenSolver21"/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52" name="OpenSolver22"/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53" name="OpenSolver23"/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54" name="OpenSolver24"/>
        <xdr:cNvCxnSpPr>
          <a:stCxn id="52" idx="2"/>
          <a:endCxn id="53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55" name="OpenSolver25"/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56" name="OpenSolverI10"/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57" name="OpenSolver27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58" name="OpenSolver28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59" name="OpenSolver29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80200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63246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1620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162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" name="OpenSolver7"/>
        <xdr:cNvSpPr/>
      </xdr:nvSpPr>
      <xdr:spPr>
        <a:xfrm>
          <a:off x="4429125" y="1552575"/>
          <a:ext cx="10953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229100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1071563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10" name="OpenSolver9"/>
        <xdr:cNvSpPr/>
      </xdr:nvSpPr>
      <xdr:spPr>
        <a:xfrm>
          <a:off x="4138613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1" name="OpenSolver10"/>
        <xdr:cNvSpPr/>
      </xdr:nvSpPr>
      <xdr:spPr>
        <a:xfrm>
          <a:off x="4429125" y="1952625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12" name="OpenSolver11"/>
        <xdr:cNvSpPr/>
      </xdr:nvSpPr>
      <xdr:spPr>
        <a:xfrm>
          <a:off x="6324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5524500" y="2047875"/>
          <a:ext cx="8001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209550</xdr:colOff>
      <xdr:row>9</xdr:row>
      <xdr:rowOff>168275</xdr:rowOff>
    </xdr:from>
    <xdr:to>
      <xdr:col>12</xdr:col>
      <xdr:colOff>0</xdr:colOff>
      <xdr:row>11</xdr:row>
      <xdr:rowOff>31750</xdr:rowOff>
    </xdr:to>
    <xdr:sp macro="" textlink="">
      <xdr:nvSpPr>
        <xdr:cNvPr id="14" name="OpenSolver13"/>
        <xdr:cNvSpPr/>
      </xdr:nvSpPr>
      <xdr:spPr>
        <a:xfrm>
          <a:off x="57340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5" name="OpenSolver14"/>
        <xdr:cNvSpPr/>
      </xdr:nvSpPr>
      <xdr:spPr>
        <a:xfrm>
          <a:off x="3067050" y="2143125"/>
          <a:ext cx="1162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16" name="OpenSolver15"/>
        <xdr:cNvSpPr/>
      </xdr:nvSpPr>
      <xdr:spPr>
        <a:xfrm>
          <a:off x="4429125" y="2143125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2291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1071563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18" name="OpenSolver17"/>
        <xdr:cNvSpPr/>
      </xdr:nvSpPr>
      <xdr:spPr>
        <a:xfrm>
          <a:off x="41386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19" name="OpenSolver18"/>
        <xdr:cNvSpPr/>
      </xdr:nvSpPr>
      <xdr:spPr>
        <a:xfrm>
          <a:off x="86963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0" name="OpenSolver19"/>
        <xdr:cNvSpPr/>
      </xdr:nvSpPr>
      <xdr:spPr>
        <a:xfrm>
          <a:off x="91630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9630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2" name="OpenSolver21"/>
        <xdr:cNvSpPr/>
      </xdr:nvSpPr>
      <xdr:spPr>
        <a:xfrm>
          <a:off x="88725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3" name="OpenSolver22"/>
        <xdr:cNvSpPr/>
      </xdr:nvSpPr>
      <xdr:spPr>
        <a:xfrm>
          <a:off x="80200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4" name="OpenSolver23"/>
        <xdr:cNvSpPr/>
      </xdr:nvSpPr>
      <xdr:spPr>
        <a:xfrm>
          <a:off x="80200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83581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26" name="OpenSolver25"/>
        <xdr:cNvSpPr/>
      </xdr:nvSpPr>
      <xdr:spPr>
        <a:xfrm>
          <a:off x="81676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7" name="OpenSolverI10"/>
        <xdr:cNvSpPr/>
      </xdr:nvSpPr>
      <xdr:spPr>
        <a:xfrm>
          <a:off x="3067050" y="1752600"/>
          <a:ext cx="11620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28" name="OpenSolverI14"/>
        <xdr:cNvSpPr/>
      </xdr:nvSpPr>
      <xdr:spPr>
        <a:xfrm>
          <a:off x="3067050" y="2524125"/>
          <a:ext cx="1162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29" name="OpenSolver28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0" name="OpenSolver29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1" name="OpenSolver30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69545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/>
        <xdr:cNvSpPr/>
      </xdr:nvSpPr>
      <xdr:spPr>
        <a:xfrm>
          <a:off x="3305175" y="1171575"/>
          <a:ext cx="6381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19" name="OpenSolver3"/>
        <xdr:cNvSpPr/>
      </xdr:nvSpPr>
      <xdr:spPr>
        <a:xfrm>
          <a:off x="32893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/>
        <xdr:cNvSpPr/>
      </xdr:nvSpPr>
      <xdr:spPr>
        <a:xfrm>
          <a:off x="3305175" y="1552575"/>
          <a:ext cx="6381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5"/>
        <xdr:cNvSpPr/>
      </xdr:nvSpPr>
      <xdr:spPr>
        <a:xfrm>
          <a:off x="4171950" y="1552575"/>
          <a:ext cx="4572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943350" y="1752600"/>
          <a:ext cx="228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23" name="OpenSolver7"/>
        <xdr:cNvSpPr/>
      </xdr:nvSpPr>
      <xdr:spPr>
        <a:xfrm>
          <a:off x="3867150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305175" y="1952625"/>
          <a:ext cx="6381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171950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943350" y="2047875"/>
          <a:ext cx="228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27" name="OpenSolver11"/>
        <xdr:cNvSpPr/>
      </xdr:nvSpPr>
      <xdr:spPr>
        <a:xfrm>
          <a:off x="3867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/>
        <xdr:cNvSpPr/>
      </xdr:nvSpPr>
      <xdr:spPr>
        <a:xfrm>
          <a:off x="3305175" y="2143125"/>
          <a:ext cx="6381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/>
        <xdr:cNvSpPr/>
      </xdr:nvSpPr>
      <xdr:spPr>
        <a:xfrm>
          <a:off x="4171950" y="21431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943350" y="2238375"/>
          <a:ext cx="228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31" name="OpenSolver15"/>
        <xdr:cNvSpPr/>
      </xdr:nvSpPr>
      <xdr:spPr>
        <a:xfrm>
          <a:off x="3867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6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7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8" name="OpenSolver4"/>
        <xdr:cNvCxnSpPr>
          <a:stCxn id="16" idx="3"/>
          <a:endCxn id="17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9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8"/>
        <xdr:cNvCxnSpPr>
          <a:stCxn id="20" idx="3"/>
          <a:endCxn id="21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12"/>
        <xdr:cNvCxnSpPr>
          <a:stCxn id="24" idx="3"/>
          <a:endCxn id="25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23" name="OpenSolver3"/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4" name="OpenSolver4"/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5" name="OpenSolver5"/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27" name="OpenSolver7"/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8" name="OpenSolver8"/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29" name="OpenSolver9"/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31" name="OpenSolver11"/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2" name="OpenSolver12"/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3" name="OpenSolver13"/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35" name="OpenSolver15"/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8"/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0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92075</xdr:colOff>
      <xdr:row>5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 flipH="1">
          <a:off x="2847975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412750</xdr:colOff>
      <xdr:row>3</xdr:row>
      <xdr:rowOff>168275</xdr:rowOff>
    </xdr:from>
    <xdr:to>
      <xdr:col>4</xdr:col>
      <xdr:colOff>279400</xdr:colOff>
      <xdr:row>5</xdr:row>
      <xdr:rowOff>31750</xdr:rowOff>
    </xdr:to>
    <xdr:sp macro="" textlink="">
      <xdr:nvSpPr>
        <xdr:cNvPr id="12" name="OpenSolver11"/>
        <xdr:cNvSpPr/>
      </xdr:nvSpPr>
      <xdr:spPr>
        <a:xfrm>
          <a:off x="2660650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D4:F4"/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5" name="OpenSolver4"/>
        <xdr:cNvSpPr/>
      </xdr:nvSpPr>
      <xdr:spPr>
        <a:xfrm>
          <a:off x="38195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6" name="OpenSolver5"/>
        <xdr:cNvSpPr/>
      </xdr:nvSpPr>
      <xdr:spPr>
        <a:xfrm>
          <a:off x="45815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6"/>
        <xdr:cNvCxnSpPr>
          <a:stCxn id="25" idx="3"/>
          <a:endCxn id="26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8" name="OpenSolver7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9" name="OpenSolver8"/>
        <xdr:cNvSpPr/>
      </xdr:nvSpPr>
      <xdr:spPr>
        <a:xfrm>
          <a:off x="2260600" y="793750"/>
          <a:ext cx="13493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0" name="OpenSolver9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11113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31" name="OpenSolver10"/>
        <xdr:cNvCxnSpPr>
          <a:stCxn id="29" idx="2"/>
          <a:endCxn id="30" idx="0"/>
        </xdr:cNvCxnSpPr>
      </xdr:nvCxnSpPr>
      <xdr:spPr>
        <a:xfrm>
          <a:off x="2935288" y="971550"/>
          <a:ext cx="160337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577057</xdr:colOff>
      <xdr:row>4</xdr:row>
      <xdr:rowOff>163513</xdr:rowOff>
    </xdr:from>
    <xdr:to>
      <xdr:col>4</xdr:col>
      <xdr:colOff>281782</xdr:colOff>
      <xdr:row>6</xdr:row>
      <xdr:rowOff>26988</xdr:rowOff>
    </xdr:to>
    <xdr:sp macro="" textlink="">
      <xdr:nvSpPr>
        <xdr:cNvPr id="32" name="OpenSolver11"/>
        <xdr:cNvSpPr/>
      </xdr:nvSpPr>
      <xdr:spPr>
        <a:xfrm>
          <a:off x="2824957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33" name="OpenSolver12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6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17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8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9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0" name="OpenSolver6"/>
        <xdr:cNvCxnSpPr>
          <a:stCxn id="18" idx="3"/>
          <a:endCxn id="19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1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2" name="OpenSolver8"/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3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24" name="OpenSolver10"/>
        <xdr:cNvCxnSpPr>
          <a:stCxn id="22" idx="2"/>
          <a:endCxn id="23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25" name="OpenSolver11"/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6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7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3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5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6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7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8" name="OpenSolver6"/>
        <xdr:cNvCxnSpPr>
          <a:stCxn id="26" idx="3"/>
          <a:endCxn id="27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9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30" name="OpenSolver8"/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1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32" name="OpenSolver10"/>
        <xdr:cNvCxnSpPr>
          <a:stCxn id="30" idx="2"/>
          <a:endCxn id="31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33" name="OpenSolver11"/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34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35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4" name="OpenSolver4"/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5" name="OpenSolver5"/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7" name="OpenSolver7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8" name="OpenSolver8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9" name="OpenSolver9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5" name="OpenSolver4"/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6" name="OpenSolver5"/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8" name="OpenSolver7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9" name="OpenSolver8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12" name="OpenSolver11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2247900" y="581025"/>
          <a:ext cx="16668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2" name="OpenSolver2"/>
        <xdr:cNvSpPr/>
      </xdr:nvSpPr>
      <xdr:spPr>
        <a:xfrm>
          <a:off x="4124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6</xdr:row>
      <xdr:rowOff>111125</xdr:rowOff>
    </xdr:from>
    <xdr:to>
      <xdr:col>7</xdr:col>
      <xdr:colOff>221564</xdr:colOff>
      <xdr:row>7</xdr:row>
      <xdr:rowOff>47625</xdr:rowOff>
    </xdr:to>
    <xdr:sp macro="" textlink="">
      <xdr:nvSpPr>
        <xdr:cNvPr id="23" name="OpenSolver3"/>
        <xdr:cNvSpPr/>
      </xdr:nvSpPr>
      <xdr:spPr>
        <a:xfrm>
          <a:off x="41148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4124325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86325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686300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27" name="OpenSolver7"/>
        <xdr:cNvSpPr/>
      </xdr:nvSpPr>
      <xdr:spPr>
        <a:xfrm>
          <a:off x="4595813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28" name="OpenSolver8"/>
        <xdr:cNvSpPr/>
      </xdr:nvSpPr>
      <xdr:spPr>
        <a:xfrm>
          <a:off x="2260600" y="593725"/>
          <a:ext cx="1654175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9" name="OpenSolver9"/>
        <xdr:cNvSpPr/>
      </xdr:nvSpPr>
      <xdr:spPr>
        <a:xfrm>
          <a:off x="2247900" y="971550"/>
          <a:ext cx="16668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119063</xdr:colOff>
      <xdr:row>4</xdr:row>
      <xdr:rowOff>0</xdr:rowOff>
    </xdr:from>
    <xdr:to>
      <xdr:col>4</xdr:col>
      <xdr:colOff>125413</xdr:colOff>
      <xdr:row>5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 flipH="1">
          <a:off x="3081338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646113</xdr:colOff>
      <xdr:row>3</xdr:row>
      <xdr:rowOff>168275</xdr:rowOff>
    </xdr:from>
    <xdr:to>
      <xdr:col>4</xdr:col>
      <xdr:colOff>312738</xdr:colOff>
      <xdr:row>5</xdr:row>
      <xdr:rowOff>31750</xdr:rowOff>
    </xdr:to>
    <xdr:sp macro="" textlink="">
      <xdr:nvSpPr>
        <xdr:cNvPr id="31" name="OpenSolver11"/>
        <xdr:cNvSpPr/>
      </xdr:nvSpPr>
      <xdr:spPr>
        <a:xfrm>
          <a:off x="2894013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1" name="OpenSolver1"/>
        <xdr:cNvSpPr/>
      </xdr:nvSpPr>
      <xdr:spPr>
        <a:xfrm>
          <a:off x="2247900" y="781050"/>
          <a:ext cx="17049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41624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3" name="OpenSolver3"/>
        <xdr:cNvSpPr/>
      </xdr:nvSpPr>
      <xdr:spPr>
        <a:xfrm>
          <a:off x="4152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4" name="OpenSolver4"/>
        <xdr:cNvSpPr/>
      </xdr:nvSpPr>
      <xdr:spPr>
        <a:xfrm>
          <a:off x="41624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5" name="OpenSolver5"/>
        <xdr:cNvSpPr/>
      </xdr:nvSpPr>
      <xdr:spPr>
        <a:xfrm>
          <a:off x="49244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7244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7"/>
        <xdr:cNvSpPr/>
      </xdr:nvSpPr>
      <xdr:spPr>
        <a:xfrm>
          <a:off x="46339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8" name="OpenSolver8"/>
        <xdr:cNvSpPr/>
      </xdr:nvSpPr>
      <xdr:spPr>
        <a:xfrm>
          <a:off x="2260600" y="793750"/>
          <a:ext cx="16922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2247900" y="1171575"/>
          <a:ext cx="1704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338138</xdr:colOff>
      <xdr:row>5</xdr:row>
      <xdr:rowOff>0</xdr:rowOff>
    </xdr:from>
    <xdr:to>
      <xdr:col>4</xdr:col>
      <xdr:colOff>344488</xdr:colOff>
      <xdr:row>6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 flipH="1">
          <a:off x="3100388" y="971550"/>
          <a:ext cx="635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150813</xdr:colOff>
      <xdr:row>4</xdr:row>
      <xdr:rowOff>163513</xdr:rowOff>
    </xdr:from>
    <xdr:to>
      <xdr:col>4</xdr:col>
      <xdr:colOff>531813</xdr:colOff>
      <xdr:row>6</xdr:row>
      <xdr:rowOff>26988</xdr:rowOff>
    </xdr:to>
    <xdr:sp macro="" textlink="">
      <xdr:nvSpPr>
        <xdr:cNvPr id="31" name="OpenSolver11"/>
        <xdr:cNvSpPr/>
      </xdr:nvSpPr>
      <xdr:spPr>
        <a:xfrm>
          <a:off x="29130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1433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1275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1433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49053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47053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46148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00012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-10*2≤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3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4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15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6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7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9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0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21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23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556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12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16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621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31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2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33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4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5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6" name="OpenSolver8"/>
        <xdr:cNvCxnSpPr>
          <a:stCxn id="34" idx="3"/>
          <a:endCxn id="35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37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8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9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40" name="OpenSolver12"/>
        <xdr:cNvCxnSpPr>
          <a:stCxn id="38" idx="3"/>
          <a:endCxn id="39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41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3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4" name="OpenSolver16"/>
        <xdr:cNvCxnSpPr>
          <a:stCxn id="42" idx="3"/>
          <a:endCxn id="43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5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46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47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48" name="OpenSolver20"/>
        <xdr:cNvCxnSpPr>
          <a:stCxn id="46" idx="3"/>
          <a:endCxn id="47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49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50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51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52" name="OpenSolver24"/>
        <xdr:cNvCxnSpPr>
          <a:stCxn id="50" idx="2"/>
          <a:endCxn id="51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53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7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17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8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19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0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1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3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4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5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27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31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3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3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37" name="OpenSolver6"/>
        <xdr:cNvCxnSpPr>
          <a:stCxn id="35" idx="3"/>
          <a:endCxn id="3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38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4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41" name="OpenSolver10"/>
        <xdr:cNvCxnSpPr>
          <a:stCxn id="39" idx="3"/>
          <a:endCxn id="4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42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45" name="OpenSolver14"/>
        <xdr:cNvCxnSpPr>
          <a:stCxn id="43" idx="3"/>
          <a:endCxn id="4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46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962150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3528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340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3528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1148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9147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38242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3528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1148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914775" y="17526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2" name="OpenSolver11"/>
        <xdr:cNvSpPr/>
      </xdr:nvSpPr>
      <xdr:spPr>
        <a:xfrm>
          <a:off x="38242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16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sp macro="" textlink="">
      <xdr:nvSpPr>
        <xdr:cNvPr id="36" name="OpenSolver16"/>
        <xdr:cNvSpPr/>
      </xdr:nvSpPr>
      <xdr:spPr>
        <a:xfrm>
          <a:off x="3590925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</xdr:col>
      <xdr:colOff>12700</xdr:colOff>
      <xdr:row>19</xdr:row>
      <xdr:rowOff>12700</xdr:rowOff>
    </xdr:from>
    <xdr:to>
      <xdr:col>7</xdr:col>
      <xdr:colOff>0</xdr:colOff>
      <xdr:row>20</xdr:row>
      <xdr:rowOff>0</xdr:rowOff>
    </xdr:to>
    <xdr:sp macro="" textlink="">
      <xdr:nvSpPr>
        <xdr:cNvPr id="37" name="OpenSolver17"/>
        <xdr:cNvSpPr/>
      </xdr:nvSpPr>
      <xdr:spPr>
        <a:xfrm>
          <a:off x="3603625" y="3679825"/>
          <a:ext cx="5778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6</xdr:col>
      <xdr:colOff>295275</xdr:colOff>
      <xdr:row>20</xdr:row>
      <xdr:rowOff>0</xdr:rowOff>
    </xdr:from>
    <xdr:to>
      <xdr:col>6</xdr:col>
      <xdr:colOff>301625</xdr:colOff>
      <xdr:row>20</xdr:row>
      <xdr:rowOff>0</xdr:rowOff>
    </xdr:to>
    <xdr:cxnSp macro="">
      <xdr:nvCxnSpPr>
        <xdr:cNvPr id="38" name="OpenSolver18"/>
        <xdr:cNvCxnSpPr>
          <a:stCxn id="36" idx="2"/>
          <a:endCxn id="37" idx="2"/>
        </xdr:cNvCxnSpPr>
      </xdr:nvCxnSpPr>
      <xdr:spPr>
        <a:xfrm>
          <a:off x="3886200" y="3857625"/>
          <a:ext cx="6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107950</xdr:colOff>
      <xdr:row>19</xdr:row>
      <xdr:rowOff>63500</xdr:rowOff>
    </xdr:from>
    <xdr:to>
      <xdr:col>6</xdr:col>
      <xdr:colOff>488950</xdr:colOff>
      <xdr:row>20</xdr:row>
      <xdr:rowOff>127000</xdr:rowOff>
    </xdr:to>
    <xdr:sp macro="" textlink="">
      <xdr:nvSpPr>
        <xdr:cNvPr id="39" name="OpenSolver19"/>
        <xdr:cNvSpPr/>
      </xdr:nvSpPr>
      <xdr:spPr>
        <a:xfrm>
          <a:off x="3698875" y="373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7811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433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/>
        <xdr:cNvSpPr/>
      </xdr:nvSpPr>
      <xdr:spPr>
        <a:xfrm>
          <a:off x="41275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433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24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339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387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41433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5324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339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8387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41433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5324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339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21" name="OpenSolver15"/>
        <xdr:cNvSpPr/>
      </xdr:nvSpPr>
      <xdr:spPr>
        <a:xfrm>
          <a:off x="48387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19275" y="3905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81475" y="79057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120650</xdr:rowOff>
    </xdr:from>
    <xdr:to>
      <xdr:col>7</xdr:col>
      <xdr:colOff>215214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814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625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72025" y="13716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76800" y="12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9" name="OpenSolver8"/>
        <xdr:cNvSpPr/>
      </xdr:nvSpPr>
      <xdr:spPr>
        <a:xfrm>
          <a:off x="41814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10" name="OpenSolver9"/>
        <xdr:cNvSpPr/>
      </xdr:nvSpPr>
      <xdr:spPr>
        <a:xfrm>
          <a:off x="53625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180975</xdr:rowOff>
    </xdr:from>
    <xdr:to>
      <xdr:col>9</xdr:col>
      <xdr:colOff>0</xdr:colOff>
      <xdr:row>39</xdr:row>
      <xdr:rowOff>180975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72025" y="76676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39</xdr:row>
      <xdr:rowOff>53975</xdr:rowOff>
    </xdr:from>
    <xdr:to>
      <xdr:col>8</xdr:col>
      <xdr:colOff>485775</xdr:colOff>
      <xdr:row>40</xdr:row>
      <xdr:rowOff>117475</xdr:rowOff>
    </xdr:to>
    <xdr:sp macro="" textlink="">
      <xdr:nvSpPr>
        <xdr:cNvPr id="12" name="OpenSolver11"/>
        <xdr:cNvSpPr/>
      </xdr:nvSpPr>
      <xdr:spPr>
        <a:xfrm>
          <a:off x="4876800" y="754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13" name="OpenSolver12"/>
        <xdr:cNvSpPr/>
      </xdr:nvSpPr>
      <xdr:spPr>
        <a:xfrm>
          <a:off x="41814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14" name="OpenSolver13"/>
        <xdr:cNvSpPr/>
      </xdr:nvSpPr>
      <xdr:spPr>
        <a:xfrm>
          <a:off x="53625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72025" y="138684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71</xdr:row>
      <xdr:rowOff>158750</xdr:rowOff>
    </xdr:from>
    <xdr:to>
      <xdr:col>8</xdr:col>
      <xdr:colOff>485775</xdr:colOff>
      <xdr:row>73</xdr:row>
      <xdr:rowOff>31750</xdr:rowOff>
    </xdr:to>
    <xdr:sp macro="" textlink="">
      <xdr:nvSpPr>
        <xdr:cNvPr id="16" name="OpenSolver15"/>
        <xdr:cNvSpPr/>
      </xdr:nvSpPr>
      <xdr:spPr>
        <a:xfrm>
          <a:off x="4876800" y="13741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17" name="OpenSolver16"/>
        <xdr:cNvSpPr/>
      </xdr:nvSpPr>
      <xdr:spPr>
        <a:xfrm>
          <a:off x="41814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18" name="OpenSolver17"/>
        <xdr:cNvSpPr/>
      </xdr:nvSpPr>
      <xdr:spPr>
        <a:xfrm>
          <a:off x="53625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772025" y="140589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72</xdr:row>
      <xdr:rowOff>158750</xdr:rowOff>
    </xdr:from>
    <xdr:to>
      <xdr:col>8</xdr:col>
      <xdr:colOff>485775</xdr:colOff>
      <xdr:row>74</xdr:row>
      <xdr:rowOff>31750</xdr:rowOff>
    </xdr:to>
    <xdr:sp macro="" textlink="">
      <xdr:nvSpPr>
        <xdr:cNvPr id="20" name="OpenSolver19"/>
        <xdr:cNvSpPr/>
      </xdr:nvSpPr>
      <xdr:spPr>
        <a:xfrm>
          <a:off x="4876800" y="1393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21" name="OpenSolver20"/>
        <xdr:cNvSpPr/>
      </xdr:nvSpPr>
      <xdr:spPr>
        <a:xfrm>
          <a:off x="41814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22" name="OpenSolver21"/>
        <xdr:cNvSpPr/>
      </xdr:nvSpPr>
      <xdr:spPr>
        <a:xfrm>
          <a:off x="53625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0</xdr:rowOff>
    </xdr:from>
    <xdr:to>
      <xdr:col>9</xdr:col>
      <xdr:colOff>0</xdr:colOff>
      <xdr:row>106</xdr:row>
      <xdr:rowOff>0</xdr:rowOff>
    </xdr:to>
    <xdr:cxnSp macro="">
      <xdr:nvCxnSpPr>
        <xdr:cNvPr id="23" name="OpenSolver22"/>
        <xdr:cNvCxnSpPr>
          <a:stCxn id="21" idx="3"/>
          <a:endCxn id="22" idx="1"/>
        </xdr:cNvCxnSpPr>
      </xdr:nvCxnSpPr>
      <xdr:spPr>
        <a:xfrm>
          <a:off x="4772025" y="20250150"/>
          <a:ext cx="590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105</xdr:row>
      <xdr:rowOff>63500</xdr:rowOff>
    </xdr:from>
    <xdr:to>
      <xdr:col>8</xdr:col>
      <xdr:colOff>485775</xdr:colOff>
      <xdr:row>106</xdr:row>
      <xdr:rowOff>127000</xdr:rowOff>
    </xdr:to>
    <xdr:sp macro="" textlink="">
      <xdr:nvSpPr>
        <xdr:cNvPr id="24" name="OpenSolver23"/>
        <xdr:cNvSpPr/>
      </xdr:nvSpPr>
      <xdr:spPr>
        <a:xfrm>
          <a:off x="4876800" y="2012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25" name="OpenSolver24"/>
        <xdr:cNvSpPr/>
      </xdr:nvSpPr>
      <xdr:spPr>
        <a:xfrm>
          <a:off x="41814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26" name="OpenSolver25"/>
        <xdr:cNvSpPr/>
      </xdr:nvSpPr>
      <xdr:spPr>
        <a:xfrm>
          <a:off x="53625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27" name="OpenSolver26"/>
        <xdr:cNvCxnSpPr>
          <a:stCxn id="25" idx="3"/>
          <a:endCxn id="26" idx="1"/>
        </xdr:cNvCxnSpPr>
      </xdr:nvCxnSpPr>
      <xdr:spPr>
        <a:xfrm>
          <a:off x="4772025" y="26441400"/>
          <a:ext cx="590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137</xdr:row>
      <xdr:rowOff>158750</xdr:rowOff>
    </xdr:from>
    <xdr:to>
      <xdr:col>8</xdr:col>
      <xdr:colOff>485775</xdr:colOff>
      <xdr:row>139</xdr:row>
      <xdr:rowOff>31750</xdr:rowOff>
    </xdr:to>
    <xdr:sp macro="" textlink="">
      <xdr:nvSpPr>
        <xdr:cNvPr id="28" name="OpenSolver27"/>
        <xdr:cNvSpPr/>
      </xdr:nvSpPr>
      <xdr:spPr>
        <a:xfrm>
          <a:off x="4876800" y="26314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6</xdr:row>
      <xdr:rowOff>12700</xdr:rowOff>
    </xdr:from>
    <xdr:to>
      <xdr:col>8</xdr:col>
      <xdr:colOff>0</xdr:colOff>
      <xdr:row>8</xdr:row>
      <xdr:rowOff>0</xdr:rowOff>
    </xdr:to>
    <xdr:sp macro="" textlink="">
      <xdr:nvSpPr>
        <xdr:cNvPr id="29" name="OpenSolver28"/>
        <xdr:cNvSpPr/>
      </xdr:nvSpPr>
      <xdr:spPr>
        <a:xfrm>
          <a:off x="4194175" y="1193800"/>
          <a:ext cx="577850" cy="368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12700</xdr:colOff>
      <xdr:row>6</xdr:row>
      <xdr:rowOff>12700</xdr:rowOff>
    </xdr:from>
    <xdr:to>
      <xdr:col>10</xdr:col>
      <xdr:colOff>0</xdr:colOff>
      <xdr:row>8</xdr:row>
      <xdr:rowOff>0</xdr:rowOff>
    </xdr:to>
    <xdr:sp macro="" textlink="">
      <xdr:nvSpPr>
        <xdr:cNvPr id="30" name="OpenSolver29"/>
        <xdr:cNvSpPr/>
      </xdr:nvSpPr>
      <xdr:spPr>
        <a:xfrm>
          <a:off x="5375275" y="1193800"/>
          <a:ext cx="577850" cy="368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6350</xdr:rowOff>
    </xdr:from>
    <xdr:to>
      <xdr:col>9</xdr:col>
      <xdr:colOff>12700</xdr:colOff>
      <xdr:row>7</xdr:row>
      <xdr:rowOff>6350</xdr:rowOff>
    </xdr:to>
    <xdr:cxnSp macro="">
      <xdr:nvCxnSpPr>
        <xdr:cNvPr id="31" name="OpenSolver30"/>
        <xdr:cNvCxnSpPr>
          <a:stCxn id="29" idx="3"/>
          <a:endCxn id="30" idx="1"/>
        </xdr:cNvCxnSpPr>
      </xdr:nvCxnSpPr>
      <xdr:spPr>
        <a:xfrm>
          <a:off x="4772025" y="1377950"/>
          <a:ext cx="6032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6</xdr:row>
      <xdr:rowOff>69850</xdr:rowOff>
    </xdr:from>
    <xdr:to>
      <xdr:col>8</xdr:col>
      <xdr:colOff>492125</xdr:colOff>
      <xdr:row>7</xdr:row>
      <xdr:rowOff>133350</xdr:rowOff>
    </xdr:to>
    <xdr:sp macro="" textlink="">
      <xdr:nvSpPr>
        <xdr:cNvPr id="9120" name="OpenSolver31"/>
        <xdr:cNvSpPr/>
      </xdr:nvSpPr>
      <xdr:spPr>
        <a:xfrm>
          <a:off x="4883150" y="125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8</xdr:row>
      <xdr:rowOff>12700</xdr:rowOff>
    </xdr:from>
    <xdr:to>
      <xdr:col>8</xdr:col>
      <xdr:colOff>0</xdr:colOff>
      <xdr:row>72</xdr:row>
      <xdr:rowOff>0</xdr:rowOff>
    </xdr:to>
    <xdr:sp macro="" textlink="">
      <xdr:nvSpPr>
        <xdr:cNvPr id="9121" name="OpenSolver32"/>
        <xdr:cNvSpPr/>
      </xdr:nvSpPr>
      <xdr:spPr>
        <a:xfrm>
          <a:off x="4194175" y="1574800"/>
          <a:ext cx="577850" cy="12198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12700</xdr:colOff>
      <xdr:row>8</xdr:row>
      <xdr:rowOff>12700</xdr:rowOff>
    </xdr:from>
    <xdr:to>
      <xdr:col>10</xdr:col>
      <xdr:colOff>0</xdr:colOff>
      <xdr:row>72</xdr:row>
      <xdr:rowOff>0</xdr:rowOff>
    </xdr:to>
    <xdr:sp macro="" textlink="">
      <xdr:nvSpPr>
        <xdr:cNvPr id="9122" name="OpenSolver33"/>
        <xdr:cNvSpPr/>
      </xdr:nvSpPr>
      <xdr:spPr>
        <a:xfrm>
          <a:off x="5375275" y="1574800"/>
          <a:ext cx="577850" cy="12198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187325</xdr:rowOff>
    </xdr:from>
    <xdr:to>
      <xdr:col>9</xdr:col>
      <xdr:colOff>12700</xdr:colOff>
      <xdr:row>39</xdr:row>
      <xdr:rowOff>187325</xdr:rowOff>
    </xdr:to>
    <xdr:cxnSp macro="">
      <xdr:nvCxnSpPr>
        <xdr:cNvPr id="9123" name="OpenSolver34"/>
        <xdr:cNvCxnSpPr>
          <a:stCxn id="9121" idx="3"/>
          <a:endCxn id="9122" idx="1"/>
        </xdr:cNvCxnSpPr>
      </xdr:nvCxnSpPr>
      <xdr:spPr>
        <a:xfrm>
          <a:off x="4772025" y="7673975"/>
          <a:ext cx="603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39</xdr:row>
      <xdr:rowOff>60325</xdr:rowOff>
    </xdr:from>
    <xdr:to>
      <xdr:col>8</xdr:col>
      <xdr:colOff>492125</xdr:colOff>
      <xdr:row>40</xdr:row>
      <xdr:rowOff>123825</xdr:rowOff>
    </xdr:to>
    <xdr:sp macro="" textlink="">
      <xdr:nvSpPr>
        <xdr:cNvPr id="9124" name="OpenSolver35"/>
        <xdr:cNvSpPr/>
      </xdr:nvSpPr>
      <xdr:spPr>
        <a:xfrm>
          <a:off x="4883150" y="7546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72</xdr:row>
      <xdr:rowOff>12700</xdr:rowOff>
    </xdr:from>
    <xdr:to>
      <xdr:col>8</xdr:col>
      <xdr:colOff>0</xdr:colOff>
      <xdr:row>73</xdr:row>
      <xdr:rowOff>0</xdr:rowOff>
    </xdr:to>
    <xdr:sp macro="" textlink="">
      <xdr:nvSpPr>
        <xdr:cNvPr id="9125" name="OpenSolver36"/>
        <xdr:cNvSpPr/>
      </xdr:nvSpPr>
      <xdr:spPr>
        <a:xfrm>
          <a:off x="4194175" y="13785850"/>
          <a:ext cx="5778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12700</xdr:colOff>
      <xdr:row>72</xdr:row>
      <xdr:rowOff>12700</xdr:rowOff>
    </xdr:from>
    <xdr:to>
      <xdr:col>10</xdr:col>
      <xdr:colOff>0</xdr:colOff>
      <xdr:row>73</xdr:row>
      <xdr:rowOff>0</xdr:rowOff>
    </xdr:to>
    <xdr:sp macro="" textlink="">
      <xdr:nvSpPr>
        <xdr:cNvPr id="9126" name="OpenSolver37"/>
        <xdr:cNvSpPr/>
      </xdr:nvSpPr>
      <xdr:spPr>
        <a:xfrm>
          <a:off x="5375275" y="13785850"/>
          <a:ext cx="5778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101600</xdr:rowOff>
    </xdr:from>
    <xdr:to>
      <xdr:col>9</xdr:col>
      <xdr:colOff>12700</xdr:colOff>
      <xdr:row>72</xdr:row>
      <xdr:rowOff>101600</xdr:rowOff>
    </xdr:to>
    <xdr:cxnSp macro="">
      <xdr:nvCxnSpPr>
        <xdr:cNvPr id="9127" name="OpenSolver38"/>
        <xdr:cNvCxnSpPr>
          <a:stCxn id="9125" idx="3"/>
          <a:endCxn id="9126" idx="1"/>
        </xdr:cNvCxnSpPr>
      </xdr:nvCxnSpPr>
      <xdr:spPr>
        <a:xfrm>
          <a:off x="4772025" y="13874750"/>
          <a:ext cx="603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71</xdr:row>
      <xdr:rowOff>165100</xdr:rowOff>
    </xdr:from>
    <xdr:to>
      <xdr:col>8</xdr:col>
      <xdr:colOff>492125</xdr:colOff>
      <xdr:row>73</xdr:row>
      <xdr:rowOff>38100</xdr:rowOff>
    </xdr:to>
    <xdr:sp macro="" textlink="">
      <xdr:nvSpPr>
        <xdr:cNvPr id="9128" name="OpenSolver39"/>
        <xdr:cNvSpPr/>
      </xdr:nvSpPr>
      <xdr:spPr>
        <a:xfrm>
          <a:off x="4883150" y="1374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73</xdr:row>
      <xdr:rowOff>12700</xdr:rowOff>
    </xdr:from>
    <xdr:to>
      <xdr:col>8</xdr:col>
      <xdr:colOff>0</xdr:colOff>
      <xdr:row>74</xdr:row>
      <xdr:rowOff>0</xdr:rowOff>
    </xdr:to>
    <xdr:sp macro="" textlink="">
      <xdr:nvSpPr>
        <xdr:cNvPr id="9129" name="OpenSolver40"/>
        <xdr:cNvSpPr/>
      </xdr:nvSpPr>
      <xdr:spPr>
        <a:xfrm>
          <a:off x="4194175" y="13976350"/>
          <a:ext cx="5778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12700</xdr:colOff>
      <xdr:row>73</xdr:row>
      <xdr:rowOff>12700</xdr:rowOff>
    </xdr:from>
    <xdr:to>
      <xdr:col>10</xdr:col>
      <xdr:colOff>0</xdr:colOff>
      <xdr:row>74</xdr:row>
      <xdr:rowOff>0</xdr:rowOff>
    </xdr:to>
    <xdr:sp macro="" textlink="">
      <xdr:nvSpPr>
        <xdr:cNvPr id="9130" name="OpenSolver41"/>
        <xdr:cNvSpPr/>
      </xdr:nvSpPr>
      <xdr:spPr>
        <a:xfrm>
          <a:off x="5375275" y="13976350"/>
          <a:ext cx="5778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101600</xdr:rowOff>
    </xdr:from>
    <xdr:to>
      <xdr:col>9</xdr:col>
      <xdr:colOff>12700</xdr:colOff>
      <xdr:row>73</xdr:row>
      <xdr:rowOff>101600</xdr:rowOff>
    </xdr:to>
    <xdr:cxnSp macro="">
      <xdr:nvCxnSpPr>
        <xdr:cNvPr id="9131" name="OpenSolver42"/>
        <xdr:cNvCxnSpPr>
          <a:stCxn id="9129" idx="3"/>
          <a:endCxn id="9130" idx="1"/>
        </xdr:cNvCxnSpPr>
      </xdr:nvCxnSpPr>
      <xdr:spPr>
        <a:xfrm>
          <a:off x="4772025" y="14065250"/>
          <a:ext cx="6032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72</xdr:row>
      <xdr:rowOff>165100</xdr:rowOff>
    </xdr:from>
    <xdr:to>
      <xdr:col>8</xdr:col>
      <xdr:colOff>492125</xdr:colOff>
      <xdr:row>74</xdr:row>
      <xdr:rowOff>38100</xdr:rowOff>
    </xdr:to>
    <xdr:sp macro="" textlink="">
      <xdr:nvSpPr>
        <xdr:cNvPr id="9159" name="OpenSolver43"/>
        <xdr:cNvSpPr/>
      </xdr:nvSpPr>
      <xdr:spPr>
        <a:xfrm>
          <a:off x="4883150" y="13938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74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160" name="OpenSolver44"/>
        <xdr:cNvSpPr/>
      </xdr:nvSpPr>
      <xdr:spPr>
        <a:xfrm>
          <a:off x="4194175" y="14166850"/>
          <a:ext cx="577850" cy="12179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12700</xdr:colOff>
      <xdr:row>74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161" name="OpenSolver45"/>
        <xdr:cNvSpPr/>
      </xdr:nvSpPr>
      <xdr:spPr>
        <a:xfrm>
          <a:off x="5375275" y="14166850"/>
          <a:ext cx="577850" cy="12179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6350</xdr:rowOff>
    </xdr:from>
    <xdr:to>
      <xdr:col>9</xdr:col>
      <xdr:colOff>12700</xdr:colOff>
      <xdr:row>106</xdr:row>
      <xdr:rowOff>6350</xdr:rowOff>
    </xdr:to>
    <xdr:cxnSp macro="">
      <xdr:nvCxnSpPr>
        <xdr:cNvPr id="9162" name="OpenSolver46"/>
        <xdr:cNvCxnSpPr>
          <a:stCxn id="9160" idx="3"/>
          <a:endCxn id="9161" idx="1"/>
        </xdr:cNvCxnSpPr>
      </xdr:nvCxnSpPr>
      <xdr:spPr>
        <a:xfrm>
          <a:off x="4772025" y="20256500"/>
          <a:ext cx="6032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105</xdr:row>
      <xdr:rowOff>69850</xdr:rowOff>
    </xdr:from>
    <xdr:to>
      <xdr:col>8</xdr:col>
      <xdr:colOff>492125</xdr:colOff>
      <xdr:row>106</xdr:row>
      <xdr:rowOff>133350</xdr:rowOff>
    </xdr:to>
    <xdr:sp macro="" textlink="">
      <xdr:nvSpPr>
        <xdr:cNvPr id="9163" name="OpenSolver47"/>
        <xdr:cNvSpPr/>
      </xdr:nvSpPr>
      <xdr:spPr>
        <a:xfrm>
          <a:off x="4883150" y="20129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138</xdr:row>
      <xdr:rowOff>12700</xdr:rowOff>
    </xdr:from>
    <xdr:to>
      <xdr:col>8</xdr:col>
      <xdr:colOff>0</xdr:colOff>
      <xdr:row>139</xdr:row>
      <xdr:rowOff>0</xdr:rowOff>
    </xdr:to>
    <xdr:sp macro="" textlink="">
      <xdr:nvSpPr>
        <xdr:cNvPr id="9164" name="OpenSolver48"/>
        <xdr:cNvSpPr/>
      </xdr:nvSpPr>
      <xdr:spPr>
        <a:xfrm>
          <a:off x="4194175" y="26358850"/>
          <a:ext cx="5778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12700</xdr:colOff>
      <xdr:row>138</xdr:row>
      <xdr:rowOff>12700</xdr:rowOff>
    </xdr:from>
    <xdr:to>
      <xdr:col>10</xdr:col>
      <xdr:colOff>0</xdr:colOff>
      <xdr:row>139</xdr:row>
      <xdr:rowOff>0</xdr:rowOff>
    </xdr:to>
    <xdr:sp macro="" textlink="">
      <xdr:nvSpPr>
        <xdr:cNvPr id="9165" name="OpenSolver49"/>
        <xdr:cNvSpPr/>
      </xdr:nvSpPr>
      <xdr:spPr>
        <a:xfrm>
          <a:off x="5375275" y="26358850"/>
          <a:ext cx="5778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101600</xdr:rowOff>
    </xdr:from>
    <xdr:to>
      <xdr:col>9</xdr:col>
      <xdr:colOff>12700</xdr:colOff>
      <xdr:row>138</xdr:row>
      <xdr:rowOff>101600</xdr:rowOff>
    </xdr:to>
    <xdr:cxnSp macro="">
      <xdr:nvCxnSpPr>
        <xdr:cNvPr id="9166" name="OpenSolver50"/>
        <xdr:cNvCxnSpPr>
          <a:stCxn id="9164" idx="3"/>
          <a:endCxn id="9165" idx="1"/>
        </xdr:cNvCxnSpPr>
      </xdr:nvCxnSpPr>
      <xdr:spPr>
        <a:xfrm>
          <a:off x="4772025" y="26447750"/>
          <a:ext cx="603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137</xdr:row>
      <xdr:rowOff>165100</xdr:rowOff>
    </xdr:from>
    <xdr:to>
      <xdr:col>8</xdr:col>
      <xdr:colOff>492125</xdr:colOff>
      <xdr:row>139</xdr:row>
      <xdr:rowOff>38100</xdr:rowOff>
    </xdr:to>
    <xdr:sp macro="" textlink="">
      <xdr:nvSpPr>
        <xdr:cNvPr id="9167" name="OpenSolver51"/>
        <xdr:cNvSpPr/>
      </xdr:nvSpPr>
      <xdr:spPr>
        <a:xfrm>
          <a:off x="4883150" y="263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8</xdr:col>
      <xdr:colOff>0</xdr:colOff>
      <xdr:row>8</xdr:row>
      <xdr:rowOff>0</xdr:rowOff>
    </xdr:to>
    <xdr:sp macro="" textlink="">
      <xdr:nvSpPr>
        <xdr:cNvPr id="9168" name="OpenSolver52"/>
        <xdr:cNvSpPr/>
      </xdr:nvSpPr>
      <xdr:spPr>
        <a:xfrm>
          <a:off x="4206875" y="1206500"/>
          <a:ext cx="565150" cy="355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25400</xdr:colOff>
      <xdr:row>6</xdr:row>
      <xdr:rowOff>25400</xdr:rowOff>
    </xdr:from>
    <xdr:to>
      <xdr:col>10</xdr:col>
      <xdr:colOff>0</xdr:colOff>
      <xdr:row>8</xdr:row>
      <xdr:rowOff>0</xdr:rowOff>
    </xdr:to>
    <xdr:sp macro="" textlink="">
      <xdr:nvSpPr>
        <xdr:cNvPr id="9169" name="OpenSolver53"/>
        <xdr:cNvSpPr/>
      </xdr:nvSpPr>
      <xdr:spPr>
        <a:xfrm>
          <a:off x="5387975" y="1206500"/>
          <a:ext cx="565150" cy="355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12700</xdr:rowOff>
    </xdr:from>
    <xdr:to>
      <xdr:col>9</xdr:col>
      <xdr:colOff>25400</xdr:colOff>
      <xdr:row>7</xdr:row>
      <xdr:rowOff>12700</xdr:rowOff>
    </xdr:to>
    <xdr:cxnSp macro="">
      <xdr:nvCxnSpPr>
        <xdr:cNvPr id="9170" name="OpenSolver54"/>
        <xdr:cNvCxnSpPr>
          <a:stCxn id="9168" idx="3"/>
          <a:endCxn id="9169" idx="1"/>
        </xdr:cNvCxnSpPr>
      </xdr:nvCxnSpPr>
      <xdr:spPr>
        <a:xfrm>
          <a:off x="4772025" y="1384300"/>
          <a:ext cx="6159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6</xdr:row>
      <xdr:rowOff>76200</xdr:rowOff>
    </xdr:from>
    <xdr:to>
      <xdr:col>8</xdr:col>
      <xdr:colOff>498475</xdr:colOff>
      <xdr:row>7</xdr:row>
      <xdr:rowOff>139700</xdr:rowOff>
    </xdr:to>
    <xdr:sp macro="" textlink="">
      <xdr:nvSpPr>
        <xdr:cNvPr id="9171" name="OpenSolver55"/>
        <xdr:cNvSpPr/>
      </xdr:nvSpPr>
      <xdr:spPr>
        <a:xfrm>
          <a:off x="4889500" y="125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8</xdr:row>
      <xdr:rowOff>25400</xdr:rowOff>
    </xdr:from>
    <xdr:to>
      <xdr:col>8</xdr:col>
      <xdr:colOff>0</xdr:colOff>
      <xdr:row>72</xdr:row>
      <xdr:rowOff>0</xdr:rowOff>
    </xdr:to>
    <xdr:sp macro="" textlink="">
      <xdr:nvSpPr>
        <xdr:cNvPr id="9172" name="OpenSolver56"/>
        <xdr:cNvSpPr/>
      </xdr:nvSpPr>
      <xdr:spPr>
        <a:xfrm>
          <a:off x="4206875" y="1587500"/>
          <a:ext cx="565150" cy="121856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25400</xdr:colOff>
      <xdr:row>8</xdr:row>
      <xdr:rowOff>25400</xdr:rowOff>
    </xdr:from>
    <xdr:to>
      <xdr:col>10</xdr:col>
      <xdr:colOff>0</xdr:colOff>
      <xdr:row>72</xdr:row>
      <xdr:rowOff>0</xdr:rowOff>
    </xdr:to>
    <xdr:sp macro="" textlink="">
      <xdr:nvSpPr>
        <xdr:cNvPr id="9173" name="OpenSolver57"/>
        <xdr:cNvSpPr/>
      </xdr:nvSpPr>
      <xdr:spPr>
        <a:xfrm>
          <a:off x="5387975" y="1587500"/>
          <a:ext cx="565150" cy="121856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3175</xdr:rowOff>
    </xdr:from>
    <xdr:to>
      <xdr:col>9</xdr:col>
      <xdr:colOff>25400</xdr:colOff>
      <xdr:row>40</xdr:row>
      <xdr:rowOff>3175</xdr:rowOff>
    </xdr:to>
    <xdr:cxnSp macro="">
      <xdr:nvCxnSpPr>
        <xdr:cNvPr id="9174" name="OpenSolver58"/>
        <xdr:cNvCxnSpPr>
          <a:stCxn id="9172" idx="3"/>
          <a:endCxn id="9173" idx="1"/>
        </xdr:cNvCxnSpPr>
      </xdr:nvCxnSpPr>
      <xdr:spPr>
        <a:xfrm>
          <a:off x="4772025" y="7680325"/>
          <a:ext cx="615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39</xdr:row>
      <xdr:rowOff>66675</xdr:rowOff>
    </xdr:from>
    <xdr:to>
      <xdr:col>8</xdr:col>
      <xdr:colOff>498475</xdr:colOff>
      <xdr:row>40</xdr:row>
      <xdr:rowOff>130175</xdr:rowOff>
    </xdr:to>
    <xdr:sp macro="" textlink="">
      <xdr:nvSpPr>
        <xdr:cNvPr id="9175" name="OpenSolver59"/>
        <xdr:cNvSpPr/>
      </xdr:nvSpPr>
      <xdr:spPr>
        <a:xfrm>
          <a:off x="4889500" y="7553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72</xdr:row>
      <xdr:rowOff>25400</xdr:rowOff>
    </xdr:from>
    <xdr:to>
      <xdr:col>8</xdr:col>
      <xdr:colOff>0</xdr:colOff>
      <xdr:row>73</xdr:row>
      <xdr:rowOff>0</xdr:rowOff>
    </xdr:to>
    <xdr:sp macro="" textlink="">
      <xdr:nvSpPr>
        <xdr:cNvPr id="9176" name="OpenSolver60"/>
        <xdr:cNvSpPr/>
      </xdr:nvSpPr>
      <xdr:spPr>
        <a:xfrm>
          <a:off x="4206875" y="13798550"/>
          <a:ext cx="5651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25400</xdr:colOff>
      <xdr:row>72</xdr:row>
      <xdr:rowOff>25400</xdr:rowOff>
    </xdr:from>
    <xdr:to>
      <xdr:col>10</xdr:col>
      <xdr:colOff>0</xdr:colOff>
      <xdr:row>73</xdr:row>
      <xdr:rowOff>0</xdr:rowOff>
    </xdr:to>
    <xdr:sp macro="" textlink="">
      <xdr:nvSpPr>
        <xdr:cNvPr id="9177" name="OpenSolver61"/>
        <xdr:cNvSpPr/>
      </xdr:nvSpPr>
      <xdr:spPr>
        <a:xfrm>
          <a:off x="5387975" y="13798550"/>
          <a:ext cx="5651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107950</xdr:rowOff>
    </xdr:from>
    <xdr:to>
      <xdr:col>9</xdr:col>
      <xdr:colOff>25400</xdr:colOff>
      <xdr:row>72</xdr:row>
      <xdr:rowOff>107950</xdr:rowOff>
    </xdr:to>
    <xdr:cxnSp macro="">
      <xdr:nvCxnSpPr>
        <xdr:cNvPr id="9178" name="OpenSolver62"/>
        <xdr:cNvCxnSpPr>
          <a:stCxn id="9176" idx="3"/>
          <a:endCxn id="9177" idx="1"/>
        </xdr:cNvCxnSpPr>
      </xdr:nvCxnSpPr>
      <xdr:spPr>
        <a:xfrm>
          <a:off x="4772025" y="13881100"/>
          <a:ext cx="615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71</xdr:row>
      <xdr:rowOff>171450</xdr:rowOff>
    </xdr:from>
    <xdr:to>
      <xdr:col>8</xdr:col>
      <xdr:colOff>498475</xdr:colOff>
      <xdr:row>73</xdr:row>
      <xdr:rowOff>44450</xdr:rowOff>
    </xdr:to>
    <xdr:sp macro="" textlink="">
      <xdr:nvSpPr>
        <xdr:cNvPr id="9179" name="OpenSolver63"/>
        <xdr:cNvSpPr/>
      </xdr:nvSpPr>
      <xdr:spPr>
        <a:xfrm>
          <a:off x="4889500" y="13754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73</xdr:row>
      <xdr:rowOff>25400</xdr:rowOff>
    </xdr:from>
    <xdr:to>
      <xdr:col>8</xdr:col>
      <xdr:colOff>0</xdr:colOff>
      <xdr:row>74</xdr:row>
      <xdr:rowOff>0</xdr:rowOff>
    </xdr:to>
    <xdr:sp macro="" textlink="">
      <xdr:nvSpPr>
        <xdr:cNvPr id="9180" name="OpenSolver64"/>
        <xdr:cNvSpPr/>
      </xdr:nvSpPr>
      <xdr:spPr>
        <a:xfrm>
          <a:off x="4206875" y="13989050"/>
          <a:ext cx="5651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25400</xdr:colOff>
      <xdr:row>73</xdr:row>
      <xdr:rowOff>25400</xdr:rowOff>
    </xdr:from>
    <xdr:to>
      <xdr:col>10</xdr:col>
      <xdr:colOff>0</xdr:colOff>
      <xdr:row>74</xdr:row>
      <xdr:rowOff>0</xdr:rowOff>
    </xdr:to>
    <xdr:sp macro="" textlink="">
      <xdr:nvSpPr>
        <xdr:cNvPr id="9181" name="OpenSolver65"/>
        <xdr:cNvSpPr/>
      </xdr:nvSpPr>
      <xdr:spPr>
        <a:xfrm>
          <a:off x="5387975" y="13989050"/>
          <a:ext cx="5651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107950</xdr:rowOff>
    </xdr:from>
    <xdr:to>
      <xdr:col>9</xdr:col>
      <xdr:colOff>25400</xdr:colOff>
      <xdr:row>73</xdr:row>
      <xdr:rowOff>107950</xdr:rowOff>
    </xdr:to>
    <xdr:cxnSp macro="">
      <xdr:nvCxnSpPr>
        <xdr:cNvPr id="9182" name="OpenSolver66"/>
        <xdr:cNvCxnSpPr>
          <a:stCxn id="9180" idx="3"/>
          <a:endCxn id="9181" idx="1"/>
        </xdr:cNvCxnSpPr>
      </xdr:nvCxnSpPr>
      <xdr:spPr>
        <a:xfrm>
          <a:off x="4772025" y="14071600"/>
          <a:ext cx="6159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72</xdr:row>
      <xdr:rowOff>171450</xdr:rowOff>
    </xdr:from>
    <xdr:to>
      <xdr:col>8</xdr:col>
      <xdr:colOff>498475</xdr:colOff>
      <xdr:row>74</xdr:row>
      <xdr:rowOff>44450</xdr:rowOff>
    </xdr:to>
    <xdr:sp macro="" textlink="">
      <xdr:nvSpPr>
        <xdr:cNvPr id="9183" name="OpenSolver67"/>
        <xdr:cNvSpPr/>
      </xdr:nvSpPr>
      <xdr:spPr>
        <a:xfrm>
          <a:off x="4889500" y="139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74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184" name="OpenSolver68"/>
        <xdr:cNvSpPr/>
      </xdr:nvSpPr>
      <xdr:spPr>
        <a:xfrm>
          <a:off x="4206875" y="14179550"/>
          <a:ext cx="565150" cy="12166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25400</xdr:colOff>
      <xdr:row>74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185" name="OpenSolver69"/>
        <xdr:cNvSpPr/>
      </xdr:nvSpPr>
      <xdr:spPr>
        <a:xfrm>
          <a:off x="5387975" y="14179550"/>
          <a:ext cx="565150" cy="12166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12700</xdr:rowOff>
    </xdr:from>
    <xdr:to>
      <xdr:col>9</xdr:col>
      <xdr:colOff>25400</xdr:colOff>
      <xdr:row>106</xdr:row>
      <xdr:rowOff>12700</xdr:rowOff>
    </xdr:to>
    <xdr:cxnSp macro="">
      <xdr:nvCxnSpPr>
        <xdr:cNvPr id="9186" name="OpenSolver70"/>
        <xdr:cNvCxnSpPr>
          <a:stCxn id="9184" idx="3"/>
          <a:endCxn id="9185" idx="1"/>
        </xdr:cNvCxnSpPr>
      </xdr:nvCxnSpPr>
      <xdr:spPr>
        <a:xfrm>
          <a:off x="4772025" y="20262850"/>
          <a:ext cx="6159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105</xdr:row>
      <xdr:rowOff>76200</xdr:rowOff>
    </xdr:from>
    <xdr:to>
      <xdr:col>8</xdr:col>
      <xdr:colOff>498475</xdr:colOff>
      <xdr:row>106</xdr:row>
      <xdr:rowOff>139700</xdr:rowOff>
    </xdr:to>
    <xdr:sp macro="" textlink="">
      <xdr:nvSpPr>
        <xdr:cNvPr id="9187" name="OpenSolver71"/>
        <xdr:cNvSpPr/>
      </xdr:nvSpPr>
      <xdr:spPr>
        <a:xfrm>
          <a:off x="4889500" y="2013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138</xdr:row>
      <xdr:rowOff>25400</xdr:rowOff>
    </xdr:from>
    <xdr:to>
      <xdr:col>8</xdr:col>
      <xdr:colOff>0</xdr:colOff>
      <xdr:row>139</xdr:row>
      <xdr:rowOff>0</xdr:rowOff>
    </xdr:to>
    <xdr:sp macro="" textlink="">
      <xdr:nvSpPr>
        <xdr:cNvPr id="9188" name="OpenSolver72"/>
        <xdr:cNvSpPr/>
      </xdr:nvSpPr>
      <xdr:spPr>
        <a:xfrm>
          <a:off x="4206875" y="26371550"/>
          <a:ext cx="5651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25400</xdr:colOff>
      <xdr:row>138</xdr:row>
      <xdr:rowOff>25400</xdr:rowOff>
    </xdr:from>
    <xdr:to>
      <xdr:col>10</xdr:col>
      <xdr:colOff>0</xdr:colOff>
      <xdr:row>139</xdr:row>
      <xdr:rowOff>0</xdr:rowOff>
    </xdr:to>
    <xdr:sp macro="" textlink="">
      <xdr:nvSpPr>
        <xdr:cNvPr id="9189" name="OpenSolver73"/>
        <xdr:cNvSpPr/>
      </xdr:nvSpPr>
      <xdr:spPr>
        <a:xfrm>
          <a:off x="5387975" y="26371550"/>
          <a:ext cx="5651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107950</xdr:rowOff>
    </xdr:from>
    <xdr:to>
      <xdr:col>9</xdr:col>
      <xdr:colOff>25400</xdr:colOff>
      <xdr:row>138</xdr:row>
      <xdr:rowOff>107950</xdr:rowOff>
    </xdr:to>
    <xdr:cxnSp macro="">
      <xdr:nvCxnSpPr>
        <xdr:cNvPr id="9190" name="OpenSolver74"/>
        <xdr:cNvCxnSpPr>
          <a:stCxn id="9188" idx="3"/>
          <a:endCxn id="9189" idx="1"/>
        </xdr:cNvCxnSpPr>
      </xdr:nvCxnSpPr>
      <xdr:spPr>
        <a:xfrm>
          <a:off x="4772025" y="26454100"/>
          <a:ext cx="615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137</xdr:row>
      <xdr:rowOff>171450</xdr:rowOff>
    </xdr:from>
    <xdr:to>
      <xdr:col>8</xdr:col>
      <xdr:colOff>498475</xdr:colOff>
      <xdr:row>139</xdr:row>
      <xdr:rowOff>44450</xdr:rowOff>
    </xdr:to>
    <xdr:sp macro="" textlink="">
      <xdr:nvSpPr>
        <xdr:cNvPr id="9191" name="OpenSolver75"/>
        <xdr:cNvSpPr/>
      </xdr:nvSpPr>
      <xdr:spPr>
        <a:xfrm>
          <a:off x="4889500" y="26327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6</xdr:row>
      <xdr:rowOff>38100</xdr:rowOff>
    </xdr:from>
    <xdr:to>
      <xdr:col>8</xdr:col>
      <xdr:colOff>0</xdr:colOff>
      <xdr:row>8</xdr:row>
      <xdr:rowOff>0</xdr:rowOff>
    </xdr:to>
    <xdr:sp macro="" textlink="">
      <xdr:nvSpPr>
        <xdr:cNvPr id="9192" name="OpenSolver76"/>
        <xdr:cNvSpPr/>
      </xdr:nvSpPr>
      <xdr:spPr>
        <a:xfrm>
          <a:off x="4219575" y="1219200"/>
          <a:ext cx="552450" cy="342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38100</xdr:colOff>
      <xdr:row>6</xdr:row>
      <xdr:rowOff>38100</xdr:rowOff>
    </xdr:from>
    <xdr:to>
      <xdr:col>10</xdr:col>
      <xdr:colOff>0</xdr:colOff>
      <xdr:row>8</xdr:row>
      <xdr:rowOff>0</xdr:rowOff>
    </xdr:to>
    <xdr:sp macro="" textlink="">
      <xdr:nvSpPr>
        <xdr:cNvPr id="9193" name="OpenSolver77"/>
        <xdr:cNvSpPr/>
      </xdr:nvSpPr>
      <xdr:spPr>
        <a:xfrm>
          <a:off x="5400675" y="1219200"/>
          <a:ext cx="552450" cy="342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19050</xdr:rowOff>
    </xdr:from>
    <xdr:to>
      <xdr:col>9</xdr:col>
      <xdr:colOff>38100</xdr:colOff>
      <xdr:row>7</xdr:row>
      <xdr:rowOff>19050</xdr:rowOff>
    </xdr:to>
    <xdr:cxnSp macro="">
      <xdr:nvCxnSpPr>
        <xdr:cNvPr id="9194" name="OpenSolver78"/>
        <xdr:cNvCxnSpPr>
          <a:stCxn id="9192" idx="3"/>
          <a:endCxn id="9193" idx="1"/>
        </xdr:cNvCxnSpPr>
      </xdr:nvCxnSpPr>
      <xdr:spPr>
        <a:xfrm>
          <a:off x="4772025" y="1390650"/>
          <a:ext cx="6286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6</xdr:row>
      <xdr:rowOff>82550</xdr:rowOff>
    </xdr:from>
    <xdr:to>
      <xdr:col>8</xdr:col>
      <xdr:colOff>504825</xdr:colOff>
      <xdr:row>7</xdr:row>
      <xdr:rowOff>146050</xdr:rowOff>
    </xdr:to>
    <xdr:sp macro="" textlink="">
      <xdr:nvSpPr>
        <xdr:cNvPr id="9195" name="OpenSolver79"/>
        <xdr:cNvSpPr/>
      </xdr:nvSpPr>
      <xdr:spPr>
        <a:xfrm>
          <a:off x="4895850" y="126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8</xdr:row>
      <xdr:rowOff>38100</xdr:rowOff>
    </xdr:from>
    <xdr:to>
      <xdr:col>8</xdr:col>
      <xdr:colOff>0</xdr:colOff>
      <xdr:row>72</xdr:row>
      <xdr:rowOff>0</xdr:rowOff>
    </xdr:to>
    <xdr:sp macro="" textlink="">
      <xdr:nvSpPr>
        <xdr:cNvPr id="9196" name="OpenSolver80"/>
        <xdr:cNvSpPr/>
      </xdr:nvSpPr>
      <xdr:spPr>
        <a:xfrm>
          <a:off x="4219575" y="1600200"/>
          <a:ext cx="552450" cy="121729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38100</xdr:colOff>
      <xdr:row>8</xdr:row>
      <xdr:rowOff>38100</xdr:rowOff>
    </xdr:from>
    <xdr:to>
      <xdr:col>10</xdr:col>
      <xdr:colOff>0</xdr:colOff>
      <xdr:row>72</xdr:row>
      <xdr:rowOff>0</xdr:rowOff>
    </xdr:to>
    <xdr:sp macro="" textlink="">
      <xdr:nvSpPr>
        <xdr:cNvPr id="9197" name="OpenSolver81"/>
        <xdr:cNvSpPr/>
      </xdr:nvSpPr>
      <xdr:spPr>
        <a:xfrm>
          <a:off x="5400675" y="1600200"/>
          <a:ext cx="552450" cy="121729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</xdr:rowOff>
    </xdr:from>
    <xdr:to>
      <xdr:col>9</xdr:col>
      <xdr:colOff>38100</xdr:colOff>
      <xdr:row>40</xdr:row>
      <xdr:rowOff>9525</xdr:rowOff>
    </xdr:to>
    <xdr:cxnSp macro="">
      <xdr:nvCxnSpPr>
        <xdr:cNvPr id="9198" name="OpenSolver82"/>
        <xdr:cNvCxnSpPr>
          <a:stCxn id="9196" idx="3"/>
          <a:endCxn id="9197" idx="1"/>
        </xdr:cNvCxnSpPr>
      </xdr:nvCxnSpPr>
      <xdr:spPr>
        <a:xfrm>
          <a:off x="4772025" y="7686675"/>
          <a:ext cx="628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39</xdr:row>
      <xdr:rowOff>73025</xdr:rowOff>
    </xdr:from>
    <xdr:to>
      <xdr:col>8</xdr:col>
      <xdr:colOff>504825</xdr:colOff>
      <xdr:row>40</xdr:row>
      <xdr:rowOff>136525</xdr:rowOff>
    </xdr:to>
    <xdr:sp macro="" textlink="">
      <xdr:nvSpPr>
        <xdr:cNvPr id="9199" name="OpenSolver83"/>
        <xdr:cNvSpPr/>
      </xdr:nvSpPr>
      <xdr:spPr>
        <a:xfrm>
          <a:off x="4895850" y="7559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72</xdr:row>
      <xdr:rowOff>38100</xdr:rowOff>
    </xdr:from>
    <xdr:to>
      <xdr:col>8</xdr:col>
      <xdr:colOff>0</xdr:colOff>
      <xdr:row>73</xdr:row>
      <xdr:rowOff>0</xdr:rowOff>
    </xdr:to>
    <xdr:sp macro="" textlink="">
      <xdr:nvSpPr>
        <xdr:cNvPr id="9200" name="OpenSolver84"/>
        <xdr:cNvSpPr/>
      </xdr:nvSpPr>
      <xdr:spPr>
        <a:xfrm>
          <a:off x="4219575" y="13811250"/>
          <a:ext cx="552450" cy="152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38100</xdr:colOff>
      <xdr:row>72</xdr:row>
      <xdr:rowOff>38100</xdr:rowOff>
    </xdr:from>
    <xdr:to>
      <xdr:col>10</xdr:col>
      <xdr:colOff>0</xdr:colOff>
      <xdr:row>73</xdr:row>
      <xdr:rowOff>0</xdr:rowOff>
    </xdr:to>
    <xdr:sp macro="" textlink="">
      <xdr:nvSpPr>
        <xdr:cNvPr id="9201" name="OpenSolver85"/>
        <xdr:cNvSpPr/>
      </xdr:nvSpPr>
      <xdr:spPr>
        <a:xfrm>
          <a:off x="5400675" y="13811250"/>
          <a:ext cx="552450" cy="152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114300</xdr:rowOff>
    </xdr:from>
    <xdr:to>
      <xdr:col>9</xdr:col>
      <xdr:colOff>38100</xdr:colOff>
      <xdr:row>72</xdr:row>
      <xdr:rowOff>114300</xdr:rowOff>
    </xdr:to>
    <xdr:cxnSp macro="">
      <xdr:nvCxnSpPr>
        <xdr:cNvPr id="9202" name="OpenSolver86"/>
        <xdr:cNvCxnSpPr>
          <a:stCxn id="9200" idx="3"/>
          <a:endCxn id="9201" idx="1"/>
        </xdr:cNvCxnSpPr>
      </xdr:nvCxnSpPr>
      <xdr:spPr>
        <a:xfrm>
          <a:off x="4772025" y="13887450"/>
          <a:ext cx="628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71</xdr:row>
      <xdr:rowOff>177800</xdr:rowOff>
    </xdr:from>
    <xdr:to>
      <xdr:col>8</xdr:col>
      <xdr:colOff>504825</xdr:colOff>
      <xdr:row>73</xdr:row>
      <xdr:rowOff>50800</xdr:rowOff>
    </xdr:to>
    <xdr:sp macro="" textlink="">
      <xdr:nvSpPr>
        <xdr:cNvPr id="9203" name="OpenSolver87"/>
        <xdr:cNvSpPr/>
      </xdr:nvSpPr>
      <xdr:spPr>
        <a:xfrm>
          <a:off x="4895850" y="13760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73</xdr:row>
      <xdr:rowOff>38100</xdr:rowOff>
    </xdr:from>
    <xdr:to>
      <xdr:col>8</xdr:col>
      <xdr:colOff>0</xdr:colOff>
      <xdr:row>74</xdr:row>
      <xdr:rowOff>0</xdr:rowOff>
    </xdr:to>
    <xdr:sp macro="" textlink="">
      <xdr:nvSpPr>
        <xdr:cNvPr id="9204" name="OpenSolver88"/>
        <xdr:cNvSpPr/>
      </xdr:nvSpPr>
      <xdr:spPr>
        <a:xfrm>
          <a:off x="4219575" y="14001750"/>
          <a:ext cx="552450" cy="152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38100</xdr:colOff>
      <xdr:row>73</xdr:row>
      <xdr:rowOff>38100</xdr:rowOff>
    </xdr:from>
    <xdr:to>
      <xdr:col>10</xdr:col>
      <xdr:colOff>0</xdr:colOff>
      <xdr:row>74</xdr:row>
      <xdr:rowOff>0</xdr:rowOff>
    </xdr:to>
    <xdr:sp macro="" textlink="">
      <xdr:nvSpPr>
        <xdr:cNvPr id="9205" name="OpenSolver89"/>
        <xdr:cNvSpPr/>
      </xdr:nvSpPr>
      <xdr:spPr>
        <a:xfrm>
          <a:off x="5400675" y="14001750"/>
          <a:ext cx="552450" cy="152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114300</xdr:rowOff>
    </xdr:from>
    <xdr:to>
      <xdr:col>9</xdr:col>
      <xdr:colOff>38100</xdr:colOff>
      <xdr:row>73</xdr:row>
      <xdr:rowOff>114300</xdr:rowOff>
    </xdr:to>
    <xdr:cxnSp macro="">
      <xdr:nvCxnSpPr>
        <xdr:cNvPr id="9206" name="OpenSolver90"/>
        <xdr:cNvCxnSpPr>
          <a:stCxn id="9204" idx="3"/>
          <a:endCxn id="9205" idx="1"/>
        </xdr:cNvCxnSpPr>
      </xdr:nvCxnSpPr>
      <xdr:spPr>
        <a:xfrm>
          <a:off x="4772025" y="14077950"/>
          <a:ext cx="628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72</xdr:row>
      <xdr:rowOff>177800</xdr:rowOff>
    </xdr:from>
    <xdr:to>
      <xdr:col>8</xdr:col>
      <xdr:colOff>504825</xdr:colOff>
      <xdr:row>74</xdr:row>
      <xdr:rowOff>50800</xdr:rowOff>
    </xdr:to>
    <xdr:sp macro="" textlink="">
      <xdr:nvSpPr>
        <xdr:cNvPr id="9207" name="OpenSolver91"/>
        <xdr:cNvSpPr/>
      </xdr:nvSpPr>
      <xdr:spPr>
        <a:xfrm>
          <a:off x="4895850" y="1395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74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208" name="OpenSolver92"/>
        <xdr:cNvSpPr/>
      </xdr:nvSpPr>
      <xdr:spPr>
        <a:xfrm>
          <a:off x="4219575" y="14192250"/>
          <a:ext cx="552450" cy="12153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38100</xdr:colOff>
      <xdr:row>74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209" name="OpenSolver93"/>
        <xdr:cNvSpPr/>
      </xdr:nvSpPr>
      <xdr:spPr>
        <a:xfrm>
          <a:off x="5400675" y="14192250"/>
          <a:ext cx="552450" cy="12153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19050</xdr:rowOff>
    </xdr:from>
    <xdr:to>
      <xdr:col>9</xdr:col>
      <xdr:colOff>38100</xdr:colOff>
      <xdr:row>106</xdr:row>
      <xdr:rowOff>19050</xdr:rowOff>
    </xdr:to>
    <xdr:cxnSp macro="">
      <xdr:nvCxnSpPr>
        <xdr:cNvPr id="9210" name="OpenSolver94"/>
        <xdr:cNvCxnSpPr>
          <a:stCxn id="9208" idx="3"/>
          <a:endCxn id="9209" idx="1"/>
        </xdr:cNvCxnSpPr>
      </xdr:nvCxnSpPr>
      <xdr:spPr>
        <a:xfrm>
          <a:off x="4772025" y="20269200"/>
          <a:ext cx="6286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105</xdr:row>
      <xdr:rowOff>82550</xdr:rowOff>
    </xdr:from>
    <xdr:to>
      <xdr:col>8</xdr:col>
      <xdr:colOff>504825</xdr:colOff>
      <xdr:row>106</xdr:row>
      <xdr:rowOff>146050</xdr:rowOff>
    </xdr:to>
    <xdr:sp macro="" textlink="">
      <xdr:nvSpPr>
        <xdr:cNvPr id="9211" name="OpenSolver95"/>
        <xdr:cNvSpPr/>
      </xdr:nvSpPr>
      <xdr:spPr>
        <a:xfrm>
          <a:off x="4895850" y="20142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138</xdr:row>
      <xdr:rowOff>38100</xdr:rowOff>
    </xdr:from>
    <xdr:to>
      <xdr:col>8</xdr:col>
      <xdr:colOff>0</xdr:colOff>
      <xdr:row>139</xdr:row>
      <xdr:rowOff>0</xdr:rowOff>
    </xdr:to>
    <xdr:sp macro="" textlink="">
      <xdr:nvSpPr>
        <xdr:cNvPr id="9212" name="OpenSolver96"/>
        <xdr:cNvSpPr/>
      </xdr:nvSpPr>
      <xdr:spPr>
        <a:xfrm>
          <a:off x="4219575" y="26384250"/>
          <a:ext cx="552450" cy="1524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38100</xdr:colOff>
      <xdr:row>138</xdr:row>
      <xdr:rowOff>38100</xdr:rowOff>
    </xdr:from>
    <xdr:to>
      <xdr:col>10</xdr:col>
      <xdr:colOff>0</xdr:colOff>
      <xdr:row>139</xdr:row>
      <xdr:rowOff>0</xdr:rowOff>
    </xdr:to>
    <xdr:sp macro="" textlink="">
      <xdr:nvSpPr>
        <xdr:cNvPr id="9213" name="OpenSolver97"/>
        <xdr:cNvSpPr/>
      </xdr:nvSpPr>
      <xdr:spPr>
        <a:xfrm>
          <a:off x="5400675" y="26384250"/>
          <a:ext cx="552450" cy="1524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114300</xdr:rowOff>
    </xdr:from>
    <xdr:to>
      <xdr:col>9</xdr:col>
      <xdr:colOff>38100</xdr:colOff>
      <xdr:row>138</xdr:row>
      <xdr:rowOff>114300</xdr:rowOff>
    </xdr:to>
    <xdr:cxnSp macro="">
      <xdr:nvCxnSpPr>
        <xdr:cNvPr id="9214" name="OpenSolver98"/>
        <xdr:cNvCxnSpPr>
          <a:stCxn id="9212" idx="3"/>
          <a:endCxn id="9213" idx="1"/>
        </xdr:cNvCxnSpPr>
      </xdr:nvCxnSpPr>
      <xdr:spPr>
        <a:xfrm>
          <a:off x="4772025" y="26460450"/>
          <a:ext cx="628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137</xdr:row>
      <xdr:rowOff>177800</xdr:rowOff>
    </xdr:from>
    <xdr:to>
      <xdr:col>8</xdr:col>
      <xdr:colOff>504825</xdr:colOff>
      <xdr:row>139</xdr:row>
      <xdr:rowOff>50800</xdr:rowOff>
    </xdr:to>
    <xdr:sp macro="" textlink="">
      <xdr:nvSpPr>
        <xdr:cNvPr id="9215" name="OpenSolver99"/>
        <xdr:cNvSpPr/>
      </xdr:nvSpPr>
      <xdr:spPr>
        <a:xfrm>
          <a:off x="4895850" y="26333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6</xdr:row>
      <xdr:rowOff>50800</xdr:rowOff>
    </xdr:from>
    <xdr:to>
      <xdr:col>8</xdr:col>
      <xdr:colOff>0</xdr:colOff>
      <xdr:row>8</xdr:row>
      <xdr:rowOff>0</xdr:rowOff>
    </xdr:to>
    <xdr:sp macro="" textlink="">
      <xdr:nvSpPr>
        <xdr:cNvPr id="9216" name="OpenSolver100"/>
        <xdr:cNvSpPr/>
      </xdr:nvSpPr>
      <xdr:spPr>
        <a:xfrm>
          <a:off x="4232275" y="1231900"/>
          <a:ext cx="539750" cy="330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50800</xdr:colOff>
      <xdr:row>6</xdr:row>
      <xdr:rowOff>50800</xdr:rowOff>
    </xdr:from>
    <xdr:to>
      <xdr:col>10</xdr:col>
      <xdr:colOff>0</xdr:colOff>
      <xdr:row>8</xdr:row>
      <xdr:rowOff>0</xdr:rowOff>
    </xdr:to>
    <xdr:sp macro="" textlink="">
      <xdr:nvSpPr>
        <xdr:cNvPr id="9217" name="OpenSolver101"/>
        <xdr:cNvSpPr/>
      </xdr:nvSpPr>
      <xdr:spPr>
        <a:xfrm>
          <a:off x="5413375" y="1231900"/>
          <a:ext cx="539750" cy="330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25400</xdr:rowOff>
    </xdr:from>
    <xdr:to>
      <xdr:col>9</xdr:col>
      <xdr:colOff>50800</xdr:colOff>
      <xdr:row>7</xdr:row>
      <xdr:rowOff>25400</xdr:rowOff>
    </xdr:to>
    <xdr:cxnSp macro="">
      <xdr:nvCxnSpPr>
        <xdr:cNvPr id="9218" name="OpenSolver102"/>
        <xdr:cNvCxnSpPr>
          <a:stCxn id="9216" idx="3"/>
          <a:endCxn id="9217" idx="1"/>
        </xdr:cNvCxnSpPr>
      </xdr:nvCxnSpPr>
      <xdr:spPr>
        <a:xfrm>
          <a:off x="4772025" y="1397000"/>
          <a:ext cx="641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6</xdr:row>
      <xdr:rowOff>88900</xdr:rowOff>
    </xdr:from>
    <xdr:to>
      <xdr:col>8</xdr:col>
      <xdr:colOff>511175</xdr:colOff>
      <xdr:row>7</xdr:row>
      <xdr:rowOff>152400</xdr:rowOff>
    </xdr:to>
    <xdr:sp macro="" textlink="">
      <xdr:nvSpPr>
        <xdr:cNvPr id="9219" name="OpenSolver103"/>
        <xdr:cNvSpPr/>
      </xdr:nvSpPr>
      <xdr:spPr>
        <a:xfrm>
          <a:off x="4902200" y="127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8</xdr:row>
      <xdr:rowOff>50800</xdr:rowOff>
    </xdr:from>
    <xdr:to>
      <xdr:col>8</xdr:col>
      <xdr:colOff>0</xdr:colOff>
      <xdr:row>72</xdr:row>
      <xdr:rowOff>0</xdr:rowOff>
    </xdr:to>
    <xdr:sp macro="" textlink="">
      <xdr:nvSpPr>
        <xdr:cNvPr id="9220" name="OpenSolver104"/>
        <xdr:cNvSpPr/>
      </xdr:nvSpPr>
      <xdr:spPr>
        <a:xfrm>
          <a:off x="4232275" y="1612900"/>
          <a:ext cx="539750" cy="121602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50800</xdr:colOff>
      <xdr:row>8</xdr:row>
      <xdr:rowOff>50800</xdr:rowOff>
    </xdr:from>
    <xdr:to>
      <xdr:col>10</xdr:col>
      <xdr:colOff>0</xdr:colOff>
      <xdr:row>72</xdr:row>
      <xdr:rowOff>0</xdr:rowOff>
    </xdr:to>
    <xdr:sp macro="" textlink="">
      <xdr:nvSpPr>
        <xdr:cNvPr id="9221" name="OpenSolver105"/>
        <xdr:cNvSpPr/>
      </xdr:nvSpPr>
      <xdr:spPr>
        <a:xfrm>
          <a:off x="5413375" y="1612900"/>
          <a:ext cx="539750" cy="121602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15875</xdr:rowOff>
    </xdr:from>
    <xdr:to>
      <xdr:col>9</xdr:col>
      <xdr:colOff>50800</xdr:colOff>
      <xdr:row>40</xdr:row>
      <xdr:rowOff>15875</xdr:rowOff>
    </xdr:to>
    <xdr:cxnSp macro="">
      <xdr:nvCxnSpPr>
        <xdr:cNvPr id="9222" name="OpenSolver106"/>
        <xdr:cNvCxnSpPr>
          <a:stCxn id="9220" idx="3"/>
          <a:endCxn id="9221" idx="1"/>
        </xdr:cNvCxnSpPr>
      </xdr:nvCxnSpPr>
      <xdr:spPr>
        <a:xfrm>
          <a:off x="4772025" y="7693025"/>
          <a:ext cx="641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39</xdr:row>
      <xdr:rowOff>79375</xdr:rowOff>
    </xdr:from>
    <xdr:to>
      <xdr:col>8</xdr:col>
      <xdr:colOff>511175</xdr:colOff>
      <xdr:row>40</xdr:row>
      <xdr:rowOff>142875</xdr:rowOff>
    </xdr:to>
    <xdr:sp macro="" textlink="">
      <xdr:nvSpPr>
        <xdr:cNvPr id="9223" name="OpenSolver107"/>
        <xdr:cNvSpPr/>
      </xdr:nvSpPr>
      <xdr:spPr>
        <a:xfrm>
          <a:off x="4902200" y="7566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72</xdr:row>
      <xdr:rowOff>50800</xdr:rowOff>
    </xdr:from>
    <xdr:to>
      <xdr:col>8</xdr:col>
      <xdr:colOff>0</xdr:colOff>
      <xdr:row>73</xdr:row>
      <xdr:rowOff>0</xdr:rowOff>
    </xdr:to>
    <xdr:sp macro="" textlink="">
      <xdr:nvSpPr>
        <xdr:cNvPr id="9224" name="OpenSolver108"/>
        <xdr:cNvSpPr/>
      </xdr:nvSpPr>
      <xdr:spPr>
        <a:xfrm>
          <a:off x="4232275" y="13823950"/>
          <a:ext cx="539750" cy="139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50800</xdr:colOff>
      <xdr:row>72</xdr:row>
      <xdr:rowOff>50800</xdr:rowOff>
    </xdr:from>
    <xdr:to>
      <xdr:col>10</xdr:col>
      <xdr:colOff>0</xdr:colOff>
      <xdr:row>73</xdr:row>
      <xdr:rowOff>0</xdr:rowOff>
    </xdr:to>
    <xdr:sp macro="" textlink="">
      <xdr:nvSpPr>
        <xdr:cNvPr id="9225" name="OpenSolver109"/>
        <xdr:cNvSpPr/>
      </xdr:nvSpPr>
      <xdr:spPr>
        <a:xfrm>
          <a:off x="5413375" y="13823950"/>
          <a:ext cx="539750" cy="139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120650</xdr:rowOff>
    </xdr:from>
    <xdr:to>
      <xdr:col>9</xdr:col>
      <xdr:colOff>50800</xdr:colOff>
      <xdr:row>72</xdr:row>
      <xdr:rowOff>120650</xdr:rowOff>
    </xdr:to>
    <xdr:cxnSp macro="">
      <xdr:nvCxnSpPr>
        <xdr:cNvPr id="9226" name="OpenSolver110"/>
        <xdr:cNvCxnSpPr>
          <a:stCxn id="9224" idx="3"/>
          <a:endCxn id="9225" idx="1"/>
        </xdr:cNvCxnSpPr>
      </xdr:nvCxnSpPr>
      <xdr:spPr>
        <a:xfrm>
          <a:off x="4772025" y="13893800"/>
          <a:ext cx="641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71</xdr:row>
      <xdr:rowOff>184150</xdr:rowOff>
    </xdr:from>
    <xdr:to>
      <xdr:col>8</xdr:col>
      <xdr:colOff>511175</xdr:colOff>
      <xdr:row>73</xdr:row>
      <xdr:rowOff>57150</xdr:rowOff>
    </xdr:to>
    <xdr:sp macro="" textlink="">
      <xdr:nvSpPr>
        <xdr:cNvPr id="9227" name="OpenSolver111"/>
        <xdr:cNvSpPr/>
      </xdr:nvSpPr>
      <xdr:spPr>
        <a:xfrm>
          <a:off x="4902200" y="1376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73</xdr:row>
      <xdr:rowOff>50800</xdr:rowOff>
    </xdr:from>
    <xdr:to>
      <xdr:col>8</xdr:col>
      <xdr:colOff>0</xdr:colOff>
      <xdr:row>74</xdr:row>
      <xdr:rowOff>0</xdr:rowOff>
    </xdr:to>
    <xdr:sp macro="" textlink="">
      <xdr:nvSpPr>
        <xdr:cNvPr id="9228" name="OpenSolver112"/>
        <xdr:cNvSpPr/>
      </xdr:nvSpPr>
      <xdr:spPr>
        <a:xfrm>
          <a:off x="4232275" y="14014450"/>
          <a:ext cx="539750" cy="139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50800</xdr:colOff>
      <xdr:row>73</xdr:row>
      <xdr:rowOff>50800</xdr:rowOff>
    </xdr:from>
    <xdr:to>
      <xdr:col>10</xdr:col>
      <xdr:colOff>0</xdr:colOff>
      <xdr:row>74</xdr:row>
      <xdr:rowOff>0</xdr:rowOff>
    </xdr:to>
    <xdr:sp macro="" textlink="">
      <xdr:nvSpPr>
        <xdr:cNvPr id="9229" name="OpenSolver113"/>
        <xdr:cNvSpPr/>
      </xdr:nvSpPr>
      <xdr:spPr>
        <a:xfrm>
          <a:off x="5413375" y="14014450"/>
          <a:ext cx="539750" cy="139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120650</xdr:rowOff>
    </xdr:from>
    <xdr:to>
      <xdr:col>9</xdr:col>
      <xdr:colOff>50800</xdr:colOff>
      <xdr:row>73</xdr:row>
      <xdr:rowOff>120650</xdr:rowOff>
    </xdr:to>
    <xdr:cxnSp macro="">
      <xdr:nvCxnSpPr>
        <xdr:cNvPr id="9230" name="OpenSolver114"/>
        <xdr:cNvCxnSpPr>
          <a:stCxn id="9228" idx="3"/>
          <a:endCxn id="9229" idx="1"/>
        </xdr:cNvCxnSpPr>
      </xdr:nvCxnSpPr>
      <xdr:spPr>
        <a:xfrm>
          <a:off x="4772025" y="14084300"/>
          <a:ext cx="6413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72</xdr:row>
      <xdr:rowOff>184150</xdr:rowOff>
    </xdr:from>
    <xdr:to>
      <xdr:col>8</xdr:col>
      <xdr:colOff>511175</xdr:colOff>
      <xdr:row>74</xdr:row>
      <xdr:rowOff>57150</xdr:rowOff>
    </xdr:to>
    <xdr:sp macro="" textlink="">
      <xdr:nvSpPr>
        <xdr:cNvPr id="9231" name="OpenSolver115"/>
        <xdr:cNvSpPr/>
      </xdr:nvSpPr>
      <xdr:spPr>
        <a:xfrm>
          <a:off x="4902200" y="1395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74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232" name="OpenSolver116"/>
        <xdr:cNvSpPr/>
      </xdr:nvSpPr>
      <xdr:spPr>
        <a:xfrm>
          <a:off x="4232275" y="14204950"/>
          <a:ext cx="539750" cy="12141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50800</xdr:colOff>
      <xdr:row>74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233" name="OpenSolver117"/>
        <xdr:cNvSpPr/>
      </xdr:nvSpPr>
      <xdr:spPr>
        <a:xfrm>
          <a:off x="5413375" y="14204950"/>
          <a:ext cx="539750" cy="12141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25400</xdr:rowOff>
    </xdr:from>
    <xdr:to>
      <xdr:col>9</xdr:col>
      <xdr:colOff>50800</xdr:colOff>
      <xdr:row>106</xdr:row>
      <xdr:rowOff>25400</xdr:rowOff>
    </xdr:to>
    <xdr:cxnSp macro="">
      <xdr:nvCxnSpPr>
        <xdr:cNvPr id="9234" name="OpenSolver118"/>
        <xdr:cNvCxnSpPr>
          <a:stCxn id="9232" idx="3"/>
          <a:endCxn id="9233" idx="1"/>
        </xdr:cNvCxnSpPr>
      </xdr:nvCxnSpPr>
      <xdr:spPr>
        <a:xfrm>
          <a:off x="4772025" y="20275550"/>
          <a:ext cx="641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105</xdr:row>
      <xdr:rowOff>88900</xdr:rowOff>
    </xdr:from>
    <xdr:to>
      <xdr:col>8</xdr:col>
      <xdr:colOff>511175</xdr:colOff>
      <xdr:row>106</xdr:row>
      <xdr:rowOff>152400</xdr:rowOff>
    </xdr:to>
    <xdr:sp macro="" textlink="">
      <xdr:nvSpPr>
        <xdr:cNvPr id="9235" name="OpenSolver119"/>
        <xdr:cNvSpPr/>
      </xdr:nvSpPr>
      <xdr:spPr>
        <a:xfrm>
          <a:off x="4902200" y="20148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138</xdr:row>
      <xdr:rowOff>50800</xdr:rowOff>
    </xdr:from>
    <xdr:to>
      <xdr:col>8</xdr:col>
      <xdr:colOff>0</xdr:colOff>
      <xdr:row>139</xdr:row>
      <xdr:rowOff>0</xdr:rowOff>
    </xdr:to>
    <xdr:sp macro="" textlink="">
      <xdr:nvSpPr>
        <xdr:cNvPr id="9236" name="OpenSolver120"/>
        <xdr:cNvSpPr/>
      </xdr:nvSpPr>
      <xdr:spPr>
        <a:xfrm>
          <a:off x="4232275" y="26396950"/>
          <a:ext cx="539750" cy="1397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50800</xdr:colOff>
      <xdr:row>138</xdr:row>
      <xdr:rowOff>50800</xdr:rowOff>
    </xdr:from>
    <xdr:to>
      <xdr:col>10</xdr:col>
      <xdr:colOff>0</xdr:colOff>
      <xdr:row>139</xdr:row>
      <xdr:rowOff>0</xdr:rowOff>
    </xdr:to>
    <xdr:sp macro="" textlink="">
      <xdr:nvSpPr>
        <xdr:cNvPr id="9237" name="OpenSolver121"/>
        <xdr:cNvSpPr/>
      </xdr:nvSpPr>
      <xdr:spPr>
        <a:xfrm>
          <a:off x="5413375" y="26396950"/>
          <a:ext cx="539750" cy="1397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120650</xdr:rowOff>
    </xdr:from>
    <xdr:to>
      <xdr:col>9</xdr:col>
      <xdr:colOff>50800</xdr:colOff>
      <xdr:row>138</xdr:row>
      <xdr:rowOff>120650</xdr:rowOff>
    </xdr:to>
    <xdr:cxnSp macro="">
      <xdr:nvCxnSpPr>
        <xdr:cNvPr id="9238" name="OpenSolver122"/>
        <xdr:cNvCxnSpPr>
          <a:stCxn id="9236" idx="3"/>
          <a:endCxn id="9237" idx="1"/>
        </xdr:cNvCxnSpPr>
      </xdr:nvCxnSpPr>
      <xdr:spPr>
        <a:xfrm>
          <a:off x="4772025" y="26466800"/>
          <a:ext cx="641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137</xdr:row>
      <xdr:rowOff>184150</xdr:rowOff>
    </xdr:from>
    <xdr:to>
      <xdr:col>8</xdr:col>
      <xdr:colOff>511175</xdr:colOff>
      <xdr:row>139</xdr:row>
      <xdr:rowOff>57150</xdr:rowOff>
    </xdr:to>
    <xdr:sp macro="" textlink="">
      <xdr:nvSpPr>
        <xdr:cNvPr id="9239" name="OpenSolver123"/>
        <xdr:cNvSpPr/>
      </xdr:nvSpPr>
      <xdr:spPr>
        <a:xfrm>
          <a:off x="4902200" y="26339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6</xdr:row>
      <xdr:rowOff>63500</xdr:rowOff>
    </xdr:from>
    <xdr:to>
      <xdr:col>8</xdr:col>
      <xdr:colOff>0</xdr:colOff>
      <xdr:row>8</xdr:row>
      <xdr:rowOff>0</xdr:rowOff>
    </xdr:to>
    <xdr:sp macro="" textlink="">
      <xdr:nvSpPr>
        <xdr:cNvPr id="9240" name="OpenSolver124"/>
        <xdr:cNvSpPr/>
      </xdr:nvSpPr>
      <xdr:spPr>
        <a:xfrm>
          <a:off x="4244975" y="1244600"/>
          <a:ext cx="527050" cy="3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63500</xdr:colOff>
      <xdr:row>6</xdr:row>
      <xdr:rowOff>63500</xdr:rowOff>
    </xdr:from>
    <xdr:to>
      <xdr:col>10</xdr:col>
      <xdr:colOff>0</xdr:colOff>
      <xdr:row>8</xdr:row>
      <xdr:rowOff>0</xdr:rowOff>
    </xdr:to>
    <xdr:sp macro="" textlink="">
      <xdr:nvSpPr>
        <xdr:cNvPr id="9241" name="OpenSolver125"/>
        <xdr:cNvSpPr/>
      </xdr:nvSpPr>
      <xdr:spPr>
        <a:xfrm>
          <a:off x="5426075" y="1244600"/>
          <a:ext cx="527050" cy="3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31750</xdr:rowOff>
    </xdr:from>
    <xdr:to>
      <xdr:col>9</xdr:col>
      <xdr:colOff>63500</xdr:colOff>
      <xdr:row>7</xdr:row>
      <xdr:rowOff>31750</xdr:rowOff>
    </xdr:to>
    <xdr:cxnSp macro="">
      <xdr:nvCxnSpPr>
        <xdr:cNvPr id="9242" name="OpenSolver126"/>
        <xdr:cNvCxnSpPr>
          <a:stCxn id="9240" idx="3"/>
          <a:endCxn id="9241" idx="1"/>
        </xdr:cNvCxnSpPr>
      </xdr:nvCxnSpPr>
      <xdr:spPr>
        <a:xfrm>
          <a:off x="4772025" y="1403350"/>
          <a:ext cx="6540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6</xdr:row>
      <xdr:rowOff>95250</xdr:rowOff>
    </xdr:from>
    <xdr:to>
      <xdr:col>8</xdr:col>
      <xdr:colOff>517525</xdr:colOff>
      <xdr:row>7</xdr:row>
      <xdr:rowOff>158750</xdr:rowOff>
    </xdr:to>
    <xdr:sp macro="" textlink="">
      <xdr:nvSpPr>
        <xdr:cNvPr id="9243" name="OpenSolver127"/>
        <xdr:cNvSpPr/>
      </xdr:nvSpPr>
      <xdr:spPr>
        <a:xfrm>
          <a:off x="4908550" y="127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8</xdr:row>
      <xdr:rowOff>63500</xdr:rowOff>
    </xdr:from>
    <xdr:to>
      <xdr:col>8</xdr:col>
      <xdr:colOff>0</xdr:colOff>
      <xdr:row>72</xdr:row>
      <xdr:rowOff>0</xdr:rowOff>
    </xdr:to>
    <xdr:sp macro="" textlink="">
      <xdr:nvSpPr>
        <xdr:cNvPr id="9244" name="OpenSolver128"/>
        <xdr:cNvSpPr/>
      </xdr:nvSpPr>
      <xdr:spPr>
        <a:xfrm>
          <a:off x="4244975" y="1625600"/>
          <a:ext cx="527050" cy="121475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63500</xdr:colOff>
      <xdr:row>8</xdr:row>
      <xdr:rowOff>63500</xdr:rowOff>
    </xdr:from>
    <xdr:to>
      <xdr:col>10</xdr:col>
      <xdr:colOff>0</xdr:colOff>
      <xdr:row>72</xdr:row>
      <xdr:rowOff>0</xdr:rowOff>
    </xdr:to>
    <xdr:sp macro="" textlink="">
      <xdr:nvSpPr>
        <xdr:cNvPr id="9245" name="OpenSolver129"/>
        <xdr:cNvSpPr/>
      </xdr:nvSpPr>
      <xdr:spPr>
        <a:xfrm>
          <a:off x="5426075" y="1625600"/>
          <a:ext cx="527050" cy="121475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22225</xdr:rowOff>
    </xdr:from>
    <xdr:to>
      <xdr:col>9</xdr:col>
      <xdr:colOff>63500</xdr:colOff>
      <xdr:row>40</xdr:row>
      <xdr:rowOff>22225</xdr:rowOff>
    </xdr:to>
    <xdr:cxnSp macro="">
      <xdr:nvCxnSpPr>
        <xdr:cNvPr id="9246" name="OpenSolver130"/>
        <xdr:cNvCxnSpPr>
          <a:stCxn id="9244" idx="3"/>
          <a:endCxn id="9245" idx="1"/>
        </xdr:cNvCxnSpPr>
      </xdr:nvCxnSpPr>
      <xdr:spPr>
        <a:xfrm>
          <a:off x="4772025" y="7699375"/>
          <a:ext cx="654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39</xdr:row>
      <xdr:rowOff>85725</xdr:rowOff>
    </xdr:from>
    <xdr:to>
      <xdr:col>8</xdr:col>
      <xdr:colOff>517525</xdr:colOff>
      <xdr:row>40</xdr:row>
      <xdr:rowOff>149225</xdr:rowOff>
    </xdr:to>
    <xdr:sp macro="" textlink="">
      <xdr:nvSpPr>
        <xdr:cNvPr id="9247" name="OpenSolver131"/>
        <xdr:cNvSpPr/>
      </xdr:nvSpPr>
      <xdr:spPr>
        <a:xfrm>
          <a:off x="4908550" y="757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72</xdr:row>
      <xdr:rowOff>63500</xdr:rowOff>
    </xdr:from>
    <xdr:to>
      <xdr:col>8</xdr:col>
      <xdr:colOff>0</xdr:colOff>
      <xdr:row>73</xdr:row>
      <xdr:rowOff>0</xdr:rowOff>
    </xdr:to>
    <xdr:sp macro="" textlink="">
      <xdr:nvSpPr>
        <xdr:cNvPr id="9248" name="OpenSolver132"/>
        <xdr:cNvSpPr/>
      </xdr:nvSpPr>
      <xdr:spPr>
        <a:xfrm>
          <a:off x="4244975" y="13836650"/>
          <a:ext cx="527050" cy="12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63500</xdr:colOff>
      <xdr:row>72</xdr:row>
      <xdr:rowOff>63500</xdr:rowOff>
    </xdr:from>
    <xdr:to>
      <xdr:col>10</xdr:col>
      <xdr:colOff>0</xdr:colOff>
      <xdr:row>73</xdr:row>
      <xdr:rowOff>0</xdr:rowOff>
    </xdr:to>
    <xdr:sp macro="" textlink="">
      <xdr:nvSpPr>
        <xdr:cNvPr id="9249" name="OpenSolver133"/>
        <xdr:cNvSpPr/>
      </xdr:nvSpPr>
      <xdr:spPr>
        <a:xfrm>
          <a:off x="5426075" y="13836650"/>
          <a:ext cx="527050" cy="12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127000</xdr:rowOff>
    </xdr:from>
    <xdr:to>
      <xdr:col>9</xdr:col>
      <xdr:colOff>63500</xdr:colOff>
      <xdr:row>72</xdr:row>
      <xdr:rowOff>127000</xdr:rowOff>
    </xdr:to>
    <xdr:cxnSp macro="">
      <xdr:nvCxnSpPr>
        <xdr:cNvPr id="9250" name="OpenSolver134"/>
        <xdr:cNvCxnSpPr>
          <a:stCxn id="9248" idx="3"/>
          <a:endCxn id="9249" idx="1"/>
        </xdr:cNvCxnSpPr>
      </xdr:nvCxnSpPr>
      <xdr:spPr>
        <a:xfrm>
          <a:off x="4772025" y="13900150"/>
          <a:ext cx="654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72</xdr:row>
      <xdr:rowOff>0</xdr:rowOff>
    </xdr:from>
    <xdr:to>
      <xdr:col>8</xdr:col>
      <xdr:colOff>517525</xdr:colOff>
      <xdr:row>73</xdr:row>
      <xdr:rowOff>63500</xdr:rowOff>
    </xdr:to>
    <xdr:sp macro="" textlink="">
      <xdr:nvSpPr>
        <xdr:cNvPr id="9251" name="OpenSolver135"/>
        <xdr:cNvSpPr/>
      </xdr:nvSpPr>
      <xdr:spPr>
        <a:xfrm>
          <a:off x="4908550" y="1377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73</xdr:row>
      <xdr:rowOff>63500</xdr:rowOff>
    </xdr:from>
    <xdr:to>
      <xdr:col>8</xdr:col>
      <xdr:colOff>0</xdr:colOff>
      <xdr:row>74</xdr:row>
      <xdr:rowOff>0</xdr:rowOff>
    </xdr:to>
    <xdr:sp macro="" textlink="">
      <xdr:nvSpPr>
        <xdr:cNvPr id="9252" name="OpenSolver136"/>
        <xdr:cNvSpPr/>
      </xdr:nvSpPr>
      <xdr:spPr>
        <a:xfrm>
          <a:off x="4244975" y="14027150"/>
          <a:ext cx="527050" cy="12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63500</xdr:colOff>
      <xdr:row>73</xdr:row>
      <xdr:rowOff>63500</xdr:rowOff>
    </xdr:from>
    <xdr:to>
      <xdr:col>10</xdr:col>
      <xdr:colOff>0</xdr:colOff>
      <xdr:row>74</xdr:row>
      <xdr:rowOff>0</xdr:rowOff>
    </xdr:to>
    <xdr:sp macro="" textlink="">
      <xdr:nvSpPr>
        <xdr:cNvPr id="9253" name="OpenSolver137"/>
        <xdr:cNvSpPr/>
      </xdr:nvSpPr>
      <xdr:spPr>
        <a:xfrm>
          <a:off x="5426075" y="14027150"/>
          <a:ext cx="527050" cy="12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127000</xdr:rowOff>
    </xdr:from>
    <xdr:to>
      <xdr:col>9</xdr:col>
      <xdr:colOff>63500</xdr:colOff>
      <xdr:row>73</xdr:row>
      <xdr:rowOff>127000</xdr:rowOff>
    </xdr:to>
    <xdr:cxnSp macro="">
      <xdr:nvCxnSpPr>
        <xdr:cNvPr id="9254" name="OpenSolver138"/>
        <xdr:cNvCxnSpPr>
          <a:stCxn id="9252" idx="3"/>
          <a:endCxn id="9253" idx="1"/>
        </xdr:cNvCxnSpPr>
      </xdr:nvCxnSpPr>
      <xdr:spPr>
        <a:xfrm>
          <a:off x="4772025" y="14090650"/>
          <a:ext cx="6540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73</xdr:row>
      <xdr:rowOff>0</xdr:rowOff>
    </xdr:from>
    <xdr:to>
      <xdr:col>8</xdr:col>
      <xdr:colOff>517525</xdr:colOff>
      <xdr:row>74</xdr:row>
      <xdr:rowOff>63500</xdr:rowOff>
    </xdr:to>
    <xdr:sp macro="" textlink="">
      <xdr:nvSpPr>
        <xdr:cNvPr id="9255" name="OpenSolver139"/>
        <xdr:cNvSpPr/>
      </xdr:nvSpPr>
      <xdr:spPr>
        <a:xfrm>
          <a:off x="4908550" y="1396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74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256" name="OpenSolver140"/>
        <xdr:cNvSpPr/>
      </xdr:nvSpPr>
      <xdr:spPr>
        <a:xfrm>
          <a:off x="4244975" y="14217650"/>
          <a:ext cx="527050" cy="12128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63500</xdr:colOff>
      <xdr:row>74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257" name="OpenSolver141"/>
        <xdr:cNvSpPr/>
      </xdr:nvSpPr>
      <xdr:spPr>
        <a:xfrm>
          <a:off x="5426075" y="14217650"/>
          <a:ext cx="527050" cy="12128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31750</xdr:rowOff>
    </xdr:from>
    <xdr:to>
      <xdr:col>9</xdr:col>
      <xdr:colOff>63500</xdr:colOff>
      <xdr:row>106</xdr:row>
      <xdr:rowOff>31750</xdr:rowOff>
    </xdr:to>
    <xdr:cxnSp macro="">
      <xdr:nvCxnSpPr>
        <xdr:cNvPr id="9258" name="OpenSolver142"/>
        <xdr:cNvCxnSpPr>
          <a:stCxn id="9256" idx="3"/>
          <a:endCxn id="9257" idx="1"/>
        </xdr:cNvCxnSpPr>
      </xdr:nvCxnSpPr>
      <xdr:spPr>
        <a:xfrm>
          <a:off x="4772025" y="20281900"/>
          <a:ext cx="6540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105</xdr:row>
      <xdr:rowOff>95250</xdr:rowOff>
    </xdr:from>
    <xdr:to>
      <xdr:col>8</xdr:col>
      <xdr:colOff>517525</xdr:colOff>
      <xdr:row>106</xdr:row>
      <xdr:rowOff>158750</xdr:rowOff>
    </xdr:to>
    <xdr:sp macro="" textlink="">
      <xdr:nvSpPr>
        <xdr:cNvPr id="9259" name="OpenSolver143"/>
        <xdr:cNvSpPr/>
      </xdr:nvSpPr>
      <xdr:spPr>
        <a:xfrm>
          <a:off x="4908550" y="20154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138</xdr:row>
      <xdr:rowOff>63500</xdr:rowOff>
    </xdr:from>
    <xdr:to>
      <xdr:col>8</xdr:col>
      <xdr:colOff>0</xdr:colOff>
      <xdr:row>139</xdr:row>
      <xdr:rowOff>0</xdr:rowOff>
    </xdr:to>
    <xdr:sp macro="" textlink="">
      <xdr:nvSpPr>
        <xdr:cNvPr id="9260" name="OpenSolver144"/>
        <xdr:cNvSpPr/>
      </xdr:nvSpPr>
      <xdr:spPr>
        <a:xfrm>
          <a:off x="4244975" y="26409650"/>
          <a:ext cx="527050" cy="12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63500</xdr:colOff>
      <xdr:row>138</xdr:row>
      <xdr:rowOff>63500</xdr:rowOff>
    </xdr:from>
    <xdr:to>
      <xdr:col>10</xdr:col>
      <xdr:colOff>0</xdr:colOff>
      <xdr:row>139</xdr:row>
      <xdr:rowOff>0</xdr:rowOff>
    </xdr:to>
    <xdr:sp macro="" textlink="">
      <xdr:nvSpPr>
        <xdr:cNvPr id="9261" name="OpenSolver145"/>
        <xdr:cNvSpPr/>
      </xdr:nvSpPr>
      <xdr:spPr>
        <a:xfrm>
          <a:off x="5426075" y="26409650"/>
          <a:ext cx="527050" cy="12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127000</xdr:rowOff>
    </xdr:from>
    <xdr:to>
      <xdr:col>9</xdr:col>
      <xdr:colOff>63500</xdr:colOff>
      <xdr:row>138</xdr:row>
      <xdr:rowOff>127000</xdr:rowOff>
    </xdr:to>
    <xdr:cxnSp macro="">
      <xdr:nvCxnSpPr>
        <xdr:cNvPr id="9262" name="OpenSolver146"/>
        <xdr:cNvCxnSpPr>
          <a:stCxn id="9260" idx="3"/>
          <a:endCxn id="9261" idx="1"/>
        </xdr:cNvCxnSpPr>
      </xdr:nvCxnSpPr>
      <xdr:spPr>
        <a:xfrm>
          <a:off x="4772025" y="26473150"/>
          <a:ext cx="654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138</xdr:row>
      <xdr:rowOff>0</xdr:rowOff>
    </xdr:from>
    <xdr:to>
      <xdr:col>8</xdr:col>
      <xdr:colOff>517525</xdr:colOff>
      <xdr:row>139</xdr:row>
      <xdr:rowOff>63500</xdr:rowOff>
    </xdr:to>
    <xdr:sp macro="" textlink="">
      <xdr:nvSpPr>
        <xdr:cNvPr id="9263" name="OpenSolver147"/>
        <xdr:cNvSpPr/>
      </xdr:nvSpPr>
      <xdr:spPr>
        <a:xfrm>
          <a:off x="4908550" y="26346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6</xdr:row>
      <xdr:rowOff>76200</xdr:rowOff>
    </xdr:from>
    <xdr:to>
      <xdr:col>8</xdr:col>
      <xdr:colOff>0</xdr:colOff>
      <xdr:row>8</xdr:row>
      <xdr:rowOff>0</xdr:rowOff>
    </xdr:to>
    <xdr:sp macro="" textlink="">
      <xdr:nvSpPr>
        <xdr:cNvPr id="9264" name="OpenSolver148"/>
        <xdr:cNvSpPr/>
      </xdr:nvSpPr>
      <xdr:spPr>
        <a:xfrm>
          <a:off x="4257675" y="1257300"/>
          <a:ext cx="514350" cy="304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76200</xdr:colOff>
      <xdr:row>6</xdr:row>
      <xdr:rowOff>76200</xdr:rowOff>
    </xdr:from>
    <xdr:to>
      <xdr:col>10</xdr:col>
      <xdr:colOff>0</xdr:colOff>
      <xdr:row>8</xdr:row>
      <xdr:rowOff>0</xdr:rowOff>
    </xdr:to>
    <xdr:sp macro="" textlink="">
      <xdr:nvSpPr>
        <xdr:cNvPr id="9265" name="OpenSolver149"/>
        <xdr:cNvSpPr/>
      </xdr:nvSpPr>
      <xdr:spPr>
        <a:xfrm>
          <a:off x="5438775" y="1257300"/>
          <a:ext cx="514350" cy="304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38100</xdr:rowOff>
    </xdr:from>
    <xdr:to>
      <xdr:col>9</xdr:col>
      <xdr:colOff>76200</xdr:colOff>
      <xdr:row>7</xdr:row>
      <xdr:rowOff>38100</xdr:rowOff>
    </xdr:to>
    <xdr:cxnSp macro="">
      <xdr:nvCxnSpPr>
        <xdr:cNvPr id="9266" name="OpenSolver150"/>
        <xdr:cNvCxnSpPr>
          <a:stCxn id="9264" idx="3"/>
          <a:endCxn id="9265" idx="1"/>
        </xdr:cNvCxnSpPr>
      </xdr:nvCxnSpPr>
      <xdr:spPr>
        <a:xfrm>
          <a:off x="4772025" y="1409700"/>
          <a:ext cx="6667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6</xdr:row>
      <xdr:rowOff>101600</xdr:rowOff>
    </xdr:from>
    <xdr:to>
      <xdr:col>8</xdr:col>
      <xdr:colOff>523875</xdr:colOff>
      <xdr:row>7</xdr:row>
      <xdr:rowOff>165100</xdr:rowOff>
    </xdr:to>
    <xdr:sp macro="" textlink="">
      <xdr:nvSpPr>
        <xdr:cNvPr id="9267" name="OpenSolver151"/>
        <xdr:cNvSpPr/>
      </xdr:nvSpPr>
      <xdr:spPr>
        <a:xfrm>
          <a:off x="4914900" y="128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8</xdr:row>
      <xdr:rowOff>76200</xdr:rowOff>
    </xdr:from>
    <xdr:to>
      <xdr:col>8</xdr:col>
      <xdr:colOff>0</xdr:colOff>
      <xdr:row>72</xdr:row>
      <xdr:rowOff>0</xdr:rowOff>
    </xdr:to>
    <xdr:sp macro="" textlink="">
      <xdr:nvSpPr>
        <xdr:cNvPr id="9268" name="OpenSolver152"/>
        <xdr:cNvSpPr/>
      </xdr:nvSpPr>
      <xdr:spPr>
        <a:xfrm>
          <a:off x="4257675" y="1638300"/>
          <a:ext cx="514350" cy="121348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76200</xdr:colOff>
      <xdr:row>8</xdr:row>
      <xdr:rowOff>76200</xdr:rowOff>
    </xdr:from>
    <xdr:to>
      <xdr:col>10</xdr:col>
      <xdr:colOff>0</xdr:colOff>
      <xdr:row>72</xdr:row>
      <xdr:rowOff>0</xdr:rowOff>
    </xdr:to>
    <xdr:sp macro="" textlink="">
      <xdr:nvSpPr>
        <xdr:cNvPr id="9269" name="OpenSolver153"/>
        <xdr:cNvSpPr/>
      </xdr:nvSpPr>
      <xdr:spPr>
        <a:xfrm>
          <a:off x="5438775" y="1638300"/>
          <a:ext cx="514350" cy="121348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28575</xdr:rowOff>
    </xdr:from>
    <xdr:to>
      <xdr:col>9</xdr:col>
      <xdr:colOff>76200</xdr:colOff>
      <xdr:row>40</xdr:row>
      <xdr:rowOff>28575</xdr:rowOff>
    </xdr:to>
    <xdr:cxnSp macro="">
      <xdr:nvCxnSpPr>
        <xdr:cNvPr id="9270" name="OpenSolver154"/>
        <xdr:cNvCxnSpPr>
          <a:stCxn id="9268" idx="3"/>
          <a:endCxn id="9269" idx="1"/>
        </xdr:cNvCxnSpPr>
      </xdr:nvCxnSpPr>
      <xdr:spPr>
        <a:xfrm>
          <a:off x="4772025" y="7705725"/>
          <a:ext cx="666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39</xdr:row>
      <xdr:rowOff>92075</xdr:rowOff>
    </xdr:from>
    <xdr:to>
      <xdr:col>8</xdr:col>
      <xdr:colOff>523875</xdr:colOff>
      <xdr:row>40</xdr:row>
      <xdr:rowOff>155575</xdr:rowOff>
    </xdr:to>
    <xdr:sp macro="" textlink="">
      <xdr:nvSpPr>
        <xdr:cNvPr id="9271" name="OpenSolver155"/>
        <xdr:cNvSpPr/>
      </xdr:nvSpPr>
      <xdr:spPr>
        <a:xfrm>
          <a:off x="4914900" y="7578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72</xdr:row>
      <xdr:rowOff>76200</xdr:rowOff>
    </xdr:from>
    <xdr:to>
      <xdr:col>8</xdr:col>
      <xdr:colOff>0</xdr:colOff>
      <xdr:row>73</xdr:row>
      <xdr:rowOff>0</xdr:rowOff>
    </xdr:to>
    <xdr:sp macro="" textlink="">
      <xdr:nvSpPr>
        <xdr:cNvPr id="9272" name="OpenSolver156"/>
        <xdr:cNvSpPr/>
      </xdr:nvSpPr>
      <xdr:spPr>
        <a:xfrm>
          <a:off x="4257675" y="13849350"/>
          <a:ext cx="514350" cy="114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76200</xdr:colOff>
      <xdr:row>72</xdr:row>
      <xdr:rowOff>76200</xdr:rowOff>
    </xdr:from>
    <xdr:to>
      <xdr:col>10</xdr:col>
      <xdr:colOff>0</xdr:colOff>
      <xdr:row>73</xdr:row>
      <xdr:rowOff>0</xdr:rowOff>
    </xdr:to>
    <xdr:sp macro="" textlink="">
      <xdr:nvSpPr>
        <xdr:cNvPr id="9273" name="OpenSolver157"/>
        <xdr:cNvSpPr/>
      </xdr:nvSpPr>
      <xdr:spPr>
        <a:xfrm>
          <a:off x="5438775" y="13849350"/>
          <a:ext cx="514350" cy="114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133350</xdr:rowOff>
    </xdr:from>
    <xdr:to>
      <xdr:col>9</xdr:col>
      <xdr:colOff>76200</xdr:colOff>
      <xdr:row>72</xdr:row>
      <xdr:rowOff>133350</xdr:rowOff>
    </xdr:to>
    <xdr:cxnSp macro="">
      <xdr:nvCxnSpPr>
        <xdr:cNvPr id="9274" name="OpenSolver158"/>
        <xdr:cNvCxnSpPr>
          <a:stCxn id="9272" idx="3"/>
          <a:endCxn id="9273" idx="1"/>
        </xdr:cNvCxnSpPr>
      </xdr:nvCxnSpPr>
      <xdr:spPr>
        <a:xfrm>
          <a:off x="4772025" y="13906500"/>
          <a:ext cx="666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72</xdr:row>
      <xdr:rowOff>6350</xdr:rowOff>
    </xdr:from>
    <xdr:to>
      <xdr:col>8</xdr:col>
      <xdr:colOff>523875</xdr:colOff>
      <xdr:row>73</xdr:row>
      <xdr:rowOff>69850</xdr:rowOff>
    </xdr:to>
    <xdr:sp macro="" textlink="">
      <xdr:nvSpPr>
        <xdr:cNvPr id="9275" name="OpenSolver159"/>
        <xdr:cNvSpPr/>
      </xdr:nvSpPr>
      <xdr:spPr>
        <a:xfrm>
          <a:off x="4914900" y="13779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73</xdr:row>
      <xdr:rowOff>76200</xdr:rowOff>
    </xdr:from>
    <xdr:to>
      <xdr:col>8</xdr:col>
      <xdr:colOff>0</xdr:colOff>
      <xdr:row>74</xdr:row>
      <xdr:rowOff>0</xdr:rowOff>
    </xdr:to>
    <xdr:sp macro="" textlink="">
      <xdr:nvSpPr>
        <xdr:cNvPr id="9276" name="OpenSolver160"/>
        <xdr:cNvSpPr/>
      </xdr:nvSpPr>
      <xdr:spPr>
        <a:xfrm>
          <a:off x="4257675" y="14039850"/>
          <a:ext cx="514350" cy="114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76200</xdr:colOff>
      <xdr:row>73</xdr:row>
      <xdr:rowOff>76200</xdr:rowOff>
    </xdr:from>
    <xdr:to>
      <xdr:col>10</xdr:col>
      <xdr:colOff>0</xdr:colOff>
      <xdr:row>74</xdr:row>
      <xdr:rowOff>0</xdr:rowOff>
    </xdr:to>
    <xdr:sp macro="" textlink="">
      <xdr:nvSpPr>
        <xdr:cNvPr id="9277" name="OpenSolver161"/>
        <xdr:cNvSpPr/>
      </xdr:nvSpPr>
      <xdr:spPr>
        <a:xfrm>
          <a:off x="5438775" y="14039850"/>
          <a:ext cx="514350" cy="114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133350</xdr:rowOff>
    </xdr:from>
    <xdr:to>
      <xdr:col>9</xdr:col>
      <xdr:colOff>76200</xdr:colOff>
      <xdr:row>73</xdr:row>
      <xdr:rowOff>133350</xdr:rowOff>
    </xdr:to>
    <xdr:cxnSp macro="">
      <xdr:nvCxnSpPr>
        <xdr:cNvPr id="9278" name="OpenSolver162"/>
        <xdr:cNvCxnSpPr>
          <a:stCxn id="9276" idx="3"/>
          <a:endCxn id="9277" idx="1"/>
        </xdr:cNvCxnSpPr>
      </xdr:nvCxnSpPr>
      <xdr:spPr>
        <a:xfrm>
          <a:off x="4772025" y="14097000"/>
          <a:ext cx="6667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73</xdr:row>
      <xdr:rowOff>6350</xdr:rowOff>
    </xdr:from>
    <xdr:to>
      <xdr:col>8</xdr:col>
      <xdr:colOff>523875</xdr:colOff>
      <xdr:row>74</xdr:row>
      <xdr:rowOff>69850</xdr:rowOff>
    </xdr:to>
    <xdr:sp macro="" textlink="">
      <xdr:nvSpPr>
        <xdr:cNvPr id="9279" name="OpenSolver163"/>
        <xdr:cNvSpPr/>
      </xdr:nvSpPr>
      <xdr:spPr>
        <a:xfrm>
          <a:off x="4914900" y="1397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74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280" name="OpenSolver164"/>
        <xdr:cNvSpPr/>
      </xdr:nvSpPr>
      <xdr:spPr>
        <a:xfrm>
          <a:off x="4257675" y="14230350"/>
          <a:ext cx="514350" cy="12115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76200</xdr:colOff>
      <xdr:row>74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281" name="OpenSolver165"/>
        <xdr:cNvSpPr/>
      </xdr:nvSpPr>
      <xdr:spPr>
        <a:xfrm>
          <a:off x="5438775" y="14230350"/>
          <a:ext cx="514350" cy="12115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38100</xdr:rowOff>
    </xdr:from>
    <xdr:to>
      <xdr:col>9</xdr:col>
      <xdr:colOff>76200</xdr:colOff>
      <xdr:row>106</xdr:row>
      <xdr:rowOff>38100</xdr:rowOff>
    </xdr:to>
    <xdr:cxnSp macro="">
      <xdr:nvCxnSpPr>
        <xdr:cNvPr id="9282" name="OpenSolver166"/>
        <xdr:cNvCxnSpPr>
          <a:stCxn id="9280" idx="3"/>
          <a:endCxn id="9281" idx="1"/>
        </xdr:cNvCxnSpPr>
      </xdr:nvCxnSpPr>
      <xdr:spPr>
        <a:xfrm>
          <a:off x="4772025" y="20288250"/>
          <a:ext cx="6667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105</xdr:row>
      <xdr:rowOff>101600</xdr:rowOff>
    </xdr:from>
    <xdr:to>
      <xdr:col>8</xdr:col>
      <xdr:colOff>523875</xdr:colOff>
      <xdr:row>106</xdr:row>
      <xdr:rowOff>165100</xdr:rowOff>
    </xdr:to>
    <xdr:sp macro="" textlink="">
      <xdr:nvSpPr>
        <xdr:cNvPr id="9283" name="OpenSolver167"/>
        <xdr:cNvSpPr/>
      </xdr:nvSpPr>
      <xdr:spPr>
        <a:xfrm>
          <a:off x="4914900" y="2016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138</xdr:row>
      <xdr:rowOff>76200</xdr:rowOff>
    </xdr:from>
    <xdr:to>
      <xdr:col>8</xdr:col>
      <xdr:colOff>0</xdr:colOff>
      <xdr:row>139</xdr:row>
      <xdr:rowOff>0</xdr:rowOff>
    </xdr:to>
    <xdr:sp macro="" textlink="">
      <xdr:nvSpPr>
        <xdr:cNvPr id="9284" name="OpenSolver168"/>
        <xdr:cNvSpPr/>
      </xdr:nvSpPr>
      <xdr:spPr>
        <a:xfrm>
          <a:off x="4257675" y="26422350"/>
          <a:ext cx="514350" cy="114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76200</xdr:colOff>
      <xdr:row>138</xdr:row>
      <xdr:rowOff>76200</xdr:rowOff>
    </xdr:from>
    <xdr:to>
      <xdr:col>10</xdr:col>
      <xdr:colOff>0</xdr:colOff>
      <xdr:row>139</xdr:row>
      <xdr:rowOff>0</xdr:rowOff>
    </xdr:to>
    <xdr:sp macro="" textlink="">
      <xdr:nvSpPr>
        <xdr:cNvPr id="9285" name="OpenSolver169"/>
        <xdr:cNvSpPr/>
      </xdr:nvSpPr>
      <xdr:spPr>
        <a:xfrm>
          <a:off x="5438775" y="26422350"/>
          <a:ext cx="514350" cy="114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133350</xdr:rowOff>
    </xdr:from>
    <xdr:to>
      <xdr:col>9</xdr:col>
      <xdr:colOff>76200</xdr:colOff>
      <xdr:row>138</xdr:row>
      <xdr:rowOff>133350</xdr:rowOff>
    </xdr:to>
    <xdr:cxnSp macro="">
      <xdr:nvCxnSpPr>
        <xdr:cNvPr id="9286" name="OpenSolver170"/>
        <xdr:cNvCxnSpPr>
          <a:stCxn id="9284" idx="3"/>
          <a:endCxn id="9285" idx="1"/>
        </xdr:cNvCxnSpPr>
      </xdr:nvCxnSpPr>
      <xdr:spPr>
        <a:xfrm>
          <a:off x="4772025" y="26479500"/>
          <a:ext cx="666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138</xdr:row>
      <xdr:rowOff>6350</xdr:rowOff>
    </xdr:from>
    <xdr:to>
      <xdr:col>8</xdr:col>
      <xdr:colOff>523875</xdr:colOff>
      <xdr:row>139</xdr:row>
      <xdr:rowOff>69850</xdr:rowOff>
    </xdr:to>
    <xdr:sp macro="" textlink="">
      <xdr:nvSpPr>
        <xdr:cNvPr id="9287" name="OpenSolver171"/>
        <xdr:cNvSpPr/>
      </xdr:nvSpPr>
      <xdr:spPr>
        <a:xfrm>
          <a:off x="4914900" y="26352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6</xdr:row>
      <xdr:rowOff>88900</xdr:rowOff>
    </xdr:from>
    <xdr:to>
      <xdr:col>8</xdr:col>
      <xdr:colOff>0</xdr:colOff>
      <xdr:row>8</xdr:row>
      <xdr:rowOff>0</xdr:rowOff>
    </xdr:to>
    <xdr:sp macro="" textlink="">
      <xdr:nvSpPr>
        <xdr:cNvPr id="9288" name="OpenSolver172"/>
        <xdr:cNvSpPr/>
      </xdr:nvSpPr>
      <xdr:spPr>
        <a:xfrm>
          <a:off x="4270375" y="1270000"/>
          <a:ext cx="501650" cy="292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88900</xdr:colOff>
      <xdr:row>6</xdr:row>
      <xdr:rowOff>88900</xdr:rowOff>
    </xdr:from>
    <xdr:to>
      <xdr:col>10</xdr:col>
      <xdr:colOff>0</xdr:colOff>
      <xdr:row>8</xdr:row>
      <xdr:rowOff>0</xdr:rowOff>
    </xdr:to>
    <xdr:sp macro="" textlink="">
      <xdr:nvSpPr>
        <xdr:cNvPr id="9289" name="OpenSolver173"/>
        <xdr:cNvSpPr/>
      </xdr:nvSpPr>
      <xdr:spPr>
        <a:xfrm>
          <a:off x="5451475" y="1270000"/>
          <a:ext cx="501650" cy="292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44450</xdr:rowOff>
    </xdr:from>
    <xdr:to>
      <xdr:col>9</xdr:col>
      <xdr:colOff>88900</xdr:colOff>
      <xdr:row>7</xdr:row>
      <xdr:rowOff>44450</xdr:rowOff>
    </xdr:to>
    <xdr:cxnSp macro="">
      <xdr:nvCxnSpPr>
        <xdr:cNvPr id="9290" name="OpenSolver174"/>
        <xdr:cNvCxnSpPr>
          <a:stCxn id="9288" idx="3"/>
          <a:endCxn id="9289" idx="1"/>
        </xdr:cNvCxnSpPr>
      </xdr:nvCxnSpPr>
      <xdr:spPr>
        <a:xfrm>
          <a:off x="4772025" y="1416050"/>
          <a:ext cx="6794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6</xdr:row>
      <xdr:rowOff>107950</xdr:rowOff>
    </xdr:from>
    <xdr:to>
      <xdr:col>8</xdr:col>
      <xdr:colOff>530225</xdr:colOff>
      <xdr:row>7</xdr:row>
      <xdr:rowOff>171450</xdr:rowOff>
    </xdr:to>
    <xdr:sp macro="" textlink="">
      <xdr:nvSpPr>
        <xdr:cNvPr id="9291" name="OpenSolver175"/>
        <xdr:cNvSpPr/>
      </xdr:nvSpPr>
      <xdr:spPr>
        <a:xfrm>
          <a:off x="4921250" y="128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8</xdr:row>
      <xdr:rowOff>88900</xdr:rowOff>
    </xdr:from>
    <xdr:to>
      <xdr:col>8</xdr:col>
      <xdr:colOff>0</xdr:colOff>
      <xdr:row>72</xdr:row>
      <xdr:rowOff>0</xdr:rowOff>
    </xdr:to>
    <xdr:sp macro="" textlink="">
      <xdr:nvSpPr>
        <xdr:cNvPr id="9292" name="OpenSolver176"/>
        <xdr:cNvSpPr/>
      </xdr:nvSpPr>
      <xdr:spPr>
        <a:xfrm>
          <a:off x="4270375" y="1651000"/>
          <a:ext cx="501650" cy="12122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88900</xdr:colOff>
      <xdr:row>8</xdr:row>
      <xdr:rowOff>88900</xdr:rowOff>
    </xdr:from>
    <xdr:to>
      <xdr:col>10</xdr:col>
      <xdr:colOff>0</xdr:colOff>
      <xdr:row>72</xdr:row>
      <xdr:rowOff>0</xdr:rowOff>
    </xdr:to>
    <xdr:sp macro="" textlink="">
      <xdr:nvSpPr>
        <xdr:cNvPr id="9293" name="OpenSolver177"/>
        <xdr:cNvSpPr/>
      </xdr:nvSpPr>
      <xdr:spPr>
        <a:xfrm>
          <a:off x="5451475" y="1651000"/>
          <a:ext cx="501650" cy="12122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34925</xdr:rowOff>
    </xdr:from>
    <xdr:to>
      <xdr:col>9</xdr:col>
      <xdr:colOff>88900</xdr:colOff>
      <xdr:row>40</xdr:row>
      <xdr:rowOff>34925</xdr:rowOff>
    </xdr:to>
    <xdr:cxnSp macro="">
      <xdr:nvCxnSpPr>
        <xdr:cNvPr id="9294" name="OpenSolver178"/>
        <xdr:cNvCxnSpPr>
          <a:stCxn id="9292" idx="3"/>
          <a:endCxn id="9293" idx="1"/>
        </xdr:cNvCxnSpPr>
      </xdr:nvCxnSpPr>
      <xdr:spPr>
        <a:xfrm>
          <a:off x="4772025" y="7712075"/>
          <a:ext cx="679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39</xdr:row>
      <xdr:rowOff>98425</xdr:rowOff>
    </xdr:from>
    <xdr:to>
      <xdr:col>8</xdr:col>
      <xdr:colOff>530225</xdr:colOff>
      <xdr:row>40</xdr:row>
      <xdr:rowOff>161925</xdr:rowOff>
    </xdr:to>
    <xdr:sp macro="" textlink="">
      <xdr:nvSpPr>
        <xdr:cNvPr id="9295" name="OpenSolver179"/>
        <xdr:cNvSpPr/>
      </xdr:nvSpPr>
      <xdr:spPr>
        <a:xfrm>
          <a:off x="4921250" y="758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72</xdr:row>
      <xdr:rowOff>88900</xdr:rowOff>
    </xdr:from>
    <xdr:to>
      <xdr:col>8</xdr:col>
      <xdr:colOff>0</xdr:colOff>
      <xdr:row>73</xdr:row>
      <xdr:rowOff>0</xdr:rowOff>
    </xdr:to>
    <xdr:sp macro="" textlink="">
      <xdr:nvSpPr>
        <xdr:cNvPr id="9296" name="OpenSolver180"/>
        <xdr:cNvSpPr/>
      </xdr:nvSpPr>
      <xdr:spPr>
        <a:xfrm>
          <a:off x="4270375" y="13862050"/>
          <a:ext cx="501650" cy="101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88900</xdr:colOff>
      <xdr:row>72</xdr:row>
      <xdr:rowOff>88900</xdr:rowOff>
    </xdr:from>
    <xdr:to>
      <xdr:col>10</xdr:col>
      <xdr:colOff>0</xdr:colOff>
      <xdr:row>73</xdr:row>
      <xdr:rowOff>0</xdr:rowOff>
    </xdr:to>
    <xdr:sp macro="" textlink="">
      <xdr:nvSpPr>
        <xdr:cNvPr id="9297" name="OpenSolver181"/>
        <xdr:cNvSpPr/>
      </xdr:nvSpPr>
      <xdr:spPr>
        <a:xfrm>
          <a:off x="5451475" y="13862050"/>
          <a:ext cx="501650" cy="101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139700</xdr:rowOff>
    </xdr:from>
    <xdr:to>
      <xdr:col>9</xdr:col>
      <xdr:colOff>88900</xdr:colOff>
      <xdr:row>72</xdr:row>
      <xdr:rowOff>139700</xdr:rowOff>
    </xdr:to>
    <xdr:cxnSp macro="">
      <xdr:nvCxnSpPr>
        <xdr:cNvPr id="9298" name="OpenSolver182"/>
        <xdr:cNvCxnSpPr>
          <a:stCxn id="9296" idx="3"/>
          <a:endCxn id="9297" idx="1"/>
        </xdr:cNvCxnSpPr>
      </xdr:nvCxnSpPr>
      <xdr:spPr>
        <a:xfrm>
          <a:off x="4772025" y="13912850"/>
          <a:ext cx="679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72</xdr:row>
      <xdr:rowOff>12700</xdr:rowOff>
    </xdr:from>
    <xdr:to>
      <xdr:col>8</xdr:col>
      <xdr:colOff>530225</xdr:colOff>
      <xdr:row>73</xdr:row>
      <xdr:rowOff>76200</xdr:rowOff>
    </xdr:to>
    <xdr:sp macro="" textlink="">
      <xdr:nvSpPr>
        <xdr:cNvPr id="9299" name="OpenSolver183"/>
        <xdr:cNvSpPr/>
      </xdr:nvSpPr>
      <xdr:spPr>
        <a:xfrm>
          <a:off x="4921250" y="1378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73</xdr:row>
      <xdr:rowOff>88900</xdr:rowOff>
    </xdr:from>
    <xdr:to>
      <xdr:col>8</xdr:col>
      <xdr:colOff>0</xdr:colOff>
      <xdr:row>74</xdr:row>
      <xdr:rowOff>0</xdr:rowOff>
    </xdr:to>
    <xdr:sp macro="" textlink="">
      <xdr:nvSpPr>
        <xdr:cNvPr id="9300" name="OpenSolver184"/>
        <xdr:cNvSpPr/>
      </xdr:nvSpPr>
      <xdr:spPr>
        <a:xfrm>
          <a:off x="4270375" y="14052550"/>
          <a:ext cx="501650" cy="101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88900</xdr:colOff>
      <xdr:row>73</xdr:row>
      <xdr:rowOff>88900</xdr:rowOff>
    </xdr:from>
    <xdr:to>
      <xdr:col>10</xdr:col>
      <xdr:colOff>0</xdr:colOff>
      <xdr:row>74</xdr:row>
      <xdr:rowOff>0</xdr:rowOff>
    </xdr:to>
    <xdr:sp macro="" textlink="">
      <xdr:nvSpPr>
        <xdr:cNvPr id="9301" name="OpenSolver185"/>
        <xdr:cNvSpPr/>
      </xdr:nvSpPr>
      <xdr:spPr>
        <a:xfrm>
          <a:off x="5451475" y="14052550"/>
          <a:ext cx="501650" cy="101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139700</xdr:rowOff>
    </xdr:from>
    <xdr:to>
      <xdr:col>9</xdr:col>
      <xdr:colOff>88900</xdr:colOff>
      <xdr:row>73</xdr:row>
      <xdr:rowOff>139700</xdr:rowOff>
    </xdr:to>
    <xdr:cxnSp macro="">
      <xdr:nvCxnSpPr>
        <xdr:cNvPr id="9302" name="OpenSolver186"/>
        <xdr:cNvCxnSpPr>
          <a:stCxn id="9300" idx="3"/>
          <a:endCxn id="9301" idx="1"/>
        </xdr:cNvCxnSpPr>
      </xdr:nvCxnSpPr>
      <xdr:spPr>
        <a:xfrm>
          <a:off x="4772025" y="14103350"/>
          <a:ext cx="6794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73</xdr:row>
      <xdr:rowOff>12700</xdr:rowOff>
    </xdr:from>
    <xdr:to>
      <xdr:col>8</xdr:col>
      <xdr:colOff>530225</xdr:colOff>
      <xdr:row>74</xdr:row>
      <xdr:rowOff>76200</xdr:rowOff>
    </xdr:to>
    <xdr:sp macro="" textlink="">
      <xdr:nvSpPr>
        <xdr:cNvPr id="9303" name="OpenSolver187"/>
        <xdr:cNvSpPr/>
      </xdr:nvSpPr>
      <xdr:spPr>
        <a:xfrm>
          <a:off x="4921250" y="1397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74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304" name="OpenSolver188"/>
        <xdr:cNvSpPr/>
      </xdr:nvSpPr>
      <xdr:spPr>
        <a:xfrm>
          <a:off x="4270375" y="14243050"/>
          <a:ext cx="501650" cy="12103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88900</xdr:colOff>
      <xdr:row>74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305" name="OpenSolver189"/>
        <xdr:cNvSpPr/>
      </xdr:nvSpPr>
      <xdr:spPr>
        <a:xfrm>
          <a:off x="5451475" y="14243050"/>
          <a:ext cx="501650" cy="12103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44450</xdr:rowOff>
    </xdr:from>
    <xdr:to>
      <xdr:col>9</xdr:col>
      <xdr:colOff>88900</xdr:colOff>
      <xdr:row>106</xdr:row>
      <xdr:rowOff>44450</xdr:rowOff>
    </xdr:to>
    <xdr:cxnSp macro="">
      <xdr:nvCxnSpPr>
        <xdr:cNvPr id="9306" name="OpenSolver190"/>
        <xdr:cNvCxnSpPr>
          <a:stCxn id="9304" idx="3"/>
          <a:endCxn id="9305" idx="1"/>
        </xdr:cNvCxnSpPr>
      </xdr:nvCxnSpPr>
      <xdr:spPr>
        <a:xfrm>
          <a:off x="4772025" y="20294600"/>
          <a:ext cx="6794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105</xdr:row>
      <xdr:rowOff>107950</xdr:rowOff>
    </xdr:from>
    <xdr:to>
      <xdr:col>8</xdr:col>
      <xdr:colOff>530225</xdr:colOff>
      <xdr:row>106</xdr:row>
      <xdr:rowOff>171450</xdr:rowOff>
    </xdr:to>
    <xdr:sp macro="" textlink="">
      <xdr:nvSpPr>
        <xdr:cNvPr id="9307" name="OpenSolver191"/>
        <xdr:cNvSpPr/>
      </xdr:nvSpPr>
      <xdr:spPr>
        <a:xfrm>
          <a:off x="4921250" y="20167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138</xdr:row>
      <xdr:rowOff>88900</xdr:rowOff>
    </xdr:from>
    <xdr:to>
      <xdr:col>8</xdr:col>
      <xdr:colOff>0</xdr:colOff>
      <xdr:row>139</xdr:row>
      <xdr:rowOff>0</xdr:rowOff>
    </xdr:to>
    <xdr:sp macro="" textlink="">
      <xdr:nvSpPr>
        <xdr:cNvPr id="9308" name="OpenSolver192"/>
        <xdr:cNvSpPr/>
      </xdr:nvSpPr>
      <xdr:spPr>
        <a:xfrm>
          <a:off x="4270375" y="26435050"/>
          <a:ext cx="501650" cy="101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88900</xdr:colOff>
      <xdr:row>138</xdr:row>
      <xdr:rowOff>88900</xdr:rowOff>
    </xdr:from>
    <xdr:to>
      <xdr:col>10</xdr:col>
      <xdr:colOff>0</xdr:colOff>
      <xdr:row>139</xdr:row>
      <xdr:rowOff>0</xdr:rowOff>
    </xdr:to>
    <xdr:sp macro="" textlink="">
      <xdr:nvSpPr>
        <xdr:cNvPr id="9309" name="OpenSolver193"/>
        <xdr:cNvSpPr/>
      </xdr:nvSpPr>
      <xdr:spPr>
        <a:xfrm>
          <a:off x="5451475" y="26435050"/>
          <a:ext cx="501650" cy="101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139700</xdr:rowOff>
    </xdr:from>
    <xdr:to>
      <xdr:col>9</xdr:col>
      <xdr:colOff>88900</xdr:colOff>
      <xdr:row>138</xdr:row>
      <xdr:rowOff>139700</xdr:rowOff>
    </xdr:to>
    <xdr:cxnSp macro="">
      <xdr:nvCxnSpPr>
        <xdr:cNvPr id="9310" name="OpenSolver194"/>
        <xdr:cNvCxnSpPr>
          <a:stCxn id="9308" idx="3"/>
          <a:endCxn id="9309" idx="1"/>
        </xdr:cNvCxnSpPr>
      </xdr:nvCxnSpPr>
      <xdr:spPr>
        <a:xfrm>
          <a:off x="4772025" y="26485850"/>
          <a:ext cx="679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138</xdr:row>
      <xdr:rowOff>12700</xdr:rowOff>
    </xdr:from>
    <xdr:to>
      <xdr:col>8</xdr:col>
      <xdr:colOff>530225</xdr:colOff>
      <xdr:row>139</xdr:row>
      <xdr:rowOff>76200</xdr:rowOff>
    </xdr:to>
    <xdr:sp macro="" textlink="">
      <xdr:nvSpPr>
        <xdr:cNvPr id="9311" name="OpenSolver195"/>
        <xdr:cNvSpPr/>
      </xdr:nvSpPr>
      <xdr:spPr>
        <a:xfrm>
          <a:off x="4921250" y="2635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6</xdr:row>
      <xdr:rowOff>101600</xdr:rowOff>
    </xdr:from>
    <xdr:to>
      <xdr:col>8</xdr:col>
      <xdr:colOff>0</xdr:colOff>
      <xdr:row>8</xdr:row>
      <xdr:rowOff>0</xdr:rowOff>
    </xdr:to>
    <xdr:sp macro="" textlink="">
      <xdr:nvSpPr>
        <xdr:cNvPr id="9312" name="OpenSolver196"/>
        <xdr:cNvSpPr/>
      </xdr:nvSpPr>
      <xdr:spPr>
        <a:xfrm>
          <a:off x="4283075" y="1282700"/>
          <a:ext cx="488950" cy="279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101600</xdr:colOff>
      <xdr:row>6</xdr:row>
      <xdr:rowOff>101600</xdr:rowOff>
    </xdr:from>
    <xdr:to>
      <xdr:col>10</xdr:col>
      <xdr:colOff>0</xdr:colOff>
      <xdr:row>8</xdr:row>
      <xdr:rowOff>0</xdr:rowOff>
    </xdr:to>
    <xdr:sp macro="" textlink="">
      <xdr:nvSpPr>
        <xdr:cNvPr id="9313" name="OpenSolver197"/>
        <xdr:cNvSpPr/>
      </xdr:nvSpPr>
      <xdr:spPr>
        <a:xfrm>
          <a:off x="5464175" y="1282700"/>
          <a:ext cx="488950" cy="279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50800</xdr:rowOff>
    </xdr:from>
    <xdr:to>
      <xdr:col>9</xdr:col>
      <xdr:colOff>101600</xdr:colOff>
      <xdr:row>7</xdr:row>
      <xdr:rowOff>50800</xdr:rowOff>
    </xdr:to>
    <xdr:cxnSp macro="">
      <xdr:nvCxnSpPr>
        <xdr:cNvPr id="9314" name="OpenSolver198"/>
        <xdr:cNvCxnSpPr>
          <a:stCxn id="9312" idx="3"/>
          <a:endCxn id="9313" idx="1"/>
        </xdr:cNvCxnSpPr>
      </xdr:nvCxnSpPr>
      <xdr:spPr>
        <a:xfrm>
          <a:off x="4772025" y="1422400"/>
          <a:ext cx="6921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6</xdr:row>
      <xdr:rowOff>114300</xdr:rowOff>
    </xdr:from>
    <xdr:to>
      <xdr:col>8</xdr:col>
      <xdr:colOff>536575</xdr:colOff>
      <xdr:row>7</xdr:row>
      <xdr:rowOff>177800</xdr:rowOff>
    </xdr:to>
    <xdr:sp macro="" textlink="">
      <xdr:nvSpPr>
        <xdr:cNvPr id="9315" name="OpenSolver199"/>
        <xdr:cNvSpPr/>
      </xdr:nvSpPr>
      <xdr:spPr>
        <a:xfrm>
          <a:off x="4927600" y="129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8</xdr:row>
      <xdr:rowOff>101600</xdr:rowOff>
    </xdr:from>
    <xdr:to>
      <xdr:col>8</xdr:col>
      <xdr:colOff>0</xdr:colOff>
      <xdr:row>72</xdr:row>
      <xdr:rowOff>0</xdr:rowOff>
    </xdr:to>
    <xdr:sp macro="" textlink="">
      <xdr:nvSpPr>
        <xdr:cNvPr id="9316" name="OpenSolver200"/>
        <xdr:cNvSpPr/>
      </xdr:nvSpPr>
      <xdr:spPr>
        <a:xfrm>
          <a:off x="4283075" y="1663700"/>
          <a:ext cx="488950" cy="121094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101600</xdr:colOff>
      <xdr:row>8</xdr:row>
      <xdr:rowOff>101600</xdr:rowOff>
    </xdr:from>
    <xdr:to>
      <xdr:col>10</xdr:col>
      <xdr:colOff>0</xdr:colOff>
      <xdr:row>72</xdr:row>
      <xdr:rowOff>0</xdr:rowOff>
    </xdr:to>
    <xdr:sp macro="" textlink="">
      <xdr:nvSpPr>
        <xdr:cNvPr id="9317" name="OpenSolver201"/>
        <xdr:cNvSpPr/>
      </xdr:nvSpPr>
      <xdr:spPr>
        <a:xfrm>
          <a:off x="5464175" y="1663700"/>
          <a:ext cx="488950" cy="121094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41275</xdr:rowOff>
    </xdr:from>
    <xdr:to>
      <xdr:col>9</xdr:col>
      <xdr:colOff>101600</xdr:colOff>
      <xdr:row>40</xdr:row>
      <xdr:rowOff>41275</xdr:rowOff>
    </xdr:to>
    <xdr:cxnSp macro="">
      <xdr:nvCxnSpPr>
        <xdr:cNvPr id="9318" name="OpenSolver202"/>
        <xdr:cNvCxnSpPr>
          <a:stCxn id="9316" idx="3"/>
          <a:endCxn id="9317" idx="1"/>
        </xdr:cNvCxnSpPr>
      </xdr:nvCxnSpPr>
      <xdr:spPr>
        <a:xfrm>
          <a:off x="4772025" y="7718425"/>
          <a:ext cx="692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39</xdr:row>
      <xdr:rowOff>104775</xdr:rowOff>
    </xdr:from>
    <xdr:to>
      <xdr:col>8</xdr:col>
      <xdr:colOff>536575</xdr:colOff>
      <xdr:row>40</xdr:row>
      <xdr:rowOff>168275</xdr:rowOff>
    </xdr:to>
    <xdr:sp macro="" textlink="">
      <xdr:nvSpPr>
        <xdr:cNvPr id="9319" name="OpenSolver203"/>
        <xdr:cNvSpPr/>
      </xdr:nvSpPr>
      <xdr:spPr>
        <a:xfrm>
          <a:off x="4927600" y="75914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72</xdr:row>
      <xdr:rowOff>101600</xdr:rowOff>
    </xdr:from>
    <xdr:to>
      <xdr:col>8</xdr:col>
      <xdr:colOff>0</xdr:colOff>
      <xdr:row>73</xdr:row>
      <xdr:rowOff>0</xdr:rowOff>
    </xdr:to>
    <xdr:sp macro="" textlink="">
      <xdr:nvSpPr>
        <xdr:cNvPr id="9320" name="OpenSolver204"/>
        <xdr:cNvSpPr/>
      </xdr:nvSpPr>
      <xdr:spPr>
        <a:xfrm>
          <a:off x="4283075" y="13874750"/>
          <a:ext cx="488950" cy="88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101600</xdr:colOff>
      <xdr:row>72</xdr:row>
      <xdr:rowOff>101600</xdr:rowOff>
    </xdr:from>
    <xdr:to>
      <xdr:col>10</xdr:col>
      <xdr:colOff>0</xdr:colOff>
      <xdr:row>73</xdr:row>
      <xdr:rowOff>0</xdr:rowOff>
    </xdr:to>
    <xdr:sp macro="" textlink="">
      <xdr:nvSpPr>
        <xdr:cNvPr id="9321" name="OpenSolver205"/>
        <xdr:cNvSpPr/>
      </xdr:nvSpPr>
      <xdr:spPr>
        <a:xfrm>
          <a:off x="5464175" y="13874750"/>
          <a:ext cx="488950" cy="88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146050</xdr:rowOff>
    </xdr:from>
    <xdr:to>
      <xdr:col>9</xdr:col>
      <xdr:colOff>101600</xdr:colOff>
      <xdr:row>72</xdr:row>
      <xdr:rowOff>146050</xdr:rowOff>
    </xdr:to>
    <xdr:cxnSp macro="">
      <xdr:nvCxnSpPr>
        <xdr:cNvPr id="9322" name="OpenSolver206"/>
        <xdr:cNvCxnSpPr>
          <a:stCxn id="9320" idx="3"/>
          <a:endCxn id="9321" idx="1"/>
        </xdr:cNvCxnSpPr>
      </xdr:nvCxnSpPr>
      <xdr:spPr>
        <a:xfrm>
          <a:off x="4772025" y="13919200"/>
          <a:ext cx="692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72</xdr:row>
      <xdr:rowOff>19050</xdr:rowOff>
    </xdr:from>
    <xdr:to>
      <xdr:col>8</xdr:col>
      <xdr:colOff>536575</xdr:colOff>
      <xdr:row>73</xdr:row>
      <xdr:rowOff>82550</xdr:rowOff>
    </xdr:to>
    <xdr:sp macro="" textlink="">
      <xdr:nvSpPr>
        <xdr:cNvPr id="9323" name="OpenSolver207"/>
        <xdr:cNvSpPr/>
      </xdr:nvSpPr>
      <xdr:spPr>
        <a:xfrm>
          <a:off x="4927600" y="13792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73</xdr:row>
      <xdr:rowOff>101600</xdr:rowOff>
    </xdr:from>
    <xdr:to>
      <xdr:col>8</xdr:col>
      <xdr:colOff>0</xdr:colOff>
      <xdr:row>74</xdr:row>
      <xdr:rowOff>0</xdr:rowOff>
    </xdr:to>
    <xdr:sp macro="" textlink="">
      <xdr:nvSpPr>
        <xdr:cNvPr id="9324" name="OpenSolver208"/>
        <xdr:cNvSpPr/>
      </xdr:nvSpPr>
      <xdr:spPr>
        <a:xfrm>
          <a:off x="4283075" y="14065250"/>
          <a:ext cx="488950" cy="88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101600</xdr:colOff>
      <xdr:row>73</xdr:row>
      <xdr:rowOff>101600</xdr:rowOff>
    </xdr:from>
    <xdr:to>
      <xdr:col>10</xdr:col>
      <xdr:colOff>0</xdr:colOff>
      <xdr:row>74</xdr:row>
      <xdr:rowOff>0</xdr:rowOff>
    </xdr:to>
    <xdr:sp macro="" textlink="">
      <xdr:nvSpPr>
        <xdr:cNvPr id="9325" name="OpenSolver209"/>
        <xdr:cNvSpPr/>
      </xdr:nvSpPr>
      <xdr:spPr>
        <a:xfrm>
          <a:off x="5464175" y="14065250"/>
          <a:ext cx="488950" cy="88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146050</xdr:rowOff>
    </xdr:from>
    <xdr:to>
      <xdr:col>9</xdr:col>
      <xdr:colOff>101600</xdr:colOff>
      <xdr:row>73</xdr:row>
      <xdr:rowOff>146050</xdr:rowOff>
    </xdr:to>
    <xdr:cxnSp macro="">
      <xdr:nvCxnSpPr>
        <xdr:cNvPr id="9326" name="OpenSolver210"/>
        <xdr:cNvCxnSpPr>
          <a:stCxn id="9324" idx="3"/>
          <a:endCxn id="9325" idx="1"/>
        </xdr:cNvCxnSpPr>
      </xdr:nvCxnSpPr>
      <xdr:spPr>
        <a:xfrm>
          <a:off x="4772025" y="14109700"/>
          <a:ext cx="692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73</xdr:row>
      <xdr:rowOff>19050</xdr:rowOff>
    </xdr:from>
    <xdr:to>
      <xdr:col>8</xdr:col>
      <xdr:colOff>536575</xdr:colOff>
      <xdr:row>74</xdr:row>
      <xdr:rowOff>82550</xdr:rowOff>
    </xdr:to>
    <xdr:sp macro="" textlink="">
      <xdr:nvSpPr>
        <xdr:cNvPr id="9327" name="OpenSolver211"/>
        <xdr:cNvSpPr/>
      </xdr:nvSpPr>
      <xdr:spPr>
        <a:xfrm>
          <a:off x="4927600" y="1398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74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328" name="OpenSolver212"/>
        <xdr:cNvSpPr/>
      </xdr:nvSpPr>
      <xdr:spPr>
        <a:xfrm>
          <a:off x="4283075" y="14255750"/>
          <a:ext cx="488950" cy="12090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101600</xdr:colOff>
      <xdr:row>74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329" name="OpenSolver213"/>
        <xdr:cNvSpPr/>
      </xdr:nvSpPr>
      <xdr:spPr>
        <a:xfrm>
          <a:off x="5464175" y="14255750"/>
          <a:ext cx="488950" cy="12090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50800</xdr:rowOff>
    </xdr:from>
    <xdr:to>
      <xdr:col>9</xdr:col>
      <xdr:colOff>101600</xdr:colOff>
      <xdr:row>106</xdr:row>
      <xdr:rowOff>50800</xdr:rowOff>
    </xdr:to>
    <xdr:cxnSp macro="">
      <xdr:nvCxnSpPr>
        <xdr:cNvPr id="9330" name="OpenSolver214"/>
        <xdr:cNvCxnSpPr>
          <a:stCxn id="9328" idx="3"/>
          <a:endCxn id="9329" idx="1"/>
        </xdr:cNvCxnSpPr>
      </xdr:nvCxnSpPr>
      <xdr:spPr>
        <a:xfrm>
          <a:off x="4772025" y="20300950"/>
          <a:ext cx="6921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105</xdr:row>
      <xdr:rowOff>114300</xdr:rowOff>
    </xdr:from>
    <xdr:to>
      <xdr:col>8</xdr:col>
      <xdr:colOff>536575</xdr:colOff>
      <xdr:row>106</xdr:row>
      <xdr:rowOff>177800</xdr:rowOff>
    </xdr:to>
    <xdr:sp macro="" textlink="">
      <xdr:nvSpPr>
        <xdr:cNvPr id="9331" name="OpenSolver215"/>
        <xdr:cNvSpPr/>
      </xdr:nvSpPr>
      <xdr:spPr>
        <a:xfrm>
          <a:off x="4927600" y="20173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138</xdr:row>
      <xdr:rowOff>101600</xdr:rowOff>
    </xdr:from>
    <xdr:to>
      <xdr:col>8</xdr:col>
      <xdr:colOff>0</xdr:colOff>
      <xdr:row>139</xdr:row>
      <xdr:rowOff>0</xdr:rowOff>
    </xdr:to>
    <xdr:sp macro="" textlink="">
      <xdr:nvSpPr>
        <xdr:cNvPr id="9332" name="OpenSolver216"/>
        <xdr:cNvSpPr/>
      </xdr:nvSpPr>
      <xdr:spPr>
        <a:xfrm>
          <a:off x="4283075" y="26447750"/>
          <a:ext cx="488950" cy="88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101600</xdr:colOff>
      <xdr:row>138</xdr:row>
      <xdr:rowOff>101600</xdr:rowOff>
    </xdr:from>
    <xdr:to>
      <xdr:col>10</xdr:col>
      <xdr:colOff>0</xdr:colOff>
      <xdr:row>139</xdr:row>
      <xdr:rowOff>0</xdr:rowOff>
    </xdr:to>
    <xdr:sp macro="" textlink="">
      <xdr:nvSpPr>
        <xdr:cNvPr id="9333" name="OpenSolver217"/>
        <xdr:cNvSpPr/>
      </xdr:nvSpPr>
      <xdr:spPr>
        <a:xfrm>
          <a:off x="5464175" y="26447750"/>
          <a:ext cx="488950" cy="88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146050</xdr:rowOff>
    </xdr:from>
    <xdr:to>
      <xdr:col>9</xdr:col>
      <xdr:colOff>101600</xdr:colOff>
      <xdr:row>138</xdr:row>
      <xdr:rowOff>146050</xdr:rowOff>
    </xdr:to>
    <xdr:cxnSp macro="">
      <xdr:nvCxnSpPr>
        <xdr:cNvPr id="9334" name="OpenSolver218"/>
        <xdr:cNvCxnSpPr>
          <a:stCxn id="9332" idx="3"/>
          <a:endCxn id="9333" idx="1"/>
        </xdr:cNvCxnSpPr>
      </xdr:nvCxnSpPr>
      <xdr:spPr>
        <a:xfrm>
          <a:off x="4772025" y="26492200"/>
          <a:ext cx="692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138</xdr:row>
      <xdr:rowOff>19050</xdr:rowOff>
    </xdr:from>
    <xdr:to>
      <xdr:col>8</xdr:col>
      <xdr:colOff>536575</xdr:colOff>
      <xdr:row>139</xdr:row>
      <xdr:rowOff>82550</xdr:rowOff>
    </xdr:to>
    <xdr:sp macro="" textlink="">
      <xdr:nvSpPr>
        <xdr:cNvPr id="9335" name="OpenSolver219"/>
        <xdr:cNvSpPr/>
      </xdr:nvSpPr>
      <xdr:spPr>
        <a:xfrm>
          <a:off x="4927600" y="26365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6</xdr:row>
      <xdr:rowOff>114300</xdr:rowOff>
    </xdr:from>
    <xdr:to>
      <xdr:col>8</xdr:col>
      <xdr:colOff>0</xdr:colOff>
      <xdr:row>8</xdr:row>
      <xdr:rowOff>0</xdr:rowOff>
    </xdr:to>
    <xdr:sp macro="" textlink="">
      <xdr:nvSpPr>
        <xdr:cNvPr id="9336" name="OpenSolver220"/>
        <xdr:cNvSpPr/>
      </xdr:nvSpPr>
      <xdr:spPr>
        <a:xfrm>
          <a:off x="4295775" y="1295400"/>
          <a:ext cx="476250" cy="266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114300</xdr:colOff>
      <xdr:row>6</xdr:row>
      <xdr:rowOff>114300</xdr:rowOff>
    </xdr:from>
    <xdr:to>
      <xdr:col>10</xdr:col>
      <xdr:colOff>0</xdr:colOff>
      <xdr:row>8</xdr:row>
      <xdr:rowOff>0</xdr:rowOff>
    </xdr:to>
    <xdr:sp macro="" textlink="">
      <xdr:nvSpPr>
        <xdr:cNvPr id="9337" name="OpenSolver221"/>
        <xdr:cNvSpPr/>
      </xdr:nvSpPr>
      <xdr:spPr>
        <a:xfrm>
          <a:off x="5476875" y="1295400"/>
          <a:ext cx="476250" cy="266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57150</xdr:rowOff>
    </xdr:from>
    <xdr:to>
      <xdr:col>9</xdr:col>
      <xdr:colOff>114300</xdr:colOff>
      <xdr:row>7</xdr:row>
      <xdr:rowOff>57150</xdr:rowOff>
    </xdr:to>
    <xdr:cxnSp macro="">
      <xdr:nvCxnSpPr>
        <xdr:cNvPr id="9338" name="OpenSolver222"/>
        <xdr:cNvCxnSpPr>
          <a:stCxn id="9336" idx="3"/>
          <a:endCxn id="9337" idx="1"/>
        </xdr:cNvCxnSpPr>
      </xdr:nvCxnSpPr>
      <xdr:spPr>
        <a:xfrm>
          <a:off x="4772025" y="1428750"/>
          <a:ext cx="7048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6</xdr:row>
      <xdr:rowOff>120650</xdr:rowOff>
    </xdr:from>
    <xdr:to>
      <xdr:col>8</xdr:col>
      <xdr:colOff>542925</xdr:colOff>
      <xdr:row>7</xdr:row>
      <xdr:rowOff>184150</xdr:rowOff>
    </xdr:to>
    <xdr:sp macro="" textlink="">
      <xdr:nvSpPr>
        <xdr:cNvPr id="9339" name="OpenSolver223"/>
        <xdr:cNvSpPr/>
      </xdr:nvSpPr>
      <xdr:spPr>
        <a:xfrm>
          <a:off x="493395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8</xdr:row>
      <xdr:rowOff>114300</xdr:rowOff>
    </xdr:from>
    <xdr:to>
      <xdr:col>8</xdr:col>
      <xdr:colOff>0</xdr:colOff>
      <xdr:row>72</xdr:row>
      <xdr:rowOff>0</xdr:rowOff>
    </xdr:to>
    <xdr:sp macro="" textlink="">
      <xdr:nvSpPr>
        <xdr:cNvPr id="9340" name="OpenSolver224"/>
        <xdr:cNvSpPr/>
      </xdr:nvSpPr>
      <xdr:spPr>
        <a:xfrm>
          <a:off x="4295775" y="1676400"/>
          <a:ext cx="476250" cy="120967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114300</xdr:colOff>
      <xdr:row>8</xdr:row>
      <xdr:rowOff>114300</xdr:rowOff>
    </xdr:from>
    <xdr:to>
      <xdr:col>10</xdr:col>
      <xdr:colOff>0</xdr:colOff>
      <xdr:row>72</xdr:row>
      <xdr:rowOff>0</xdr:rowOff>
    </xdr:to>
    <xdr:sp macro="" textlink="">
      <xdr:nvSpPr>
        <xdr:cNvPr id="9341" name="OpenSolver225"/>
        <xdr:cNvSpPr/>
      </xdr:nvSpPr>
      <xdr:spPr>
        <a:xfrm>
          <a:off x="5476875" y="1676400"/>
          <a:ext cx="476250" cy="120967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47625</xdr:rowOff>
    </xdr:from>
    <xdr:to>
      <xdr:col>9</xdr:col>
      <xdr:colOff>114300</xdr:colOff>
      <xdr:row>40</xdr:row>
      <xdr:rowOff>47625</xdr:rowOff>
    </xdr:to>
    <xdr:cxnSp macro="">
      <xdr:nvCxnSpPr>
        <xdr:cNvPr id="9342" name="OpenSolver226"/>
        <xdr:cNvCxnSpPr>
          <a:stCxn id="9340" idx="3"/>
          <a:endCxn id="9341" idx="1"/>
        </xdr:cNvCxnSpPr>
      </xdr:nvCxnSpPr>
      <xdr:spPr>
        <a:xfrm>
          <a:off x="4772025" y="7724775"/>
          <a:ext cx="704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39</xdr:row>
      <xdr:rowOff>111125</xdr:rowOff>
    </xdr:from>
    <xdr:to>
      <xdr:col>8</xdr:col>
      <xdr:colOff>542925</xdr:colOff>
      <xdr:row>40</xdr:row>
      <xdr:rowOff>174625</xdr:rowOff>
    </xdr:to>
    <xdr:sp macro="" textlink="">
      <xdr:nvSpPr>
        <xdr:cNvPr id="9343" name="OpenSolver227"/>
        <xdr:cNvSpPr/>
      </xdr:nvSpPr>
      <xdr:spPr>
        <a:xfrm>
          <a:off x="4933950" y="75977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72</xdr:row>
      <xdr:rowOff>114300</xdr:rowOff>
    </xdr:from>
    <xdr:to>
      <xdr:col>8</xdr:col>
      <xdr:colOff>0</xdr:colOff>
      <xdr:row>73</xdr:row>
      <xdr:rowOff>0</xdr:rowOff>
    </xdr:to>
    <xdr:sp macro="" textlink="">
      <xdr:nvSpPr>
        <xdr:cNvPr id="9344" name="OpenSolver228"/>
        <xdr:cNvSpPr/>
      </xdr:nvSpPr>
      <xdr:spPr>
        <a:xfrm>
          <a:off x="4295775" y="13887450"/>
          <a:ext cx="476250" cy="76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114300</xdr:colOff>
      <xdr:row>72</xdr:row>
      <xdr:rowOff>114300</xdr:rowOff>
    </xdr:from>
    <xdr:to>
      <xdr:col>10</xdr:col>
      <xdr:colOff>0</xdr:colOff>
      <xdr:row>73</xdr:row>
      <xdr:rowOff>0</xdr:rowOff>
    </xdr:to>
    <xdr:sp macro="" textlink="">
      <xdr:nvSpPr>
        <xdr:cNvPr id="9345" name="OpenSolver229"/>
        <xdr:cNvSpPr/>
      </xdr:nvSpPr>
      <xdr:spPr>
        <a:xfrm>
          <a:off x="5476875" y="13887450"/>
          <a:ext cx="476250" cy="76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152400</xdr:rowOff>
    </xdr:from>
    <xdr:to>
      <xdr:col>9</xdr:col>
      <xdr:colOff>114300</xdr:colOff>
      <xdr:row>72</xdr:row>
      <xdr:rowOff>152400</xdr:rowOff>
    </xdr:to>
    <xdr:cxnSp macro="">
      <xdr:nvCxnSpPr>
        <xdr:cNvPr id="9346" name="OpenSolver230"/>
        <xdr:cNvCxnSpPr>
          <a:stCxn id="9344" idx="3"/>
          <a:endCxn id="9345" idx="1"/>
        </xdr:cNvCxnSpPr>
      </xdr:nvCxnSpPr>
      <xdr:spPr>
        <a:xfrm>
          <a:off x="4772025" y="13925550"/>
          <a:ext cx="704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72</xdr:row>
      <xdr:rowOff>25400</xdr:rowOff>
    </xdr:from>
    <xdr:to>
      <xdr:col>8</xdr:col>
      <xdr:colOff>542925</xdr:colOff>
      <xdr:row>73</xdr:row>
      <xdr:rowOff>88900</xdr:rowOff>
    </xdr:to>
    <xdr:sp macro="" textlink="">
      <xdr:nvSpPr>
        <xdr:cNvPr id="9347" name="OpenSolver231"/>
        <xdr:cNvSpPr/>
      </xdr:nvSpPr>
      <xdr:spPr>
        <a:xfrm>
          <a:off x="4933950" y="13798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73</xdr:row>
      <xdr:rowOff>114300</xdr:rowOff>
    </xdr:from>
    <xdr:to>
      <xdr:col>8</xdr:col>
      <xdr:colOff>0</xdr:colOff>
      <xdr:row>74</xdr:row>
      <xdr:rowOff>0</xdr:rowOff>
    </xdr:to>
    <xdr:sp macro="" textlink="">
      <xdr:nvSpPr>
        <xdr:cNvPr id="9348" name="OpenSolver232"/>
        <xdr:cNvSpPr/>
      </xdr:nvSpPr>
      <xdr:spPr>
        <a:xfrm>
          <a:off x="4295775" y="14077950"/>
          <a:ext cx="476250" cy="76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114300</xdr:colOff>
      <xdr:row>73</xdr:row>
      <xdr:rowOff>114300</xdr:rowOff>
    </xdr:from>
    <xdr:to>
      <xdr:col>10</xdr:col>
      <xdr:colOff>0</xdr:colOff>
      <xdr:row>74</xdr:row>
      <xdr:rowOff>0</xdr:rowOff>
    </xdr:to>
    <xdr:sp macro="" textlink="">
      <xdr:nvSpPr>
        <xdr:cNvPr id="9349" name="OpenSolver233"/>
        <xdr:cNvSpPr/>
      </xdr:nvSpPr>
      <xdr:spPr>
        <a:xfrm>
          <a:off x="5476875" y="14077950"/>
          <a:ext cx="476250" cy="76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152400</xdr:rowOff>
    </xdr:from>
    <xdr:to>
      <xdr:col>9</xdr:col>
      <xdr:colOff>114300</xdr:colOff>
      <xdr:row>73</xdr:row>
      <xdr:rowOff>152400</xdr:rowOff>
    </xdr:to>
    <xdr:cxnSp macro="">
      <xdr:nvCxnSpPr>
        <xdr:cNvPr id="9350" name="OpenSolver234"/>
        <xdr:cNvCxnSpPr>
          <a:stCxn id="9348" idx="3"/>
          <a:endCxn id="9349" idx="1"/>
        </xdr:cNvCxnSpPr>
      </xdr:nvCxnSpPr>
      <xdr:spPr>
        <a:xfrm>
          <a:off x="4772025" y="14116050"/>
          <a:ext cx="7048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73</xdr:row>
      <xdr:rowOff>25400</xdr:rowOff>
    </xdr:from>
    <xdr:to>
      <xdr:col>8</xdr:col>
      <xdr:colOff>542925</xdr:colOff>
      <xdr:row>74</xdr:row>
      <xdr:rowOff>88900</xdr:rowOff>
    </xdr:to>
    <xdr:sp macro="" textlink="">
      <xdr:nvSpPr>
        <xdr:cNvPr id="9351" name="OpenSolver235"/>
        <xdr:cNvSpPr/>
      </xdr:nvSpPr>
      <xdr:spPr>
        <a:xfrm>
          <a:off x="4933950" y="1398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74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352" name="OpenSolver236"/>
        <xdr:cNvSpPr/>
      </xdr:nvSpPr>
      <xdr:spPr>
        <a:xfrm>
          <a:off x="4295775" y="14268450"/>
          <a:ext cx="476250" cy="12077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114300</xdr:colOff>
      <xdr:row>74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353" name="OpenSolver237"/>
        <xdr:cNvSpPr/>
      </xdr:nvSpPr>
      <xdr:spPr>
        <a:xfrm>
          <a:off x="5476875" y="14268450"/>
          <a:ext cx="476250" cy="12077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57150</xdr:rowOff>
    </xdr:from>
    <xdr:to>
      <xdr:col>9</xdr:col>
      <xdr:colOff>114300</xdr:colOff>
      <xdr:row>106</xdr:row>
      <xdr:rowOff>57150</xdr:rowOff>
    </xdr:to>
    <xdr:cxnSp macro="">
      <xdr:nvCxnSpPr>
        <xdr:cNvPr id="9354" name="OpenSolver238"/>
        <xdr:cNvCxnSpPr>
          <a:stCxn id="9352" idx="3"/>
          <a:endCxn id="9353" idx="1"/>
        </xdr:cNvCxnSpPr>
      </xdr:nvCxnSpPr>
      <xdr:spPr>
        <a:xfrm>
          <a:off x="4772025" y="20307300"/>
          <a:ext cx="7048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105</xdr:row>
      <xdr:rowOff>120650</xdr:rowOff>
    </xdr:from>
    <xdr:to>
      <xdr:col>8</xdr:col>
      <xdr:colOff>542925</xdr:colOff>
      <xdr:row>106</xdr:row>
      <xdr:rowOff>184150</xdr:rowOff>
    </xdr:to>
    <xdr:sp macro="" textlink="">
      <xdr:nvSpPr>
        <xdr:cNvPr id="9355" name="OpenSolver239"/>
        <xdr:cNvSpPr/>
      </xdr:nvSpPr>
      <xdr:spPr>
        <a:xfrm>
          <a:off x="4933950" y="20180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138</xdr:row>
      <xdr:rowOff>114300</xdr:rowOff>
    </xdr:from>
    <xdr:to>
      <xdr:col>8</xdr:col>
      <xdr:colOff>0</xdr:colOff>
      <xdr:row>139</xdr:row>
      <xdr:rowOff>0</xdr:rowOff>
    </xdr:to>
    <xdr:sp macro="" textlink="">
      <xdr:nvSpPr>
        <xdr:cNvPr id="9356" name="OpenSolver240"/>
        <xdr:cNvSpPr/>
      </xdr:nvSpPr>
      <xdr:spPr>
        <a:xfrm>
          <a:off x="4295775" y="26460450"/>
          <a:ext cx="476250" cy="76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114300</xdr:colOff>
      <xdr:row>138</xdr:row>
      <xdr:rowOff>114300</xdr:rowOff>
    </xdr:from>
    <xdr:to>
      <xdr:col>10</xdr:col>
      <xdr:colOff>0</xdr:colOff>
      <xdr:row>139</xdr:row>
      <xdr:rowOff>0</xdr:rowOff>
    </xdr:to>
    <xdr:sp macro="" textlink="">
      <xdr:nvSpPr>
        <xdr:cNvPr id="9357" name="OpenSolver241"/>
        <xdr:cNvSpPr/>
      </xdr:nvSpPr>
      <xdr:spPr>
        <a:xfrm>
          <a:off x="5476875" y="26460450"/>
          <a:ext cx="476250" cy="76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152400</xdr:rowOff>
    </xdr:from>
    <xdr:to>
      <xdr:col>9</xdr:col>
      <xdr:colOff>114300</xdr:colOff>
      <xdr:row>138</xdr:row>
      <xdr:rowOff>152400</xdr:rowOff>
    </xdr:to>
    <xdr:cxnSp macro="">
      <xdr:nvCxnSpPr>
        <xdr:cNvPr id="9358" name="OpenSolver242"/>
        <xdr:cNvCxnSpPr>
          <a:stCxn id="9356" idx="3"/>
          <a:endCxn id="9357" idx="1"/>
        </xdr:cNvCxnSpPr>
      </xdr:nvCxnSpPr>
      <xdr:spPr>
        <a:xfrm>
          <a:off x="4772025" y="26498550"/>
          <a:ext cx="704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138</xdr:row>
      <xdr:rowOff>25400</xdr:rowOff>
    </xdr:from>
    <xdr:to>
      <xdr:col>8</xdr:col>
      <xdr:colOff>542925</xdr:colOff>
      <xdr:row>139</xdr:row>
      <xdr:rowOff>88900</xdr:rowOff>
    </xdr:to>
    <xdr:sp macro="" textlink="">
      <xdr:nvSpPr>
        <xdr:cNvPr id="9359" name="OpenSolver243"/>
        <xdr:cNvSpPr/>
      </xdr:nvSpPr>
      <xdr:spPr>
        <a:xfrm>
          <a:off x="4933950" y="26371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6</xdr:row>
      <xdr:rowOff>127000</xdr:rowOff>
    </xdr:from>
    <xdr:to>
      <xdr:col>8</xdr:col>
      <xdr:colOff>0</xdr:colOff>
      <xdr:row>8</xdr:row>
      <xdr:rowOff>0</xdr:rowOff>
    </xdr:to>
    <xdr:sp macro="" textlink="">
      <xdr:nvSpPr>
        <xdr:cNvPr id="9360" name="OpenSolver244"/>
        <xdr:cNvSpPr/>
      </xdr:nvSpPr>
      <xdr:spPr>
        <a:xfrm>
          <a:off x="4308475" y="1308100"/>
          <a:ext cx="463550" cy="25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127000</xdr:colOff>
      <xdr:row>6</xdr:row>
      <xdr:rowOff>127000</xdr:rowOff>
    </xdr:from>
    <xdr:to>
      <xdr:col>10</xdr:col>
      <xdr:colOff>0</xdr:colOff>
      <xdr:row>8</xdr:row>
      <xdr:rowOff>0</xdr:rowOff>
    </xdr:to>
    <xdr:sp macro="" textlink="">
      <xdr:nvSpPr>
        <xdr:cNvPr id="9361" name="OpenSolver245"/>
        <xdr:cNvSpPr/>
      </xdr:nvSpPr>
      <xdr:spPr>
        <a:xfrm>
          <a:off x="5489575" y="1308100"/>
          <a:ext cx="463550" cy="25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63500</xdr:rowOff>
    </xdr:from>
    <xdr:to>
      <xdr:col>9</xdr:col>
      <xdr:colOff>127000</xdr:colOff>
      <xdr:row>7</xdr:row>
      <xdr:rowOff>63500</xdr:rowOff>
    </xdr:to>
    <xdr:cxnSp macro="">
      <xdr:nvCxnSpPr>
        <xdr:cNvPr id="9362" name="OpenSolver246"/>
        <xdr:cNvCxnSpPr>
          <a:stCxn id="9360" idx="3"/>
          <a:endCxn id="9361" idx="1"/>
        </xdr:cNvCxnSpPr>
      </xdr:nvCxnSpPr>
      <xdr:spPr>
        <a:xfrm>
          <a:off x="4772025" y="1435100"/>
          <a:ext cx="717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6</xdr:row>
      <xdr:rowOff>127000</xdr:rowOff>
    </xdr:from>
    <xdr:to>
      <xdr:col>8</xdr:col>
      <xdr:colOff>549275</xdr:colOff>
      <xdr:row>8</xdr:row>
      <xdr:rowOff>0</xdr:rowOff>
    </xdr:to>
    <xdr:sp macro="" textlink="">
      <xdr:nvSpPr>
        <xdr:cNvPr id="9363" name="OpenSolver247"/>
        <xdr:cNvSpPr/>
      </xdr:nvSpPr>
      <xdr:spPr>
        <a:xfrm>
          <a:off x="4940300" y="130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8</xdr:row>
      <xdr:rowOff>127000</xdr:rowOff>
    </xdr:from>
    <xdr:to>
      <xdr:col>8</xdr:col>
      <xdr:colOff>0</xdr:colOff>
      <xdr:row>72</xdr:row>
      <xdr:rowOff>0</xdr:rowOff>
    </xdr:to>
    <xdr:sp macro="" textlink="">
      <xdr:nvSpPr>
        <xdr:cNvPr id="9364" name="OpenSolver248"/>
        <xdr:cNvSpPr/>
      </xdr:nvSpPr>
      <xdr:spPr>
        <a:xfrm>
          <a:off x="4308475" y="1689100"/>
          <a:ext cx="463550" cy="120840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127000</xdr:colOff>
      <xdr:row>8</xdr:row>
      <xdr:rowOff>127000</xdr:rowOff>
    </xdr:from>
    <xdr:to>
      <xdr:col>10</xdr:col>
      <xdr:colOff>0</xdr:colOff>
      <xdr:row>72</xdr:row>
      <xdr:rowOff>0</xdr:rowOff>
    </xdr:to>
    <xdr:sp macro="" textlink="">
      <xdr:nvSpPr>
        <xdr:cNvPr id="9365" name="OpenSolver249"/>
        <xdr:cNvSpPr/>
      </xdr:nvSpPr>
      <xdr:spPr>
        <a:xfrm>
          <a:off x="5489575" y="1689100"/>
          <a:ext cx="463550" cy="120840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53975</xdr:rowOff>
    </xdr:from>
    <xdr:to>
      <xdr:col>9</xdr:col>
      <xdr:colOff>127000</xdr:colOff>
      <xdr:row>40</xdr:row>
      <xdr:rowOff>53975</xdr:rowOff>
    </xdr:to>
    <xdr:cxnSp macro="">
      <xdr:nvCxnSpPr>
        <xdr:cNvPr id="9366" name="OpenSolver250"/>
        <xdr:cNvCxnSpPr>
          <a:stCxn id="9364" idx="3"/>
          <a:endCxn id="9365" idx="1"/>
        </xdr:cNvCxnSpPr>
      </xdr:nvCxnSpPr>
      <xdr:spPr>
        <a:xfrm>
          <a:off x="4772025" y="7731125"/>
          <a:ext cx="717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39</xdr:row>
      <xdr:rowOff>117475</xdr:rowOff>
    </xdr:from>
    <xdr:to>
      <xdr:col>8</xdr:col>
      <xdr:colOff>549275</xdr:colOff>
      <xdr:row>40</xdr:row>
      <xdr:rowOff>180975</xdr:rowOff>
    </xdr:to>
    <xdr:sp macro="" textlink="">
      <xdr:nvSpPr>
        <xdr:cNvPr id="9367" name="OpenSolver251"/>
        <xdr:cNvSpPr/>
      </xdr:nvSpPr>
      <xdr:spPr>
        <a:xfrm>
          <a:off x="4940300" y="7604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72</xdr:row>
      <xdr:rowOff>127000</xdr:rowOff>
    </xdr:from>
    <xdr:to>
      <xdr:col>8</xdr:col>
      <xdr:colOff>0</xdr:colOff>
      <xdr:row>73</xdr:row>
      <xdr:rowOff>0</xdr:rowOff>
    </xdr:to>
    <xdr:sp macro="" textlink="">
      <xdr:nvSpPr>
        <xdr:cNvPr id="9368" name="OpenSolver252"/>
        <xdr:cNvSpPr/>
      </xdr:nvSpPr>
      <xdr:spPr>
        <a:xfrm>
          <a:off x="4308475" y="13900150"/>
          <a:ext cx="463550" cy="6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127000</xdr:colOff>
      <xdr:row>72</xdr:row>
      <xdr:rowOff>127000</xdr:rowOff>
    </xdr:from>
    <xdr:to>
      <xdr:col>10</xdr:col>
      <xdr:colOff>0</xdr:colOff>
      <xdr:row>73</xdr:row>
      <xdr:rowOff>0</xdr:rowOff>
    </xdr:to>
    <xdr:sp macro="" textlink="">
      <xdr:nvSpPr>
        <xdr:cNvPr id="9369" name="OpenSolver253"/>
        <xdr:cNvSpPr/>
      </xdr:nvSpPr>
      <xdr:spPr>
        <a:xfrm>
          <a:off x="5489575" y="13900150"/>
          <a:ext cx="463550" cy="6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158750</xdr:rowOff>
    </xdr:from>
    <xdr:to>
      <xdr:col>9</xdr:col>
      <xdr:colOff>127000</xdr:colOff>
      <xdr:row>72</xdr:row>
      <xdr:rowOff>158750</xdr:rowOff>
    </xdr:to>
    <xdr:cxnSp macro="">
      <xdr:nvCxnSpPr>
        <xdr:cNvPr id="9370" name="OpenSolver254"/>
        <xdr:cNvCxnSpPr>
          <a:stCxn id="9368" idx="3"/>
          <a:endCxn id="9369" idx="1"/>
        </xdr:cNvCxnSpPr>
      </xdr:nvCxnSpPr>
      <xdr:spPr>
        <a:xfrm>
          <a:off x="4772025" y="13931900"/>
          <a:ext cx="717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72</xdr:row>
      <xdr:rowOff>31750</xdr:rowOff>
    </xdr:from>
    <xdr:to>
      <xdr:col>8</xdr:col>
      <xdr:colOff>549275</xdr:colOff>
      <xdr:row>73</xdr:row>
      <xdr:rowOff>95250</xdr:rowOff>
    </xdr:to>
    <xdr:sp macro="" textlink="">
      <xdr:nvSpPr>
        <xdr:cNvPr id="9371" name="OpenSolver255"/>
        <xdr:cNvSpPr/>
      </xdr:nvSpPr>
      <xdr:spPr>
        <a:xfrm>
          <a:off x="4940300" y="13804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73</xdr:row>
      <xdr:rowOff>127000</xdr:rowOff>
    </xdr:from>
    <xdr:to>
      <xdr:col>8</xdr:col>
      <xdr:colOff>0</xdr:colOff>
      <xdr:row>74</xdr:row>
      <xdr:rowOff>0</xdr:rowOff>
    </xdr:to>
    <xdr:sp macro="" textlink="">
      <xdr:nvSpPr>
        <xdr:cNvPr id="9372" name="OpenSolver256"/>
        <xdr:cNvSpPr/>
      </xdr:nvSpPr>
      <xdr:spPr>
        <a:xfrm>
          <a:off x="4308475" y="14090650"/>
          <a:ext cx="463550" cy="6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127000</xdr:colOff>
      <xdr:row>73</xdr:row>
      <xdr:rowOff>127000</xdr:rowOff>
    </xdr:from>
    <xdr:to>
      <xdr:col>10</xdr:col>
      <xdr:colOff>0</xdr:colOff>
      <xdr:row>74</xdr:row>
      <xdr:rowOff>0</xdr:rowOff>
    </xdr:to>
    <xdr:sp macro="" textlink="">
      <xdr:nvSpPr>
        <xdr:cNvPr id="9373" name="OpenSolver257"/>
        <xdr:cNvSpPr/>
      </xdr:nvSpPr>
      <xdr:spPr>
        <a:xfrm>
          <a:off x="5489575" y="14090650"/>
          <a:ext cx="463550" cy="6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158750</xdr:rowOff>
    </xdr:from>
    <xdr:to>
      <xdr:col>9</xdr:col>
      <xdr:colOff>127000</xdr:colOff>
      <xdr:row>73</xdr:row>
      <xdr:rowOff>158750</xdr:rowOff>
    </xdr:to>
    <xdr:cxnSp macro="">
      <xdr:nvCxnSpPr>
        <xdr:cNvPr id="9374" name="OpenSolver258"/>
        <xdr:cNvCxnSpPr>
          <a:stCxn id="9372" idx="3"/>
          <a:endCxn id="9373" idx="1"/>
        </xdr:cNvCxnSpPr>
      </xdr:nvCxnSpPr>
      <xdr:spPr>
        <a:xfrm>
          <a:off x="4772025" y="14122400"/>
          <a:ext cx="717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73</xdr:row>
      <xdr:rowOff>31750</xdr:rowOff>
    </xdr:from>
    <xdr:to>
      <xdr:col>8</xdr:col>
      <xdr:colOff>549275</xdr:colOff>
      <xdr:row>74</xdr:row>
      <xdr:rowOff>95250</xdr:rowOff>
    </xdr:to>
    <xdr:sp macro="" textlink="">
      <xdr:nvSpPr>
        <xdr:cNvPr id="9375" name="OpenSolver259"/>
        <xdr:cNvSpPr/>
      </xdr:nvSpPr>
      <xdr:spPr>
        <a:xfrm>
          <a:off x="4940300" y="1399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74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376" name="OpenSolver260"/>
        <xdr:cNvSpPr/>
      </xdr:nvSpPr>
      <xdr:spPr>
        <a:xfrm>
          <a:off x="4308475" y="14281150"/>
          <a:ext cx="463550" cy="12065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127000</xdr:colOff>
      <xdr:row>74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377" name="OpenSolver261"/>
        <xdr:cNvSpPr/>
      </xdr:nvSpPr>
      <xdr:spPr>
        <a:xfrm>
          <a:off x="5489575" y="14281150"/>
          <a:ext cx="463550" cy="12065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63500</xdr:rowOff>
    </xdr:from>
    <xdr:to>
      <xdr:col>9</xdr:col>
      <xdr:colOff>127000</xdr:colOff>
      <xdr:row>106</xdr:row>
      <xdr:rowOff>63500</xdr:rowOff>
    </xdr:to>
    <xdr:cxnSp macro="">
      <xdr:nvCxnSpPr>
        <xdr:cNvPr id="9378" name="OpenSolver262"/>
        <xdr:cNvCxnSpPr>
          <a:stCxn id="9376" idx="3"/>
          <a:endCxn id="9377" idx="1"/>
        </xdr:cNvCxnSpPr>
      </xdr:nvCxnSpPr>
      <xdr:spPr>
        <a:xfrm>
          <a:off x="4772025" y="20313650"/>
          <a:ext cx="717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105</xdr:row>
      <xdr:rowOff>127000</xdr:rowOff>
    </xdr:from>
    <xdr:to>
      <xdr:col>8</xdr:col>
      <xdr:colOff>549275</xdr:colOff>
      <xdr:row>107</xdr:row>
      <xdr:rowOff>0</xdr:rowOff>
    </xdr:to>
    <xdr:sp macro="" textlink="">
      <xdr:nvSpPr>
        <xdr:cNvPr id="9379" name="OpenSolver263"/>
        <xdr:cNvSpPr/>
      </xdr:nvSpPr>
      <xdr:spPr>
        <a:xfrm>
          <a:off x="4940300" y="20186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138</xdr:row>
      <xdr:rowOff>127000</xdr:rowOff>
    </xdr:from>
    <xdr:to>
      <xdr:col>8</xdr:col>
      <xdr:colOff>0</xdr:colOff>
      <xdr:row>139</xdr:row>
      <xdr:rowOff>0</xdr:rowOff>
    </xdr:to>
    <xdr:sp macro="" textlink="">
      <xdr:nvSpPr>
        <xdr:cNvPr id="9380" name="OpenSolver264"/>
        <xdr:cNvSpPr/>
      </xdr:nvSpPr>
      <xdr:spPr>
        <a:xfrm>
          <a:off x="4308475" y="26473150"/>
          <a:ext cx="463550" cy="6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127000</xdr:colOff>
      <xdr:row>138</xdr:row>
      <xdr:rowOff>127000</xdr:rowOff>
    </xdr:from>
    <xdr:to>
      <xdr:col>10</xdr:col>
      <xdr:colOff>0</xdr:colOff>
      <xdr:row>139</xdr:row>
      <xdr:rowOff>0</xdr:rowOff>
    </xdr:to>
    <xdr:sp macro="" textlink="">
      <xdr:nvSpPr>
        <xdr:cNvPr id="9381" name="OpenSolver265"/>
        <xdr:cNvSpPr/>
      </xdr:nvSpPr>
      <xdr:spPr>
        <a:xfrm>
          <a:off x="5489575" y="26473150"/>
          <a:ext cx="463550" cy="6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158750</xdr:rowOff>
    </xdr:from>
    <xdr:to>
      <xdr:col>9</xdr:col>
      <xdr:colOff>127000</xdr:colOff>
      <xdr:row>138</xdr:row>
      <xdr:rowOff>158750</xdr:rowOff>
    </xdr:to>
    <xdr:cxnSp macro="">
      <xdr:nvCxnSpPr>
        <xdr:cNvPr id="9382" name="OpenSolver266"/>
        <xdr:cNvCxnSpPr>
          <a:stCxn id="9380" idx="3"/>
          <a:endCxn id="9381" idx="1"/>
        </xdr:cNvCxnSpPr>
      </xdr:nvCxnSpPr>
      <xdr:spPr>
        <a:xfrm>
          <a:off x="4772025" y="26504900"/>
          <a:ext cx="717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138</xdr:row>
      <xdr:rowOff>31750</xdr:rowOff>
    </xdr:from>
    <xdr:to>
      <xdr:col>8</xdr:col>
      <xdr:colOff>549275</xdr:colOff>
      <xdr:row>139</xdr:row>
      <xdr:rowOff>95250</xdr:rowOff>
    </xdr:to>
    <xdr:sp macro="" textlink="">
      <xdr:nvSpPr>
        <xdr:cNvPr id="9383" name="OpenSolver267"/>
        <xdr:cNvSpPr/>
      </xdr:nvSpPr>
      <xdr:spPr>
        <a:xfrm>
          <a:off x="4940300" y="26377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6</xdr:row>
      <xdr:rowOff>139700</xdr:rowOff>
    </xdr:from>
    <xdr:to>
      <xdr:col>8</xdr:col>
      <xdr:colOff>0</xdr:colOff>
      <xdr:row>8</xdr:row>
      <xdr:rowOff>0</xdr:rowOff>
    </xdr:to>
    <xdr:sp macro="" textlink="">
      <xdr:nvSpPr>
        <xdr:cNvPr id="9384" name="OpenSolver268"/>
        <xdr:cNvSpPr/>
      </xdr:nvSpPr>
      <xdr:spPr>
        <a:xfrm>
          <a:off x="4321175" y="1320800"/>
          <a:ext cx="450850" cy="241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139700</xdr:colOff>
      <xdr:row>6</xdr:row>
      <xdr:rowOff>139700</xdr:rowOff>
    </xdr:from>
    <xdr:to>
      <xdr:col>10</xdr:col>
      <xdr:colOff>0</xdr:colOff>
      <xdr:row>8</xdr:row>
      <xdr:rowOff>0</xdr:rowOff>
    </xdr:to>
    <xdr:sp macro="" textlink="">
      <xdr:nvSpPr>
        <xdr:cNvPr id="9385" name="OpenSolver269"/>
        <xdr:cNvSpPr/>
      </xdr:nvSpPr>
      <xdr:spPr>
        <a:xfrm>
          <a:off x="5502275" y="1320800"/>
          <a:ext cx="450850" cy="241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69850</xdr:rowOff>
    </xdr:from>
    <xdr:to>
      <xdr:col>9</xdr:col>
      <xdr:colOff>139700</xdr:colOff>
      <xdr:row>7</xdr:row>
      <xdr:rowOff>69850</xdr:rowOff>
    </xdr:to>
    <xdr:cxnSp macro="">
      <xdr:nvCxnSpPr>
        <xdr:cNvPr id="9386" name="OpenSolver270"/>
        <xdr:cNvCxnSpPr>
          <a:stCxn id="9384" idx="3"/>
          <a:endCxn id="9385" idx="1"/>
        </xdr:cNvCxnSpPr>
      </xdr:nvCxnSpPr>
      <xdr:spPr>
        <a:xfrm>
          <a:off x="4772025" y="1441450"/>
          <a:ext cx="7302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6</xdr:row>
      <xdr:rowOff>133350</xdr:rowOff>
    </xdr:from>
    <xdr:to>
      <xdr:col>8</xdr:col>
      <xdr:colOff>555625</xdr:colOff>
      <xdr:row>8</xdr:row>
      <xdr:rowOff>6350</xdr:rowOff>
    </xdr:to>
    <xdr:sp macro="" textlink="">
      <xdr:nvSpPr>
        <xdr:cNvPr id="9387" name="OpenSolver271"/>
        <xdr:cNvSpPr/>
      </xdr:nvSpPr>
      <xdr:spPr>
        <a:xfrm>
          <a:off x="4946650" y="131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8</xdr:row>
      <xdr:rowOff>139700</xdr:rowOff>
    </xdr:from>
    <xdr:to>
      <xdr:col>8</xdr:col>
      <xdr:colOff>0</xdr:colOff>
      <xdr:row>72</xdr:row>
      <xdr:rowOff>0</xdr:rowOff>
    </xdr:to>
    <xdr:sp macro="" textlink="">
      <xdr:nvSpPr>
        <xdr:cNvPr id="9388" name="OpenSolver272"/>
        <xdr:cNvSpPr/>
      </xdr:nvSpPr>
      <xdr:spPr>
        <a:xfrm>
          <a:off x="4321175" y="1701800"/>
          <a:ext cx="450850" cy="1207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139700</xdr:colOff>
      <xdr:row>8</xdr:row>
      <xdr:rowOff>139700</xdr:rowOff>
    </xdr:from>
    <xdr:to>
      <xdr:col>10</xdr:col>
      <xdr:colOff>0</xdr:colOff>
      <xdr:row>72</xdr:row>
      <xdr:rowOff>0</xdr:rowOff>
    </xdr:to>
    <xdr:sp macro="" textlink="">
      <xdr:nvSpPr>
        <xdr:cNvPr id="9389" name="OpenSolver273"/>
        <xdr:cNvSpPr/>
      </xdr:nvSpPr>
      <xdr:spPr>
        <a:xfrm>
          <a:off x="5502275" y="1701800"/>
          <a:ext cx="450850" cy="1207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60325</xdr:rowOff>
    </xdr:from>
    <xdr:to>
      <xdr:col>9</xdr:col>
      <xdr:colOff>139700</xdr:colOff>
      <xdr:row>40</xdr:row>
      <xdr:rowOff>60325</xdr:rowOff>
    </xdr:to>
    <xdr:cxnSp macro="">
      <xdr:nvCxnSpPr>
        <xdr:cNvPr id="9390" name="OpenSolver274"/>
        <xdr:cNvCxnSpPr>
          <a:stCxn id="9388" idx="3"/>
          <a:endCxn id="9389" idx="1"/>
        </xdr:cNvCxnSpPr>
      </xdr:nvCxnSpPr>
      <xdr:spPr>
        <a:xfrm>
          <a:off x="4772025" y="7737475"/>
          <a:ext cx="730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39</xdr:row>
      <xdr:rowOff>123825</xdr:rowOff>
    </xdr:from>
    <xdr:to>
      <xdr:col>8</xdr:col>
      <xdr:colOff>555625</xdr:colOff>
      <xdr:row>40</xdr:row>
      <xdr:rowOff>187325</xdr:rowOff>
    </xdr:to>
    <xdr:sp macro="" textlink="">
      <xdr:nvSpPr>
        <xdr:cNvPr id="9391" name="OpenSolver275"/>
        <xdr:cNvSpPr/>
      </xdr:nvSpPr>
      <xdr:spPr>
        <a:xfrm>
          <a:off x="4946650" y="76104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72</xdr:row>
      <xdr:rowOff>139700</xdr:rowOff>
    </xdr:from>
    <xdr:to>
      <xdr:col>8</xdr:col>
      <xdr:colOff>0</xdr:colOff>
      <xdr:row>73</xdr:row>
      <xdr:rowOff>0</xdr:rowOff>
    </xdr:to>
    <xdr:sp macro="" textlink="">
      <xdr:nvSpPr>
        <xdr:cNvPr id="9392" name="OpenSolver276"/>
        <xdr:cNvSpPr/>
      </xdr:nvSpPr>
      <xdr:spPr>
        <a:xfrm>
          <a:off x="4321175" y="13912850"/>
          <a:ext cx="450850" cy="50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139700</xdr:colOff>
      <xdr:row>72</xdr:row>
      <xdr:rowOff>139700</xdr:rowOff>
    </xdr:from>
    <xdr:to>
      <xdr:col>10</xdr:col>
      <xdr:colOff>0</xdr:colOff>
      <xdr:row>73</xdr:row>
      <xdr:rowOff>0</xdr:rowOff>
    </xdr:to>
    <xdr:sp macro="" textlink="">
      <xdr:nvSpPr>
        <xdr:cNvPr id="9393" name="OpenSolver277"/>
        <xdr:cNvSpPr/>
      </xdr:nvSpPr>
      <xdr:spPr>
        <a:xfrm>
          <a:off x="5502275" y="13912850"/>
          <a:ext cx="450850" cy="50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165100</xdr:rowOff>
    </xdr:from>
    <xdr:to>
      <xdr:col>9</xdr:col>
      <xdr:colOff>139700</xdr:colOff>
      <xdr:row>72</xdr:row>
      <xdr:rowOff>165100</xdr:rowOff>
    </xdr:to>
    <xdr:cxnSp macro="">
      <xdr:nvCxnSpPr>
        <xdr:cNvPr id="9394" name="OpenSolver278"/>
        <xdr:cNvCxnSpPr>
          <a:stCxn id="9392" idx="3"/>
          <a:endCxn id="9393" idx="1"/>
        </xdr:cNvCxnSpPr>
      </xdr:nvCxnSpPr>
      <xdr:spPr>
        <a:xfrm>
          <a:off x="4772025" y="13938250"/>
          <a:ext cx="730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72</xdr:row>
      <xdr:rowOff>38100</xdr:rowOff>
    </xdr:from>
    <xdr:to>
      <xdr:col>8</xdr:col>
      <xdr:colOff>555625</xdr:colOff>
      <xdr:row>73</xdr:row>
      <xdr:rowOff>101600</xdr:rowOff>
    </xdr:to>
    <xdr:sp macro="" textlink="">
      <xdr:nvSpPr>
        <xdr:cNvPr id="9395" name="OpenSolver279"/>
        <xdr:cNvSpPr/>
      </xdr:nvSpPr>
      <xdr:spPr>
        <a:xfrm>
          <a:off x="4946650" y="138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73</xdr:row>
      <xdr:rowOff>139700</xdr:rowOff>
    </xdr:from>
    <xdr:to>
      <xdr:col>8</xdr:col>
      <xdr:colOff>0</xdr:colOff>
      <xdr:row>74</xdr:row>
      <xdr:rowOff>0</xdr:rowOff>
    </xdr:to>
    <xdr:sp macro="" textlink="">
      <xdr:nvSpPr>
        <xdr:cNvPr id="9396" name="OpenSolver280"/>
        <xdr:cNvSpPr/>
      </xdr:nvSpPr>
      <xdr:spPr>
        <a:xfrm>
          <a:off x="4321175" y="14103350"/>
          <a:ext cx="450850" cy="50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139700</xdr:colOff>
      <xdr:row>73</xdr:row>
      <xdr:rowOff>139700</xdr:rowOff>
    </xdr:from>
    <xdr:to>
      <xdr:col>10</xdr:col>
      <xdr:colOff>0</xdr:colOff>
      <xdr:row>74</xdr:row>
      <xdr:rowOff>0</xdr:rowOff>
    </xdr:to>
    <xdr:sp macro="" textlink="">
      <xdr:nvSpPr>
        <xdr:cNvPr id="9397" name="OpenSolver281"/>
        <xdr:cNvSpPr/>
      </xdr:nvSpPr>
      <xdr:spPr>
        <a:xfrm>
          <a:off x="5502275" y="14103350"/>
          <a:ext cx="450850" cy="50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165100</xdr:rowOff>
    </xdr:from>
    <xdr:to>
      <xdr:col>9</xdr:col>
      <xdr:colOff>139700</xdr:colOff>
      <xdr:row>73</xdr:row>
      <xdr:rowOff>165100</xdr:rowOff>
    </xdr:to>
    <xdr:cxnSp macro="">
      <xdr:nvCxnSpPr>
        <xdr:cNvPr id="9398" name="OpenSolver282"/>
        <xdr:cNvCxnSpPr>
          <a:stCxn id="9396" idx="3"/>
          <a:endCxn id="9397" idx="1"/>
        </xdr:cNvCxnSpPr>
      </xdr:nvCxnSpPr>
      <xdr:spPr>
        <a:xfrm>
          <a:off x="4772025" y="14128750"/>
          <a:ext cx="7302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73</xdr:row>
      <xdr:rowOff>38100</xdr:rowOff>
    </xdr:from>
    <xdr:to>
      <xdr:col>8</xdr:col>
      <xdr:colOff>555625</xdr:colOff>
      <xdr:row>74</xdr:row>
      <xdr:rowOff>101600</xdr:rowOff>
    </xdr:to>
    <xdr:sp macro="" textlink="">
      <xdr:nvSpPr>
        <xdr:cNvPr id="9399" name="OpenSolver283"/>
        <xdr:cNvSpPr/>
      </xdr:nvSpPr>
      <xdr:spPr>
        <a:xfrm>
          <a:off x="4946650" y="140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74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400" name="OpenSolver284"/>
        <xdr:cNvSpPr/>
      </xdr:nvSpPr>
      <xdr:spPr>
        <a:xfrm>
          <a:off x="4321175" y="14293850"/>
          <a:ext cx="450850" cy="12052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139700</xdr:colOff>
      <xdr:row>74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401" name="OpenSolver285"/>
        <xdr:cNvSpPr/>
      </xdr:nvSpPr>
      <xdr:spPr>
        <a:xfrm>
          <a:off x="5502275" y="14293850"/>
          <a:ext cx="450850" cy="12052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69850</xdr:rowOff>
    </xdr:from>
    <xdr:to>
      <xdr:col>9</xdr:col>
      <xdr:colOff>139700</xdr:colOff>
      <xdr:row>106</xdr:row>
      <xdr:rowOff>69850</xdr:rowOff>
    </xdr:to>
    <xdr:cxnSp macro="">
      <xdr:nvCxnSpPr>
        <xdr:cNvPr id="9402" name="OpenSolver286"/>
        <xdr:cNvCxnSpPr>
          <a:stCxn id="9400" idx="3"/>
          <a:endCxn id="9401" idx="1"/>
        </xdr:cNvCxnSpPr>
      </xdr:nvCxnSpPr>
      <xdr:spPr>
        <a:xfrm>
          <a:off x="4772025" y="20320000"/>
          <a:ext cx="730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105</xdr:row>
      <xdr:rowOff>133350</xdr:rowOff>
    </xdr:from>
    <xdr:to>
      <xdr:col>8</xdr:col>
      <xdr:colOff>555625</xdr:colOff>
      <xdr:row>107</xdr:row>
      <xdr:rowOff>6350</xdr:rowOff>
    </xdr:to>
    <xdr:sp macro="" textlink="">
      <xdr:nvSpPr>
        <xdr:cNvPr id="9403" name="OpenSolver287"/>
        <xdr:cNvSpPr/>
      </xdr:nvSpPr>
      <xdr:spPr>
        <a:xfrm>
          <a:off x="4946650" y="20193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138</xdr:row>
      <xdr:rowOff>139700</xdr:rowOff>
    </xdr:from>
    <xdr:to>
      <xdr:col>8</xdr:col>
      <xdr:colOff>0</xdr:colOff>
      <xdr:row>139</xdr:row>
      <xdr:rowOff>0</xdr:rowOff>
    </xdr:to>
    <xdr:sp macro="" textlink="">
      <xdr:nvSpPr>
        <xdr:cNvPr id="9404" name="OpenSolver288"/>
        <xdr:cNvSpPr/>
      </xdr:nvSpPr>
      <xdr:spPr>
        <a:xfrm>
          <a:off x="4321175" y="26485850"/>
          <a:ext cx="450850" cy="50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139700</xdr:colOff>
      <xdr:row>138</xdr:row>
      <xdr:rowOff>139700</xdr:rowOff>
    </xdr:from>
    <xdr:to>
      <xdr:col>10</xdr:col>
      <xdr:colOff>0</xdr:colOff>
      <xdr:row>139</xdr:row>
      <xdr:rowOff>0</xdr:rowOff>
    </xdr:to>
    <xdr:sp macro="" textlink="">
      <xdr:nvSpPr>
        <xdr:cNvPr id="9405" name="OpenSolver289"/>
        <xdr:cNvSpPr/>
      </xdr:nvSpPr>
      <xdr:spPr>
        <a:xfrm>
          <a:off x="5502275" y="26485850"/>
          <a:ext cx="450850" cy="50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165100</xdr:rowOff>
    </xdr:from>
    <xdr:to>
      <xdr:col>9</xdr:col>
      <xdr:colOff>139700</xdr:colOff>
      <xdr:row>138</xdr:row>
      <xdr:rowOff>165100</xdr:rowOff>
    </xdr:to>
    <xdr:cxnSp macro="">
      <xdr:nvCxnSpPr>
        <xdr:cNvPr id="9406" name="OpenSolver290"/>
        <xdr:cNvCxnSpPr>
          <a:stCxn id="9404" idx="3"/>
          <a:endCxn id="9405" idx="1"/>
        </xdr:cNvCxnSpPr>
      </xdr:nvCxnSpPr>
      <xdr:spPr>
        <a:xfrm>
          <a:off x="4772025" y="26511250"/>
          <a:ext cx="730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138</xdr:row>
      <xdr:rowOff>38100</xdr:rowOff>
    </xdr:from>
    <xdr:to>
      <xdr:col>8</xdr:col>
      <xdr:colOff>555625</xdr:colOff>
      <xdr:row>139</xdr:row>
      <xdr:rowOff>101600</xdr:rowOff>
    </xdr:to>
    <xdr:sp macro="" textlink="">
      <xdr:nvSpPr>
        <xdr:cNvPr id="9407" name="OpenSolver291"/>
        <xdr:cNvSpPr/>
      </xdr:nvSpPr>
      <xdr:spPr>
        <a:xfrm>
          <a:off x="4946650" y="2638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6</xdr:row>
      <xdr:rowOff>152400</xdr:rowOff>
    </xdr:from>
    <xdr:to>
      <xdr:col>8</xdr:col>
      <xdr:colOff>0</xdr:colOff>
      <xdr:row>8</xdr:row>
      <xdr:rowOff>0</xdr:rowOff>
    </xdr:to>
    <xdr:sp macro="" textlink="">
      <xdr:nvSpPr>
        <xdr:cNvPr id="9408" name="OpenSolver292"/>
        <xdr:cNvSpPr/>
      </xdr:nvSpPr>
      <xdr:spPr>
        <a:xfrm>
          <a:off x="4333875" y="1333500"/>
          <a:ext cx="438150" cy="228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152400</xdr:colOff>
      <xdr:row>6</xdr:row>
      <xdr:rowOff>152400</xdr:rowOff>
    </xdr:from>
    <xdr:to>
      <xdr:col>10</xdr:col>
      <xdr:colOff>0</xdr:colOff>
      <xdr:row>8</xdr:row>
      <xdr:rowOff>0</xdr:rowOff>
    </xdr:to>
    <xdr:sp macro="" textlink="">
      <xdr:nvSpPr>
        <xdr:cNvPr id="9409" name="OpenSolver293"/>
        <xdr:cNvSpPr/>
      </xdr:nvSpPr>
      <xdr:spPr>
        <a:xfrm>
          <a:off x="5514975" y="1333500"/>
          <a:ext cx="438150" cy="228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76200</xdr:rowOff>
    </xdr:from>
    <xdr:to>
      <xdr:col>9</xdr:col>
      <xdr:colOff>152400</xdr:colOff>
      <xdr:row>7</xdr:row>
      <xdr:rowOff>76200</xdr:rowOff>
    </xdr:to>
    <xdr:cxnSp macro="">
      <xdr:nvCxnSpPr>
        <xdr:cNvPr id="9410" name="OpenSolver294"/>
        <xdr:cNvCxnSpPr>
          <a:stCxn id="9408" idx="3"/>
          <a:endCxn id="9409" idx="1"/>
        </xdr:cNvCxnSpPr>
      </xdr:nvCxnSpPr>
      <xdr:spPr>
        <a:xfrm>
          <a:off x="4772025" y="1447800"/>
          <a:ext cx="7429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6</xdr:row>
      <xdr:rowOff>139700</xdr:rowOff>
    </xdr:from>
    <xdr:to>
      <xdr:col>8</xdr:col>
      <xdr:colOff>561975</xdr:colOff>
      <xdr:row>8</xdr:row>
      <xdr:rowOff>12700</xdr:rowOff>
    </xdr:to>
    <xdr:sp macro="" textlink="">
      <xdr:nvSpPr>
        <xdr:cNvPr id="9411" name="OpenSolver295"/>
        <xdr:cNvSpPr/>
      </xdr:nvSpPr>
      <xdr:spPr>
        <a:xfrm>
          <a:off x="4953000" y="132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8</xdr:row>
      <xdr:rowOff>152400</xdr:rowOff>
    </xdr:from>
    <xdr:to>
      <xdr:col>8</xdr:col>
      <xdr:colOff>0</xdr:colOff>
      <xdr:row>72</xdr:row>
      <xdr:rowOff>0</xdr:rowOff>
    </xdr:to>
    <xdr:sp macro="" textlink="">
      <xdr:nvSpPr>
        <xdr:cNvPr id="9412" name="OpenSolver296"/>
        <xdr:cNvSpPr/>
      </xdr:nvSpPr>
      <xdr:spPr>
        <a:xfrm>
          <a:off x="4333875" y="1714500"/>
          <a:ext cx="438150" cy="120586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152400</xdr:colOff>
      <xdr:row>8</xdr:row>
      <xdr:rowOff>152400</xdr:rowOff>
    </xdr:from>
    <xdr:to>
      <xdr:col>10</xdr:col>
      <xdr:colOff>0</xdr:colOff>
      <xdr:row>72</xdr:row>
      <xdr:rowOff>0</xdr:rowOff>
    </xdr:to>
    <xdr:sp macro="" textlink="">
      <xdr:nvSpPr>
        <xdr:cNvPr id="9413" name="OpenSolver297"/>
        <xdr:cNvSpPr/>
      </xdr:nvSpPr>
      <xdr:spPr>
        <a:xfrm>
          <a:off x="5514975" y="1714500"/>
          <a:ext cx="438150" cy="120586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66675</xdr:rowOff>
    </xdr:from>
    <xdr:to>
      <xdr:col>9</xdr:col>
      <xdr:colOff>152400</xdr:colOff>
      <xdr:row>40</xdr:row>
      <xdr:rowOff>66675</xdr:rowOff>
    </xdr:to>
    <xdr:cxnSp macro="">
      <xdr:nvCxnSpPr>
        <xdr:cNvPr id="9414" name="OpenSolver298"/>
        <xdr:cNvCxnSpPr>
          <a:stCxn id="9412" idx="3"/>
          <a:endCxn id="9413" idx="1"/>
        </xdr:cNvCxnSpPr>
      </xdr:nvCxnSpPr>
      <xdr:spPr>
        <a:xfrm>
          <a:off x="4772025" y="7743825"/>
          <a:ext cx="742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39</xdr:row>
      <xdr:rowOff>130175</xdr:rowOff>
    </xdr:from>
    <xdr:to>
      <xdr:col>8</xdr:col>
      <xdr:colOff>561975</xdr:colOff>
      <xdr:row>41</xdr:row>
      <xdr:rowOff>3175</xdr:rowOff>
    </xdr:to>
    <xdr:sp macro="" textlink="">
      <xdr:nvSpPr>
        <xdr:cNvPr id="9415" name="OpenSolver299"/>
        <xdr:cNvSpPr/>
      </xdr:nvSpPr>
      <xdr:spPr>
        <a:xfrm>
          <a:off x="4953000" y="7616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72</xdr:row>
      <xdr:rowOff>152400</xdr:rowOff>
    </xdr:from>
    <xdr:to>
      <xdr:col>8</xdr:col>
      <xdr:colOff>0</xdr:colOff>
      <xdr:row>73</xdr:row>
      <xdr:rowOff>0</xdr:rowOff>
    </xdr:to>
    <xdr:sp macro="" textlink="">
      <xdr:nvSpPr>
        <xdr:cNvPr id="9416" name="OpenSolver300"/>
        <xdr:cNvSpPr/>
      </xdr:nvSpPr>
      <xdr:spPr>
        <a:xfrm>
          <a:off x="4333875" y="13925550"/>
          <a:ext cx="438150" cy="38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152400</xdr:colOff>
      <xdr:row>72</xdr:row>
      <xdr:rowOff>152400</xdr:rowOff>
    </xdr:from>
    <xdr:to>
      <xdr:col>10</xdr:col>
      <xdr:colOff>0</xdr:colOff>
      <xdr:row>73</xdr:row>
      <xdr:rowOff>0</xdr:rowOff>
    </xdr:to>
    <xdr:sp macro="" textlink="">
      <xdr:nvSpPr>
        <xdr:cNvPr id="9417" name="OpenSolver301"/>
        <xdr:cNvSpPr/>
      </xdr:nvSpPr>
      <xdr:spPr>
        <a:xfrm>
          <a:off x="5514975" y="13925550"/>
          <a:ext cx="438150" cy="38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171450</xdr:rowOff>
    </xdr:from>
    <xdr:to>
      <xdr:col>9</xdr:col>
      <xdr:colOff>152400</xdr:colOff>
      <xdr:row>72</xdr:row>
      <xdr:rowOff>171450</xdr:rowOff>
    </xdr:to>
    <xdr:cxnSp macro="">
      <xdr:nvCxnSpPr>
        <xdr:cNvPr id="9418" name="OpenSolver302"/>
        <xdr:cNvCxnSpPr>
          <a:stCxn id="9416" idx="3"/>
          <a:endCxn id="9417" idx="1"/>
        </xdr:cNvCxnSpPr>
      </xdr:nvCxnSpPr>
      <xdr:spPr>
        <a:xfrm>
          <a:off x="4772025" y="13944600"/>
          <a:ext cx="742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72</xdr:row>
      <xdr:rowOff>44450</xdr:rowOff>
    </xdr:from>
    <xdr:to>
      <xdr:col>8</xdr:col>
      <xdr:colOff>561975</xdr:colOff>
      <xdr:row>73</xdr:row>
      <xdr:rowOff>107950</xdr:rowOff>
    </xdr:to>
    <xdr:sp macro="" textlink="">
      <xdr:nvSpPr>
        <xdr:cNvPr id="9419" name="OpenSolver303"/>
        <xdr:cNvSpPr/>
      </xdr:nvSpPr>
      <xdr:spPr>
        <a:xfrm>
          <a:off x="4953000" y="13817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73</xdr:row>
      <xdr:rowOff>152400</xdr:rowOff>
    </xdr:from>
    <xdr:to>
      <xdr:col>8</xdr:col>
      <xdr:colOff>0</xdr:colOff>
      <xdr:row>74</xdr:row>
      <xdr:rowOff>0</xdr:rowOff>
    </xdr:to>
    <xdr:sp macro="" textlink="">
      <xdr:nvSpPr>
        <xdr:cNvPr id="9420" name="OpenSolver304"/>
        <xdr:cNvSpPr/>
      </xdr:nvSpPr>
      <xdr:spPr>
        <a:xfrm>
          <a:off x="4333875" y="14116050"/>
          <a:ext cx="438150" cy="38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152400</xdr:colOff>
      <xdr:row>73</xdr:row>
      <xdr:rowOff>152400</xdr:rowOff>
    </xdr:from>
    <xdr:to>
      <xdr:col>10</xdr:col>
      <xdr:colOff>0</xdr:colOff>
      <xdr:row>74</xdr:row>
      <xdr:rowOff>0</xdr:rowOff>
    </xdr:to>
    <xdr:sp macro="" textlink="">
      <xdr:nvSpPr>
        <xdr:cNvPr id="9421" name="OpenSolver305"/>
        <xdr:cNvSpPr/>
      </xdr:nvSpPr>
      <xdr:spPr>
        <a:xfrm>
          <a:off x="5514975" y="14116050"/>
          <a:ext cx="438150" cy="38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171450</xdr:rowOff>
    </xdr:from>
    <xdr:to>
      <xdr:col>9</xdr:col>
      <xdr:colOff>152400</xdr:colOff>
      <xdr:row>73</xdr:row>
      <xdr:rowOff>171450</xdr:rowOff>
    </xdr:to>
    <xdr:cxnSp macro="">
      <xdr:nvCxnSpPr>
        <xdr:cNvPr id="9422" name="OpenSolver306"/>
        <xdr:cNvCxnSpPr>
          <a:stCxn id="9420" idx="3"/>
          <a:endCxn id="9421" idx="1"/>
        </xdr:cNvCxnSpPr>
      </xdr:nvCxnSpPr>
      <xdr:spPr>
        <a:xfrm>
          <a:off x="4772025" y="14135100"/>
          <a:ext cx="7429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73</xdr:row>
      <xdr:rowOff>44450</xdr:rowOff>
    </xdr:from>
    <xdr:to>
      <xdr:col>8</xdr:col>
      <xdr:colOff>561975</xdr:colOff>
      <xdr:row>74</xdr:row>
      <xdr:rowOff>107950</xdr:rowOff>
    </xdr:to>
    <xdr:sp macro="" textlink="">
      <xdr:nvSpPr>
        <xdr:cNvPr id="9423" name="OpenSolver307"/>
        <xdr:cNvSpPr/>
      </xdr:nvSpPr>
      <xdr:spPr>
        <a:xfrm>
          <a:off x="4953000" y="1400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74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424" name="OpenSolver308"/>
        <xdr:cNvSpPr/>
      </xdr:nvSpPr>
      <xdr:spPr>
        <a:xfrm>
          <a:off x="4333875" y="14306550"/>
          <a:ext cx="438150" cy="12039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152400</xdr:colOff>
      <xdr:row>74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425" name="OpenSolver309"/>
        <xdr:cNvSpPr/>
      </xdr:nvSpPr>
      <xdr:spPr>
        <a:xfrm>
          <a:off x="5514975" y="14306550"/>
          <a:ext cx="438150" cy="12039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76200</xdr:rowOff>
    </xdr:from>
    <xdr:to>
      <xdr:col>9</xdr:col>
      <xdr:colOff>152400</xdr:colOff>
      <xdr:row>106</xdr:row>
      <xdr:rowOff>76200</xdr:rowOff>
    </xdr:to>
    <xdr:cxnSp macro="">
      <xdr:nvCxnSpPr>
        <xdr:cNvPr id="9426" name="OpenSolver310"/>
        <xdr:cNvCxnSpPr>
          <a:stCxn id="9424" idx="3"/>
          <a:endCxn id="9425" idx="1"/>
        </xdr:cNvCxnSpPr>
      </xdr:nvCxnSpPr>
      <xdr:spPr>
        <a:xfrm>
          <a:off x="4772025" y="20326350"/>
          <a:ext cx="742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105</xdr:row>
      <xdr:rowOff>139700</xdr:rowOff>
    </xdr:from>
    <xdr:to>
      <xdr:col>8</xdr:col>
      <xdr:colOff>561975</xdr:colOff>
      <xdr:row>107</xdr:row>
      <xdr:rowOff>12700</xdr:rowOff>
    </xdr:to>
    <xdr:sp macro="" textlink="">
      <xdr:nvSpPr>
        <xdr:cNvPr id="9427" name="OpenSolver311"/>
        <xdr:cNvSpPr/>
      </xdr:nvSpPr>
      <xdr:spPr>
        <a:xfrm>
          <a:off x="4953000" y="2019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138</xdr:row>
      <xdr:rowOff>152400</xdr:rowOff>
    </xdr:from>
    <xdr:to>
      <xdr:col>8</xdr:col>
      <xdr:colOff>0</xdr:colOff>
      <xdr:row>139</xdr:row>
      <xdr:rowOff>0</xdr:rowOff>
    </xdr:to>
    <xdr:sp macro="" textlink="">
      <xdr:nvSpPr>
        <xdr:cNvPr id="9428" name="OpenSolver312"/>
        <xdr:cNvSpPr/>
      </xdr:nvSpPr>
      <xdr:spPr>
        <a:xfrm>
          <a:off x="4333875" y="26498550"/>
          <a:ext cx="438150" cy="38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152400</xdr:colOff>
      <xdr:row>138</xdr:row>
      <xdr:rowOff>152400</xdr:rowOff>
    </xdr:from>
    <xdr:to>
      <xdr:col>10</xdr:col>
      <xdr:colOff>0</xdr:colOff>
      <xdr:row>139</xdr:row>
      <xdr:rowOff>0</xdr:rowOff>
    </xdr:to>
    <xdr:sp macro="" textlink="">
      <xdr:nvSpPr>
        <xdr:cNvPr id="9429" name="OpenSolver313"/>
        <xdr:cNvSpPr/>
      </xdr:nvSpPr>
      <xdr:spPr>
        <a:xfrm>
          <a:off x="5514975" y="26498550"/>
          <a:ext cx="438150" cy="38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171450</xdr:rowOff>
    </xdr:from>
    <xdr:to>
      <xdr:col>9</xdr:col>
      <xdr:colOff>152400</xdr:colOff>
      <xdr:row>138</xdr:row>
      <xdr:rowOff>171450</xdr:rowOff>
    </xdr:to>
    <xdr:cxnSp macro="">
      <xdr:nvCxnSpPr>
        <xdr:cNvPr id="9430" name="OpenSolver314"/>
        <xdr:cNvCxnSpPr>
          <a:stCxn id="9428" idx="3"/>
          <a:endCxn id="9429" idx="1"/>
        </xdr:cNvCxnSpPr>
      </xdr:nvCxnSpPr>
      <xdr:spPr>
        <a:xfrm>
          <a:off x="4772025" y="26517600"/>
          <a:ext cx="742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138</xdr:row>
      <xdr:rowOff>44450</xdr:rowOff>
    </xdr:from>
    <xdr:to>
      <xdr:col>8</xdr:col>
      <xdr:colOff>561975</xdr:colOff>
      <xdr:row>139</xdr:row>
      <xdr:rowOff>107950</xdr:rowOff>
    </xdr:to>
    <xdr:sp macro="" textlink="">
      <xdr:nvSpPr>
        <xdr:cNvPr id="9431" name="OpenSolver315"/>
        <xdr:cNvSpPr/>
      </xdr:nvSpPr>
      <xdr:spPr>
        <a:xfrm>
          <a:off x="4953000" y="26390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6</xdr:row>
      <xdr:rowOff>165100</xdr:rowOff>
    </xdr:from>
    <xdr:to>
      <xdr:col>8</xdr:col>
      <xdr:colOff>0</xdr:colOff>
      <xdr:row>8</xdr:row>
      <xdr:rowOff>0</xdr:rowOff>
    </xdr:to>
    <xdr:sp macro="" textlink="">
      <xdr:nvSpPr>
        <xdr:cNvPr id="9432" name="OpenSolver316"/>
        <xdr:cNvSpPr/>
      </xdr:nvSpPr>
      <xdr:spPr>
        <a:xfrm>
          <a:off x="4346575" y="1346200"/>
          <a:ext cx="425450" cy="215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165100</xdr:colOff>
      <xdr:row>6</xdr:row>
      <xdr:rowOff>165100</xdr:rowOff>
    </xdr:from>
    <xdr:to>
      <xdr:col>10</xdr:col>
      <xdr:colOff>0</xdr:colOff>
      <xdr:row>8</xdr:row>
      <xdr:rowOff>0</xdr:rowOff>
    </xdr:to>
    <xdr:sp macro="" textlink="">
      <xdr:nvSpPr>
        <xdr:cNvPr id="9433" name="OpenSolver317"/>
        <xdr:cNvSpPr/>
      </xdr:nvSpPr>
      <xdr:spPr>
        <a:xfrm>
          <a:off x="5527675" y="1346200"/>
          <a:ext cx="425450" cy="215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82550</xdr:rowOff>
    </xdr:from>
    <xdr:to>
      <xdr:col>9</xdr:col>
      <xdr:colOff>165100</xdr:colOff>
      <xdr:row>7</xdr:row>
      <xdr:rowOff>82550</xdr:rowOff>
    </xdr:to>
    <xdr:cxnSp macro="">
      <xdr:nvCxnSpPr>
        <xdr:cNvPr id="9434" name="OpenSolver318"/>
        <xdr:cNvCxnSpPr>
          <a:stCxn id="9432" idx="3"/>
          <a:endCxn id="9433" idx="1"/>
        </xdr:cNvCxnSpPr>
      </xdr:nvCxnSpPr>
      <xdr:spPr>
        <a:xfrm>
          <a:off x="4772025" y="1454150"/>
          <a:ext cx="7556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6</xdr:row>
      <xdr:rowOff>146050</xdr:rowOff>
    </xdr:from>
    <xdr:to>
      <xdr:col>8</xdr:col>
      <xdr:colOff>568325</xdr:colOff>
      <xdr:row>8</xdr:row>
      <xdr:rowOff>19050</xdr:rowOff>
    </xdr:to>
    <xdr:sp macro="" textlink="">
      <xdr:nvSpPr>
        <xdr:cNvPr id="9435" name="OpenSolver319"/>
        <xdr:cNvSpPr/>
      </xdr:nvSpPr>
      <xdr:spPr>
        <a:xfrm>
          <a:off x="4959350" y="1327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8</xdr:row>
      <xdr:rowOff>165100</xdr:rowOff>
    </xdr:from>
    <xdr:to>
      <xdr:col>8</xdr:col>
      <xdr:colOff>0</xdr:colOff>
      <xdr:row>72</xdr:row>
      <xdr:rowOff>0</xdr:rowOff>
    </xdr:to>
    <xdr:sp macro="" textlink="">
      <xdr:nvSpPr>
        <xdr:cNvPr id="9436" name="OpenSolver320"/>
        <xdr:cNvSpPr/>
      </xdr:nvSpPr>
      <xdr:spPr>
        <a:xfrm>
          <a:off x="4346575" y="1727200"/>
          <a:ext cx="425450" cy="120459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165100</xdr:colOff>
      <xdr:row>8</xdr:row>
      <xdr:rowOff>165100</xdr:rowOff>
    </xdr:from>
    <xdr:to>
      <xdr:col>10</xdr:col>
      <xdr:colOff>0</xdr:colOff>
      <xdr:row>72</xdr:row>
      <xdr:rowOff>0</xdr:rowOff>
    </xdr:to>
    <xdr:sp macro="" textlink="">
      <xdr:nvSpPr>
        <xdr:cNvPr id="9437" name="OpenSolver321"/>
        <xdr:cNvSpPr/>
      </xdr:nvSpPr>
      <xdr:spPr>
        <a:xfrm>
          <a:off x="5527675" y="1727200"/>
          <a:ext cx="425450" cy="120459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73025</xdr:rowOff>
    </xdr:from>
    <xdr:to>
      <xdr:col>9</xdr:col>
      <xdr:colOff>165100</xdr:colOff>
      <xdr:row>40</xdr:row>
      <xdr:rowOff>73025</xdr:rowOff>
    </xdr:to>
    <xdr:cxnSp macro="">
      <xdr:nvCxnSpPr>
        <xdr:cNvPr id="9438" name="OpenSolver322"/>
        <xdr:cNvCxnSpPr>
          <a:stCxn id="9436" idx="3"/>
          <a:endCxn id="9437" idx="1"/>
        </xdr:cNvCxnSpPr>
      </xdr:nvCxnSpPr>
      <xdr:spPr>
        <a:xfrm>
          <a:off x="4772025" y="7750175"/>
          <a:ext cx="755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39</xdr:row>
      <xdr:rowOff>136525</xdr:rowOff>
    </xdr:from>
    <xdr:to>
      <xdr:col>8</xdr:col>
      <xdr:colOff>568325</xdr:colOff>
      <xdr:row>41</xdr:row>
      <xdr:rowOff>9525</xdr:rowOff>
    </xdr:to>
    <xdr:sp macro="" textlink="">
      <xdr:nvSpPr>
        <xdr:cNvPr id="9439" name="OpenSolver323"/>
        <xdr:cNvSpPr/>
      </xdr:nvSpPr>
      <xdr:spPr>
        <a:xfrm>
          <a:off x="4959350" y="76231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72</xdr:row>
      <xdr:rowOff>165100</xdr:rowOff>
    </xdr:from>
    <xdr:to>
      <xdr:col>8</xdr:col>
      <xdr:colOff>0</xdr:colOff>
      <xdr:row>73</xdr:row>
      <xdr:rowOff>0</xdr:rowOff>
    </xdr:to>
    <xdr:sp macro="" textlink="">
      <xdr:nvSpPr>
        <xdr:cNvPr id="9440" name="OpenSolver324"/>
        <xdr:cNvSpPr/>
      </xdr:nvSpPr>
      <xdr:spPr>
        <a:xfrm>
          <a:off x="4346575" y="13938250"/>
          <a:ext cx="425450" cy="25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165100</xdr:colOff>
      <xdr:row>72</xdr:row>
      <xdr:rowOff>165100</xdr:rowOff>
    </xdr:from>
    <xdr:to>
      <xdr:col>10</xdr:col>
      <xdr:colOff>0</xdr:colOff>
      <xdr:row>73</xdr:row>
      <xdr:rowOff>0</xdr:rowOff>
    </xdr:to>
    <xdr:sp macro="" textlink="">
      <xdr:nvSpPr>
        <xdr:cNvPr id="9441" name="OpenSolver325"/>
        <xdr:cNvSpPr/>
      </xdr:nvSpPr>
      <xdr:spPr>
        <a:xfrm>
          <a:off x="5527675" y="13938250"/>
          <a:ext cx="425450" cy="25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177800</xdr:rowOff>
    </xdr:from>
    <xdr:to>
      <xdr:col>9</xdr:col>
      <xdr:colOff>165100</xdr:colOff>
      <xdr:row>72</xdr:row>
      <xdr:rowOff>177800</xdr:rowOff>
    </xdr:to>
    <xdr:cxnSp macro="">
      <xdr:nvCxnSpPr>
        <xdr:cNvPr id="9442" name="OpenSolver326"/>
        <xdr:cNvCxnSpPr>
          <a:stCxn id="9440" idx="3"/>
          <a:endCxn id="9441" idx="1"/>
        </xdr:cNvCxnSpPr>
      </xdr:nvCxnSpPr>
      <xdr:spPr>
        <a:xfrm>
          <a:off x="4772025" y="13950950"/>
          <a:ext cx="755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72</xdr:row>
      <xdr:rowOff>50800</xdr:rowOff>
    </xdr:from>
    <xdr:to>
      <xdr:col>8</xdr:col>
      <xdr:colOff>568325</xdr:colOff>
      <xdr:row>73</xdr:row>
      <xdr:rowOff>114300</xdr:rowOff>
    </xdr:to>
    <xdr:sp macro="" textlink="">
      <xdr:nvSpPr>
        <xdr:cNvPr id="9443" name="OpenSolver327"/>
        <xdr:cNvSpPr/>
      </xdr:nvSpPr>
      <xdr:spPr>
        <a:xfrm>
          <a:off x="4959350" y="13823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73</xdr:row>
      <xdr:rowOff>165100</xdr:rowOff>
    </xdr:from>
    <xdr:to>
      <xdr:col>8</xdr:col>
      <xdr:colOff>0</xdr:colOff>
      <xdr:row>74</xdr:row>
      <xdr:rowOff>0</xdr:rowOff>
    </xdr:to>
    <xdr:sp macro="" textlink="">
      <xdr:nvSpPr>
        <xdr:cNvPr id="9444" name="OpenSolver328"/>
        <xdr:cNvSpPr/>
      </xdr:nvSpPr>
      <xdr:spPr>
        <a:xfrm>
          <a:off x="4346575" y="14128750"/>
          <a:ext cx="425450" cy="25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165100</xdr:colOff>
      <xdr:row>73</xdr:row>
      <xdr:rowOff>165100</xdr:rowOff>
    </xdr:from>
    <xdr:to>
      <xdr:col>10</xdr:col>
      <xdr:colOff>0</xdr:colOff>
      <xdr:row>74</xdr:row>
      <xdr:rowOff>0</xdr:rowOff>
    </xdr:to>
    <xdr:sp macro="" textlink="">
      <xdr:nvSpPr>
        <xdr:cNvPr id="9445" name="OpenSolver329"/>
        <xdr:cNvSpPr/>
      </xdr:nvSpPr>
      <xdr:spPr>
        <a:xfrm>
          <a:off x="5527675" y="14128750"/>
          <a:ext cx="425450" cy="25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177800</xdr:rowOff>
    </xdr:from>
    <xdr:to>
      <xdr:col>9</xdr:col>
      <xdr:colOff>165100</xdr:colOff>
      <xdr:row>73</xdr:row>
      <xdr:rowOff>177800</xdr:rowOff>
    </xdr:to>
    <xdr:cxnSp macro="">
      <xdr:nvCxnSpPr>
        <xdr:cNvPr id="9446" name="OpenSolver330"/>
        <xdr:cNvCxnSpPr>
          <a:stCxn id="9444" idx="3"/>
          <a:endCxn id="9445" idx="1"/>
        </xdr:cNvCxnSpPr>
      </xdr:nvCxnSpPr>
      <xdr:spPr>
        <a:xfrm>
          <a:off x="4772025" y="14141450"/>
          <a:ext cx="7556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73</xdr:row>
      <xdr:rowOff>50800</xdr:rowOff>
    </xdr:from>
    <xdr:to>
      <xdr:col>8</xdr:col>
      <xdr:colOff>568325</xdr:colOff>
      <xdr:row>74</xdr:row>
      <xdr:rowOff>114300</xdr:rowOff>
    </xdr:to>
    <xdr:sp macro="" textlink="">
      <xdr:nvSpPr>
        <xdr:cNvPr id="9447" name="OpenSolver331"/>
        <xdr:cNvSpPr/>
      </xdr:nvSpPr>
      <xdr:spPr>
        <a:xfrm>
          <a:off x="4959350" y="1401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74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448" name="OpenSolver332"/>
        <xdr:cNvSpPr/>
      </xdr:nvSpPr>
      <xdr:spPr>
        <a:xfrm>
          <a:off x="4346575" y="14319250"/>
          <a:ext cx="425450" cy="12026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165100</xdr:colOff>
      <xdr:row>74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449" name="OpenSolver333"/>
        <xdr:cNvSpPr/>
      </xdr:nvSpPr>
      <xdr:spPr>
        <a:xfrm>
          <a:off x="5527675" y="14319250"/>
          <a:ext cx="425450" cy="12026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82550</xdr:rowOff>
    </xdr:from>
    <xdr:to>
      <xdr:col>9</xdr:col>
      <xdr:colOff>165100</xdr:colOff>
      <xdr:row>106</xdr:row>
      <xdr:rowOff>82550</xdr:rowOff>
    </xdr:to>
    <xdr:cxnSp macro="">
      <xdr:nvCxnSpPr>
        <xdr:cNvPr id="9450" name="OpenSolver334"/>
        <xdr:cNvCxnSpPr>
          <a:stCxn id="9448" idx="3"/>
          <a:endCxn id="9449" idx="1"/>
        </xdr:cNvCxnSpPr>
      </xdr:nvCxnSpPr>
      <xdr:spPr>
        <a:xfrm>
          <a:off x="4772025" y="20332700"/>
          <a:ext cx="755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105</xdr:row>
      <xdr:rowOff>146050</xdr:rowOff>
    </xdr:from>
    <xdr:to>
      <xdr:col>8</xdr:col>
      <xdr:colOff>568325</xdr:colOff>
      <xdr:row>107</xdr:row>
      <xdr:rowOff>19050</xdr:rowOff>
    </xdr:to>
    <xdr:sp macro="" textlink="">
      <xdr:nvSpPr>
        <xdr:cNvPr id="9451" name="OpenSolver335"/>
        <xdr:cNvSpPr/>
      </xdr:nvSpPr>
      <xdr:spPr>
        <a:xfrm>
          <a:off x="4959350" y="20205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138</xdr:row>
      <xdr:rowOff>165100</xdr:rowOff>
    </xdr:from>
    <xdr:to>
      <xdr:col>8</xdr:col>
      <xdr:colOff>0</xdr:colOff>
      <xdr:row>139</xdr:row>
      <xdr:rowOff>0</xdr:rowOff>
    </xdr:to>
    <xdr:sp macro="" textlink="">
      <xdr:nvSpPr>
        <xdr:cNvPr id="9452" name="OpenSolver336"/>
        <xdr:cNvSpPr/>
      </xdr:nvSpPr>
      <xdr:spPr>
        <a:xfrm>
          <a:off x="4346575" y="26511250"/>
          <a:ext cx="425450" cy="25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165100</xdr:colOff>
      <xdr:row>138</xdr:row>
      <xdr:rowOff>165100</xdr:rowOff>
    </xdr:from>
    <xdr:to>
      <xdr:col>10</xdr:col>
      <xdr:colOff>0</xdr:colOff>
      <xdr:row>139</xdr:row>
      <xdr:rowOff>0</xdr:rowOff>
    </xdr:to>
    <xdr:sp macro="" textlink="">
      <xdr:nvSpPr>
        <xdr:cNvPr id="9453" name="OpenSolver337"/>
        <xdr:cNvSpPr/>
      </xdr:nvSpPr>
      <xdr:spPr>
        <a:xfrm>
          <a:off x="5527675" y="26511250"/>
          <a:ext cx="425450" cy="25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177800</xdr:rowOff>
    </xdr:from>
    <xdr:to>
      <xdr:col>9</xdr:col>
      <xdr:colOff>165100</xdr:colOff>
      <xdr:row>138</xdr:row>
      <xdr:rowOff>177800</xdr:rowOff>
    </xdr:to>
    <xdr:cxnSp macro="">
      <xdr:nvCxnSpPr>
        <xdr:cNvPr id="9454" name="OpenSolver338"/>
        <xdr:cNvCxnSpPr>
          <a:stCxn id="9452" idx="3"/>
          <a:endCxn id="9453" idx="1"/>
        </xdr:cNvCxnSpPr>
      </xdr:nvCxnSpPr>
      <xdr:spPr>
        <a:xfrm>
          <a:off x="4772025" y="26523950"/>
          <a:ext cx="755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138</xdr:row>
      <xdr:rowOff>50800</xdr:rowOff>
    </xdr:from>
    <xdr:to>
      <xdr:col>8</xdr:col>
      <xdr:colOff>568325</xdr:colOff>
      <xdr:row>139</xdr:row>
      <xdr:rowOff>114300</xdr:rowOff>
    </xdr:to>
    <xdr:sp macro="" textlink="">
      <xdr:nvSpPr>
        <xdr:cNvPr id="9455" name="OpenSolver339"/>
        <xdr:cNvSpPr/>
      </xdr:nvSpPr>
      <xdr:spPr>
        <a:xfrm>
          <a:off x="4959350" y="26396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6</xdr:row>
      <xdr:rowOff>177800</xdr:rowOff>
    </xdr:from>
    <xdr:to>
      <xdr:col>8</xdr:col>
      <xdr:colOff>0</xdr:colOff>
      <xdr:row>8</xdr:row>
      <xdr:rowOff>0</xdr:rowOff>
    </xdr:to>
    <xdr:sp macro="" textlink="">
      <xdr:nvSpPr>
        <xdr:cNvPr id="9456" name="OpenSolver340"/>
        <xdr:cNvSpPr/>
      </xdr:nvSpPr>
      <xdr:spPr>
        <a:xfrm>
          <a:off x="4359275" y="1358900"/>
          <a:ext cx="412750" cy="203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177800</xdr:colOff>
      <xdr:row>6</xdr:row>
      <xdr:rowOff>177800</xdr:rowOff>
    </xdr:from>
    <xdr:to>
      <xdr:col>10</xdr:col>
      <xdr:colOff>0</xdr:colOff>
      <xdr:row>8</xdr:row>
      <xdr:rowOff>0</xdr:rowOff>
    </xdr:to>
    <xdr:sp macro="" textlink="">
      <xdr:nvSpPr>
        <xdr:cNvPr id="9457" name="OpenSolver341"/>
        <xdr:cNvSpPr/>
      </xdr:nvSpPr>
      <xdr:spPr>
        <a:xfrm>
          <a:off x="5540375" y="1358900"/>
          <a:ext cx="412750" cy="203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88900</xdr:rowOff>
    </xdr:from>
    <xdr:to>
      <xdr:col>9</xdr:col>
      <xdr:colOff>177800</xdr:colOff>
      <xdr:row>7</xdr:row>
      <xdr:rowOff>88900</xdr:rowOff>
    </xdr:to>
    <xdr:cxnSp macro="">
      <xdr:nvCxnSpPr>
        <xdr:cNvPr id="9458" name="OpenSolver342"/>
        <xdr:cNvCxnSpPr>
          <a:stCxn id="9456" idx="3"/>
          <a:endCxn id="9457" idx="1"/>
        </xdr:cNvCxnSpPr>
      </xdr:nvCxnSpPr>
      <xdr:spPr>
        <a:xfrm>
          <a:off x="4772025" y="1460500"/>
          <a:ext cx="768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6</xdr:row>
      <xdr:rowOff>152400</xdr:rowOff>
    </xdr:from>
    <xdr:to>
      <xdr:col>8</xdr:col>
      <xdr:colOff>574675</xdr:colOff>
      <xdr:row>8</xdr:row>
      <xdr:rowOff>25400</xdr:rowOff>
    </xdr:to>
    <xdr:sp macro="" textlink="">
      <xdr:nvSpPr>
        <xdr:cNvPr id="9459" name="OpenSolver343"/>
        <xdr:cNvSpPr/>
      </xdr:nvSpPr>
      <xdr:spPr>
        <a:xfrm>
          <a:off x="4965700" y="1333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8</xdr:row>
      <xdr:rowOff>177800</xdr:rowOff>
    </xdr:from>
    <xdr:to>
      <xdr:col>8</xdr:col>
      <xdr:colOff>0</xdr:colOff>
      <xdr:row>72</xdr:row>
      <xdr:rowOff>0</xdr:rowOff>
    </xdr:to>
    <xdr:sp macro="" textlink="">
      <xdr:nvSpPr>
        <xdr:cNvPr id="9460" name="OpenSolver344"/>
        <xdr:cNvSpPr/>
      </xdr:nvSpPr>
      <xdr:spPr>
        <a:xfrm>
          <a:off x="4359275" y="1739900"/>
          <a:ext cx="412750" cy="120332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177800</xdr:colOff>
      <xdr:row>8</xdr:row>
      <xdr:rowOff>177800</xdr:rowOff>
    </xdr:from>
    <xdr:to>
      <xdr:col>10</xdr:col>
      <xdr:colOff>0</xdr:colOff>
      <xdr:row>72</xdr:row>
      <xdr:rowOff>0</xdr:rowOff>
    </xdr:to>
    <xdr:sp macro="" textlink="">
      <xdr:nvSpPr>
        <xdr:cNvPr id="9461" name="OpenSolver345"/>
        <xdr:cNvSpPr/>
      </xdr:nvSpPr>
      <xdr:spPr>
        <a:xfrm>
          <a:off x="5540375" y="1739900"/>
          <a:ext cx="412750" cy="120332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79375</xdr:rowOff>
    </xdr:from>
    <xdr:to>
      <xdr:col>9</xdr:col>
      <xdr:colOff>177800</xdr:colOff>
      <xdr:row>40</xdr:row>
      <xdr:rowOff>79375</xdr:rowOff>
    </xdr:to>
    <xdr:cxnSp macro="">
      <xdr:nvCxnSpPr>
        <xdr:cNvPr id="9462" name="OpenSolver346"/>
        <xdr:cNvCxnSpPr>
          <a:stCxn id="9460" idx="3"/>
          <a:endCxn id="9461" idx="1"/>
        </xdr:cNvCxnSpPr>
      </xdr:nvCxnSpPr>
      <xdr:spPr>
        <a:xfrm>
          <a:off x="4772025" y="7756525"/>
          <a:ext cx="768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39</xdr:row>
      <xdr:rowOff>142875</xdr:rowOff>
    </xdr:from>
    <xdr:to>
      <xdr:col>8</xdr:col>
      <xdr:colOff>574675</xdr:colOff>
      <xdr:row>41</xdr:row>
      <xdr:rowOff>15875</xdr:rowOff>
    </xdr:to>
    <xdr:sp macro="" textlink="">
      <xdr:nvSpPr>
        <xdr:cNvPr id="9463" name="OpenSolver347"/>
        <xdr:cNvSpPr/>
      </xdr:nvSpPr>
      <xdr:spPr>
        <a:xfrm>
          <a:off x="4965700" y="76295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72</xdr:row>
      <xdr:rowOff>177800</xdr:rowOff>
    </xdr:from>
    <xdr:to>
      <xdr:col>8</xdr:col>
      <xdr:colOff>0</xdr:colOff>
      <xdr:row>73</xdr:row>
      <xdr:rowOff>0</xdr:rowOff>
    </xdr:to>
    <xdr:sp macro="" textlink="">
      <xdr:nvSpPr>
        <xdr:cNvPr id="9464" name="OpenSolver348"/>
        <xdr:cNvSpPr/>
      </xdr:nvSpPr>
      <xdr:spPr>
        <a:xfrm>
          <a:off x="4359275" y="13950950"/>
          <a:ext cx="412750" cy="12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177800</xdr:colOff>
      <xdr:row>72</xdr:row>
      <xdr:rowOff>177800</xdr:rowOff>
    </xdr:from>
    <xdr:to>
      <xdr:col>10</xdr:col>
      <xdr:colOff>0</xdr:colOff>
      <xdr:row>73</xdr:row>
      <xdr:rowOff>0</xdr:rowOff>
    </xdr:to>
    <xdr:sp macro="" textlink="">
      <xdr:nvSpPr>
        <xdr:cNvPr id="9465" name="OpenSolver349"/>
        <xdr:cNvSpPr/>
      </xdr:nvSpPr>
      <xdr:spPr>
        <a:xfrm>
          <a:off x="5540375" y="13950950"/>
          <a:ext cx="412750" cy="12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184150</xdr:rowOff>
    </xdr:from>
    <xdr:to>
      <xdr:col>9</xdr:col>
      <xdr:colOff>177800</xdr:colOff>
      <xdr:row>72</xdr:row>
      <xdr:rowOff>184150</xdr:rowOff>
    </xdr:to>
    <xdr:cxnSp macro="">
      <xdr:nvCxnSpPr>
        <xdr:cNvPr id="9466" name="OpenSolver350"/>
        <xdr:cNvCxnSpPr>
          <a:stCxn id="9464" idx="3"/>
          <a:endCxn id="9465" idx="1"/>
        </xdr:cNvCxnSpPr>
      </xdr:nvCxnSpPr>
      <xdr:spPr>
        <a:xfrm>
          <a:off x="4772025" y="13957300"/>
          <a:ext cx="768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72</xdr:row>
      <xdr:rowOff>57150</xdr:rowOff>
    </xdr:from>
    <xdr:to>
      <xdr:col>8</xdr:col>
      <xdr:colOff>574675</xdr:colOff>
      <xdr:row>73</xdr:row>
      <xdr:rowOff>120650</xdr:rowOff>
    </xdr:to>
    <xdr:sp macro="" textlink="">
      <xdr:nvSpPr>
        <xdr:cNvPr id="9467" name="OpenSolver351"/>
        <xdr:cNvSpPr/>
      </xdr:nvSpPr>
      <xdr:spPr>
        <a:xfrm>
          <a:off x="4965700" y="13830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73</xdr:row>
      <xdr:rowOff>177800</xdr:rowOff>
    </xdr:from>
    <xdr:to>
      <xdr:col>8</xdr:col>
      <xdr:colOff>0</xdr:colOff>
      <xdr:row>74</xdr:row>
      <xdr:rowOff>0</xdr:rowOff>
    </xdr:to>
    <xdr:sp macro="" textlink="">
      <xdr:nvSpPr>
        <xdr:cNvPr id="9468" name="OpenSolver352"/>
        <xdr:cNvSpPr/>
      </xdr:nvSpPr>
      <xdr:spPr>
        <a:xfrm>
          <a:off x="4359275" y="14141450"/>
          <a:ext cx="412750" cy="12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177800</xdr:colOff>
      <xdr:row>73</xdr:row>
      <xdr:rowOff>177800</xdr:rowOff>
    </xdr:from>
    <xdr:to>
      <xdr:col>10</xdr:col>
      <xdr:colOff>0</xdr:colOff>
      <xdr:row>74</xdr:row>
      <xdr:rowOff>0</xdr:rowOff>
    </xdr:to>
    <xdr:sp macro="" textlink="">
      <xdr:nvSpPr>
        <xdr:cNvPr id="9469" name="OpenSolver353"/>
        <xdr:cNvSpPr/>
      </xdr:nvSpPr>
      <xdr:spPr>
        <a:xfrm>
          <a:off x="5540375" y="14141450"/>
          <a:ext cx="412750" cy="12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184150</xdr:rowOff>
    </xdr:from>
    <xdr:to>
      <xdr:col>9</xdr:col>
      <xdr:colOff>177800</xdr:colOff>
      <xdr:row>73</xdr:row>
      <xdr:rowOff>184150</xdr:rowOff>
    </xdr:to>
    <xdr:cxnSp macro="">
      <xdr:nvCxnSpPr>
        <xdr:cNvPr id="9470" name="OpenSolver354"/>
        <xdr:cNvCxnSpPr>
          <a:stCxn id="9468" idx="3"/>
          <a:endCxn id="9469" idx="1"/>
        </xdr:cNvCxnSpPr>
      </xdr:nvCxnSpPr>
      <xdr:spPr>
        <a:xfrm>
          <a:off x="4772025" y="14147800"/>
          <a:ext cx="768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73</xdr:row>
      <xdr:rowOff>57150</xdr:rowOff>
    </xdr:from>
    <xdr:to>
      <xdr:col>8</xdr:col>
      <xdr:colOff>574675</xdr:colOff>
      <xdr:row>74</xdr:row>
      <xdr:rowOff>120650</xdr:rowOff>
    </xdr:to>
    <xdr:sp macro="" textlink="">
      <xdr:nvSpPr>
        <xdr:cNvPr id="9471" name="OpenSolver355"/>
        <xdr:cNvSpPr/>
      </xdr:nvSpPr>
      <xdr:spPr>
        <a:xfrm>
          <a:off x="4965700" y="1402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74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472" name="OpenSolver356"/>
        <xdr:cNvSpPr/>
      </xdr:nvSpPr>
      <xdr:spPr>
        <a:xfrm>
          <a:off x="4359275" y="14331950"/>
          <a:ext cx="412750" cy="12014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177800</xdr:colOff>
      <xdr:row>74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473" name="OpenSolver357"/>
        <xdr:cNvSpPr/>
      </xdr:nvSpPr>
      <xdr:spPr>
        <a:xfrm>
          <a:off x="5540375" y="14331950"/>
          <a:ext cx="412750" cy="12014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88900</xdr:rowOff>
    </xdr:from>
    <xdr:to>
      <xdr:col>9</xdr:col>
      <xdr:colOff>177800</xdr:colOff>
      <xdr:row>106</xdr:row>
      <xdr:rowOff>88900</xdr:rowOff>
    </xdr:to>
    <xdr:cxnSp macro="">
      <xdr:nvCxnSpPr>
        <xdr:cNvPr id="9474" name="OpenSolver358"/>
        <xdr:cNvCxnSpPr>
          <a:stCxn id="9472" idx="3"/>
          <a:endCxn id="9473" idx="1"/>
        </xdr:cNvCxnSpPr>
      </xdr:nvCxnSpPr>
      <xdr:spPr>
        <a:xfrm>
          <a:off x="4772025" y="20339050"/>
          <a:ext cx="768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105</xdr:row>
      <xdr:rowOff>152400</xdr:rowOff>
    </xdr:from>
    <xdr:to>
      <xdr:col>8</xdr:col>
      <xdr:colOff>574675</xdr:colOff>
      <xdr:row>107</xdr:row>
      <xdr:rowOff>25400</xdr:rowOff>
    </xdr:to>
    <xdr:sp macro="" textlink="">
      <xdr:nvSpPr>
        <xdr:cNvPr id="9475" name="OpenSolver359"/>
        <xdr:cNvSpPr/>
      </xdr:nvSpPr>
      <xdr:spPr>
        <a:xfrm>
          <a:off x="4965700" y="20212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138</xdr:row>
      <xdr:rowOff>177800</xdr:rowOff>
    </xdr:from>
    <xdr:to>
      <xdr:col>8</xdr:col>
      <xdr:colOff>0</xdr:colOff>
      <xdr:row>139</xdr:row>
      <xdr:rowOff>0</xdr:rowOff>
    </xdr:to>
    <xdr:sp macro="" textlink="">
      <xdr:nvSpPr>
        <xdr:cNvPr id="9476" name="OpenSolver360"/>
        <xdr:cNvSpPr/>
      </xdr:nvSpPr>
      <xdr:spPr>
        <a:xfrm>
          <a:off x="4359275" y="26523950"/>
          <a:ext cx="412750" cy="12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177800</xdr:colOff>
      <xdr:row>138</xdr:row>
      <xdr:rowOff>177800</xdr:rowOff>
    </xdr:from>
    <xdr:to>
      <xdr:col>10</xdr:col>
      <xdr:colOff>0</xdr:colOff>
      <xdr:row>139</xdr:row>
      <xdr:rowOff>0</xdr:rowOff>
    </xdr:to>
    <xdr:sp macro="" textlink="">
      <xdr:nvSpPr>
        <xdr:cNvPr id="9477" name="OpenSolver361"/>
        <xdr:cNvSpPr/>
      </xdr:nvSpPr>
      <xdr:spPr>
        <a:xfrm>
          <a:off x="5540375" y="26523950"/>
          <a:ext cx="412750" cy="12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184150</xdr:rowOff>
    </xdr:from>
    <xdr:to>
      <xdr:col>9</xdr:col>
      <xdr:colOff>177800</xdr:colOff>
      <xdr:row>138</xdr:row>
      <xdr:rowOff>184150</xdr:rowOff>
    </xdr:to>
    <xdr:cxnSp macro="">
      <xdr:nvCxnSpPr>
        <xdr:cNvPr id="9478" name="OpenSolver362"/>
        <xdr:cNvCxnSpPr>
          <a:stCxn id="9476" idx="3"/>
          <a:endCxn id="9477" idx="1"/>
        </xdr:cNvCxnSpPr>
      </xdr:nvCxnSpPr>
      <xdr:spPr>
        <a:xfrm>
          <a:off x="4772025" y="26530300"/>
          <a:ext cx="768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138</xdr:row>
      <xdr:rowOff>57150</xdr:rowOff>
    </xdr:from>
    <xdr:to>
      <xdr:col>8</xdr:col>
      <xdr:colOff>574675</xdr:colOff>
      <xdr:row>139</xdr:row>
      <xdr:rowOff>120650</xdr:rowOff>
    </xdr:to>
    <xdr:sp macro="" textlink="">
      <xdr:nvSpPr>
        <xdr:cNvPr id="9479" name="OpenSolver363"/>
        <xdr:cNvSpPr/>
      </xdr:nvSpPr>
      <xdr:spPr>
        <a:xfrm>
          <a:off x="4965700" y="26403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480" name="OpenSolver364"/>
        <xdr:cNvSpPr/>
      </xdr:nvSpPr>
      <xdr:spPr>
        <a:xfrm>
          <a:off x="4371975" y="1371600"/>
          <a:ext cx="400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190500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9481" name="OpenSolver365"/>
        <xdr:cNvSpPr/>
      </xdr:nvSpPr>
      <xdr:spPr>
        <a:xfrm>
          <a:off x="5553075" y="1371600"/>
          <a:ext cx="400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190500</xdr:colOff>
      <xdr:row>7</xdr:row>
      <xdr:rowOff>95250</xdr:rowOff>
    </xdr:to>
    <xdr:cxnSp macro="">
      <xdr:nvCxnSpPr>
        <xdr:cNvPr id="9482" name="OpenSolver366"/>
        <xdr:cNvCxnSpPr>
          <a:stCxn id="9480" idx="3"/>
          <a:endCxn id="9481" idx="1"/>
        </xdr:cNvCxnSpPr>
      </xdr:nvCxnSpPr>
      <xdr:spPr>
        <a:xfrm>
          <a:off x="4772025" y="1466850"/>
          <a:ext cx="7810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6</xdr:row>
      <xdr:rowOff>158750</xdr:rowOff>
    </xdr:from>
    <xdr:to>
      <xdr:col>8</xdr:col>
      <xdr:colOff>581025</xdr:colOff>
      <xdr:row>8</xdr:row>
      <xdr:rowOff>31750</xdr:rowOff>
    </xdr:to>
    <xdr:sp macro="" textlink="">
      <xdr:nvSpPr>
        <xdr:cNvPr id="9483" name="OpenSolver367"/>
        <xdr:cNvSpPr/>
      </xdr:nvSpPr>
      <xdr:spPr>
        <a:xfrm>
          <a:off x="49720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8</xdr:row>
      <xdr:rowOff>190500</xdr:rowOff>
    </xdr:from>
    <xdr:to>
      <xdr:col>8</xdr:col>
      <xdr:colOff>0</xdr:colOff>
      <xdr:row>72</xdr:row>
      <xdr:rowOff>0</xdr:rowOff>
    </xdr:to>
    <xdr:sp macro="" textlink="">
      <xdr:nvSpPr>
        <xdr:cNvPr id="9484" name="OpenSolver368"/>
        <xdr:cNvSpPr/>
      </xdr:nvSpPr>
      <xdr:spPr>
        <a:xfrm>
          <a:off x="4371975" y="1752600"/>
          <a:ext cx="400050" cy="1202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190500</xdr:colOff>
      <xdr:row>8</xdr:row>
      <xdr:rowOff>190500</xdr:rowOff>
    </xdr:from>
    <xdr:to>
      <xdr:col>10</xdr:col>
      <xdr:colOff>0</xdr:colOff>
      <xdr:row>72</xdr:row>
      <xdr:rowOff>0</xdr:rowOff>
    </xdr:to>
    <xdr:sp macro="" textlink="">
      <xdr:nvSpPr>
        <xdr:cNvPr id="9485" name="OpenSolver369"/>
        <xdr:cNvSpPr/>
      </xdr:nvSpPr>
      <xdr:spPr>
        <a:xfrm>
          <a:off x="5553075" y="1752600"/>
          <a:ext cx="400050" cy="1202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85725</xdr:rowOff>
    </xdr:from>
    <xdr:to>
      <xdr:col>9</xdr:col>
      <xdr:colOff>190500</xdr:colOff>
      <xdr:row>40</xdr:row>
      <xdr:rowOff>85725</xdr:rowOff>
    </xdr:to>
    <xdr:cxnSp macro="">
      <xdr:nvCxnSpPr>
        <xdr:cNvPr id="9486" name="OpenSolver370"/>
        <xdr:cNvCxnSpPr>
          <a:stCxn id="9484" idx="3"/>
          <a:endCxn id="9485" idx="1"/>
        </xdr:cNvCxnSpPr>
      </xdr:nvCxnSpPr>
      <xdr:spPr>
        <a:xfrm>
          <a:off x="4772025" y="7762875"/>
          <a:ext cx="781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39</xdr:row>
      <xdr:rowOff>149225</xdr:rowOff>
    </xdr:from>
    <xdr:to>
      <xdr:col>8</xdr:col>
      <xdr:colOff>581025</xdr:colOff>
      <xdr:row>41</xdr:row>
      <xdr:rowOff>22225</xdr:rowOff>
    </xdr:to>
    <xdr:sp macro="" textlink="">
      <xdr:nvSpPr>
        <xdr:cNvPr id="9487" name="OpenSolver371"/>
        <xdr:cNvSpPr/>
      </xdr:nvSpPr>
      <xdr:spPr>
        <a:xfrm>
          <a:off x="49720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75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488" name="OpenSolver372"/>
        <xdr:cNvSpPr/>
      </xdr:nvSpPr>
      <xdr:spPr>
        <a:xfrm>
          <a:off x="4371975" y="14344650"/>
          <a:ext cx="400050" cy="12001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190500</xdr:colOff>
      <xdr:row>75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489" name="OpenSolver373"/>
        <xdr:cNvSpPr/>
      </xdr:nvSpPr>
      <xdr:spPr>
        <a:xfrm>
          <a:off x="5553075" y="14344650"/>
          <a:ext cx="400050" cy="12001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190500</xdr:colOff>
      <xdr:row>106</xdr:row>
      <xdr:rowOff>95250</xdr:rowOff>
    </xdr:to>
    <xdr:cxnSp macro="">
      <xdr:nvCxnSpPr>
        <xdr:cNvPr id="9490" name="OpenSolver374"/>
        <xdr:cNvCxnSpPr>
          <a:stCxn id="9488" idx="3"/>
          <a:endCxn id="9489" idx="1"/>
        </xdr:cNvCxnSpPr>
      </xdr:nvCxnSpPr>
      <xdr:spPr>
        <a:xfrm>
          <a:off x="4772025" y="20345400"/>
          <a:ext cx="781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105</xdr:row>
      <xdr:rowOff>158750</xdr:rowOff>
    </xdr:from>
    <xdr:to>
      <xdr:col>8</xdr:col>
      <xdr:colOff>581025</xdr:colOff>
      <xdr:row>107</xdr:row>
      <xdr:rowOff>31750</xdr:rowOff>
    </xdr:to>
    <xdr:sp macro="" textlink="">
      <xdr:nvSpPr>
        <xdr:cNvPr id="9491" name="OpenSolver375"/>
        <xdr:cNvSpPr/>
      </xdr:nvSpPr>
      <xdr:spPr>
        <a:xfrm>
          <a:off x="4972050" y="20218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7</xdr:row>
      <xdr:rowOff>12700</xdr:rowOff>
    </xdr:from>
    <xdr:to>
      <xdr:col>8</xdr:col>
      <xdr:colOff>0</xdr:colOff>
      <xdr:row>8</xdr:row>
      <xdr:rowOff>0</xdr:rowOff>
    </xdr:to>
    <xdr:sp macro="" textlink="">
      <xdr:nvSpPr>
        <xdr:cNvPr id="9492" name="OpenSolver376"/>
        <xdr:cNvSpPr/>
      </xdr:nvSpPr>
      <xdr:spPr>
        <a:xfrm>
          <a:off x="4384675" y="1384300"/>
          <a:ext cx="3873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203200</xdr:colOff>
      <xdr:row>7</xdr:row>
      <xdr:rowOff>12700</xdr:rowOff>
    </xdr:from>
    <xdr:to>
      <xdr:col>10</xdr:col>
      <xdr:colOff>0</xdr:colOff>
      <xdr:row>8</xdr:row>
      <xdr:rowOff>0</xdr:rowOff>
    </xdr:to>
    <xdr:sp macro="" textlink="">
      <xdr:nvSpPr>
        <xdr:cNvPr id="9493" name="OpenSolver377"/>
        <xdr:cNvSpPr/>
      </xdr:nvSpPr>
      <xdr:spPr>
        <a:xfrm>
          <a:off x="5565775" y="1384300"/>
          <a:ext cx="3873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101600</xdr:rowOff>
    </xdr:from>
    <xdr:to>
      <xdr:col>9</xdr:col>
      <xdr:colOff>203200</xdr:colOff>
      <xdr:row>7</xdr:row>
      <xdr:rowOff>101600</xdr:rowOff>
    </xdr:to>
    <xdr:cxnSp macro="">
      <xdr:nvCxnSpPr>
        <xdr:cNvPr id="9494" name="OpenSolver378"/>
        <xdr:cNvCxnSpPr>
          <a:stCxn id="9492" idx="3"/>
          <a:endCxn id="9493" idx="1"/>
        </xdr:cNvCxnSpPr>
      </xdr:nvCxnSpPr>
      <xdr:spPr>
        <a:xfrm>
          <a:off x="4772025" y="1473200"/>
          <a:ext cx="7937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6</xdr:row>
      <xdr:rowOff>165100</xdr:rowOff>
    </xdr:from>
    <xdr:to>
      <xdr:col>8</xdr:col>
      <xdr:colOff>587375</xdr:colOff>
      <xdr:row>8</xdr:row>
      <xdr:rowOff>38100</xdr:rowOff>
    </xdr:to>
    <xdr:sp macro="" textlink="">
      <xdr:nvSpPr>
        <xdr:cNvPr id="9495" name="OpenSolver379"/>
        <xdr:cNvSpPr/>
      </xdr:nvSpPr>
      <xdr:spPr>
        <a:xfrm>
          <a:off x="4978400" y="1346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9</xdr:row>
      <xdr:rowOff>3175</xdr:rowOff>
    </xdr:from>
    <xdr:to>
      <xdr:col>8</xdr:col>
      <xdr:colOff>0</xdr:colOff>
      <xdr:row>72</xdr:row>
      <xdr:rowOff>0</xdr:rowOff>
    </xdr:to>
    <xdr:sp macro="" textlink="">
      <xdr:nvSpPr>
        <xdr:cNvPr id="9496" name="OpenSolver380"/>
        <xdr:cNvSpPr/>
      </xdr:nvSpPr>
      <xdr:spPr>
        <a:xfrm>
          <a:off x="4384675" y="1765300"/>
          <a:ext cx="387350" cy="120078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203200</xdr:colOff>
      <xdr:row>9</xdr:row>
      <xdr:rowOff>3175</xdr:rowOff>
    </xdr:from>
    <xdr:to>
      <xdr:col>10</xdr:col>
      <xdr:colOff>0</xdr:colOff>
      <xdr:row>72</xdr:row>
      <xdr:rowOff>0</xdr:rowOff>
    </xdr:to>
    <xdr:sp macro="" textlink="">
      <xdr:nvSpPr>
        <xdr:cNvPr id="9497" name="OpenSolver381"/>
        <xdr:cNvSpPr/>
      </xdr:nvSpPr>
      <xdr:spPr>
        <a:xfrm>
          <a:off x="5565775" y="1765300"/>
          <a:ext cx="387350" cy="120078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92075</xdr:rowOff>
    </xdr:from>
    <xdr:to>
      <xdr:col>9</xdr:col>
      <xdr:colOff>203200</xdr:colOff>
      <xdr:row>40</xdr:row>
      <xdr:rowOff>92075</xdr:rowOff>
    </xdr:to>
    <xdr:cxnSp macro="">
      <xdr:nvCxnSpPr>
        <xdr:cNvPr id="9498" name="OpenSolver382"/>
        <xdr:cNvCxnSpPr>
          <a:stCxn id="9496" idx="3"/>
          <a:endCxn id="9497" idx="1"/>
        </xdr:cNvCxnSpPr>
      </xdr:nvCxnSpPr>
      <xdr:spPr>
        <a:xfrm>
          <a:off x="4772025" y="7769225"/>
          <a:ext cx="793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39</xdr:row>
      <xdr:rowOff>155575</xdr:rowOff>
    </xdr:from>
    <xdr:to>
      <xdr:col>8</xdr:col>
      <xdr:colOff>587375</xdr:colOff>
      <xdr:row>41</xdr:row>
      <xdr:rowOff>28575</xdr:rowOff>
    </xdr:to>
    <xdr:sp macro="" textlink="">
      <xdr:nvSpPr>
        <xdr:cNvPr id="9499" name="OpenSolver383"/>
        <xdr:cNvSpPr/>
      </xdr:nvSpPr>
      <xdr:spPr>
        <a:xfrm>
          <a:off x="4978400" y="7642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75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500" name="OpenSolver384"/>
        <xdr:cNvSpPr/>
      </xdr:nvSpPr>
      <xdr:spPr>
        <a:xfrm>
          <a:off x="4384675" y="14357350"/>
          <a:ext cx="387350" cy="1198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203200</xdr:colOff>
      <xdr:row>75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501" name="OpenSolver385"/>
        <xdr:cNvSpPr/>
      </xdr:nvSpPr>
      <xdr:spPr>
        <a:xfrm>
          <a:off x="5565775" y="14357350"/>
          <a:ext cx="387350" cy="1198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101600</xdr:rowOff>
    </xdr:from>
    <xdr:to>
      <xdr:col>9</xdr:col>
      <xdr:colOff>203200</xdr:colOff>
      <xdr:row>106</xdr:row>
      <xdr:rowOff>101600</xdr:rowOff>
    </xdr:to>
    <xdr:cxnSp macro="">
      <xdr:nvCxnSpPr>
        <xdr:cNvPr id="9502" name="OpenSolver386"/>
        <xdr:cNvCxnSpPr>
          <a:stCxn id="9500" idx="3"/>
          <a:endCxn id="9501" idx="1"/>
        </xdr:cNvCxnSpPr>
      </xdr:nvCxnSpPr>
      <xdr:spPr>
        <a:xfrm>
          <a:off x="4772025" y="20351750"/>
          <a:ext cx="793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105</xdr:row>
      <xdr:rowOff>165100</xdr:rowOff>
    </xdr:from>
    <xdr:to>
      <xdr:col>8</xdr:col>
      <xdr:colOff>587375</xdr:colOff>
      <xdr:row>107</xdr:row>
      <xdr:rowOff>38100</xdr:rowOff>
    </xdr:to>
    <xdr:sp macro="" textlink="">
      <xdr:nvSpPr>
        <xdr:cNvPr id="9503" name="OpenSolver387"/>
        <xdr:cNvSpPr/>
      </xdr:nvSpPr>
      <xdr:spPr>
        <a:xfrm>
          <a:off x="4978400" y="2022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7</xdr:row>
      <xdr:rowOff>25400</xdr:rowOff>
    </xdr:from>
    <xdr:to>
      <xdr:col>8</xdr:col>
      <xdr:colOff>0</xdr:colOff>
      <xdr:row>8</xdr:row>
      <xdr:rowOff>0</xdr:rowOff>
    </xdr:to>
    <xdr:sp macro="" textlink="">
      <xdr:nvSpPr>
        <xdr:cNvPr id="9504" name="OpenSolver388"/>
        <xdr:cNvSpPr/>
      </xdr:nvSpPr>
      <xdr:spPr>
        <a:xfrm>
          <a:off x="4397375" y="1397000"/>
          <a:ext cx="374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215900</xdr:colOff>
      <xdr:row>7</xdr:row>
      <xdr:rowOff>25400</xdr:rowOff>
    </xdr:from>
    <xdr:to>
      <xdr:col>10</xdr:col>
      <xdr:colOff>0</xdr:colOff>
      <xdr:row>8</xdr:row>
      <xdr:rowOff>0</xdr:rowOff>
    </xdr:to>
    <xdr:sp macro="" textlink="">
      <xdr:nvSpPr>
        <xdr:cNvPr id="9505" name="OpenSolver389"/>
        <xdr:cNvSpPr/>
      </xdr:nvSpPr>
      <xdr:spPr>
        <a:xfrm>
          <a:off x="5578475" y="1397000"/>
          <a:ext cx="374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107950</xdr:rowOff>
    </xdr:from>
    <xdr:to>
      <xdr:col>9</xdr:col>
      <xdr:colOff>215900</xdr:colOff>
      <xdr:row>7</xdr:row>
      <xdr:rowOff>107950</xdr:rowOff>
    </xdr:to>
    <xdr:cxnSp macro="">
      <xdr:nvCxnSpPr>
        <xdr:cNvPr id="9506" name="OpenSolver390"/>
        <xdr:cNvCxnSpPr>
          <a:stCxn id="9504" idx="3"/>
          <a:endCxn id="9505" idx="1"/>
        </xdr:cNvCxnSpPr>
      </xdr:nvCxnSpPr>
      <xdr:spPr>
        <a:xfrm>
          <a:off x="4772025" y="1479550"/>
          <a:ext cx="8064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6</xdr:row>
      <xdr:rowOff>171450</xdr:rowOff>
    </xdr:from>
    <xdr:to>
      <xdr:col>9</xdr:col>
      <xdr:colOff>3175</xdr:colOff>
      <xdr:row>8</xdr:row>
      <xdr:rowOff>44450</xdr:rowOff>
    </xdr:to>
    <xdr:sp macro="" textlink="">
      <xdr:nvSpPr>
        <xdr:cNvPr id="9507" name="OpenSolver391"/>
        <xdr:cNvSpPr/>
      </xdr:nvSpPr>
      <xdr:spPr>
        <a:xfrm>
          <a:off x="4984750" y="1352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9</xdr:row>
      <xdr:rowOff>15875</xdr:rowOff>
    </xdr:from>
    <xdr:to>
      <xdr:col>8</xdr:col>
      <xdr:colOff>0</xdr:colOff>
      <xdr:row>72</xdr:row>
      <xdr:rowOff>0</xdr:rowOff>
    </xdr:to>
    <xdr:sp macro="" textlink="">
      <xdr:nvSpPr>
        <xdr:cNvPr id="9508" name="OpenSolver392"/>
        <xdr:cNvSpPr/>
      </xdr:nvSpPr>
      <xdr:spPr>
        <a:xfrm>
          <a:off x="4397375" y="1778000"/>
          <a:ext cx="374650" cy="11995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215900</xdr:colOff>
      <xdr:row>9</xdr:row>
      <xdr:rowOff>15875</xdr:rowOff>
    </xdr:from>
    <xdr:to>
      <xdr:col>10</xdr:col>
      <xdr:colOff>0</xdr:colOff>
      <xdr:row>72</xdr:row>
      <xdr:rowOff>0</xdr:rowOff>
    </xdr:to>
    <xdr:sp macro="" textlink="">
      <xdr:nvSpPr>
        <xdr:cNvPr id="9509" name="OpenSolver393"/>
        <xdr:cNvSpPr/>
      </xdr:nvSpPr>
      <xdr:spPr>
        <a:xfrm>
          <a:off x="5578475" y="1778000"/>
          <a:ext cx="374650" cy="11995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98425</xdr:rowOff>
    </xdr:from>
    <xdr:to>
      <xdr:col>9</xdr:col>
      <xdr:colOff>215900</xdr:colOff>
      <xdr:row>40</xdr:row>
      <xdr:rowOff>98425</xdr:rowOff>
    </xdr:to>
    <xdr:cxnSp macro="">
      <xdr:nvCxnSpPr>
        <xdr:cNvPr id="9510" name="OpenSolver394"/>
        <xdr:cNvCxnSpPr>
          <a:stCxn id="9508" idx="3"/>
          <a:endCxn id="9509" idx="1"/>
        </xdr:cNvCxnSpPr>
      </xdr:nvCxnSpPr>
      <xdr:spPr>
        <a:xfrm>
          <a:off x="4772025" y="7775575"/>
          <a:ext cx="806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39</xdr:row>
      <xdr:rowOff>161925</xdr:rowOff>
    </xdr:from>
    <xdr:to>
      <xdr:col>9</xdr:col>
      <xdr:colOff>3175</xdr:colOff>
      <xdr:row>41</xdr:row>
      <xdr:rowOff>34925</xdr:rowOff>
    </xdr:to>
    <xdr:sp macro="" textlink="">
      <xdr:nvSpPr>
        <xdr:cNvPr id="9511" name="OpenSolver395"/>
        <xdr:cNvSpPr/>
      </xdr:nvSpPr>
      <xdr:spPr>
        <a:xfrm>
          <a:off x="4984750" y="7648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75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512" name="OpenSolver396"/>
        <xdr:cNvSpPr/>
      </xdr:nvSpPr>
      <xdr:spPr>
        <a:xfrm>
          <a:off x="4397375" y="14370050"/>
          <a:ext cx="374650" cy="11976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215900</xdr:colOff>
      <xdr:row>75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513" name="OpenSolver397"/>
        <xdr:cNvSpPr/>
      </xdr:nvSpPr>
      <xdr:spPr>
        <a:xfrm>
          <a:off x="5578475" y="14370050"/>
          <a:ext cx="374650" cy="11976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107950</xdr:rowOff>
    </xdr:from>
    <xdr:to>
      <xdr:col>9</xdr:col>
      <xdr:colOff>215900</xdr:colOff>
      <xdr:row>106</xdr:row>
      <xdr:rowOff>107950</xdr:rowOff>
    </xdr:to>
    <xdr:cxnSp macro="">
      <xdr:nvCxnSpPr>
        <xdr:cNvPr id="9514" name="OpenSolver398"/>
        <xdr:cNvCxnSpPr>
          <a:stCxn id="9512" idx="3"/>
          <a:endCxn id="9513" idx="1"/>
        </xdr:cNvCxnSpPr>
      </xdr:nvCxnSpPr>
      <xdr:spPr>
        <a:xfrm>
          <a:off x="4772025" y="20358100"/>
          <a:ext cx="806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105</xdr:row>
      <xdr:rowOff>171450</xdr:rowOff>
    </xdr:from>
    <xdr:to>
      <xdr:col>9</xdr:col>
      <xdr:colOff>3175</xdr:colOff>
      <xdr:row>107</xdr:row>
      <xdr:rowOff>44450</xdr:rowOff>
    </xdr:to>
    <xdr:sp macro="" textlink="">
      <xdr:nvSpPr>
        <xdr:cNvPr id="9515" name="OpenSolver399"/>
        <xdr:cNvSpPr/>
      </xdr:nvSpPr>
      <xdr:spPr>
        <a:xfrm>
          <a:off x="4984750" y="20231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7</xdr:row>
      <xdr:rowOff>38100</xdr:rowOff>
    </xdr:from>
    <xdr:to>
      <xdr:col>8</xdr:col>
      <xdr:colOff>0</xdr:colOff>
      <xdr:row>8</xdr:row>
      <xdr:rowOff>0</xdr:rowOff>
    </xdr:to>
    <xdr:sp macro="" textlink="">
      <xdr:nvSpPr>
        <xdr:cNvPr id="9516" name="OpenSolver400"/>
        <xdr:cNvSpPr/>
      </xdr:nvSpPr>
      <xdr:spPr>
        <a:xfrm>
          <a:off x="4410075" y="1409700"/>
          <a:ext cx="361950" cy="152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228600</xdr:colOff>
      <xdr:row>7</xdr:row>
      <xdr:rowOff>38100</xdr:rowOff>
    </xdr:from>
    <xdr:to>
      <xdr:col>10</xdr:col>
      <xdr:colOff>0</xdr:colOff>
      <xdr:row>8</xdr:row>
      <xdr:rowOff>0</xdr:rowOff>
    </xdr:to>
    <xdr:sp macro="" textlink="">
      <xdr:nvSpPr>
        <xdr:cNvPr id="9517" name="OpenSolver401"/>
        <xdr:cNvSpPr/>
      </xdr:nvSpPr>
      <xdr:spPr>
        <a:xfrm>
          <a:off x="5591175" y="1409700"/>
          <a:ext cx="361950" cy="152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114300</xdr:rowOff>
    </xdr:from>
    <xdr:to>
      <xdr:col>9</xdr:col>
      <xdr:colOff>228600</xdr:colOff>
      <xdr:row>7</xdr:row>
      <xdr:rowOff>114300</xdr:rowOff>
    </xdr:to>
    <xdr:cxnSp macro="">
      <xdr:nvCxnSpPr>
        <xdr:cNvPr id="9518" name="OpenSolver402"/>
        <xdr:cNvCxnSpPr>
          <a:stCxn id="9516" idx="3"/>
          <a:endCxn id="9517" idx="1"/>
        </xdr:cNvCxnSpPr>
      </xdr:nvCxnSpPr>
      <xdr:spPr>
        <a:xfrm>
          <a:off x="4772025" y="1485900"/>
          <a:ext cx="8191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6</xdr:row>
      <xdr:rowOff>177800</xdr:rowOff>
    </xdr:from>
    <xdr:to>
      <xdr:col>9</xdr:col>
      <xdr:colOff>9525</xdr:colOff>
      <xdr:row>8</xdr:row>
      <xdr:rowOff>50800</xdr:rowOff>
    </xdr:to>
    <xdr:sp macro="" textlink="">
      <xdr:nvSpPr>
        <xdr:cNvPr id="9519" name="OpenSolver403"/>
        <xdr:cNvSpPr/>
      </xdr:nvSpPr>
      <xdr:spPr>
        <a:xfrm>
          <a:off x="4991100" y="1358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9</xdr:row>
      <xdr:rowOff>28575</xdr:rowOff>
    </xdr:from>
    <xdr:to>
      <xdr:col>8</xdr:col>
      <xdr:colOff>0</xdr:colOff>
      <xdr:row>72</xdr:row>
      <xdr:rowOff>0</xdr:rowOff>
    </xdr:to>
    <xdr:sp macro="" textlink="">
      <xdr:nvSpPr>
        <xdr:cNvPr id="9520" name="OpenSolver404"/>
        <xdr:cNvSpPr/>
      </xdr:nvSpPr>
      <xdr:spPr>
        <a:xfrm>
          <a:off x="4410075" y="1790700"/>
          <a:ext cx="361950" cy="119824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228600</xdr:colOff>
      <xdr:row>9</xdr:row>
      <xdr:rowOff>28575</xdr:rowOff>
    </xdr:from>
    <xdr:to>
      <xdr:col>10</xdr:col>
      <xdr:colOff>0</xdr:colOff>
      <xdr:row>72</xdr:row>
      <xdr:rowOff>0</xdr:rowOff>
    </xdr:to>
    <xdr:sp macro="" textlink="">
      <xdr:nvSpPr>
        <xdr:cNvPr id="9521" name="OpenSolver405"/>
        <xdr:cNvSpPr/>
      </xdr:nvSpPr>
      <xdr:spPr>
        <a:xfrm>
          <a:off x="5591175" y="1790700"/>
          <a:ext cx="361950" cy="119824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104775</xdr:rowOff>
    </xdr:from>
    <xdr:to>
      <xdr:col>9</xdr:col>
      <xdr:colOff>228600</xdr:colOff>
      <xdr:row>40</xdr:row>
      <xdr:rowOff>104775</xdr:rowOff>
    </xdr:to>
    <xdr:cxnSp macro="">
      <xdr:nvCxnSpPr>
        <xdr:cNvPr id="9522" name="OpenSolver406"/>
        <xdr:cNvCxnSpPr>
          <a:stCxn id="9520" idx="3"/>
          <a:endCxn id="9521" idx="1"/>
        </xdr:cNvCxnSpPr>
      </xdr:nvCxnSpPr>
      <xdr:spPr>
        <a:xfrm>
          <a:off x="4772025" y="7781925"/>
          <a:ext cx="819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39</xdr:row>
      <xdr:rowOff>168275</xdr:rowOff>
    </xdr:from>
    <xdr:to>
      <xdr:col>9</xdr:col>
      <xdr:colOff>9525</xdr:colOff>
      <xdr:row>41</xdr:row>
      <xdr:rowOff>41275</xdr:rowOff>
    </xdr:to>
    <xdr:sp macro="" textlink="">
      <xdr:nvSpPr>
        <xdr:cNvPr id="9523" name="OpenSolver407"/>
        <xdr:cNvSpPr/>
      </xdr:nvSpPr>
      <xdr:spPr>
        <a:xfrm>
          <a:off x="4991100" y="7654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75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524" name="OpenSolver408"/>
        <xdr:cNvSpPr/>
      </xdr:nvSpPr>
      <xdr:spPr>
        <a:xfrm>
          <a:off x="4410075" y="14382750"/>
          <a:ext cx="361950" cy="11963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228600</xdr:colOff>
      <xdr:row>75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525" name="OpenSolver409"/>
        <xdr:cNvSpPr/>
      </xdr:nvSpPr>
      <xdr:spPr>
        <a:xfrm>
          <a:off x="5591175" y="14382750"/>
          <a:ext cx="361950" cy="11963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114300</xdr:rowOff>
    </xdr:from>
    <xdr:to>
      <xdr:col>9</xdr:col>
      <xdr:colOff>228600</xdr:colOff>
      <xdr:row>106</xdr:row>
      <xdr:rowOff>114300</xdr:rowOff>
    </xdr:to>
    <xdr:cxnSp macro="">
      <xdr:nvCxnSpPr>
        <xdr:cNvPr id="9526" name="OpenSolver410"/>
        <xdr:cNvCxnSpPr>
          <a:stCxn id="9524" idx="3"/>
          <a:endCxn id="9525" idx="1"/>
        </xdr:cNvCxnSpPr>
      </xdr:nvCxnSpPr>
      <xdr:spPr>
        <a:xfrm>
          <a:off x="4772025" y="20364450"/>
          <a:ext cx="819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105</xdr:row>
      <xdr:rowOff>177800</xdr:rowOff>
    </xdr:from>
    <xdr:to>
      <xdr:col>9</xdr:col>
      <xdr:colOff>9525</xdr:colOff>
      <xdr:row>107</xdr:row>
      <xdr:rowOff>50800</xdr:rowOff>
    </xdr:to>
    <xdr:sp macro="" textlink="">
      <xdr:nvSpPr>
        <xdr:cNvPr id="9527" name="OpenSolver411"/>
        <xdr:cNvSpPr/>
      </xdr:nvSpPr>
      <xdr:spPr>
        <a:xfrm>
          <a:off x="4991100" y="20237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7</xdr:row>
      <xdr:rowOff>50800</xdr:rowOff>
    </xdr:from>
    <xdr:to>
      <xdr:col>8</xdr:col>
      <xdr:colOff>0</xdr:colOff>
      <xdr:row>8</xdr:row>
      <xdr:rowOff>0</xdr:rowOff>
    </xdr:to>
    <xdr:sp macro="" textlink="">
      <xdr:nvSpPr>
        <xdr:cNvPr id="9528" name="OpenSolver412"/>
        <xdr:cNvSpPr/>
      </xdr:nvSpPr>
      <xdr:spPr>
        <a:xfrm>
          <a:off x="4422775" y="1422400"/>
          <a:ext cx="349250" cy="139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241300</xdr:colOff>
      <xdr:row>7</xdr:row>
      <xdr:rowOff>50800</xdr:rowOff>
    </xdr:from>
    <xdr:to>
      <xdr:col>10</xdr:col>
      <xdr:colOff>0</xdr:colOff>
      <xdr:row>8</xdr:row>
      <xdr:rowOff>0</xdr:rowOff>
    </xdr:to>
    <xdr:sp macro="" textlink="">
      <xdr:nvSpPr>
        <xdr:cNvPr id="9529" name="OpenSolver413"/>
        <xdr:cNvSpPr/>
      </xdr:nvSpPr>
      <xdr:spPr>
        <a:xfrm>
          <a:off x="5603875" y="1422400"/>
          <a:ext cx="349250" cy="139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120650</xdr:rowOff>
    </xdr:from>
    <xdr:to>
      <xdr:col>9</xdr:col>
      <xdr:colOff>241300</xdr:colOff>
      <xdr:row>7</xdr:row>
      <xdr:rowOff>120650</xdr:rowOff>
    </xdr:to>
    <xdr:cxnSp macro="">
      <xdr:nvCxnSpPr>
        <xdr:cNvPr id="9530" name="OpenSolver414"/>
        <xdr:cNvCxnSpPr>
          <a:stCxn id="9528" idx="3"/>
          <a:endCxn id="9529" idx="1"/>
        </xdr:cNvCxnSpPr>
      </xdr:nvCxnSpPr>
      <xdr:spPr>
        <a:xfrm>
          <a:off x="4772025" y="1492250"/>
          <a:ext cx="8318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6</xdr:row>
      <xdr:rowOff>184150</xdr:rowOff>
    </xdr:from>
    <xdr:to>
      <xdr:col>9</xdr:col>
      <xdr:colOff>15875</xdr:colOff>
      <xdr:row>8</xdr:row>
      <xdr:rowOff>57150</xdr:rowOff>
    </xdr:to>
    <xdr:sp macro="" textlink="">
      <xdr:nvSpPr>
        <xdr:cNvPr id="9531" name="OpenSolver415"/>
        <xdr:cNvSpPr/>
      </xdr:nvSpPr>
      <xdr:spPr>
        <a:xfrm>
          <a:off x="4997450" y="1365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9</xdr:row>
      <xdr:rowOff>41275</xdr:rowOff>
    </xdr:from>
    <xdr:to>
      <xdr:col>8</xdr:col>
      <xdr:colOff>0</xdr:colOff>
      <xdr:row>72</xdr:row>
      <xdr:rowOff>0</xdr:rowOff>
    </xdr:to>
    <xdr:sp macro="" textlink="">
      <xdr:nvSpPr>
        <xdr:cNvPr id="9532" name="OpenSolver416"/>
        <xdr:cNvSpPr/>
      </xdr:nvSpPr>
      <xdr:spPr>
        <a:xfrm>
          <a:off x="4422775" y="1803400"/>
          <a:ext cx="349250" cy="119697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241300</xdr:colOff>
      <xdr:row>9</xdr:row>
      <xdr:rowOff>41275</xdr:rowOff>
    </xdr:from>
    <xdr:to>
      <xdr:col>10</xdr:col>
      <xdr:colOff>0</xdr:colOff>
      <xdr:row>72</xdr:row>
      <xdr:rowOff>0</xdr:rowOff>
    </xdr:to>
    <xdr:sp macro="" textlink="">
      <xdr:nvSpPr>
        <xdr:cNvPr id="9533" name="OpenSolver417"/>
        <xdr:cNvSpPr/>
      </xdr:nvSpPr>
      <xdr:spPr>
        <a:xfrm>
          <a:off x="5603875" y="1803400"/>
          <a:ext cx="349250" cy="119697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111125</xdr:rowOff>
    </xdr:from>
    <xdr:to>
      <xdr:col>9</xdr:col>
      <xdr:colOff>241300</xdr:colOff>
      <xdr:row>40</xdr:row>
      <xdr:rowOff>111125</xdr:rowOff>
    </xdr:to>
    <xdr:cxnSp macro="">
      <xdr:nvCxnSpPr>
        <xdr:cNvPr id="9534" name="OpenSolver418"/>
        <xdr:cNvCxnSpPr>
          <a:stCxn id="9532" idx="3"/>
          <a:endCxn id="9533" idx="1"/>
        </xdr:cNvCxnSpPr>
      </xdr:nvCxnSpPr>
      <xdr:spPr>
        <a:xfrm>
          <a:off x="4772025" y="7788275"/>
          <a:ext cx="831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39</xdr:row>
      <xdr:rowOff>174625</xdr:rowOff>
    </xdr:from>
    <xdr:to>
      <xdr:col>9</xdr:col>
      <xdr:colOff>15875</xdr:colOff>
      <xdr:row>41</xdr:row>
      <xdr:rowOff>47625</xdr:rowOff>
    </xdr:to>
    <xdr:sp macro="" textlink="">
      <xdr:nvSpPr>
        <xdr:cNvPr id="9535" name="OpenSolver419"/>
        <xdr:cNvSpPr/>
      </xdr:nvSpPr>
      <xdr:spPr>
        <a:xfrm>
          <a:off x="4997450" y="7661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75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536" name="OpenSolver420"/>
        <xdr:cNvSpPr/>
      </xdr:nvSpPr>
      <xdr:spPr>
        <a:xfrm>
          <a:off x="4422775" y="14395450"/>
          <a:ext cx="349250" cy="11950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241300</xdr:colOff>
      <xdr:row>75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537" name="OpenSolver421"/>
        <xdr:cNvSpPr/>
      </xdr:nvSpPr>
      <xdr:spPr>
        <a:xfrm>
          <a:off x="5603875" y="14395450"/>
          <a:ext cx="349250" cy="11950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120650</xdr:rowOff>
    </xdr:from>
    <xdr:to>
      <xdr:col>9</xdr:col>
      <xdr:colOff>241300</xdr:colOff>
      <xdr:row>106</xdr:row>
      <xdr:rowOff>120650</xdr:rowOff>
    </xdr:to>
    <xdr:cxnSp macro="">
      <xdr:nvCxnSpPr>
        <xdr:cNvPr id="9538" name="OpenSolver422"/>
        <xdr:cNvCxnSpPr>
          <a:stCxn id="9536" idx="3"/>
          <a:endCxn id="9537" idx="1"/>
        </xdr:cNvCxnSpPr>
      </xdr:nvCxnSpPr>
      <xdr:spPr>
        <a:xfrm>
          <a:off x="4772025" y="20370800"/>
          <a:ext cx="831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105</xdr:row>
      <xdr:rowOff>184150</xdr:rowOff>
    </xdr:from>
    <xdr:to>
      <xdr:col>9</xdr:col>
      <xdr:colOff>15875</xdr:colOff>
      <xdr:row>107</xdr:row>
      <xdr:rowOff>57150</xdr:rowOff>
    </xdr:to>
    <xdr:sp macro="" textlink="">
      <xdr:nvSpPr>
        <xdr:cNvPr id="9539" name="OpenSolver423"/>
        <xdr:cNvSpPr/>
      </xdr:nvSpPr>
      <xdr:spPr>
        <a:xfrm>
          <a:off x="4997450" y="20243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7</xdr:row>
      <xdr:rowOff>63500</xdr:rowOff>
    </xdr:from>
    <xdr:to>
      <xdr:col>8</xdr:col>
      <xdr:colOff>0</xdr:colOff>
      <xdr:row>8</xdr:row>
      <xdr:rowOff>0</xdr:rowOff>
    </xdr:to>
    <xdr:sp macro="" textlink="">
      <xdr:nvSpPr>
        <xdr:cNvPr id="9540" name="OpenSolver424"/>
        <xdr:cNvSpPr/>
      </xdr:nvSpPr>
      <xdr:spPr>
        <a:xfrm>
          <a:off x="4435475" y="1435100"/>
          <a:ext cx="336550" cy="12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254000</xdr:colOff>
      <xdr:row>7</xdr:row>
      <xdr:rowOff>63500</xdr:rowOff>
    </xdr:from>
    <xdr:to>
      <xdr:col>10</xdr:col>
      <xdr:colOff>0</xdr:colOff>
      <xdr:row>8</xdr:row>
      <xdr:rowOff>0</xdr:rowOff>
    </xdr:to>
    <xdr:sp macro="" textlink="">
      <xdr:nvSpPr>
        <xdr:cNvPr id="9541" name="OpenSolver425"/>
        <xdr:cNvSpPr/>
      </xdr:nvSpPr>
      <xdr:spPr>
        <a:xfrm>
          <a:off x="5616575" y="1435100"/>
          <a:ext cx="336550" cy="12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127000</xdr:rowOff>
    </xdr:from>
    <xdr:to>
      <xdr:col>9</xdr:col>
      <xdr:colOff>254000</xdr:colOff>
      <xdr:row>7</xdr:row>
      <xdr:rowOff>127000</xdr:rowOff>
    </xdr:to>
    <xdr:cxnSp macro="">
      <xdr:nvCxnSpPr>
        <xdr:cNvPr id="9542" name="OpenSolver426"/>
        <xdr:cNvCxnSpPr>
          <a:stCxn id="9540" idx="3"/>
          <a:endCxn id="9541" idx="1"/>
        </xdr:cNvCxnSpPr>
      </xdr:nvCxnSpPr>
      <xdr:spPr>
        <a:xfrm>
          <a:off x="4772025" y="1498600"/>
          <a:ext cx="844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7</xdr:row>
      <xdr:rowOff>0</xdr:rowOff>
    </xdr:from>
    <xdr:to>
      <xdr:col>9</xdr:col>
      <xdr:colOff>22225</xdr:colOff>
      <xdr:row>8</xdr:row>
      <xdr:rowOff>63500</xdr:rowOff>
    </xdr:to>
    <xdr:sp macro="" textlink="">
      <xdr:nvSpPr>
        <xdr:cNvPr id="9543" name="OpenSolver427"/>
        <xdr:cNvSpPr/>
      </xdr:nvSpPr>
      <xdr:spPr>
        <a:xfrm>
          <a:off x="5003800" y="1371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9</xdr:row>
      <xdr:rowOff>53975</xdr:rowOff>
    </xdr:from>
    <xdr:to>
      <xdr:col>8</xdr:col>
      <xdr:colOff>0</xdr:colOff>
      <xdr:row>72</xdr:row>
      <xdr:rowOff>0</xdr:rowOff>
    </xdr:to>
    <xdr:sp macro="" textlink="">
      <xdr:nvSpPr>
        <xdr:cNvPr id="9544" name="OpenSolver428"/>
        <xdr:cNvSpPr/>
      </xdr:nvSpPr>
      <xdr:spPr>
        <a:xfrm>
          <a:off x="4435475" y="1816100"/>
          <a:ext cx="336550" cy="119570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254000</xdr:colOff>
      <xdr:row>9</xdr:row>
      <xdr:rowOff>53975</xdr:rowOff>
    </xdr:from>
    <xdr:to>
      <xdr:col>10</xdr:col>
      <xdr:colOff>0</xdr:colOff>
      <xdr:row>72</xdr:row>
      <xdr:rowOff>0</xdr:rowOff>
    </xdr:to>
    <xdr:sp macro="" textlink="">
      <xdr:nvSpPr>
        <xdr:cNvPr id="9545" name="OpenSolver429"/>
        <xdr:cNvSpPr/>
      </xdr:nvSpPr>
      <xdr:spPr>
        <a:xfrm>
          <a:off x="5616575" y="1816100"/>
          <a:ext cx="336550" cy="119570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117475</xdr:rowOff>
    </xdr:from>
    <xdr:to>
      <xdr:col>9</xdr:col>
      <xdr:colOff>254000</xdr:colOff>
      <xdr:row>40</xdr:row>
      <xdr:rowOff>117475</xdr:rowOff>
    </xdr:to>
    <xdr:cxnSp macro="">
      <xdr:nvCxnSpPr>
        <xdr:cNvPr id="9546" name="OpenSolver430"/>
        <xdr:cNvCxnSpPr>
          <a:stCxn id="9544" idx="3"/>
          <a:endCxn id="9545" idx="1"/>
        </xdr:cNvCxnSpPr>
      </xdr:nvCxnSpPr>
      <xdr:spPr>
        <a:xfrm>
          <a:off x="4772025" y="7794625"/>
          <a:ext cx="844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39</xdr:row>
      <xdr:rowOff>180975</xdr:rowOff>
    </xdr:from>
    <xdr:to>
      <xdr:col>9</xdr:col>
      <xdr:colOff>22225</xdr:colOff>
      <xdr:row>41</xdr:row>
      <xdr:rowOff>53975</xdr:rowOff>
    </xdr:to>
    <xdr:sp macro="" textlink="">
      <xdr:nvSpPr>
        <xdr:cNvPr id="9547" name="OpenSolver431"/>
        <xdr:cNvSpPr/>
      </xdr:nvSpPr>
      <xdr:spPr>
        <a:xfrm>
          <a:off x="5003800" y="7667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75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548" name="OpenSolver432"/>
        <xdr:cNvSpPr/>
      </xdr:nvSpPr>
      <xdr:spPr>
        <a:xfrm>
          <a:off x="4435475" y="14408150"/>
          <a:ext cx="336550" cy="11938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254000</xdr:colOff>
      <xdr:row>75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549" name="OpenSolver433"/>
        <xdr:cNvSpPr/>
      </xdr:nvSpPr>
      <xdr:spPr>
        <a:xfrm>
          <a:off x="5616575" y="14408150"/>
          <a:ext cx="336550" cy="11938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127000</xdr:rowOff>
    </xdr:from>
    <xdr:to>
      <xdr:col>9</xdr:col>
      <xdr:colOff>254000</xdr:colOff>
      <xdr:row>106</xdr:row>
      <xdr:rowOff>127000</xdr:rowOff>
    </xdr:to>
    <xdr:cxnSp macro="">
      <xdr:nvCxnSpPr>
        <xdr:cNvPr id="9550" name="OpenSolver434"/>
        <xdr:cNvCxnSpPr>
          <a:stCxn id="9548" idx="3"/>
          <a:endCxn id="9549" idx="1"/>
        </xdr:cNvCxnSpPr>
      </xdr:nvCxnSpPr>
      <xdr:spPr>
        <a:xfrm>
          <a:off x="4772025" y="20377150"/>
          <a:ext cx="844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106</xdr:row>
      <xdr:rowOff>0</xdr:rowOff>
    </xdr:from>
    <xdr:to>
      <xdr:col>9</xdr:col>
      <xdr:colOff>22225</xdr:colOff>
      <xdr:row>107</xdr:row>
      <xdr:rowOff>63500</xdr:rowOff>
    </xdr:to>
    <xdr:sp macro="" textlink="">
      <xdr:nvSpPr>
        <xdr:cNvPr id="9551" name="OpenSolver435"/>
        <xdr:cNvSpPr/>
      </xdr:nvSpPr>
      <xdr:spPr>
        <a:xfrm>
          <a:off x="5003800" y="20250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7</xdr:row>
      <xdr:rowOff>76200</xdr:rowOff>
    </xdr:from>
    <xdr:to>
      <xdr:col>8</xdr:col>
      <xdr:colOff>0</xdr:colOff>
      <xdr:row>8</xdr:row>
      <xdr:rowOff>0</xdr:rowOff>
    </xdr:to>
    <xdr:sp macro="" textlink="">
      <xdr:nvSpPr>
        <xdr:cNvPr id="9552" name="OpenSolver436"/>
        <xdr:cNvSpPr/>
      </xdr:nvSpPr>
      <xdr:spPr>
        <a:xfrm>
          <a:off x="4448175" y="1447800"/>
          <a:ext cx="323850" cy="114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266700</xdr:colOff>
      <xdr:row>7</xdr:row>
      <xdr:rowOff>76200</xdr:rowOff>
    </xdr:from>
    <xdr:to>
      <xdr:col>10</xdr:col>
      <xdr:colOff>0</xdr:colOff>
      <xdr:row>8</xdr:row>
      <xdr:rowOff>0</xdr:rowOff>
    </xdr:to>
    <xdr:sp macro="" textlink="">
      <xdr:nvSpPr>
        <xdr:cNvPr id="9553" name="OpenSolver437"/>
        <xdr:cNvSpPr/>
      </xdr:nvSpPr>
      <xdr:spPr>
        <a:xfrm>
          <a:off x="5629275" y="1447800"/>
          <a:ext cx="323850" cy="114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133350</xdr:rowOff>
    </xdr:from>
    <xdr:to>
      <xdr:col>9</xdr:col>
      <xdr:colOff>266700</xdr:colOff>
      <xdr:row>7</xdr:row>
      <xdr:rowOff>133350</xdr:rowOff>
    </xdr:to>
    <xdr:cxnSp macro="">
      <xdr:nvCxnSpPr>
        <xdr:cNvPr id="9554" name="OpenSolver438"/>
        <xdr:cNvCxnSpPr>
          <a:stCxn id="9552" idx="3"/>
          <a:endCxn id="9553" idx="1"/>
        </xdr:cNvCxnSpPr>
      </xdr:nvCxnSpPr>
      <xdr:spPr>
        <a:xfrm>
          <a:off x="4772025" y="1504950"/>
          <a:ext cx="857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7</xdr:row>
      <xdr:rowOff>6350</xdr:rowOff>
    </xdr:from>
    <xdr:to>
      <xdr:col>9</xdr:col>
      <xdr:colOff>28575</xdr:colOff>
      <xdr:row>8</xdr:row>
      <xdr:rowOff>69850</xdr:rowOff>
    </xdr:to>
    <xdr:sp macro="" textlink="">
      <xdr:nvSpPr>
        <xdr:cNvPr id="9555" name="OpenSolver439"/>
        <xdr:cNvSpPr/>
      </xdr:nvSpPr>
      <xdr:spPr>
        <a:xfrm>
          <a:off x="5010150" y="1377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9</xdr:row>
      <xdr:rowOff>66675</xdr:rowOff>
    </xdr:from>
    <xdr:to>
      <xdr:col>8</xdr:col>
      <xdr:colOff>0</xdr:colOff>
      <xdr:row>72</xdr:row>
      <xdr:rowOff>0</xdr:rowOff>
    </xdr:to>
    <xdr:sp macro="" textlink="">
      <xdr:nvSpPr>
        <xdr:cNvPr id="9556" name="OpenSolver440"/>
        <xdr:cNvSpPr/>
      </xdr:nvSpPr>
      <xdr:spPr>
        <a:xfrm>
          <a:off x="4448175" y="1828800"/>
          <a:ext cx="323850" cy="1194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266700</xdr:colOff>
      <xdr:row>9</xdr:row>
      <xdr:rowOff>66675</xdr:rowOff>
    </xdr:from>
    <xdr:to>
      <xdr:col>10</xdr:col>
      <xdr:colOff>0</xdr:colOff>
      <xdr:row>72</xdr:row>
      <xdr:rowOff>0</xdr:rowOff>
    </xdr:to>
    <xdr:sp macro="" textlink="">
      <xdr:nvSpPr>
        <xdr:cNvPr id="9557" name="OpenSolver441"/>
        <xdr:cNvSpPr/>
      </xdr:nvSpPr>
      <xdr:spPr>
        <a:xfrm>
          <a:off x="5629275" y="1828800"/>
          <a:ext cx="323850" cy="1194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123825</xdr:rowOff>
    </xdr:from>
    <xdr:to>
      <xdr:col>9</xdr:col>
      <xdr:colOff>266700</xdr:colOff>
      <xdr:row>40</xdr:row>
      <xdr:rowOff>123825</xdr:rowOff>
    </xdr:to>
    <xdr:cxnSp macro="">
      <xdr:nvCxnSpPr>
        <xdr:cNvPr id="9558" name="OpenSolver442"/>
        <xdr:cNvCxnSpPr>
          <a:stCxn id="9556" idx="3"/>
          <a:endCxn id="9557" idx="1"/>
        </xdr:cNvCxnSpPr>
      </xdr:nvCxnSpPr>
      <xdr:spPr>
        <a:xfrm>
          <a:off x="4772025" y="7800975"/>
          <a:ext cx="857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39</xdr:row>
      <xdr:rowOff>187325</xdr:rowOff>
    </xdr:from>
    <xdr:to>
      <xdr:col>9</xdr:col>
      <xdr:colOff>28575</xdr:colOff>
      <xdr:row>41</xdr:row>
      <xdr:rowOff>60325</xdr:rowOff>
    </xdr:to>
    <xdr:sp macro="" textlink="">
      <xdr:nvSpPr>
        <xdr:cNvPr id="9559" name="OpenSolver443"/>
        <xdr:cNvSpPr/>
      </xdr:nvSpPr>
      <xdr:spPr>
        <a:xfrm>
          <a:off x="5010150" y="7673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75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560" name="OpenSolver444"/>
        <xdr:cNvSpPr/>
      </xdr:nvSpPr>
      <xdr:spPr>
        <a:xfrm>
          <a:off x="4448175" y="14420850"/>
          <a:ext cx="323850" cy="11925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266700</xdr:colOff>
      <xdr:row>75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561" name="OpenSolver445"/>
        <xdr:cNvSpPr/>
      </xdr:nvSpPr>
      <xdr:spPr>
        <a:xfrm>
          <a:off x="5629275" y="14420850"/>
          <a:ext cx="323850" cy="11925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133350</xdr:rowOff>
    </xdr:from>
    <xdr:to>
      <xdr:col>9</xdr:col>
      <xdr:colOff>266700</xdr:colOff>
      <xdr:row>106</xdr:row>
      <xdr:rowOff>133350</xdr:rowOff>
    </xdr:to>
    <xdr:cxnSp macro="">
      <xdr:nvCxnSpPr>
        <xdr:cNvPr id="9562" name="OpenSolver446"/>
        <xdr:cNvCxnSpPr>
          <a:stCxn id="9560" idx="3"/>
          <a:endCxn id="9561" idx="1"/>
        </xdr:cNvCxnSpPr>
      </xdr:nvCxnSpPr>
      <xdr:spPr>
        <a:xfrm>
          <a:off x="4772025" y="20383500"/>
          <a:ext cx="857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106</xdr:row>
      <xdr:rowOff>6350</xdr:rowOff>
    </xdr:from>
    <xdr:to>
      <xdr:col>9</xdr:col>
      <xdr:colOff>28575</xdr:colOff>
      <xdr:row>107</xdr:row>
      <xdr:rowOff>69850</xdr:rowOff>
    </xdr:to>
    <xdr:sp macro="" textlink="">
      <xdr:nvSpPr>
        <xdr:cNvPr id="9563" name="OpenSolver447"/>
        <xdr:cNvSpPr/>
      </xdr:nvSpPr>
      <xdr:spPr>
        <a:xfrm>
          <a:off x="5010150" y="20256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7</xdr:row>
      <xdr:rowOff>88900</xdr:rowOff>
    </xdr:from>
    <xdr:to>
      <xdr:col>8</xdr:col>
      <xdr:colOff>0</xdr:colOff>
      <xdr:row>8</xdr:row>
      <xdr:rowOff>0</xdr:rowOff>
    </xdr:to>
    <xdr:sp macro="" textlink="">
      <xdr:nvSpPr>
        <xdr:cNvPr id="9564" name="OpenSolver448"/>
        <xdr:cNvSpPr/>
      </xdr:nvSpPr>
      <xdr:spPr>
        <a:xfrm>
          <a:off x="4460875" y="1460500"/>
          <a:ext cx="311150" cy="101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279400</xdr:colOff>
      <xdr:row>7</xdr:row>
      <xdr:rowOff>88900</xdr:rowOff>
    </xdr:from>
    <xdr:to>
      <xdr:col>10</xdr:col>
      <xdr:colOff>0</xdr:colOff>
      <xdr:row>8</xdr:row>
      <xdr:rowOff>0</xdr:rowOff>
    </xdr:to>
    <xdr:sp macro="" textlink="">
      <xdr:nvSpPr>
        <xdr:cNvPr id="9565" name="OpenSolver449"/>
        <xdr:cNvSpPr/>
      </xdr:nvSpPr>
      <xdr:spPr>
        <a:xfrm>
          <a:off x="5641975" y="1460500"/>
          <a:ext cx="311150" cy="101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139700</xdr:rowOff>
    </xdr:from>
    <xdr:to>
      <xdr:col>9</xdr:col>
      <xdr:colOff>279400</xdr:colOff>
      <xdr:row>7</xdr:row>
      <xdr:rowOff>139700</xdr:rowOff>
    </xdr:to>
    <xdr:cxnSp macro="">
      <xdr:nvCxnSpPr>
        <xdr:cNvPr id="9566" name="OpenSolver450"/>
        <xdr:cNvCxnSpPr>
          <a:stCxn id="9564" idx="3"/>
          <a:endCxn id="9565" idx="1"/>
        </xdr:cNvCxnSpPr>
      </xdr:nvCxnSpPr>
      <xdr:spPr>
        <a:xfrm>
          <a:off x="4772025" y="1511300"/>
          <a:ext cx="869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7</xdr:row>
      <xdr:rowOff>12700</xdr:rowOff>
    </xdr:from>
    <xdr:to>
      <xdr:col>9</xdr:col>
      <xdr:colOff>34925</xdr:colOff>
      <xdr:row>8</xdr:row>
      <xdr:rowOff>76200</xdr:rowOff>
    </xdr:to>
    <xdr:sp macro="" textlink="">
      <xdr:nvSpPr>
        <xdr:cNvPr id="9567" name="OpenSolver451"/>
        <xdr:cNvSpPr/>
      </xdr:nvSpPr>
      <xdr:spPr>
        <a:xfrm>
          <a:off x="5016500" y="1384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9</xdr:row>
      <xdr:rowOff>79375</xdr:rowOff>
    </xdr:from>
    <xdr:to>
      <xdr:col>8</xdr:col>
      <xdr:colOff>0</xdr:colOff>
      <xdr:row>72</xdr:row>
      <xdr:rowOff>0</xdr:rowOff>
    </xdr:to>
    <xdr:sp macro="" textlink="">
      <xdr:nvSpPr>
        <xdr:cNvPr id="9568" name="OpenSolver452"/>
        <xdr:cNvSpPr/>
      </xdr:nvSpPr>
      <xdr:spPr>
        <a:xfrm>
          <a:off x="4460875" y="1841500"/>
          <a:ext cx="311150" cy="119316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279400</xdr:colOff>
      <xdr:row>9</xdr:row>
      <xdr:rowOff>79375</xdr:rowOff>
    </xdr:from>
    <xdr:to>
      <xdr:col>10</xdr:col>
      <xdr:colOff>0</xdr:colOff>
      <xdr:row>72</xdr:row>
      <xdr:rowOff>0</xdr:rowOff>
    </xdr:to>
    <xdr:sp macro="" textlink="">
      <xdr:nvSpPr>
        <xdr:cNvPr id="9569" name="OpenSolver453"/>
        <xdr:cNvSpPr/>
      </xdr:nvSpPr>
      <xdr:spPr>
        <a:xfrm>
          <a:off x="5641975" y="1841500"/>
          <a:ext cx="311150" cy="119316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130175</xdr:rowOff>
    </xdr:from>
    <xdr:to>
      <xdr:col>9</xdr:col>
      <xdr:colOff>279400</xdr:colOff>
      <xdr:row>40</xdr:row>
      <xdr:rowOff>130175</xdr:rowOff>
    </xdr:to>
    <xdr:cxnSp macro="">
      <xdr:nvCxnSpPr>
        <xdr:cNvPr id="9570" name="OpenSolver454"/>
        <xdr:cNvCxnSpPr>
          <a:stCxn id="9568" idx="3"/>
          <a:endCxn id="9569" idx="1"/>
        </xdr:cNvCxnSpPr>
      </xdr:nvCxnSpPr>
      <xdr:spPr>
        <a:xfrm>
          <a:off x="4772025" y="7807325"/>
          <a:ext cx="869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40</xdr:row>
      <xdr:rowOff>3175</xdr:rowOff>
    </xdr:from>
    <xdr:to>
      <xdr:col>9</xdr:col>
      <xdr:colOff>34925</xdr:colOff>
      <xdr:row>41</xdr:row>
      <xdr:rowOff>66675</xdr:rowOff>
    </xdr:to>
    <xdr:sp macro="" textlink="">
      <xdr:nvSpPr>
        <xdr:cNvPr id="9571" name="OpenSolver455"/>
        <xdr:cNvSpPr/>
      </xdr:nvSpPr>
      <xdr:spPr>
        <a:xfrm>
          <a:off x="5016500" y="768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75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572" name="OpenSolver456"/>
        <xdr:cNvSpPr/>
      </xdr:nvSpPr>
      <xdr:spPr>
        <a:xfrm>
          <a:off x="4460875" y="14433550"/>
          <a:ext cx="311150" cy="11912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279400</xdr:colOff>
      <xdr:row>75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573" name="OpenSolver457"/>
        <xdr:cNvSpPr/>
      </xdr:nvSpPr>
      <xdr:spPr>
        <a:xfrm>
          <a:off x="5641975" y="14433550"/>
          <a:ext cx="311150" cy="11912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139700</xdr:rowOff>
    </xdr:from>
    <xdr:to>
      <xdr:col>9</xdr:col>
      <xdr:colOff>279400</xdr:colOff>
      <xdr:row>106</xdr:row>
      <xdr:rowOff>139700</xdr:rowOff>
    </xdr:to>
    <xdr:cxnSp macro="">
      <xdr:nvCxnSpPr>
        <xdr:cNvPr id="9574" name="OpenSolver458"/>
        <xdr:cNvCxnSpPr>
          <a:stCxn id="9572" idx="3"/>
          <a:endCxn id="9573" idx="1"/>
        </xdr:cNvCxnSpPr>
      </xdr:nvCxnSpPr>
      <xdr:spPr>
        <a:xfrm>
          <a:off x="4772025" y="20389850"/>
          <a:ext cx="869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106</xdr:row>
      <xdr:rowOff>12700</xdr:rowOff>
    </xdr:from>
    <xdr:to>
      <xdr:col>9</xdr:col>
      <xdr:colOff>34925</xdr:colOff>
      <xdr:row>107</xdr:row>
      <xdr:rowOff>76200</xdr:rowOff>
    </xdr:to>
    <xdr:sp macro="" textlink="">
      <xdr:nvSpPr>
        <xdr:cNvPr id="9575" name="OpenSolver459"/>
        <xdr:cNvSpPr/>
      </xdr:nvSpPr>
      <xdr:spPr>
        <a:xfrm>
          <a:off x="5016500" y="2026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7</xdr:row>
      <xdr:rowOff>101600</xdr:rowOff>
    </xdr:from>
    <xdr:to>
      <xdr:col>8</xdr:col>
      <xdr:colOff>0</xdr:colOff>
      <xdr:row>8</xdr:row>
      <xdr:rowOff>0</xdr:rowOff>
    </xdr:to>
    <xdr:sp macro="" textlink="">
      <xdr:nvSpPr>
        <xdr:cNvPr id="9576" name="OpenSolver460"/>
        <xdr:cNvSpPr/>
      </xdr:nvSpPr>
      <xdr:spPr>
        <a:xfrm>
          <a:off x="4473575" y="1473200"/>
          <a:ext cx="298450" cy="88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292100</xdr:colOff>
      <xdr:row>7</xdr:row>
      <xdr:rowOff>101600</xdr:rowOff>
    </xdr:from>
    <xdr:to>
      <xdr:col>10</xdr:col>
      <xdr:colOff>0</xdr:colOff>
      <xdr:row>8</xdr:row>
      <xdr:rowOff>0</xdr:rowOff>
    </xdr:to>
    <xdr:sp macro="" textlink="">
      <xdr:nvSpPr>
        <xdr:cNvPr id="9577" name="OpenSolver461"/>
        <xdr:cNvSpPr/>
      </xdr:nvSpPr>
      <xdr:spPr>
        <a:xfrm>
          <a:off x="5654675" y="1473200"/>
          <a:ext cx="298450" cy="88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146050</xdr:rowOff>
    </xdr:from>
    <xdr:to>
      <xdr:col>9</xdr:col>
      <xdr:colOff>292100</xdr:colOff>
      <xdr:row>7</xdr:row>
      <xdr:rowOff>146050</xdr:rowOff>
    </xdr:to>
    <xdr:cxnSp macro="">
      <xdr:nvCxnSpPr>
        <xdr:cNvPr id="9578" name="OpenSolver462"/>
        <xdr:cNvCxnSpPr>
          <a:stCxn id="9576" idx="3"/>
          <a:endCxn id="9577" idx="1"/>
        </xdr:cNvCxnSpPr>
      </xdr:nvCxnSpPr>
      <xdr:spPr>
        <a:xfrm>
          <a:off x="4772025" y="1517650"/>
          <a:ext cx="882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7</xdr:row>
      <xdr:rowOff>19050</xdr:rowOff>
    </xdr:from>
    <xdr:to>
      <xdr:col>9</xdr:col>
      <xdr:colOff>41275</xdr:colOff>
      <xdr:row>8</xdr:row>
      <xdr:rowOff>82550</xdr:rowOff>
    </xdr:to>
    <xdr:sp macro="" textlink="">
      <xdr:nvSpPr>
        <xdr:cNvPr id="9579" name="OpenSolver463"/>
        <xdr:cNvSpPr/>
      </xdr:nvSpPr>
      <xdr:spPr>
        <a:xfrm>
          <a:off x="5022850" y="1390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9</xdr:row>
      <xdr:rowOff>92075</xdr:rowOff>
    </xdr:from>
    <xdr:to>
      <xdr:col>8</xdr:col>
      <xdr:colOff>0</xdr:colOff>
      <xdr:row>72</xdr:row>
      <xdr:rowOff>0</xdr:rowOff>
    </xdr:to>
    <xdr:sp macro="" textlink="">
      <xdr:nvSpPr>
        <xdr:cNvPr id="9580" name="OpenSolver464"/>
        <xdr:cNvSpPr/>
      </xdr:nvSpPr>
      <xdr:spPr>
        <a:xfrm>
          <a:off x="4473575" y="1854200"/>
          <a:ext cx="298450" cy="119189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292100</xdr:colOff>
      <xdr:row>9</xdr:row>
      <xdr:rowOff>92075</xdr:rowOff>
    </xdr:from>
    <xdr:to>
      <xdr:col>10</xdr:col>
      <xdr:colOff>0</xdr:colOff>
      <xdr:row>72</xdr:row>
      <xdr:rowOff>0</xdr:rowOff>
    </xdr:to>
    <xdr:sp macro="" textlink="">
      <xdr:nvSpPr>
        <xdr:cNvPr id="9581" name="OpenSolver465"/>
        <xdr:cNvSpPr/>
      </xdr:nvSpPr>
      <xdr:spPr>
        <a:xfrm>
          <a:off x="5654675" y="1854200"/>
          <a:ext cx="298450" cy="119189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136525</xdr:rowOff>
    </xdr:from>
    <xdr:to>
      <xdr:col>9</xdr:col>
      <xdr:colOff>292100</xdr:colOff>
      <xdr:row>40</xdr:row>
      <xdr:rowOff>136525</xdr:rowOff>
    </xdr:to>
    <xdr:cxnSp macro="">
      <xdr:nvCxnSpPr>
        <xdr:cNvPr id="9582" name="OpenSolver466"/>
        <xdr:cNvCxnSpPr>
          <a:stCxn id="9580" idx="3"/>
          <a:endCxn id="9581" idx="1"/>
        </xdr:cNvCxnSpPr>
      </xdr:nvCxnSpPr>
      <xdr:spPr>
        <a:xfrm>
          <a:off x="4772025" y="7813675"/>
          <a:ext cx="882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40</xdr:row>
      <xdr:rowOff>9525</xdr:rowOff>
    </xdr:from>
    <xdr:to>
      <xdr:col>9</xdr:col>
      <xdr:colOff>41275</xdr:colOff>
      <xdr:row>41</xdr:row>
      <xdr:rowOff>73025</xdr:rowOff>
    </xdr:to>
    <xdr:sp macro="" textlink="">
      <xdr:nvSpPr>
        <xdr:cNvPr id="9583" name="OpenSolver467"/>
        <xdr:cNvSpPr/>
      </xdr:nvSpPr>
      <xdr:spPr>
        <a:xfrm>
          <a:off x="5022850" y="7686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75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584" name="OpenSolver468"/>
        <xdr:cNvSpPr/>
      </xdr:nvSpPr>
      <xdr:spPr>
        <a:xfrm>
          <a:off x="4473575" y="14446250"/>
          <a:ext cx="298450" cy="11899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292100</xdr:colOff>
      <xdr:row>75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585" name="OpenSolver469"/>
        <xdr:cNvSpPr/>
      </xdr:nvSpPr>
      <xdr:spPr>
        <a:xfrm>
          <a:off x="5654675" y="14446250"/>
          <a:ext cx="298450" cy="11899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146050</xdr:rowOff>
    </xdr:from>
    <xdr:to>
      <xdr:col>9</xdr:col>
      <xdr:colOff>292100</xdr:colOff>
      <xdr:row>106</xdr:row>
      <xdr:rowOff>146050</xdr:rowOff>
    </xdr:to>
    <xdr:cxnSp macro="">
      <xdr:nvCxnSpPr>
        <xdr:cNvPr id="9586" name="OpenSolver470"/>
        <xdr:cNvCxnSpPr>
          <a:stCxn id="9584" idx="3"/>
          <a:endCxn id="9585" idx="1"/>
        </xdr:cNvCxnSpPr>
      </xdr:nvCxnSpPr>
      <xdr:spPr>
        <a:xfrm>
          <a:off x="4772025" y="20396200"/>
          <a:ext cx="882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106</xdr:row>
      <xdr:rowOff>19050</xdr:rowOff>
    </xdr:from>
    <xdr:to>
      <xdr:col>9</xdr:col>
      <xdr:colOff>41275</xdr:colOff>
      <xdr:row>107</xdr:row>
      <xdr:rowOff>82550</xdr:rowOff>
    </xdr:to>
    <xdr:sp macro="" textlink="">
      <xdr:nvSpPr>
        <xdr:cNvPr id="9587" name="OpenSolver471"/>
        <xdr:cNvSpPr/>
      </xdr:nvSpPr>
      <xdr:spPr>
        <a:xfrm>
          <a:off x="5022850" y="20269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7</xdr:row>
      <xdr:rowOff>114300</xdr:rowOff>
    </xdr:from>
    <xdr:to>
      <xdr:col>8</xdr:col>
      <xdr:colOff>0</xdr:colOff>
      <xdr:row>8</xdr:row>
      <xdr:rowOff>0</xdr:rowOff>
    </xdr:to>
    <xdr:sp macro="" textlink="">
      <xdr:nvSpPr>
        <xdr:cNvPr id="9588" name="OpenSolver472"/>
        <xdr:cNvSpPr/>
      </xdr:nvSpPr>
      <xdr:spPr>
        <a:xfrm>
          <a:off x="4486275" y="1485900"/>
          <a:ext cx="285750" cy="76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304800</xdr:colOff>
      <xdr:row>7</xdr:row>
      <xdr:rowOff>114300</xdr:rowOff>
    </xdr:from>
    <xdr:to>
      <xdr:col>10</xdr:col>
      <xdr:colOff>0</xdr:colOff>
      <xdr:row>8</xdr:row>
      <xdr:rowOff>0</xdr:rowOff>
    </xdr:to>
    <xdr:sp macro="" textlink="">
      <xdr:nvSpPr>
        <xdr:cNvPr id="9589" name="OpenSolver473"/>
        <xdr:cNvSpPr/>
      </xdr:nvSpPr>
      <xdr:spPr>
        <a:xfrm>
          <a:off x="5667375" y="1485900"/>
          <a:ext cx="285750" cy="76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152400</xdr:rowOff>
    </xdr:from>
    <xdr:to>
      <xdr:col>9</xdr:col>
      <xdr:colOff>304800</xdr:colOff>
      <xdr:row>7</xdr:row>
      <xdr:rowOff>152400</xdr:rowOff>
    </xdr:to>
    <xdr:cxnSp macro="">
      <xdr:nvCxnSpPr>
        <xdr:cNvPr id="9590" name="OpenSolver474"/>
        <xdr:cNvCxnSpPr>
          <a:stCxn id="9588" idx="3"/>
          <a:endCxn id="9589" idx="1"/>
        </xdr:cNvCxnSpPr>
      </xdr:nvCxnSpPr>
      <xdr:spPr>
        <a:xfrm>
          <a:off x="4772025" y="1524000"/>
          <a:ext cx="895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7</xdr:row>
      <xdr:rowOff>25400</xdr:rowOff>
    </xdr:from>
    <xdr:to>
      <xdr:col>9</xdr:col>
      <xdr:colOff>47625</xdr:colOff>
      <xdr:row>8</xdr:row>
      <xdr:rowOff>88900</xdr:rowOff>
    </xdr:to>
    <xdr:sp macro="" textlink="">
      <xdr:nvSpPr>
        <xdr:cNvPr id="9591" name="OpenSolver475"/>
        <xdr:cNvSpPr/>
      </xdr:nvSpPr>
      <xdr:spPr>
        <a:xfrm>
          <a:off x="5029200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9</xdr:row>
      <xdr:rowOff>104775</xdr:rowOff>
    </xdr:from>
    <xdr:to>
      <xdr:col>8</xdr:col>
      <xdr:colOff>0</xdr:colOff>
      <xdr:row>72</xdr:row>
      <xdr:rowOff>0</xdr:rowOff>
    </xdr:to>
    <xdr:sp macro="" textlink="">
      <xdr:nvSpPr>
        <xdr:cNvPr id="9592" name="OpenSolver476"/>
        <xdr:cNvSpPr/>
      </xdr:nvSpPr>
      <xdr:spPr>
        <a:xfrm>
          <a:off x="4486275" y="1866900"/>
          <a:ext cx="285750" cy="119062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304800</xdr:colOff>
      <xdr:row>9</xdr:row>
      <xdr:rowOff>104775</xdr:rowOff>
    </xdr:from>
    <xdr:to>
      <xdr:col>10</xdr:col>
      <xdr:colOff>0</xdr:colOff>
      <xdr:row>72</xdr:row>
      <xdr:rowOff>0</xdr:rowOff>
    </xdr:to>
    <xdr:sp macro="" textlink="">
      <xdr:nvSpPr>
        <xdr:cNvPr id="9593" name="OpenSolver477"/>
        <xdr:cNvSpPr/>
      </xdr:nvSpPr>
      <xdr:spPr>
        <a:xfrm>
          <a:off x="5667375" y="1866900"/>
          <a:ext cx="285750" cy="119062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142875</xdr:rowOff>
    </xdr:from>
    <xdr:to>
      <xdr:col>9</xdr:col>
      <xdr:colOff>304800</xdr:colOff>
      <xdr:row>40</xdr:row>
      <xdr:rowOff>142875</xdr:rowOff>
    </xdr:to>
    <xdr:cxnSp macro="">
      <xdr:nvCxnSpPr>
        <xdr:cNvPr id="9594" name="OpenSolver478"/>
        <xdr:cNvCxnSpPr>
          <a:stCxn id="9592" idx="3"/>
          <a:endCxn id="9593" idx="1"/>
        </xdr:cNvCxnSpPr>
      </xdr:nvCxnSpPr>
      <xdr:spPr>
        <a:xfrm>
          <a:off x="4772025" y="7820025"/>
          <a:ext cx="895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40</xdr:row>
      <xdr:rowOff>15875</xdr:rowOff>
    </xdr:from>
    <xdr:to>
      <xdr:col>9</xdr:col>
      <xdr:colOff>47625</xdr:colOff>
      <xdr:row>41</xdr:row>
      <xdr:rowOff>79375</xdr:rowOff>
    </xdr:to>
    <xdr:sp macro="" textlink="">
      <xdr:nvSpPr>
        <xdr:cNvPr id="9595" name="OpenSolver479"/>
        <xdr:cNvSpPr/>
      </xdr:nvSpPr>
      <xdr:spPr>
        <a:xfrm>
          <a:off x="5029200" y="7693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75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596" name="OpenSolver480"/>
        <xdr:cNvSpPr/>
      </xdr:nvSpPr>
      <xdr:spPr>
        <a:xfrm>
          <a:off x="4486275" y="14458950"/>
          <a:ext cx="285750" cy="11887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304800</xdr:colOff>
      <xdr:row>75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597" name="OpenSolver481"/>
        <xdr:cNvSpPr/>
      </xdr:nvSpPr>
      <xdr:spPr>
        <a:xfrm>
          <a:off x="5667375" y="14458950"/>
          <a:ext cx="285750" cy="11887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152400</xdr:rowOff>
    </xdr:from>
    <xdr:to>
      <xdr:col>9</xdr:col>
      <xdr:colOff>304800</xdr:colOff>
      <xdr:row>106</xdr:row>
      <xdr:rowOff>152400</xdr:rowOff>
    </xdr:to>
    <xdr:cxnSp macro="">
      <xdr:nvCxnSpPr>
        <xdr:cNvPr id="9598" name="OpenSolver482"/>
        <xdr:cNvCxnSpPr>
          <a:stCxn id="9596" idx="3"/>
          <a:endCxn id="9597" idx="1"/>
        </xdr:cNvCxnSpPr>
      </xdr:nvCxnSpPr>
      <xdr:spPr>
        <a:xfrm>
          <a:off x="4772025" y="20402550"/>
          <a:ext cx="895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106</xdr:row>
      <xdr:rowOff>25400</xdr:rowOff>
    </xdr:from>
    <xdr:to>
      <xdr:col>9</xdr:col>
      <xdr:colOff>47625</xdr:colOff>
      <xdr:row>107</xdr:row>
      <xdr:rowOff>88900</xdr:rowOff>
    </xdr:to>
    <xdr:sp macro="" textlink="">
      <xdr:nvSpPr>
        <xdr:cNvPr id="9599" name="OpenSolver483"/>
        <xdr:cNvSpPr/>
      </xdr:nvSpPr>
      <xdr:spPr>
        <a:xfrm>
          <a:off x="5029200" y="20275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7</xdr:row>
      <xdr:rowOff>127000</xdr:rowOff>
    </xdr:from>
    <xdr:to>
      <xdr:col>8</xdr:col>
      <xdr:colOff>0</xdr:colOff>
      <xdr:row>8</xdr:row>
      <xdr:rowOff>0</xdr:rowOff>
    </xdr:to>
    <xdr:sp macro="" textlink="">
      <xdr:nvSpPr>
        <xdr:cNvPr id="9600" name="OpenSolver484"/>
        <xdr:cNvSpPr/>
      </xdr:nvSpPr>
      <xdr:spPr>
        <a:xfrm>
          <a:off x="4498975" y="1498600"/>
          <a:ext cx="273050" cy="6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317500</xdr:colOff>
      <xdr:row>7</xdr:row>
      <xdr:rowOff>127000</xdr:rowOff>
    </xdr:from>
    <xdr:to>
      <xdr:col>10</xdr:col>
      <xdr:colOff>0</xdr:colOff>
      <xdr:row>8</xdr:row>
      <xdr:rowOff>0</xdr:rowOff>
    </xdr:to>
    <xdr:sp macro="" textlink="">
      <xdr:nvSpPr>
        <xdr:cNvPr id="9601" name="OpenSolver485"/>
        <xdr:cNvSpPr/>
      </xdr:nvSpPr>
      <xdr:spPr>
        <a:xfrm>
          <a:off x="5680075" y="1498600"/>
          <a:ext cx="273050" cy="6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158750</xdr:rowOff>
    </xdr:from>
    <xdr:to>
      <xdr:col>9</xdr:col>
      <xdr:colOff>317500</xdr:colOff>
      <xdr:row>7</xdr:row>
      <xdr:rowOff>158750</xdr:rowOff>
    </xdr:to>
    <xdr:cxnSp macro="">
      <xdr:nvCxnSpPr>
        <xdr:cNvPr id="9602" name="OpenSolver486"/>
        <xdr:cNvCxnSpPr>
          <a:stCxn id="9600" idx="3"/>
          <a:endCxn id="9601" idx="1"/>
        </xdr:cNvCxnSpPr>
      </xdr:nvCxnSpPr>
      <xdr:spPr>
        <a:xfrm>
          <a:off x="4772025" y="1530350"/>
          <a:ext cx="908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7</xdr:row>
      <xdr:rowOff>31750</xdr:rowOff>
    </xdr:from>
    <xdr:to>
      <xdr:col>9</xdr:col>
      <xdr:colOff>53975</xdr:colOff>
      <xdr:row>8</xdr:row>
      <xdr:rowOff>95250</xdr:rowOff>
    </xdr:to>
    <xdr:sp macro="" textlink="">
      <xdr:nvSpPr>
        <xdr:cNvPr id="9603" name="OpenSolver487"/>
        <xdr:cNvSpPr/>
      </xdr:nvSpPr>
      <xdr:spPr>
        <a:xfrm>
          <a:off x="5035550" y="140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9</xdr:row>
      <xdr:rowOff>117475</xdr:rowOff>
    </xdr:from>
    <xdr:to>
      <xdr:col>8</xdr:col>
      <xdr:colOff>0</xdr:colOff>
      <xdr:row>72</xdr:row>
      <xdr:rowOff>0</xdr:rowOff>
    </xdr:to>
    <xdr:sp macro="" textlink="">
      <xdr:nvSpPr>
        <xdr:cNvPr id="9604" name="OpenSolver488"/>
        <xdr:cNvSpPr/>
      </xdr:nvSpPr>
      <xdr:spPr>
        <a:xfrm>
          <a:off x="4498975" y="1879600"/>
          <a:ext cx="273050" cy="118935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317500</xdr:colOff>
      <xdr:row>9</xdr:row>
      <xdr:rowOff>117475</xdr:rowOff>
    </xdr:from>
    <xdr:to>
      <xdr:col>10</xdr:col>
      <xdr:colOff>0</xdr:colOff>
      <xdr:row>72</xdr:row>
      <xdr:rowOff>0</xdr:rowOff>
    </xdr:to>
    <xdr:sp macro="" textlink="">
      <xdr:nvSpPr>
        <xdr:cNvPr id="9605" name="OpenSolver489"/>
        <xdr:cNvSpPr/>
      </xdr:nvSpPr>
      <xdr:spPr>
        <a:xfrm>
          <a:off x="5680075" y="1879600"/>
          <a:ext cx="273050" cy="118935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149225</xdr:rowOff>
    </xdr:from>
    <xdr:to>
      <xdr:col>9</xdr:col>
      <xdr:colOff>317500</xdr:colOff>
      <xdr:row>40</xdr:row>
      <xdr:rowOff>149225</xdr:rowOff>
    </xdr:to>
    <xdr:cxnSp macro="">
      <xdr:nvCxnSpPr>
        <xdr:cNvPr id="9606" name="OpenSolver490"/>
        <xdr:cNvCxnSpPr>
          <a:stCxn id="9604" idx="3"/>
          <a:endCxn id="9605" idx="1"/>
        </xdr:cNvCxnSpPr>
      </xdr:nvCxnSpPr>
      <xdr:spPr>
        <a:xfrm>
          <a:off x="4772025" y="7826375"/>
          <a:ext cx="908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40</xdr:row>
      <xdr:rowOff>22225</xdr:rowOff>
    </xdr:from>
    <xdr:to>
      <xdr:col>9</xdr:col>
      <xdr:colOff>53975</xdr:colOff>
      <xdr:row>41</xdr:row>
      <xdr:rowOff>85725</xdr:rowOff>
    </xdr:to>
    <xdr:sp macro="" textlink="">
      <xdr:nvSpPr>
        <xdr:cNvPr id="9607" name="OpenSolver491"/>
        <xdr:cNvSpPr/>
      </xdr:nvSpPr>
      <xdr:spPr>
        <a:xfrm>
          <a:off x="5035550" y="769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75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608" name="OpenSolver492"/>
        <xdr:cNvSpPr/>
      </xdr:nvSpPr>
      <xdr:spPr>
        <a:xfrm>
          <a:off x="4498975" y="14471650"/>
          <a:ext cx="273050" cy="1187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317500</xdr:colOff>
      <xdr:row>75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609" name="OpenSolver493"/>
        <xdr:cNvSpPr/>
      </xdr:nvSpPr>
      <xdr:spPr>
        <a:xfrm>
          <a:off x="5680075" y="14471650"/>
          <a:ext cx="273050" cy="1187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158750</xdr:rowOff>
    </xdr:from>
    <xdr:to>
      <xdr:col>9</xdr:col>
      <xdr:colOff>317500</xdr:colOff>
      <xdr:row>106</xdr:row>
      <xdr:rowOff>158750</xdr:rowOff>
    </xdr:to>
    <xdr:cxnSp macro="">
      <xdr:nvCxnSpPr>
        <xdr:cNvPr id="9610" name="OpenSolver494"/>
        <xdr:cNvCxnSpPr>
          <a:stCxn id="9608" idx="3"/>
          <a:endCxn id="9609" idx="1"/>
        </xdr:cNvCxnSpPr>
      </xdr:nvCxnSpPr>
      <xdr:spPr>
        <a:xfrm>
          <a:off x="4772025" y="20408900"/>
          <a:ext cx="908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106</xdr:row>
      <xdr:rowOff>31750</xdr:rowOff>
    </xdr:from>
    <xdr:to>
      <xdr:col>9</xdr:col>
      <xdr:colOff>53975</xdr:colOff>
      <xdr:row>107</xdr:row>
      <xdr:rowOff>95250</xdr:rowOff>
    </xdr:to>
    <xdr:sp macro="" textlink="">
      <xdr:nvSpPr>
        <xdr:cNvPr id="9611" name="OpenSolver495"/>
        <xdr:cNvSpPr/>
      </xdr:nvSpPr>
      <xdr:spPr>
        <a:xfrm>
          <a:off x="5035550" y="2028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7</xdr:row>
      <xdr:rowOff>139700</xdr:rowOff>
    </xdr:from>
    <xdr:to>
      <xdr:col>8</xdr:col>
      <xdr:colOff>0</xdr:colOff>
      <xdr:row>8</xdr:row>
      <xdr:rowOff>0</xdr:rowOff>
    </xdr:to>
    <xdr:sp macro="" textlink="">
      <xdr:nvSpPr>
        <xdr:cNvPr id="9612" name="OpenSolver496"/>
        <xdr:cNvSpPr/>
      </xdr:nvSpPr>
      <xdr:spPr>
        <a:xfrm>
          <a:off x="4511675" y="1511300"/>
          <a:ext cx="260350" cy="50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330200</xdr:colOff>
      <xdr:row>7</xdr:row>
      <xdr:rowOff>139700</xdr:rowOff>
    </xdr:from>
    <xdr:to>
      <xdr:col>10</xdr:col>
      <xdr:colOff>0</xdr:colOff>
      <xdr:row>8</xdr:row>
      <xdr:rowOff>0</xdr:rowOff>
    </xdr:to>
    <xdr:sp macro="" textlink="">
      <xdr:nvSpPr>
        <xdr:cNvPr id="9613" name="OpenSolver497"/>
        <xdr:cNvSpPr/>
      </xdr:nvSpPr>
      <xdr:spPr>
        <a:xfrm>
          <a:off x="5692775" y="1511300"/>
          <a:ext cx="260350" cy="50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165100</xdr:rowOff>
    </xdr:from>
    <xdr:to>
      <xdr:col>9</xdr:col>
      <xdr:colOff>330200</xdr:colOff>
      <xdr:row>7</xdr:row>
      <xdr:rowOff>165100</xdr:rowOff>
    </xdr:to>
    <xdr:cxnSp macro="">
      <xdr:nvCxnSpPr>
        <xdr:cNvPr id="9614" name="OpenSolver498"/>
        <xdr:cNvCxnSpPr>
          <a:stCxn id="9612" idx="3"/>
          <a:endCxn id="9613" idx="1"/>
        </xdr:cNvCxnSpPr>
      </xdr:nvCxnSpPr>
      <xdr:spPr>
        <a:xfrm>
          <a:off x="4772025" y="1536700"/>
          <a:ext cx="920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7</xdr:row>
      <xdr:rowOff>38100</xdr:rowOff>
    </xdr:from>
    <xdr:to>
      <xdr:col>9</xdr:col>
      <xdr:colOff>60325</xdr:colOff>
      <xdr:row>8</xdr:row>
      <xdr:rowOff>101600</xdr:rowOff>
    </xdr:to>
    <xdr:sp macro="" textlink="">
      <xdr:nvSpPr>
        <xdr:cNvPr id="9615" name="OpenSolver499"/>
        <xdr:cNvSpPr/>
      </xdr:nvSpPr>
      <xdr:spPr>
        <a:xfrm>
          <a:off x="5041900" y="1409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9</xdr:row>
      <xdr:rowOff>130175</xdr:rowOff>
    </xdr:from>
    <xdr:to>
      <xdr:col>8</xdr:col>
      <xdr:colOff>0</xdr:colOff>
      <xdr:row>72</xdr:row>
      <xdr:rowOff>0</xdr:rowOff>
    </xdr:to>
    <xdr:sp macro="" textlink="">
      <xdr:nvSpPr>
        <xdr:cNvPr id="9616" name="OpenSolver500"/>
        <xdr:cNvSpPr/>
      </xdr:nvSpPr>
      <xdr:spPr>
        <a:xfrm>
          <a:off x="4511675" y="1892300"/>
          <a:ext cx="260350" cy="118808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330200</xdr:colOff>
      <xdr:row>9</xdr:row>
      <xdr:rowOff>130175</xdr:rowOff>
    </xdr:from>
    <xdr:to>
      <xdr:col>10</xdr:col>
      <xdr:colOff>0</xdr:colOff>
      <xdr:row>72</xdr:row>
      <xdr:rowOff>0</xdr:rowOff>
    </xdr:to>
    <xdr:sp macro="" textlink="">
      <xdr:nvSpPr>
        <xdr:cNvPr id="9617" name="OpenSolver501"/>
        <xdr:cNvSpPr/>
      </xdr:nvSpPr>
      <xdr:spPr>
        <a:xfrm>
          <a:off x="5692775" y="1892300"/>
          <a:ext cx="260350" cy="118808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155575</xdr:rowOff>
    </xdr:from>
    <xdr:to>
      <xdr:col>9</xdr:col>
      <xdr:colOff>330200</xdr:colOff>
      <xdr:row>40</xdr:row>
      <xdr:rowOff>155575</xdr:rowOff>
    </xdr:to>
    <xdr:cxnSp macro="">
      <xdr:nvCxnSpPr>
        <xdr:cNvPr id="9618" name="OpenSolver502"/>
        <xdr:cNvCxnSpPr>
          <a:stCxn id="9616" idx="3"/>
          <a:endCxn id="9617" idx="1"/>
        </xdr:cNvCxnSpPr>
      </xdr:nvCxnSpPr>
      <xdr:spPr>
        <a:xfrm>
          <a:off x="4772025" y="7832725"/>
          <a:ext cx="920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40</xdr:row>
      <xdr:rowOff>28575</xdr:rowOff>
    </xdr:from>
    <xdr:to>
      <xdr:col>9</xdr:col>
      <xdr:colOff>60325</xdr:colOff>
      <xdr:row>41</xdr:row>
      <xdr:rowOff>92075</xdr:rowOff>
    </xdr:to>
    <xdr:sp macro="" textlink="">
      <xdr:nvSpPr>
        <xdr:cNvPr id="9619" name="OpenSolver503"/>
        <xdr:cNvSpPr/>
      </xdr:nvSpPr>
      <xdr:spPr>
        <a:xfrm>
          <a:off x="5041900" y="7705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75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620" name="OpenSolver504"/>
        <xdr:cNvSpPr/>
      </xdr:nvSpPr>
      <xdr:spPr>
        <a:xfrm>
          <a:off x="4511675" y="14484350"/>
          <a:ext cx="260350" cy="11861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330200</xdr:colOff>
      <xdr:row>75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621" name="OpenSolver505"/>
        <xdr:cNvSpPr/>
      </xdr:nvSpPr>
      <xdr:spPr>
        <a:xfrm>
          <a:off x="5692775" y="14484350"/>
          <a:ext cx="260350" cy="11861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165100</xdr:rowOff>
    </xdr:from>
    <xdr:to>
      <xdr:col>9</xdr:col>
      <xdr:colOff>330200</xdr:colOff>
      <xdr:row>106</xdr:row>
      <xdr:rowOff>165100</xdr:rowOff>
    </xdr:to>
    <xdr:cxnSp macro="">
      <xdr:nvCxnSpPr>
        <xdr:cNvPr id="9622" name="OpenSolver506"/>
        <xdr:cNvCxnSpPr>
          <a:stCxn id="9620" idx="3"/>
          <a:endCxn id="9621" idx="1"/>
        </xdr:cNvCxnSpPr>
      </xdr:nvCxnSpPr>
      <xdr:spPr>
        <a:xfrm>
          <a:off x="4772025" y="20415250"/>
          <a:ext cx="920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106</xdr:row>
      <xdr:rowOff>38100</xdr:rowOff>
    </xdr:from>
    <xdr:to>
      <xdr:col>9</xdr:col>
      <xdr:colOff>60325</xdr:colOff>
      <xdr:row>107</xdr:row>
      <xdr:rowOff>101600</xdr:rowOff>
    </xdr:to>
    <xdr:sp macro="" textlink="">
      <xdr:nvSpPr>
        <xdr:cNvPr id="9623" name="OpenSolver507"/>
        <xdr:cNvSpPr/>
      </xdr:nvSpPr>
      <xdr:spPr>
        <a:xfrm>
          <a:off x="5041900" y="20288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7</xdr:row>
      <xdr:rowOff>152400</xdr:rowOff>
    </xdr:from>
    <xdr:to>
      <xdr:col>8</xdr:col>
      <xdr:colOff>0</xdr:colOff>
      <xdr:row>8</xdr:row>
      <xdr:rowOff>0</xdr:rowOff>
    </xdr:to>
    <xdr:sp macro="" textlink="">
      <xdr:nvSpPr>
        <xdr:cNvPr id="9624" name="OpenSolver508"/>
        <xdr:cNvSpPr/>
      </xdr:nvSpPr>
      <xdr:spPr>
        <a:xfrm>
          <a:off x="4524375" y="1524000"/>
          <a:ext cx="247650" cy="38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342900</xdr:colOff>
      <xdr:row>7</xdr:row>
      <xdr:rowOff>152400</xdr:rowOff>
    </xdr:from>
    <xdr:to>
      <xdr:col>10</xdr:col>
      <xdr:colOff>0</xdr:colOff>
      <xdr:row>8</xdr:row>
      <xdr:rowOff>0</xdr:rowOff>
    </xdr:to>
    <xdr:sp macro="" textlink="">
      <xdr:nvSpPr>
        <xdr:cNvPr id="9625" name="OpenSolver509"/>
        <xdr:cNvSpPr/>
      </xdr:nvSpPr>
      <xdr:spPr>
        <a:xfrm>
          <a:off x="5705475" y="1524000"/>
          <a:ext cx="247650" cy="38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171450</xdr:rowOff>
    </xdr:from>
    <xdr:to>
      <xdr:col>9</xdr:col>
      <xdr:colOff>342900</xdr:colOff>
      <xdr:row>7</xdr:row>
      <xdr:rowOff>171450</xdr:rowOff>
    </xdr:to>
    <xdr:cxnSp macro="">
      <xdr:nvCxnSpPr>
        <xdr:cNvPr id="9626" name="OpenSolver510"/>
        <xdr:cNvCxnSpPr>
          <a:stCxn id="9624" idx="3"/>
          <a:endCxn id="9625" idx="1"/>
        </xdr:cNvCxnSpPr>
      </xdr:nvCxnSpPr>
      <xdr:spPr>
        <a:xfrm>
          <a:off x="4772025" y="1543050"/>
          <a:ext cx="933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7</xdr:row>
      <xdr:rowOff>44450</xdr:rowOff>
    </xdr:from>
    <xdr:to>
      <xdr:col>9</xdr:col>
      <xdr:colOff>66675</xdr:colOff>
      <xdr:row>8</xdr:row>
      <xdr:rowOff>107950</xdr:rowOff>
    </xdr:to>
    <xdr:sp macro="" textlink="">
      <xdr:nvSpPr>
        <xdr:cNvPr id="9627" name="OpenSolver511"/>
        <xdr:cNvSpPr/>
      </xdr:nvSpPr>
      <xdr:spPr>
        <a:xfrm>
          <a:off x="5048250" y="1416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9</xdr:row>
      <xdr:rowOff>142875</xdr:rowOff>
    </xdr:from>
    <xdr:to>
      <xdr:col>8</xdr:col>
      <xdr:colOff>0</xdr:colOff>
      <xdr:row>72</xdr:row>
      <xdr:rowOff>0</xdr:rowOff>
    </xdr:to>
    <xdr:sp macro="" textlink="">
      <xdr:nvSpPr>
        <xdr:cNvPr id="9628" name="OpenSolver512"/>
        <xdr:cNvSpPr/>
      </xdr:nvSpPr>
      <xdr:spPr>
        <a:xfrm>
          <a:off x="4524375" y="1905000"/>
          <a:ext cx="247650" cy="11868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342900</xdr:colOff>
      <xdr:row>9</xdr:row>
      <xdr:rowOff>142875</xdr:rowOff>
    </xdr:from>
    <xdr:to>
      <xdr:col>10</xdr:col>
      <xdr:colOff>0</xdr:colOff>
      <xdr:row>72</xdr:row>
      <xdr:rowOff>0</xdr:rowOff>
    </xdr:to>
    <xdr:sp macro="" textlink="">
      <xdr:nvSpPr>
        <xdr:cNvPr id="9629" name="OpenSolver513"/>
        <xdr:cNvSpPr/>
      </xdr:nvSpPr>
      <xdr:spPr>
        <a:xfrm>
          <a:off x="5705475" y="1905000"/>
          <a:ext cx="247650" cy="11868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161925</xdr:rowOff>
    </xdr:from>
    <xdr:to>
      <xdr:col>9</xdr:col>
      <xdr:colOff>342900</xdr:colOff>
      <xdr:row>40</xdr:row>
      <xdr:rowOff>161925</xdr:rowOff>
    </xdr:to>
    <xdr:cxnSp macro="">
      <xdr:nvCxnSpPr>
        <xdr:cNvPr id="9630" name="OpenSolver514"/>
        <xdr:cNvCxnSpPr>
          <a:stCxn id="9628" idx="3"/>
          <a:endCxn id="9629" idx="1"/>
        </xdr:cNvCxnSpPr>
      </xdr:nvCxnSpPr>
      <xdr:spPr>
        <a:xfrm>
          <a:off x="4772025" y="7839075"/>
          <a:ext cx="933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40</xdr:row>
      <xdr:rowOff>34925</xdr:rowOff>
    </xdr:from>
    <xdr:to>
      <xdr:col>9</xdr:col>
      <xdr:colOff>66675</xdr:colOff>
      <xdr:row>41</xdr:row>
      <xdr:rowOff>98425</xdr:rowOff>
    </xdr:to>
    <xdr:sp macro="" textlink="">
      <xdr:nvSpPr>
        <xdr:cNvPr id="9631" name="OpenSolver515"/>
        <xdr:cNvSpPr/>
      </xdr:nvSpPr>
      <xdr:spPr>
        <a:xfrm>
          <a:off x="5048250" y="7712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75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632" name="OpenSolver516"/>
        <xdr:cNvSpPr/>
      </xdr:nvSpPr>
      <xdr:spPr>
        <a:xfrm>
          <a:off x="4524375" y="14497050"/>
          <a:ext cx="247650" cy="11849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342900</xdr:colOff>
      <xdr:row>75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633" name="OpenSolver517"/>
        <xdr:cNvSpPr/>
      </xdr:nvSpPr>
      <xdr:spPr>
        <a:xfrm>
          <a:off x="5705475" y="14497050"/>
          <a:ext cx="247650" cy="11849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171450</xdr:rowOff>
    </xdr:from>
    <xdr:to>
      <xdr:col>9</xdr:col>
      <xdr:colOff>342900</xdr:colOff>
      <xdr:row>106</xdr:row>
      <xdr:rowOff>171450</xdr:rowOff>
    </xdr:to>
    <xdr:cxnSp macro="">
      <xdr:nvCxnSpPr>
        <xdr:cNvPr id="9634" name="OpenSolver518"/>
        <xdr:cNvCxnSpPr>
          <a:stCxn id="9632" idx="3"/>
          <a:endCxn id="9633" idx="1"/>
        </xdr:cNvCxnSpPr>
      </xdr:nvCxnSpPr>
      <xdr:spPr>
        <a:xfrm>
          <a:off x="4772025" y="20421600"/>
          <a:ext cx="933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106</xdr:row>
      <xdr:rowOff>44450</xdr:rowOff>
    </xdr:from>
    <xdr:to>
      <xdr:col>9</xdr:col>
      <xdr:colOff>66675</xdr:colOff>
      <xdr:row>107</xdr:row>
      <xdr:rowOff>107950</xdr:rowOff>
    </xdr:to>
    <xdr:sp macro="" textlink="">
      <xdr:nvSpPr>
        <xdr:cNvPr id="9635" name="OpenSolver519"/>
        <xdr:cNvSpPr/>
      </xdr:nvSpPr>
      <xdr:spPr>
        <a:xfrm>
          <a:off x="5048250" y="2029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7</xdr:row>
      <xdr:rowOff>165100</xdr:rowOff>
    </xdr:from>
    <xdr:to>
      <xdr:col>8</xdr:col>
      <xdr:colOff>0</xdr:colOff>
      <xdr:row>8</xdr:row>
      <xdr:rowOff>0</xdr:rowOff>
    </xdr:to>
    <xdr:sp macro="" textlink="">
      <xdr:nvSpPr>
        <xdr:cNvPr id="9636" name="OpenSolver520"/>
        <xdr:cNvSpPr/>
      </xdr:nvSpPr>
      <xdr:spPr>
        <a:xfrm>
          <a:off x="4537075" y="1536700"/>
          <a:ext cx="234950" cy="25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355600</xdr:colOff>
      <xdr:row>7</xdr:row>
      <xdr:rowOff>165100</xdr:rowOff>
    </xdr:from>
    <xdr:to>
      <xdr:col>10</xdr:col>
      <xdr:colOff>0</xdr:colOff>
      <xdr:row>8</xdr:row>
      <xdr:rowOff>0</xdr:rowOff>
    </xdr:to>
    <xdr:sp macro="" textlink="">
      <xdr:nvSpPr>
        <xdr:cNvPr id="9637" name="OpenSolver521"/>
        <xdr:cNvSpPr/>
      </xdr:nvSpPr>
      <xdr:spPr>
        <a:xfrm>
          <a:off x="5718175" y="1536700"/>
          <a:ext cx="234950" cy="25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177800</xdr:rowOff>
    </xdr:from>
    <xdr:to>
      <xdr:col>9</xdr:col>
      <xdr:colOff>355600</xdr:colOff>
      <xdr:row>7</xdr:row>
      <xdr:rowOff>177800</xdr:rowOff>
    </xdr:to>
    <xdr:cxnSp macro="">
      <xdr:nvCxnSpPr>
        <xdr:cNvPr id="9638" name="OpenSolver522"/>
        <xdr:cNvCxnSpPr>
          <a:stCxn id="9636" idx="3"/>
          <a:endCxn id="9637" idx="1"/>
        </xdr:cNvCxnSpPr>
      </xdr:nvCxnSpPr>
      <xdr:spPr>
        <a:xfrm>
          <a:off x="4772025" y="1549400"/>
          <a:ext cx="946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7</xdr:row>
      <xdr:rowOff>50800</xdr:rowOff>
    </xdr:from>
    <xdr:to>
      <xdr:col>9</xdr:col>
      <xdr:colOff>73025</xdr:colOff>
      <xdr:row>8</xdr:row>
      <xdr:rowOff>114300</xdr:rowOff>
    </xdr:to>
    <xdr:sp macro="" textlink="">
      <xdr:nvSpPr>
        <xdr:cNvPr id="9639" name="OpenSolver523"/>
        <xdr:cNvSpPr/>
      </xdr:nvSpPr>
      <xdr:spPr>
        <a:xfrm>
          <a:off x="5054600" y="1422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9</xdr:row>
      <xdr:rowOff>155575</xdr:rowOff>
    </xdr:from>
    <xdr:to>
      <xdr:col>8</xdr:col>
      <xdr:colOff>0</xdr:colOff>
      <xdr:row>72</xdr:row>
      <xdr:rowOff>0</xdr:rowOff>
    </xdr:to>
    <xdr:sp macro="" textlink="">
      <xdr:nvSpPr>
        <xdr:cNvPr id="9640" name="OpenSolver524"/>
        <xdr:cNvSpPr/>
      </xdr:nvSpPr>
      <xdr:spPr>
        <a:xfrm>
          <a:off x="4537075" y="1917700"/>
          <a:ext cx="234950" cy="118554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355600</xdr:colOff>
      <xdr:row>9</xdr:row>
      <xdr:rowOff>155575</xdr:rowOff>
    </xdr:from>
    <xdr:to>
      <xdr:col>10</xdr:col>
      <xdr:colOff>0</xdr:colOff>
      <xdr:row>72</xdr:row>
      <xdr:rowOff>0</xdr:rowOff>
    </xdr:to>
    <xdr:sp macro="" textlink="">
      <xdr:nvSpPr>
        <xdr:cNvPr id="9641" name="OpenSolver525"/>
        <xdr:cNvSpPr/>
      </xdr:nvSpPr>
      <xdr:spPr>
        <a:xfrm>
          <a:off x="5718175" y="1917700"/>
          <a:ext cx="234950" cy="118554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168275</xdr:rowOff>
    </xdr:from>
    <xdr:to>
      <xdr:col>9</xdr:col>
      <xdr:colOff>355600</xdr:colOff>
      <xdr:row>40</xdr:row>
      <xdr:rowOff>168275</xdr:rowOff>
    </xdr:to>
    <xdr:cxnSp macro="">
      <xdr:nvCxnSpPr>
        <xdr:cNvPr id="9642" name="OpenSolver526"/>
        <xdr:cNvCxnSpPr>
          <a:stCxn id="9640" idx="3"/>
          <a:endCxn id="9641" idx="1"/>
        </xdr:cNvCxnSpPr>
      </xdr:nvCxnSpPr>
      <xdr:spPr>
        <a:xfrm>
          <a:off x="4772025" y="7845425"/>
          <a:ext cx="946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40</xdr:row>
      <xdr:rowOff>41275</xdr:rowOff>
    </xdr:from>
    <xdr:to>
      <xdr:col>9</xdr:col>
      <xdr:colOff>73025</xdr:colOff>
      <xdr:row>41</xdr:row>
      <xdr:rowOff>104775</xdr:rowOff>
    </xdr:to>
    <xdr:sp macro="" textlink="">
      <xdr:nvSpPr>
        <xdr:cNvPr id="9643" name="OpenSolver527"/>
        <xdr:cNvSpPr/>
      </xdr:nvSpPr>
      <xdr:spPr>
        <a:xfrm>
          <a:off x="5054600" y="77184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75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644" name="OpenSolver528"/>
        <xdr:cNvSpPr/>
      </xdr:nvSpPr>
      <xdr:spPr>
        <a:xfrm>
          <a:off x="4537075" y="14509750"/>
          <a:ext cx="234950" cy="11836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355600</xdr:colOff>
      <xdr:row>75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645" name="OpenSolver529"/>
        <xdr:cNvSpPr/>
      </xdr:nvSpPr>
      <xdr:spPr>
        <a:xfrm>
          <a:off x="5718175" y="14509750"/>
          <a:ext cx="234950" cy="11836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177800</xdr:rowOff>
    </xdr:from>
    <xdr:to>
      <xdr:col>9</xdr:col>
      <xdr:colOff>355600</xdr:colOff>
      <xdr:row>106</xdr:row>
      <xdr:rowOff>177800</xdr:rowOff>
    </xdr:to>
    <xdr:cxnSp macro="">
      <xdr:nvCxnSpPr>
        <xdr:cNvPr id="9646" name="OpenSolver530"/>
        <xdr:cNvCxnSpPr>
          <a:stCxn id="9644" idx="3"/>
          <a:endCxn id="9645" idx="1"/>
        </xdr:cNvCxnSpPr>
      </xdr:nvCxnSpPr>
      <xdr:spPr>
        <a:xfrm>
          <a:off x="4772025" y="20427950"/>
          <a:ext cx="946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106</xdr:row>
      <xdr:rowOff>50800</xdr:rowOff>
    </xdr:from>
    <xdr:to>
      <xdr:col>9</xdr:col>
      <xdr:colOff>73025</xdr:colOff>
      <xdr:row>107</xdr:row>
      <xdr:rowOff>114300</xdr:rowOff>
    </xdr:to>
    <xdr:sp macro="" textlink="">
      <xdr:nvSpPr>
        <xdr:cNvPr id="9647" name="OpenSolver531"/>
        <xdr:cNvSpPr/>
      </xdr:nvSpPr>
      <xdr:spPr>
        <a:xfrm>
          <a:off x="5054600" y="2030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7</xdr:row>
      <xdr:rowOff>177800</xdr:rowOff>
    </xdr:from>
    <xdr:to>
      <xdr:col>8</xdr:col>
      <xdr:colOff>0</xdr:colOff>
      <xdr:row>8</xdr:row>
      <xdr:rowOff>0</xdr:rowOff>
    </xdr:to>
    <xdr:sp macro="" textlink="">
      <xdr:nvSpPr>
        <xdr:cNvPr id="9648" name="OpenSolver532"/>
        <xdr:cNvSpPr/>
      </xdr:nvSpPr>
      <xdr:spPr>
        <a:xfrm>
          <a:off x="4549775" y="1549400"/>
          <a:ext cx="222250" cy="12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368300</xdr:colOff>
      <xdr:row>7</xdr:row>
      <xdr:rowOff>177800</xdr:rowOff>
    </xdr:from>
    <xdr:to>
      <xdr:col>10</xdr:col>
      <xdr:colOff>0</xdr:colOff>
      <xdr:row>8</xdr:row>
      <xdr:rowOff>0</xdr:rowOff>
    </xdr:to>
    <xdr:sp macro="" textlink="">
      <xdr:nvSpPr>
        <xdr:cNvPr id="9649" name="OpenSolver533"/>
        <xdr:cNvSpPr/>
      </xdr:nvSpPr>
      <xdr:spPr>
        <a:xfrm>
          <a:off x="5730875" y="1549400"/>
          <a:ext cx="222250" cy="12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184150</xdr:rowOff>
    </xdr:from>
    <xdr:to>
      <xdr:col>9</xdr:col>
      <xdr:colOff>368300</xdr:colOff>
      <xdr:row>7</xdr:row>
      <xdr:rowOff>184150</xdr:rowOff>
    </xdr:to>
    <xdr:cxnSp macro="">
      <xdr:nvCxnSpPr>
        <xdr:cNvPr id="9650" name="OpenSolver534"/>
        <xdr:cNvCxnSpPr>
          <a:stCxn id="9648" idx="3"/>
          <a:endCxn id="9649" idx="1"/>
        </xdr:cNvCxnSpPr>
      </xdr:nvCxnSpPr>
      <xdr:spPr>
        <a:xfrm>
          <a:off x="4772025" y="1555750"/>
          <a:ext cx="958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7</xdr:row>
      <xdr:rowOff>57150</xdr:rowOff>
    </xdr:from>
    <xdr:to>
      <xdr:col>9</xdr:col>
      <xdr:colOff>79375</xdr:colOff>
      <xdr:row>8</xdr:row>
      <xdr:rowOff>120650</xdr:rowOff>
    </xdr:to>
    <xdr:sp macro="" textlink="">
      <xdr:nvSpPr>
        <xdr:cNvPr id="9651" name="OpenSolver535"/>
        <xdr:cNvSpPr/>
      </xdr:nvSpPr>
      <xdr:spPr>
        <a:xfrm>
          <a:off x="5060950" y="1428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9</xdr:row>
      <xdr:rowOff>168275</xdr:rowOff>
    </xdr:from>
    <xdr:to>
      <xdr:col>8</xdr:col>
      <xdr:colOff>0</xdr:colOff>
      <xdr:row>72</xdr:row>
      <xdr:rowOff>0</xdr:rowOff>
    </xdr:to>
    <xdr:sp macro="" textlink="">
      <xdr:nvSpPr>
        <xdr:cNvPr id="9652" name="OpenSolver536"/>
        <xdr:cNvSpPr/>
      </xdr:nvSpPr>
      <xdr:spPr>
        <a:xfrm>
          <a:off x="4549775" y="1930400"/>
          <a:ext cx="222250" cy="118427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368300</xdr:colOff>
      <xdr:row>9</xdr:row>
      <xdr:rowOff>168275</xdr:rowOff>
    </xdr:from>
    <xdr:to>
      <xdr:col>10</xdr:col>
      <xdr:colOff>0</xdr:colOff>
      <xdr:row>72</xdr:row>
      <xdr:rowOff>0</xdr:rowOff>
    </xdr:to>
    <xdr:sp macro="" textlink="">
      <xdr:nvSpPr>
        <xdr:cNvPr id="9653" name="OpenSolver537"/>
        <xdr:cNvSpPr/>
      </xdr:nvSpPr>
      <xdr:spPr>
        <a:xfrm>
          <a:off x="5730875" y="1930400"/>
          <a:ext cx="222250" cy="118427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174625</xdr:rowOff>
    </xdr:from>
    <xdr:to>
      <xdr:col>9</xdr:col>
      <xdr:colOff>368300</xdr:colOff>
      <xdr:row>40</xdr:row>
      <xdr:rowOff>174625</xdr:rowOff>
    </xdr:to>
    <xdr:cxnSp macro="">
      <xdr:nvCxnSpPr>
        <xdr:cNvPr id="9654" name="OpenSolver538"/>
        <xdr:cNvCxnSpPr>
          <a:stCxn id="9652" idx="3"/>
          <a:endCxn id="9653" idx="1"/>
        </xdr:cNvCxnSpPr>
      </xdr:nvCxnSpPr>
      <xdr:spPr>
        <a:xfrm>
          <a:off x="4772025" y="7851775"/>
          <a:ext cx="958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40</xdr:row>
      <xdr:rowOff>47625</xdr:rowOff>
    </xdr:from>
    <xdr:to>
      <xdr:col>9</xdr:col>
      <xdr:colOff>79375</xdr:colOff>
      <xdr:row>41</xdr:row>
      <xdr:rowOff>111125</xdr:rowOff>
    </xdr:to>
    <xdr:sp macro="" textlink="">
      <xdr:nvSpPr>
        <xdr:cNvPr id="9655" name="OpenSolver539"/>
        <xdr:cNvSpPr/>
      </xdr:nvSpPr>
      <xdr:spPr>
        <a:xfrm>
          <a:off x="5060950" y="77247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75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656" name="OpenSolver540"/>
        <xdr:cNvSpPr/>
      </xdr:nvSpPr>
      <xdr:spPr>
        <a:xfrm>
          <a:off x="4549775" y="14522450"/>
          <a:ext cx="222250" cy="11823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368300</xdr:colOff>
      <xdr:row>75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657" name="OpenSolver541"/>
        <xdr:cNvSpPr/>
      </xdr:nvSpPr>
      <xdr:spPr>
        <a:xfrm>
          <a:off x="5730875" y="14522450"/>
          <a:ext cx="222250" cy="11823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184150</xdr:rowOff>
    </xdr:from>
    <xdr:to>
      <xdr:col>9</xdr:col>
      <xdr:colOff>368300</xdr:colOff>
      <xdr:row>106</xdr:row>
      <xdr:rowOff>184150</xdr:rowOff>
    </xdr:to>
    <xdr:cxnSp macro="">
      <xdr:nvCxnSpPr>
        <xdr:cNvPr id="9658" name="OpenSolver542"/>
        <xdr:cNvCxnSpPr>
          <a:stCxn id="9656" idx="3"/>
          <a:endCxn id="9657" idx="1"/>
        </xdr:cNvCxnSpPr>
      </xdr:nvCxnSpPr>
      <xdr:spPr>
        <a:xfrm>
          <a:off x="4772025" y="20434300"/>
          <a:ext cx="958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106</xdr:row>
      <xdr:rowOff>57150</xdr:rowOff>
    </xdr:from>
    <xdr:to>
      <xdr:col>9</xdr:col>
      <xdr:colOff>79375</xdr:colOff>
      <xdr:row>107</xdr:row>
      <xdr:rowOff>120650</xdr:rowOff>
    </xdr:to>
    <xdr:sp macro="" textlink="">
      <xdr:nvSpPr>
        <xdr:cNvPr id="9659" name="OpenSolver543"/>
        <xdr:cNvSpPr/>
      </xdr:nvSpPr>
      <xdr:spPr>
        <a:xfrm>
          <a:off x="5060950" y="203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381000</xdr:colOff>
      <xdr:row>9</xdr:row>
      <xdr:rowOff>180975</xdr:rowOff>
    </xdr:from>
    <xdr:to>
      <xdr:col>8</xdr:col>
      <xdr:colOff>0</xdr:colOff>
      <xdr:row>72</xdr:row>
      <xdr:rowOff>0</xdr:rowOff>
    </xdr:to>
    <xdr:sp macro="" textlink="">
      <xdr:nvSpPr>
        <xdr:cNvPr id="9660" name="OpenSolver544"/>
        <xdr:cNvSpPr/>
      </xdr:nvSpPr>
      <xdr:spPr>
        <a:xfrm>
          <a:off x="4562475" y="1943100"/>
          <a:ext cx="209550" cy="118300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381000</xdr:colOff>
      <xdr:row>9</xdr:row>
      <xdr:rowOff>180975</xdr:rowOff>
    </xdr:from>
    <xdr:to>
      <xdr:col>10</xdr:col>
      <xdr:colOff>0</xdr:colOff>
      <xdr:row>72</xdr:row>
      <xdr:rowOff>0</xdr:rowOff>
    </xdr:to>
    <xdr:sp macro="" textlink="">
      <xdr:nvSpPr>
        <xdr:cNvPr id="9661" name="OpenSolver545"/>
        <xdr:cNvSpPr/>
      </xdr:nvSpPr>
      <xdr:spPr>
        <a:xfrm>
          <a:off x="5743575" y="1943100"/>
          <a:ext cx="209550" cy="118300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180975</xdr:rowOff>
    </xdr:from>
    <xdr:to>
      <xdr:col>9</xdr:col>
      <xdr:colOff>381000</xdr:colOff>
      <xdr:row>40</xdr:row>
      <xdr:rowOff>180975</xdr:rowOff>
    </xdr:to>
    <xdr:cxnSp macro="">
      <xdr:nvCxnSpPr>
        <xdr:cNvPr id="9662" name="OpenSolver546"/>
        <xdr:cNvCxnSpPr>
          <a:stCxn id="9660" idx="3"/>
          <a:endCxn id="9661" idx="1"/>
        </xdr:cNvCxnSpPr>
      </xdr:nvCxnSpPr>
      <xdr:spPr>
        <a:xfrm>
          <a:off x="4772025" y="7858125"/>
          <a:ext cx="971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295275</xdr:colOff>
      <xdr:row>40</xdr:row>
      <xdr:rowOff>53975</xdr:rowOff>
    </xdr:from>
    <xdr:to>
      <xdr:col>9</xdr:col>
      <xdr:colOff>85725</xdr:colOff>
      <xdr:row>41</xdr:row>
      <xdr:rowOff>117475</xdr:rowOff>
    </xdr:to>
    <xdr:sp macro="" textlink="">
      <xdr:nvSpPr>
        <xdr:cNvPr id="9663" name="OpenSolver547"/>
        <xdr:cNvSpPr/>
      </xdr:nvSpPr>
      <xdr:spPr>
        <a:xfrm>
          <a:off x="5067300" y="7731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381000</xdr:colOff>
      <xdr:row>76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664" name="OpenSolver548"/>
        <xdr:cNvSpPr/>
      </xdr:nvSpPr>
      <xdr:spPr>
        <a:xfrm>
          <a:off x="4562475" y="14535150"/>
          <a:ext cx="209550" cy="1181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381000</xdr:colOff>
      <xdr:row>76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665" name="OpenSolver549"/>
        <xdr:cNvSpPr/>
      </xdr:nvSpPr>
      <xdr:spPr>
        <a:xfrm>
          <a:off x="5743575" y="14535150"/>
          <a:ext cx="209550" cy="1181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0</xdr:rowOff>
    </xdr:from>
    <xdr:to>
      <xdr:col>9</xdr:col>
      <xdr:colOff>381000</xdr:colOff>
      <xdr:row>107</xdr:row>
      <xdr:rowOff>0</xdr:rowOff>
    </xdr:to>
    <xdr:cxnSp macro="">
      <xdr:nvCxnSpPr>
        <xdr:cNvPr id="9666" name="OpenSolver550"/>
        <xdr:cNvCxnSpPr>
          <a:stCxn id="9664" idx="3"/>
          <a:endCxn id="9665" idx="1"/>
        </xdr:cNvCxnSpPr>
      </xdr:nvCxnSpPr>
      <xdr:spPr>
        <a:xfrm>
          <a:off x="4772025" y="20440650"/>
          <a:ext cx="971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295275</xdr:colOff>
      <xdr:row>106</xdr:row>
      <xdr:rowOff>63500</xdr:rowOff>
    </xdr:from>
    <xdr:to>
      <xdr:col>9</xdr:col>
      <xdr:colOff>85725</xdr:colOff>
      <xdr:row>107</xdr:row>
      <xdr:rowOff>127000</xdr:rowOff>
    </xdr:to>
    <xdr:sp macro="" textlink="">
      <xdr:nvSpPr>
        <xdr:cNvPr id="9667" name="OpenSolver551"/>
        <xdr:cNvSpPr/>
      </xdr:nvSpPr>
      <xdr:spPr>
        <a:xfrm>
          <a:off x="5067300" y="2031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393700</xdr:colOff>
      <xdr:row>9</xdr:row>
      <xdr:rowOff>193675</xdr:rowOff>
    </xdr:from>
    <xdr:to>
      <xdr:col>8</xdr:col>
      <xdr:colOff>0</xdr:colOff>
      <xdr:row>72</xdr:row>
      <xdr:rowOff>0</xdr:rowOff>
    </xdr:to>
    <xdr:sp macro="" textlink="">
      <xdr:nvSpPr>
        <xdr:cNvPr id="9668" name="OpenSolver552"/>
        <xdr:cNvSpPr/>
      </xdr:nvSpPr>
      <xdr:spPr>
        <a:xfrm>
          <a:off x="4575175" y="1955800"/>
          <a:ext cx="196850" cy="11817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393700</xdr:colOff>
      <xdr:row>9</xdr:row>
      <xdr:rowOff>193675</xdr:rowOff>
    </xdr:from>
    <xdr:to>
      <xdr:col>10</xdr:col>
      <xdr:colOff>0</xdr:colOff>
      <xdr:row>72</xdr:row>
      <xdr:rowOff>0</xdr:rowOff>
    </xdr:to>
    <xdr:sp macro="" textlink="">
      <xdr:nvSpPr>
        <xdr:cNvPr id="9669" name="OpenSolver553"/>
        <xdr:cNvSpPr/>
      </xdr:nvSpPr>
      <xdr:spPr>
        <a:xfrm>
          <a:off x="5756275" y="1955800"/>
          <a:ext cx="196850" cy="11817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187325</xdr:rowOff>
    </xdr:from>
    <xdr:to>
      <xdr:col>9</xdr:col>
      <xdr:colOff>393700</xdr:colOff>
      <xdr:row>40</xdr:row>
      <xdr:rowOff>187325</xdr:rowOff>
    </xdr:to>
    <xdr:cxnSp macro="">
      <xdr:nvCxnSpPr>
        <xdr:cNvPr id="9670" name="OpenSolver554"/>
        <xdr:cNvCxnSpPr>
          <a:stCxn id="9668" idx="3"/>
          <a:endCxn id="9669" idx="1"/>
        </xdr:cNvCxnSpPr>
      </xdr:nvCxnSpPr>
      <xdr:spPr>
        <a:xfrm>
          <a:off x="4772025" y="7864475"/>
          <a:ext cx="984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301625</xdr:colOff>
      <xdr:row>40</xdr:row>
      <xdr:rowOff>60325</xdr:rowOff>
    </xdr:from>
    <xdr:to>
      <xdr:col>9</xdr:col>
      <xdr:colOff>92075</xdr:colOff>
      <xdr:row>41</xdr:row>
      <xdr:rowOff>123825</xdr:rowOff>
    </xdr:to>
    <xdr:sp macro="" textlink="">
      <xdr:nvSpPr>
        <xdr:cNvPr id="9671" name="OpenSolver555"/>
        <xdr:cNvSpPr/>
      </xdr:nvSpPr>
      <xdr:spPr>
        <a:xfrm>
          <a:off x="5073650" y="77374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393700</xdr:colOff>
      <xdr:row>76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672" name="OpenSolver556"/>
        <xdr:cNvSpPr/>
      </xdr:nvSpPr>
      <xdr:spPr>
        <a:xfrm>
          <a:off x="4575175" y="14547850"/>
          <a:ext cx="196850" cy="117983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393700</xdr:colOff>
      <xdr:row>76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673" name="OpenSolver557"/>
        <xdr:cNvSpPr/>
      </xdr:nvSpPr>
      <xdr:spPr>
        <a:xfrm>
          <a:off x="5756275" y="14547850"/>
          <a:ext cx="196850" cy="117983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6350</xdr:rowOff>
    </xdr:from>
    <xdr:to>
      <xdr:col>9</xdr:col>
      <xdr:colOff>393700</xdr:colOff>
      <xdr:row>107</xdr:row>
      <xdr:rowOff>6350</xdr:rowOff>
    </xdr:to>
    <xdr:cxnSp macro="">
      <xdr:nvCxnSpPr>
        <xdr:cNvPr id="9674" name="OpenSolver558"/>
        <xdr:cNvCxnSpPr>
          <a:stCxn id="9672" idx="3"/>
          <a:endCxn id="9673" idx="1"/>
        </xdr:cNvCxnSpPr>
      </xdr:nvCxnSpPr>
      <xdr:spPr>
        <a:xfrm>
          <a:off x="4772025" y="20447000"/>
          <a:ext cx="984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301625</xdr:colOff>
      <xdr:row>106</xdr:row>
      <xdr:rowOff>69850</xdr:rowOff>
    </xdr:from>
    <xdr:to>
      <xdr:col>9</xdr:col>
      <xdr:colOff>92075</xdr:colOff>
      <xdr:row>107</xdr:row>
      <xdr:rowOff>133350</xdr:rowOff>
    </xdr:to>
    <xdr:sp macro="" textlink="">
      <xdr:nvSpPr>
        <xdr:cNvPr id="9675" name="OpenSolver559"/>
        <xdr:cNvSpPr/>
      </xdr:nvSpPr>
      <xdr:spPr>
        <a:xfrm>
          <a:off x="5073650" y="2032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406400</xdr:colOff>
      <xdr:row>10</xdr:row>
      <xdr:rowOff>6350</xdr:rowOff>
    </xdr:from>
    <xdr:to>
      <xdr:col>8</xdr:col>
      <xdr:colOff>0</xdr:colOff>
      <xdr:row>72</xdr:row>
      <xdr:rowOff>0</xdr:rowOff>
    </xdr:to>
    <xdr:sp macro="" textlink="">
      <xdr:nvSpPr>
        <xdr:cNvPr id="9676" name="OpenSolver560"/>
        <xdr:cNvSpPr/>
      </xdr:nvSpPr>
      <xdr:spPr>
        <a:xfrm>
          <a:off x="4587875" y="1968500"/>
          <a:ext cx="184150" cy="118046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406400</xdr:colOff>
      <xdr:row>10</xdr:row>
      <xdr:rowOff>6350</xdr:rowOff>
    </xdr:from>
    <xdr:to>
      <xdr:col>10</xdr:col>
      <xdr:colOff>0</xdr:colOff>
      <xdr:row>72</xdr:row>
      <xdr:rowOff>0</xdr:rowOff>
    </xdr:to>
    <xdr:sp macro="" textlink="">
      <xdr:nvSpPr>
        <xdr:cNvPr id="9677" name="OpenSolver561"/>
        <xdr:cNvSpPr/>
      </xdr:nvSpPr>
      <xdr:spPr>
        <a:xfrm>
          <a:off x="5768975" y="1968500"/>
          <a:ext cx="184150" cy="118046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3175</xdr:rowOff>
    </xdr:from>
    <xdr:to>
      <xdr:col>9</xdr:col>
      <xdr:colOff>406400</xdr:colOff>
      <xdr:row>41</xdr:row>
      <xdr:rowOff>3175</xdr:rowOff>
    </xdr:to>
    <xdr:cxnSp macro="">
      <xdr:nvCxnSpPr>
        <xdr:cNvPr id="9678" name="OpenSolver562"/>
        <xdr:cNvCxnSpPr>
          <a:stCxn id="9676" idx="3"/>
          <a:endCxn id="9677" idx="1"/>
        </xdr:cNvCxnSpPr>
      </xdr:nvCxnSpPr>
      <xdr:spPr>
        <a:xfrm>
          <a:off x="4772025" y="7870825"/>
          <a:ext cx="996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307975</xdr:colOff>
      <xdr:row>40</xdr:row>
      <xdr:rowOff>66675</xdr:rowOff>
    </xdr:from>
    <xdr:to>
      <xdr:col>9</xdr:col>
      <xdr:colOff>98425</xdr:colOff>
      <xdr:row>41</xdr:row>
      <xdr:rowOff>130175</xdr:rowOff>
    </xdr:to>
    <xdr:sp macro="" textlink="">
      <xdr:nvSpPr>
        <xdr:cNvPr id="9679" name="OpenSolver563"/>
        <xdr:cNvSpPr/>
      </xdr:nvSpPr>
      <xdr:spPr>
        <a:xfrm>
          <a:off x="5080000" y="7743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406400</xdr:colOff>
      <xdr:row>76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680" name="OpenSolver564"/>
        <xdr:cNvSpPr/>
      </xdr:nvSpPr>
      <xdr:spPr>
        <a:xfrm>
          <a:off x="4587875" y="14560550"/>
          <a:ext cx="184150" cy="117856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406400</xdr:colOff>
      <xdr:row>76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681" name="OpenSolver565"/>
        <xdr:cNvSpPr/>
      </xdr:nvSpPr>
      <xdr:spPr>
        <a:xfrm>
          <a:off x="5768975" y="14560550"/>
          <a:ext cx="184150" cy="117856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12700</xdr:rowOff>
    </xdr:from>
    <xdr:to>
      <xdr:col>9</xdr:col>
      <xdr:colOff>406400</xdr:colOff>
      <xdr:row>107</xdr:row>
      <xdr:rowOff>12700</xdr:rowOff>
    </xdr:to>
    <xdr:cxnSp macro="">
      <xdr:nvCxnSpPr>
        <xdr:cNvPr id="9682" name="OpenSolver566"/>
        <xdr:cNvCxnSpPr>
          <a:stCxn id="9680" idx="3"/>
          <a:endCxn id="9681" idx="1"/>
        </xdr:cNvCxnSpPr>
      </xdr:nvCxnSpPr>
      <xdr:spPr>
        <a:xfrm>
          <a:off x="4772025" y="20453350"/>
          <a:ext cx="996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307975</xdr:colOff>
      <xdr:row>106</xdr:row>
      <xdr:rowOff>76200</xdr:rowOff>
    </xdr:from>
    <xdr:to>
      <xdr:col>9</xdr:col>
      <xdr:colOff>98425</xdr:colOff>
      <xdr:row>107</xdr:row>
      <xdr:rowOff>139700</xdr:rowOff>
    </xdr:to>
    <xdr:sp macro="" textlink="">
      <xdr:nvSpPr>
        <xdr:cNvPr id="9683" name="OpenSolver567"/>
        <xdr:cNvSpPr/>
      </xdr:nvSpPr>
      <xdr:spPr>
        <a:xfrm>
          <a:off x="5080000" y="2032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419100</xdr:colOff>
      <xdr:row>10</xdr:row>
      <xdr:rowOff>19050</xdr:rowOff>
    </xdr:from>
    <xdr:to>
      <xdr:col>8</xdr:col>
      <xdr:colOff>0</xdr:colOff>
      <xdr:row>72</xdr:row>
      <xdr:rowOff>0</xdr:rowOff>
    </xdr:to>
    <xdr:sp macro="" textlink="">
      <xdr:nvSpPr>
        <xdr:cNvPr id="9684" name="OpenSolver568"/>
        <xdr:cNvSpPr/>
      </xdr:nvSpPr>
      <xdr:spPr>
        <a:xfrm>
          <a:off x="4600575" y="1981200"/>
          <a:ext cx="171450" cy="117919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419100</xdr:colOff>
      <xdr:row>10</xdr:row>
      <xdr:rowOff>19050</xdr:rowOff>
    </xdr:from>
    <xdr:to>
      <xdr:col>10</xdr:col>
      <xdr:colOff>0</xdr:colOff>
      <xdr:row>72</xdr:row>
      <xdr:rowOff>0</xdr:rowOff>
    </xdr:to>
    <xdr:sp macro="" textlink="">
      <xdr:nvSpPr>
        <xdr:cNvPr id="9685" name="OpenSolver569"/>
        <xdr:cNvSpPr/>
      </xdr:nvSpPr>
      <xdr:spPr>
        <a:xfrm>
          <a:off x="5781675" y="1981200"/>
          <a:ext cx="171450" cy="117919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</xdr:rowOff>
    </xdr:from>
    <xdr:to>
      <xdr:col>9</xdr:col>
      <xdr:colOff>419100</xdr:colOff>
      <xdr:row>41</xdr:row>
      <xdr:rowOff>9525</xdr:rowOff>
    </xdr:to>
    <xdr:cxnSp macro="">
      <xdr:nvCxnSpPr>
        <xdr:cNvPr id="9686" name="OpenSolver570"/>
        <xdr:cNvCxnSpPr>
          <a:stCxn id="9684" idx="3"/>
          <a:endCxn id="9685" idx="1"/>
        </xdr:cNvCxnSpPr>
      </xdr:nvCxnSpPr>
      <xdr:spPr>
        <a:xfrm>
          <a:off x="4772025" y="7877175"/>
          <a:ext cx="1009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314325</xdr:colOff>
      <xdr:row>40</xdr:row>
      <xdr:rowOff>73025</xdr:rowOff>
    </xdr:from>
    <xdr:to>
      <xdr:col>9</xdr:col>
      <xdr:colOff>104775</xdr:colOff>
      <xdr:row>41</xdr:row>
      <xdr:rowOff>136525</xdr:rowOff>
    </xdr:to>
    <xdr:sp macro="" textlink="">
      <xdr:nvSpPr>
        <xdr:cNvPr id="9687" name="OpenSolver571"/>
        <xdr:cNvSpPr/>
      </xdr:nvSpPr>
      <xdr:spPr>
        <a:xfrm>
          <a:off x="5086350" y="77501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419100</xdr:colOff>
      <xdr:row>76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688" name="OpenSolver572"/>
        <xdr:cNvSpPr/>
      </xdr:nvSpPr>
      <xdr:spPr>
        <a:xfrm>
          <a:off x="4600575" y="14573250"/>
          <a:ext cx="171450" cy="117729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419100</xdr:colOff>
      <xdr:row>76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689" name="OpenSolver573"/>
        <xdr:cNvSpPr/>
      </xdr:nvSpPr>
      <xdr:spPr>
        <a:xfrm>
          <a:off x="5781675" y="14573250"/>
          <a:ext cx="171450" cy="117729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19050</xdr:rowOff>
    </xdr:from>
    <xdr:to>
      <xdr:col>9</xdr:col>
      <xdr:colOff>419100</xdr:colOff>
      <xdr:row>107</xdr:row>
      <xdr:rowOff>19050</xdr:rowOff>
    </xdr:to>
    <xdr:cxnSp macro="">
      <xdr:nvCxnSpPr>
        <xdr:cNvPr id="9690" name="OpenSolver574"/>
        <xdr:cNvCxnSpPr>
          <a:stCxn id="9688" idx="3"/>
          <a:endCxn id="9689" idx="1"/>
        </xdr:cNvCxnSpPr>
      </xdr:nvCxnSpPr>
      <xdr:spPr>
        <a:xfrm>
          <a:off x="4772025" y="20459700"/>
          <a:ext cx="1009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314325</xdr:colOff>
      <xdr:row>106</xdr:row>
      <xdr:rowOff>82550</xdr:rowOff>
    </xdr:from>
    <xdr:to>
      <xdr:col>9</xdr:col>
      <xdr:colOff>104775</xdr:colOff>
      <xdr:row>107</xdr:row>
      <xdr:rowOff>146050</xdr:rowOff>
    </xdr:to>
    <xdr:sp macro="" textlink="">
      <xdr:nvSpPr>
        <xdr:cNvPr id="9691" name="OpenSolver575"/>
        <xdr:cNvSpPr/>
      </xdr:nvSpPr>
      <xdr:spPr>
        <a:xfrm>
          <a:off x="5086350" y="2033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431800</xdr:colOff>
      <xdr:row>10</xdr:row>
      <xdr:rowOff>31750</xdr:rowOff>
    </xdr:from>
    <xdr:to>
      <xdr:col>8</xdr:col>
      <xdr:colOff>0</xdr:colOff>
      <xdr:row>72</xdr:row>
      <xdr:rowOff>0</xdr:rowOff>
    </xdr:to>
    <xdr:sp macro="" textlink="">
      <xdr:nvSpPr>
        <xdr:cNvPr id="9692" name="OpenSolver576"/>
        <xdr:cNvSpPr/>
      </xdr:nvSpPr>
      <xdr:spPr>
        <a:xfrm>
          <a:off x="4613275" y="1993900"/>
          <a:ext cx="158750" cy="117792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431800</xdr:colOff>
      <xdr:row>10</xdr:row>
      <xdr:rowOff>31750</xdr:rowOff>
    </xdr:from>
    <xdr:to>
      <xdr:col>10</xdr:col>
      <xdr:colOff>0</xdr:colOff>
      <xdr:row>72</xdr:row>
      <xdr:rowOff>0</xdr:rowOff>
    </xdr:to>
    <xdr:sp macro="" textlink="">
      <xdr:nvSpPr>
        <xdr:cNvPr id="9693" name="OpenSolver577"/>
        <xdr:cNvSpPr/>
      </xdr:nvSpPr>
      <xdr:spPr>
        <a:xfrm>
          <a:off x="5794375" y="1993900"/>
          <a:ext cx="158750" cy="117792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15875</xdr:rowOff>
    </xdr:from>
    <xdr:to>
      <xdr:col>9</xdr:col>
      <xdr:colOff>431800</xdr:colOff>
      <xdr:row>41</xdr:row>
      <xdr:rowOff>15875</xdr:rowOff>
    </xdr:to>
    <xdr:cxnSp macro="">
      <xdr:nvCxnSpPr>
        <xdr:cNvPr id="9694" name="OpenSolver578"/>
        <xdr:cNvCxnSpPr>
          <a:stCxn id="9692" idx="3"/>
          <a:endCxn id="9693" idx="1"/>
        </xdr:cNvCxnSpPr>
      </xdr:nvCxnSpPr>
      <xdr:spPr>
        <a:xfrm>
          <a:off x="4772025" y="7883525"/>
          <a:ext cx="1022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320675</xdr:colOff>
      <xdr:row>40</xdr:row>
      <xdr:rowOff>79375</xdr:rowOff>
    </xdr:from>
    <xdr:to>
      <xdr:col>9</xdr:col>
      <xdr:colOff>111125</xdr:colOff>
      <xdr:row>41</xdr:row>
      <xdr:rowOff>142875</xdr:rowOff>
    </xdr:to>
    <xdr:sp macro="" textlink="">
      <xdr:nvSpPr>
        <xdr:cNvPr id="9695" name="OpenSolver579"/>
        <xdr:cNvSpPr/>
      </xdr:nvSpPr>
      <xdr:spPr>
        <a:xfrm>
          <a:off x="5092700" y="77565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431800</xdr:colOff>
      <xdr:row>76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696" name="OpenSolver580"/>
        <xdr:cNvSpPr/>
      </xdr:nvSpPr>
      <xdr:spPr>
        <a:xfrm>
          <a:off x="4613275" y="14585950"/>
          <a:ext cx="158750" cy="117602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431800</xdr:colOff>
      <xdr:row>76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697" name="OpenSolver581"/>
        <xdr:cNvSpPr/>
      </xdr:nvSpPr>
      <xdr:spPr>
        <a:xfrm>
          <a:off x="5794375" y="14585950"/>
          <a:ext cx="158750" cy="117602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25400</xdr:rowOff>
    </xdr:from>
    <xdr:to>
      <xdr:col>9</xdr:col>
      <xdr:colOff>431800</xdr:colOff>
      <xdr:row>107</xdr:row>
      <xdr:rowOff>25400</xdr:rowOff>
    </xdr:to>
    <xdr:cxnSp macro="">
      <xdr:nvCxnSpPr>
        <xdr:cNvPr id="9698" name="OpenSolver582"/>
        <xdr:cNvCxnSpPr>
          <a:stCxn id="9696" idx="3"/>
          <a:endCxn id="9697" idx="1"/>
        </xdr:cNvCxnSpPr>
      </xdr:nvCxnSpPr>
      <xdr:spPr>
        <a:xfrm>
          <a:off x="4772025" y="20466050"/>
          <a:ext cx="1022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320675</xdr:colOff>
      <xdr:row>106</xdr:row>
      <xdr:rowOff>88900</xdr:rowOff>
    </xdr:from>
    <xdr:to>
      <xdr:col>9</xdr:col>
      <xdr:colOff>111125</xdr:colOff>
      <xdr:row>107</xdr:row>
      <xdr:rowOff>152400</xdr:rowOff>
    </xdr:to>
    <xdr:sp macro="" textlink="">
      <xdr:nvSpPr>
        <xdr:cNvPr id="9699" name="OpenSolver583"/>
        <xdr:cNvSpPr/>
      </xdr:nvSpPr>
      <xdr:spPr>
        <a:xfrm>
          <a:off x="5092700" y="2033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444500</xdr:colOff>
      <xdr:row>10</xdr:row>
      <xdr:rowOff>44450</xdr:rowOff>
    </xdr:from>
    <xdr:to>
      <xdr:col>8</xdr:col>
      <xdr:colOff>0</xdr:colOff>
      <xdr:row>72</xdr:row>
      <xdr:rowOff>0</xdr:rowOff>
    </xdr:to>
    <xdr:sp macro="" textlink="">
      <xdr:nvSpPr>
        <xdr:cNvPr id="9700" name="OpenSolver584"/>
        <xdr:cNvSpPr/>
      </xdr:nvSpPr>
      <xdr:spPr>
        <a:xfrm>
          <a:off x="4625975" y="2006600"/>
          <a:ext cx="146050" cy="117665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444500</xdr:colOff>
      <xdr:row>10</xdr:row>
      <xdr:rowOff>44450</xdr:rowOff>
    </xdr:from>
    <xdr:to>
      <xdr:col>10</xdr:col>
      <xdr:colOff>0</xdr:colOff>
      <xdr:row>72</xdr:row>
      <xdr:rowOff>0</xdr:rowOff>
    </xdr:to>
    <xdr:sp macro="" textlink="">
      <xdr:nvSpPr>
        <xdr:cNvPr id="9701" name="OpenSolver585"/>
        <xdr:cNvSpPr/>
      </xdr:nvSpPr>
      <xdr:spPr>
        <a:xfrm>
          <a:off x="5807075" y="2006600"/>
          <a:ext cx="146050" cy="117665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22225</xdr:rowOff>
    </xdr:from>
    <xdr:to>
      <xdr:col>9</xdr:col>
      <xdr:colOff>444500</xdr:colOff>
      <xdr:row>41</xdr:row>
      <xdr:rowOff>22225</xdr:rowOff>
    </xdr:to>
    <xdr:cxnSp macro="">
      <xdr:nvCxnSpPr>
        <xdr:cNvPr id="9702" name="OpenSolver586"/>
        <xdr:cNvCxnSpPr>
          <a:stCxn id="9700" idx="3"/>
          <a:endCxn id="9701" idx="1"/>
        </xdr:cNvCxnSpPr>
      </xdr:nvCxnSpPr>
      <xdr:spPr>
        <a:xfrm>
          <a:off x="4772025" y="7889875"/>
          <a:ext cx="10350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327025</xdr:colOff>
      <xdr:row>40</xdr:row>
      <xdr:rowOff>85725</xdr:rowOff>
    </xdr:from>
    <xdr:to>
      <xdr:col>9</xdr:col>
      <xdr:colOff>117475</xdr:colOff>
      <xdr:row>41</xdr:row>
      <xdr:rowOff>149225</xdr:rowOff>
    </xdr:to>
    <xdr:sp macro="" textlink="">
      <xdr:nvSpPr>
        <xdr:cNvPr id="9703" name="OpenSolver587"/>
        <xdr:cNvSpPr/>
      </xdr:nvSpPr>
      <xdr:spPr>
        <a:xfrm>
          <a:off x="5099050" y="776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444500</xdr:colOff>
      <xdr:row>76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704" name="OpenSolver588"/>
        <xdr:cNvSpPr/>
      </xdr:nvSpPr>
      <xdr:spPr>
        <a:xfrm>
          <a:off x="4625975" y="14598650"/>
          <a:ext cx="146050" cy="1174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444500</xdr:colOff>
      <xdr:row>76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705" name="OpenSolver589"/>
        <xdr:cNvSpPr/>
      </xdr:nvSpPr>
      <xdr:spPr>
        <a:xfrm>
          <a:off x="5807075" y="14598650"/>
          <a:ext cx="146050" cy="1174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31750</xdr:rowOff>
    </xdr:from>
    <xdr:to>
      <xdr:col>9</xdr:col>
      <xdr:colOff>444500</xdr:colOff>
      <xdr:row>107</xdr:row>
      <xdr:rowOff>31750</xdr:rowOff>
    </xdr:to>
    <xdr:cxnSp macro="">
      <xdr:nvCxnSpPr>
        <xdr:cNvPr id="9706" name="OpenSolver590"/>
        <xdr:cNvCxnSpPr>
          <a:stCxn id="9704" idx="3"/>
          <a:endCxn id="9705" idx="1"/>
        </xdr:cNvCxnSpPr>
      </xdr:nvCxnSpPr>
      <xdr:spPr>
        <a:xfrm>
          <a:off x="4772025" y="20472400"/>
          <a:ext cx="1035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327025</xdr:colOff>
      <xdr:row>106</xdr:row>
      <xdr:rowOff>95250</xdr:rowOff>
    </xdr:from>
    <xdr:to>
      <xdr:col>9</xdr:col>
      <xdr:colOff>117475</xdr:colOff>
      <xdr:row>107</xdr:row>
      <xdr:rowOff>158750</xdr:rowOff>
    </xdr:to>
    <xdr:sp macro="" textlink="">
      <xdr:nvSpPr>
        <xdr:cNvPr id="9707" name="OpenSolver591"/>
        <xdr:cNvSpPr/>
      </xdr:nvSpPr>
      <xdr:spPr>
        <a:xfrm>
          <a:off x="5099050" y="2034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457200</xdr:colOff>
      <xdr:row>10</xdr:row>
      <xdr:rowOff>57150</xdr:rowOff>
    </xdr:from>
    <xdr:to>
      <xdr:col>8</xdr:col>
      <xdr:colOff>0</xdr:colOff>
      <xdr:row>72</xdr:row>
      <xdr:rowOff>0</xdr:rowOff>
    </xdr:to>
    <xdr:sp macro="" textlink="">
      <xdr:nvSpPr>
        <xdr:cNvPr id="9708" name="OpenSolver592"/>
        <xdr:cNvSpPr/>
      </xdr:nvSpPr>
      <xdr:spPr>
        <a:xfrm>
          <a:off x="4638675" y="2019300"/>
          <a:ext cx="133350" cy="117538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457200</xdr:colOff>
      <xdr:row>10</xdr:row>
      <xdr:rowOff>57150</xdr:rowOff>
    </xdr:from>
    <xdr:to>
      <xdr:col>10</xdr:col>
      <xdr:colOff>0</xdr:colOff>
      <xdr:row>72</xdr:row>
      <xdr:rowOff>0</xdr:rowOff>
    </xdr:to>
    <xdr:sp macro="" textlink="">
      <xdr:nvSpPr>
        <xdr:cNvPr id="9709" name="OpenSolver593"/>
        <xdr:cNvSpPr/>
      </xdr:nvSpPr>
      <xdr:spPr>
        <a:xfrm>
          <a:off x="5819775" y="2019300"/>
          <a:ext cx="133350" cy="117538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28575</xdr:rowOff>
    </xdr:from>
    <xdr:to>
      <xdr:col>9</xdr:col>
      <xdr:colOff>457200</xdr:colOff>
      <xdr:row>41</xdr:row>
      <xdr:rowOff>28575</xdr:rowOff>
    </xdr:to>
    <xdr:cxnSp macro="">
      <xdr:nvCxnSpPr>
        <xdr:cNvPr id="9710" name="OpenSolver594"/>
        <xdr:cNvCxnSpPr>
          <a:stCxn id="9708" idx="3"/>
          <a:endCxn id="9709" idx="1"/>
        </xdr:cNvCxnSpPr>
      </xdr:nvCxnSpPr>
      <xdr:spPr>
        <a:xfrm>
          <a:off x="4772025" y="7896225"/>
          <a:ext cx="10477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40</xdr:row>
      <xdr:rowOff>92075</xdr:rowOff>
    </xdr:from>
    <xdr:to>
      <xdr:col>9</xdr:col>
      <xdr:colOff>123825</xdr:colOff>
      <xdr:row>41</xdr:row>
      <xdr:rowOff>155575</xdr:rowOff>
    </xdr:to>
    <xdr:sp macro="" textlink="">
      <xdr:nvSpPr>
        <xdr:cNvPr id="9711" name="OpenSolver595"/>
        <xdr:cNvSpPr/>
      </xdr:nvSpPr>
      <xdr:spPr>
        <a:xfrm>
          <a:off x="5105400" y="7769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457200</xdr:colOff>
      <xdr:row>76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712" name="OpenSolver596"/>
        <xdr:cNvSpPr/>
      </xdr:nvSpPr>
      <xdr:spPr>
        <a:xfrm>
          <a:off x="4638675" y="14611350"/>
          <a:ext cx="133350" cy="11734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457200</xdr:colOff>
      <xdr:row>76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713" name="OpenSolver597"/>
        <xdr:cNvSpPr/>
      </xdr:nvSpPr>
      <xdr:spPr>
        <a:xfrm>
          <a:off x="5819775" y="14611350"/>
          <a:ext cx="133350" cy="11734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38100</xdr:rowOff>
    </xdr:from>
    <xdr:to>
      <xdr:col>9</xdr:col>
      <xdr:colOff>457200</xdr:colOff>
      <xdr:row>107</xdr:row>
      <xdr:rowOff>38100</xdr:rowOff>
    </xdr:to>
    <xdr:cxnSp macro="">
      <xdr:nvCxnSpPr>
        <xdr:cNvPr id="9714" name="OpenSolver598"/>
        <xdr:cNvCxnSpPr>
          <a:stCxn id="9712" idx="3"/>
          <a:endCxn id="9713" idx="1"/>
        </xdr:cNvCxnSpPr>
      </xdr:nvCxnSpPr>
      <xdr:spPr>
        <a:xfrm>
          <a:off x="4772025" y="20478750"/>
          <a:ext cx="1047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106</xdr:row>
      <xdr:rowOff>101600</xdr:rowOff>
    </xdr:from>
    <xdr:to>
      <xdr:col>9</xdr:col>
      <xdr:colOff>123825</xdr:colOff>
      <xdr:row>107</xdr:row>
      <xdr:rowOff>165100</xdr:rowOff>
    </xdr:to>
    <xdr:sp macro="" textlink="">
      <xdr:nvSpPr>
        <xdr:cNvPr id="9715" name="OpenSolver599"/>
        <xdr:cNvSpPr/>
      </xdr:nvSpPr>
      <xdr:spPr>
        <a:xfrm>
          <a:off x="5105400" y="2035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469900</xdr:colOff>
      <xdr:row>10</xdr:row>
      <xdr:rowOff>69850</xdr:rowOff>
    </xdr:from>
    <xdr:to>
      <xdr:col>8</xdr:col>
      <xdr:colOff>0</xdr:colOff>
      <xdr:row>72</xdr:row>
      <xdr:rowOff>0</xdr:rowOff>
    </xdr:to>
    <xdr:sp macro="" textlink="">
      <xdr:nvSpPr>
        <xdr:cNvPr id="9716" name="OpenSolver600"/>
        <xdr:cNvSpPr/>
      </xdr:nvSpPr>
      <xdr:spPr>
        <a:xfrm>
          <a:off x="4651375" y="2032000"/>
          <a:ext cx="120650" cy="11741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469900</xdr:colOff>
      <xdr:row>10</xdr:row>
      <xdr:rowOff>69850</xdr:rowOff>
    </xdr:from>
    <xdr:to>
      <xdr:col>10</xdr:col>
      <xdr:colOff>0</xdr:colOff>
      <xdr:row>72</xdr:row>
      <xdr:rowOff>0</xdr:rowOff>
    </xdr:to>
    <xdr:sp macro="" textlink="">
      <xdr:nvSpPr>
        <xdr:cNvPr id="9717" name="OpenSolver601"/>
        <xdr:cNvSpPr/>
      </xdr:nvSpPr>
      <xdr:spPr>
        <a:xfrm>
          <a:off x="5832475" y="2032000"/>
          <a:ext cx="120650" cy="11741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34925</xdr:rowOff>
    </xdr:from>
    <xdr:to>
      <xdr:col>9</xdr:col>
      <xdr:colOff>469900</xdr:colOff>
      <xdr:row>41</xdr:row>
      <xdr:rowOff>34925</xdr:rowOff>
    </xdr:to>
    <xdr:cxnSp macro="">
      <xdr:nvCxnSpPr>
        <xdr:cNvPr id="9718" name="OpenSolver602"/>
        <xdr:cNvCxnSpPr>
          <a:stCxn id="9716" idx="3"/>
          <a:endCxn id="9717" idx="1"/>
        </xdr:cNvCxnSpPr>
      </xdr:nvCxnSpPr>
      <xdr:spPr>
        <a:xfrm>
          <a:off x="4772025" y="7902575"/>
          <a:ext cx="10604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339725</xdr:colOff>
      <xdr:row>40</xdr:row>
      <xdr:rowOff>98425</xdr:rowOff>
    </xdr:from>
    <xdr:to>
      <xdr:col>9</xdr:col>
      <xdr:colOff>130175</xdr:colOff>
      <xdr:row>41</xdr:row>
      <xdr:rowOff>161925</xdr:rowOff>
    </xdr:to>
    <xdr:sp macro="" textlink="">
      <xdr:nvSpPr>
        <xdr:cNvPr id="9719" name="OpenSolver603"/>
        <xdr:cNvSpPr/>
      </xdr:nvSpPr>
      <xdr:spPr>
        <a:xfrm>
          <a:off x="5111750" y="7775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469900</xdr:colOff>
      <xdr:row>76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720" name="OpenSolver604"/>
        <xdr:cNvSpPr/>
      </xdr:nvSpPr>
      <xdr:spPr>
        <a:xfrm>
          <a:off x="4651375" y="14624050"/>
          <a:ext cx="120650" cy="11722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469900</xdr:colOff>
      <xdr:row>76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721" name="OpenSolver605"/>
        <xdr:cNvSpPr/>
      </xdr:nvSpPr>
      <xdr:spPr>
        <a:xfrm>
          <a:off x="5832475" y="14624050"/>
          <a:ext cx="120650" cy="11722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44450</xdr:rowOff>
    </xdr:from>
    <xdr:to>
      <xdr:col>9</xdr:col>
      <xdr:colOff>469900</xdr:colOff>
      <xdr:row>107</xdr:row>
      <xdr:rowOff>44450</xdr:rowOff>
    </xdr:to>
    <xdr:cxnSp macro="">
      <xdr:nvCxnSpPr>
        <xdr:cNvPr id="9722" name="OpenSolver606"/>
        <xdr:cNvCxnSpPr>
          <a:stCxn id="9720" idx="3"/>
          <a:endCxn id="9721" idx="1"/>
        </xdr:cNvCxnSpPr>
      </xdr:nvCxnSpPr>
      <xdr:spPr>
        <a:xfrm>
          <a:off x="4772025" y="20485100"/>
          <a:ext cx="1060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339725</xdr:colOff>
      <xdr:row>106</xdr:row>
      <xdr:rowOff>107950</xdr:rowOff>
    </xdr:from>
    <xdr:to>
      <xdr:col>9</xdr:col>
      <xdr:colOff>130175</xdr:colOff>
      <xdr:row>107</xdr:row>
      <xdr:rowOff>171450</xdr:rowOff>
    </xdr:to>
    <xdr:sp macro="" textlink="">
      <xdr:nvSpPr>
        <xdr:cNvPr id="9723" name="OpenSolver607"/>
        <xdr:cNvSpPr/>
      </xdr:nvSpPr>
      <xdr:spPr>
        <a:xfrm>
          <a:off x="5111750" y="2035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482600</xdr:colOff>
      <xdr:row>10</xdr:row>
      <xdr:rowOff>82550</xdr:rowOff>
    </xdr:from>
    <xdr:to>
      <xdr:col>8</xdr:col>
      <xdr:colOff>0</xdr:colOff>
      <xdr:row>72</xdr:row>
      <xdr:rowOff>0</xdr:rowOff>
    </xdr:to>
    <xdr:sp macro="" textlink="">
      <xdr:nvSpPr>
        <xdr:cNvPr id="9724" name="OpenSolver608"/>
        <xdr:cNvSpPr/>
      </xdr:nvSpPr>
      <xdr:spPr>
        <a:xfrm>
          <a:off x="4664075" y="2044700"/>
          <a:ext cx="107950" cy="117284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482600</xdr:colOff>
      <xdr:row>10</xdr:row>
      <xdr:rowOff>82550</xdr:rowOff>
    </xdr:from>
    <xdr:to>
      <xdr:col>10</xdr:col>
      <xdr:colOff>0</xdr:colOff>
      <xdr:row>72</xdr:row>
      <xdr:rowOff>0</xdr:rowOff>
    </xdr:to>
    <xdr:sp macro="" textlink="">
      <xdr:nvSpPr>
        <xdr:cNvPr id="9725" name="OpenSolver609"/>
        <xdr:cNvSpPr/>
      </xdr:nvSpPr>
      <xdr:spPr>
        <a:xfrm>
          <a:off x="5845175" y="2044700"/>
          <a:ext cx="107950" cy="117284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41275</xdr:rowOff>
    </xdr:from>
    <xdr:to>
      <xdr:col>9</xdr:col>
      <xdr:colOff>482600</xdr:colOff>
      <xdr:row>41</xdr:row>
      <xdr:rowOff>41275</xdr:rowOff>
    </xdr:to>
    <xdr:cxnSp macro="">
      <xdr:nvCxnSpPr>
        <xdr:cNvPr id="9726" name="OpenSolver610"/>
        <xdr:cNvCxnSpPr>
          <a:stCxn id="9724" idx="3"/>
          <a:endCxn id="9725" idx="1"/>
        </xdr:cNvCxnSpPr>
      </xdr:nvCxnSpPr>
      <xdr:spPr>
        <a:xfrm>
          <a:off x="4772025" y="7908925"/>
          <a:ext cx="10731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346075</xdr:colOff>
      <xdr:row>40</xdr:row>
      <xdr:rowOff>104775</xdr:rowOff>
    </xdr:from>
    <xdr:to>
      <xdr:col>9</xdr:col>
      <xdr:colOff>136525</xdr:colOff>
      <xdr:row>41</xdr:row>
      <xdr:rowOff>168275</xdr:rowOff>
    </xdr:to>
    <xdr:sp macro="" textlink="">
      <xdr:nvSpPr>
        <xdr:cNvPr id="9727" name="OpenSolver611"/>
        <xdr:cNvSpPr/>
      </xdr:nvSpPr>
      <xdr:spPr>
        <a:xfrm>
          <a:off x="5118100" y="7781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482600</xdr:colOff>
      <xdr:row>76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728" name="OpenSolver612"/>
        <xdr:cNvSpPr/>
      </xdr:nvSpPr>
      <xdr:spPr>
        <a:xfrm>
          <a:off x="4664075" y="14636750"/>
          <a:ext cx="107950" cy="117094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482600</xdr:colOff>
      <xdr:row>76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729" name="OpenSolver613"/>
        <xdr:cNvSpPr/>
      </xdr:nvSpPr>
      <xdr:spPr>
        <a:xfrm>
          <a:off x="5845175" y="14636750"/>
          <a:ext cx="107950" cy="117094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50800</xdr:rowOff>
    </xdr:from>
    <xdr:to>
      <xdr:col>9</xdr:col>
      <xdr:colOff>482600</xdr:colOff>
      <xdr:row>107</xdr:row>
      <xdr:rowOff>50800</xdr:rowOff>
    </xdr:to>
    <xdr:cxnSp macro="">
      <xdr:nvCxnSpPr>
        <xdr:cNvPr id="9730" name="OpenSolver614"/>
        <xdr:cNvCxnSpPr>
          <a:stCxn id="9728" idx="3"/>
          <a:endCxn id="9729" idx="1"/>
        </xdr:cNvCxnSpPr>
      </xdr:nvCxnSpPr>
      <xdr:spPr>
        <a:xfrm>
          <a:off x="4772025" y="20491450"/>
          <a:ext cx="1073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346075</xdr:colOff>
      <xdr:row>106</xdr:row>
      <xdr:rowOff>114300</xdr:rowOff>
    </xdr:from>
    <xdr:to>
      <xdr:col>9</xdr:col>
      <xdr:colOff>136525</xdr:colOff>
      <xdr:row>107</xdr:row>
      <xdr:rowOff>177800</xdr:rowOff>
    </xdr:to>
    <xdr:sp macro="" textlink="">
      <xdr:nvSpPr>
        <xdr:cNvPr id="9731" name="OpenSolver615"/>
        <xdr:cNvSpPr/>
      </xdr:nvSpPr>
      <xdr:spPr>
        <a:xfrm>
          <a:off x="5118100" y="2036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495300</xdr:colOff>
      <xdr:row>10</xdr:row>
      <xdr:rowOff>95250</xdr:rowOff>
    </xdr:from>
    <xdr:to>
      <xdr:col>8</xdr:col>
      <xdr:colOff>0</xdr:colOff>
      <xdr:row>72</xdr:row>
      <xdr:rowOff>0</xdr:rowOff>
    </xdr:to>
    <xdr:sp macro="" textlink="">
      <xdr:nvSpPr>
        <xdr:cNvPr id="9732" name="OpenSolver616"/>
        <xdr:cNvSpPr/>
      </xdr:nvSpPr>
      <xdr:spPr>
        <a:xfrm>
          <a:off x="4676775" y="2057400"/>
          <a:ext cx="95250" cy="117157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495300</xdr:colOff>
      <xdr:row>10</xdr:row>
      <xdr:rowOff>95250</xdr:rowOff>
    </xdr:from>
    <xdr:to>
      <xdr:col>10</xdr:col>
      <xdr:colOff>0</xdr:colOff>
      <xdr:row>72</xdr:row>
      <xdr:rowOff>0</xdr:rowOff>
    </xdr:to>
    <xdr:sp macro="" textlink="">
      <xdr:nvSpPr>
        <xdr:cNvPr id="9733" name="OpenSolver617"/>
        <xdr:cNvSpPr/>
      </xdr:nvSpPr>
      <xdr:spPr>
        <a:xfrm>
          <a:off x="5857875" y="2057400"/>
          <a:ext cx="95250" cy="117157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47625</xdr:rowOff>
    </xdr:from>
    <xdr:to>
      <xdr:col>9</xdr:col>
      <xdr:colOff>495300</xdr:colOff>
      <xdr:row>41</xdr:row>
      <xdr:rowOff>47625</xdr:rowOff>
    </xdr:to>
    <xdr:cxnSp macro="">
      <xdr:nvCxnSpPr>
        <xdr:cNvPr id="9734" name="OpenSolver618"/>
        <xdr:cNvCxnSpPr>
          <a:stCxn id="9732" idx="3"/>
          <a:endCxn id="9733" idx="1"/>
        </xdr:cNvCxnSpPr>
      </xdr:nvCxnSpPr>
      <xdr:spPr>
        <a:xfrm>
          <a:off x="4772025" y="7915275"/>
          <a:ext cx="10858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40</xdr:row>
      <xdr:rowOff>111125</xdr:rowOff>
    </xdr:from>
    <xdr:to>
      <xdr:col>9</xdr:col>
      <xdr:colOff>142875</xdr:colOff>
      <xdr:row>41</xdr:row>
      <xdr:rowOff>174625</xdr:rowOff>
    </xdr:to>
    <xdr:sp macro="" textlink="">
      <xdr:nvSpPr>
        <xdr:cNvPr id="9735" name="OpenSolver619"/>
        <xdr:cNvSpPr/>
      </xdr:nvSpPr>
      <xdr:spPr>
        <a:xfrm>
          <a:off x="5124450" y="7788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495300</xdr:colOff>
      <xdr:row>76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736" name="OpenSolver620"/>
        <xdr:cNvSpPr/>
      </xdr:nvSpPr>
      <xdr:spPr>
        <a:xfrm>
          <a:off x="4676775" y="14649450"/>
          <a:ext cx="95250" cy="116967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495300</xdr:colOff>
      <xdr:row>76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737" name="OpenSolver621"/>
        <xdr:cNvSpPr/>
      </xdr:nvSpPr>
      <xdr:spPr>
        <a:xfrm>
          <a:off x="5857875" y="14649450"/>
          <a:ext cx="95250" cy="116967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57150</xdr:rowOff>
    </xdr:from>
    <xdr:to>
      <xdr:col>9</xdr:col>
      <xdr:colOff>495300</xdr:colOff>
      <xdr:row>107</xdr:row>
      <xdr:rowOff>57150</xdr:rowOff>
    </xdr:to>
    <xdr:cxnSp macro="">
      <xdr:nvCxnSpPr>
        <xdr:cNvPr id="9738" name="OpenSolver622"/>
        <xdr:cNvCxnSpPr>
          <a:stCxn id="9736" idx="3"/>
          <a:endCxn id="9737" idx="1"/>
        </xdr:cNvCxnSpPr>
      </xdr:nvCxnSpPr>
      <xdr:spPr>
        <a:xfrm>
          <a:off x="4772025" y="20497800"/>
          <a:ext cx="1085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106</xdr:row>
      <xdr:rowOff>120650</xdr:rowOff>
    </xdr:from>
    <xdr:to>
      <xdr:col>9</xdr:col>
      <xdr:colOff>142875</xdr:colOff>
      <xdr:row>107</xdr:row>
      <xdr:rowOff>184150</xdr:rowOff>
    </xdr:to>
    <xdr:sp macro="" textlink="">
      <xdr:nvSpPr>
        <xdr:cNvPr id="9739" name="OpenSolver623"/>
        <xdr:cNvSpPr/>
      </xdr:nvSpPr>
      <xdr:spPr>
        <a:xfrm>
          <a:off x="5124450" y="2037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508000</xdr:colOff>
      <xdr:row>10</xdr:row>
      <xdr:rowOff>107950</xdr:rowOff>
    </xdr:from>
    <xdr:to>
      <xdr:col>8</xdr:col>
      <xdr:colOff>0</xdr:colOff>
      <xdr:row>72</xdr:row>
      <xdr:rowOff>0</xdr:rowOff>
    </xdr:to>
    <xdr:sp macro="" textlink="">
      <xdr:nvSpPr>
        <xdr:cNvPr id="9740" name="OpenSolver624"/>
        <xdr:cNvSpPr/>
      </xdr:nvSpPr>
      <xdr:spPr>
        <a:xfrm>
          <a:off x="4689475" y="2070100"/>
          <a:ext cx="82550" cy="117030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508000</xdr:colOff>
      <xdr:row>10</xdr:row>
      <xdr:rowOff>107950</xdr:rowOff>
    </xdr:from>
    <xdr:to>
      <xdr:col>10</xdr:col>
      <xdr:colOff>0</xdr:colOff>
      <xdr:row>72</xdr:row>
      <xdr:rowOff>0</xdr:rowOff>
    </xdr:to>
    <xdr:sp macro="" textlink="">
      <xdr:nvSpPr>
        <xdr:cNvPr id="9741" name="OpenSolver625"/>
        <xdr:cNvSpPr/>
      </xdr:nvSpPr>
      <xdr:spPr>
        <a:xfrm>
          <a:off x="5870575" y="2070100"/>
          <a:ext cx="82550" cy="117030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53975</xdr:rowOff>
    </xdr:from>
    <xdr:to>
      <xdr:col>9</xdr:col>
      <xdr:colOff>508000</xdr:colOff>
      <xdr:row>41</xdr:row>
      <xdr:rowOff>53975</xdr:rowOff>
    </xdr:to>
    <xdr:cxnSp macro="">
      <xdr:nvCxnSpPr>
        <xdr:cNvPr id="9742" name="OpenSolver626"/>
        <xdr:cNvCxnSpPr>
          <a:stCxn id="9740" idx="3"/>
          <a:endCxn id="9741" idx="1"/>
        </xdr:cNvCxnSpPr>
      </xdr:nvCxnSpPr>
      <xdr:spPr>
        <a:xfrm>
          <a:off x="4772025" y="7921625"/>
          <a:ext cx="1098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358775</xdr:colOff>
      <xdr:row>40</xdr:row>
      <xdr:rowOff>117475</xdr:rowOff>
    </xdr:from>
    <xdr:to>
      <xdr:col>9</xdr:col>
      <xdr:colOff>149225</xdr:colOff>
      <xdr:row>41</xdr:row>
      <xdr:rowOff>180975</xdr:rowOff>
    </xdr:to>
    <xdr:sp macro="" textlink="">
      <xdr:nvSpPr>
        <xdr:cNvPr id="9743" name="OpenSolver627"/>
        <xdr:cNvSpPr/>
      </xdr:nvSpPr>
      <xdr:spPr>
        <a:xfrm>
          <a:off x="5130800" y="7794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508000</xdr:colOff>
      <xdr:row>76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744" name="OpenSolver628"/>
        <xdr:cNvSpPr/>
      </xdr:nvSpPr>
      <xdr:spPr>
        <a:xfrm>
          <a:off x="4689475" y="14662150"/>
          <a:ext cx="82550" cy="1168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508000</xdr:colOff>
      <xdr:row>76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745" name="OpenSolver629"/>
        <xdr:cNvSpPr/>
      </xdr:nvSpPr>
      <xdr:spPr>
        <a:xfrm>
          <a:off x="5870575" y="14662150"/>
          <a:ext cx="82550" cy="1168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63500</xdr:rowOff>
    </xdr:from>
    <xdr:to>
      <xdr:col>9</xdr:col>
      <xdr:colOff>508000</xdr:colOff>
      <xdr:row>107</xdr:row>
      <xdr:rowOff>63500</xdr:rowOff>
    </xdr:to>
    <xdr:cxnSp macro="">
      <xdr:nvCxnSpPr>
        <xdr:cNvPr id="9746" name="OpenSolver630"/>
        <xdr:cNvCxnSpPr>
          <a:stCxn id="9744" idx="3"/>
          <a:endCxn id="9745" idx="1"/>
        </xdr:cNvCxnSpPr>
      </xdr:nvCxnSpPr>
      <xdr:spPr>
        <a:xfrm>
          <a:off x="4772025" y="20504150"/>
          <a:ext cx="1098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358775</xdr:colOff>
      <xdr:row>106</xdr:row>
      <xdr:rowOff>127000</xdr:rowOff>
    </xdr:from>
    <xdr:to>
      <xdr:col>9</xdr:col>
      <xdr:colOff>149225</xdr:colOff>
      <xdr:row>108</xdr:row>
      <xdr:rowOff>0</xdr:rowOff>
    </xdr:to>
    <xdr:sp macro="" textlink="">
      <xdr:nvSpPr>
        <xdr:cNvPr id="9747" name="OpenSolver631"/>
        <xdr:cNvSpPr/>
      </xdr:nvSpPr>
      <xdr:spPr>
        <a:xfrm>
          <a:off x="5130800" y="20377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520700</xdr:colOff>
      <xdr:row>10</xdr:row>
      <xdr:rowOff>120650</xdr:rowOff>
    </xdr:from>
    <xdr:to>
      <xdr:col>8</xdr:col>
      <xdr:colOff>0</xdr:colOff>
      <xdr:row>72</xdr:row>
      <xdr:rowOff>0</xdr:rowOff>
    </xdr:to>
    <xdr:sp macro="" textlink="">
      <xdr:nvSpPr>
        <xdr:cNvPr id="9748" name="OpenSolver632"/>
        <xdr:cNvSpPr/>
      </xdr:nvSpPr>
      <xdr:spPr>
        <a:xfrm>
          <a:off x="4702175" y="2082800"/>
          <a:ext cx="69850" cy="11690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520700</xdr:colOff>
      <xdr:row>10</xdr:row>
      <xdr:rowOff>120650</xdr:rowOff>
    </xdr:from>
    <xdr:to>
      <xdr:col>10</xdr:col>
      <xdr:colOff>0</xdr:colOff>
      <xdr:row>72</xdr:row>
      <xdr:rowOff>0</xdr:rowOff>
    </xdr:to>
    <xdr:sp macro="" textlink="">
      <xdr:nvSpPr>
        <xdr:cNvPr id="9749" name="OpenSolver633"/>
        <xdr:cNvSpPr/>
      </xdr:nvSpPr>
      <xdr:spPr>
        <a:xfrm>
          <a:off x="5883275" y="2082800"/>
          <a:ext cx="69850" cy="11690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60325</xdr:rowOff>
    </xdr:from>
    <xdr:to>
      <xdr:col>9</xdr:col>
      <xdr:colOff>520700</xdr:colOff>
      <xdr:row>41</xdr:row>
      <xdr:rowOff>60325</xdr:rowOff>
    </xdr:to>
    <xdr:cxnSp macro="">
      <xdr:nvCxnSpPr>
        <xdr:cNvPr id="9750" name="OpenSolver634"/>
        <xdr:cNvCxnSpPr>
          <a:stCxn id="9748" idx="3"/>
          <a:endCxn id="9749" idx="1"/>
        </xdr:cNvCxnSpPr>
      </xdr:nvCxnSpPr>
      <xdr:spPr>
        <a:xfrm>
          <a:off x="4772025" y="7927975"/>
          <a:ext cx="11112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365125</xdr:colOff>
      <xdr:row>40</xdr:row>
      <xdr:rowOff>123825</xdr:rowOff>
    </xdr:from>
    <xdr:to>
      <xdr:col>9</xdr:col>
      <xdr:colOff>155575</xdr:colOff>
      <xdr:row>41</xdr:row>
      <xdr:rowOff>187325</xdr:rowOff>
    </xdr:to>
    <xdr:sp macro="" textlink="">
      <xdr:nvSpPr>
        <xdr:cNvPr id="9751" name="OpenSolver635"/>
        <xdr:cNvSpPr/>
      </xdr:nvSpPr>
      <xdr:spPr>
        <a:xfrm>
          <a:off x="5137150" y="7800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520700</xdr:colOff>
      <xdr:row>76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752" name="OpenSolver636"/>
        <xdr:cNvSpPr/>
      </xdr:nvSpPr>
      <xdr:spPr>
        <a:xfrm>
          <a:off x="4702175" y="14674850"/>
          <a:ext cx="69850" cy="116713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520700</xdr:colOff>
      <xdr:row>76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753" name="OpenSolver637"/>
        <xdr:cNvSpPr/>
      </xdr:nvSpPr>
      <xdr:spPr>
        <a:xfrm>
          <a:off x="5883275" y="14674850"/>
          <a:ext cx="69850" cy="116713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69850</xdr:rowOff>
    </xdr:from>
    <xdr:to>
      <xdr:col>9</xdr:col>
      <xdr:colOff>520700</xdr:colOff>
      <xdr:row>107</xdr:row>
      <xdr:rowOff>69850</xdr:rowOff>
    </xdr:to>
    <xdr:cxnSp macro="">
      <xdr:nvCxnSpPr>
        <xdr:cNvPr id="9754" name="OpenSolver638"/>
        <xdr:cNvCxnSpPr>
          <a:stCxn id="9752" idx="3"/>
          <a:endCxn id="9753" idx="1"/>
        </xdr:cNvCxnSpPr>
      </xdr:nvCxnSpPr>
      <xdr:spPr>
        <a:xfrm>
          <a:off x="4772025" y="20510500"/>
          <a:ext cx="1111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365125</xdr:colOff>
      <xdr:row>106</xdr:row>
      <xdr:rowOff>133350</xdr:rowOff>
    </xdr:from>
    <xdr:to>
      <xdr:col>9</xdr:col>
      <xdr:colOff>155575</xdr:colOff>
      <xdr:row>108</xdr:row>
      <xdr:rowOff>6350</xdr:rowOff>
    </xdr:to>
    <xdr:sp macro="" textlink="">
      <xdr:nvSpPr>
        <xdr:cNvPr id="9755" name="OpenSolver639"/>
        <xdr:cNvSpPr/>
      </xdr:nvSpPr>
      <xdr:spPr>
        <a:xfrm>
          <a:off x="5137150" y="20383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533400</xdr:colOff>
      <xdr:row>10</xdr:row>
      <xdr:rowOff>133350</xdr:rowOff>
    </xdr:from>
    <xdr:to>
      <xdr:col>8</xdr:col>
      <xdr:colOff>0</xdr:colOff>
      <xdr:row>72</xdr:row>
      <xdr:rowOff>0</xdr:rowOff>
    </xdr:to>
    <xdr:sp macro="" textlink="">
      <xdr:nvSpPr>
        <xdr:cNvPr id="9756" name="OpenSolver640"/>
        <xdr:cNvSpPr/>
      </xdr:nvSpPr>
      <xdr:spPr>
        <a:xfrm>
          <a:off x="4714875" y="2095500"/>
          <a:ext cx="57150" cy="116776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533400</xdr:colOff>
      <xdr:row>10</xdr:row>
      <xdr:rowOff>133350</xdr:rowOff>
    </xdr:from>
    <xdr:to>
      <xdr:col>10</xdr:col>
      <xdr:colOff>0</xdr:colOff>
      <xdr:row>72</xdr:row>
      <xdr:rowOff>0</xdr:rowOff>
    </xdr:to>
    <xdr:sp macro="" textlink="">
      <xdr:nvSpPr>
        <xdr:cNvPr id="9757" name="OpenSolver641"/>
        <xdr:cNvSpPr/>
      </xdr:nvSpPr>
      <xdr:spPr>
        <a:xfrm>
          <a:off x="5895975" y="2095500"/>
          <a:ext cx="57150" cy="116776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66675</xdr:rowOff>
    </xdr:from>
    <xdr:to>
      <xdr:col>9</xdr:col>
      <xdr:colOff>533400</xdr:colOff>
      <xdr:row>41</xdr:row>
      <xdr:rowOff>66675</xdr:rowOff>
    </xdr:to>
    <xdr:cxnSp macro="">
      <xdr:nvCxnSpPr>
        <xdr:cNvPr id="9758" name="OpenSolver642"/>
        <xdr:cNvCxnSpPr>
          <a:stCxn id="9756" idx="3"/>
          <a:endCxn id="9757" idx="1"/>
        </xdr:cNvCxnSpPr>
      </xdr:nvCxnSpPr>
      <xdr:spPr>
        <a:xfrm>
          <a:off x="4772025" y="7934325"/>
          <a:ext cx="11239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40</xdr:row>
      <xdr:rowOff>130175</xdr:rowOff>
    </xdr:from>
    <xdr:to>
      <xdr:col>9</xdr:col>
      <xdr:colOff>161925</xdr:colOff>
      <xdr:row>42</xdr:row>
      <xdr:rowOff>3175</xdr:rowOff>
    </xdr:to>
    <xdr:sp macro="" textlink="">
      <xdr:nvSpPr>
        <xdr:cNvPr id="9759" name="OpenSolver643"/>
        <xdr:cNvSpPr/>
      </xdr:nvSpPr>
      <xdr:spPr>
        <a:xfrm>
          <a:off x="5143500" y="7807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533400</xdr:colOff>
      <xdr:row>76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760" name="OpenSolver644"/>
        <xdr:cNvSpPr/>
      </xdr:nvSpPr>
      <xdr:spPr>
        <a:xfrm>
          <a:off x="4714875" y="14687550"/>
          <a:ext cx="57150" cy="116586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533400</xdr:colOff>
      <xdr:row>76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761" name="OpenSolver645"/>
        <xdr:cNvSpPr/>
      </xdr:nvSpPr>
      <xdr:spPr>
        <a:xfrm>
          <a:off x="5895975" y="14687550"/>
          <a:ext cx="57150" cy="116586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76200</xdr:rowOff>
    </xdr:from>
    <xdr:to>
      <xdr:col>9</xdr:col>
      <xdr:colOff>533400</xdr:colOff>
      <xdr:row>107</xdr:row>
      <xdr:rowOff>76200</xdr:rowOff>
    </xdr:to>
    <xdr:cxnSp macro="">
      <xdr:nvCxnSpPr>
        <xdr:cNvPr id="9762" name="OpenSolver646"/>
        <xdr:cNvCxnSpPr>
          <a:stCxn id="9760" idx="3"/>
          <a:endCxn id="9761" idx="1"/>
        </xdr:cNvCxnSpPr>
      </xdr:nvCxnSpPr>
      <xdr:spPr>
        <a:xfrm>
          <a:off x="4772025" y="20516850"/>
          <a:ext cx="1123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106</xdr:row>
      <xdr:rowOff>139700</xdr:rowOff>
    </xdr:from>
    <xdr:to>
      <xdr:col>9</xdr:col>
      <xdr:colOff>161925</xdr:colOff>
      <xdr:row>108</xdr:row>
      <xdr:rowOff>12700</xdr:rowOff>
    </xdr:to>
    <xdr:sp macro="" textlink="">
      <xdr:nvSpPr>
        <xdr:cNvPr id="9763" name="OpenSolver647"/>
        <xdr:cNvSpPr/>
      </xdr:nvSpPr>
      <xdr:spPr>
        <a:xfrm>
          <a:off x="5143500" y="2038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546100</xdr:colOff>
      <xdr:row>10</xdr:row>
      <xdr:rowOff>146050</xdr:rowOff>
    </xdr:from>
    <xdr:to>
      <xdr:col>8</xdr:col>
      <xdr:colOff>0</xdr:colOff>
      <xdr:row>72</xdr:row>
      <xdr:rowOff>0</xdr:rowOff>
    </xdr:to>
    <xdr:sp macro="" textlink="">
      <xdr:nvSpPr>
        <xdr:cNvPr id="9764" name="OpenSolver648"/>
        <xdr:cNvSpPr/>
      </xdr:nvSpPr>
      <xdr:spPr>
        <a:xfrm>
          <a:off x="4727575" y="2108200"/>
          <a:ext cx="44450" cy="116649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546100</xdr:colOff>
      <xdr:row>10</xdr:row>
      <xdr:rowOff>146050</xdr:rowOff>
    </xdr:from>
    <xdr:to>
      <xdr:col>10</xdr:col>
      <xdr:colOff>0</xdr:colOff>
      <xdr:row>72</xdr:row>
      <xdr:rowOff>0</xdr:rowOff>
    </xdr:to>
    <xdr:sp macro="" textlink="">
      <xdr:nvSpPr>
        <xdr:cNvPr id="9765" name="OpenSolver649"/>
        <xdr:cNvSpPr/>
      </xdr:nvSpPr>
      <xdr:spPr>
        <a:xfrm>
          <a:off x="5908675" y="2108200"/>
          <a:ext cx="44450" cy="116649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73025</xdr:rowOff>
    </xdr:from>
    <xdr:to>
      <xdr:col>9</xdr:col>
      <xdr:colOff>546100</xdr:colOff>
      <xdr:row>41</xdr:row>
      <xdr:rowOff>73025</xdr:rowOff>
    </xdr:to>
    <xdr:cxnSp macro="">
      <xdr:nvCxnSpPr>
        <xdr:cNvPr id="9766" name="OpenSolver650"/>
        <xdr:cNvCxnSpPr>
          <a:stCxn id="9764" idx="3"/>
          <a:endCxn id="9765" idx="1"/>
        </xdr:cNvCxnSpPr>
      </xdr:nvCxnSpPr>
      <xdr:spPr>
        <a:xfrm>
          <a:off x="4772025" y="7940675"/>
          <a:ext cx="1136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377825</xdr:colOff>
      <xdr:row>40</xdr:row>
      <xdr:rowOff>136525</xdr:rowOff>
    </xdr:from>
    <xdr:to>
      <xdr:col>9</xdr:col>
      <xdr:colOff>168275</xdr:colOff>
      <xdr:row>42</xdr:row>
      <xdr:rowOff>9525</xdr:rowOff>
    </xdr:to>
    <xdr:sp macro="" textlink="">
      <xdr:nvSpPr>
        <xdr:cNvPr id="9767" name="OpenSolver651"/>
        <xdr:cNvSpPr/>
      </xdr:nvSpPr>
      <xdr:spPr>
        <a:xfrm>
          <a:off x="5149850" y="7813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546100</xdr:colOff>
      <xdr:row>76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768" name="OpenSolver652"/>
        <xdr:cNvSpPr/>
      </xdr:nvSpPr>
      <xdr:spPr>
        <a:xfrm>
          <a:off x="4727575" y="14700250"/>
          <a:ext cx="44450" cy="116459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546100</xdr:colOff>
      <xdr:row>76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769" name="OpenSolver653"/>
        <xdr:cNvSpPr/>
      </xdr:nvSpPr>
      <xdr:spPr>
        <a:xfrm>
          <a:off x="5908675" y="14700250"/>
          <a:ext cx="44450" cy="116459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82550</xdr:rowOff>
    </xdr:from>
    <xdr:to>
      <xdr:col>9</xdr:col>
      <xdr:colOff>546100</xdr:colOff>
      <xdr:row>107</xdr:row>
      <xdr:rowOff>82550</xdr:rowOff>
    </xdr:to>
    <xdr:cxnSp macro="">
      <xdr:nvCxnSpPr>
        <xdr:cNvPr id="9770" name="OpenSolver654"/>
        <xdr:cNvCxnSpPr>
          <a:stCxn id="9768" idx="3"/>
          <a:endCxn id="9769" idx="1"/>
        </xdr:cNvCxnSpPr>
      </xdr:nvCxnSpPr>
      <xdr:spPr>
        <a:xfrm>
          <a:off x="4772025" y="20523200"/>
          <a:ext cx="1136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377825</xdr:colOff>
      <xdr:row>106</xdr:row>
      <xdr:rowOff>146050</xdr:rowOff>
    </xdr:from>
    <xdr:to>
      <xdr:col>9</xdr:col>
      <xdr:colOff>168275</xdr:colOff>
      <xdr:row>108</xdr:row>
      <xdr:rowOff>19050</xdr:rowOff>
    </xdr:to>
    <xdr:sp macro="" textlink="">
      <xdr:nvSpPr>
        <xdr:cNvPr id="9771" name="OpenSolver655"/>
        <xdr:cNvSpPr/>
      </xdr:nvSpPr>
      <xdr:spPr>
        <a:xfrm>
          <a:off x="5149850" y="20396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558800</xdr:colOff>
      <xdr:row>10</xdr:row>
      <xdr:rowOff>158750</xdr:rowOff>
    </xdr:from>
    <xdr:to>
      <xdr:col>8</xdr:col>
      <xdr:colOff>0</xdr:colOff>
      <xdr:row>72</xdr:row>
      <xdr:rowOff>0</xdr:rowOff>
    </xdr:to>
    <xdr:sp macro="" textlink="">
      <xdr:nvSpPr>
        <xdr:cNvPr id="9772" name="OpenSolver656"/>
        <xdr:cNvSpPr/>
      </xdr:nvSpPr>
      <xdr:spPr>
        <a:xfrm>
          <a:off x="4740275" y="2120900"/>
          <a:ext cx="31750" cy="116522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558800</xdr:colOff>
      <xdr:row>10</xdr:row>
      <xdr:rowOff>158750</xdr:rowOff>
    </xdr:from>
    <xdr:to>
      <xdr:col>10</xdr:col>
      <xdr:colOff>0</xdr:colOff>
      <xdr:row>72</xdr:row>
      <xdr:rowOff>0</xdr:rowOff>
    </xdr:to>
    <xdr:sp macro="" textlink="">
      <xdr:nvSpPr>
        <xdr:cNvPr id="9773" name="OpenSolver657"/>
        <xdr:cNvSpPr/>
      </xdr:nvSpPr>
      <xdr:spPr>
        <a:xfrm>
          <a:off x="5921375" y="2120900"/>
          <a:ext cx="31750" cy="116522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79375</xdr:rowOff>
    </xdr:from>
    <xdr:to>
      <xdr:col>9</xdr:col>
      <xdr:colOff>558800</xdr:colOff>
      <xdr:row>41</xdr:row>
      <xdr:rowOff>79375</xdr:rowOff>
    </xdr:to>
    <xdr:cxnSp macro="">
      <xdr:nvCxnSpPr>
        <xdr:cNvPr id="9774" name="OpenSolver658"/>
        <xdr:cNvCxnSpPr>
          <a:stCxn id="9772" idx="3"/>
          <a:endCxn id="9773" idx="1"/>
        </xdr:cNvCxnSpPr>
      </xdr:nvCxnSpPr>
      <xdr:spPr>
        <a:xfrm>
          <a:off x="4772025" y="7947025"/>
          <a:ext cx="11493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384175</xdr:colOff>
      <xdr:row>40</xdr:row>
      <xdr:rowOff>142875</xdr:rowOff>
    </xdr:from>
    <xdr:to>
      <xdr:col>9</xdr:col>
      <xdr:colOff>174625</xdr:colOff>
      <xdr:row>42</xdr:row>
      <xdr:rowOff>15875</xdr:rowOff>
    </xdr:to>
    <xdr:sp macro="" textlink="">
      <xdr:nvSpPr>
        <xdr:cNvPr id="9775" name="OpenSolver659"/>
        <xdr:cNvSpPr/>
      </xdr:nvSpPr>
      <xdr:spPr>
        <a:xfrm>
          <a:off x="5156200" y="7820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558800</xdr:colOff>
      <xdr:row>76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776" name="OpenSolver660"/>
        <xdr:cNvSpPr/>
      </xdr:nvSpPr>
      <xdr:spPr>
        <a:xfrm>
          <a:off x="4740275" y="14712950"/>
          <a:ext cx="31750" cy="116332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558800</xdr:colOff>
      <xdr:row>76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777" name="OpenSolver661"/>
        <xdr:cNvSpPr/>
      </xdr:nvSpPr>
      <xdr:spPr>
        <a:xfrm>
          <a:off x="5921375" y="14712950"/>
          <a:ext cx="31750" cy="116332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88900</xdr:rowOff>
    </xdr:from>
    <xdr:to>
      <xdr:col>9</xdr:col>
      <xdr:colOff>558800</xdr:colOff>
      <xdr:row>107</xdr:row>
      <xdr:rowOff>88900</xdr:rowOff>
    </xdr:to>
    <xdr:cxnSp macro="">
      <xdr:nvCxnSpPr>
        <xdr:cNvPr id="9778" name="OpenSolver662"/>
        <xdr:cNvCxnSpPr>
          <a:stCxn id="9776" idx="3"/>
          <a:endCxn id="9777" idx="1"/>
        </xdr:cNvCxnSpPr>
      </xdr:nvCxnSpPr>
      <xdr:spPr>
        <a:xfrm>
          <a:off x="4772025" y="20529550"/>
          <a:ext cx="1149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384175</xdr:colOff>
      <xdr:row>106</xdr:row>
      <xdr:rowOff>152400</xdr:rowOff>
    </xdr:from>
    <xdr:to>
      <xdr:col>9</xdr:col>
      <xdr:colOff>174625</xdr:colOff>
      <xdr:row>108</xdr:row>
      <xdr:rowOff>25400</xdr:rowOff>
    </xdr:to>
    <xdr:sp macro="" textlink="">
      <xdr:nvSpPr>
        <xdr:cNvPr id="9779" name="OpenSolver663"/>
        <xdr:cNvSpPr/>
      </xdr:nvSpPr>
      <xdr:spPr>
        <a:xfrm>
          <a:off x="5156200" y="20402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571500</xdr:colOff>
      <xdr:row>10</xdr:row>
      <xdr:rowOff>171450</xdr:rowOff>
    </xdr:from>
    <xdr:to>
      <xdr:col>8</xdr:col>
      <xdr:colOff>0</xdr:colOff>
      <xdr:row>72</xdr:row>
      <xdr:rowOff>0</xdr:rowOff>
    </xdr:to>
    <xdr:sp macro="" textlink="">
      <xdr:nvSpPr>
        <xdr:cNvPr id="9780" name="OpenSolver664"/>
        <xdr:cNvSpPr/>
      </xdr:nvSpPr>
      <xdr:spPr>
        <a:xfrm>
          <a:off x="4752975" y="2133600"/>
          <a:ext cx="19050" cy="116395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571500</xdr:colOff>
      <xdr:row>10</xdr:row>
      <xdr:rowOff>171450</xdr:rowOff>
    </xdr:from>
    <xdr:to>
      <xdr:col>10</xdr:col>
      <xdr:colOff>0</xdr:colOff>
      <xdr:row>72</xdr:row>
      <xdr:rowOff>0</xdr:rowOff>
    </xdr:to>
    <xdr:sp macro="" textlink="">
      <xdr:nvSpPr>
        <xdr:cNvPr id="9781" name="OpenSolver665"/>
        <xdr:cNvSpPr/>
      </xdr:nvSpPr>
      <xdr:spPr>
        <a:xfrm>
          <a:off x="5934075" y="2133600"/>
          <a:ext cx="19050" cy="116395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85725</xdr:rowOff>
    </xdr:from>
    <xdr:to>
      <xdr:col>9</xdr:col>
      <xdr:colOff>571500</xdr:colOff>
      <xdr:row>41</xdr:row>
      <xdr:rowOff>85725</xdr:rowOff>
    </xdr:to>
    <xdr:cxnSp macro="">
      <xdr:nvCxnSpPr>
        <xdr:cNvPr id="9782" name="OpenSolver666"/>
        <xdr:cNvCxnSpPr>
          <a:stCxn id="9780" idx="3"/>
          <a:endCxn id="9781" idx="1"/>
        </xdr:cNvCxnSpPr>
      </xdr:nvCxnSpPr>
      <xdr:spPr>
        <a:xfrm>
          <a:off x="4772025" y="7953375"/>
          <a:ext cx="11620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40</xdr:row>
      <xdr:rowOff>149225</xdr:rowOff>
    </xdr:from>
    <xdr:to>
      <xdr:col>9</xdr:col>
      <xdr:colOff>180975</xdr:colOff>
      <xdr:row>42</xdr:row>
      <xdr:rowOff>22225</xdr:rowOff>
    </xdr:to>
    <xdr:sp macro="" textlink="">
      <xdr:nvSpPr>
        <xdr:cNvPr id="9783" name="OpenSolver667"/>
        <xdr:cNvSpPr/>
      </xdr:nvSpPr>
      <xdr:spPr>
        <a:xfrm>
          <a:off x="51625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571500</xdr:colOff>
      <xdr:row>77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784" name="OpenSolver668"/>
        <xdr:cNvSpPr/>
      </xdr:nvSpPr>
      <xdr:spPr>
        <a:xfrm>
          <a:off x="4752975" y="14725650"/>
          <a:ext cx="19050" cy="1162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571500</xdr:colOff>
      <xdr:row>77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785" name="OpenSolver669"/>
        <xdr:cNvSpPr/>
      </xdr:nvSpPr>
      <xdr:spPr>
        <a:xfrm>
          <a:off x="5934075" y="14725650"/>
          <a:ext cx="19050" cy="1162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571500</xdr:colOff>
      <xdr:row>107</xdr:row>
      <xdr:rowOff>95250</xdr:rowOff>
    </xdr:to>
    <xdr:cxnSp macro="">
      <xdr:nvCxnSpPr>
        <xdr:cNvPr id="9786" name="OpenSolver670"/>
        <xdr:cNvCxnSpPr>
          <a:stCxn id="9784" idx="3"/>
          <a:endCxn id="9785" idx="1"/>
        </xdr:cNvCxnSpPr>
      </xdr:nvCxnSpPr>
      <xdr:spPr>
        <a:xfrm>
          <a:off x="4772025" y="20535900"/>
          <a:ext cx="11620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106</xdr:row>
      <xdr:rowOff>158750</xdr:rowOff>
    </xdr:from>
    <xdr:to>
      <xdr:col>9</xdr:col>
      <xdr:colOff>180975</xdr:colOff>
      <xdr:row>108</xdr:row>
      <xdr:rowOff>31750</xdr:rowOff>
    </xdr:to>
    <xdr:sp macro="" textlink="">
      <xdr:nvSpPr>
        <xdr:cNvPr id="9787" name="OpenSolver671"/>
        <xdr:cNvSpPr/>
      </xdr:nvSpPr>
      <xdr:spPr>
        <a:xfrm>
          <a:off x="5162550" y="20408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584200</xdr:colOff>
      <xdr:row>10</xdr:row>
      <xdr:rowOff>184150</xdr:rowOff>
    </xdr:from>
    <xdr:to>
      <xdr:col>8</xdr:col>
      <xdr:colOff>0</xdr:colOff>
      <xdr:row>72</xdr:row>
      <xdr:rowOff>0</xdr:rowOff>
    </xdr:to>
    <xdr:sp macro="" textlink="">
      <xdr:nvSpPr>
        <xdr:cNvPr id="9788" name="OpenSolver672"/>
        <xdr:cNvSpPr/>
      </xdr:nvSpPr>
      <xdr:spPr>
        <a:xfrm>
          <a:off x="4765675" y="2146300"/>
          <a:ext cx="6350" cy="116268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584200</xdr:colOff>
      <xdr:row>10</xdr:row>
      <xdr:rowOff>184150</xdr:rowOff>
    </xdr:from>
    <xdr:to>
      <xdr:col>10</xdr:col>
      <xdr:colOff>0</xdr:colOff>
      <xdr:row>72</xdr:row>
      <xdr:rowOff>0</xdr:rowOff>
    </xdr:to>
    <xdr:sp macro="" textlink="">
      <xdr:nvSpPr>
        <xdr:cNvPr id="9789" name="OpenSolver673"/>
        <xdr:cNvSpPr/>
      </xdr:nvSpPr>
      <xdr:spPr>
        <a:xfrm>
          <a:off x="5946775" y="2146300"/>
          <a:ext cx="6350" cy="116268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92075</xdr:rowOff>
    </xdr:from>
    <xdr:to>
      <xdr:col>9</xdr:col>
      <xdr:colOff>584200</xdr:colOff>
      <xdr:row>41</xdr:row>
      <xdr:rowOff>92075</xdr:rowOff>
    </xdr:to>
    <xdr:cxnSp macro="">
      <xdr:nvCxnSpPr>
        <xdr:cNvPr id="9790" name="OpenSolver674"/>
        <xdr:cNvCxnSpPr>
          <a:stCxn id="9788" idx="3"/>
          <a:endCxn id="9789" idx="1"/>
        </xdr:cNvCxnSpPr>
      </xdr:nvCxnSpPr>
      <xdr:spPr>
        <a:xfrm>
          <a:off x="4772025" y="7959725"/>
          <a:ext cx="11747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396875</xdr:colOff>
      <xdr:row>40</xdr:row>
      <xdr:rowOff>155575</xdr:rowOff>
    </xdr:from>
    <xdr:to>
      <xdr:col>9</xdr:col>
      <xdr:colOff>187325</xdr:colOff>
      <xdr:row>42</xdr:row>
      <xdr:rowOff>28575</xdr:rowOff>
    </xdr:to>
    <xdr:sp macro="" textlink="">
      <xdr:nvSpPr>
        <xdr:cNvPr id="9791" name="OpenSolver675"/>
        <xdr:cNvSpPr/>
      </xdr:nvSpPr>
      <xdr:spPr>
        <a:xfrm>
          <a:off x="5168900" y="7832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584200</xdr:colOff>
      <xdr:row>77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792" name="OpenSolver676"/>
        <xdr:cNvSpPr/>
      </xdr:nvSpPr>
      <xdr:spPr>
        <a:xfrm>
          <a:off x="4765675" y="14738350"/>
          <a:ext cx="6350" cy="1160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584200</xdr:colOff>
      <xdr:row>77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793" name="OpenSolver677"/>
        <xdr:cNvSpPr/>
      </xdr:nvSpPr>
      <xdr:spPr>
        <a:xfrm>
          <a:off x="5946775" y="14738350"/>
          <a:ext cx="6350" cy="1160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101600</xdr:rowOff>
    </xdr:from>
    <xdr:to>
      <xdr:col>9</xdr:col>
      <xdr:colOff>584200</xdr:colOff>
      <xdr:row>107</xdr:row>
      <xdr:rowOff>101600</xdr:rowOff>
    </xdr:to>
    <xdr:cxnSp macro="">
      <xdr:nvCxnSpPr>
        <xdr:cNvPr id="9794" name="OpenSolver678"/>
        <xdr:cNvCxnSpPr>
          <a:stCxn id="9792" idx="3"/>
          <a:endCxn id="9793" idx="1"/>
        </xdr:cNvCxnSpPr>
      </xdr:nvCxnSpPr>
      <xdr:spPr>
        <a:xfrm>
          <a:off x="4772025" y="20542250"/>
          <a:ext cx="11747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396875</xdr:colOff>
      <xdr:row>106</xdr:row>
      <xdr:rowOff>165100</xdr:rowOff>
    </xdr:from>
    <xdr:to>
      <xdr:col>9</xdr:col>
      <xdr:colOff>187325</xdr:colOff>
      <xdr:row>108</xdr:row>
      <xdr:rowOff>38100</xdr:rowOff>
    </xdr:to>
    <xdr:sp macro="" textlink="">
      <xdr:nvSpPr>
        <xdr:cNvPr id="9795" name="OpenSolver679"/>
        <xdr:cNvSpPr/>
      </xdr:nvSpPr>
      <xdr:spPr>
        <a:xfrm>
          <a:off x="5168900" y="20415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192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814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/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81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625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720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768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4181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53625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720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8768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4181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53625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720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16" name="OpenSolver15"/>
        <xdr:cNvSpPr/>
      </xdr:nvSpPr>
      <xdr:spPr>
        <a:xfrm>
          <a:off x="48768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12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13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4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16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790700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560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9" name="OpenSolver8"/>
        <xdr:cNvSpPr/>
      </xdr:nvSpPr>
      <xdr:spPr>
        <a:xfrm>
          <a:off x="1803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6350</xdr:colOff>
      <xdr:row>3</xdr:row>
      <xdr:rowOff>15875</xdr:rowOff>
    </xdr:from>
    <xdr:to>
      <xdr:col>4</xdr:col>
      <xdr:colOff>58480</xdr:colOff>
      <xdr:row>3</xdr:row>
      <xdr:rowOff>130175</xdr:rowOff>
    </xdr:to>
    <xdr:sp macro="" textlink="">
      <xdr:nvSpPr>
        <xdr:cNvPr id="10" name="OpenSolver9"/>
        <xdr:cNvSpPr/>
      </xdr:nvSpPr>
      <xdr:spPr>
        <a:xfrm>
          <a:off x="2387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64830</xdr:colOff>
      <xdr:row>3</xdr:row>
      <xdr:rowOff>130175</xdr:rowOff>
    </xdr:to>
    <xdr:sp macro="" textlink="">
      <xdr:nvSpPr>
        <xdr:cNvPr id="11" name="OpenSolver10"/>
        <xdr:cNvSpPr/>
      </xdr:nvSpPr>
      <xdr:spPr>
        <a:xfrm>
          <a:off x="29845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790700" y="781050"/>
          <a:ext cx="2952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4724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47434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59245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5334000" y="146208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104775</xdr:colOff>
      <xdr:row>6</xdr:row>
      <xdr:rowOff>163513</xdr:rowOff>
    </xdr:from>
    <xdr:to>
      <xdr:col>9</xdr:col>
      <xdr:colOff>485775</xdr:colOff>
      <xdr:row>8</xdr:row>
      <xdr:rowOff>36513</xdr:rowOff>
    </xdr:to>
    <xdr:sp macro="" textlink="">
      <xdr:nvSpPr>
        <xdr:cNvPr id="8" name="OpenSolver7"/>
        <xdr:cNvSpPr/>
      </xdr:nvSpPr>
      <xdr:spPr>
        <a:xfrm>
          <a:off x="5438775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11" name="OpenSolver1"/>
        <xdr:cNvSpPr/>
      </xdr:nvSpPr>
      <xdr:spPr>
        <a:xfrm>
          <a:off x="1219200" y="581025"/>
          <a:ext cx="12382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12" name="OpenSolver2"/>
        <xdr:cNvSpPr/>
      </xdr:nvSpPr>
      <xdr:spPr>
        <a:xfrm>
          <a:off x="1219200" y="971550"/>
          <a:ext cx="61912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206375</xdr:colOff>
      <xdr:row>4</xdr:row>
      <xdr:rowOff>107950</xdr:rowOff>
    </xdr:from>
    <xdr:to>
      <xdr:col>2</xdr:col>
      <xdr:colOff>218389</xdr:colOff>
      <xdr:row>5</xdr:row>
      <xdr:rowOff>44450</xdr:rowOff>
    </xdr:to>
    <xdr:sp macro="" textlink="">
      <xdr:nvSpPr>
        <xdr:cNvPr id="13" name="OpenSolver3"/>
        <xdr:cNvSpPr/>
      </xdr:nvSpPr>
      <xdr:spPr>
        <a:xfrm>
          <a:off x="1206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4" name="OpenSolver4"/>
        <xdr:cNvSpPr/>
      </xdr:nvSpPr>
      <xdr:spPr>
        <a:xfrm>
          <a:off x="2457450" y="1362075"/>
          <a:ext cx="3619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5" name="OpenSolver5"/>
        <xdr:cNvSpPr/>
      </xdr:nvSpPr>
      <xdr:spPr>
        <a:xfrm>
          <a:off x="3067050" y="1362075"/>
          <a:ext cx="1905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4763</xdr:rowOff>
    </xdr:from>
    <xdr:to>
      <xdr:col>6</xdr:col>
      <xdr:colOff>0</xdr:colOff>
      <xdr:row>8</xdr:row>
      <xdr:rowOff>4763</xdr:rowOff>
    </xdr:to>
    <xdr:cxnSp macro="">
      <xdr:nvCxnSpPr>
        <xdr:cNvPr id="16" name="OpenSolver6"/>
        <xdr:cNvCxnSpPr>
          <a:stCxn id="14" idx="3"/>
          <a:endCxn id="15" idx="1"/>
        </xdr:cNvCxnSpPr>
      </xdr:nvCxnSpPr>
      <xdr:spPr>
        <a:xfrm>
          <a:off x="2819400" y="1557338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68263</xdr:rowOff>
    </xdr:from>
    <xdr:to>
      <xdr:col>6</xdr:col>
      <xdr:colOff>66675</xdr:colOff>
      <xdr:row>8</xdr:row>
      <xdr:rowOff>131763</xdr:rowOff>
    </xdr:to>
    <xdr:sp macro="" textlink="">
      <xdr:nvSpPr>
        <xdr:cNvPr id="17" name="OpenSolver7"/>
        <xdr:cNvSpPr/>
      </xdr:nvSpPr>
      <xdr:spPr>
        <a:xfrm>
          <a:off x="275272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12700</xdr:colOff>
      <xdr:row>3</xdr:row>
      <xdr:rowOff>15875</xdr:rowOff>
    </xdr:from>
    <xdr:to>
      <xdr:col>2</xdr:col>
      <xdr:colOff>99006</xdr:colOff>
      <xdr:row>3</xdr:row>
      <xdr:rowOff>130175</xdr:rowOff>
    </xdr:to>
    <xdr:sp macro="" textlink="">
      <xdr:nvSpPr>
        <xdr:cNvPr id="18" name="OpenSolver8"/>
        <xdr:cNvSpPr/>
      </xdr:nvSpPr>
      <xdr:spPr>
        <a:xfrm>
          <a:off x="12319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15875</xdr:colOff>
      <xdr:row>3</xdr:row>
      <xdr:rowOff>15875</xdr:rowOff>
    </xdr:from>
    <xdr:to>
      <xdr:col>3</xdr:col>
      <xdr:colOff>102181</xdr:colOff>
      <xdr:row>3</xdr:row>
      <xdr:rowOff>130175</xdr:rowOff>
    </xdr:to>
    <xdr:sp macro="" textlink="">
      <xdr:nvSpPr>
        <xdr:cNvPr id="19" name="OpenSolver9"/>
        <xdr:cNvSpPr/>
      </xdr:nvSpPr>
      <xdr:spPr>
        <a:xfrm>
          <a:off x="18542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54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55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56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7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58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59" name="OpenSolver6"/>
        <xdr:cNvCxnSpPr>
          <a:stCxn id="57" idx="3"/>
          <a:endCxn id="58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60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61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62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63" name="OpenSolver10"/>
        <xdr:cNvCxnSpPr>
          <a:stCxn id="61" idx="3"/>
          <a:endCxn id="62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64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65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66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67" name="OpenSolver14"/>
        <xdr:cNvCxnSpPr>
          <a:stCxn id="65" idx="3"/>
          <a:endCxn id="66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68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69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70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71" name="OpenSolver18"/>
        <xdr:cNvCxnSpPr>
          <a:stCxn id="69" idx="3"/>
          <a:endCxn id="70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72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73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74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75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76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77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7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7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8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81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82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83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84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85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86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87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88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89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90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91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92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93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94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95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96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97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98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99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100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101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102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103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104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105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7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8" name="OpenSolver4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0</xdr:colOff>
      <xdr:row>11</xdr:row>
      <xdr:rowOff>0</xdr:rowOff>
    </xdr:to>
    <xdr:sp macro="" textlink="">
      <xdr:nvSpPr>
        <xdr:cNvPr id="9" name="OpenSolver5"/>
        <xdr:cNvSpPr/>
      </xdr:nvSpPr>
      <xdr:spPr>
        <a:xfrm>
          <a:off x="9280525" y="1765300"/>
          <a:ext cx="5778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12700</xdr:colOff>
      <xdr:row>10</xdr:row>
      <xdr:rowOff>1588</xdr:rowOff>
    </xdr:to>
    <xdr:cxnSp macro="">
      <xdr:nvCxnSpPr>
        <xdr:cNvPr id="10" name="OpenSolver6"/>
        <xdr:cNvCxnSpPr>
          <a:stCxn id="8" idx="3"/>
          <a:endCxn id="9" idx="1"/>
        </xdr:cNvCxnSpPr>
      </xdr:nvCxnSpPr>
      <xdr:spPr>
        <a:xfrm>
          <a:off x="8677275" y="1947863"/>
          <a:ext cx="6032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111125</xdr:colOff>
      <xdr:row>9</xdr:row>
      <xdr:rowOff>71438</xdr:rowOff>
    </xdr:from>
    <xdr:to>
      <xdr:col>17</xdr:col>
      <xdr:colOff>492125</xdr:colOff>
      <xdr:row>10</xdr:row>
      <xdr:rowOff>125413</xdr:rowOff>
    </xdr:to>
    <xdr:sp macro="" textlink="">
      <xdr:nvSpPr>
        <xdr:cNvPr id="11" name="OpenSolver7"/>
        <xdr:cNvSpPr/>
      </xdr:nvSpPr>
      <xdr:spPr>
        <a:xfrm>
          <a:off x="87884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0</xdr:colOff>
      <xdr:row>11</xdr:row>
      <xdr:rowOff>0</xdr:rowOff>
    </xdr:to>
    <xdr:sp macro="" textlink="">
      <xdr:nvSpPr>
        <xdr:cNvPr id="12" name="OpenSolver8"/>
        <xdr:cNvSpPr/>
      </xdr:nvSpPr>
      <xdr:spPr>
        <a:xfrm>
          <a:off x="9293225" y="1778000"/>
          <a:ext cx="5651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3" name="OpenSolver9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9</xdr:row>
      <xdr:rowOff>195263</xdr:rowOff>
    </xdr:from>
    <xdr:to>
      <xdr:col>20</xdr:col>
      <xdr:colOff>0</xdr:colOff>
      <xdr:row>10</xdr:row>
      <xdr:rowOff>7938</xdr:rowOff>
    </xdr:to>
    <xdr:cxnSp macro="">
      <xdr:nvCxnSpPr>
        <xdr:cNvPr id="14" name="OpenSolver10"/>
        <xdr:cNvCxnSpPr>
          <a:stCxn id="12" idx="3"/>
          <a:endCxn id="13" idx="1"/>
        </xdr:cNvCxnSpPr>
      </xdr:nvCxnSpPr>
      <xdr:spPr>
        <a:xfrm flipV="1">
          <a:off x="9858375" y="1947863"/>
          <a:ext cx="5905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104775</xdr:colOff>
      <xdr:row>9</xdr:row>
      <xdr:rowOff>74613</xdr:rowOff>
    </xdr:from>
    <xdr:to>
      <xdr:col>19</xdr:col>
      <xdr:colOff>485775</xdr:colOff>
      <xdr:row>10</xdr:row>
      <xdr:rowOff>128588</xdr:rowOff>
    </xdr:to>
    <xdr:sp macro="" textlink="">
      <xdr:nvSpPr>
        <xdr:cNvPr id="15" name="OpenSolver11"/>
        <xdr:cNvSpPr/>
      </xdr:nvSpPr>
      <xdr:spPr>
        <a:xfrm>
          <a:off x="99631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9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10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1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10</xdr:row>
      <xdr:rowOff>12700</xdr:rowOff>
    </xdr:from>
    <xdr:to>
      <xdr:col>4</xdr:col>
      <xdr:colOff>0</xdr:colOff>
      <xdr:row>11</xdr:row>
      <xdr:rowOff>0</xdr:rowOff>
    </xdr:to>
    <xdr:sp macro="" textlink="">
      <xdr:nvSpPr>
        <xdr:cNvPr id="12" name="OpenSolverD11"/>
        <xdr:cNvSpPr/>
      </xdr:nvSpPr>
      <xdr:spPr>
        <a:xfrm>
          <a:off x="2898775" y="1965325"/>
          <a:ext cx="78740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1000≥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657350" y="3067050"/>
          <a:ext cx="2419350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2" name="OpenSolver1"/>
        <xdr:cNvSpPr/>
      </xdr:nvSpPr>
      <xdr:spPr>
        <a:xfrm>
          <a:off x="2159000" y="1104900"/>
          <a:ext cx="533400" cy="355600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3" name="OpenSolver2"/>
        <xdr:cNvSpPr/>
      </xdr:nvSpPr>
      <xdr:spPr>
        <a:xfrm>
          <a:off x="3479800" y="2552700"/>
          <a:ext cx="787400" cy="1778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774700</xdr:colOff>
      <xdr:row>13</xdr:row>
      <xdr:rowOff>101600</xdr:rowOff>
    </xdr:from>
    <xdr:to>
      <xdr:col>5</xdr:col>
      <xdr:colOff>192271</xdr:colOff>
      <xdr:row>14</xdr:row>
      <xdr:rowOff>50800</xdr:rowOff>
    </xdr:to>
    <xdr:sp macro="" textlink="">
      <xdr:nvSpPr>
        <xdr:cNvPr id="34" name="OpenSolver3"/>
        <xdr:cNvSpPr/>
      </xdr:nvSpPr>
      <xdr:spPr>
        <a:xfrm>
          <a:off x="3467100" y="2476500"/>
          <a:ext cx="204971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35" name="OpenSolverD7"/>
        <xdr:cNvSpPr/>
      </xdr:nvSpPr>
      <xdr:spPr>
        <a:xfrm>
          <a:off x="2159000" y="1104900"/>
          <a:ext cx="53340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0≤,90≥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6" name="OpenSolverD8"/>
        <xdr:cNvSpPr/>
      </xdr:nvSpPr>
      <xdr:spPr>
        <a:xfrm>
          <a:off x="2159000" y="1282700"/>
          <a:ext cx="53340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-180≤,0≥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2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4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2286000" y="13335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6</xdr:row>
      <xdr:rowOff>63500</xdr:rowOff>
    </xdr:from>
    <xdr:to>
      <xdr:col>8</xdr:col>
      <xdr:colOff>90488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2195513" y="1206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228600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7</xdr:row>
      <xdr:rowOff>158750</xdr:rowOff>
    </xdr:from>
    <xdr:to>
      <xdr:col>8</xdr:col>
      <xdr:colOff>90488</xdr:colOff>
      <xdr:row>9</xdr:row>
      <xdr:rowOff>31750</xdr:rowOff>
    </xdr:to>
    <xdr:sp macro="" textlink="">
      <xdr:nvSpPr>
        <xdr:cNvPr id="12" name="OpenSolver11"/>
        <xdr:cNvSpPr/>
      </xdr:nvSpPr>
      <xdr:spPr>
        <a:xfrm>
          <a:off x="219551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228600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8</xdr:row>
      <xdr:rowOff>158750</xdr:rowOff>
    </xdr:from>
    <xdr:to>
      <xdr:col>8</xdr:col>
      <xdr:colOff>90488</xdr:colOff>
      <xdr:row>10</xdr:row>
      <xdr:rowOff>31750</xdr:rowOff>
    </xdr:to>
    <xdr:sp macro="" textlink="">
      <xdr:nvSpPr>
        <xdr:cNvPr id="16" name="OpenSolver15"/>
        <xdr:cNvSpPr/>
      </xdr:nvSpPr>
      <xdr:spPr>
        <a:xfrm>
          <a:off x="219551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7" name="OpenSolverM15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12≥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cxnSp macro="">
      <xdr:nvCxnSpPr>
        <xdr:cNvPr id="20" name="OpenSolver19"/>
        <xdr:cNvCxnSpPr>
          <a:stCxn id="18" idx="3"/>
          <a:endCxn id="19" idx="1"/>
        </xdr:cNvCxnSpPr>
      </xdr:nvCxnSpPr>
      <xdr:spPr>
        <a:xfrm>
          <a:off x="4333875" y="219075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276225</xdr:colOff>
      <xdr:row>10</xdr:row>
      <xdr:rowOff>158750</xdr:rowOff>
    </xdr:from>
    <xdr:to>
      <xdr:col>13</xdr:col>
      <xdr:colOff>190500</xdr:colOff>
      <xdr:row>12</xdr:row>
      <xdr:rowOff>31750</xdr:rowOff>
    </xdr:to>
    <xdr:sp macro="" textlink="">
      <xdr:nvSpPr>
        <xdr:cNvPr id="21" name="OpenSolver20"/>
        <xdr:cNvSpPr/>
      </xdr:nvSpPr>
      <xdr:spPr>
        <a:xfrm>
          <a:off x="4143375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22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0</xdr:colOff>
      <xdr:row>12</xdr:row>
      <xdr:rowOff>0</xdr:rowOff>
    </xdr:to>
    <xdr:sp macro="" textlink="">
      <xdr:nvSpPr>
        <xdr:cNvPr id="23" name="OpenSolver22"/>
        <xdr:cNvSpPr/>
      </xdr:nvSpPr>
      <xdr:spPr>
        <a:xfrm>
          <a:off x="3879850" y="2108200"/>
          <a:ext cx="454025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101600</xdr:rowOff>
    </xdr:to>
    <xdr:cxnSp macro="">
      <xdr:nvCxnSpPr>
        <xdr:cNvPr id="24" name="OpenSolver23"/>
        <xdr:cNvCxnSpPr>
          <a:stCxn id="22" idx="3"/>
          <a:endCxn id="23" idx="1"/>
        </xdr:cNvCxnSpPr>
      </xdr:nvCxnSpPr>
      <xdr:spPr>
        <a:xfrm>
          <a:off x="3867150" y="2190750"/>
          <a:ext cx="12700" cy="63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161925</xdr:rowOff>
    </xdr:from>
    <xdr:to>
      <xdr:col>12</xdr:col>
      <xdr:colOff>196850</xdr:colOff>
      <xdr:row>12</xdr:row>
      <xdr:rowOff>34925</xdr:rowOff>
    </xdr:to>
    <xdr:sp macro="" textlink="">
      <xdr:nvSpPr>
        <xdr:cNvPr id="25" name="OpenSolver24"/>
        <xdr:cNvSpPr/>
      </xdr:nvSpPr>
      <xdr:spPr>
        <a:xfrm>
          <a:off x="3683000" y="2066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26" name="OpenSolverM17:M18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2≤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0</xdr:colOff>
      <xdr:row>9</xdr:row>
      <xdr:rowOff>0</xdr:rowOff>
    </xdr:to>
    <xdr:sp macro="" textlink="">
      <xdr:nvSpPr>
        <xdr:cNvPr id="27" name="OpenSolver26"/>
        <xdr:cNvSpPr/>
      </xdr:nvSpPr>
      <xdr:spPr>
        <a:xfrm>
          <a:off x="3413125" y="1536700"/>
          <a:ext cx="13874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28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239713</xdr:colOff>
      <xdr:row>9</xdr:row>
      <xdr:rowOff>0</xdr:rowOff>
    </xdr:to>
    <xdr:cxnSp macro="">
      <xdr:nvCxnSpPr>
        <xdr:cNvPr id="29" name="OpenSolver28"/>
        <xdr:cNvCxnSpPr>
          <a:stCxn id="27" idx="2"/>
          <a:endCxn id="28" idx="0"/>
        </xdr:cNvCxnSpPr>
      </xdr:nvCxnSpPr>
      <xdr:spPr>
        <a:xfrm flipH="1">
          <a:off x="4100513" y="1714500"/>
          <a:ext cx="6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46038</xdr:colOff>
      <xdr:row>8</xdr:row>
      <xdr:rowOff>63500</xdr:rowOff>
    </xdr:from>
    <xdr:to>
      <xdr:col>12</xdr:col>
      <xdr:colOff>427038</xdr:colOff>
      <xdr:row>9</xdr:row>
      <xdr:rowOff>127000</xdr:rowOff>
    </xdr:to>
    <xdr:sp macro="" textlink="">
      <xdr:nvSpPr>
        <xdr:cNvPr id="30" name="OpenSolver29"/>
        <xdr:cNvSpPr/>
      </xdr:nvSpPr>
      <xdr:spPr>
        <a:xfrm>
          <a:off x="3913188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2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4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5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6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7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8" name="OpenSolver7"/>
        <xdr:cNvCxnSpPr>
          <a:stCxn id="6" idx="3"/>
          <a:endCxn id="7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9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0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1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2" name="OpenSolver11"/>
        <xdr:cNvCxnSpPr>
          <a:stCxn id="10" idx="3"/>
          <a:endCxn id="11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3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4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5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6" name="OpenSolver15"/>
        <xdr:cNvCxnSpPr>
          <a:stCxn id="14" idx="3"/>
          <a:endCxn id="15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7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8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19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" name="OpenSolver19"/>
        <xdr:cNvCxnSpPr>
          <a:stCxn id="18" idx="2"/>
          <a:endCxn id="19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1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2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3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4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wnloads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V8" sqref="V8"/>
    </sheetView>
  </sheetViews>
  <sheetFormatPr defaultColWidth="8.875" defaultRowHeight="15" x14ac:dyDescent="0.25"/>
  <cols>
    <col min="1" max="2" width="8.875" style="61"/>
    <col min="4" max="5" width="8.875" style="61"/>
    <col min="7" max="8" width="8.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1814"/>
  <sheetViews>
    <sheetView workbookViewId="0">
      <selection activeCell="I19" sqref="I19"/>
    </sheetView>
  </sheetViews>
  <sheetFormatPr defaultColWidth="8.875" defaultRowHeight="15" x14ac:dyDescent="0.25"/>
  <sheetData>
    <row r="1" spans="1:71" x14ac:dyDescent="0.25">
      <c r="A1" t="e">
        <f>ModelSheet=Data!A:Z</f>
        <v>#NAME?</v>
      </c>
      <c r="B1" t="e">
        <f>ModelSheet=Results!A:Z</f>
        <v>#NAME?</v>
      </c>
      <c r="C1" t="e">
        <f>ModelSheet=SimpleLP!A:Z</f>
        <v>#NAME?</v>
      </c>
      <c r="D1" t="e">
        <f>ModelSheet=SimpleIP!A:Z</f>
        <v>#NAME?</v>
      </c>
      <c r="E1" t="e">
        <f>ModelSheet=OverlappingVars!A:Z</f>
        <v>#NAME?</v>
      </c>
      <c r="F1" t="e">
        <f>ModelSheet=BlankRHS!A:Z</f>
        <v>#NAME?</v>
      </c>
      <c r="G1" t="e">
        <f>ModelSheet=BlankLHS!A:Z</f>
        <v>#NAME?</v>
      </c>
      <c r="H1" t="e">
        <f>ModelSheet=TextRHS!A:Z</f>
        <v>#NAME?</v>
      </c>
      <c r="I1" t="e">
        <f>ModelSheet=ErrorRHS!A:Z</f>
        <v>#NAME?</v>
      </c>
      <c r="J1" t="e">
        <f>ModelSheet=ErrorLHS!A:Z</f>
        <v>#NAME?</v>
      </c>
      <c r="K1" t="e">
        <f>ModelSheet=ErrorObj!A:Z</f>
        <v>#NAME?</v>
      </c>
      <c r="L1" t="e">
        <f>ModelSheet=TextObj!A:Z</f>
        <v>#NAME?</v>
      </c>
      <c r="M1" t="e">
        <f>ModelSheet=MergedVarsSubset!A:Z</f>
        <v>#NAME?</v>
      </c>
      <c r="N1" t="e">
        <f>ModelSheet=MergedVarsOK!A:Z</f>
        <v>#NAME?</v>
      </c>
      <c r="O1" t="e">
        <f>ModelSheet=MergedVarsBad!A:Z</f>
        <v>#NAME?</v>
      </c>
      <c r="P1" t="e">
        <f>ModelSheet=MergedRHS_OK!A:Z</f>
        <v>#NAME?</v>
      </c>
      <c r="Q1" t="e">
        <f>ModelSheet=MergedLHS_OK!A:Z</f>
        <v>#NAME?</v>
      </c>
      <c r="R1" t="e">
        <f>ModelSheet=MergedLHSMultiple_OK!A:Z</f>
        <v>#NAME?</v>
      </c>
      <c r="S1" t="e">
        <f>ModelSheet=BinIntOverlap!A:Z</f>
        <v>#NAME?</v>
      </c>
      <c r="T1" t="e">
        <f>ModelSheet=ConFormula!A:Z</f>
        <v>#NAME?</v>
      </c>
      <c r="U1" t="e">
        <f>ModelSheet=ConFormulaInf!A:Z</f>
        <v>#NAME?</v>
      </c>
      <c r="V1" t="e">
        <f>ModelSheet='BadName!'!A:Z</f>
        <v>#NAME?</v>
      </c>
      <c r="W1" t="e">
        <f>ModelSheet='EscapeSheetName(1)+2-1'!A:Z</f>
        <v>#NAME?</v>
      </c>
      <c r="X1" t="e">
        <f>ModelSheet=DeletedConRef!A:Z</f>
        <v>#NAME?</v>
      </c>
      <c r="Y1" t="e">
        <f>ModelSheet=DeletedObjRef!A:Z</f>
        <v>#NAME?</v>
      </c>
      <c r="Z1" t="e">
        <f>ModelSheet=InfConstConstraint!A:Z</f>
        <v>#NAME?</v>
      </c>
      <c r="AA1" t="e">
        <f>ModelSheet=FeasConstConstraint!A:Z</f>
        <v>#NAME?</v>
      </c>
      <c r="AB1" t="e">
        <f>ModelSheet=Unbounded!A:Z</f>
        <v>#NAME?</v>
      </c>
      <c r="AC1" t="e">
        <f>ModelSheet=ProtectedSheet!A:Z</f>
        <v>#NAME?</v>
      </c>
      <c r="AD1" t="e">
        <f>ModelSheet=IndirectLBs!A:Z</f>
        <v>#NAME?</v>
      </c>
      <c r="AE1" t="e">
        <f>ModelSheet=DirectLBs!A:Z</f>
        <v>#NAME?</v>
      </c>
      <c r="AF1" t="e">
        <f>ModelSheet=SingleRangeLB!A:Z</f>
        <v>#NAME?</v>
      </c>
      <c r="AG1" t="e">
        <f>ModelSheet=BinLB!A:Z</f>
        <v>#NAME?</v>
      </c>
      <c r="AH1" t="e">
        <f>ModelSheet=BinIntLB!A:Z</f>
        <v>#NAME?</v>
      </c>
      <c r="AI1" t="e">
        <f>ModelSheet=Relaxation!A:Z</f>
        <v>#NAME?</v>
      </c>
      <c r="AJ1" t="e">
        <f>ModelSheet=LargeRangeLB!A:Z</f>
        <v>#NAME?</v>
      </c>
      <c r="AK1" t="e">
        <f>ModelSheet=OverlapRangeLB!A:Z</f>
        <v>#NAME?</v>
      </c>
      <c r="AL1" t="e">
        <f>ModelSheet=OverlapRangeLBwithFormula!A:Z</f>
        <v>#NAME?</v>
      </c>
      <c r="AM1" t="e">
        <f>ModelSheet=ConstFormulaRangeLB!A:Z</f>
        <v>#NAME?</v>
      </c>
      <c r="AN1" t="e">
        <f>ModelSheet=VariableFormulaRangeLB!A:Z</f>
        <v>#NAME?</v>
      </c>
      <c r="AO1" t="e">
        <f>ModelSheet=ConstraintLB!A:Z</f>
        <v>#NAME?</v>
      </c>
      <c r="AP1" t="e">
        <f>ModelSheet=ConstantLB!A:Z</f>
        <v>#NAME?</v>
      </c>
      <c r="AQ1" t="e">
        <f>ModelSheet=FormulaLB!A:Z</f>
        <v>#NAME?</v>
      </c>
      <c r="AR1" t="e">
        <f>ModelSheet=VarConstraintLB!A:Z</f>
        <v>#NAME?</v>
      </c>
      <c r="AS1" t="e">
        <f>ModelSheet=FractionalCoeffs!A:Z</f>
        <v>#NAME?</v>
      </c>
      <c r="AT1" t="e">
        <f>ModelSheet=ComplexLayout!A:Z</f>
        <v>#NAME?</v>
      </c>
      <c r="AU1" t="e">
        <f>ModelSheet=InfModel!A:Z</f>
        <v>#NAME?</v>
      </c>
      <c r="AV1" t="e">
        <f>ModelSheet=IterativeCalc!A:Z</f>
        <v>#NAME?</v>
      </c>
      <c r="AW1" t="e">
        <f>ModelSheet=NoObj!A:Z</f>
        <v>#NAME?</v>
      </c>
      <c r="AX1" t="e">
        <f>ModelSheet=SeekObj!A:Z</f>
        <v>#NAME?</v>
      </c>
      <c r="AY1" t="e">
        <f>ModelSheet=DiffSheetObj!A:Z</f>
        <v>#NAME?</v>
      </c>
      <c r="AZ1" t="e">
        <f>ModelSheet=NamedRanges!A:Z</f>
        <v>#NAME?</v>
      </c>
      <c r="BA1" t="e">
        <f>ModelSheet=QuickSolve!A:Z</f>
        <v>#NAME?</v>
      </c>
      <c r="BB1" t="e">
        <f>ModelSheet=SolverParameters!A:Z</f>
        <v>#NAME?</v>
      </c>
      <c r="BC1" t="e">
        <f>ModelSheet=Sensitivity!A:Z</f>
        <v>#NAME?</v>
      </c>
      <c r="BD1" t="e">
        <f>ModelSheet=SensitivityNames!A:Z</f>
        <v>#NAME?</v>
      </c>
      <c r="BE1" t="e">
        <f>ModelSheet=NonLinSimple!A:Z</f>
        <v>#NAME?</v>
      </c>
      <c r="BF1" t="e">
        <f>ModelSheet=NonLinLarge!A:Z</f>
        <v>#NAME?</v>
      </c>
      <c r="BG1" t="e">
        <f>ModelSheet=NonLinObj!A:Z</f>
        <v>#NAME?</v>
      </c>
      <c r="BH1" t="e">
        <f>ModelSheet=NonLinPruning!A:Z</f>
        <v>#NAME?</v>
      </c>
      <c r="BI1" t="e">
        <f>ModelSheet=NonLinMinMax!A:Z</f>
        <v>#NAME?</v>
      </c>
      <c r="BJ1" t="e">
        <f>ModelSheet=NonLinConstraints!A:Z</f>
        <v>#NAME?</v>
      </c>
      <c r="BK1" t="e">
        <f>ModelSheet=NonLinBinary!A:Z</f>
        <v>#NAME?</v>
      </c>
      <c r="BL1" t="e">
        <f>ModelSheet=NonLin!A:Z</f>
        <v>#NAME?</v>
      </c>
      <c r="BM1" t="e">
        <f>ModelSheet=NonLin2!A:Z</f>
        <v>#NAME?</v>
      </c>
      <c r="BN1" t="e">
        <f>ModelSheet=NonLin3!A:Z</f>
        <v>#NAME?</v>
      </c>
      <c r="BO1" t="e">
        <f>ModelSheet=NonLin4!A:Z</f>
        <v>#NAME?</v>
      </c>
      <c r="BP1" t="e">
        <f>ModelSheet=NonLin5!A:Z</f>
        <v>#NAME?</v>
      </c>
      <c r="BQ1" t="e">
        <f>ModelSheet=NonLin6!A:Z</f>
        <v>#NAME?</v>
      </c>
      <c r="BR1" t="e">
        <f>ModelSheet=Highlighting!A:Z</f>
        <v>#NAME?</v>
      </c>
      <c r="BS1" t="e">
        <f>ModelSheet=AutoModel!A:Z</f>
        <v>#NAME?</v>
      </c>
    </row>
    <row r="2" spans="1:71" x14ac:dyDescent="0.25">
      <c r="B2" t="e">
        <f t="shared" ref="B2:AG2" si="0">OpenSolver_ChosenSolver=CBC</f>
        <v>#NAME?</v>
      </c>
      <c r="C2" t="e">
        <f t="shared" si="0"/>
        <v>#NAME?</v>
      </c>
      <c r="D2" t="e">
        <f t="shared" si="0"/>
        <v>#NAME?</v>
      </c>
      <c r="E2" t="e">
        <f t="shared" si="0"/>
        <v>#NAME?</v>
      </c>
      <c r="F2" t="e">
        <f t="shared" si="0"/>
        <v>#NAME?</v>
      </c>
      <c r="G2" t="e">
        <f t="shared" si="0"/>
        <v>#NAME?</v>
      </c>
      <c r="H2" t="e">
        <f t="shared" si="0"/>
        <v>#NAME?</v>
      </c>
      <c r="I2" t="e">
        <f t="shared" si="0"/>
        <v>#NAME?</v>
      </c>
      <c r="J2" t="e">
        <f t="shared" si="0"/>
        <v>#NAME?</v>
      </c>
      <c r="K2" t="e">
        <f t="shared" si="0"/>
        <v>#NAME?</v>
      </c>
      <c r="L2" t="e">
        <f t="shared" si="0"/>
        <v>#NAME?</v>
      </c>
      <c r="M2" t="e">
        <f t="shared" si="0"/>
        <v>#NAME?</v>
      </c>
      <c r="N2" t="e">
        <f t="shared" si="0"/>
        <v>#NAME?</v>
      </c>
      <c r="O2" t="e">
        <f t="shared" si="0"/>
        <v>#NAME?</v>
      </c>
      <c r="P2" t="e">
        <f t="shared" si="0"/>
        <v>#NAME?</v>
      </c>
      <c r="Q2" t="e">
        <f t="shared" si="0"/>
        <v>#NAME?</v>
      </c>
      <c r="R2" t="e">
        <f t="shared" si="0"/>
        <v>#NAME?</v>
      </c>
      <c r="S2" t="e">
        <f t="shared" si="0"/>
        <v>#NAME?</v>
      </c>
      <c r="T2" t="e">
        <f t="shared" si="0"/>
        <v>#NAME?</v>
      </c>
      <c r="U2" t="e">
        <f t="shared" si="0"/>
        <v>#NAME?</v>
      </c>
      <c r="V2" t="e">
        <f t="shared" si="0"/>
        <v>#NAME?</v>
      </c>
      <c r="W2" t="e">
        <f t="shared" si="0"/>
        <v>#NAME?</v>
      </c>
      <c r="X2" t="e">
        <f t="shared" si="0"/>
        <v>#NAME?</v>
      </c>
      <c r="Y2" t="e">
        <f t="shared" si="0"/>
        <v>#NAME?</v>
      </c>
      <c r="Z2" t="e">
        <f t="shared" si="0"/>
        <v>#NAME?</v>
      </c>
      <c r="AA2" t="e">
        <f t="shared" si="0"/>
        <v>#NAME?</v>
      </c>
      <c r="AB2" t="e">
        <f t="shared" si="0"/>
        <v>#NAME?</v>
      </c>
      <c r="AC2" t="e">
        <f t="shared" si="0"/>
        <v>#NAME?</v>
      </c>
      <c r="AD2" t="e">
        <f t="shared" si="0"/>
        <v>#NAME?</v>
      </c>
      <c r="AE2" t="e">
        <f t="shared" si="0"/>
        <v>#NAME?</v>
      </c>
      <c r="AF2" t="e">
        <f t="shared" si="0"/>
        <v>#NAME?</v>
      </c>
      <c r="AG2" t="e">
        <f t="shared" si="0"/>
        <v>#NAME?</v>
      </c>
      <c r="AH2" t="e">
        <f t="shared" ref="AH2:BA2" si="1">OpenSolver_ChosenSolver=CBC</f>
        <v>#NAME?</v>
      </c>
      <c r="AI2" t="e">
        <f t="shared" si="1"/>
        <v>#NAME?</v>
      </c>
      <c r="AJ2" t="e">
        <f t="shared" si="1"/>
        <v>#NAME?</v>
      </c>
      <c r="AK2" t="e">
        <f t="shared" si="1"/>
        <v>#NAME?</v>
      </c>
      <c r="AL2" t="e">
        <f t="shared" si="1"/>
        <v>#NAME?</v>
      </c>
      <c r="AM2" t="e">
        <f t="shared" si="1"/>
        <v>#NAME?</v>
      </c>
      <c r="AN2" t="e">
        <f t="shared" si="1"/>
        <v>#NAME?</v>
      </c>
      <c r="AO2" t="e">
        <f t="shared" si="1"/>
        <v>#NAME?</v>
      </c>
      <c r="AP2" t="e">
        <f t="shared" si="1"/>
        <v>#NAME?</v>
      </c>
      <c r="AQ2" t="e">
        <f t="shared" si="1"/>
        <v>#NAME?</v>
      </c>
      <c r="AR2" t="e">
        <f t="shared" si="1"/>
        <v>#NAME?</v>
      </c>
      <c r="AS2" t="e">
        <f t="shared" si="1"/>
        <v>#NAME?</v>
      </c>
      <c r="AT2" t="e">
        <f t="shared" si="1"/>
        <v>#NAME?</v>
      </c>
      <c r="AU2" t="e">
        <f t="shared" si="1"/>
        <v>#NAME?</v>
      </c>
      <c r="AV2" t="e">
        <f t="shared" si="1"/>
        <v>#NAME?</v>
      </c>
      <c r="AW2" t="e">
        <f t="shared" si="1"/>
        <v>#NAME?</v>
      </c>
      <c r="AX2" t="e">
        <f t="shared" si="1"/>
        <v>#NAME?</v>
      </c>
      <c r="AY2" t="e">
        <f t="shared" si="1"/>
        <v>#NAME?</v>
      </c>
      <c r="AZ2" t="e">
        <f t="shared" si="1"/>
        <v>#NAME?</v>
      </c>
      <c r="BA2" t="e">
        <f t="shared" si="1"/>
        <v>#NAME?</v>
      </c>
      <c r="BB2" t="e">
        <f>OpenSolver_CBCParameters=SolverParameters!$C$5:$D$7</f>
        <v>#NAME?</v>
      </c>
      <c r="BC2" t="e">
        <f t="shared" ref="BC2:BQ2" si="2">OpenSolver_ChosenSolver=CBC</f>
        <v>#NAME?</v>
      </c>
      <c r="BD2" t="e">
        <f t="shared" si="2"/>
        <v>#NAME?</v>
      </c>
      <c r="BE2" t="e">
        <f t="shared" si="2"/>
        <v>#NAME?</v>
      </c>
      <c r="BF2" t="e">
        <f t="shared" si="2"/>
        <v>#NAME?</v>
      </c>
      <c r="BG2" t="e">
        <f t="shared" si="2"/>
        <v>#NAME?</v>
      </c>
      <c r="BH2" t="e">
        <f t="shared" si="2"/>
        <v>#NAME?</v>
      </c>
      <c r="BI2" t="e">
        <f t="shared" si="2"/>
        <v>#NAME?</v>
      </c>
      <c r="BJ2" t="e">
        <f t="shared" si="2"/>
        <v>#NAME?</v>
      </c>
      <c r="BK2" t="e">
        <f t="shared" si="2"/>
        <v>#NAME?</v>
      </c>
      <c r="BL2" t="e">
        <f t="shared" si="2"/>
        <v>#NAME?</v>
      </c>
      <c r="BM2" t="e">
        <f t="shared" si="2"/>
        <v>#NAME?</v>
      </c>
      <c r="BN2" t="e">
        <f t="shared" si="2"/>
        <v>#NAME?</v>
      </c>
      <c r="BO2" t="e">
        <f t="shared" si="2"/>
        <v>#NAME?</v>
      </c>
      <c r="BP2" t="e">
        <f t="shared" si="2"/>
        <v>#NAME?</v>
      </c>
      <c r="BQ2" t="e">
        <f t="shared" si="2"/>
        <v>#NAME?</v>
      </c>
    </row>
    <row r="3" spans="1:71" x14ac:dyDescent="0.25">
      <c r="B3" t="e">
        <f>OpenSolver_LinearityCheck=1</f>
        <v>#NAME?</v>
      </c>
      <c r="C3" t="e">
        <f>OpenSolver_DualsNewSheet=0</f>
        <v>#NAME?</v>
      </c>
      <c r="D3" t="e">
        <f>OpenSolver_DualsNewSheet=0</f>
        <v>#NAME?</v>
      </c>
      <c r="E3" t="e">
        <f>OpenSolver_DualsNewSheet=0</f>
        <v>#NAME?</v>
      </c>
      <c r="F3" t="e">
        <f>OpenSolver_DualsNewSheet=0</f>
        <v>#NAME?</v>
      </c>
      <c r="G3" t="e">
        <f>OpenSolver_DualsNewSheet=0</f>
        <v>#NAME?</v>
      </c>
      <c r="H3" t="e">
        <f t="shared" ref="H3:M3" si="3">OpenSolver_LinearityCheck=1</f>
        <v>#NAME?</v>
      </c>
      <c r="I3" t="e">
        <f t="shared" si="3"/>
        <v>#NAME?</v>
      </c>
      <c r="J3" t="e">
        <f t="shared" si="3"/>
        <v>#NAME?</v>
      </c>
      <c r="K3" t="e">
        <f t="shared" si="3"/>
        <v>#NAME?</v>
      </c>
      <c r="L3" t="e">
        <f t="shared" si="3"/>
        <v>#NAME?</v>
      </c>
      <c r="M3" t="e">
        <f t="shared" si="3"/>
        <v>#NAME?</v>
      </c>
      <c r="N3" t="e">
        <f>OpenSolver_DualsNewSheet=0</f>
        <v>#NAME?</v>
      </c>
      <c r="O3" t="e">
        <f>OpenSolver_LinearityCheck=1</f>
        <v>#NAME?</v>
      </c>
      <c r="P3" t="e">
        <f>OpenSolver_DualsNewSheet=0</f>
        <v>#NAME?</v>
      </c>
      <c r="Q3" t="e">
        <f>OpenSolver_DualsNewSheet=0</f>
        <v>#NAME?</v>
      </c>
      <c r="R3" t="e">
        <f>OpenSolver_LinearityCheck=1</f>
        <v>#NAME?</v>
      </c>
      <c r="S3" t="e">
        <f>OpenSolver_DualsNewSheet=0</f>
        <v>#NAME?</v>
      </c>
      <c r="T3" t="e">
        <f>OpenSolver_DualsNewSheet=0</f>
        <v>#NAME?</v>
      </c>
      <c r="U3" t="e">
        <f>OpenSolver_LinearityCheck=1</f>
        <v>#NAME?</v>
      </c>
      <c r="V3" t="e">
        <f>OpenSolver_LinearityCheck=1</f>
        <v>#NAME?</v>
      </c>
      <c r="W3" t="e">
        <f>OpenSolver_DualsNewSheet=0</f>
        <v>#NAME?</v>
      </c>
      <c r="X3" t="e">
        <f>OpenSolver_LinearityCheck=1</f>
        <v>#NAME?</v>
      </c>
      <c r="Y3" t="e">
        <f>OpenSolver_LinearityCheck=1</f>
        <v>#NAME?</v>
      </c>
      <c r="Z3" t="e">
        <f>OpenSolver_LinearityCheck=1</f>
        <v>#NAME?</v>
      </c>
      <c r="AA3" t="e">
        <f>OpenSolver_DualsNewSheet=0</f>
        <v>#NAME?</v>
      </c>
      <c r="AB3" t="e">
        <f>OpenSolver_DualsNewSheet=0</f>
        <v>#NAME?</v>
      </c>
      <c r="AC3" t="e">
        <f>OpenSolver_LinearityCheck=1</f>
        <v>#NAME?</v>
      </c>
      <c r="AD3" t="e">
        <f t="shared" ref="AD3:AW3" si="4">OpenSolver_DualsNewSheet=0</f>
        <v>#NAME?</v>
      </c>
      <c r="AE3" t="e">
        <f t="shared" si="4"/>
        <v>#NAME?</v>
      </c>
      <c r="AF3" t="e">
        <f t="shared" si="4"/>
        <v>#NAME?</v>
      </c>
      <c r="AG3" t="e">
        <f t="shared" si="4"/>
        <v>#NAME?</v>
      </c>
      <c r="AH3" t="e">
        <f t="shared" si="4"/>
        <v>#NAME?</v>
      </c>
      <c r="AI3" t="e">
        <f t="shared" si="4"/>
        <v>#NAME?</v>
      </c>
      <c r="AJ3" t="e">
        <f t="shared" si="4"/>
        <v>#NAME?</v>
      </c>
      <c r="AK3" t="e">
        <f t="shared" si="4"/>
        <v>#NAME?</v>
      </c>
      <c r="AL3" t="e">
        <f t="shared" si="4"/>
        <v>#NAME?</v>
      </c>
      <c r="AM3" t="e">
        <f t="shared" si="4"/>
        <v>#NAME?</v>
      </c>
      <c r="AN3" t="e">
        <f t="shared" si="4"/>
        <v>#NAME?</v>
      </c>
      <c r="AO3" t="e">
        <f t="shared" si="4"/>
        <v>#NAME?</v>
      </c>
      <c r="AP3" t="e">
        <f t="shared" si="4"/>
        <v>#NAME?</v>
      </c>
      <c r="AQ3" t="e">
        <f t="shared" si="4"/>
        <v>#NAME?</v>
      </c>
      <c r="AR3" t="e">
        <f t="shared" si="4"/>
        <v>#NAME?</v>
      </c>
      <c r="AS3" t="e">
        <f t="shared" si="4"/>
        <v>#NAME?</v>
      </c>
      <c r="AT3" t="e">
        <f t="shared" si="4"/>
        <v>#NAME?</v>
      </c>
      <c r="AU3" t="e">
        <f t="shared" si="4"/>
        <v>#NAME?</v>
      </c>
      <c r="AV3" t="e">
        <f t="shared" si="4"/>
        <v>#NAME?</v>
      </c>
      <c r="AW3" t="e">
        <f t="shared" si="4"/>
        <v>#NAME?</v>
      </c>
      <c r="AX3" t="e">
        <f>OpenSolver_DualsNewSheet=1</f>
        <v>#NAME?</v>
      </c>
      <c r="AY3" t="e">
        <f>OpenSolver_DualsNewSheet=0</f>
        <v>#NAME?</v>
      </c>
      <c r="AZ3" t="e">
        <f>OpenSolver_DualsNewSheet=0</f>
        <v>#NAME?</v>
      </c>
      <c r="BA3" t="e">
        <f>OpenSolver_DualsNewSheet=0</f>
        <v>#NAME?</v>
      </c>
      <c r="BB3" t="e">
        <f>OpenSolver_ChosenSolver=CBC</f>
        <v>#NAME?</v>
      </c>
      <c r="BC3" t="e">
        <f>OpenSolver_Duals=Sensitivity!$K$1</f>
        <v>#NAME?</v>
      </c>
      <c r="BD3" t="e">
        <f>OpenSolver_DualsNewSheet=1</f>
        <v>#NAME?</v>
      </c>
      <c r="BE3" t="e">
        <f t="shared" ref="BE3:BN3" si="5">OpenSolver_LinearityCheck=1</f>
        <v>#NAME?</v>
      </c>
      <c r="BF3" t="e">
        <f t="shared" si="5"/>
        <v>#NAME?</v>
      </c>
      <c r="BG3" t="e">
        <f t="shared" si="5"/>
        <v>#NAME?</v>
      </c>
      <c r="BH3" t="e">
        <f t="shared" si="5"/>
        <v>#NAME?</v>
      </c>
      <c r="BI3" t="e">
        <f t="shared" si="5"/>
        <v>#NAME?</v>
      </c>
      <c r="BJ3" t="e">
        <f t="shared" si="5"/>
        <v>#NAME?</v>
      </c>
      <c r="BK3" t="e">
        <f t="shared" si="5"/>
        <v>#NAME?</v>
      </c>
      <c r="BL3" t="e">
        <f t="shared" si="5"/>
        <v>#NAME?</v>
      </c>
      <c r="BM3" t="e">
        <f t="shared" si="5"/>
        <v>#NAME?</v>
      </c>
      <c r="BN3" t="e">
        <f t="shared" si="5"/>
        <v>#NAME?</v>
      </c>
      <c r="BO3" t="e">
        <f>solver_adj=NonLin4!$D$11</f>
        <v>#NAME?</v>
      </c>
      <c r="BP3" t="e">
        <f>OpenSolver_LinearityCheck=1</f>
        <v>#NAME?</v>
      </c>
      <c r="BQ3" t="e">
        <f>OpenSolver_LinearityCheck=1</f>
        <v>#NAME?</v>
      </c>
    </row>
    <row r="4" spans="1:71" x14ac:dyDescent="0.25">
      <c r="C4" t="e">
        <f>OpenSolver_LinearityCheck=1</f>
        <v>#NAME?</v>
      </c>
      <c r="D4" t="e">
        <f>OpenSolver_LinearityCheck=1</f>
        <v>#NAME?</v>
      </c>
      <c r="E4" t="e">
        <f>OpenSolver_LinearityCheck=1</f>
        <v>#NAME?</v>
      </c>
      <c r="F4" t="e">
        <f>OpenSolver_LinearityCheck=1</f>
        <v>#NAME?</v>
      </c>
      <c r="G4" t="e">
        <f>OpenSolver_LinearityCheck=1</f>
        <v>#NAME?</v>
      </c>
      <c r="H4" t="e">
        <f>solver_adj=TextRHS!$D$4:$F$4</f>
        <v>#NAME?</v>
      </c>
      <c r="I4" t="e">
        <f>solver_adj=ErrorRHS!$D$4:$F$4</f>
        <v>#NAME?</v>
      </c>
      <c r="J4" t="e">
        <f>solver_adj=ErrorLHS!$D$4:$F$4</f>
        <v>#NAME?</v>
      </c>
      <c r="K4" t="e">
        <f>solver_adj=ErrorObj!$D$4:$F$4</f>
        <v>#NAME?</v>
      </c>
      <c r="L4" t="e">
        <f>solver_adj=TextObj!$D$4:$F$4</f>
        <v>#NAME?</v>
      </c>
      <c r="M4" t="e">
        <f>solver_adj=MergedVarsSubset!$D$5:$F$5</f>
        <v>#NAME?</v>
      </c>
      <c r="N4" t="e">
        <f>OpenSolver_LinearityCheck=1</f>
        <v>#NAME?</v>
      </c>
      <c r="O4" t="e">
        <f>solver_adj=MergedVarsBad!$D$5:$F$5</f>
        <v>#NAME?</v>
      </c>
      <c r="P4" t="e">
        <f>OpenSolver_LinearityCheck=1</f>
        <v>#NAME?</v>
      </c>
      <c r="Q4" t="e">
        <f>OpenSolver_LinearityCheck=1</f>
        <v>#NAME?</v>
      </c>
      <c r="R4" t="e">
        <f>solver_adj=MergedLHSMultiple_OK!$D$5:$F$5</f>
        <v>#NAME?</v>
      </c>
      <c r="S4" t="e">
        <f>OpenSolver_LinearityCheck=1</f>
        <v>#NAME?</v>
      </c>
      <c r="T4" t="e">
        <f>OpenSolver_LinearityCheck=1</f>
        <v>#NAME?</v>
      </c>
      <c r="U4" t="e">
        <f>solver_adj=ConFormulaInf!$D$5:$G$5,ConFormulaInf!$Q$4:$R$5,ConFormulaInf!$N$4:$N$5</f>
        <v>#NAME?</v>
      </c>
      <c r="V4" t="e">
        <f>solver_adj='BadName!'!$D$5:$F$5</f>
        <v>#NAME?</v>
      </c>
      <c r="W4" t="e">
        <f>OpenSolver_LinearityCheck=1</f>
        <v>#NAME?</v>
      </c>
      <c r="X4" t="e">
        <f>solver_adj=DeletedConRef!$D$5:$F$5</f>
        <v>#NAME?</v>
      </c>
      <c r="Y4" t="e">
        <f>solver_adj=DeletedObjRef!$D$5:$F$5</f>
        <v>#NAME?</v>
      </c>
      <c r="Z4" t="e">
        <f>solver_adj=InfConstConstraint!$D$4:$F$4</f>
        <v>#NAME?</v>
      </c>
      <c r="AA4" t="e">
        <f>OpenSolver_LinearityCheck=1</f>
        <v>#NAME?</v>
      </c>
      <c r="AB4" t="e">
        <f>OpenSolver_LinearityCheck=1</f>
        <v>#NAME?</v>
      </c>
      <c r="AC4" t="e">
        <f>solver_adj=ProtectedSheet!$D$4:$F$4</f>
        <v>#NAME?</v>
      </c>
      <c r="AD4" t="e">
        <f t="shared" ref="AD4:BA4" si="6">OpenSolver_LinearityCheck=1</f>
        <v>#NAME?</v>
      </c>
      <c r="AE4" t="e">
        <f t="shared" si="6"/>
        <v>#NAME?</v>
      </c>
      <c r="AF4" t="e">
        <f t="shared" si="6"/>
        <v>#NAME?</v>
      </c>
      <c r="AG4" t="e">
        <f t="shared" si="6"/>
        <v>#NAME?</v>
      </c>
      <c r="AH4" t="e">
        <f t="shared" si="6"/>
        <v>#NAME?</v>
      </c>
      <c r="AI4" t="e">
        <f t="shared" si="6"/>
        <v>#NAME?</v>
      </c>
      <c r="AJ4" t="e">
        <f t="shared" si="6"/>
        <v>#NAME?</v>
      </c>
      <c r="AK4" t="e">
        <f t="shared" si="6"/>
        <v>#NAME?</v>
      </c>
      <c r="AL4" t="e">
        <f t="shared" si="6"/>
        <v>#NAME?</v>
      </c>
      <c r="AM4" t="e">
        <f t="shared" si="6"/>
        <v>#NAME?</v>
      </c>
      <c r="AN4" t="e">
        <f t="shared" si="6"/>
        <v>#NAME?</v>
      </c>
      <c r="AO4" t="e">
        <f t="shared" si="6"/>
        <v>#NAME?</v>
      </c>
      <c r="AP4" t="e">
        <f t="shared" si="6"/>
        <v>#NAME?</v>
      </c>
      <c r="AQ4" t="e">
        <f t="shared" si="6"/>
        <v>#NAME?</v>
      </c>
      <c r="AR4" t="e">
        <f t="shared" si="6"/>
        <v>#NAME?</v>
      </c>
      <c r="AS4" t="e">
        <f t="shared" si="6"/>
        <v>#NAME?</v>
      </c>
      <c r="AT4" t="e">
        <f t="shared" si="6"/>
        <v>#NAME?</v>
      </c>
      <c r="AU4" t="e">
        <f t="shared" si="6"/>
        <v>#NAME?</v>
      </c>
      <c r="AV4" t="e">
        <f t="shared" si="6"/>
        <v>#NAME?</v>
      </c>
      <c r="AW4" t="e">
        <f t="shared" si="6"/>
        <v>#NAME?</v>
      </c>
      <c r="AX4" t="e">
        <f t="shared" si="6"/>
        <v>#NAME?</v>
      </c>
      <c r="AY4" t="e">
        <f t="shared" si="6"/>
        <v>#NAME?</v>
      </c>
      <c r="AZ4" t="e">
        <f t="shared" si="6"/>
        <v>#NAME?</v>
      </c>
      <c r="BA4" t="e">
        <f t="shared" si="6"/>
        <v>#NAME?</v>
      </c>
      <c r="BB4" t="e">
        <f>OpenSolver_DualsNewSheet=0</f>
        <v>#NAME?</v>
      </c>
      <c r="BC4" t="e">
        <f>OpenSolver_DualsNewSheet=1</f>
        <v>#NAME?</v>
      </c>
      <c r="BD4" t="e">
        <f>OpenSolver_LinearityCheck=1</f>
        <v>#NAME?</v>
      </c>
      <c r="BE4" t="e">
        <f>solver_adj=NonLinSimple!$D$3:$F$3</f>
        <v>#NAME?</v>
      </c>
      <c r="BF4" t="e">
        <f>solver_adj=NonLinLarge!$D$3:$F$3</f>
        <v>#NAME?</v>
      </c>
      <c r="BG4" t="e">
        <f>solver_adj=NonLinObj!$D$3:$F$3</f>
        <v>#NAME?</v>
      </c>
      <c r="BH4" t="e">
        <f>solver_adj=NonLinPruning!$D$5:$E$5</f>
        <v>#NAME?</v>
      </c>
      <c r="BI4" t="e">
        <f>solver_adj=NonLinMinMax!$D$4:$F$4</f>
        <v>#NAME?</v>
      </c>
      <c r="BJ4" t="e">
        <f>solver_adj=NonLinConstraints!$D$5:$H$5</f>
        <v>#NAME?</v>
      </c>
      <c r="BK4" t="e">
        <f>solver_adj=NonLinBinary!$C$4:$D$4</f>
        <v>#NAME?</v>
      </c>
      <c r="BL4" t="e">
        <f>solver_adj=NonLin!$D$3:$D$35</f>
        <v>#NAME?</v>
      </c>
      <c r="BM4" t="e">
        <f>solver_adj=NonLin2!$C$4:$D$4</f>
        <v>#NAME?</v>
      </c>
      <c r="BN4" t="e">
        <f>solver_adj=NonLin3!$S$10:$S$11</f>
        <v>#NAME?</v>
      </c>
      <c r="BO4" t="e">
        <f>solver_opt=NonLin4!$D$16</f>
        <v>#NAME?</v>
      </c>
      <c r="BP4" t="e">
        <f>solver_adj=NonLin5!$F$2:$I$2</f>
        <v>#NAME?</v>
      </c>
      <c r="BQ4" t="e">
        <f>solver_adj=NonLin6!$D$7:$D$8</f>
        <v>#NAME?</v>
      </c>
    </row>
    <row r="5" spans="1:71" x14ac:dyDescent="0.25">
      <c r="C5" t="e">
        <f>solver_adj=SimpleLP!$D$4:$F$4</f>
        <v>#NAME?</v>
      </c>
      <c r="D5" t="e">
        <f>solver_adj=SimpleIP!$E$5:$E$7</f>
        <v>#NAME?</v>
      </c>
      <c r="E5" t="e">
        <f>solver_adj=OverlappingVars!$D$4:$E$4,OverlappingVars!$E$4:$F$4</f>
        <v>#NAME?</v>
      </c>
      <c r="F5" t="e">
        <f>solver_adj=BlankRHS!$D$4:$F$4</f>
        <v>#NAME?</v>
      </c>
      <c r="G5" t="e">
        <f>solver_adj=BlankLHS!$D$4:$F$4</f>
        <v>#NAME?</v>
      </c>
      <c r="H5" t="e">
        <f>solver_itr=999999999</f>
        <v>#NAME?</v>
      </c>
      <c r="I5" t="e">
        <f>solver_itr=999999999</f>
        <v>#NAME?</v>
      </c>
      <c r="J5" t="e">
        <f>solver_itr=999999999</f>
        <v>#NAME?</v>
      </c>
      <c r="K5" t="e">
        <f>solver_lhs1=ErrorObj!$H$8:$H$9</f>
        <v>#NAME?</v>
      </c>
      <c r="L5" t="e">
        <f>solver_lhs1=TextObj!$H$8:$H$9</f>
        <v>#NAME?</v>
      </c>
      <c r="M5" t="e">
        <f>solver_lhs1=MergedVarsSubset!$H$9:$H$10</f>
        <v>#NAME?</v>
      </c>
      <c r="N5" t="e">
        <f>solver_adj=MergedVarsOK!$D$5:$E$5</f>
        <v>#NAME?</v>
      </c>
      <c r="O5" t="e">
        <f>solver_lhs1=MergedVarsBad!$H$9:$H$10</f>
        <v>#NAME?</v>
      </c>
      <c r="P5" t="e">
        <f>solver_adj=MergedRHS_OK!$D$5:$E$5</f>
        <v>#NAME?</v>
      </c>
      <c r="Q5" t="e">
        <f>solver_adj=MergedLHS_OK!$D$5:$E$5</f>
        <v>#NAME?</v>
      </c>
      <c r="R5" t="e">
        <f>solver_itr=999999999</f>
        <v>#NAME?</v>
      </c>
      <c r="S5" t="e">
        <f>solver_adj=BinIntOverlap!$D$4:$G$4</f>
        <v>#NAME?</v>
      </c>
      <c r="T5" t="e">
        <f>solver_adj=ConFormula!$D$5:$G$5,ConFormula!$Q$4:$R$5,ConFormula!$N$4:$N$5</f>
        <v>#NAME?</v>
      </c>
      <c r="U5" t="e">
        <f>solver_itr=999999999</f>
        <v>#NAME?</v>
      </c>
      <c r="V5" t="e">
        <f>solver_lhs1='BadName!'!$H$12</f>
        <v>#NAME?</v>
      </c>
      <c r="W5" t="e">
        <f>solver_adj='EscapeSheetName(1)+2-1'!$D$4:$F$4</f>
        <v>#NAME?</v>
      </c>
      <c r="X5" t="e">
        <f>solver_itr=999999999</f>
        <v>#NAME?</v>
      </c>
      <c r="Y5" t="e">
        <f>solver_lhs1=DeletedObjRef!$H$9:$H$10</f>
        <v>#NAME?</v>
      </c>
      <c r="Z5" t="e">
        <f>solver_itr=999999999</f>
        <v>#NAME?</v>
      </c>
      <c r="AA5" t="e">
        <f>solver_adj=FeasConstConstraint!$D$4:$F$4</f>
        <v>#NAME?</v>
      </c>
      <c r="AB5" t="e">
        <f>solver_adj=Unbounded!$D$4:$F$4</f>
        <v>#NAME?</v>
      </c>
      <c r="AC5" t="e">
        <f>solver_lhs1=ProtectedSheet!$H$8:$H$9</f>
        <v>#NAME?</v>
      </c>
      <c r="AD5" t="e">
        <f>solver_adj=IndirectLBs!$D$5:$F$5</f>
        <v>#NAME?</v>
      </c>
      <c r="AE5" t="e">
        <f>solver_adj=DirectLBs!$D$4:$F$4</f>
        <v>#NAME?</v>
      </c>
      <c r="AF5" t="e">
        <f>solver_adj=SingleRangeLB!$D$4:$F$4</f>
        <v>#NAME?</v>
      </c>
      <c r="AG5" t="e">
        <f>solver_adj=BinLB!$D$5:$F$5</f>
        <v>#NAME?</v>
      </c>
      <c r="AH5" t="e">
        <f>solver_adj=BinIntLB!$D$5:$F$5</f>
        <v>#NAME?</v>
      </c>
      <c r="AI5" t="e">
        <f>solver_adj=Relaxation!$D$5:$F$5</f>
        <v>#NAME?</v>
      </c>
      <c r="AJ5" t="e">
        <f>solver_adj=LargeRangeLB!$D$6:$F$6</f>
        <v>#NAME?</v>
      </c>
      <c r="AK5" t="e">
        <f>solver_adj=OverlapRangeLB!$D$6:$F$6</f>
        <v>#NAME?</v>
      </c>
      <c r="AL5" t="e">
        <f>solver_adj=OverlapRangeLBwithFormula!$D$6:$F$6</f>
        <v>#NAME?</v>
      </c>
      <c r="AM5" t="e">
        <f>solver_adj=ConstFormulaRangeLB!$D$4:$F$4</f>
        <v>#NAME?</v>
      </c>
      <c r="AN5" t="e">
        <f>solver_adj=VariableFormulaRangeLB!$D$5:$F$5</f>
        <v>#NAME?</v>
      </c>
      <c r="AO5" t="e">
        <f>solver_adj=ConstraintLB!$D$5:$F$5</f>
        <v>#NAME?</v>
      </c>
      <c r="AP5" t="e">
        <f>solver_adj=ConstantLB!$D$5:$F$5</f>
        <v>#NAME?</v>
      </c>
      <c r="AQ5" t="e">
        <f>solver_adj=FormulaLB!$D$5:$F$5</f>
        <v>#NAME?</v>
      </c>
      <c r="AR5" t="e">
        <f>solver_adj=VarConstraintLB!$D$5:$F$5</f>
        <v>#NAME?</v>
      </c>
      <c r="AS5" t="e">
        <f>solver_adj=FractionalCoeffs!$D$2:$F$2</f>
        <v>#NAME?</v>
      </c>
      <c r="AT5" t="e">
        <f>solver_adj=ComplexLayout!$D$4:$G$4,ComplexLayout!$Q$3:$R$4,ComplexLayout!$N$3:$N$4</f>
        <v>#NAME?</v>
      </c>
      <c r="AU5" t="e">
        <f>solver_adj=InfModel!$D$5:$F$5</f>
        <v>#NAME?</v>
      </c>
      <c r="AV5" t="e">
        <f>solver_adj=IterativeCalc!$D$5:$F$5</f>
        <v>#NAME?</v>
      </c>
      <c r="AW5" t="e">
        <f>solver_adj=NoObj!$D$5:$F$5</f>
        <v>#NAME?</v>
      </c>
      <c r="AX5" t="e">
        <f>OpenSolver_UpdateSensitivity=1</f>
        <v>#NAME?</v>
      </c>
      <c r="AY5" t="e">
        <f>solver_adj=DiffSheetObj!$D$2:$F$2</f>
        <v>#NAME?</v>
      </c>
      <c r="AZ5" t="e">
        <f>solver_adj=NamedRanges!$D$4:$H$4</f>
        <v>#NAME?</v>
      </c>
      <c r="BA5" t="e">
        <f>solver_adj=QuickSolve!$D$4:$F$4</f>
        <v>#NAME?</v>
      </c>
      <c r="BB5" t="e">
        <f>OpenSolver_LinearityCheck=1</f>
        <v>#NAME?</v>
      </c>
      <c r="BC5" t="e">
        <f>OpenSolver_LinearityCheck=1</f>
        <v>#NAME?</v>
      </c>
      <c r="BD5" t="e">
        <f>OpenSolver_UpdateSensitivity=1</f>
        <v>#NAME?</v>
      </c>
      <c r="BE5" t="e">
        <f t="shared" ref="BE5:BN5" si="7">solver_itr=999999999</f>
        <v>#NAME?</v>
      </c>
      <c r="BF5" t="e">
        <f t="shared" si="7"/>
        <v>#NAME?</v>
      </c>
      <c r="BG5" t="e">
        <f t="shared" si="7"/>
        <v>#NAME?</v>
      </c>
      <c r="BH5" t="e">
        <f t="shared" si="7"/>
        <v>#NAME?</v>
      </c>
      <c r="BI5" t="e">
        <f t="shared" si="7"/>
        <v>#NAME?</v>
      </c>
      <c r="BJ5" t="e">
        <f t="shared" si="7"/>
        <v>#NAME?</v>
      </c>
      <c r="BK5" t="e">
        <f t="shared" si="7"/>
        <v>#NAME?</v>
      </c>
      <c r="BL5" t="e">
        <f t="shared" si="7"/>
        <v>#NAME?</v>
      </c>
      <c r="BM5" t="e">
        <f t="shared" si="7"/>
        <v>#NAME?</v>
      </c>
      <c r="BN5" t="e">
        <f t="shared" si="7"/>
        <v>#NAME?</v>
      </c>
      <c r="BP5" t="e">
        <f>solver_itr=999999999</f>
        <v>#NAME?</v>
      </c>
      <c r="BQ5" t="e">
        <f>solver_itr=999999999</f>
        <v>#NAME?</v>
      </c>
    </row>
    <row r="6" spans="1:71" x14ac:dyDescent="0.25">
      <c r="C6" t="e">
        <f>solver_itr=999999999</f>
        <v>#NAME?</v>
      </c>
      <c r="D6" t="e">
        <f>solver_itr=999999999</f>
        <v>#NAME?</v>
      </c>
      <c r="E6" t="e">
        <f>solver_itr=999999999</f>
        <v>#NAME?</v>
      </c>
      <c r="F6" t="e">
        <f>solver_itr=999999999</f>
        <v>#NAME?</v>
      </c>
      <c r="G6" t="e">
        <f>solver_itr=999999999</f>
        <v>#NAME?</v>
      </c>
      <c r="H6" t="e">
        <f>solver_lhs1=TextRHS!$H$8:$H$9</f>
        <v>#NAME?</v>
      </c>
      <c r="I6" t="e">
        <f>solver_lhs1=ErrorRHS!$H$8:$H$9</f>
        <v>#NAME?</v>
      </c>
      <c r="J6" t="e">
        <f>solver_lhs1=ErrorLHS!$H$8:$H$9</f>
        <v>#NAME?</v>
      </c>
      <c r="K6" t="e">
        <f>solver_lhs2=ErrorObj!$H$10</f>
        <v>#NAME?</v>
      </c>
      <c r="L6" t="e">
        <f>solver_lhs2=TextObj!$H$10</f>
        <v>#NAME?</v>
      </c>
      <c r="M6" t="e">
        <f>solver_lhs2=MergedVarsSubset!$H$11</f>
        <v>#NAME?</v>
      </c>
      <c r="N6" t="e">
        <f>solver_itr=999999999</f>
        <v>#NAME?</v>
      </c>
      <c r="O6" t="e">
        <f>solver_lhs2=MergedVarsBad!$H$11</f>
        <v>#NAME?</v>
      </c>
      <c r="P6" t="e">
        <f>solver_itr=999999999</f>
        <v>#NAME?</v>
      </c>
      <c r="Q6" t="e">
        <f>solver_itr=999999999</f>
        <v>#NAME?</v>
      </c>
      <c r="R6" t="e">
        <f>solver_lhs1=MergedLHSMultiple_OK!$H$9:$H$10</f>
        <v>#NAME?</v>
      </c>
      <c r="S6" t="e">
        <f>solver_itr=999999999</f>
        <v>#NAME?</v>
      </c>
      <c r="T6" t="e">
        <f>solver_itr=999999999</f>
        <v>#NAME?</v>
      </c>
      <c r="U6" t="e">
        <f>solver_lhs1=ConFormulaInf!$I$9:$I$10</f>
        <v>#NAME?</v>
      </c>
      <c r="V6" t="e">
        <f>solver_num=1</f>
        <v>#NAME?</v>
      </c>
      <c r="W6" t="e">
        <f>solver_itr=999999999</f>
        <v>#NAME?</v>
      </c>
      <c r="X6" t="e">
        <f>solver_lhs1=DeletedConRef!$H$9:$H$10</f>
        <v>#NAME?</v>
      </c>
      <c r="Y6" t="e">
        <f>solver_lhs2=DeletedObjRef!$H$11</f>
        <v>#NAME?</v>
      </c>
      <c r="Z6" t="e">
        <f>solver_lhs1=InfConstConstraint!$J$8:$J$9</f>
        <v>#NAME?</v>
      </c>
      <c r="AA6" t="e">
        <f>solver_itr=999999999</f>
        <v>#NAME?</v>
      </c>
      <c r="AB6" t="e">
        <f>solver_itr=999999999</f>
        <v>#NAME?</v>
      </c>
      <c r="AC6" t="e">
        <f>solver_lhs2=ProtectedSheet!$H$10</f>
        <v>#NAME?</v>
      </c>
      <c r="AD6" t="e">
        <f t="shared" ref="AD6:AW6" si="8">solver_itr=999999999</f>
        <v>#NAME?</v>
      </c>
      <c r="AE6" t="e">
        <f t="shared" si="8"/>
        <v>#NAME?</v>
      </c>
      <c r="AF6" t="e">
        <f t="shared" si="8"/>
        <v>#NAME?</v>
      </c>
      <c r="AG6" t="e">
        <f t="shared" si="8"/>
        <v>#NAME?</v>
      </c>
      <c r="AH6" t="e">
        <f t="shared" si="8"/>
        <v>#NAME?</v>
      </c>
      <c r="AI6" t="e">
        <f t="shared" si="8"/>
        <v>#NAME?</v>
      </c>
      <c r="AJ6" t="e">
        <f t="shared" si="8"/>
        <v>#NAME?</v>
      </c>
      <c r="AK6" t="e">
        <f t="shared" si="8"/>
        <v>#NAME?</v>
      </c>
      <c r="AL6" t="e">
        <f t="shared" si="8"/>
        <v>#NAME?</v>
      </c>
      <c r="AM6" t="e">
        <f t="shared" si="8"/>
        <v>#NAME?</v>
      </c>
      <c r="AN6" t="e">
        <f t="shared" si="8"/>
        <v>#NAME?</v>
      </c>
      <c r="AO6" t="e">
        <f t="shared" si="8"/>
        <v>#NAME?</v>
      </c>
      <c r="AP6" t="e">
        <f t="shared" si="8"/>
        <v>#NAME?</v>
      </c>
      <c r="AQ6" t="e">
        <f t="shared" si="8"/>
        <v>#NAME?</v>
      </c>
      <c r="AR6" t="e">
        <f t="shared" si="8"/>
        <v>#NAME?</v>
      </c>
      <c r="AS6" t="e">
        <f t="shared" si="8"/>
        <v>#NAME?</v>
      </c>
      <c r="AT6" t="e">
        <f t="shared" si="8"/>
        <v>#NAME?</v>
      </c>
      <c r="AU6" t="e">
        <f t="shared" si="8"/>
        <v>#NAME?</v>
      </c>
      <c r="AV6" t="e">
        <f t="shared" si="8"/>
        <v>#NAME?</v>
      </c>
      <c r="AW6" t="e">
        <f t="shared" si="8"/>
        <v>#NAME?</v>
      </c>
      <c r="AX6" t="e">
        <f>solver_adj=SeekObj!$D$2:$F$2</f>
        <v>#NAME?</v>
      </c>
      <c r="AY6" t="e">
        <f>solver_itr=999999999</f>
        <v>#NAME?</v>
      </c>
      <c r="AZ6" t="e">
        <f>solver_itr=999999999</f>
        <v>#NAME?</v>
      </c>
      <c r="BA6" t="e">
        <f>solver_itr=999999999</f>
        <v>#NAME?</v>
      </c>
      <c r="BB6" t="e">
        <f>solver_adj=SolverParameters!$D$13:$F$13</f>
        <v>#NAME?</v>
      </c>
      <c r="BC6" t="e">
        <f>OpenSolver_UpdateSensitivity=1</f>
        <v>#NAME?</v>
      </c>
      <c r="BD6" t="e">
        <f>solver_adj=SensitivityNames!$J$21,SensitivityNames!$D$14:$H$16</f>
        <v>#NAME?</v>
      </c>
      <c r="BE6" t="e">
        <f>solver_lhs1=NonLinSimple!$H$7:$H$8</f>
        <v>#NAME?</v>
      </c>
      <c r="BF6" t="e">
        <f>solver_lhs1=NonLinLarge!$H$7:$H$8</f>
        <v>#NAME?</v>
      </c>
      <c r="BG6" t="e">
        <f>solver_lhs1=NonLinObj!$H$7:$H$8</f>
        <v>#NAME?</v>
      </c>
      <c r="BH6" t="e">
        <f>solver_lhs1=NonLinPruning!$F$8:$F$9</f>
        <v>#NAME?</v>
      </c>
      <c r="BI6" t="e">
        <f>solver_lhs1=NonLinMinMax!$G$8</f>
        <v>#NAME?</v>
      </c>
      <c r="BJ6" t="e">
        <f>solver_lhs1=NonLinConstraints!$I$7:$I$9</f>
        <v>#NAME?</v>
      </c>
      <c r="BK6" t="e">
        <f>solver_lhs1=NonLinBinary!$E$8:$E$9</f>
        <v>#NAME?</v>
      </c>
      <c r="BL6" t="e">
        <f>solver_lhs1=NonLin!$J$40</f>
        <v>#NAME?</v>
      </c>
      <c r="BM6" t="e">
        <f>solver_lhs1=NonLin2!$E$6:$E$7</f>
        <v>#NAME?</v>
      </c>
      <c r="BN6" t="e">
        <f>solver_lhs1=NonLin3!$S$10:$S$11</f>
        <v>#NAME?</v>
      </c>
      <c r="BP6" t="e">
        <f>solver_neg=1</f>
        <v>#NAME?</v>
      </c>
      <c r="BQ6" t="e">
        <f>solver_lhs1=NonLin6!$D$7</f>
        <v>#NAME?</v>
      </c>
    </row>
    <row r="7" spans="1:71" x14ac:dyDescent="0.25">
      <c r="C7" t="e">
        <f>solver_lhs1=SimpleLP!$H$8:$H$9</f>
        <v>#NAME?</v>
      </c>
      <c r="D7" t="e">
        <f>solver_lhs1=SimpleIP!$D$10</f>
        <v>#NAME?</v>
      </c>
      <c r="E7" t="e">
        <f>solver_lhs1=OverlappingVars!$H$8:$H$9</f>
        <v>#NAME?</v>
      </c>
      <c r="F7" t="e">
        <f>solver_lhs1=BlankRHS!$H$8:$H$9</f>
        <v>#NAME?</v>
      </c>
      <c r="G7" t="e">
        <f>solver_lhs1=BlankLHS!$H$8:$H$9</f>
        <v>#NAME?</v>
      </c>
      <c r="H7" t="e">
        <f>solver_lhs2=TextRHS!$H$10</f>
        <v>#NAME?</v>
      </c>
      <c r="I7" t="e">
        <f>solver_lhs2=ErrorRHS!$H$10</f>
        <v>#NAME?</v>
      </c>
      <c r="J7" t="e">
        <f>solver_lhs2=ErrorLHS!$H$10</f>
        <v>#NAME?</v>
      </c>
      <c r="K7" t="e">
        <f>solver_lhs3=ErrorObj!$H$11</f>
        <v>#NAME?</v>
      </c>
      <c r="L7" t="e">
        <f>solver_lhs3=TextObj!$H$11</f>
        <v>#NAME?</v>
      </c>
      <c r="M7" t="e">
        <f>solver_lhs3=MergedVarsSubset!$H$12</f>
        <v>#NAME?</v>
      </c>
      <c r="N7" t="e">
        <f>solver_lhs1=MergedVarsOK!$H$9:$H$10</f>
        <v>#NAME?</v>
      </c>
      <c r="O7" t="e">
        <f>solver_lhs3=MergedVarsBad!$H$12</f>
        <v>#NAME?</v>
      </c>
      <c r="P7" t="e">
        <f>solver_lhs1=MergedRHS_OK!$H$9:$H$10</f>
        <v>#NAME?</v>
      </c>
      <c r="Q7" t="e">
        <f>solver_lhs1=MergedLHS_OK!$H$9:$H$10</f>
        <v>#NAME?</v>
      </c>
      <c r="R7" t="e">
        <f>solver_lhs2=MergedLHSMultiple_OK!$H$11</f>
        <v>#NAME?</v>
      </c>
      <c r="S7" t="e">
        <f>solver_lhs1=BinIntOverlap!$I$8:$I$9</f>
        <v>#NAME?</v>
      </c>
      <c r="T7" t="e">
        <f>solver_lhs1=ConFormula!$I$9:$I$10</f>
        <v>#NAME?</v>
      </c>
      <c r="U7" t="e">
        <f>solver_lhs2=ConFormulaInf!$K$11</f>
        <v>#NAME?</v>
      </c>
      <c r="V7" t="e">
        <f>solver_opt='BadName!'!$H$7</f>
        <v>#NAME?</v>
      </c>
      <c r="W7" t="e">
        <f>solver_lhs1='EscapeSheetName(1)+2-1'!$H$8:$H$9</f>
        <v>#NAME?</v>
      </c>
      <c r="X7" t="e">
        <f>solver_lhs2=DeletedConRef!$H$11</f>
        <v>#NAME?</v>
      </c>
      <c r="Y7" t="e">
        <f>solver_lhs3=DeletedObjRef!$H$12</f>
        <v>#NAME?</v>
      </c>
      <c r="Z7" t="e">
        <f>solver_lhs2=InfConstConstraint!$J$10</f>
        <v>#NAME?</v>
      </c>
      <c r="AA7" t="e">
        <f>solver_lhs1=FeasConstConstraint!$J$8:$J$9</f>
        <v>#NAME?</v>
      </c>
      <c r="AB7" t="e">
        <f>solver_lhs1=Unbounded!$H$8:$H$9</f>
        <v>#NAME?</v>
      </c>
      <c r="AC7" t="e">
        <f>solver_lhs3=ProtectedSheet!$H$11</f>
        <v>#NAME?</v>
      </c>
      <c r="AD7" t="e">
        <f>solver_lhs1=IndirectLBs!$H$10:$H$11</f>
        <v>#NAME?</v>
      </c>
      <c r="AE7" t="e">
        <f>solver_lhs1=DirectLBs!$H$10:$H$12</f>
        <v>#NAME?</v>
      </c>
      <c r="AF7" t="e">
        <f>solver_lhs1=SingleRangeLB!$H$10:$H$12</f>
        <v>#NAME?</v>
      </c>
      <c r="AG7" t="e">
        <f>solver_lhs1=BinLB!$H$11:$H$13</f>
        <v>#NAME?</v>
      </c>
      <c r="AH7" t="e">
        <f>solver_lhs1=BinIntLB!$H$11:$H$13</f>
        <v>#NAME?</v>
      </c>
      <c r="AI7" t="e">
        <f>solver_lhs1=Relaxation!$H$11:$H$13</f>
        <v>#NAME?</v>
      </c>
      <c r="AJ7" t="e">
        <f>solver_lhs1=LargeRangeLB!$H$12:$H$14</f>
        <v>#NAME?</v>
      </c>
      <c r="AK7" t="e">
        <f>solver_lhs1=OverlapRangeLB!$H$12:$H$14</f>
        <v>#NAME?</v>
      </c>
      <c r="AL7" t="e">
        <f>solver_lhs1=OverlapRangeLBwithFormula!$H$12:$H$14</f>
        <v>#NAME?</v>
      </c>
      <c r="AM7" t="e">
        <f>solver_lhs1=ConstFormulaRangeLB!$H$10:$H$12</f>
        <v>#NAME?</v>
      </c>
      <c r="AN7" t="e">
        <f>solver_lhs1=VariableFormulaRangeLB!$H$11:$H$13</f>
        <v>#NAME?</v>
      </c>
      <c r="AO7" t="e">
        <f>solver_lhs1=ConstraintLB!$H$11:$H$13</f>
        <v>#NAME?</v>
      </c>
      <c r="AP7" t="e">
        <f>solver_lhs1=ConstantLB!$H$11:$H$13</f>
        <v>#NAME?</v>
      </c>
      <c r="AQ7" t="e">
        <f>solver_lhs1=FormulaLB!$H$11:$H$13</f>
        <v>#NAME?</v>
      </c>
      <c r="AR7" t="e">
        <f>solver_lhs1=VarConstraintLB!$H$11:$H$13</f>
        <v>#NAME?</v>
      </c>
      <c r="AS7" t="e">
        <f>solver_lhs1=FractionalCoeffs!$G$6</f>
        <v>#NAME?</v>
      </c>
      <c r="AT7" t="e">
        <f>solver_lhs1=ComplexLayout!$I$8:$I$9</f>
        <v>#NAME?</v>
      </c>
      <c r="AU7" t="e">
        <f>solver_lhs1=InfModel!$H$9:$H$10</f>
        <v>#NAME?</v>
      </c>
      <c r="AV7" t="e">
        <f>solver_lhs1=IterativeCalc!$H$9:$H$10</f>
        <v>#NAME?</v>
      </c>
      <c r="AW7" t="e">
        <f>solver_lhs1=NoObj!$H$9:$H$10</f>
        <v>#NAME?</v>
      </c>
      <c r="AX7" t="e">
        <f>solver_itr=999999999</f>
        <v>#NAME?</v>
      </c>
      <c r="AY7" t="e">
        <f>solver_lhs1=DiffSheetObj!$G$6</f>
        <v>#NAME?</v>
      </c>
      <c r="AZ7" t="e">
        <f>solver_lhs1=NamedRanges!$I$8</f>
        <v>#NAME?</v>
      </c>
      <c r="BA7" t="e">
        <f>solver_lhs1=QuickSolve!$H$8</f>
        <v>#NAME?</v>
      </c>
      <c r="BB7" t="e">
        <f>solver_itr=9999999</f>
        <v>#NAME?</v>
      </c>
      <c r="BC7" t="e">
        <f>solver_adj=Sensitivity!$D$4:$F$4</f>
        <v>#NAME?</v>
      </c>
      <c r="BD7" t="e">
        <f>solver_itr=999999999</f>
        <v>#NAME?</v>
      </c>
      <c r="BE7" t="e">
        <f>solver_lhs2=NonLinSimple!$H$9</f>
        <v>#NAME?</v>
      </c>
      <c r="BF7" t="e">
        <f>solver_lhs10=NonLinLarge!$H$74</f>
        <v>#NAME?</v>
      </c>
      <c r="BG7" t="e">
        <f>solver_lhs2=NonLinObj!$H$9</f>
        <v>#NAME?</v>
      </c>
      <c r="BH7" t="e">
        <f>solver_lhs2=NonLinPruning!$F$10:$F$11</f>
        <v>#NAME?</v>
      </c>
      <c r="BI7" t="e">
        <f>solver_lhs2=NonLinMinMax!$D$4:$F$4</f>
        <v>#NAME?</v>
      </c>
      <c r="BJ7" t="e">
        <f>solver_neg=1</f>
        <v>#NAME?</v>
      </c>
      <c r="BK7" t="e">
        <f>solver_lhs2=NonLinBinary!$C$4:$D$4</f>
        <v>#NAME?</v>
      </c>
      <c r="BL7" t="e">
        <f>solver_lhs2=NonLin!$J$41:$J$42</f>
        <v>#NAME?</v>
      </c>
      <c r="BM7" t="e">
        <f>solver_neg=1</f>
        <v>#NAME?</v>
      </c>
      <c r="BN7" t="e">
        <f>solver_lhs2=NonLin3!$S$10:$S$11</f>
        <v>#NAME?</v>
      </c>
      <c r="BP7" t="e">
        <f>solver_num=0</f>
        <v>#NAME?</v>
      </c>
      <c r="BQ7" t="e">
        <f>solver_lhs2=NonLin6!$D$7</f>
        <v>#NAME?</v>
      </c>
    </row>
    <row r="8" spans="1:71" x14ac:dyDescent="0.25">
      <c r="C8" t="e">
        <f>solver_lhs2=SimpleLP!$H$10</f>
        <v>#NAME?</v>
      </c>
      <c r="D8" t="e">
        <f>solver_lhs2=SimpleIP!$E$5:$E$7</f>
        <v>#NAME?</v>
      </c>
      <c r="E8" t="e">
        <f>solver_lhs2=OverlappingVars!$H$10</f>
        <v>#NAME?</v>
      </c>
      <c r="F8" t="e">
        <f>solver_lhs2=BlankRHS!$H$10</f>
        <v>#NAME?</v>
      </c>
      <c r="G8" t="e">
        <f>solver_lhs2=BlankLHS!$H$10</f>
        <v>#NAME?</v>
      </c>
      <c r="H8" t="e">
        <f>solver_lhs3=TextRHS!$H$11</f>
        <v>#NAME?</v>
      </c>
      <c r="I8" t="e">
        <f>solver_lhs3=ErrorRHS!$H$11</f>
        <v>#NAME?</v>
      </c>
      <c r="J8" t="e">
        <f>solver_lhs3=ErrorLHS!$H$11</f>
        <v>#NAME?</v>
      </c>
      <c r="K8" t="e">
        <f>solver_num=3</f>
        <v>#NAME?</v>
      </c>
      <c r="L8" t="e">
        <f>solver_num=3</f>
        <v>#NAME?</v>
      </c>
      <c r="M8" t="e">
        <f>solver_num=3</f>
        <v>#NAME?</v>
      </c>
      <c r="N8" t="e">
        <f>solver_lhs2=MergedVarsOK!$H$11</f>
        <v>#NAME?</v>
      </c>
      <c r="O8" t="e">
        <f>solver_num=3</f>
        <v>#NAME?</v>
      </c>
      <c r="P8" t="e">
        <f>solver_lhs2=MergedRHS_OK!$H$11</f>
        <v>#NAME?</v>
      </c>
      <c r="Q8" t="e">
        <f>solver_lhs2=MergedLHS_OK!$H$11</f>
        <v>#NAME?</v>
      </c>
      <c r="R8" t="e">
        <f>solver_lhs3=MergedLHSMultiple_OK!$H$12</f>
        <v>#NAME?</v>
      </c>
      <c r="S8" t="e">
        <f>solver_lhs2=BinIntOverlap!$I$10</f>
        <v>#NAME?</v>
      </c>
      <c r="T8" t="e">
        <f>solver_lhs2=ConFormula!$I$11</f>
        <v>#NAME?</v>
      </c>
      <c r="U8" t="e">
        <f>solver_lhs3=ConFormulaInf!$I$12</f>
        <v>#NAME?</v>
      </c>
      <c r="V8" t="e">
        <f>solver_rel1=1</f>
        <v>#NAME?</v>
      </c>
      <c r="W8" t="e">
        <f>solver_lhs2='EscapeSheetName(1)+2-1'!$H$10</f>
        <v>#NAME?</v>
      </c>
      <c r="X8" t="e">
        <f>solver_lhs3=DeletedConRef!$H$12</f>
        <v>#NAME?</v>
      </c>
      <c r="Y8" t="e">
        <f>solver_num=3</f>
        <v>#NAME?</v>
      </c>
      <c r="Z8" t="e">
        <f>solver_lhs3=InfConstConstraint!$J$11</f>
        <v>#NAME?</v>
      </c>
      <c r="AA8" t="e">
        <f>solver_lhs2=FeasConstConstraint!$J$10</f>
        <v>#NAME?</v>
      </c>
      <c r="AB8" t="e">
        <f>solver_lhs2=Unbounded!$H$10</f>
        <v>#NAME?</v>
      </c>
      <c r="AC8" t="e">
        <f>solver_num=3</f>
        <v>#NAME?</v>
      </c>
      <c r="AD8" t="e">
        <f>solver_lhs2=IndirectLBs!$H$12</f>
        <v>#NAME?</v>
      </c>
      <c r="AE8" t="e">
        <f>solver_lhs2=DirectLBs!$D$4:$F$4</f>
        <v>#NAME?</v>
      </c>
      <c r="AF8" t="e">
        <f>solver_lhs2=SingleRangeLB!$D$4:$F$4</f>
        <v>#NAME?</v>
      </c>
      <c r="AG8" t="e">
        <f>solver_lhs2=BinLB!$D$5:$F$5</f>
        <v>#NAME?</v>
      </c>
      <c r="AH8" t="e">
        <f>solver_lhs2=BinIntLB!$D$5:$F$5</f>
        <v>#NAME?</v>
      </c>
      <c r="AI8" t="e">
        <f>solver_lhs2=Relaxation!$D$5:$F$5</f>
        <v>#NAME?</v>
      </c>
      <c r="AJ8" t="e">
        <f>solver_lhs2=LargeRangeLB!$D$6:$H$6</f>
        <v>#NAME?</v>
      </c>
      <c r="AK8" t="e">
        <f>solver_lhs2=OverlapRangeLB!$E$6:$H$6</f>
        <v>#NAME?</v>
      </c>
      <c r="AL8" t="e">
        <f>solver_lhs2=OverlapRangeLBwithFormula!$D$6:$H$6</f>
        <v>#NAME?</v>
      </c>
      <c r="AM8" t="e">
        <f>solver_lhs2=ConstFormulaRangeLB!$D$4:$F$4</f>
        <v>#NAME?</v>
      </c>
      <c r="AN8" t="e">
        <f>solver_lhs2=VariableFormulaRangeLB!$D$5:$F$5</f>
        <v>#NAME?</v>
      </c>
      <c r="AO8" t="e">
        <f>solver_neg=1</f>
        <v>#NAME?</v>
      </c>
      <c r="AP8" t="e">
        <f>solver_lhs2=ConstantLB!$D$5</f>
        <v>#NAME?</v>
      </c>
      <c r="AQ8" t="e">
        <f>solver_lhs2=FormulaLB!$D$5</f>
        <v>#NAME?</v>
      </c>
      <c r="AR8" t="e">
        <f>solver_lhs2=VarConstraintLB!$D$7</f>
        <v>#NAME?</v>
      </c>
      <c r="AS8" t="e">
        <f>solver_lhs2=FractionalCoeffs!$G$7</f>
        <v>#NAME?</v>
      </c>
      <c r="AT8" t="e">
        <f>solver_lhs2=ComplexLayout!$I$10</f>
        <v>#NAME?</v>
      </c>
      <c r="AU8" t="e">
        <f>solver_lhs2=InfModel!$H$11</f>
        <v>#NAME?</v>
      </c>
      <c r="AV8" t="e">
        <f>solver_lhs2=IterativeCalc!$H$11</f>
        <v>#NAME?</v>
      </c>
      <c r="AW8" t="e">
        <f>solver_lhs2=NoObj!$H$11</f>
        <v>#NAME?</v>
      </c>
      <c r="AX8" t="e">
        <f>solver_lhs1=SeekObj!$G$6</f>
        <v>#NAME?</v>
      </c>
      <c r="AY8" t="e">
        <f>solver_lhs2=DiffSheetObj!$G$7</f>
        <v>#NAME?</v>
      </c>
      <c r="AZ8" t="e">
        <f>solver_lhs2=NamedRanges!$I$9</f>
        <v>#NAME?</v>
      </c>
      <c r="BA8" t="e">
        <f>solver_lhs2=QuickSolve!$H$9:$H$10</f>
        <v>#NAME?</v>
      </c>
      <c r="BB8" t="e">
        <f>solver_lhs1=SolverParameters!$H$17:$H$18</f>
        <v>#NAME?</v>
      </c>
      <c r="BC8" t="e">
        <f>solver_itr=999999999</f>
        <v>#NAME?</v>
      </c>
      <c r="BD8" t="e">
        <f>solver_lhs1=SensitivityNames!$I$14:$I$16</f>
        <v>#NAME?</v>
      </c>
      <c r="BE8" t="e">
        <f>solver_lhs3=NonLinSimple!$H$10</f>
        <v>#NAME?</v>
      </c>
      <c r="BF8" t="e">
        <f>solver_lhs100=NonLinLarge!$H$74</f>
        <v>#NAME?</v>
      </c>
      <c r="BG8" t="e">
        <f>solver_lhs3=NonLinObj!$H$10</f>
        <v>#NAME?</v>
      </c>
      <c r="BH8" t="e">
        <f>solver_lhs3=NonLinPruning!$F$12:$F$18</f>
        <v>#NAME?</v>
      </c>
      <c r="BI8" t="e">
        <f>solver_neg=1</f>
        <v>#NAME?</v>
      </c>
      <c r="BJ8" t="e">
        <f>solver_num=1</f>
        <v>#NAME?</v>
      </c>
      <c r="BK8" t="e">
        <f>solver_neg=1</f>
        <v>#NAME?</v>
      </c>
      <c r="BL8" t="e">
        <f>solver_lhs3=NonLin!$J$43</f>
        <v>#NAME?</v>
      </c>
      <c r="BM8" t="e">
        <f>solver_num=1</f>
        <v>#NAME?</v>
      </c>
      <c r="BN8" t="e">
        <f>solver_neg=1</f>
        <v>#NAME?</v>
      </c>
      <c r="BP8" t="e">
        <f>solver_opt=NonLin5!$J$7</f>
        <v>#NAME?</v>
      </c>
      <c r="BQ8" t="e">
        <f>solver_lhs3=NonLin6!$D$8</f>
        <v>#NAME?</v>
      </c>
    </row>
    <row r="9" spans="1:71" x14ac:dyDescent="0.25">
      <c r="C9" t="e">
        <f>solver_lhs3=SimpleLP!$H$11</f>
        <v>#NAME?</v>
      </c>
      <c r="D9" t="e">
        <f>solver_neg=1</f>
        <v>#NAME?</v>
      </c>
      <c r="E9" t="e">
        <f>solver_lhs3=OverlappingVars!$H$11</f>
        <v>#NAME?</v>
      </c>
      <c r="F9" t="e">
        <f>solver_lhs3=BlankRHS!$H$11</f>
        <v>#NAME?</v>
      </c>
      <c r="G9" t="e">
        <f>solver_lhs3=BlankLHS!$H$11</f>
        <v>#NAME?</v>
      </c>
      <c r="H9" t="e">
        <f>solver_neg=1</f>
        <v>#NAME?</v>
      </c>
      <c r="I9" t="e">
        <f>solver_neg=1</f>
        <v>#NAME?</v>
      </c>
      <c r="J9" t="e">
        <f>solver_neg=1</f>
        <v>#NAME?</v>
      </c>
      <c r="K9" t="e">
        <f>solver_opt=ErrorObj!$H$6</f>
        <v>#NAME?</v>
      </c>
      <c r="L9" t="e">
        <f>solver_opt=TextObj!$H$6</f>
        <v>#NAME?</v>
      </c>
      <c r="M9" t="e">
        <f>solver_opt=MergedVarsSubset!$H$7</f>
        <v>#NAME?</v>
      </c>
      <c r="N9" t="e">
        <f>solver_lhs3=MergedVarsOK!$H$12</f>
        <v>#NAME?</v>
      </c>
      <c r="O9" t="e">
        <f>solver_opt=MergedVarsBad!$H$7</f>
        <v>#NAME?</v>
      </c>
      <c r="P9" t="e">
        <f>solver_lhs3=MergedRHS_OK!$H$12</f>
        <v>#NAME?</v>
      </c>
      <c r="Q9" t="e">
        <f>solver_lhs3=MergedLHS_OK!$H$12</f>
        <v>#NAME?</v>
      </c>
      <c r="R9" t="e">
        <f>solver_neg=1</f>
        <v>#NAME?</v>
      </c>
      <c r="S9" t="e">
        <f>solver_lhs3=BinIntOverlap!$I$11</f>
        <v>#NAME?</v>
      </c>
      <c r="T9" t="e">
        <f>solver_lhs3=ConFormula!$I$12</f>
        <v>#NAME?</v>
      </c>
      <c r="U9" t="e">
        <f>solver_lhs4=ConFormulaInf!$E$5:$F$5</f>
        <v>#NAME?</v>
      </c>
      <c r="V9" t="e">
        <f>solver_rhs1='BadName!'!$J$12</f>
        <v>#NAME?</v>
      </c>
      <c r="W9" t="e">
        <f>solver_lhs3='EscapeSheetName(1)+2-1'!$H$11</f>
        <v>#NAME?</v>
      </c>
      <c r="X9" t="e">
        <f>solver_lhs4=DeletedConRef!$K$1</f>
        <v>#NAME?</v>
      </c>
      <c r="Y9" t="e">
        <f>solver_opt=DeletedObjRef!#REF!</f>
        <v>#NAME?</v>
      </c>
      <c r="Z9" t="e">
        <f>solver_neg=1</f>
        <v>#NAME?</v>
      </c>
      <c r="AA9" t="e">
        <f>solver_lhs3=FeasConstConstraint!$J$11</f>
        <v>#NAME?</v>
      </c>
      <c r="AB9" t="e">
        <f>solver_lhs3=Unbounded!$H$11</f>
        <v>#NAME?</v>
      </c>
      <c r="AC9" t="e">
        <f>solver_opt=ProtectedSheet!$H$6</f>
        <v>#NAME?</v>
      </c>
      <c r="AD9" t="e">
        <f>solver_lhs3=IndirectLBs!$H$13</f>
        <v>#NAME?</v>
      </c>
      <c r="AE9" t="e">
        <f>solver_neg=1</f>
        <v>#NAME?</v>
      </c>
      <c r="AF9" t="e">
        <f>solver_neg=1</f>
        <v>#NAME?</v>
      </c>
      <c r="AG9" t="e">
        <f>solver_lhs3=BinLB!$F$5</f>
        <v>#NAME?</v>
      </c>
      <c r="AH9" t="e">
        <f>solver_lhs3=BinIntLB!$F$5</f>
        <v>#NAME?</v>
      </c>
      <c r="AI9" t="e">
        <f>solver_lhs3=Relaxation!$F$5</f>
        <v>#NAME?</v>
      </c>
      <c r="AJ9" t="e">
        <f>solver_neg=1</f>
        <v>#NAME?</v>
      </c>
      <c r="AK9" t="e">
        <f>solver_neg=1</f>
        <v>#NAME?</v>
      </c>
      <c r="AL9" t="e">
        <f>solver_neg=1</f>
        <v>#NAME?</v>
      </c>
      <c r="AM9" t="e">
        <f>solver_neg=1</f>
        <v>#NAME?</v>
      </c>
      <c r="AN9" t="e">
        <f>solver_neg=1</f>
        <v>#NAME?</v>
      </c>
      <c r="AO9" t="e">
        <f>solver_num=1</f>
        <v>#NAME?</v>
      </c>
      <c r="AP9" t="e">
        <f>solver_neg=1</f>
        <v>#NAME?</v>
      </c>
      <c r="AQ9" t="e">
        <f>solver_neg=1</f>
        <v>#NAME?</v>
      </c>
      <c r="AR9" t="e">
        <f>solver_neg=1</f>
        <v>#NAME?</v>
      </c>
      <c r="AS9" t="e">
        <f>solver_lhs3=FractionalCoeffs!$G$8:$G$9</f>
        <v>#NAME?</v>
      </c>
      <c r="AT9" t="e">
        <f>solver_lhs3=ComplexLayout!$I$11</f>
        <v>#NAME?</v>
      </c>
      <c r="AU9" t="e">
        <f>solver_lhs3=InfModel!$H$12</f>
        <v>#NAME?</v>
      </c>
      <c r="AV9" t="e">
        <f>solver_lhs3=IterativeCalc!$H$12</f>
        <v>#NAME?</v>
      </c>
      <c r="AW9" t="e">
        <f>solver_lhs3=NoObj!$H$12</f>
        <v>#NAME?</v>
      </c>
      <c r="AX9" t="e">
        <f>solver_lhs2=SeekObj!$G$7</f>
        <v>#NAME?</v>
      </c>
      <c r="AY9" t="e">
        <f>solver_lhs3=DiffSheetObj!$G$8:$G$9</f>
        <v>#NAME?</v>
      </c>
      <c r="AZ9" t="e">
        <f>solver_lhs3=NamedRanges!$I$10:$I$11</f>
        <v>#NAME?</v>
      </c>
      <c r="BA9" t="e">
        <f>solver_neg=1</f>
        <v>#NAME?</v>
      </c>
      <c r="BB9" t="e">
        <f>solver_lhs2=SolverParameters!$H$19</f>
        <v>#NAME?</v>
      </c>
      <c r="BC9" t="e">
        <f>solver_lhs1=Sensitivity!$G$8</f>
        <v>#NAME?</v>
      </c>
      <c r="BD9" t="e">
        <f>solver_lhs2=SensitivityNames!$D$17:$H$17</f>
        <v>#NAME?</v>
      </c>
      <c r="BE9" t="e">
        <f>solver_neg=1</f>
        <v>#NAME?</v>
      </c>
      <c r="BF9" t="e">
        <f>solver_lhs101=NonLinLarge!$H$75:$H$138</f>
        <v>#NAME?</v>
      </c>
      <c r="BG9" t="e">
        <f>solver_neg=1</f>
        <v>#NAME?</v>
      </c>
      <c r="BH9" t="e">
        <f>solver_neg=1</f>
        <v>#NAME?</v>
      </c>
      <c r="BI9" t="e">
        <f>solver_num=2</f>
        <v>#NAME?</v>
      </c>
      <c r="BJ9" t="e">
        <f>solver_opt=NonLinConstraints!$I$6</f>
        <v>#NAME?</v>
      </c>
      <c r="BK9" t="e">
        <f>solver_num=2</f>
        <v>#NAME?</v>
      </c>
      <c r="BL9" t="e">
        <f>solver_lhs4=NonLin!$J$44</f>
        <v>#NAME?</v>
      </c>
      <c r="BM9" t="e">
        <f>solver_opt=NonLin2!$F$4</f>
        <v>#NAME?</v>
      </c>
      <c r="BN9" t="e">
        <f>solver_num=2</f>
        <v>#NAME?</v>
      </c>
      <c r="BP9" t="e">
        <f>solver_rlx=0</f>
        <v>#NAME?</v>
      </c>
      <c r="BQ9" t="e">
        <f>solver_lhs4=NonLin6!$D$8</f>
        <v>#NAME?</v>
      </c>
    </row>
    <row r="10" spans="1:71" x14ac:dyDescent="0.25">
      <c r="C10" t="e">
        <f>solver_neg=1</f>
        <v>#NAME?</v>
      </c>
      <c r="D10" t="e">
        <f>solver_num=2</f>
        <v>#NAME?</v>
      </c>
      <c r="E10" t="e">
        <f>solver_neg=1</f>
        <v>#NAME?</v>
      </c>
      <c r="F10" t="e">
        <f>solver_neg=1</f>
        <v>#NAME?</v>
      </c>
      <c r="G10" t="e">
        <f>solver_neg=1</f>
        <v>#NAME?</v>
      </c>
      <c r="H10" t="e">
        <f>solver_num=3</f>
        <v>#NAME?</v>
      </c>
      <c r="I10" t="e">
        <f>solver_num=3</f>
        <v>#NAME?</v>
      </c>
      <c r="J10" t="e">
        <f>solver_num=3</f>
        <v>#NAME?</v>
      </c>
      <c r="K10" t="e">
        <f>solver_rel1=1</f>
        <v>#NAME?</v>
      </c>
      <c r="L10" t="e">
        <f>solver_rel1=1</f>
        <v>#NAME?</v>
      </c>
      <c r="M10" t="e">
        <f>solver_rel1=1</f>
        <v>#NAME?</v>
      </c>
      <c r="N10" t="e">
        <f>solver_neg=1</f>
        <v>#NAME?</v>
      </c>
      <c r="O10" t="e">
        <f>solver_rel1=1</f>
        <v>#NAME?</v>
      </c>
      <c r="P10" t="e">
        <f>solver_neg=1</f>
        <v>#NAME?</v>
      </c>
      <c r="Q10" t="e">
        <f>solver_neg=1</f>
        <v>#NAME?</v>
      </c>
      <c r="R10" t="e">
        <f>solver_num=3</f>
        <v>#NAME?</v>
      </c>
      <c r="S10" t="e">
        <f>solver_lhs4=BinIntOverlap!$E$4:$F$4</f>
        <v>#NAME?</v>
      </c>
      <c r="T10" t="e">
        <f>solver_lhs4=ConFormula!$E$5:$F$5</f>
        <v>#NAME?</v>
      </c>
      <c r="U10" t="e">
        <f>solver_lhs5=ConFormulaInf!$D$5:$F$5</f>
        <v>#NAME?</v>
      </c>
      <c r="W10" t="e">
        <f>solver_neg=1</f>
        <v>#NAME?</v>
      </c>
      <c r="X10" t="e">
        <f>solver_neg=1</f>
        <v>#NAME?</v>
      </c>
      <c r="Y10" t="e">
        <f>solver_rel1=1</f>
        <v>#NAME?</v>
      </c>
      <c r="Z10" t="e">
        <f>solver_num=3</f>
        <v>#NAME?</v>
      </c>
      <c r="AA10" t="e">
        <f>solver_neg=1</f>
        <v>#NAME?</v>
      </c>
      <c r="AB10" t="e">
        <f>solver_neg=0</f>
        <v>#NAME?</v>
      </c>
      <c r="AC10" t="e">
        <f>solver_rel1=1</f>
        <v>#NAME?</v>
      </c>
      <c r="AD10" t="e">
        <f>solver_lhs4=IndirectLBs!$D$5:$E$5</f>
        <v>#NAME?</v>
      </c>
      <c r="AE10" t="e">
        <f>solver_num=2</f>
        <v>#NAME?</v>
      </c>
      <c r="AF10" t="e">
        <f>solver_num=2</f>
        <v>#NAME?</v>
      </c>
      <c r="AG10" t="e">
        <f>solver_neg=1</f>
        <v>#NAME?</v>
      </c>
      <c r="AH10" t="e">
        <f>solver_lhs4=BinIntLB!$E$5:$F$5</f>
        <v>#NAME?</v>
      </c>
      <c r="AI10" t="e">
        <f>solver_lhs4=Relaxation!$E$5:$F$5</f>
        <v>#NAME?</v>
      </c>
      <c r="AJ10" t="e">
        <f>solver_num=2</f>
        <v>#NAME?</v>
      </c>
      <c r="AK10" t="e">
        <f>solver_num=2</f>
        <v>#NAME?</v>
      </c>
      <c r="AL10" t="e">
        <f>solver_num=2</f>
        <v>#NAME?</v>
      </c>
      <c r="AM10" t="e">
        <f>solver_num=2</f>
        <v>#NAME?</v>
      </c>
      <c r="AN10" t="e">
        <f>solver_num=2</f>
        <v>#NAME?</v>
      </c>
      <c r="AO10" t="e">
        <f>solver_opt=ConstraintLB!$H$9</f>
        <v>#NAME?</v>
      </c>
      <c r="AP10" t="e">
        <f>solver_num=2</f>
        <v>#NAME?</v>
      </c>
      <c r="AQ10" t="e">
        <f>solver_num=2</f>
        <v>#NAME?</v>
      </c>
      <c r="AR10" t="e">
        <f>solver_num=2</f>
        <v>#NAME?</v>
      </c>
      <c r="AS10" t="e">
        <f>solver_neg=1</f>
        <v>#NAME?</v>
      </c>
      <c r="AT10" t="e">
        <f>solver_lhs4=ComplexLayout!$E$4:$F$4</f>
        <v>#NAME?</v>
      </c>
      <c r="AU10" t="e">
        <f>solver_lhs4=InfModel!$D$5</f>
        <v>#NAME?</v>
      </c>
      <c r="AV10" t="e">
        <f>solver_neg=1</f>
        <v>#NAME?</v>
      </c>
      <c r="AW10" t="e">
        <f>solver_neg=1</f>
        <v>#NAME?</v>
      </c>
      <c r="AX10" t="e">
        <f>solver_lhs3=SeekObj!$G$8:$G$9</f>
        <v>#NAME?</v>
      </c>
      <c r="AY10" t="e">
        <f>solver_neg=1</f>
        <v>#NAME?</v>
      </c>
      <c r="AZ10" t="e">
        <f>solver_lhs4=NamedRanges!$I$12</f>
        <v>#NAME?</v>
      </c>
      <c r="BA10" t="e">
        <f>solver_num=2</f>
        <v>#NAME?</v>
      </c>
      <c r="BB10" t="e">
        <f>solver_lhs3=SolverParameters!$H$20</f>
        <v>#NAME?</v>
      </c>
      <c r="BC10" t="e">
        <f>solver_lhs2=Sensitivity!$G$9</f>
        <v>#NAME?</v>
      </c>
      <c r="BD10" t="e">
        <f>solver_lhs3=SensitivityNames!$J$24</f>
        <v>#NAME?</v>
      </c>
      <c r="BE10" t="e">
        <f>solver_num=3</f>
        <v>#NAME?</v>
      </c>
      <c r="BF10" t="e">
        <f>solver_lhs102=NonLinLarge!$H$139</f>
        <v>#NAME?</v>
      </c>
      <c r="BG10" t="e">
        <f>solver_num=3</f>
        <v>#NAME?</v>
      </c>
      <c r="BH10" t="e">
        <f>solver_num=3</f>
        <v>#NAME?</v>
      </c>
      <c r="BI10" t="e">
        <f>solver_opt=NonLinMinMax!$G$6</f>
        <v>#NAME?</v>
      </c>
      <c r="BJ10" t="e">
        <f>solver_rel1=1</f>
        <v>#NAME?</v>
      </c>
      <c r="BK10" t="e">
        <f>solver_opt=NonLinBinary!$C$6</f>
        <v>#NAME?</v>
      </c>
      <c r="BL10" t="e">
        <f>solver_lhs5=NonLin!$D$3:$D$35</f>
        <v>#NAME?</v>
      </c>
      <c r="BM10" t="e">
        <f>solver_rel1=3</f>
        <v>#NAME?</v>
      </c>
      <c r="BN10" t="e">
        <f>solver_opt=NonLin3!$S$13</f>
        <v>#NAME?</v>
      </c>
      <c r="BP10" t="e">
        <f>solver_sho=0</f>
        <v>#NAME?</v>
      </c>
      <c r="BQ10" t="e">
        <f>solver_neg=1</f>
        <v>#NAME?</v>
      </c>
    </row>
    <row r="11" spans="1:71" x14ac:dyDescent="0.25">
      <c r="C11" t="e">
        <f>solver_num=3</f>
        <v>#NAME?</v>
      </c>
      <c r="D11" t="e">
        <f>solver_opt=SimpleIP!$E$10</f>
        <v>#NAME?</v>
      </c>
      <c r="E11" t="e">
        <f>solver_num=3</f>
        <v>#NAME?</v>
      </c>
      <c r="F11" t="e">
        <f>solver_num=3</f>
        <v>#NAME?</v>
      </c>
      <c r="G11" t="e">
        <f>solver_num=3</f>
        <v>#NAME?</v>
      </c>
      <c r="H11" t="e">
        <f>solver_opt=TextRHS!$H$6</f>
        <v>#NAME?</v>
      </c>
      <c r="I11" t="e">
        <f>solver_opt=ErrorRHS!$H$6</f>
        <v>#NAME?</v>
      </c>
      <c r="J11" t="e">
        <f>solver_opt=ErrorLHS!$H$6</f>
        <v>#NAME?</v>
      </c>
      <c r="K11" t="e">
        <f>solver_rel2=3</f>
        <v>#NAME?</v>
      </c>
      <c r="L11" t="e">
        <f>solver_rel2=3</f>
        <v>#NAME?</v>
      </c>
      <c r="M11" t="e">
        <f>solver_rel2=3</f>
        <v>#NAME?</v>
      </c>
      <c r="N11" t="e">
        <f>solver_num=3</f>
        <v>#NAME?</v>
      </c>
      <c r="O11" t="e">
        <f>solver_rel2=3</f>
        <v>#NAME?</v>
      </c>
      <c r="P11" t="e">
        <f>solver_num=3</f>
        <v>#NAME?</v>
      </c>
      <c r="Q11" t="e">
        <f>solver_num=3</f>
        <v>#NAME?</v>
      </c>
      <c r="R11" t="e">
        <f>solver_opt=MergedLHSMultiple_OK!$H$7</f>
        <v>#NAME?</v>
      </c>
      <c r="S11" t="e">
        <f>solver_lhs5=BinIntOverlap!$D$4:$F$4</f>
        <v>#NAME?</v>
      </c>
      <c r="T11" t="e">
        <f>solver_lhs5=ConFormula!$D$5:$F$5</f>
        <v>#NAME?</v>
      </c>
      <c r="U11" t="e">
        <f>solver_lhs6=ConFormulaInf!$S$4:$S$5</f>
        <v>#NAME?</v>
      </c>
      <c r="W11" t="e">
        <f>solver_num=3</f>
        <v>#NAME?</v>
      </c>
      <c r="X11" t="e">
        <f>solver_num=4</f>
        <v>#NAME?</v>
      </c>
      <c r="Y11" t="e">
        <f>solver_rel2=3</f>
        <v>#NAME?</v>
      </c>
      <c r="Z11" t="e">
        <f>solver_opt=InfConstConstraint!$J$6</f>
        <v>#NAME?</v>
      </c>
      <c r="AA11" t="e">
        <f>solver_num=3</f>
        <v>#NAME?</v>
      </c>
      <c r="AB11" t="e">
        <f>solver_num=3</f>
        <v>#NAME?</v>
      </c>
      <c r="AC11" t="e">
        <f>solver_rel2=3</f>
        <v>#NAME?</v>
      </c>
      <c r="AD11" t="e">
        <f>solver_lhs5=IndirectLBs!$D$5</f>
        <v>#NAME?</v>
      </c>
      <c r="AE11" t="e">
        <f>solver_opt=DirectLBs!$H$8</f>
        <v>#NAME?</v>
      </c>
      <c r="AF11" t="e">
        <f>solver_opt=SingleRangeLB!$H$8</f>
        <v>#NAME?</v>
      </c>
      <c r="AG11" t="e">
        <f>solver_num=3</f>
        <v>#NAME?</v>
      </c>
      <c r="AH11" t="e">
        <f>solver_neg=1</f>
        <v>#NAME?</v>
      </c>
      <c r="AI11" t="e">
        <f>solver_neg=1</f>
        <v>#NAME?</v>
      </c>
      <c r="AJ11" t="e">
        <f>solver_opt=LargeRangeLB!$H$10</f>
        <v>#NAME?</v>
      </c>
      <c r="AK11" t="e">
        <f>solver_opt=OverlapRangeLB!$H$10</f>
        <v>#NAME?</v>
      </c>
      <c r="AL11" t="e">
        <f>solver_opt=OverlapRangeLBwithFormula!$H$10</f>
        <v>#NAME?</v>
      </c>
      <c r="AM11" t="e">
        <f>solver_opt=ConstFormulaRangeLB!$H$8</f>
        <v>#NAME?</v>
      </c>
      <c r="AN11" t="e">
        <f>solver_opt=VariableFormulaRangeLB!$H$9</f>
        <v>#NAME?</v>
      </c>
      <c r="AO11" t="e">
        <f>solver_rel1=3</f>
        <v>#NAME?</v>
      </c>
      <c r="AP11" t="e">
        <f>solver_opt=ConstantLB!$H$9</f>
        <v>#NAME?</v>
      </c>
      <c r="AQ11" t="e">
        <f>solver_opt=FormulaLB!$H$9</f>
        <v>#NAME?</v>
      </c>
      <c r="AR11" t="e">
        <f>solver_opt=VarConstraintLB!$H$9</f>
        <v>#NAME?</v>
      </c>
      <c r="AS11" t="e">
        <f>solver_num=3</f>
        <v>#NAME?</v>
      </c>
      <c r="AT11" t="e">
        <f>solver_lhs5=ComplexLayout!$D$4:$F$4</f>
        <v>#NAME?</v>
      </c>
      <c r="AU11" t="e">
        <f>solver_neg=1</f>
        <v>#NAME?</v>
      </c>
      <c r="AV11" t="e">
        <f>solver_num=3</f>
        <v>#NAME?</v>
      </c>
      <c r="AW11" t="e">
        <f>solver_num=3</f>
        <v>#NAME?</v>
      </c>
      <c r="AX11" t="e">
        <f>solver_neg=1</f>
        <v>#NAME?</v>
      </c>
      <c r="AY11" t="e">
        <f>solver_num=3</f>
        <v>#NAME?</v>
      </c>
      <c r="AZ11" t="e">
        <f>solver_neg=1</f>
        <v>#NAME?</v>
      </c>
      <c r="BA11" t="e">
        <f>solver_opt=QuickSolve!$H$6</f>
        <v>#NAME?</v>
      </c>
      <c r="BB11" t="e">
        <f>solver_neg=0</f>
        <v>#NAME?</v>
      </c>
      <c r="BC11" t="e">
        <f>solver_lhs3=Sensitivity!$G$10:$G$11</f>
        <v>#NAME?</v>
      </c>
      <c r="BD11" t="e">
        <f>solver_lhs4=SensitivityNames!$D$14:$H$16</f>
        <v>#NAME?</v>
      </c>
      <c r="BE11" t="e">
        <f>solver_opt=NonLinSimple!$H$5</f>
        <v>#NAME?</v>
      </c>
      <c r="BF11" t="e">
        <f>solver_lhs103=NonLinLarge!$H$7:$H$8</f>
        <v>#NAME?</v>
      </c>
      <c r="BG11" t="e">
        <f>solver_opt=NonLinObj!$H$5</f>
        <v>#NAME?</v>
      </c>
      <c r="BH11" t="e">
        <f>solver_opt=NonLinPruning!$F$6</f>
        <v>#NAME?</v>
      </c>
      <c r="BI11" t="e">
        <f>solver_rel1=1</f>
        <v>#NAME?</v>
      </c>
      <c r="BJ11" t="e">
        <f>solver_rhs1=NonLinConstraints!$K$7:$K$9</f>
        <v>#NAME?</v>
      </c>
      <c r="BK11" t="e">
        <f>solver_rel1=3</f>
        <v>#NAME?</v>
      </c>
      <c r="BL11" t="e">
        <f>solver_neg=1</f>
        <v>#NAME?</v>
      </c>
      <c r="BM11" t="e">
        <f>solver_rhs1=NonLin2!$G$6:$G$7</f>
        <v>#NAME?</v>
      </c>
      <c r="BN11" t="e">
        <f>solver_rel1=3</f>
        <v>#NAME?</v>
      </c>
      <c r="BP11" t="e">
        <f>solver_tim=999999999</f>
        <v>#NAME?</v>
      </c>
      <c r="BQ11" t="e">
        <f>solver_num=4</f>
        <v>#NAME?</v>
      </c>
    </row>
    <row r="12" spans="1:71" x14ac:dyDescent="0.25">
      <c r="C12" t="e">
        <f>solver_opt=SimpleLP!$H$6</f>
        <v>#NAME?</v>
      </c>
      <c r="D12" t="e">
        <f>solver_rel1=1</f>
        <v>#NAME?</v>
      </c>
      <c r="E12" t="e">
        <f>solver_opt=OverlappingVars!$H$6</f>
        <v>#NAME?</v>
      </c>
      <c r="F12" t="e">
        <f>solver_opt=BlankRHS!$H$6</f>
        <v>#NAME?</v>
      </c>
      <c r="G12" t="e">
        <f>solver_opt=BlankLHS!$H$6</f>
        <v>#NAME?</v>
      </c>
      <c r="H12" t="e">
        <f>solver_rel1=1</f>
        <v>#NAME?</v>
      </c>
      <c r="I12" t="e">
        <f>solver_rel1=1</f>
        <v>#NAME?</v>
      </c>
      <c r="J12" t="e">
        <f>solver_rel1=1</f>
        <v>#NAME?</v>
      </c>
      <c r="K12" t="e">
        <f>solver_rel3=2</f>
        <v>#NAME?</v>
      </c>
      <c r="L12" t="e">
        <f>solver_rel3=2</f>
        <v>#NAME?</v>
      </c>
      <c r="M12" t="e">
        <f>solver_rel3=2</f>
        <v>#NAME?</v>
      </c>
      <c r="N12" t="e">
        <f>solver_opt=MergedVarsOK!$H$7</f>
        <v>#NAME?</v>
      </c>
      <c r="O12" t="e">
        <f>solver_rel3=2</f>
        <v>#NAME?</v>
      </c>
      <c r="P12" t="e">
        <f>solver_opt=MergedRHS_OK!$H$7</f>
        <v>#NAME?</v>
      </c>
      <c r="Q12" t="e">
        <f>solver_opt=MergedLHS_OK!$H$7</f>
        <v>#NAME?</v>
      </c>
      <c r="R12" t="e">
        <f>solver_rel1=1</f>
        <v>#NAME?</v>
      </c>
      <c r="S12" t="e">
        <f>solver_neg=1</f>
        <v>#NAME?</v>
      </c>
      <c r="T12" t="e">
        <f>solver_lhs6=ConFormula!$S$4:$S$5</f>
        <v>#NAME?</v>
      </c>
      <c r="U12" t="e">
        <f>solver_lhs7=ConFormulaInf!$Q$6:$R$6</f>
        <v>#NAME?</v>
      </c>
      <c r="W12" t="e">
        <f>solver_opt='EscapeSheetName(1)+2-1'!$H$6</f>
        <v>#NAME?</v>
      </c>
      <c r="X12" t="e">
        <f>solver_opt=DeletedConRef!$H$7</f>
        <v>#NAME?</v>
      </c>
      <c r="Y12" t="e">
        <f>solver_rel3=1</f>
        <v>#NAME?</v>
      </c>
      <c r="Z12" t="e">
        <f>solver_rel1=1</f>
        <v>#NAME?</v>
      </c>
      <c r="AA12" t="e">
        <f>solver_opt=FeasConstConstraint!$J$6</f>
        <v>#NAME?</v>
      </c>
      <c r="AB12" t="e">
        <f>solver_opt=Unbounded!$H$6</f>
        <v>#NAME?</v>
      </c>
      <c r="AC12" t="e">
        <f>solver_rel3=2</f>
        <v>#NAME?</v>
      </c>
      <c r="AD12" t="e">
        <f>solver_neg=1</f>
        <v>#NAME?</v>
      </c>
      <c r="AE12" t="e">
        <f>solver_rel1=3</f>
        <v>#NAME?</v>
      </c>
      <c r="AF12" t="e">
        <f>solver_rel1=3</f>
        <v>#NAME?</v>
      </c>
      <c r="AG12" t="e">
        <f>solver_opt=BinLB!$H$9</f>
        <v>#NAME?</v>
      </c>
      <c r="AH12" t="e">
        <f>solver_num=4</f>
        <v>#NAME?</v>
      </c>
      <c r="AI12" t="e">
        <f>solver_num=4</f>
        <v>#NAME?</v>
      </c>
      <c r="AJ12" t="e">
        <f>solver_rel1=3</f>
        <v>#NAME?</v>
      </c>
      <c r="AK12" t="e">
        <f>solver_rel1=3</f>
        <v>#NAME?</v>
      </c>
      <c r="AL12" t="e">
        <f>solver_rel1=3</f>
        <v>#NAME?</v>
      </c>
      <c r="AM12" t="e">
        <f>solver_rel1=3</f>
        <v>#NAME?</v>
      </c>
      <c r="AN12" t="e">
        <f>solver_rel1=3</f>
        <v>#NAME?</v>
      </c>
      <c r="AO12" t="e">
        <f>solver_rhs1=ConstraintLB!$J$11:$J$13</f>
        <v>#NAME?</v>
      </c>
      <c r="AP12" t="e">
        <f>solver_rel1=3</f>
        <v>#NAME?</v>
      </c>
      <c r="AQ12" t="e">
        <f>solver_rel1=3</f>
        <v>#NAME?</v>
      </c>
      <c r="AR12" t="e">
        <f>solver_rel1=3</f>
        <v>#NAME?</v>
      </c>
      <c r="AS12" t="e">
        <f>solver_opt=FractionalCoeffs!$G$4</f>
        <v>#NAME?</v>
      </c>
      <c r="AT12" t="e">
        <f>solver_lhs6=ComplexLayout!$S$3:$S$4</f>
        <v>#NAME?</v>
      </c>
      <c r="AU12" t="e">
        <f>solver_num=4</f>
        <v>#NAME?</v>
      </c>
      <c r="AV12" t="e">
        <f>solver_opt=IterativeCalc!$H$7</f>
        <v>#NAME?</v>
      </c>
      <c r="AW12" t="e">
        <f>solver_rel1=1</f>
        <v>#NAME?</v>
      </c>
      <c r="AX12" t="e">
        <f>solver_num=3</f>
        <v>#NAME?</v>
      </c>
      <c r="AY12" t="e">
        <f>solver_opt=SeekObj!$G$17</f>
        <v>#NAME?</v>
      </c>
      <c r="AZ12" t="e">
        <f>solver_num=4</f>
        <v>#NAME?</v>
      </c>
      <c r="BA12" t="e">
        <f>solver_rel1=1</f>
        <v>#NAME?</v>
      </c>
      <c r="BB12" t="e">
        <f>solver_num=3</f>
        <v>#NAME?</v>
      </c>
      <c r="BC12" t="e">
        <f>solver_lhs4=Sensitivity!$G$20</f>
        <v>#NAME?</v>
      </c>
      <c r="BD12" t="e">
        <f>solver_neg=0</f>
        <v>#NAME?</v>
      </c>
      <c r="BE12" t="e">
        <f>solver_rel1=1</f>
        <v>#NAME?</v>
      </c>
      <c r="BF12" t="e">
        <f>solver_lhs104=NonLinLarge!$H$9:$H$72</f>
        <v>#NAME?</v>
      </c>
      <c r="BG12" t="e">
        <f>solver_rel1=1</f>
        <v>#NAME?</v>
      </c>
      <c r="BH12" t="e">
        <f>solver_pre=0.001</f>
        <v>#NAME?</v>
      </c>
      <c r="BI12" t="e">
        <f>solver_rel2=4</f>
        <v>#NAME?</v>
      </c>
      <c r="BJ12" t="e">
        <f>solver_rlx=0</f>
        <v>#NAME?</v>
      </c>
      <c r="BK12" t="e">
        <f>solver_rel2=5</f>
        <v>#NAME?</v>
      </c>
      <c r="BL12" t="e">
        <f>solver_num=5</f>
        <v>#NAME?</v>
      </c>
      <c r="BM12" t="e">
        <f>solver_rlx=0</f>
        <v>#NAME?</v>
      </c>
      <c r="BN12" t="e">
        <f>solver_rel2=1</f>
        <v>#NAME?</v>
      </c>
      <c r="BP12" t="e">
        <f>solver_tol=0.05</f>
        <v>#NAME?</v>
      </c>
      <c r="BQ12" t="e">
        <f>solver_opt=NonLin6!$F$15</f>
        <v>#NAME?</v>
      </c>
    </row>
    <row r="13" spans="1:71" x14ac:dyDescent="0.25">
      <c r="C13" t="e">
        <f>solver_rel1=1</f>
        <v>#NAME?</v>
      </c>
      <c r="D13" t="e">
        <f>solver_rel2=5</f>
        <v>#NAME?</v>
      </c>
      <c r="E13" t="e">
        <f>solver_rel1=1</f>
        <v>#NAME?</v>
      </c>
      <c r="F13" t="e">
        <f>solver_rel1=1</f>
        <v>#NAME?</v>
      </c>
      <c r="G13" t="e">
        <f>solver_rel1=1</f>
        <v>#NAME?</v>
      </c>
      <c r="H13" t="e">
        <f>solver_rel2=3</f>
        <v>#NAME?</v>
      </c>
      <c r="I13" t="e">
        <f>solver_rel2=3</f>
        <v>#NAME?</v>
      </c>
      <c r="J13" t="e">
        <f>solver_rel2=3</f>
        <v>#NAME?</v>
      </c>
      <c r="K13" t="e">
        <f>solver_rhs1=ErrorObj!$J$8:$J$9</f>
        <v>#NAME?</v>
      </c>
      <c r="L13" t="e">
        <f>solver_rhs1=TextObj!$J$8:$J$9</f>
        <v>#NAME?</v>
      </c>
      <c r="M13" t="e">
        <f>solver_rhs1=MergedVarsSubset!$J$9:$J$10</f>
        <v>#NAME?</v>
      </c>
      <c r="N13" t="e">
        <f>solver_rel1=1</f>
        <v>#NAME?</v>
      </c>
      <c r="O13" t="e">
        <f>solver_rhs1=MergedVarsBad!$J$9:$J$10</f>
        <v>#NAME?</v>
      </c>
      <c r="P13" t="e">
        <f>solver_rel1=1</f>
        <v>#NAME?</v>
      </c>
      <c r="Q13" t="e">
        <f>solver_rel1=1</f>
        <v>#NAME?</v>
      </c>
      <c r="R13" t="e">
        <f>solver_rel2=3</f>
        <v>#NAME?</v>
      </c>
      <c r="S13" t="e">
        <f>solver_num=5</f>
        <v>#NAME?</v>
      </c>
      <c r="T13" t="e">
        <f>solver_lhs7=ConFormula!$Q$6:$R$6</f>
        <v>#NAME?</v>
      </c>
      <c r="U13" t="e">
        <f>solver_lhs8=ConFormulaInf!$I$10</f>
        <v>#NAME?</v>
      </c>
      <c r="W13" t="e">
        <f>solver_rel1=1</f>
        <v>#NAME?</v>
      </c>
      <c r="X13" t="e">
        <f>solver_rel1=1</f>
        <v>#NAME?</v>
      </c>
      <c r="Y13" t="e">
        <f>solver_rhs1=DeletedObjRef!$J$9:$J$10</f>
        <v>#NAME?</v>
      </c>
      <c r="Z13" t="e">
        <f>solver_rel2=3</f>
        <v>#NAME?</v>
      </c>
      <c r="AA13" t="e">
        <f>solver_rel1=1</f>
        <v>#NAME?</v>
      </c>
      <c r="AB13" t="e">
        <f>solver_rel1=1</f>
        <v>#NAME?</v>
      </c>
      <c r="AC13" t="e">
        <f>solver_rhs1=ProtectedSheet!$J$8:$J$9</f>
        <v>#NAME?</v>
      </c>
      <c r="AD13" t="e">
        <f>solver_num=5</f>
        <v>#NAME?</v>
      </c>
      <c r="AE13" t="e">
        <f>solver_rel2=3</f>
        <v>#NAME?</v>
      </c>
      <c r="AF13" t="e">
        <f>solver_rel2=3</f>
        <v>#NAME?</v>
      </c>
      <c r="AG13" t="e">
        <f>solver_rel1=3</f>
        <v>#NAME?</v>
      </c>
      <c r="AH13" t="e">
        <f>solver_opt=BinIntLB!$H$9</f>
        <v>#NAME?</v>
      </c>
      <c r="AI13" t="e">
        <f>solver_opt=Relaxation!$H$9</f>
        <v>#NAME?</v>
      </c>
      <c r="AJ13" t="e">
        <f>solver_rel2=3</f>
        <v>#NAME?</v>
      </c>
      <c r="AK13" t="e">
        <f>solver_rel2=3</f>
        <v>#NAME?</v>
      </c>
      <c r="AL13" t="e">
        <f>solver_rel2=3</f>
        <v>#NAME?</v>
      </c>
      <c r="AM13" t="e">
        <f>solver_rel2=3</f>
        <v>#NAME?</v>
      </c>
      <c r="AN13" t="e">
        <f>solver_rel2=3</f>
        <v>#NAME?</v>
      </c>
      <c r="AO13" t="e">
        <f>solver_rlx=0</f>
        <v>#NAME?</v>
      </c>
      <c r="AP13" t="e">
        <f>solver_rel2=3</f>
        <v>#NAME?</v>
      </c>
      <c r="AQ13" t="e">
        <f>solver_rel2=3</f>
        <v>#NAME?</v>
      </c>
      <c r="AR13" t="e">
        <f>solver_rel2=1</f>
        <v>#NAME?</v>
      </c>
      <c r="AS13" t="e">
        <f>solver_rel1=2</f>
        <v>#NAME?</v>
      </c>
      <c r="AT13" t="e">
        <f>solver_lhs7=ComplexLayout!$Q$5:$R$5</f>
        <v>#NAME?</v>
      </c>
      <c r="AU13" t="e">
        <f>solver_opt=InfModel!$H$7</f>
        <v>#NAME?</v>
      </c>
      <c r="AV13" t="e">
        <f>solver_rel1=1</f>
        <v>#NAME?</v>
      </c>
      <c r="AW13" t="e">
        <f>solver_rel2=3</f>
        <v>#NAME?</v>
      </c>
      <c r="AX13" t="e">
        <f>solver_opt=SeekObj!$G$4</f>
        <v>#NAME?</v>
      </c>
      <c r="AY13" t="e">
        <f>solver_rel1=2</f>
        <v>#NAME?</v>
      </c>
      <c r="AZ13" t="e">
        <f>solver_opt=NamedRanges!$I$6</f>
        <v>#NAME?</v>
      </c>
      <c r="BA13" t="e">
        <f>solver_rel2=3</f>
        <v>#NAME?</v>
      </c>
      <c r="BB13" t="e">
        <f>solver_opt=SolverParameters!$H$15</f>
        <v>#NAME?</v>
      </c>
      <c r="BC13" t="e">
        <f>solver_neg=1</f>
        <v>#NAME?</v>
      </c>
      <c r="BD13" t="e">
        <f>solver_num=4</f>
        <v>#NAME?</v>
      </c>
      <c r="BE13" t="e">
        <f>solver_rel2=3</f>
        <v>#NAME?</v>
      </c>
      <c r="BF13" t="e">
        <f>solver_lhs105=NonLinLarge!$H$73</f>
        <v>#NAME?</v>
      </c>
      <c r="BG13" t="e">
        <f>solver_rel2=3</f>
        <v>#NAME?</v>
      </c>
      <c r="BH13" t="e">
        <f>solver_rel1=1</f>
        <v>#NAME?</v>
      </c>
      <c r="BI13" t="e">
        <f>solver_rhs1=NonLinMinMax!$I$8</f>
        <v>#NAME?</v>
      </c>
      <c r="BJ13" t="e">
        <f>solver_sho=0</f>
        <v>#NAME?</v>
      </c>
      <c r="BK13" t="e">
        <f>solver_rhs1=NonLinBinary!$G$8:$G$9</f>
        <v>#NAME?</v>
      </c>
      <c r="BL13" t="e">
        <f>solver_opt=NonLin!$I$39</f>
        <v>#NAME?</v>
      </c>
      <c r="BM13" t="e">
        <f>solver_sho=0</f>
        <v>#NAME?</v>
      </c>
      <c r="BN13" t="e">
        <f>solver_rhs1=NonLin3!$Q$10:$Q$11</f>
        <v>#NAME?</v>
      </c>
      <c r="BP13" t="e">
        <f>solver_typ=2</f>
        <v>#NAME?</v>
      </c>
      <c r="BQ13" t="e">
        <f>solver_rel1=3</f>
        <v>#NAME?</v>
      </c>
    </row>
    <row r="14" spans="1:71" x14ac:dyDescent="0.25">
      <c r="C14" t="e">
        <f>solver_rel2=3</f>
        <v>#NAME?</v>
      </c>
      <c r="D14" t="e">
        <f>solver_rhs1=SimpleIP!$C$10</f>
        <v>#NAME?</v>
      </c>
      <c r="E14" t="e">
        <f>solver_rel2=3</f>
        <v>#NAME?</v>
      </c>
      <c r="F14" t="e">
        <f>solver_rel2=3</f>
        <v>#NAME?</v>
      </c>
      <c r="G14" t="e">
        <f>solver_rel2=3</f>
        <v>#NAME?</v>
      </c>
      <c r="H14" t="e">
        <f>solver_rel3=2</f>
        <v>#NAME?</v>
      </c>
      <c r="I14" t="e">
        <f>solver_rel3=2</f>
        <v>#NAME?</v>
      </c>
      <c r="J14" t="e">
        <f>solver_rel3=2</f>
        <v>#NAME?</v>
      </c>
      <c r="K14" t="e">
        <f>solver_rhs2=ErrorObj!$J$10</f>
        <v>#NAME?</v>
      </c>
      <c r="L14" t="e">
        <f>solver_rhs2=TextObj!$J$10</f>
        <v>#NAME?</v>
      </c>
      <c r="M14" t="e">
        <f>solver_rhs2=MergedVarsSubset!$J$11</f>
        <v>#NAME?</v>
      </c>
      <c r="N14" t="e">
        <f>solver_rel2=3</f>
        <v>#NAME?</v>
      </c>
      <c r="O14" t="e">
        <f>solver_rhs2=MergedVarsBad!$J$11</f>
        <v>#NAME?</v>
      </c>
      <c r="P14" t="e">
        <f>solver_rel2=3</f>
        <v>#NAME?</v>
      </c>
      <c r="Q14" t="e">
        <f>solver_rel2=3</f>
        <v>#NAME?</v>
      </c>
      <c r="R14" t="e">
        <f>solver_rel3=2</f>
        <v>#NAME?</v>
      </c>
      <c r="S14" t="e">
        <f>solver_opt=BinIntOverlap!$I$6</f>
        <v>#NAME?</v>
      </c>
      <c r="T14" t="e">
        <f>solver_lhs8=ConFormula!$I$10</f>
        <v>#NAME?</v>
      </c>
      <c r="U14" t="e">
        <f>solver_lhs9=ConFormulaInf!$I$14</f>
        <v>#NAME?</v>
      </c>
      <c r="W14" t="e">
        <f>solver_rel2=3</f>
        <v>#NAME?</v>
      </c>
      <c r="X14" t="e">
        <f>solver_rel2=3</f>
        <v>#NAME?</v>
      </c>
      <c r="Y14" t="e">
        <f>solver_rhs2=DeletedObjRef!$J$11</f>
        <v>#NAME?</v>
      </c>
      <c r="Z14" t="e">
        <f>solver_rel3=2</f>
        <v>#NAME?</v>
      </c>
      <c r="AA14" t="e">
        <f>solver_rel2=3</f>
        <v>#NAME?</v>
      </c>
      <c r="AB14" t="e">
        <f>solver_rel2=3</f>
        <v>#NAME?</v>
      </c>
      <c r="AC14" t="e">
        <f>solver_rhs2=ProtectedSheet!$J$10</f>
        <v>#NAME?</v>
      </c>
      <c r="AD14" t="e">
        <f>solver_opt=IndirectLBs!$H$8</f>
        <v>#NAME?</v>
      </c>
      <c r="AE14" t="e">
        <f>solver_rhs1=DirectLBs!$J$10:$J$12</f>
        <v>#NAME?</v>
      </c>
      <c r="AF14" t="e">
        <f>solver_rhs1=SingleRangeLB!$J$10:$J$12</f>
        <v>#NAME?</v>
      </c>
      <c r="AG14" t="e">
        <f>solver_rel2=3</f>
        <v>#NAME?</v>
      </c>
      <c r="AH14" t="e">
        <f>solver_rel1=3</f>
        <v>#NAME?</v>
      </c>
      <c r="AI14" t="e">
        <f>solver_rel1=3</f>
        <v>#NAME?</v>
      </c>
      <c r="AJ14" t="e">
        <f>solver_rhs1=LargeRangeLB!$J$12:$J$14</f>
        <v>#NAME?</v>
      </c>
      <c r="AK14" t="e">
        <f>solver_rhs1=OverlapRangeLB!$J$12:$J$14</f>
        <v>#NAME?</v>
      </c>
      <c r="AL14" t="e">
        <f>solver_rhs1=OverlapRangeLBwithFormula!$J$12:$J$14</f>
        <v>#NAME?</v>
      </c>
      <c r="AM14" t="e">
        <f>solver_rhs1=ConstFormulaRangeLB!$J$10:$J$12</f>
        <v>#NAME?</v>
      </c>
      <c r="AN14" t="e">
        <f>solver_rhs1=VariableFormulaRangeLB!$J$11:$J$13</f>
        <v>#NAME?</v>
      </c>
      <c r="AO14" t="e">
        <f>solver_sho=0</f>
        <v>#NAME?</v>
      </c>
      <c r="AP14" t="e">
        <f>solver_rhs1=ConstantLB!$J$11:$J$13</f>
        <v>#NAME?</v>
      </c>
      <c r="AQ14" t="e">
        <f>solver_rhs1=FormulaLB!$J$11:$J$13</f>
        <v>#NAME?</v>
      </c>
      <c r="AR14" t="e">
        <f>solver_rhs1=VarConstraintLB!$J$11:$J$13</f>
        <v>#NAME?</v>
      </c>
      <c r="AS14" t="e">
        <f>solver_rel2=3</f>
        <v>#NAME?</v>
      </c>
      <c r="AT14" t="e">
        <f>solver_neg=1</f>
        <v>#NAME?</v>
      </c>
      <c r="AU14" t="e">
        <f>solver_rel1=1</f>
        <v>#NAME?</v>
      </c>
      <c r="AV14" t="e">
        <f>solver_rel2=3</f>
        <v>#NAME?</v>
      </c>
      <c r="AW14" t="e">
        <f>solver_rel3=2</f>
        <v>#NAME?</v>
      </c>
      <c r="AX14" t="e">
        <f>solver_rel1=2</f>
        <v>#NAME?</v>
      </c>
      <c r="AY14" t="e">
        <f>solver_rel2=3</f>
        <v>#NAME?</v>
      </c>
      <c r="AZ14" t="e">
        <f>solver_rel1=1</f>
        <v>#NAME?</v>
      </c>
      <c r="BA14" t="e">
        <f>solver_rhs1=QuickSolve!$J$8</f>
        <v>#NAME?</v>
      </c>
      <c r="BB14" t="e">
        <f>solver_rel1=1</f>
        <v>#NAME?</v>
      </c>
      <c r="BC14" t="e">
        <f>solver_num=4</f>
        <v>#NAME?</v>
      </c>
      <c r="BD14" t="e">
        <f>solver_opt=SensitivityNames!$D$20</f>
        <v>#NAME?</v>
      </c>
      <c r="BE14" t="e">
        <f>solver_rel3=2</f>
        <v>#NAME?</v>
      </c>
      <c r="BF14" t="e">
        <f>solver_lhs106=NonLinLarge!$H$74</f>
        <v>#NAME?</v>
      </c>
      <c r="BG14" t="e">
        <f>solver_rel3=2</f>
        <v>#NAME?</v>
      </c>
      <c r="BH14" t="e">
        <f>solver_rel2=3</f>
        <v>#NAME?</v>
      </c>
      <c r="BI14" t="e">
        <f>solver_rhs2=integer</f>
        <v>#NAME?</v>
      </c>
      <c r="BJ14" t="e">
        <f>solver_tim=999999999</f>
        <v>#NAME?</v>
      </c>
      <c r="BK14" t="e">
        <f>solver_rhs2=binary</f>
        <v>#NAME?</v>
      </c>
      <c r="BL14" t="e">
        <f>solver_rel1=3</f>
        <v>#NAME?</v>
      </c>
      <c r="BM14" t="e">
        <f>solver_tim=999999999</f>
        <v>#NAME?</v>
      </c>
      <c r="BN14" t="e">
        <f>solver_rhs2=NonLin3!$U$10:$U$11</f>
        <v>#NAME?</v>
      </c>
      <c r="BP14" t="e">
        <f>solver_val=0</f>
        <v>#NAME?</v>
      </c>
      <c r="BQ14" t="e">
        <f>solver_rel2=1</f>
        <v>#NAME?</v>
      </c>
    </row>
    <row r="15" spans="1:71" x14ac:dyDescent="0.25">
      <c r="C15" t="e">
        <f>solver_rel3=2</f>
        <v>#NAME?</v>
      </c>
      <c r="D15" t="e">
        <f>solver_rhs2=binary</f>
        <v>#NAME?</v>
      </c>
      <c r="E15" t="e">
        <f>solver_rel3=2</f>
        <v>#NAME?</v>
      </c>
      <c r="F15" t="e">
        <f>solver_rel3=2</f>
        <v>#NAME?</v>
      </c>
      <c r="G15" t="e">
        <f>solver_rel3=2</f>
        <v>#NAME?</v>
      </c>
      <c r="H15" t="e">
        <f>solver_rhs1=TextRHS!$J$8:$J$9</f>
        <v>#NAME?</v>
      </c>
      <c r="I15" t="e">
        <f>solver_rhs1=ErrorRHS!$J$8:$J$9</f>
        <v>#NAME?</v>
      </c>
      <c r="J15" t="e">
        <f>solver_rhs1=ErrorLHS!$J$8:$J$9</f>
        <v>#NAME?</v>
      </c>
      <c r="K15" t="e">
        <f>solver_rhs3=ErrorObj!$J$11</f>
        <v>#NAME?</v>
      </c>
      <c r="L15" t="e">
        <f>solver_rhs3=TextObj!$J$11</f>
        <v>#NAME?</v>
      </c>
      <c r="M15" t="e">
        <f>solver_rhs3=MergedVarsSubset!$J$12</f>
        <v>#NAME?</v>
      </c>
      <c r="N15" t="e">
        <f>solver_rel3=2</f>
        <v>#NAME?</v>
      </c>
      <c r="O15" t="e">
        <f>solver_rhs3=MergedVarsBad!$J$12</f>
        <v>#NAME?</v>
      </c>
      <c r="P15" t="e">
        <f>solver_rel3=2</f>
        <v>#NAME?</v>
      </c>
      <c r="Q15" t="e">
        <f>solver_rel3=2</f>
        <v>#NAME?</v>
      </c>
      <c r="R15" t="e">
        <f>solver_rhs1=MergedLHSMultiple_OK!$J$9:$J$10</f>
        <v>#NAME?</v>
      </c>
      <c r="S15" t="e">
        <f>solver_rel1=1</f>
        <v>#NAME?</v>
      </c>
      <c r="T15" t="e">
        <f>solver_neg=1</f>
        <v>#NAME?</v>
      </c>
      <c r="U15" t="e">
        <f>solver_neg=1</f>
        <v>#NAME?</v>
      </c>
      <c r="W15" t="e">
        <f>solver_rel3=2</f>
        <v>#NAME?</v>
      </c>
      <c r="X15" t="e">
        <f>solver_rel3=1</f>
        <v>#NAME?</v>
      </c>
      <c r="Y15" t="e">
        <f>solver_rhs3=DeletedObjRef!$J$12</f>
        <v>#NAME?</v>
      </c>
      <c r="Z15" t="e">
        <f>solver_rhs1=InfConstConstraint!$L$8:$L$9</f>
        <v>#NAME?</v>
      </c>
      <c r="AA15" t="e">
        <f>solver_rel3=3</f>
        <v>#NAME?</v>
      </c>
      <c r="AB15" t="e">
        <f>solver_rel3=2</f>
        <v>#NAME?</v>
      </c>
      <c r="AC15" t="e">
        <f>solver_rhs3=ProtectedSheet!$J$11</f>
        <v>#NAME?</v>
      </c>
      <c r="AD15" t="e">
        <f>solver_rel1=1</f>
        <v>#NAME?</v>
      </c>
      <c r="AE15" t="e">
        <f>solver_rhs2=DirectLBs!$D$6:$F$6</f>
        <v>#NAME?</v>
      </c>
      <c r="AF15" t="e">
        <f>solver_rhs2=-2</f>
        <v>#NAME?</v>
      </c>
      <c r="AG15" t="e">
        <f>solver_rel3=5</f>
        <v>#NAME?</v>
      </c>
      <c r="AH15" t="e">
        <f>solver_rel2=3</f>
        <v>#NAME?</v>
      </c>
      <c r="AI15" t="e">
        <f>solver_rel2=3</f>
        <v>#NAME?</v>
      </c>
      <c r="AJ15" t="e">
        <f>solver_rhs2=LargeRangeLB!$D$8:$H$8</f>
        <v>#NAME?</v>
      </c>
      <c r="AK15" t="e">
        <f>solver_rhs2=OverlapRangeLB!$E$8:$H$8</f>
        <v>#NAME?</v>
      </c>
      <c r="AL15" t="e">
        <f>solver_rhs2=OverlapRangeLBwithFormula!$D$8:$H$8</f>
        <v>#NAME?</v>
      </c>
      <c r="AM15" t="e">
        <f>solver_rhs2=ConstFormulaRangeLB!$D$6:$F$6</f>
        <v>#NAME?</v>
      </c>
      <c r="AN15" t="e">
        <f>solver_rhs2=VariableFormulaRangeLB!$D$7:$F$7</f>
        <v>#NAME?</v>
      </c>
      <c r="AO15" t="e">
        <f>solver_tim=999999999</f>
        <v>#NAME?</v>
      </c>
      <c r="AP15" t="e">
        <f>solver_rhs2=-10</f>
        <v>#NAME?</v>
      </c>
      <c r="AQ15" t="e">
        <f>solver_rhs2=-10*2</f>
        <v>#NAME?</v>
      </c>
      <c r="AR15" t="e">
        <f>solver_rhs2=VarConstraintLB!$D$5</f>
        <v>#NAME?</v>
      </c>
      <c r="AS15" t="e">
        <f>solver_rel3=1</f>
        <v>#NAME?</v>
      </c>
      <c r="AT15" t="e">
        <f>solver_num=7</f>
        <v>#NAME?</v>
      </c>
      <c r="AU15" t="e">
        <f>solver_rel2=3</f>
        <v>#NAME?</v>
      </c>
      <c r="AV15" t="e">
        <f>solver_rel3=2</f>
        <v>#NAME?</v>
      </c>
      <c r="AW15" t="e">
        <f>solver_rhs1=NoObj!$J$9:$J$10</f>
        <v>#NAME?</v>
      </c>
      <c r="AX15" t="e">
        <f>solver_rel2=3</f>
        <v>#NAME?</v>
      </c>
      <c r="AY15" t="e">
        <f>solver_rel3=1</f>
        <v>#NAME?</v>
      </c>
      <c r="AZ15" t="e">
        <f>solver_rel2=3</f>
        <v>#NAME?</v>
      </c>
      <c r="BA15" t="e">
        <f>solver_rhs2=QuickSolve!$J$9:$J$10</f>
        <v>#NAME?</v>
      </c>
      <c r="BB15" t="e">
        <f>solver_rel2=3</f>
        <v>#NAME?</v>
      </c>
      <c r="BC15" t="e">
        <f>solver_opt=Sensitivity!$G$6</f>
        <v>#NAME?</v>
      </c>
      <c r="BD15" t="e">
        <f>solver_pre=0.0001</f>
        <v>#NAME?</v>
      </c>
      <c r="BE15" t="e">
        <f>solver_rhs1=NonLinSimple!$J$7:$J$8</f>
        <v>#NAME?</v>
      </c>
      <c r="BF15" t="e">
        <f>solver_lhs107=NonLinLarge!$H$75:$H$138</f>
        <v>#NAME?</v>
      </c>
      <c r="BG15" t="e">
        <f>solver_rhs1=NonLinObj!$J$7:$J$8</f>
        <v>#NAME?</v>
      </c>
      <c r="BH15" t="e">
        <f>solver_rel3=1</f>
        <v>#NAME?</v>
      </c>
      <c r="BI15" t="e">
        <f>solver_rlx=0</f>
        <v>#NAME?</v>
      </c>
      <c r="BJ15" t="e">
        <f>solver_tol=0.05</f>
        <v>#NAME?</v>
      </c>
      <c r="BK15" t="e">
        <f>solver_rlx=0</f>
        <v>#NAME?</v>
      </c>
      <c r="BL15" t="e">
        <f>solver_rel2=1</f>
        <v>#NAME?</v>
      </c>
      <c r="BM15" t="e">
        <f>solver_tol=0.05</f>
        <v>#NAME?</v>
      </c>
      <c r="BN15" t="e">
        <f>solver_rlx=0</f>
        <v>#NAME?</v>
      </c>
      <c r="BQ15" t="e">
        <f>solver_rel3=3</f>
        <v>#NAME?</v>
      </c>
    </row>
    <row r="16" spans="1:71" x14ac:dyDescent="0.25">
      <c r="C16" t="e">
        <f>solver_rhs1=SimpleLP!$J$8:$J$9</f>
        <v>#NAME?</v>
      </c>
      <c r="D16" t="e">
        <f>solver_rlx=0</f>
        <v>#NAME?</v>
      </c>
      <c r="E16" t="e">
        <f>solver_rhs1=OverlappingVars!$J$8:$J$9</f>
        <v>#NAME?</v>
      </c>
      <c r="F16" t="e">
        <f>solver_rhs1=BlankRHS!$J$8:$J$9</f>
        <v>#NAME?</v>
      </c>
      <c r="G16" t="e">
        <f>solver_rhs1=BlankLHS!$J$8:$J$9</f>
        <v>#NAME?</v>
      </c>
      <c r="H16" t="e">
        <f>solver_rhs2=TextRHS!$J$10</f>
        <v>#NAME?</v>
      </c>
      <c r="I16" t="e">
        <f>solver_rhs2=ErrorRHS!$J$10</f>
        <v>#NAME?</v>
      </c>
      <c r="J16" t="e">
        <f>solver_rhs2=ErrorLHS!$J$10</f>
        <v>#NAME?</v>
      </c>
      <c r="K16" t="e">
        <f>solver_typ=2</f>
        <v>#NAME?</v>
      </c>
      <c r="L16" t="e">
        <f>solver_typ=2</f>
        <v>#NAME?</v>
      </c>
      <c r="N16" t="e">
        <f>solver_rhs1=MergedVarsOK!$J$9:$J$10</f>
        <v>#NAME?</v>
      </c>
      <c r="P16" t="e">
        <f>solver_rhs1=MergedRHS_OK!$J$9:$J$10</f>
        <v>#NAME?</v>
      </c>
      <c r="Q16" t="e">
        <f>solver_rhs1=MergedLHS_OK!$J$9:$J$10</f>
        <v>#NAME?</v>
      </c>
      <c r="R16" t="e">
        <f>solver_rhs2=MergedLHSMultiple_OK!$J$11</f>
        <v>#NAME?</v>
      </c>
      <c r="S16" t="e">
        <f>solver_rel2=3</f>
        <v>#NAME?</v>
      </c>
      <c r="T16" t="e">
        <f>solver_num=8</f>
        <v>#NAME?</v>
      </c>
      <c r="U16" t="e">
        <f>solver_num=9</f>
        <v>#NAME?</v>
      </c>
      <c r="W16" t="e">
        <f>solver_rhs1='EscapeSheetName(1)+2-1'!$J$8:$J$9</f>
        <v>#NAME?</v>
      </c>
      <c r="X16" t="e">
        <f>solver_rel4=1</f>
        <v>#NAME?</v>
      </c>
      <c r="Y16" t="e">
        <f>solver_typ=2</f>
        <v>#NAME?</v>
      </c>
      <c r="Z16" t="e">
        <f>solver_rhs2=InfConstConstraint!$L$10</f>
        <v>#NAME?</v>
      </c>
      <c r="AA16" t="e">
        <f>solver_rhs1=FeasConstConstraint!$L$8:$L$9</f>
        <v>#NAME?</v>
      </c>
      <c r="AB16" t="e">
        <f>solver_rhs1=Unbounded!$J$8:$J$9</f>
        <v>#NAME?</v>
      </c>
      <c r="AD16" t="e">
        <f>solver_rel2=3</f>
        <v>#NAME?</v>
      </c>
      <c r="AE16" t="e">
        <f>solver_rlx=0</f>
        <v>#NAME?</v>
      </c>
      <c r="AF16" t="e">
        <f>solver_rlx=0</f>
        <v>#NAME?</v>
      </c>
      <c r="AG16" t="e">
        <f>solver_rhs1=BinLB!$J$11:$J$13</f>
        <v>#NAME?</v>
      </c>
      <c r="AH16" t="e">
        <f>solver_rel3=5</f>
        <v>#NAME?</v>
      </c>
      <c r="AI16" t="e">
        <f>solver_rel3=5</f>
        <v>#NAME?</v>
      </c>
      <c r="AJ16" t="e">
        <f>solver_rlx=0</f>
        <v>#NAME?</v>
      </c>
      <c r="AK16" t="e">
        <f>solver_rlx=0</f>
        <v>#NAME?</v>
      </c>
      <c r="AL16" t="e">
        <f>solver_rlx=0</f>
        <v>#NAME?</v>
      </c>
      <c r="AM16" t="e">
        <f>solver_rlx=0</f>
        <v>#NAME?</v>
      </c>
      <c r="AN16" t="e">
        <f>solver_rlx=0</f>
        <v>#NAME?</v>
      </c>
      <c r="AO16" t="e">
        <f>solver_tol=0.05</f>
        <v>#NAME?</v>
      </c>
      <c r="AP16" t="e">
        <f>solver_rlx=0</f>
        <v>#NAME?</v>
      </c>
      <c r="AQ16" t="e">
        <f>solver_rlx=0</f>
        <v>#NAME?</v>
      </c>
      <c r="AR16" t="e">
        <f>solver_rlx=0</f>
        <v>#NAME?</v>
      </c>
      <c r="AS16" t="e">
        <f>solver_rhs1=FractionalCoeffs!$I$6</f>
        <v>#NAME?</v>
      </c>
      <c r="AT16" t="e">
        <f>solver_opt=ComplexLayout!$I$6</f>
        <v>#NAME?</v>
      </c>
      <c r="AU16" t="e">
        <f>solver_rel3=1</f>
        <v>#NAME?</v>
      </c>
      <c r="AV16" t="e">
        <f>solver_rhs1=IterativeCalc!$J$9:$J$10</f>
        <v>#NAME?</v>
      </c>
      <c r="AW16" t="e">
        <f>solver_rhs2=NoObj!$J$11</f>
        <v>#NAME?</v>
      </c>
      <c r="AX16" t="e">
        <f>solver_rel3=1</f>
        <v>#NAME?</v>
      </c>
      <c r="AY16" t="e">
        <f>solver_rhs1=DiffSheetObj!$I$6</f>
        <v>#NAME?</v>
      </c>
      <c r="AZ16" t="e">
        <f>solver_rel3=1</f>
        <v>#NAME?</v>
      </c>
      <c r="BA16" t="e">
        <f>solver_rlx=0</f>
        <v>#NAME?</v>
      </c>
      <c r="BB16" t="e">
        <f>solver_rel3=2</f>
        <v>#NAME?</v>
      </c>
      <c r="BC16" t="e">
        <f>solver_rel1=1</f>
        <v>#NAME?</v>
      </c>
      <c r="BD16" t="e">
        <f>solver_rel1=1</f>
        <v>#NAME?</v>
      </c>
      <c r="BE16" t="e">
        <f>solver_rhs2=NonLinSimple!$J$9</f>
        <v>#NAME?</v>
      </c>
      <c r="BF16" t="e">
        <f>solver_lhs108=NonLinLarge!$H$139</f>
        <v>#NAME?</v>
      </c>
      <c r="BG16" t="e">
        <f>solver_rhs2=NonLinObj!$J$9</f>
        <v>#NAME?</v>
      </c>
      <c r="BH16" t="e">
        <f>solver_rhs1=NonLinPruning!$H$8:$H$9</f>
        <v>#NAME?</v>
      </c>
      <c r="BI16" t="e">
        <f>solver_sho=0</f>
        <v>#NAME?</v>
      </c>
      <c r="BJ16" t="e">
        <f>solver_typ=2</f>
        <v>#NAME?</v>
      </c>
      <c r="BK16" t="e">
        <f>solver_sho=0</f>
        <v>#NAME?</v>
      </c>
      <c r="BL16" t="e">
        <f>solver_rel3=3</f>
        <v>#NAME?</v>
      </c>
      <c r="BM16" t="e">
        <f>solver_typ=2</f>
        <v>#NAME?</v>
      </c>
      <c r="BN16" t="e">
        <f>solver_sho=0</f>
        <v>#NAME?</v>
      </c>
      <c r="BQ16" t="e">
        <f>solver_rel4=1</f>
        <v>#NAME?</v>
      </c>
    </row>
    <row r="17" spans="3:69" x14ac:dyDescent="0.25">
      <c r="C17" t="e">
        <f>solver_rhs2=SimpleLP!$J$10</f>
        <v>#NAME?</v>
      </c>
      <c r="D17" t="e">
        <f>solver_sho=0</f>
        <v>#NAME?</v>
      </c>
      <c r="E17" t="e">
        <f>solver_rhs2=OverlappingVars!$J$10</f>
        <v>#NAME?</v>
      </c>
      <c r="F17" t="e">
        <f>solver_rhs2=BlankRHS!$J$10</f>
        <v>#NAME?</v>
      </c>
      <c r="G17" t="e">
        <f>solver_rhs2=BlankLHS!$J$10</f>
        <v>#NAME?</v>
      </c>
      <c r="H17" t="e">
        <f>solver_rhs3=TextRHS!$J$11</f>
        <v>#NAME?</v>
      </c>
      <c r="I17" t="e">
        <f>solver_rhs3=ErrorRHS!$J$11</f>
        <v>#NAME?</v>
      </c>
      <c r="J17" t="e">
        <f>solver_rhs3=ErrorLHS!$J$11</f>
        <v>#NAME?</v>
      </c>
      <c r="K17" t="e">
        <f>solver_val=0</f>
        <v>#NAME?</v>
      </c>
      <c r="L17" t="e">
        <f>solver_val=0</f>
        <v>#NAME?</v>
      </c>
      <c r="N17" t="e">
        <f>solver_rhs2=MergedVarsOK!$J$11</f>
        <v>#NAME?</v>
      </c>
      <c r="P17" t="e">
        <f>solver_rhs2=MergedRHS_OK!$J$11</f>
        <v>#NAME?</v>
      </c>
      <c r="Q17" t="e">
        <f>solver_rhs2=MergedLHS_OK!$J$11</f>
        <v>#NAME?</v>
      </c>
      <c r="R17" t="e">
        <f>solver_rhs3=MergedLHSMultiple_OK!$J$12</f>
        <v>#NAME?</v>
      </c>
      <c r="S17" t="e">
        <f>solver_rel3=1</f>
        <v>#NAME?</v>
      </c>
      <c r="T17" t="e">
        <f>solver_opt=ConFormula!$I$7</f>
        <v>#NAME?</v>
      </c>
      <c r="U17" t="e">
        <f>solver_opt=ConFormulaInf!$I$7</f>
        <v>#NAME?</v>
      </c>
      <c r="W17" t="e">
        <f>solver_rhs2='EscapeSheetName(1)+2-1'!$J$10</f>
        <v>#NAME?</v>
      </c>
      <c r="X17" t="e">
        <f>solver_rhs1=DeletedConRef!$J$9:$J$10</f>
        <v>#NAME?</v>
      </c>
      <c r="Y17" t="e">
        <f>solver_val=0</f>
        <v>#NAME?</v>
      </c>
      <c r="Z17" t="e">
        <f>solver_rhs3=InfConstConstraint!$L$11</f>
        <v>#NAME?</v>
      </c>
      <c r="AA17" t="e">
        <f>solver_rhs2=FeasConstConstraint!$L$10</f>
        <v>#NAME?</v>
      </c>
      <c r="AB17" t="e">
        <f>solver_rhs2=Unbounded!$J$10</f>
        <v>#NAME?</v>
      </c>
      <c r="AD17" t="e">
        <f>solver_rel3=2</f>
        <v>#NAME?</v>
      </c>
      <c r="AE17" t="e">
        <f>solver_sho=0</f>
        <v>#NAME?</v>
      </c>
      <c r="AF17" t="e">
        <f>solver_sho=0</f>
        <v>#NAME?</v>
      </c>
      <c r="AG17" t="e">
        <f>solver_rhs2=BinLB!$E$7</f>
        <v>#NAME?</v>
      </c>
      <c r="AH17" t="e">
        <f>solver_rel4=4</f>
        <v>#NAME?</v>
      </c>
      <c r="AI17" t="e">
        <f>solver_rel4=4</f>
        <v>#NAME?</v>
      </c>
      <c r="AJ17" t="e">
        <f>solver_sho=0</f>
        <v>#NAME?</v>
      </c>
      <c r="AK17" t="e">
        <f>solver_sho=0</f>
        <v>#NAME?</v>
      </c>
      <c r="AL17" t="e">
        <f>solver_sho=0</f>
        <v>#NAME?</v>
      </c>
      <c r="AM17" t="e">
        <f>solver_sho=0</f>
        <v>#NAME?</v>
      </c>
      <c r="AN17" t="e">
        <f>solver_sho=0</f>
        <v>#NAME?</v>
      </c>
      <c r="AO17" t="e">
        <f>solver_typ=2</f>
        <v>#NAME?</v>
      </c>
      <c r="AP17" t="e">
        <f>solver_sho=0</f>
        <v>#NAME?</v>
      </c>
      <c r="AQ17" t="e">
        <f>solver_sho=0</f>
        <v>#NAME?</v>
      </c>
      <c r="AR17" t="e">
        <f>solver_sho=0</f>
        <v>#NAME?</v>
      </c>
      <c r="AS17" t="e">
        <f>solver_rhs2=FractionalCoeffs!$I$7</f>
        <v>#NAME?</v>
      </c>
      <c r="AT17" t="e">
        <f>solver_rel1=1</f>
        <v>#NAME?</v>
      </c>
      <c r="AU17" t="e">
        <f>solver_rel4=1</f>
        <v>#NAME?</v>
      </c>
      <c r="AV17" t="e">
        <f>solver_rhs2=IterativeCalc!$J$11</f>
        <v>#NAME?</v>
      </c>
      <c r="AW17" t="e">
        <f>solver_rhs3=NoObj!$J$12</f>
        <v>#NAME?</v>
      </c>
      <c r="AX17" t="e">
        <f>solver_rhs1=SeekObj!$I$6</f>
        <v>#NAME?</v>
      </c>
      <c r="AY17" t="e">
        <f>solver_rhs2=DiffSheetObj!$I$7</f>
        <v>#NAME?</v>
      </c>
      <c r="AZ17" t="e">
        <f>solver_rel4=2</f>
        <v>#NAME?</v>
      </c>
      <c r="BA17" t="e">
        <f>solver_sho=0</f>
        <v>#NAME?</v>
      </c>
      <c r="BB17" t="e">
        <f>solver_rhs1=SolverParameters!$J$17:$J$18</f>
        <v>#NAME?</v>
      </c>
      <c r="BC17" t="e">
        <f>solver_rel2=3</f>
        <v>#NAME?</v>
      </c>
      <c r="BD17" t="e">
        <f>solver_rel2=2</f>
        <v>#NAME?</v>
      </c>
      <c r="BE17" t="e">
        <f>solver_rhs3=NonLinSimple!$J$10</f>
        <v>#NAME?</v>
      </c>
      <c r="BF17" t="e">
        <f>solver_lhs109=NonLinLarge!$H$7:$H$8</f>
        <v>#NAME?</v>
      </c>
      <c r="BG17" t="e">
        <f>solver_rhs3=NonLinObj!$J$10</f>
        <v>#NAME?</v>
      </c>
      <c r="BH17" t="e">
        <f>solver_rhs2=NonLinPruning!$H$10:$H$11</f>
        <v>#NAME?</v>
      </c>
      <c r="BI17" t="e">
        <f>solver_tim=999999999</f>
        <v>#NAME?</v>
      </c>
      <c r="BJ17" t="e">
        <f>solver_val=0</f>
        <v>#NAME?</v>
      </c>
      <c r="BK17" t="e">
        <f>solver_tim=999999999</f>
        <v>#NAME?</v>
      </c>
      <c r="BL17" t="e">
        <f>solver_rel4=1</f>
        <v>#NAME?</v>
      </c>
      <c r="BM17" t="e">
        <f>solver_val=0</f>
        <v>#NAME?</v>
      </c>
      <c r="BN17" t="e">
        <f>solver_tim=999999999</f>
        <v>#NAME?</v>
      </c>
      <c r="BQ17" t="e">
        <f>solver_rhs1=0</f>
        <v>#NAME?</v>
      </c>
    </row>
    <row r="18" spans="3:69" x14ac:dyDescent="0.25">
      <c r="C18" t="e">
        <f>solver_rhs3=SimpleLP!$J$11</f>
        <v>#NAME?</v>
      </c>
      <c r="D18" t="e">
        <f>solver_tim=999999999</f>
        <v>#NAME?</v>
      </c>
      <c r="E18" t="e">
        <f>solver_rhs3=OverlappingVars!$J$11</f>
        <v>#NAME?</v>
      </c>
      <c r="F18" t="e">
        <f>solver_rhs3=BlankRHS!$J$11</f>
        <v>#NAME?</v>
      </c>
      <c r="G18" t="e">
        <f>solver_rhs3=BlankLHS!$J$11</f>
        <v>#NAME?</v>
      </c>
      <c r="H18" t="e">
        <f>solver_rlx=0</f>
        <v>#NAME?</v>
      </c>
      <c r="I18" t="e">
        <f>solver_rlx=0</f>
        <v>#NAME?</v>
      </c>
      <c r="J18" t="e">
        <f>solver_rlx=0</f>
        <v>#NAME?</v>
      </c>
      <c r="N18" t="e">
        <f>solver_rhs3=MergedVarsOK!$J$12</f>
        <v>#NAME?</v>
      </c>
      <c r="P18" t="e">
        <f>solver_rhs3=MergedRHS_OK!$J$12</f>
        <v>#NAME?</v>
      </c>
      <c r="Q18" t="e">
        <f>solver_rhs3=MergedLHS_OK!$J$12</f>
        <v>#NAME?</v>
      </c>
      <c r="R18" t="e">
        <f>solver_rlx=0</f>
        <v>#NAME?</v>
      </c>
      <c r="S18" t="e">
        <f>solver_rel4=5</f>
        <v>#NAME?</v>
      </c>
      <c r="T18" t="e">
        <f>solver_rel1=1</f>
        <v>#NAME?</v>
      </c>
      <c r="U18" t="e">
        <f>solver_rel1=1</f>
        <v>#NAME?</v>
      </c>
      <c r="W18" t="e">
        <f>solver_rhs3='EscapeSheetName(1)+2-1'!$J$11</f>
        <v>#NAME?</v>
      </c>
      <c r="X18" t="e">
        <f>solver_rhs2=DeletedConRef!$J$11</f>
        <v>#NAME?</v>
      </c>
      <c r="Z18" t="e">
        <f>solver_rlx=0</f>
        <v>#NAME?</v>
      </c>
      <c r="AA18" t="e">
        <f>solver_rhs3=FeasConstConstraint!$L$11</f>
        <v>#NAME?</v>
      </c>
      <c r="AB18" t="e">
        <f>solver_rhs3=Unbounded!$J$11</f>
        <v>#NAME?</v>
      </c>
      <c r="AD18" t="e">
        <f>solver_rel4=3</f>
        <v>#NAME?</v>
      </c>
      <c r="AE18" t="e">
        <f>solver_tim=999999999</f>
        <v>#NAME?</v>
      </c>
      <c r="AF18" t="e">
        <f>solver_tim=999999999</f>
        <v>#NAME?</v>
      </c>
      <c r="AG18" t="e">
        <f>solver_rhs3=binary</f>
        <v>#NAME?</v>
      </c>
      <c r="AH18" t="e">
        <f>solver_rhs1=BinIntLB!$J$11:$J$13</f>
        <v>#NAME?</v>
      </c>
      <c r="AI18" t="e">
        <f>solver_rhs1=Relaxation!$J$11:$J$13</f>
        <v>#NAME?</v>
      </c>
      <c r="AJ18" t="e">
        <f>solver_tim=999999999</f>
        <v>#NAME?</v>
      </c>
      <c r="AK18" t="e">
        <f>solver_tim=999999999</f>
        <v>#NAME?</v>
      </c>
      <c r="AL18" t="e">
        <f>solver_tim=999999999</f>
        <v>#NAME?</v>
      </c>
      <c r="AM18" t="e">
        <f>solver_tim=999999999</f>
        <v>#NAME?</v>
      </c>
      <c r="AN18" t="e">
        <f>solver_tim=999999999</f>
        <v>#NAME?</v>
      </c>
      <c r="AO18" t="e">
        <f>solver_val=0</f>
        <v>#NAME?</v>
      </c>
      <c r="AP18" t="e">
        <f>solver_tim=999999999</f>
        <v>#NAME?</v>
      </c>
      <c r="AQ18" t="e">
        <f>solver_tim=999999999</f>
        <v>#NAME?</v>
      </c>
      <c r="AR18" t="e">
        <f>solver_tim=999999999</f>
        <v>#NAME?</v>
      </c>
      <c r="AS18" t="e">
        <f>solver_rhs3=FractionalCoeffs!$I$8:$I$9</f>
        <v>#NAME?</v>
      </c>
      <c r="AT18" t="e">
        <f>solver_rel2=3</f>
        <v>#NAME?</v>
      </c>
      <c r="AU18" t="e">
        <f>solver_rhs1=InfModel!$J$9:$J$10</f>
        <v>#NAME?</v>
      </c>
      <c r="AV18" t="e">
        <f>solver_rhs3=IterativeCalc!$J$12</f>
        <v>#NAME?</v>
      </c>
      <c r="AW18" t="e">
        <f>solver_rlx=0</f>
        <v>#NAME?</v>
      </c>
      <c r="AX18" t="e">
        <f>solver_rhs2=SeekObj!$I$7</f>
        <v>#NAME?</v>
      </c>
      <c r="AY18" t="e">
        <f>solver_rhs3=DiffSheetObj!$I$8:$I$9</f>
        <v>#NAME?</v>
      </c>
      <c r="AZ18" t="e">
        <f>solver_rhs1=NamedRanges!$K$8</f>
        <v>#NAME?</v>
      </c>
      <c r="BA18" t="e">
        <f>solver_tim=999999999</f>
        <v>#NAME?</v>
      </c>
      <c r="BB18" t="e">
        <f>solver_rhs2=SolverParameters!$J$19</f>
        <v>#NAME?</v>
      </c>
      <c r="BC18" t="e">
        <f>solver_rel3=1</f>
        <v>#NAME?</v>
      </c>
      <c r="BD18" t="e">
        <f>solver_rel3=2</f>
        <v>#NAME?</v>
      </c>
      <c r="BE18" t="e">
        <f>solver_rlx=0</f>
        <v>#NAME?</v>
      </c>
      <c r="BF18" t="e">
        <f>solver_lhs11=NonLinLarge!$H$75:$H$138</f>
        <v>#NAME?</v>
      </c>
      <c r="BG18" t="e">
        <f>solver_rlx=0</f>
        <v>#NAME?</v>
      </c>
      <c r="BH18" t="e">
        <f>solver_rhs3=NonLinPruning!$H$12:$H$18</f>
        <v>#NAME?</v>
      </c>
      <c r="BI18" t="e">
        <f>solver_tol=0.05</f>
        <v>#NAME?</v>
      </c>
      <c r="BK18" t="e">
        <f>solver_tol=0.05</f>
        <v>#NAME?</v>
      </c>
      <c r="BL18" t="e">
        <f>solver_rel5=4</f>
        <v>#NAME?</v>
      </c>
      <c r="BN18" t="e">
        <f>solver_tol=0.05</f>
        <v>#NAME?</v>
      </c>
      <c r="BQ18" t="e">
        <f>solver_rhs2=90</f>
        <v>#NAME?</v>
      </c>
    </row>
    <row r="19" spans="3:69" x14ac:dyDescent="0.25">
      <c r="C19" t="e">
        <f>solver_rlx=0</f>
        <v>#NAME?</v>
      </c>
      <c r="D19" t="e">
        <f>solver_tol=0.05</f>
        <v>#NAME?</v>
      </c>
      <c r="E19" t="e">
        <f>solver_rlx=0</f>
        <v>#NAME?</v>
      </c>
      <c r="F19" t="e">
        <f>solver_rlx=0</f>
        <v>#NAME?</v>
      </c>
      <c r="G19" t="e">
        <f>solver_rlx=0</f>
        <v>#NAME?</v>
      </c>
      <c r="H19" t="e">
        <f>solver_sho=0</f>
        <v>#NAME?</v>
      </c>
      <c r="I19" t="e">
        <f>solver_sho=0</f>
        <v>#NAME?</v>
      </c>
      <c r="J19" t="e">
        <f>solver_sho=0</f>
        <v>#NAME?</v>
      </c>
      <c r="N19" t="e">
        <f>solver_rlx=0</f>
        <v>#NAME?</v>
      </c>
      <c r="P19" t="e">
        <f>solver_rlx=0</f>
        <v>#NAME?</v>
      </c>
      <c r="Q19" t="e">
        <f>solver_rlx=0</f>
        <v>#NAME?</v>
      </c>
      <c r="R19" t="e">
        <f>solver_sho=0</f>
        <v>#NAME?</v>
      </c>
      <c r="S19" t="e">
        <f>solver_rel5=4</f>
        <v>#NAME?</v>
      </c>
      <c r="T19" t="e">
        <f>solver_rel2=3</f>
        <v>#NAME?</v>
      </c>
      <c r="U19" t="e">
        <f>solver_rel2=1</f>
        <v>#NAME?</v>
      </c>
      <c r="W19" t="e">
        <f>solver_rlx=0</f>
        <v>#NAME?</v>
      </c>
      <c r="X19" t="e">
        <f>solver_rhs3=DeletedConRef!$J$12</f>
        <v>#NAME?</v>
      </c>
      <c r="Z19" t="e">
        <f>solver_sho=0</f>
        <v>#NAME?</v>
      </c>
      <c r="AA19" t="e">
        <f>solver_rlx=0</f>
        <v>#NAME?</v>
      </c>
      <c r="AB19" t="e">
        <f>solver_rlx=0</f>
        <v>#NAME?</v>
      </c>
      <c r="AD19" t="e">
        <f>solver_rel5=1</f>
        <v>#NAME?</v>
      </c>
      <c r="AE19" t="e">
        <f>solver_tol=0.05</f>
        <v>#NAME?</v>
      </c>
      <c r="AF19" t="e">
        <f>solver_tol=0.05</f>
        <v>#NAME?</v>
      </c>
      <c r="AG19" t="e">
        <f>solver_rlx=0</f>
        <v>#NAME?</v>
      </c>
      <c r="AH19" t="e">
        <f>solver_rhs2=BinIntLB!$E$7</f>
        <v>#NAME?</v>
      </c>
      <c r="AI19" t="e">
        <f>solver_rhs2=Relaxation!$E$7</f>
        <v>#NAME?</v>
      </c>
      <c r="AJ19" t="e">
        <f>solver_tol=0.05</f>
        <v>#NAME?</v>
      </c>
      <c r="AK19" t="e">
        <f>solver_tol=0.05</f>
        <v>#NAME?</v>
      </c>
      <c r="AL19" t="e">
        <f>solver_tol=0.05</f>
        <v>#NAME?</v>
      </c>
      <c r="AM19" t="e">
        <f>solver_tol=0.05</f>
        <v>#NAME?</v>
      </c>
      <c r="AN19" t="e">
        <f>solver_tol=0.05</f>
        <v>#NAME?</v>
      </c>
      <c r="AP19" t="e">
        <f>solver_tol=0.05</f>
        <v>#NAME?</v>
      </c>
      <c r="AQ19" t="e">
        <f>solver_tol=0.05</f>
        <v>#NAME?</v>
      </c>
      <c r="AR19" t="e">
        <f>solver_tol=0.05</f>
        <v>#NAME?</v>
      </c>
      <c r="AS19" t="e">
        <f>solver_rlx=0</f>
        <v>#NAME?</v>
      </c>
      <c r="AT19" t="e">
        <f>solver_rel3=1</f>
        <v>#NAME?</v>
      </c>
      <c r="AU19" t="e">
        <f>solver_rhs2=InfModel!$J$11</f>
        <v>#NAME?</v>
      </c>
      <c r="AV19" t="e">
        <f>solver_rlx=0</f>
        <v>#NAME?</v>
      </c>
      <c r="AW19" t="e">
        <f>solver_sho=0</f>
        <v>#NAME?</v>
      </c>
      <c r="AX19" t="e">
        <f>solver_rhs3=SeekObj!$I$8:$I$9</f>
        <v>#NAME?</v>
      </c>
      <c r="AY19" t="e">
        <f>solver_rlx=0</f>
        <v>#NAME?</v>
      </c>
      <c r="AZ19" t="e">
        <f>solver_rhs2=NamedRanges!$K$9</f>
        <v>#NAME?</v>
      </c>
      <c r="BA19" t="e">
        <f>solver_tol=0.05</f>
        <v>#NAME?</v>
      </c>
      <c r="BB19" t="e">
        <f>solver_rhs3=SolverParameters!$J$20</f>
        <v>#NAME?</v>
      </c>
      <c r="BC19" t="e">
        <f>solver_rel4=2</f>
        <v>#NAME?</v>
      </c>
      <c r="BD19" t="e">
        <f>solver_rel4=3</f>
        <v>#NAME?</v>
      </c>
      <c r="BE19" t="e">
        <f>solver_sho=0</f>
        <v>#NAME?</v>
      </c>
      <c r="BF19" t="e">
        <f>solver_lhs110=NonLinLarge!$H$9:$H$72</f>
        <v>#NAME?</v>
      </c>
      <c r="BG19" t="e">
        <f>solver_sho=0</f>
        <v>#NAME?</v>
      </c>
      <c r="BH19" t="e">
        <f>solver_rlx=0</f>
        <v>#NAME?</v>
      </c>
      <c r="BI19" t="e">
        <f>solver_typ=1</f>
        <v>#NAME?</v>
      </c>
      <c r="BK19" t="e">
        <f>solver_typ=2</f>
        <v>#NAME?</v>
      </c>
      <c r="BL19" t="e">
        <f>solver_rhs1=NonLin!$L$40</f>
        <v>#NAME?</v>
      </c>
      <c r="BN19" t="e">
        <f>solver_typ=2</f>
        <v>#NAME?</v>
      </c>
      <c r="BQ19" t="e">
        <f>solver_rhs3=-180</f>
        <v>#NAME?</v>
      </c>
    </row>
    <row r="20" spans="3:69" x14ac:dyDescent="0.25">
      <c r="C20" t="e">
        <f>solver_sho=0</f>
        <v>#NAME?</v>
      </c>
      <c r="D20" t="e">
        <f>solver_typ=1</f>
        <v>#NAME?</v>
      </c>
      <c r="E20" t="e">
        <f>solver_sho=0</f>
        <v>#NAME?</v>
      </c>
      <c r="F20" t="e">
        <f>solver_sho=0</f>
        <v>#NAME?</v>
      </c>
      <c r="G20" t="e">
        <f>solver_sho=0</f>
        <v>#NAME?</v>
      </c>
      <c r="H20" t="e">
        <f>solver_tim=999999999</f>
        <v>#NAME?</v>
      </c>
      <c r="I20" t="e">
        <f>solver_tim=999999999</f>
        <v>#NAME?</v>
      </c>
      <c r="J20" t="e">
        <f>solver_tim=999999999</f>
        <v>#NAME?</v>
      </c>
      <c r="N20" t="e">
        <f>solver_sho=0</f>
        <v>#NAME?</v>
      </c>
      <c r="P20" t="e">
        <f>solver_sho=0</f>
        <v>#NAME?</v>
      </c>
      <c r="Q20" t="e">
        <f>solver_sho=0</f>
        <v>#NAME?</v>
      </c>
      <c r="R20" t="e">
        <f>solver_tim=999999999</f>
        <v>#NAME?</v>
      </c>
      <c r="S20" t="e">
        <f>solver_rhs1=BinIntOverlap!$K$8:$K$9</f>
        <v>#NAME?</v>
      </c>
      <c r="T20" t="e">
        <f>solver_rel3=1</f>
        <v>#NAME?</v>
      </c>
      <c r="U20" t="e">
        <f>solver_rel3=1</f>
        <v>#NAME?</v>
      </c>
      <c r="W20" t="e">
        <f>solver_sho=0</f>
        <v>#NAME?</v>
      </c>
      <c r="X20" t="e">
        <f>solver_rhs4=DeletedConRef!#REF!</f>
        <v>#NAME?</v>
      </c>
      <c r="Z20" t="e">
        <f>solver_tim=999999999</f>
        <v>#NAME?</v>
      </c>
      <c r="AA20" t="e">
        <f>solver_sho=0</f>
        <v>#NAME?</v>
      </c>
      <c r="AB20" t="e">
        <f>solver_sho=0</f>
        <v>#NAME?</v>
      </c>
      <c r="AD20" t="e">
        <f>solver_rhs1=IndirectLBs!$J$10:$J$11</f>
        <v>#NAME?</v>
      </c>
      <c r="AE20" t="e">
        <f>solver_typ=2</f>
        <v>#NAME?</v>
      </c>
      <c r="AF20" t="e">
        <f>solver_typ=2</f>
        <v>#NAME?</v>
      </c>
      <c r="AG20" t="e">
        <f>solver_sho=0</f>
        <v>#NAME?</v>
      </c>
      <c r="AH20" t="e">
        <f>solver_rhs3=binary</f>
        <v>#NAME?</v>
      </c>
      <c r="AI20" t="e">
        <f>solver_rhs3=binary</f>
        <v>#NAME?</v>
      </c>
      <c r="AJ20" t="e">
        <f>solver_typ=2</f>
        <v>#NAME?</v>
      </c>
      <c r="AK20" t="e">
        <f>solver_typ=2</f>
        <v>#NAME?</v>
      </c>
      <c r="AL20" t="e">
        <f>solver_typ=2</f>
        <v>#NAME?</v>
      </c>
      <c r="AM20" t="e">
        <f>solver_typ=2</f>
        <v>#NAME?</v>
      </c>
      <c r="AN20" t="e">
        <f>solver_typ=2</f>
        <v>#NAME?</v>
      </c>
      <c r="AP20" t="e">
        <f>solver_typ=2</f>
        <v>#NAME?</v>
      </c>
      <c r="AQ20" t="e">
        <f>solver_typ=2</f>
        <v>#NAME?</v>
      </c>
      <c r="AR20" t="e">
        <f>solver_typ=2</f>
        <v>#NAME?</v>
      </c>
      <c r="AS20" t="e">
        <f>solver_sho=0</f>
        <v>#NAME?</v>
      </c>
      <c r="AT20" t="e">
        <f>solver_rel4=5</f>
        <v>#NAME?</v>
      </c>
      <c r="AU20" t="e">
        <f>solver_rhs3=InfModel!$J$12</f>
        <v>#NAME?</v>
      </c>
      <c r="AV20" t="e">
        <f>solver_sho=0</f>
        <v>#NAME?</v>
      </c>
      <c r="AW20" t="e">
        <f>solver_tim=999999999</f>
        <v>#NAME?</v>
      </c>
      <c r="AX20" t="e">
        <f>solver_rlx=0</f>
        <v>#NAME?</v>
      </c>
      <c r="AY20" t="e">
        <f>solver_sho=0</f>
        <v>#NAME?</v>
      </c>
      <c r="AZ20" t="e">
        <f>solver_rhs3=NamedRanges!$K$10:$K$11</f>
        <v>#NAME?</v>
      </c>
      <c r="BA20" t="e">
        <f>solver_typ=2</f>
        <v>#NAME?</v>
      </c>
      <c r="BB20" t="e">
        <f>solver_rlx=0</f>
        <v>#NAME?</v>
      </c>
      <c r="BC20" t="e">
        <f>solver_rhs1=Sensitivity!$I$8</f>
        <v>#NAME?</v>
      </c>
      <c r="BD20" t="e">
        <f>solver_rhs1=SensitivityNames!$J$14:$J$16</f>
        <v>#NAME?</v>
      </c>
      <c r="BE20" t="e">
        <f>solver_tim=999999999</f>
        <v>#NAME?</v>
      </c>
      <c r="BF20" t="e">
        <f>solver_lhs111=NonLinLarge!$H$73</f>
        <v>#NAME?</v>
      </c>
      <c r="BG20" t="e">
        <f>solver_tim=999999999</f>
        <v>#NAME?</v>
      </c>
      <c r="BH20" t="e">
        <f>solver_sho=0</f>
        <v>#NAME?</v>
      </c>
      <c r="BI20" t="e">
        <f>solver_val=0</f>
        <v>#NAME?</v>
      </c>
      <c r="BK20" t="e">
        <f>solver_val=0</f>
        <v>#NAME?</v>
      </c>
      <c r="BL20" t="e">
        <f>solver_rhs2=NonLin!$L$41:$L$42</f>
        <v>#NAME?</v>
      </c>
      <c r="BN20" t="e">
        <f>solver_val=0</f>
        <v>#NAME?</v>
      </c>
      <c r="BQ20" t="e">
        <f>solver_rhs4=0</f>
        <v>#NAME?</v>
      </c>
    </row>
    <row r="21" spans="3:69" x14ac:dyDescent="0.25">
      <c r="C21" t="e">
        <f>solver_tim=999999999</f>
        <v>#NAME?</v>
      </c>
      <c r="D21" t="e">
        <f>solver_val=0</f>
        <v>#NAME?</v>
      </c>
      <c r="E21" t="e">
        <f>solver_tim=999999999</f>
        <v>#NAME?</v>
      </c>
      <c r="F21" t="e">
        <f>solver_tim=999999999</f>
        <v>#NAME?</v>
      </c>
      <c r="G21" t="e">
        <f>solver_tim=999999999</f>
        <v>#NAME?</v>
      </c>
      <c r="H21" t="e">
        <f>solver_tol=0.05</f>
        <v>#NAME?</v>
      </c>
      <c r="I21" t="e">
        <f>solver_tol=0.05</f>
        <v>#NAME?</v>
      </c>
      <c r="J21" t="e">
        <f>solver_tol=0.05</f>
        <v>#NAME?</v>
      </c>
      <c r="N21" t="e">
        <f>solver_tim=999999999</f>
        <v>#NAME?</v>
      </c>
      <c r="P21" t="e">
        <f>solver_tim=999999999</f>
        <v>#NAME?</v>
      </c>
      <c r="Q21" t="e">
        <f>solver_tim=999999999</f>
        <v>#NAME?</v>
      </c>
      <c r="R21" t="e">
        <f>solver_tol=0.05</f>
        <v>#NAME?</v>
      </c>
      <c r="S21" t="e">
        <f>solver_rhs2=BinIntOverlap!$K$10</f>
        <v>#NAME?</v>
      </c>
      <c r="T21" t="e">
        <f>solver_rel4=5</f>
        <v>#NAME?</v>
      </c>
      <c r="U21" t="e">
        <f>solver_rel4=5</f>
        <v>#NAME?</v>
      </c>
      <c r="W21" t="e">
        <f>solver_tim=999999999</f>
        <v>#NAME?</v>
      </c>
      <c r="X21" t="e">
        <f>solver_rlx=0</f>
        <v>#NAME?</v>
      </c>
      <c r="Z21" t="e">
        <f>solver_tol=0.05</f>
        <v>#NAME?</v>
      </c>
      <c r="AA21" t="e">
        <f>solver_tim=999999999</f>
        <v>#NAME?</v>
      </c>
      <c r="AB21" t="e">
        <f>solver_tim=999999999</f>
        <v>#NAME?</v>
      </c>
      <c r="AD21" t="e">
        <f>solver_rhs2=IndirectLBs!$J$12</f>
        <v>#NAME?</v>
      </c>
      <c r="AE21" t="e">
        <f>solver_val=0</f>
        <v>#NAME?</v>
      </c>
      <c r="AF21" t="e">
        <f>solver_val=0</f>
        <v>#NAME?</v>
      </c>
      <c r="AG21" t="e">
        <f>solver_tim=999999999</f>
        <v>#NAME?</v>
      </c>
      <c r="AH21" t="e">
        <f>solver_rhs4=integer</f>
        <v>#NAME?</v>
      </c>
      <c r="AI21" t="e">
        <f>solver_rhs4=integer</f>
        <v>#NAME?</v>
      </c>
      <c r="AJ21" t="e">
        <f>solver_val=0</f>
        <v>#NAME?</v>
      </c>
      <c r="AK21" t="e">
        <f>solver_val=0</f>
        <v>#NAME?</v>
      </c>
      <c r="AL21" t="e">
        <f>solver_val=0</f>
        <v>#NAME?</v>
      </c>
      <c r="AM21" t="e">
        <f>solver_val=0</f>
        <v>#NAME?</v>
      </c>
      <c r="AN21" t="e">
        <f>solver_val=0</f>
        <v>#NAME?</v>
      </c>
      <c r="AP21" t="e">
        <f>solver_val=0</f>
        <v>#NAME?</v>
      </c>
      <c r="AQ21" t="e">
        <f>solver_val=0</f>
        <v>#NAME?</v>
      </c>
      <c r="AR21" t="e">
        <f>solver_val=0</f>
        <v>#NAME?</v>
      </c>
      <c r="AS21" t="e">
        <f>solver_tim=999999999</f>
        <v>#NAME?</v>
      </c>
      <c r="AT21" t="e">
        <f>solver_rel5=4</f>
        <v>#NAME?</v>
      </c>
      <c r="AU21" t="e">
        <f>solver_rhs4=2</f>
        <v>#NAME?</v>
      </c>
      <c r="AV21" t="e">
        <f>solver_tim=999999999</f>
        <v>#NAME?</v>
      </c>
      <c r="AW21" t="e">
        <f>solver_tol=0.05</f>
        <v>#NAME?</v>
      </c>
      <c r="AX21" t="e">
        <f>solver_sho=0</f>
        <v>#NAME?</v>
      </c>
      <c r="AY21" t="e">
        <f>solver_tim=999999999</f>
        <v>#NAME?</v>
      </c>
      <c r="AZ21" t="e">
        <f>solver_rhs4=NamedRanges!$K$12</f>
        <v>#NAME?</v>
      </c>
      <c r="BA21" t="e">
        <f>solver_val=0</f>
        <v>#NAME?</v>
      </c>
      <c r="BB21" t="e">
        <f>solver_sho=0</f>
        <v>#NAME?</v>
      </c>
      <c r="BC21" t="e">
        <f>solver_rhs2=Sensitivity!$I$9</f>
        <v>#NAME?</v>
      </c>
      <c r="BD21" t="e">
        <f>solver_rhs2=SensitivityNames!$D$18:$H$18</f>
        <v>#NAME?</v>
      </c>
      <c r="BE21" t="e">
        <f>solver_tol=0.05</f>
        <v>#NAME?</v>
      </c>
      <c r="BF21" t="e">
        <f>solver_lhs112=NonLinLarge!$H$74</f>
        <v>#NAME?</v>
      </c>
      <c r="BG21" t="e">
        <f>solver_tol=0.05</f>
        <v>#NAME?</v>
      </c>
      <c r="BH21" t="e">
        <f>solver_tim=999999999</f>
        <v>#NAME?</v>
      </c>
      <c r="BL21" t="e">
        <f>solver_rhs3=NonLin!$L$43</f>
        <v>#NAME?</v>
      </c>
      <c r="BQ21" t="e">
        <f>solver_rlx=0</f>
        <v>#NAME?</v>
      </c>
    </row>
    <row r="22" spans="3:69" x14ac:dyDescent="0.25">
      <c r="C22" t="e">
        <f>solver_tol=0.05</f>
        <v>#NAME?</v>
      </c>
      <c r="E22" t="e">
        <f>solver_tol=0.05</f>
        <v>#NAME?</v>
      </c>
      <c r="F22" t="e">
        <f>solver_tol=0.05</f>
        <v>#NAME?</v>
      </c>
      <c r="G22" t="e">
        <f>solver_tol=0.05</f>
        <v>#NAME?</v>
      </c>
      <c r="H22" t="e">
        <f>solver_typ=2</f>
        <v>#NAME?</v>
      </c>
      <c r="I22" t="e">
        <f>solver_typ=2</f>
        <v>#NAME?</v>
      </c>
      <c r="J22" t="e">
        <f>solver_typ=2</f>
        <v>#NAME?</v>
      </c>
      <c r="N22" t="e">
        <f>solver_tol=0.05</f>
        <v>#NAME?</v>
      </c>
      <c r="P22" t="e">
        <f>solver_tol=0.05</f>
        <v>#NAME?</v>
      </c>
      <c r="Q22" t="e">
        <f>solver_tol=0.05</f>
        <v>#NAME?</v>
      </c>
      <c r="R22" t="e">
        <f>solver_typ=2</f>
        <v>#NAME?</v>
      </c>
      <c r="S22" t="e">
        <f>solver_rhs3=BinIntOverlap!$K$11</f>
        <v>#NAME?</v>
      </c>
      <c r="T22" t="e">
        <f>solver_rel5=4</f>
        <v>#NAME?</v>
      </c>
      <c r="U22" t="e">
        <f>solver_rel5=4</f>
        <v>#NAME?</v>
      </c>
      <c r="W22" t="e">
        <f>solver_tol=0.05</f>
        <v>#NAME?</v>
      </c>
      <c r="X22" t="e">
        <f>solver_sho=0</f>
        <v>#NAME?</v>
      </c>
      <c r="Z22" t="e">
        <f>solver_typ=2</f>
        <v>#NAME?</v>
      </c>
      <c r="AA22" t="e">
        <f>solver_tol=0.05</f>
        <v>#NAME?</v>
      </c>
      <c r="AB22" t="e">
        <f>solver_tol=0.05</f>
        <v>#NAME?</v>
      </c>
      <c r="AD22" t="e">
        <f>solver_rhs3=IndirectLBs!$J$13</f>
        <v>#NAME?</v>
      </c>
      <c r="AG22" t="e">
        <f>solver_tol=0.05</f>
        <v>#NAME?</v>
      </c>
      <c r="AH22" t="e">
        <f>solver_rlx=0</f>
        <v>#NAME?</v>
      </c>
      <c r="AI22" t="e">
        <f>solver_rlx=1</f>
        <v>#NAME?</v>
      </c>
      <c r="AS22" t="e">
        <f>solver_tol=0.05</f>
        <v>#NAME?</v>
      </c>
      <c r="AT22" t="e">
        <f>solver_rel6=1</f>
        <v>#NAME?</v>
      </c>
      <c r="AU22" t="e">
        <f>solver_rlx=0</f>
        <v>#NAME?</v>
      </c>
      <c r="AV22" t="e">
        <f>solver_tol=0.05</f>
        <v>#NAME?</v>
      </c>
      <c r="AW22" t="e">
        <f>solver_typ=2</f>
        <v>#NAME?</v>
      </c>
      <c r="AX22" t="e">
        <f>solver_tim=999999999</f>
        <v>#NAME?</v>
      </c>
      <c r="AY22" t="e">
        <f>solver_tol=0.05</f>
        <v>#NAME?</v>
      </c>
      <c r="AZ22" t="e">
        <f>solver_rlx=0</f>
        <v>#NAME?</v>
      </c>
      <c r="BB22" t="e">
        <f>solver_tim=999999999</f>
        <v>#NAME?</v>
      </c>
      <c r="BC22" t="e">
        <f>solver_rhs3=Sensitivity!$I$10:$I$11</f>
        <v>#NAME?</v>
      </c>
      <c r="BD22" t="e">
        <f>solver_rhs3=SensitivityNames!$J$24</f>
        <v>#NAME?</v>
      </c>
      <c r="BE22" t="e">
        <f>solver_typ=2</f>
        <v>#NAME?</v>
      </c>
      <c r="BF22" t="e">
        <f>solver_lhs113=NonLinLarge!$H$75:$H$138</f>
        <v>#NAME?</v>
      </c>
      <c r="BG22" t="e">
        <f>solver_typ=2</f>
        <v>#NAME?</v>
      </c>
      <c r="BH22" t="e">
        <f>solver_tol=0.05</f>
        <v>#NAME?</v>
      </c>
      <c r="BL22" t="e">
        <f>solver_rhs4=NonLin!$L$44</f>
        <v>#NAME?</v>
      </c>
      <c r="BQ22" t="e">
        <f>solver_sho=0</f>
        <v>#NAME?</v>
      </c>
    </row>
    <row r="23" spans="3:69" x14ac:dyDescent="0.25">
      <c r="C23" t="e">
        <f>solver_typ=2</f>
        <v>#NAME?</v>
      </c>
      <c r="E23" t="e">
        <f>solver_typ=2</f>
        <v>#NAME?</v>
      </c>
      <c r="F23" t="e">
        <f>solver_typ=2</f>
        <v>#NAME?</v>
      </c>
      <c r="G23" t="e">
        <f>solver_typ=2</f>
        <v>#NAME?</v>
      </c>
      <c r="H23" t="e">
        <f>solver_val=0</f>
        <v>#NAME?</v>
      </c>
      <c r="I23" t="e">
        <f>solver_val=0</f>
        <v>#NAME?</v>
      </c>
      <c r="J23" t="e">
        <f>solver_val=0</f>
        <v>#NAME?</v>
      </c>
      <c r="N23" t="e">
        <f>solver_typ=2</f>
        <v>#NAME?</v>
      </c>
      <c r="P23" t="e">
        <f>solver_typ=2</f>
        <v>#NAME?</v>
      </c>
      <c r="Q23" t="e">
        <f>solver_typ=2</f>
        <v>#NAME?</v>
      </c>
      <c r="R23" t="e">
        <f>solver_val=0</f>
        <v>#NAME?</v>
      </c>
      <c r="S23" t="e">
        <f>solver_rhs4=binary</f>
        <v>#NAME?</v>
      </c>
      <c r="T23" t="e">
        <f>solver_rel6=1</f>
        <v>#NAME?</v>
      </c>
      <c r="U23" t="e">
        <f>solver_rel6=1</f>
        <v>#NAME?</v>
      </c>
      <c r="W23" t="e">
        <f>solver_typ=2</f>
        <v>#NAME?</v>
      </c>
      <c r="X23" t="e">
        <f>solver_tim=999999999</f>
        <v>#NAME?</v>
      </c>
      <c r="Z23" t="e">
        <f>solver_val=0</f>
        <v>#NAME?</v>
      </c>
      <c r="AA23" t="e">
        <f>solver_typ=2</f>
        <v>#NAME?</v>
      </c>
      <c r="AB23" t="e">
        <f>solver_typ=2</f>
        <v>#NAME?</v>
      </c>
      <c r="AD23" t="e">
        <f>solver_rhs4=IndirectLBs!$D$6:$E$6</f>
        <v>#NAME?</v>
      </c>
      <c r="AG23" t="e">
        <f>solver_typ=2</f>
        <v>#NAME?</v>
      </c>
      <c r="AH23" t="e">
        <f>solver_sho=0</f>
        <v>#NAME?</v>
      </c>
      <c r="AI23" t="e">
        <f>solver_sho=0</f>
        <v>#NAME?</v>
      </c>
      <c r="AS23" t="e">
        <f>solver_typ=2</f>
        <v>#NAME?</v>
      </c>
      <c r="AT23" t="e">
        <f>solver_rel7=3</f>
        <v>#NAME?</v>
      </c>
      <c r="AU23" t="e">
        <f>solver_sho=0</f>
        <v>#NAME?</v>
      </c>
      <c r="AV23" t="e">
        <f>solver_typ=2</f>
        <v>#NAME?</v>
      </c>
      <c r="AW23" t="e">
        <f>solver_val=0</f>
        <v>#NAME?</v>
      </c>
      <c r="AX23" t="e">
        <f>solver_tol=0.05</f>
        <v>#NAME?</v>
      </c>
      <c r="AY23" t="e">
        <f>solver_typ=2</f>
        <v>#NAME?</v>
      </c>
      <c r="AZ23" t="e">
        <f>solver_sho=0</f>
        <v>#NAME?</v>
      </c>
      <c r="BB23" t="e">
        <f>solver_tol=0.05</f>
        <v>#NAME?</v>
      </c>
      <c r="BC23" t="e">
        <f>solver_rhs4=Sensitivity!$G$20</f>
        <v>#NAME?</v>
      </c>
      <c r="BD23" t="e">
        <f>solver_rhs4=0</f>
        <v>#NAME?</v>
      </c>
      <c r="BE23" t="e">
        <f>solver_val=0</f>
        <v>#NAME?</v>
      </c>
      <c r="BF23" t="e">
        <f>solver_lhs114=NonLinLarge!$H$139</f>
        <v>#NAME?</v>
      </c>
      <c r="BG23" t="e">
        <f>solver_val=0</f>
        <v>#NAME?</v>
      </c>
      <c r="BH23" t="e">
        <f>solver_typ=1</f>
        <v>#NAME?</v>
      </c>
      <c r="BL23" t="e">
        <f>solver_rhs5=integer</f>
        <v>#NAME?</v>
      </c>
      <c r="BQ23" t="e">
        <f>solver_tim=999999999</f>
        <v>#NAME?</v>
      </c>
    </row>
    <row r="24" spans="3:69" x14ac:dyDescent="0.25">
      <c r="C24" t="e">
        <f>solver_val=0</f>
        <v>#NAME?</v>
      </c>
      <c r="E24" t="e">
        <f>solver_val=0</f>
        <v>#NAME?</v>
      </c>
      <c r="F24" t="e">
        <f>solver_val=0</f>
        <v>#NAME?</v>
      </c>
      <c r="G24" t="e">
        <f>solver_val=0</f>
        <v>#NAME?</v>
      </c>
      <c r="N24" t="e">
        <f>solver_val=0</f>
        <v>#NAME?</v>
      </c>
      <c r="P24" t="e">
        <f>solver_val=0</f>
        <v>#NAME?</v>
      </c>
      <c r="Q24" t="e">
        <f>solver_val=0</f>
        <v>#NAME?</v>
      </c>
      <c r="S24" t="e">
        <f>solver_rhs5=integer</f>
        <v>#NAME?</v>
      </c>
      <c r="T24" t="e">
        <f>solver_rel7=3</f>
        <v>#NAME?</v>
      </c>
      <c r="U24" t="e">
        <f>solver_rel7=3</f>
        <v>#NAME?</v>
      </c>
      <c r="W24" t="e">
        <f>solver_val=0</f>
        <v>#NAME?</v>
      </c>
      <c r="X24" t="e">
        <f>solver_tol=0.05</f>
        <v>#NAME?</v>
      </c>
      <c r="AA24" t="e">
        <f>solver_val=0</f>
        <v>#NAME?</v>
      </c>
      <c r="AB24" t="e">
        <f>solver_val=0</f>
        <v>#NAME?</v>
      </c>
      <c r="AD24" t="e">
        <f>solver_rhs5=2</f>
        <v>#NAME?</v>
      </c>
      <c r="AG24" t="e">
        <f>solver_val=0</f>
        <v>#NAME?</v>
      </c>
      <c r="AH24" t="e">
        <f>solver_tim=999999999</f>
        <v>#NAME?</v>
      </c>
      <c r="AI24" t="e">
        <f>solver_tim=999999999</f>
        <v>#NAME?</v>
      </c>
      <c r="AS24" t="e">
        <f>solver_val=0</f>
        <v>#NAME?</v>
      </c>
      <c r="AT24" t="e">
        <f>solver_rhs1=ComplexLayout!$K$8:$K$9</f>
        <v>#NAME?</v>
      </c>
      <c r="AU24" t="e">
        <f>solver_tim=999999999</f>
        <v>#NAME?</v>
      </c>
      <c r="AV24" t="e">
        <f>solver_val=0</f>
        <v>#NAME?</v>
      </c>
      <c r="AX24" t="e">
        <f>solver_typ=3</f>
        <v>#NAME?</v>
      </c>
      <c r="AY24" t="e">
        <f>solver_val=0</f>
        <v>#NAME?</v>
      </c>
      <c r="AZ24" t="e">
        <f>solver_tim=999999999</f>
        <v>#NAME?</v>
      </c>
      <c r="BB24" t="e">
        <f>solver_typ=2</f>
        <v>#NAME?</v>
      </c>
      <c r="BC24" t="e">
        <f>solver_rlx=0</f>
        <v>#NAME?</v>
      </c>
      <c r="BD24" t="e">
        <f>solver_rlx=0</f>
        <v>#NAME?</v>
      </c>
      <c r="BF24" t="e">
        <f>solver_lhs115=NonLinLarge!$H$7:$H$8</f>
        <v>#NAME?</v>
      </c>
      <c r="BH24" t="e">
        <f>solver_val=0</f>
        <v>#NAME?</v>
      </c>
      <c r="BL24" t="e">
        <f>solver_rlx=0</f>
        <v>#NAME?</v>
      </c>
      <c r="BQ24" t="e">
        <f>solver_tol=0.05</f>
        <v>#NAME?</v>
      </c>
    </row>
    <row r="25" spans="3:69" x14ac:dyDescent="0.25">
      <c r="S25" t="e">
        <f>solver_rlx=0</f>
        <v>#NAME?</v>
      </c>
      <c r="T25" t="e">
        <f>solver_rel8=3</f>
        <v>#NAME?</v>
      </c>
      <c r="U25" t="e">
        <f>solver_rel8=3</f>
        <v>#NAME?</v>
      </c>
      <c r="X25" t="e">
        <f>solver_typ=2</f>
        <v>#NAME?</v>
      </c>
      <c r="AD25" t="e">
        <f>solver_rlx=0</f>
        <v>#NAME?</v>
      </c>
      <c r="AH25" t="e">
        <f>solver_tol=0.05</f>
        <v>#NAME?</v>
      </c>
      <c r="AI25" t="e">
        <f>solver_tol=0.05</f>
        <v>#NAME?</v>
      </c>
      <c r="AT25" t="e">
        <f>solver_rhs2=ComplexLayout!$K$10</f>
        <v>#NAME?</v>
      </c>
      <c r="AU25" t="e">
        <f>solver_tol=0.05</f>
        <v>#NAME?</v>
      </c>
      <c r="AX25" t="e">
        <f>solver_val=50</f>
        <v>#NAME?</v>
      </c>
      <c r="AZ25" t="e">
        <f>solver_tol=0.05</f>
        <v>#NAME?</v>
      </c>
      <c r="BB25" t="e">
        <f>solver_val=0</f>
        <v>#NAME?</v>
      </c>
      <c r="BC25" t="e">
        <f>solver_sho=0</f>
        <v>#NAME?</v>
      </c>
      <c r="BD25" t="e">
        <f>solver_sho=0</f>
        <v>#NAME?</v>
      </c>
      <c r="BF25" t="e">
        <f>solver_lhs116=NonLinLarge!$H$9:$H$72</f>
        <v>#NAME?</v>
      </c>
      <c r="BL25" t="e">
        <f>solver_sho=0</f>
        <v>#NAME?</v>
      </c>
      <c r="BQ25" t="e">
        <f>solver_typ=2</f>
        <v>#NAME?</v>
      </c>
    </row>
    <row r="26" spans="3:69" x14ac:dyDescent="0.25">
      <c r="S26" t="e">
        <f>solver_sho=0</f>
        <v>#NAME?</v>
      </c>
      <c r="T26" t="e">
        <f>solver_rhs1=ConFormula!$K$9:$K$10</f>
        <v>#NAME?</v>
      </c>
      <c r="U26" t="e">
        <f>solver_rel9=1</f>
        <v>#NAME?</v>
      </c>
      <c r="X26" t="e">
        <f>solver_val=0</f>
        <v>#NAME?</v>
      </c>
      <c r="AD26" t="e">
        <f>solver_sho=0</f>
        <v>#NAME?</v>
      </c>
      <c r="AH26" t="e">
        <f>solver_typ=2</f>
        <v>#NAME?</v>
      </c>
      <c r="AI26" t="e">
        <f>solver_typ=2</f>
        <v>#NAME?</v>
      </c>
      <c r="AT26" t="e">
        <f>solver_rhs3=ComplexLayout!$K$11</f>
        <v>#NAME?</v>
      </c>
      <c r="AU26" t="e">
        <f>solver_typ=2</f>
        <v>#NAME?</v>
      </c>
      <c r="AZ26" t="e">
        <f>solver_typ=2</f>
        <v>#NAME?</v>
      </c>
      <c r="BC26" t="e">
        <f>solver_tim=999999999</f>
        <v>#NAME?</v>
      </c>
      <c r="BD26" t="e">
        <f>solver_tim=999999999</f>
        <v>#NAME?</v>
      </c>
      <c r="BF26" t="e">
        <f>solver_lhs117=NonLinLarge!$H$73</f>
        <v>#NAME?</v>
      </c>
      <c r="BL26" t="e">
        <f>solver_tim=999999999</f>
        <v>#NAME?</v>
      </c>
      <c r="BQ26" t="e">
        <f>solver_val=0</f>
        <v>#NAME?</v>
      </c>
    </row>
    <row r="27" spans="3:69" x14ac:dyDescent="0.25">
      <c r="S27" t="e">
        <f>solver_tim=999999999</f>
        <v>#NAME?</v>
      </c>
      <c r="T27" t="e">
        <f>solver_rhs2=ConFormula!$K$11</f>
        <v>#NAME?</v>
      </c>
      <c r="U27" t="e">
        <f>solver_rhs1=ConFormulaInf!$K$9:$K$10</f>
        <v>#NAME?</v>
      </c>
      <c r="AD27" t="e">
        <f>solver_tim=999999999</f>
        <v>#NAME?</v>
      </c>
      <c r="AH27" t="e">
        <f>solver_val=0</f>
        <v>#NAME?</v>
      </c>
      <c r="AI27" t="e">
        <f>solver_val=0</f>
        <v>#NAME?</v>
      </c>
      <c r="AT27" t="e">
        <f>solver_rhs4=binary</f>
        <v>#NAME?</v>
      </c>
      <c r="AU27" t="e">
        <f>solver_val=0</f>
        <v>#NAME?</v>
      </c>
      <c r="AZ27" t="e">
        <f>solver_val=0</f>
        <v>#NAME?</v>
      </c>
      <c r="BC27" t="e">
        <f>solver_tol=0.05</f>
        <v>#NAME?</v>
      </c>
      <c r="BD27" t="e">
        <f>solver_tol=0.05</f>
        <v>#NAME?</v>
      </c>
      <c r="BF27" t="e">
        <f>solver_lhs118=NonLinLarge!$H$74</f>
        <v>#NAME?</v>
      </c>
      <c r="BL27" t="e">
        <f>solver_tol=0.01</f>
        <v>#NAME?</v>
      </c>
    </row>
    <row r="28" spans="3:69" x14ac:dyDescent="0.25">
      <c r="S28" t="e">
        <f>solver_tol=0.05</f>
        <v>#NAME?</v>
      </c>
      <c r="T28" t="e">
        <f>solver_rhs3=ConFormula!$K$12</f>
        <v>#NAME?</v>
      </c>
      <c r="U28" t="e">
        <f>solver_rhs2=ConFormulaInf!$N$11</f>
        <v>#NAME?</v>
      </c>
      <c r="AD28" t="e">
        <f>solver_tol=0.05</f>
        <v>#NAME?</v>
      </c>
      <c r="AT28" t="e">
        <f>solver_rhs5=integer</f>
        <v>#NAME?</v>
      </c>
      <c r="BC28" t="e">
        <f>solver_typ=1</f>
        <v>#NAME?</v>
      </c>
      <c r="BD28" t="e">
        <f>solver_typ=2</f>
        <v>#NAME?</v>
      </c>
      <c r="BF28" t="e">
        <f>solver_lhs119=NonLinLarge!$H$75:$H$138</f>
        <v>#NAME?</v>
      </c>
      <c r="BL28" t="e">
        <f>solver_typ=2</f>
        <v>#NAME?</v>
      </c>
    </row>
    <row r="29" spans="3:69" x14ac:dyDescent="0.25">
      <c r="S29" t="e">
        <f>solver_typ=2</f>
        <v>#NAME?</v>
      </c>
      <c r="T29" t="e">
        <f>solver_rhs4=binary</f>
        <v>#NAME?</v>
      </c>
      <c r="U29" t="e">
        <f>solver_rhs3=ConFormulaInf!$K$12</f>
        <v>#NAME?</v>
      </c>
      <c r="AD29" t="e">
        <f>solver_typ=2</f>
        <v>#NAME?</v>
      </c>
      <c r="AT29" t="e">
        <f>solver_rhs6=ComplexLayout!$U$3:$U$4</f>
        <v>#NAME?</v>
      </c>
      <c r="BC29" t="e">
        <f>solver_val=0</f>
        <v>#NAME?</v>
      </c>
      <c r="BD29" t="e">
        <f>solver_val=0</f>
        <v>#NAME?</v>
      </c>
      <c r="BF29" t="e">
        <f>solver_lhs12=NonLinLarge!$H$139</f>
        <v>#NAME?</v>
      </c>
      <c r="BL29" t="e">
        <f>solver_val=0</f>
        <v>#NAME?</v>
      </c>
    </row>
    <row r="30" spans="3:69" x14ac:dyDescent="0.25">
      <c r="S30" t="e">
        <f>solver_val=0</f>
        <v>#NAME?</v>
      </c>
      <c r="T30" t="e">
        <f>solver_rhs5=integer</f>
        <v>#NAME?</v>
      </c>
      <c r="U30" t="e">
        <f>solver_rhs4=binary</f>
        <v>#NAME?</v>
      </c>
      <c r="AD30" t="e">
        <f>solver_val=0</f>
        <v>#NAME?</v>
      </c>
      <c r="AT30" t="e">
        <f>solver_rhs7=ComplexLayout!$Q$7:$R$7</f>
        <v>#NAME?</v>
      </c>
      <c r="BF30" t="e">
        <f>solver_lhs120=NonLinLarge!$H$139</f>
        <v>#NAME?</v>
      </c>
    </row>
    <row r="31" spans="3:69" x14ac:dyDescent="0.25">
      <c r="T31" t="e">
        <f>solver_rhs6=ConFormula!$U$4:$U$5</f>
        <v>#NAME?</v>
      </c>
      <c r="U31" t="e">
        <f>solver_rhs5=integer</f>
        <v>#NAME?</v>
      </c>
      <c r="AT31" t="e">
        <f>solver_rlx=0</f>
        <v>#NAME?</v>
      </c>
      <c r="BF31" t="e">
        <f>solver_lhs121=NonLinLarge!$H$7:$H$8</f>
        <v>#NAME?</v>
      </c>
    </row>
    <row r="32" spans="3:69" x14ac:dyDescent="0.25">
      <c r="T32" t="e">
        <f>solver_rhs7=ConFormula!$Q$8:$R$8</f>
        <v>#NAME?</v>
      </c>
      <c r="U32" t="e">
        <f>solver_rhs6=ConFormulaInf!$U$4:$U$5</f>
        <v>#NAME?</v>
      </c>
      <c r="AT32" t="e">
        <f>solver_sho=0</f>
        <v>#NAME?</v>
      </c>
      <c r="BF32" t="e">
        <f>solver_lhs122=NonLinLarge!$H$9:$H$72</f>
        <v>#NAME?</v>
      </c>
    </row>
    <row r="33" spans="20:58" x14ac:dyDescent="0.25">
      <c r="T33" t="e">
        <f>solver_rhs8=ConFormula!$I$11/4+ConFormula!$B$3</f>
        <v>#NAME?</v>
      </c>
      <c r="U33" t="e">
        <f>solver_rhs7=ConFormulaInf!$Q$8:$R$8</f>
        <v>#NAME?</v>
      </c>
      <c r="AT33" t="e">
        <f>solver_tim=999999999</f>
        <v>#NAME?</v>
      </c>
      <c r="BF33" t="e">
        <f>solver_lhs123=NonLinLarge!$H$73</f>
        <v>#NAME?</v>
      </c>
    </row>
    <row r="34" spans="20:58" x14ac:dyDescent="0.25">
      <c r="T34" t="e">
        <f>solver_rlx=0</f>
        <v>#NAME?</v>
      </c>
      <c r="U34" t="e">
        <f>solver_rhs8=ConFormulaInf!$I$11/4+ConFormulaInf!$B$3</f>
        <v>#NAME?</v>
      </c>
      <c r="AT34" t="e">
        <f>solver_tol=0.05</f>
        <v>#NAME?</v>
      </c>
      <c r="BF34" t="e">
        <f>solver_lhs124=NonLinLarge!$H$74</f>
        <v>#NAME?</v>
      </c>
    </row>
    <row r="35" spans="20:58" x14ac:dyDescent="0.25">
      <c r="T35" t="e">
        <f>solver_sho=0</f>
        <v>#NAME?</v>
      </c>
      <c r="U35" t="e">
        <f>solver_rhs9=5*ConFormulaInf!$I$15-1</f>
        <v>#NAME?</v>
      </c>
      <c r="AT35" t="e">
        <f>solver_typ=2</f>
        <v>#NAME?</v>
      </c>
      <c r="BF35" t="e">
        <f>solver_lhs125=NonLinLarge!$H$75:$H$138</f>
        <v>#NAME?</v>
      </c>
    </row>
    <row r="36" spans="20:58" x14ac:dyDescent="0.25">
      <c r="T36" t="e">
        <f>solver_tim=999999999</f>
        <v>#NAME?</v>
      </c>
      <c r="U36" t="e">
        <f>solver_rlx=0</f>
        <v>#NAME?</v>
      </c>
      <c r="AT36" t="e">
        <f>solver_val=0</f>
        <v>#NAME?</v>
      </c>
      <c r="BF36" t="e">
        <f>solver_lhs126=NonLinLarge!$H$139</f>
        <v>#NAME?</v>
      </c>
    </row>
    <row r="37" spans="20:58" x14ac:dyDescent="0.25">
      <c r="T37" t="e">
        <f>solver_tol=0.05</f>
        <v>#NAME?</v>
      </c>
      <c r="U37" t="e">
        <f>solver_sho=0</f>
        <v>#NAME?</v>
      </c>
      <c r="BF37" t="e">
        <f>solver_lhs127=NonLinLarge!$H$7:$H$8</f>
        <v>#NAME?</v>
      </c>
    </row>
    <row r="38" spans="20:58" x14ac:dyDescent="0.25">
      <c r="T38" t="e">
        <f>solver_typ=2</f>
        <v>#NAME?</v>
      </c>
      <c r="U38" t="e">
        <f>solver_tim=999999999</f>
        <v>#NAME?</v>
      </c>
      <c r="BF38" t="e">
        <f>solver_lhs128=NonLinLarge!$H$9:$H$72</f>
        <v>#NAME?</v>
      </c>
    </row>
    <row r="39" spans="20:58" x14ac:dyDescent="0.25">
      <c r="T39" t="e">
        <f>solver_val=0</f>
        <v>#NAME?</v>
      </c>
      <c r="U39" t="e">
        <f>solver_tol=0.05</f>
        <v>#NAME?</v>
      </c>
      <c r="BF39" t="e">
        <f>solver_lhs129=NonLinLarge!$H$73</f>
        <v>#NAME?</v>
      </c>
    </row>
    <row r="40" spans="20:58" x14ac:dyDescent="0.25">
      <c r="U40" t="e">
        <f>solver_typ=2</f>
        <v>#NAME?</v>
      </c>
      <c r="BF40" t="e">
        <f>solver_lhs13=NonLinLarge!$H$7:$H$8</f>
        <v>#NAME?</v>
      </c>
    </row>
    <row r="41" spans="20:58" x14ac:dyDescent="0.25">
      <c r="U41" t="e">
        <f>solver_val=0</f>
        <v>#NAME?</v>
      </c>
      <c r="BF41" t="e">
        <f>solver_lhs130=NonLinLarge!$H$74</f>
        <v>#NAME?</v>
      </c>
    </row>
    <row r="42" spans="20:58" x14ac:dyDescent="0.25">
      <c r="BF42" t="e">
        <f>solver_lhs131=NonLinLarge!$H$75:$H$138</f>
        <v>#NAME?</v>
      </c>
    </row>
    <row r="43" spans="20:58" x14ac:dyDescent="0.25">
      <c r="BF43" t="e">
        <f>solver_lhs132=NonLinLarge!$H$139</f>
        <v>#NAME?</v>
      </c>
    </row>
    <row r="44" spans="20:58" x14ac:dyDescent="0.25">
      <c r="BF44" t="e">
        <f>solver_lhs133=NonLinLarge!$H$7:$H$8</f>
        <v>#NAME?</v>
      </c>
    </row>
    <row r="45" spans="20:58" x14ac:dyDescent="0.25">
      <c r="BF45" t="e">
        <f>solver_lhs134=NonLinLarge!$H$9:$H$72</f>
        <v>#NAME?</v>
      </c>
    </row>
    <row r="46" spans="20:58" x14ac:dyDescent="0.25">
      <c r="BF46" t="e">
        <f>solver_lhs135=NonLinLarge!$H$73</f>
        <v>#NAME?</v>
      </c>
    </row>
    <row r="47" spans="20:58" x14ac:dyDescent="0.25">
      <c r="BF47" t="e">
        <f>solver_lhs136=NonLinLarge!$H$74</f>
        <v>#NAME?</v>
      </c>
    </row>
    <row r="48" spans="20:58" x14ac:dyDescent="0.25">
      <c r="BF48" t="e">
        <f>solver_lhs137=NonLinLarge!$H$75:$H$138</f>
        <v>#NAME?</v>
      </c>
    </row>
    <row r="49" spans="58:58" x14ac:dyDescent="0.25">
      <c r="BF49" t="e">
        <f>solver_lhs138=NonLinLarge!$H$139</f>
        <v>#NAME?</v>
      </c>
    </row>
    <row r="50" spans="58:58" x14ac:dyDescent="0.25">
      <c r="BF50" t="e">
        <f>solver_lhs139=NonLinLarge!$H$7:$H$8</f>
        <v>#NAME?</v>
      </c>
    </row>
    <row r="51" spans="58:58" x14ac:dyDescent="0.25">
      <c r="BF51" t="e">
        <f>solver_lhs14=NonLinLarge!$H$9:$H$72</f>
        <v>#NAME?</v>
      </c>
    </row>
    <row r="52" spans="58:58" x14ac:dyDescent="0.25">
      <c r="BF52" t="e">
        <f>solver_lhs140=NonLinLarge!$H$9:$H$72</f>
        <v>#NAME?</v>
      </c>
    </row>
    <row r="53" spans="58:58" x14ac:dyDescent="0.25">
      <c r="BF53" t="e">
        <f>solver_lhs141=NonLinLarge!$H$73</f>
        <v>#NAME?</v>
      </c>
    </row>
    <row r="54" spans="58:58" x14ac:dyDescent="0.25">
      <c r="BF54" t="e">
        <f>solver_lhs142=NonLinLarge!$H$74</f>
        <v>#NAME?</v>
      </c>
    </row>
    <row r="55" spans="58:58" x14ac:dyDescent="0.25">
      <c r="BF55" t="e">
        <f>solver_lhs143=NonLinLarge!$H$75:$H$138</f>
        <v>#NAME?</v>
      </c>
    </row>
    <row r="56" spans="58:58" x14ac:dyDescent="0.25">
      <c r="BF56" t="e">
        <f>solver_lhs144=NonLinLarge!$H$139</f>
        <v>#NAME?</v>
      </c>
    </row>
    <row r="57" spans="58:58" x14ac:dyDescent="0.25">
      <c r="BF57" t="e">
        <f>solver_lhs145=NonLinLarge!$H$7:$H$8</f>
        <v>#NAME?</v>
      </c>
    </row>
    <row r="58" spans="58:58" x14ac:dyDescent="0.25">
      <c r="BF58" t="e">
        <f>solver_lhs146=NonLinLarge!$H$9:$H$72</f>
        <v>#NAME?</v>
      </c>
    </row>
    <row r="59" spans="58:58" x14ac:dyDescent="0.25">
      <c r="BF59" t="e">
        <f>solver_lhs147=NonLinLarge!$H$73</f>
        <v>#NAME?</v>
      </c>
    </row>
    <row r="60" spans="58:58" x14ac:dyDescent="0.25">
      <c r="BF60" t="e">
        <f>solver_lhs148=NonLinLarge!$H$74</f>
        <v>#NAME?</v>
      </c>
    </row>
    <row r="61" spans="58:58" x14ac:dyDescent="0.25">
      <c r="BF61" t="e">
        <f>solver_lhs149=NonLinLarge!$H$75:$H$138</f>
        <v>#NAME?</v>
      </c>
    </row>
    <row r="62" spans="58:58" x14ac:dyDescent="0.25">
      <c r="BF62" t="e">
        <f>solver_lhs15=NonLinLarge!$H$73</f>
        <v>#NAME?</v>
      </c>
    </row>
    <row r="63" spans="58:58" x14ac:dyDescent="0.25">
      <c r="BF63" t="e">
        <f>solver_lhs150=NonLinLarge!$H$139</f>
        <v>#NAME?</v>
      </c>
    </row>
    <row r="64" spans="58:58" x14ac:dyDescent="0.25">
      <c r="BF64" t="e">
        <f>solver_lhs151=NonLinLarge!$H$7:$H$8</f>
        <v>#NAME?</v>
      </c>
    </row>
    <row r="65" spans="58:58" x14ac:dyDescent="0.25">
      <c r="BF65" t="e">
        <f>solver_lhs152=NonLinLarge!$H$9:$H$72</f>
        <v>#NAME?</v>
      </c>
    </row>
    <row r="66" spans="58:58" x14ac:dyDescent="0.25">
      <c r="BF66" t="e">
        <f>solver_lhs153=NonLinLarge!$H$73</f>
        <v>#NAME?</v>
      </c>
    </row>
    <row r="67" spans="58:58" x14ac:dyDescent="0.25">
      <c r="BF67" t="e">
        <f>solver_lhs154=NonLinLarge!$H$74</f>
        <v>#NAME?</v>
      </c>
    </row>
    <row r="68" spans="58:58" x14ac:dyDescent="0.25">
      <c r="BF68" t="e">
        <f>solver_lhs155=NonLinLarge!$H$75:$H$138</f>
        <v>#NAME?</v>
      </c>
    </row>
    <row r="69" spans="58:58" x14ac:dyDescent="0.25">
      <c r="BF69" t="e">
        <f>solver_lhs156=NonLinLarge!$H$139</f>
        <v>#NAME?</v>
      </c>
    </row>
    <row r="70" spans="58:58" x14ac:dyDescent="0.25">
      <c r="BF70" t="e">
        <f>solver_lhs157=NonLinLarge!$H$7:$H$8</f>
        <v>#NAME?</v>
      </c>
    </row>
    <row r="71" spans="58:58" x14ac:dyDescent="0.25">
      <c r="BF71" t="e">
        <f>solver_lhs158=NonLinLarge!$H$9:$H$72</f>
        <v>#NAME?</v>
      </c>
    </row>
    <row r="72" spans="58:58" x14ac:dyDescent="0.25">
      <c r="BF72" t="e">
        <f>solver_lhs159=NonLinLarge!$H$73</f>
        <v>#NAME?</v>
      </c>
    </row>
    <row r="73" spans="58:58" x14ac:dyDescent="0.25">
      <c r="BF73" t="e">
        <f>solver_lhs16=NonLinLarge!$H$74</f>
        <v>#NAME?</v>
      </c>
    </row>
    <row r="74" spans="58:58" x14ac:dyDescent="0.25">
      <c r="BF74" t="e">
        <f>solver_lhs160=NonLinLarge!$H$74</f>
        <v>#NAME?</v>
      </c>
    </row>
    <row r="75" spans="58:58" x14ac:dyDescent="0.25">
      <c r="BF75" t="e">
        <f>solver_lhs161=NonLinLarge!$H$75:$H$138</f>
        <v>#NAME?</v>
      </c>
    </row>
    <row r="76" spans="58:58" x14ac:dyDescent="0.25">
      <c r="BF76" t="e">
        <f>solver_lhs162=NonLinLarge!$H$139</f>
        <v>#NAME?</v>
      </c>
    </row>
    <row r="77" spans="58:58" x14ac:dyDescent="0.25">
      <c r="BF77" t="e">
        <f>solver_lhs163=NonLinLarge!$H$7:$H$8</f>
        <v>#NAME?</v>
      </c>
    </row>
    <row r="78" spans="58:58" x14ac:dyDescent="0.25">
      <c r="BF78" t="e">
        <f>solver_lhs164=NonLinLarge!$H$9:$H$72</f>
        <v>#NAME?</v>
      </c>
    </row>
    <row r="79" spans="58:58" x14ac:dyDescent="0.25">
      <c r="BF79" t="e">
        <f>solver_lhs165=NonLinLarge!$H$73</f>
        <v>#NAME?</v>
      </c>
    </row>
    <row r="80" spans="58:58" x14ac:dyDescent="0.25">
      <c r="BF80" t="e">
        <f>solver_lhs166=NonLinLarge!$H$74</f>
        <v>#NAME?</v>
      </c>
    </row>
    <row r="81" spans="58:58" x14ac:dyDescent="0.25">
      <c r="BF81" t="e">
        <f>solver_lhs167=NonLinLarge!$H$75:$H$138</f>
        <v>#NAME?</v>
      </c>
    </row>
    <row r="82" spans="58:58" x14ac:dyDescent="0.25">
      <c r="BF82" t="e">
        <f>solver_lhs168=NonLinLarge!$H$139</f>
        <v>#NAME?</v>
      </c>
    </row>
    <row r="83" spans="58:58" x14ac:dyDescent="0.25">
      <c r="BF83" t="e">
        <f>solver_lhs169=NonLinLarge!$H$7:$H$8</f>
        <v>#NAME?</v>
      </c>
    </row>
    <row r="84" spans="58:58" x14ac:dyDescent="0.25">
      <c r="BF84" t="e">
        <f>solver_lhs17=NonLinLarge!$H$75:$H$138</f>
        <v>#NAME?</v>
      </c>
    </row>
    <row r="85" spans="58:58" x14ac:dyDescent="0.25">
      <c r="BF85" t="e">
        <f>solver_lhs170=NonLinLarge!$H$9:$H$72</f>
        <v>#NAME?</v>
      </c>
    </row>
    <row r="86" spans="58:58" x14ac:dyDescent="0.25">
      <c r="BF86" t="e">
        <f>solver_lhs171=NonLinLarge!$H$73</f>
        <v>#NAME?</v>
      </c>
    </row>
    <row r="87" spans="58:58" x14ac:dyDescent="0.25">
      <c r="BF87" t="e">
        <f>solver_lhs172=NonLinLarge!$H$74</f>
        <v>#NAME?</v>
      </c>
    </row>
    <row r="88" spans="58:58" x14ac:dyDescent="0.25">
      <c r="BF88" t="e">
        <f>solver_lhs173=NonLinLarge!$H$75:$H$138</f>
        <v>#NAME?</v>
      </c>
    </row>
    <row r="89" spans="58:58" x14ac:dyDescent="0.25">
      <c r="BF89" t="e">
        <f>solver_lhs174=NonLinLarge!$H$139</f>
        <v>#NAME?</v>
      </c>
    </row>
    <row r="90" spans="58:58" x14ac:dyDescent="0.25">
      <c r="BF90" t="e">
        <f>solver_lhs175=NonLinLarge!$H$7:$H$8</f>
        <v>#NAME?</v>
      </c>
    </row>
    <row r="91" spans="58:58" x14ac:dyDescent="0.25">
      <c r="BF91" t="e">
        <f>solver_lhs176=NonLinLarge!$H$9:$H$72</f>
        <v>#NAME?</v>
      </c>
    </row>
    <row r="92" spans="58:58" x14ac:dyDescent="0.25">
      <c r="BF92" t="e">
        <f>solver_lhs177=NonLinLarge!$H$73</f>
        <v>#NAME?</v>
      </c>
    </row>
    <row r="93" spans="58:58" x14ac:dyDescent="0.25">
      <c r="BF93" t="e">
        <f>solver_lhs178=NonLinLarge!$H$74</f>
        <v>#NAME?</v>
      </c>
    </row>
    <row r="94" spans="58:58" x14ac:dyDescent="0.25">
      <c r="BF94" t="e">
        <f>solver_lhs179=NonLinLarge!$H$75:$H$138</f>
        <v>#NAME?</v>
      </c>
    </row>
    <row r="95" spans="58:58" x14ac:dyDescent="0.25">
      <c r="BF95" t="e">
        <f>solver_lhs18=NonLinLarge!$H$139</f>
        <v>#NAME?</v>
      </c>
    </row>
    <row r="96" spans="58:58" x14ac:dyDescent="0.25">
      <c r="BF96" t="e">
        <f>solver_lhs180=NonLinLarge!$H$139</f>
        <v>#NAME?</v>
      </c>
    </row>
    <row r="97" spans="58:58" x14ac:dyDescent="0.25">
      <c r="BF97" t="e">
        <f>solver_lhs181=NonLinLarge!$H$7:$H$8</f>
        <v>#NAME?</v>
      </c>
    </row>
    <row r="98" spans="58:58" x14ac:dyDescent="0.25">
      <c r="BF98" t="e">
        <f>solver_lhs182=NonLinLarge!$H$9:$H$72</f>
        <v>#NAME?</v>
      </c>
    </row>
    <row r="99" spans="58:58" x14ac:dyDescent="0.25">
      <c r="BF99" t="e">
        <f>solver_lhs183=NonLinLarge!$H$73</f>
        <v>#NAME?</v>
      </c>
    </row>
    <row r="100" spans="58:58" x14ac:dyDescent="0.25">
      <c r="BF100" t="e">
        <f>solver_lhs184=NonLinLarge!$H$74</f>
        <v>#NAME?</v>
      </c>
    </row>
    <row r="101" spans="58:58" x14ac:dyDescent="0.25">
      <c r="BF101" t="e">
        <f>solver_lhs185=NonLinLarge!$H$75:$H$138</f>
        <v>#NAME?</v>
      </c>
    </row>
    <row r="102" spans="58:58" x14ac:dyDescent="0.25">
      <c r="BF102" t="e">
        <f>solver_lhs186=NonLinLarge!$H$139</f>
        <v>#NAME?</v>
      </c>
    </row>
    <row r="103" spans="58:58" x14ac:dyDescent="0.25">
      <c r="BF103" t="e">
        <f>solver_lhs187=NonLinLarge!$H$7:$H$8</f>
        <v>#NAME?</v>
      </c>
    </row>
    <row r="104" spans="58:58" x14ac:dyDescent="0.25">
      <c r="BF104" t="e">
        <f>solver_lhs188=NonLinLarge!$H$9:$H$72</f>
        <v>#NAME?</v>
      </c>
    </row>
    <row r="105" spans="58:58" x14ac:dyDescent="0.25">
      <c r="BF105" t="e">
        <f>solver_lhs189=NonLinLarge!$H$73</f>
        <v>#NAME?</v>
      </c>
    </row>
    <row r="106" spans="58:58" x14ac:dyDescent="0.25">
      <c r="BF106" t="e">
        <f>solver_lhs19=NonLinLarge!$H$7:$H$8</f>
        <v>#NAME?</v>
      </c>
    </row>
    <row r="107" spans="58:58" x14ac:dyDescent="0.25">
      <c r="BF107" t="e">
        <f>solver_lhs190=NonLinLarge!$H$74</f>
        <v>#NAME?</v>
      </c>
    </row>
    <row r="108" spans="58:58" x14ac:dyDescent="0.25">
      <c r="BF108" t="e">
        <f>solver_lhs191=NonLinLarge!$H$75:$H$138</f>
        <v>#NAME?</v>
      </c>
    </row>
    <row r="109" spans="58:58" x14ac:dyDescent="0.25">
      <c r="BF109" t="e">
        <f>solver_lhs192=NonLinLarge!$H$139</f>
        <v>#NAME?</v>
      </c>
    </row>
    <row r="110" spans="58:58" x14ac:dyDescent="0.25">
      <c r="BF110" t="e">
        <f>solver_lhs193=NonLinLarge!$H$7:$H$8</f>
        <v>#NAME?</v>
      </c>
    </row>
    <row r="111" spans="58:58" x14ac:dyDescent="0.25">
      <c r="BF111" t="e">
        <f>solver_lhs194=NonLinLarge!$H$9:$H$72</f>
        <v>#NAME?</v>
      </c>
    </row>
    <row r="112" spans="58:58" x14ac:dyDescent="0.25">
      <c r="BF112" t="e">
        <f>solver_lhs195=NonLinLarge!$H$73</f>
        <v>#NAME?</v>
      </c>
    </row>
    <row r="113" spans="58:58" x14ac:dyDescent="0.25">
      <c r="BF113" t="e">
        <f>solver_lhs196=NonLinLarge!$H$74</f>
        <v>#NAME?</v>
      </c>
    </row>
    <row r="114" spans="58:58" x14ac:dyDescent="0.25">
      <c r="BF114" t="e">
        <f>solver_lhs197=NonLinLarge!$H$75:$H$138</f>
        <v>#NAME?</v>
      </c>
    </row>
    <row r="115" spans="58:58" x14ac:dyDescent="0.25">
      <c r="BF115" t="e">
        <f>solver_lhs198=NonLinLarge!$H$139</f>
        <v>#NAME?</v>
      </c>
    </row>
    <row r="116" spans="58:58" x14ac:dyDescent="0.25">
      <c r="BF116" t="e">
        <f>solver_lhs199=NonLinLarge!$H$7:$H$8</f>
        <v>#NAME?</v>
      </c>
    </row>
    <row r="117" spans="58:58" x14ac:dyDescent="0.25">
      <c r="BF117" t="e">
        <f>solver_lhs2=NonLinLarge!$H$9:$H$72</f>
        <v>#NAME?</v>
      </c>
    </row>
    <row r="118" spans="58:58" x14ac:dyDescent="0.25">
      <c r="BF118" t="e">
        <f>solver_lhs20=NonLinLarge!$H$9:$H$72</f>
        <v>#NAME?</v>
      </c>
    </row>
    <row r="119" spans="58:58" x14ac:dyDescent="0.25">
      <c r="BF119" t="e">
        <f>solver_lhs200=NonLinLarge!$H$9:$H$72</f>
        <v>#NAME?</v>
      </c>
    </row>
    <row r="120" spans="58:58" x14ac:dyDescent="0.25">
      <c r="BF120" t="e">
        <f>solver_lhs201=NonLinLarge!$H$73</f>
        <v>#NAME?</v>
      </c>
    </row>
    <row r="121" spans="58:58" x14ac:dyDescent="0.25">
      <c r="BF121" t="e">
        <f>solver_lhs202=NonLinLarge!$H$74</f>
        <v>#NAME?</v>
      </c>
    </row>
    <row r="122" spans="58:58" x14ac:dyDescent="0.25">
      <c r="BF122" t="e">
        <f>solver_lhs203=NonLinLarge!$H$75:$H$138</f>
        <v>#NAME?</v>
      </c>
    </row>
    <row r="123" spans="58:58" x14ac:dyDescent="0.25">
      <c r="BF123" t="e">
        <f>solver_lhs204=NonLinLarge!$H$139</f>
        <v>#NAME?</v>
      </c>
    </row>
    <row r="124" spans="58:58" x14ac:dyDescent="0.25">
      <c r="BF124" t="e">
        <f>solver_lhs205=NonLinLarge!$H$7:$H$8</f>
        <v>#NAME?</v>
      </c>
    </row>
    <row r="125" spans="58:58" x14ac:dyDescent="0.25">
      <c r="BF125" t="e">
        <f>solver_lhs206=NonLinLarge!$H$9:$H$72</f>
        <v>#NAME?</v>
      </c>
    </row>
    <row r="126" spans="58:58" x14ac:dyDescent="0.25">
      <c r="BF126" t="e">
        <f>solver_lhs207=NonLinLarge!$H$73</f>
        <v>#NAME?</v>
      </c>
    </row>
    <row r="127" spans="58:58" x14ac:dyDescent="0.25">
      <c r="BF127" t="e">
        <f>solver_lhs208=NonLinLarge!$H$74</f>
        <v>#NAME?</v>
      </c>
    </row>
    <row r="128" spans="58:58" x14ac:dyDescent="0.25">
      <c r="BF128" t="e">
        <f>solver_lhs209=NonLinLarge!$H$75:$H$138</f>
        <v>#NAME?</v>
      </c>
    </row>
    <row r="129" spans="58:58" x14ac:dyDescent="0.25">
      <c r="BF129" t="e">
        <f>solver_lhs21=NonLinLarge!$H$73</f>
        <v>#NAME?</v>
      </c>
    </row>
    <row r="130" spans="58:58" x14ac:dyDescent="0.25">
      <c r="BF130" t="e">
        <f>solver_lhs210=NonLinLarge!$H$139</f>
        <v>#NAME?</v>
      </c>
    </row>
    <row r="131" spans="58:58" x14ac:dyDescent="0.25">
      <c r="BF131" t="e">
        <f>solver_lhs211=NonLinLarge!$H$7:$H$8</f>
        <v>#NAME?</v>
      </c>
    </row>
    <row r="132" spans="58:58" x14ac:dyDescent="0.25">
      <c r="BF132" t="e">
        <f>solver_lhs212=NonLinLarge!$H$9:$H$72</f>
        <v>#NAME?</v>
      </c>
    </row>
    <row r="133" spans="58:58" x14ac:dyDescent="0.25">
      <c r="BF133" t="e">
        <f>solver_lhs213=NonLinLarge!$H$73</f>
        <v>#NAME?</v>
      </c>
    </row>
    <row r="134" spans="58:58" x14ac:dyDescent="0.25">
      <c r="BF134" t="e">
        <f>solver_lhs214=NonLinLarge!$H$74</f>
        <v>#NAME?</v>
      </c>
    </row>
    <row r="135" spans="58:58" x14ac:dyDescent="0.25">
      <c r="BF135" t="e">
        <f>solver_lhs215=NonLinLarge!$H$75:$H$138</f>
        <v>#NAME?</v>
      </c>
    </row>
    <row r="136" spans="58:58" x14ac:dyDescent="0.25">
      <c r="BF136" t="e">
        <f>solver_lhs216=NonLinLarge!$H$139</f>
        <v>#NAME?</v>
      </c>
    </row>
    <row r="137" spans="58:58" x14ac:dyDescent="0.25">
      <c r="BF137" t="e">
        <f>solver_lhs217=NonLinLarge!$H$7:$H$8</f>
        <v>#NAME?</v>
      </c>
    </row>
    <row r="138" spans="58:58" x14ac:dyDescent="0.25">
      <c r="BF138" t="e">
        <f>solver_lhs218=NonLinLarge!$H$9:$H$72</f>
        <v>#NAME?</v>
      </c>
    </row>
    <row r="139" spans="58:58" x14ac:dyDescent="0.25">
      <c r="BF139" t="e">
        <f>solver_lhs219=NonLinLarge!$H$73</f>
        <v>#NAME?</v>
      </c>
    </row>
    <row r="140" spans="58:58" x14ac:dyDescent="0.25">
      <c r="BF140" t="e">
        <f>solver_lhs22=NonLinLarge!$H$74</f>
        <v>#NAME?</v>
      </c>
    </row>
    <row r="141" spans="58:58" x14ac:dyDescent="0.25">
      <c r="BF141" t="e">
        <f>solver_lhs220=NonLinLarge!$H$74</f>
        <v>#NAME?</v>
      </c>
    </row>
    <row r="142" spans="58:58" x14ac:dyDescent="0.25">
      <c r="BF142" t="e">
        <f>solver_lhs221=NonLinLarge!$H$75:$H$138</f>
        <v>#NAME?</v>
      </c>
    </row>
    <row r="143" spans="58:58" x14ac:dyDescent="0.25">
      <c r="BF143" t="e">
        <f>solver_lhs222=NonLinLarge!$H$139</f>
        <v>#NAME?</v>
      </c>
    </row>
    <row r="144" spans="58:58" x14ac:dyDescent="0.25">
      <c r="BF144" t="e">
        <f>solver_lhs223=NonLinLarge!$H$7:$H$8</f>
        <v>#NAME?</v>
      </c>
    </row>
    <row r="145" spans="58:58" x14ac:dyDescent="0.25">
      <c r="BF145" t="e">
        <f>solver_lhs224=NonLinLarge!$H$9:$H$72</f>
        <v>#NAME?</v>
      </c>
    </row>
    <row r="146" spans="58:58" x14ac:dyDescent="0.25">
      <c r="BF146" t="e">
        <f>solver_lhs225=NonLinLarge!$H$73</f>
        <v>#NAME?</v>
      </c>
    </row>
    <row r="147" spans="58:58" x14ac:dyDescent="0.25">
      <c r="BF147" t="e">
        <f>solver_lhs226=NonLinLarge!$H$74</f>
        <v>#NAME?</v>
      </c>
    </row>
    <row r="148" spans="58:58" x14ac:dyDescent="0.25">
      <c r="BF148" t="e">
        <f>solver_lhs227=NonLinLarge!$H$75:$H$138</f>
        <v>#NAME?</v>
      </c>
    </row>
    <row r="149" spans="58:58" x14ac:dyDescent="0.25">
      <c r="BF149" t="e">
        <f>solver_lhs228=NonLinLarge!$H$139</f>
        <v>#NAME?</v>
      </c>
    </row>
    <row r="150" spans="58:58" x14ac:dyDescent="0.25">
      <c r="BF150" t="e">
        <f>solver_lhs229=NonLinLarge!$H$7:$H$8</f>
        <v>#NAME?</v>
      </c>
    </row>
    <row r="151" spans="58:58" x14ac:dyDescent="0.25">
      <c r="BF151" t="e">
        <f>solver_lhs23=NonLinLarge!$H$75:$H$138</f>
        <v>#NAME?</v>
      </c>
    </row>
    <row r="152" spans="58:58" x14ac:dyDescent="0.25">
      <c r="BF152" t="e">
        <f>solver_lhs230=NonLinLarge!$H$9:$H$72</f>
        <v>#NAME?</v>
      </c>
    </row>
    <row r="153" spans="58:58" x14ac:dyDescent="0.25">
      <c r="BF153" t="e">
        <f>solver_lhs231=NonLinLarge!$H$73</f>
        <v>#NAME?</v>
      </c>
    </row>
    <row r="154" spans="58:58" x14ac:dyDescent="0.25">
      <c r="BF154" t="e">
        <f>solver_lhs232=NonLinLarge!$H$74</f>
        <v>#NAME?</v>
      </c>
    </row>
    <row r="155" spans="58:58" x14ac:dyDescent="0.25">
      <c r="BF155" t="e">
        <f>solver_lhs233=NonLinLarge!$H$75:$H$138</f>
        <v>#NAME?</v>
      </c>
    </row>
    <row r="156" spans="58:58" x14ac:dyDescent="0.25">
      <c r="BF156" t="e">
        <f>solver_lhs234=NonLinLarge!$H$139</f>
        <v>#NAME?</v>
      </c>
    </row>
    <row r="157" spans="58:58" x14ac:dyDescent="0.25">
      <c r="BF157" t="e">
        <f>solver_lhs235=NonLinLarge!$H$7:$H$8</f>
        <v>#NAME?</v>
      </c>
    </row>
    <row r="158" spans="58:58" x14ac:dyDescent="0.25">
      <c r="BF158" t="e">
        <f>solver_lhs236=NonLinLarge!$H$9:$H$72</f>
        <v>#NAME?</v>
      </c>
    </row>
    <row r="159" spans="58:58" x14ac:dyDescent="0.25">
      <c r="BF159" t="e">
        <f>solver_lhs237=NonLinLarge!$H$73</f>
        <v>#NAME?</v>
      </c>
    </row>
    <row r="160" spans="58:58" x14ac:dyDescent="0.25">
      <c r="BF160" t="e">
        <f>solver_lhs238=NonLinLarge!$H$74</f>
        <v>#NAME?</v>
      </c>
    </row>
    <row r="161" spans="58:58" x14ac:dyDescent="0.25">
      <c r="BF161" t="e">
        <f>solver_lhs239=NonLinLarge!$H$75:$H$138</f>
        <v>#NAME?</v>
      </c>
    </row>
    <row r="162" spans="58:58" x14ac:dyDescent="0.25">
      <c r="BF162" t="e">
        <f>solver_lhs24=NonLinLarge!$H$139</f>
        <v>#NAME?</v>
      </c>
    </row>
    <row r="163" spans="58:58" x14ac:dyDescent="0.25">
      <c r="BF163" t="e">
        <f>solver_lhs240=NonLinLarge!$H$139</f>
        <v>#NAME?</v>
      </c>
    </row>
    <row r="164" spans="58:58" x14ac:dyDescent="0.25">
      <c r="BF164" t="e">
        <f>solver_lhs241=NonLinLarge!$H$7:$H$8</f>
        <v>#NAME?</v>
      </c>
    </row>
    <row r="165" spans="58:58" x14ac:dyDescent="0.25">
      <c r="BF165" t="e">
        <f>solver_lhs242=NonLinLarge!$H$9:$H$72</f>
        <v>#NAME?</v>
      </c>
    </row>
    <row r="166" spans="58:58" x14ac:dyDescent="0.25">
      <c r="BF166" t="e">
        <f>solver_lhs243=NonLinLarge!$H$73</f>
        <v>#NAME?</v>
      </c>
    </row>
    <row r="167" spans="58:58" x14ac:dyDescent="0.25">
      <c r="BF167" t="e">
        <f>solver_lhs244=NonLinLarge!$H$74</f>
        <v>#NAME?</v>
      </c>
    </row>
    <row r="168" spans="58:58" x14ac:dyDescent="0.25">
      <c r="BF168" t="e">
        <f>solver_lhs245=NonLinLarge!$H$75:$H$138</f>
        <v>#NAME?</v>
      </c>
    </row>
    <row r="169" spans="58:58" x14ac:dyDescent="0.25">
      <c r="BF169" t="e">
        <f>solver_lhs246=NonLinLarge!$H$139</f>
        <v>#NAME?</v>
      </c>
    </row>
    <row r="170" spans="58:58" x14ac:dyDescent="0.25">
      <c r="BF170" t="e">
        <f>solver_lhs247=NonLinLarge!$H$7:$H$8</f>
        <v>#NAME?</v>
      </c>
    </row>
    <row r="171" spans="58:58" x14ac:dyDescent="0.25">
      <c r="BF171" t="e">
        <f>solver_lhs248=NonLinLarge!$H$9:$H$72</f>
        <v>#NAME?</v>
      </c>
    </row>
    <row r="172" spans="58:58" x14ac:dyDescent="0.25">
      <c r="BF172" t="e">
        <f>solver_lhs249=NonLinLarge!$H$73</f>
        <v>#NAME?</v>
      </c>
    </row>
    <row r="173" spans="58:58" x14ac:dyDescent="0.25">
      <c r="BF173" t="e">
        <f>solver_lhs25=NonLinLarge!$H$7:$H$8</f>
        <v>#NAME?</v>
      </c>
    </row>
    <row r="174" spans="58:58" x14ac:dyDescent="0.25">
      <c r="BF174" t="e">
        <f>solver_lhs250=NonLinLarge!$H$74</f>
        <v>#NAME?</v>
      </c>
    </row>
    <row r="175" spans="58:58" x14ac:dyDescent="0.25">
      <c r="BF175" t="e">
        <f>solver_lhs251=NonLinLarge!$H$75:$H$138</f>
        <v>#NAME?</v>
      </c>
    </row>
    <row r="176" spans="58:58" x14ac:dyDescent="0.25">
      <c r="BF176" t="e">
        <f>solver_lhs252=NonLinLarge!$H$139</f>
        <v>#NAME?</v>
      </c>
    </row>
    <row r="177" spans="58:58" x14ac:dyDescent="0.25">
      <c r="BF177" t="e">
        <f>solver_lhs253=NonLinLarge!$H$7:$H$8</f>
        <v>#NAME?</v>
      </c>
    </row>
    <row r="178" spans="58:58" x14ac:dyDescent="0.25">
      <c r="BF178" t="e">
        <f>solver_lhs254=NonLinLarge!$H$9:$H$72</f>
        <v>#NAME?</v>
      </c>
    </row>
    <row r="179" spans="58:58" x14ac:dyDescent="0.25">
      <c r="BF179" t="e">
        <f>solver_lhs255=NonLinLarge!$H$73</f>
        <v>#NAME?</v>
      </c>
    </row>
    <row r="180" spans="58:58" x14ac:dyDescent="0.25">
      <c r="BF180" t="e">
        <f>solver_lhs256=NonLinLarge!$H$74</f>
        <v>#NAME?</v>
      </c>
    </row>
    <row r="181" spans="58:58" x14ac:dyDescent="0.25">
      <c r="BF181" t="e">
        <f>solver_lhs257=NonLinLarge!$H$75:$H$138</f>
        <v>#NAME?</v>
      </c>
    </row>
    <row r="182" spans="58:58" x14ac:dyDescent="0.25">
      <c r="BF182" t="e">
        <f>solver_lhs258=NonLinLarge!$H$139</f>
        <v>#NAME?</v>
      </c>
    </row>
    <row r="183" spans="58:58" x14ac:dyDescent="0.25">
      <c r="BF183" t="e">
        <f>solver_lhs259=NonLinLarge!$H$7:$H$8</f>
        <v>#NAME?</v>
      </c>
    </row>
    <row r="184" spans="58:58" x14ac:dyDescent="0.25">
      <c r="BF184" t="e">
        <f>solver_lhs26=NonLinLarge!$H$9:$H$72</f>
        <v>#NAME?</v>
      </c>
    </row>
    <row r="185" spans="58:58" x14ac:dyDescent="0.25">
      <c r="BF185" t="e">
        <f>solver_lhs260=NonLinLarge!$H$9:$H$72</f>
        <v>#NAME?</v>
      </c>
    </row>
    <row r="186" spans="58:58" x14ac:dyDescent="0.25">
      <c r="BF186" t="e">
        <f>solver_lhs261=NonLinLarge!$H$73</f>
        <v>#NAME?</v>
      </c>
    </row>
    <row r="187" spans="58:58" x14ac:dyDescent="0.25">
      <c r="BF187" t="e">
        <f>solver_lhs262=NonLinLarge!$H$74</f>
        <v>#NAME?</v>
      </c>
    </row>
    <row r="188" spans="58:58" x14ac:dyDescent="0.25">
      <c r="BF188" t="e">
        <f>solver_lhs263=NonLinLarge!$H$75:$H$138</f>
        <v>#NAME?</v>
      </c>
    </row>
    <row r="189" spans="58:58" x14ac:dyDescent="0.25">
      <c r="BF189" t="e">
        <f>solver_lhs264=NonLinLarge!$H$139</f>
        <v>#NAME?</v>
      </c>
    </row>
    <row r="190" spans="58:58" x14ac:dyDescent="0.25">
      <c r="BF190" t="e">
        <f>solver_lhs265=NonLinLarge!$H$7:$H$8</f>
        <v>#NAME?</v>
      </c>
    </row>
    <row r="191" spans="58:58" x14ac:dyDescent="0.25">
      <c r="BF191" t="e">
        <f>solver_lhs266=NonLinLarge!$H$9:$H$72</f>
        <v>#NAME?</v>
      </c>
    </row>
    <row r="192" spans="58:58" x14ac:dyDescent="0.25">
      <c r="BF192" t="e">
        <f>solver_lhs267=NonLinLarge!$H$73</f>
        <v>#NAME?</v>
      </c>
    </row>
    <row r="193" spans="58:58" x14ac:dyDescent="0.25">
      <c r="BF193" t="e">
        <f>solver_lhs268=NonLinLarge!$H$74</f>
        <v>#NAME?</v>
      </c>
    </row>
    <row r="194" spans="58:58" x14ac:dyDescent="0.25">
      <c r="BF194" t="e">
        <f>solver_lhs269=NonLinLarge!$H$75:$H$138</f>
        <v>#NAME?</v>
      </c>
    </row>
    <row r="195" spans="58:58" x14ac:dyDescent="0.25">
      <c r="BF195" t="e">
        <f>solver_lhs27=NonLinLarge!$H$73</f>
        <v>#NAME?</v>
      </c>
    </row>
    <row r="196" spans="58:58" x14ac:dyDescent="0.25">
      <c r="BF196" t="e">
        <f>solver_lhs270=NonLinLarge!$H$139</f>
        <v>#NAME?</v>
      </c>
    </row>
    <row r="197" spans="58:58" x14ac:dyDescent="0.25">
      <c r="BF197" t="e">
        <f>solver_lhs271=NonLinLarge!$H$7:$H$8</f>
        <v>#NAME?</v>
      </c>
    </row>
    <row r="198" spans="58:58" x14ac:dyDescent="0.25">
      <c r="BF198" t="e">
        <f>solver_lhs272=NonLinLarge!$H$9:$H$72</f>
        <v>#NAME?</v>
      </c>
    </row>
    <row r="199" spans="58:58" x14ac:dyDescent="0.25">
      <c r="BF199" t="e">
        <f>solver_lhs273=NonLinLarge!$H$73</f>
        <v>#NAME?</v>
      </c>
    </row>
    <row r="200" spans="58:58" x14ac:dyDescent="0.25">
      <c r="BF200" t="e">
        <f>solver_lhs274=NonLinLarge!$H$74</f>
        <v>#NAME?</v>
      </c>
    </row>
    <row r="201" spans="58:58" x14ac:dyDescent="0.25">
      <c r="BF201" t="e">
        <f>solver_lhs275=NonLinLarge!$H$75:$H$138</f>
        <v>#NAME?</v>
      </c>
    </row>
    <row r="202" spans="58:58" x14ac:dyDescent="0.25">
      <c r="BF202" t="e">
        <f>solver_lhs276=NonLinLarge!$H$139</f>
        <v>#NAME?</v>
      </c>
    </row>
    <row r="203" spans="58:58" x14ac:dyDescent="0.25">
      <c r="BF203" t="e">
        <f>solver_lhs277=NonLinLarge!$H$7:$H$8</f>
        <v>#NAME?</v>
      </c>
    </row>
    <row r="204" spans="58:58" x14ac:dyDescent="0.25">
      <c r="BF204" t="e">
        <f>solver_lhs278=NonLinLarge!$H$9:$H$72</f>
        <v>#NAME?</v>
      </c>
    </row>
    <row r="205" spans="58:58" x14ac:dyDescent="0.25">
      <c r="BF205" t="e">
        <f>solver_lhs279=NonLinLarge!$H$73</f>
        <v>#NAME?</v>
      </c>
    </row>
    <row r="206" spans="58:58" x14ac:dyDescent="0.25">
      <c r="BF206" t="e">
        <f>solver_lhs28=NonLinLarge!$H$74</f>
        <v>#NAME?</v>
      </c>
    </row>
    <row r="207" spans="58:58" x14ac:dyDescent="0.25">
      <c r="BF207" t="e">
        <f>solver_lhs280=NonLinLarge!$H$74</f>
        <v>#NAME?</v>
      </c>
    </row>
    <row r="208" spans="58:58" x14ac:dyDescent="0.25">
      <c r="BF208" t="e">
        <f>solver_lhs281=NonLinLarge!$H$75:$H$138</f>
        <v>#NAME?</v>
      </c>
    </row>
    <row r="209" spans="58:58" x14ac:dyDescent="0.25">
      <c r="BF209" t="e">
        <f>solver_lhs282=NonLinLarge!$H$139</f>
        <v>#NAME?</v>
      </c>
    </row>
    <row r="210" spans="58:58" x14ac:dyDescent="0.25">
      <c r="BF210" t="e">
        <f>solver_lhs283=NonLinLarge!$H$7:$H$8</f>
        <v>#NAME?</v>
      </c>
    </row>
    <row r="211" spans="58:58" x14ac:dyDescent="0.25">
      <c r="BF211" t="e">
        <f>solver_lhs284=NonLinLarge!$H$9:$H$72</f>
        <v>#NAME?</v>
      </c>
    </row>
    <row r="212" spans="58:58" x14ac:dyDescent="0.25">
      <c r="BF212" t="e">
        <f>solver_lhs285=NonLinLarge!$H$73</f>
        <v>#NAME?</v>
      </c>
    </row>
    <row r="213" spans="58:58" x14ac:dyDescent="0.25">
      <c r="BF213" t="e">
        <f>solver_lhs286=NonLinLarge!$H$74</f>
        <v>#NAME?</v>
      </c>
    </row>
    <row r="214" spans="58:58" x14ac:dyDescent="0.25">
      <c r="BF214" t="e">
        <f>solver_lhs287=NonLinLarge!$H$75:$H$138</f>
        <v>#NAME?</v>
      </c>
    </row>
    <row r="215" spans="58:58" x14ac:dyDescent="0.25">
      <c r="BF215" t="e">
        <f>solver_lhs288=NonLinLarge!$H$139</f>
        <v>#NAME?</v>
      </c>
    </row>
    <row r="216" spans="58:58" x14ac:dyDescent="0.25">
      <c r="BF216" t="e">
        <f>solver_lhs289=NonLinLarge!$H$7:$H$8</f>
        <v>#NAME?</v>
      </c>
    </row>
    <row r="217" spans="58:58" x14ac:dyDescent="0.25">
      <c r="BF217" t="e">
        <f>solver_lhs29=NonLinLarge!$H$75:$H$138</f>
        <v>#NAME?</v>
      </c>
    </row>
    <row r="218" spans="58:58" x14ac:dyDescent="0.25">
      <c r="BF218" t="e">
        <f>solver_lhs290=NonLinLarge!$H$9:$H$72</f>
        <v>#NAME?</v>
      </c>
    </row>
    <row r="219" spans="58:58" x14ac:dyDescent="0.25">
      <c r="BF219" t="e">
        <f>solver_lhs291=NonLinLarge!$H$73</f>
        <v>#NAME?</v>
      </c>
    </row>
    <row r="220" spans="58:58" x14ac:dyDescent="0.25">
      <c r="BF220" t="e">
        <f>solver_lhs292=NonLinLarge!$H$74</f>
        <v>#NAME?</v>
      </c>
    </row>
    <row r="221" spans="58:58" x14ac:dyDescent="0.25">
      <c r="BF221" t="e">
        <f>solver_lhs293=NonLinLarge!$H$75:$H$138</f>
        <v>#NAME?</v>
      </c>
    </row>
    <row r="222" spans="58:58" x14ac:dyDescent="0.25">
      <c r="BF222" t="e">
        <f>solver_lhs294=NonLinLarge!$H$139</f>
        <v>#NAME?</v>
      </c>
    </row>
    <row r="223" spans="58:58" x14ac:dyDescent="0.25">
      <c r="BF223" t="e">
        <f>solver_lhs295=NonLinLarge!$H$7:$H$8</f>
        <v>#NAME?</v>
      </c>
    </row>
    <row r="224" spans="58:58" x14ac:dyDescent="0.25">
      <c r="BF224" t="e">
        <f>solver_lhs296=NonLinLarge!$H$9:$H$72</f>
        <v>#NAME?</v>
      </c>
    </row>
    <row r="225" spans="58:58" x14ac:dyDescent="0.25">
      <c r="BF225" t="e">
        <f>solver_lhs297=NonLinLarge!$H$73</f>
        <v>#NAME?</v>
      </c>
    </row>
    <row r="226" spans="58:58" x14ac:dyDescent="0.25">
      <c r="BF226" t="e">
        <f>solver_lhs298=NonLinLarge!$H$74</f>
        <v>#NAME?</v>
      </c>
    </row>
    <row r="227" spans="58:58" x14ac:dyDescent="0.25">
      <c r="BF227" t="e">
        <f>solver_lhs299=NonLinLarge!$H$75:$H$138</f>
        <v>#NAME?</v>
      </c>
    </row>
    <row r="228" spans="58:58" x14ac:dyDescent="0.25">
      <c r="BF228" t="e">
        <f>solver_lhs3=NonLinLarge!$H$73</f>
        <v>#NAME?</v>
      </c>
    </row>
    <row r="229" spans="58:58" x14ac:dyDescent="0.25">
      <c r="BF229" t="e">
        <f>solver_lhs30=NonLinLarge!$H$139</f>
        <v>#NAME?</v>
      </c>
    </row>
    <row r="230" spans="58:58" x14ac:dyDescent="0.25">
      <c r="BF230" t="e">
        <f>solver_lhs300=NonLinLarge!$H$139</f>
        <v>#NAME?</v>
      </c>
    </row>
    <row r="231" spans="58:58" x14ac:dyDescent="0.25">
      <c r="BF231" t="e">
        <f>solver_lhs301=NonLinLarge!$H$7:$H$8</f>
        <v>#NAME?</v>
      </c>
    </row>
    <row r="232" spans="58:58" x14ac:dyDescent="0.25">
      <c r="BF232" t="e">
        <f>solver_lhs302=NonLinLarge!$H$9:$H$72</f>
        <v>#NAME?</v>
      </c>
    </row>
    <row r="233" spans="58:58" x14ac:dyDescent="0.25">
      <c r="BF233" t="e">
        <f>solver_lhs303=NonLinLarge!$H$73</f>
        <v>#NAME?</v>
      </c>
    </row>
    <row r="234" spans="58:58" x14ac:dyDescent="0.25">
      <c r="BF234" t="e">
        <f>solver_lhs304=NonLinLarge!$H$74</f>
        <v>#NAME?</v>
      </c>
    </row>
    <row r="235" spans="58:58" x14ac:dyDescent="0.25">
      <c r="BF235" t="e">
        <f>solver_lhs305=NonLinLarge!$H$75:$H$138</f>
        <v>#NAME?</v>
      </c>
    </row>
    <row r="236" spans="58:58" x14ac:dyDescent="0.25">
      <c r="BF236" t="e">
        <f>solver_lhs306=NonLinLarge!$H$139</f>
        <v>#NAME?</v>
      </c>
    </row>
    <row r="237" spans="58:58" x14ac:dyDescent="0.25">
      <c r="BF237" t="e">
        <f>solver_lhs307=NonLinLarge!$H$7:$H$8</f>
        <v>#NAME?</v>
      </c>
    </row>
    <row r="238" spans="58:58" x14ac:dyDescent="0.25">
      <c r="BF238" t="e">
        <f>solver_lhs308=NonLinLarge!$H$9:$H$72</f>
        <v>#NAME?</v>
      </c>
    </row>
    <row r="239" spans="58:58" x14ac:dyDescent="0.25">
      <c r="BF239" t="e">
        <f>solver_lhs309=NonLinLarge!$H$73</f>
        <v>#NAME?</v>
      </c>
    </row>
    <row r="240" spans="58:58" x14ac:dyDescent="0.25">
      <c r="BF240" t="e">
        <f>solver_lhs31=NonLinLarge!$H$7:$H$8</f>
        <v>#NAME?</v>
      </c>
    </row>
    <row r="241" spans="58:58" x14ac:dyDescent="0.25">
      <c r="BF241" t="e">
        <f>solver_lhs310=NonLinLarge!$H$74</f>
        <v>#NAME?</v>
      </c>
    </row>
    <row r="242" spans="58:58" x14ac:dyDescent="0.25">
      <c r="BF242" t="e">
        <f>solver_lhs311=NonLinLarge!$H$75:$H$138</f>
        <v>#NAME?</v>
      </c>
    </row>
    <row r="243" spans="58:58" x14ac:dyDescent="0.25">
      <c r="BF243" t="e">
        <f>solver_lhs312=NonLinLarge!$H$139</f>
        <v>#NAME?</v>
      </c>
    </row>
    <row r="244" spans="58:58" x14ac:dyDescent="0.25">
      <c r="BF244" t="e">
        <f>solver_lhs313=NonLinLarge!$H$7:$H$8</f>
        <v>#NAME?</v>
      </c>
    </row>
    <row r="245" spans="58:58" x14ac:dyDescent="0.25">
      <c r="BF245" t="e">
        <f>solver_lhs314=NonLinLarge!$H$9:$H$72</f>
        <v>#NAME?</v>
      </c>
    </row>
    <row r="246" spans="58:58" x14ac:dyDescent="0.25">
      <c r="BF246" t="e">
        <f>solver_lhs315=NonLinLarge!$H$73</f>
        <v>#NAME?</v>
      </c>
    </row>
    <row r="247" spans="58:58" x14ac:dyDescent="0.25">
      <c r="BF247" t="e">
        <f>solver_lhs316=NonLinLarge!$H$74</f>
        <v>#NAME?</v>
      </c>
    </row>
    <row r="248" spans="58:58" x14ac:dyDescent="0.25">
      <c r="BF248" t="e">
        <f>solver_lhs317=NonLinLarge!$H$75:$H$138</f>
        <v>#NAME?</v>
      </c>
    </row>
    <row r="249" spans="58:58" x14ac:dyDescent="0.25">
      <c r="BF249" t="e">
        <f>solver_lhs318=NonLinLarge!$H$139</f>
        <v>#NAME?</v>
      </c>
    </row>
    <row r="250" spans="58:58" x14ac:dyDescent="0.25">
      <c r="BF250" t="e">
        <f>solver_lhs319=NonLinLarge!$H$7:$H$8</f>
        <v>#NAME?</v>
      </c>
    </row>
    <row r="251" spans="58:58" x14ac:dyDescent="0.25">
      <c r="BF251" t="e">
        <f>solver_lhs32=NonLinLarge!$H$9:$H$72</f>
        <v>#NAME?</v>
      </c>
    </row>
    <row r="252" spans="58:58" x14ac:dyDescent="0.25">
      <c r="BF252" t="e">
        <f>solver_lhs320=NonLinLarge!$H$9:$H$72</f>
        <v>#NAME?</v>
      </c>
    </row>
    <row r="253" spans="58:58" x14ac:dyDescent="0.25">
      <c r="BF253" t="e">
        <f>solver_lhs321=NonLinLarge!$H$73</f>
        <v>#NAME?</v>
      </c>
    </row>
    <row r="254" spans="58:58" x14ac:dyDescent="0.25">
      <c r="BF254" t="e">
        <f>solver_lhs322=NonLinLarge!$H$74</f>
        <v>#NAME?</v>
      </c>
    </row>
    <row r="255" spans="58:58" x14ac:dyDescent="0.25">
      <c r="BF255" t="e">
        <f>solver_lhs323=NonLinLarge!$H$75:$H$138</f>
        <v>#NAME?</v>
      </c>
    </row>
    <row r="256" spans="58:58" x14ac:dyDescent="0.25">
      <c r="BF256" t="e">
        <f>solver_lhs324=NonLinLarge!$H$139</f>
        <v>#NAME?</v>
      </c>
    </row>
    <row r="257" spans="58:58" x14ac:dyDescent="0.25">
      <c r="BF257" t="e">
        <f>solver_lhs325=NonLinLarge!$H$7:$H$8</f>
        <v>#NAME?</v>
      </c>
    </row>
    <row r="258" spans="58:58" x14ac:dyDescent="0.25">
      <c r="BF258" t="e">
        <f>solver_lhs326=NonLinLarge!$H$9:$H$72</f>
        <v>#NAME?</v>
      </c>
    </row>
    <row r="259" spans="58:58" x14ac:dyDescent="0.25">
      <c r="BF259" t="e">
        <f>solver_lhs327=NonLinLarge!$H$73</f>
        <v>#NAME?</v>
      </c>
    </row>
    <row r="260" spans="58:58" x14ac:dyDescent="0.25">
      <c r="BF260" t="e">
        <f>solver_lhs328=NonLinLarge!$H$74</f>
        <v>#NAME?</v>
      </c>
    </row>
    <row r="261" spans="58:58" x14ac:dyDescent="0.25">
      <c r="BF261" t="e">
        <f>solver_lhs329=NonLinLarge!$H$75:$H$138</f>
        <v>#NAME?</v>
      </c>
    </row>
    <row r="262" spans="58:58" x14ac:dyDescent="0.25">
      <c r="BF262" t="e">
        <f>solver_lhs33=NonLinLarge!$H$73</f>
        <v>#NAME?</v>
      </c>
    </row>
    <row r="263" spans="58:58" x14ac:dyDescent="0.25">
      <c r="BF263" t="e">
        <f>solver_lhs330=NonLinLarge!$H$139</f>
        <v>#NAME?</v>
      </c>
    </row>
    <row r="264" spans="58:58" x14ac:dyDescent="0.25">
      <c r="BF264" t="e">
        <f>solver_lhs331=NonLinLarge!$H$7:$H$8</f>
        <v>#NAME?</v>
      </c>
    </row>
    <row r="265" spans="58:58" x14ac:dyDescent="0.25">
      <c r="BF265" t="e">
        <f>solver_lhs332=NonLinLarge!$H$9:$H$72</f>
        <v>#NAME?</v>
      </c>
    </row>
    <row r="266" spans="58:58" x14ac:dyDescent="0.25">
      <c r="BF266" t="e">
        <f>solver_lhs333=NonLinLarge!$H$73</f>
        <v>#NAME?</v>
      </c>
    </row>
    <row r="267" spans="58:58" x14ac:dyDescent="0.25">
      <c r="BF267" t="e">
        <f>solver_lhs334=NonLinLarge!$H$74</f>
        <v>#NAME?</v>
      </c>
    </row>
    <row r="268" spans="58:58" x14ac:dyDescent="0.25">
      <c r="BF268" t="e">
        <f>solver_lhs335=NonLinLarge!$H$75:$H$138</f>
        <v>#NAME?</v>
      </c>
    </row>
    <row r="269" spans="58:58" x14ac:dyDescent="0.25">
      <c r="BF269" t="e">
        <f>solver_lhs336=NonLinLarge!$H$139</f>
        <v>#NAME?</v>
      </c>
    </row>
    <row r="270" spans="58:58" x14ac:dyDescent="0.25">
      <c r="BF270" t="e">
        <f>solver_lhs337=NonLinLarge!$H$7:$H$8</f>
        <v>#NAME?</v>
      </c>
    </row>
    <row r="271" spans="58:58" x14ac:dyDescent="0.25">
      <c r="BF271" t="e">
        <f>solver_lhs338=NonLinLarge!$H$9:$H$72</f>
        <v>#NAME?</v>
      </c>
    </row>
    <row r="272" spans="58:58" x14ac:dyDescent="0.25">
      <c r="BF272" t="e">
        <f>solver_lhs339=NonLinLarge!$H$73</f>
        <v>#NAME?</v>
      </c>
    </row>
    <row r="273" spans="58:58" x14ac:dyDescent="0.25">
      <c r="BF273" t="e">
        <f>solver_lhs34=NonLinLarge!$H$74</f>
        <v>#NAME?</v>
      </c>
    </row>
    <row r="274" spans="58:58" x14ac:dyDescent="0.25">
      <c r="BF274" t="e">
        <f>solver_lhs340=NonLinLarge!$H$74</f>
        <v>#NAME?</v>
      </c>
    </row>
    <row r="275" spans="58:58" x14ac:dyDescent="0.25">
      <c r="BF275" t="e">
        <f>solver_lhs341=NonLinLarge!$H$75:$H$138</f>
        <v>#NAME?</v>
      </c>
    </row>
    <row r="276" spans="58:58" x14ac:dyDescent="0.25">
      <c r="BF276" t="e">
        <f>solver_lhs342=NonLinLarge!$H$139</f>
        <v>#NAME?</v>
      </c>
    </row>
    <row r="277" spans="58:58" x14ac:dyDescent="0.25">
      <c r="BF277" t="e">
        <f>solver_lhs343=NonLinLarge!$H$7:$H$8</f>
        <v>#NAME?</v>
      </c>
    </row>
    <row r="278" spans="58:58" x14ac:dyDescent="0.25">
      <c r="BF278" t="e">
        <f>solver_lhs344=NonLinLarge!$H$9:$H$72</f>
        <v>#NAME?</v>
      </c>
    </row>
    <row r="279" spans="58:58" x14ac:dyDescent="0.25">
      <c r="BF279" t="e">
        <f>solver_lhs345=NonLinLarge!$H$73</f>
        <v>#NAME?</v>
      </c>
    </row>
    <row r="280" spans="58:58" x14ac:dyDescent="0.25">
      <c r="BF280" t="e">
        <f>solver_lhs346=NonLinLarge!$H$74</f>
        <v>#NAME?</v>
      </c>
    </row>
    <row r="281" spans="58:58" x14ac:dyDescent="0.25">
      <c r="BF281" t="e">
        <f>solver_lhs347=NonLinLarge!$H$75:$H$138</f>
        <v>#NAME?</v>
      </c>
    </row>
    <row r="282" spans="58:58" x14ac:dyDescent="0.25">
      <c r="BF282" t="e">
        <f>solver_lhs348=NonLinLarge!$H$139</f>
        <v>#NAME?</v>
      </c>
    </row>
    <row r="283" spans="58:58" x14ac:dyDescent="0.25">
      <c r="BF283" t="e">
        <f>solver_lhs349=NonLinLarge!$H$7:$H$8</f>
        <v>#NAME?</v>
      </c>
    </row>
    <row r="284" spans="58:58" x14ac:dyDescent="0.25">
      <c r="BF284" t="e">
        <f>solver_lhs35=NonLinLarge!$H$75:$H$138</f>
        <v>#NAME?</v>
      </c>
    </row>
    <row r="285" spans="58:58" x14ac:dyDescent="0.25">
      <c r="BF285" t="e">
        <f>solver_lhs350=NonLinLarge!$H$9:$H$72</f>
        <v>#NAME?</v>
      </c>
    </row>
    <row r="286" spans="58:58" x14ac:dyDescent="0.25">
      <c r="BF286" t="e">
        <f>solver_lhs351=NonLinLarge!$H$73</f>
        <v>#NAME?</v>
      </c>
    </row>
    <row r="287" spans="58:58" x14ac:dyDescent="0.25">
      <c r="BF287" t="e">
        <f>solver_lhs352=NonLinLarge!$H$74</f>
        <v>#NAME?</v>
      </c>
    </row>
    <row r="288" spans="58:58" x14ac:dyDescent="0.25">
      <c r="BF288" t="e">
        <f>solver_lhs353=NonLinLarge!$H$75:$H$138</f>
        <v>#NAME?</v>
      </c>
    </row>
    <row r="289" spans="58:58" x14ac:dyDescent="0.25">
      <c r="BF289" t="e">
        <f>solver_lhs354=NonLinLarge!$H$139</f>
        <v>#NAME?</v>
      </c>
    </row>
    <row r="290" spans="58:58" x14ac:dyDescent="0.25">
      <c r="BF290" t="e">
        <f>solver_lhs355=NonLinLarge!$H$7:$H$8</f>
        <v>#NAME?</v>
      </c>
    </row>
    <row r="291" spans="58:58" x14ac:dyDescent="0.25">
      <c r="BF291" t="e">
        <f>solver_lhs356=NonLinLarge!$H$9:$H$72</f>
        <v>#NAME?</v>
      </c>
    </row>
    <row r="292" spans="58:58" x14ac:dyDescent="0.25">
      <c r="BF292" t="e">
        <f>solver_lhs357=NonLinLarge!$H$73</f>
        <v>#NAME?</v>
      </c>
    </row>
    <row r="293" spans="58:58" x14ac:dyDescent="0.25">
      <c r="BF293" t="e">
        <f>solver_lhs358=NonLinLarge!$H$74</f>
        <v>#NAME?</v>
      </c>
    </row>
    <row r="294" spans="58:58" x14ac:dyDescent="0.25">
      <c r="BF294" t="e">
        <f>solver_lhs359=NonLinLarge!$H$75:$H$138</f>
        <v>#NAME?</v>
      </c>
    </row>
    <row r="295" spans="58:58" x14ac:dyDescent="0.25">
      <c r="BF295" t="e">
        <f>solver_lhs36=NonLinLarge!$H$139</f>
        <v>#NAME?</v>
      </c>
    </row>
    <row r="296" spans="58:58" x14ac:dyDescent="0.25">
      <c r="BF296" t="e">
        <f>solver_lhs360=NonLinLarge!$H$139</f>
        <v>#NAME?</v>
      </c>
    </row>
    <row r="297" spans="58:58" x14ac:dyDescent="0.25">
      <c r="BF297" t="e">
        <f>solver_lhs361=NonLinLarge!$H$7:$H$8</f>
        <v>#NAME?</v>
      </c>
    </row>
    <row r="298" spans="58:58" x14ac:dyDescent="0.25">
      <c r="BF298" t="e">
        <f>solver_lhs362=NonLinLarge!$H$9:$H$72</f>
        <v>#NAME?</v>
      </c>
    </row>
    <row r="299" spans="58:58" x14ac:dyDescent="0.25">
      <c r="BF299" t="e">
        <f>solver_lhs363=NonLinLarge!$H$73</f>
        <v>#NAME?</v>
      </c>
    </row>
    <row r="300" spans="58:58" x14ac:dyDescent="0.25">
      <c r="BF300" t="e">
        <f>solver_lhs364=NonLinLarge!$H$74</f>
        <v>#NAME?</v>
      </c>
    </row>
    <row r="301" spans="58:58" x14ac:dyDescent="0.25">
      <c r="BF301" t="e">
        <f>solver_lhs365=NonLinLarge!$H$75:$H$138</f>
        <v>#NAME?</v>
      </c>
    </row>
    <row r="302" spans="58:58" x14ac:dyDescent="0.25">
      <c r="BF302" t="e">
        <f>solver_lhs366=NonLinLarge!$H$139</f>
        <v>#NAME?</v>
      </c>
    </row>
    <row r="303" spans="58:58" x14ac:dyDescent="0.25">
      <c r="BF303" t="e">
        <f>solver_lhs367=NonLinLarge!$H$7:$H$8</f>
        <v>#NAME?</v>
      </c>
    </row>
    <row r="304" spans="58:58" x14ac:dyDescent="0.25">
      <c r="BF304" t="e">
        <f>solver_lhs368=NonLinLarge!$H$9:$H$72</f>
        <v>#NAME?</v>
      </c>
    </row>
    <row r="305" spans="58:58" x14ac:dyDescent="0.25">
      <c r="BF305" t="e">
        <f>solver_lhs369=NonLinLarge!$H$73</f>
        <v>#NAME?</v>
      </c>
    </row>
    <row r="306" spans="58:58" x14ac:dyDescent="0.25">
      <c r="BF306" t="e">
        <f>solver_lhs37=NonLinLarge!$H$7:$H$8</f>
        <v>#NAME?</v>
      </c>
    </row>
    <row r="307" spans="58:58" x14ac:dyDescent="0.25">
      <c r="BF307" t="e">
        <f>solver_lhs370=NonLinLarge!$H$74</f>
        <v>#NAME?</v>
      </c>
    </row>
    <row r="308" spans="58:58" x14ac:dyDescent="0.25">
      <c r="BF308" t="e">
        <f>solver_lhs371=NonLinLarge!$H$75:$H$138</f>
        <v>#NAME?</v>
      </c>
    </row>
    <row r="309" spans="58:58" x14ac:dyDescent="0.25">
      <c r="BF309" t="e">
        <f>solver_lhs372=NonLinLarge!$H$139</f>
        <v>#NAME?</v>
      </c>
    </row>
    <row r="310" spans="58:58" x14ac:dyDescent="0.25">
      <c r="BF310" t="e">
        <f>solver_lhs373=NonLinLarge!$H$7:$H$8</f>
        <v>#NAME?</v>
      </c>
    </row>
    <row r="311" spans="58:58" x14ac:dyDescent="0.25">
      <c r="BF311" t="e">
        <f>solver_lhs374=NonLinLarge!$H$9:$H$72</f>
        <v>#NAME?</v>
      </c>
    </row>
    <row r="312" spans="58:58" x14ac:dyDescent="0.25">
      <c r="BF312" t="e">
        <f>solver_lhs375=NonLinLarge!$H$73</f>
        <v>#NAME?</v>
      </c>
    </row>
    <row r="313" spans="58:58" x14ac:dyDescent="0.25">
      <c r="BF313" t="e">
        <f>solver_lhs376=NonLinLarge!$H$74</f>
        <v>#NAME?</v>
      </c>
    </row>
    <row r="314" spans="58:58" x14ac:dyDescent="0.25">
      <c r="BF314" t="e">
        <f>solver_lhs377=NonLinLarge!$H$75:$H$138</f>
        <v>#NAME?</v>
      </c>
    </row>
    <row r="315" spans="58:58" x14ac:dyDescent="0.25">
      <c r="BF315" t="e">
        <f>solver_lhs378=NonLinLarge!$H$139</f>
        <v>#NAME?</v>
      </c>
    </row>
    <row r="316" spans="58:58" x14ac:dyDescent="0.25">
      <c r="BF316" t="e">
        <f>solver_lhs379=NonLinLarge!$H$7:$H$8</f>
        <v>#NAME?</v>
      </c>
    </row>
    <row r="317" spans="58:58" x14ac:dyDescent="0.25">
      <c r="BF317" t="e">
        <f>solver_lhs38=NonLinLarge!$H$9:$H$72</f>
        <v>#NAME?</v>
      </c>
    </row>
    <row r="318" spans="58:58" x14ac:dyDescent="0.25">
      <c r="BF318" t="e">
        <f>solver_lhs380=NonLinLarge!$H$9:$H$72</f>
        <v>#NAME?</v>
      </c>
    </row>
    <row r="319" spans="58:58" x14ac:dyDescent="0.25">
      <c r="BF319" t="e">
        <f>solver_lhs381=NonLinLarge!$H$73</f>
        <v>#NAME?</v>
      </c>
    </row>
    <row r="320" spans="58:58" x14ac:dyDescent="0.25">
      <c r="BF320" t="e">
        <f>solver_lhs382=NonLinLarge!$H$74</f>
        <v>#NAME?</v>
      </c>
    </row>
    <row r="321" spans="58:58" x14ac:dyDescent="0.25">
      <c r="BF321" t="e">
        <f>solver_lhs383=NonLinLarge!$H$75:$H$138</f>
        <v>#NAME?</v>
      </c>
    </row>
    <row r="322" spans="58:58" x14ac:dyDescent="0.25">
      <c r="BF322" t="e">
        <f>solver_lhs384=NonLinLarge!$H$139</f>
        <v>#NAME?</v>
      </c>
    </row>
    <row r="323" spans="58:58" x14ac:dyDescent="0.25">
      <c r="BF323" t="e">
        <f>solver_lhs385=NonLinLarge!$H$7:$H$8</f>
        <v>#NAME?</v>
      </c>
    </row>
    <row r="324" spans="58:58" x14ac:dyDescent="0.25">
      <c r="BF324" t="e">
        <f>solver_lhs386=NonLinLarge!$H$9:$H$72</f>
        <v>#NAME?</v>
      </c>
    </row>
    <row r="325" spans="58:58" x14ac:dyDescent="0.25">
      <c r="BF325" t="e">
        <f>solver_lhs387=NonLinLarge!$H$73</f>
        <v>#NAME?</v>
      </c>
    </row>
    <row r="326" spans="58:58" x14ac:dyDescent="0.25">
      <c r="BF326" t="e">
        <f>solver_lhs388=NonLinLarge!$H$74</f>
        <v>#NAME?</v>
      </c>
    </row>
    <row r="327" spans="58:58" x14ac:dyDescent="0.25">
      <c r="BF327" t="e">
        <f>solver_lhs389=NonLinLarge!$H$75:$H$138</f>
        <v>#NAME?</v>
      </c>
    </row>
    <row r="328" spans="58:58" x14ac:dyDescent="0.25">
      <c r="BF328" t="e">
        <f>solver_lhs39=NonLinLarge!$H$73</f>
        <v>#NAME?</v>
      </c>
    </row>
    <row r="329" spans="58:58" x14ac:dyDescent="0.25">
      <c r="BF329" t="e">
        <f>solver_lhs390=NonLinLarge!$H$139</f>
        <v>#NAME?</v>
      </c>
    </row>
    <row r="330" spans="58:58" x14ac:dyDescent="0.25">
      <c r="BF330" t="e">
        <f>solver_lhs391=NonLinLarge!$H$7:$H$8</f>
        <v>#NAME?</v>
      </c>
    </row>
    <row r="331" spans="58:58" x14ac:dyDescent="0.25">
      <c r="BF331" t="e">
        <f>solver_lhs392=NonLinLarge!$H$9:$H$72</f>
        <v>#NAME?</v>
      </c>
    </row>
    <row r="332" spans="58:58" x14ac:dyDescent="0.25">
      <c r="BF332" t="e">
        <f>solver_lhs393=NonLinLarge!$H$73</f>
        <v>#NAME?</v>
      </c>
    </row>
    <row r="333" spans="58:58" x14ac:dyDescent="0.25">
      <c r="BF333" t="e">
        <f>solver_lhs394=NonLinLarge!$H$74</f>
        <v>#NAME?</v>
      </c>
    </row>
    <row r="334" spans="58:58" x14ac:dyDescent="0.25">
      <c r="BF334" t="e">
        <f>solver_lhs395=NonLinLarge!$H$75:$H$138</f>
        <v>#NAME?</v>
      </c>
    </row>
    <row r="335" spans="58:58" x14ac:dyDescent="0.25">
      <c r="BF335" t="e">
        <f>solver_lhs396=NonLinLarge!$H$139</f>
        <v>#NAME?</v>
      </c>
    </row>
    <row r="336" spans="58:58" x14ac:dyDescent="0.25">
      <c r="BF336" t="e">
        <f>solver_lhs397=NonLinLarge!$H$7:$H$8</f>
        <v>#NAME?</v>
      </c>
    </row>
    <row r="337" spans="58:58" x14ac:dyDescent="0.25">
      <c r="BF337" t="e">
        <f>solver_lhs398=NonLinLarge!$H$9:$H$72</f>
        <v>#NAME?</v>
      </c>
    </row>
    <row r="338" spans="58:58" x14ac:dyDescent="0.25">
      <c r="BF338" t="e">
        <f>solver_lhs399=NonLinLarge!$H$73</f>
        <v>#NAME?</v>
      </c>
    </row>
    <row r="339" spans="58:58" x14ac:dyDescent="0.25">
      <c r="BF339" t="e">
        <f>solver_lhs4=NonLinLarge!$H$74</f>
        <v>#NAME?</v>
      </c>
    </row>
    <row r="340" spans="58:58" x14ac:dyDescent="0.25">
      <c r="BF340" t="e">
        <f>solver_lhs40=NonLinLarge!$H$74</f>
        <v>#NAME?</v>
      </c>
    </row>
    <row r="341" spans="58:58" x14ac:dyDescent="0.25">
      <c r="BF341" t="e">
        <f>solver_lhs400=NonLinLarge!$H$74</f>
        <v>#NAME?</v>
      </c>
    </row>
    <row r="342" spans="58:58" x14ac:dyDescent="0.25">
      <c r="BF342" t="e">
        <f>solver_lhs401=NonLinLarge!$H$75:$H$138</f>
        <v>#NAME?</v>
      </c>
    </row>
    <row r="343" spans="58:58" x14ac:dyDescent="0.25">
      <c r="BF343" t="e">
        <f>solver_lhs402=NonLinLarge!$H$139</f>
        <v>#NAME?</v>
      </c>
    </row>
    <row r="344" spans="58:58" x14ac:dyDescent="0.25">
      <c r="BF344" t="e">
        <f>solver_lhs403=NonLinLarge!$H$7:$H$8</f>
        <v>#NAME?</v>
      </c>
    </row>
    <row r="345" spans="58:58" x14ac:dyDescent="0.25">
      <c r="BF345" t="e">
        <f>solver_lhs404=NonLinLarge!$H$9:$H$72</f>
        <v>#NAME?</v>
      </c>
    </row>
    <row r="346" spans="58:58" x14ac:dyDescent="0.25">
      <c r="BF346" t="e">
        <f>solver_lhs405=NonLinLarge!$H$73</f>
        <v>#NAME?</v>
      </c>
    </row>
    <row r="347" spans="58:58" x14ac:dyDescent="0.25">
      <c r="BF347" t="e">
        <f>solver_lhs406=NonLinLarge!$H$74</f>
        <v>#NAME?</v>
      </c>
    </row>
    <row r="348" spans="58:58" x14ac:dyDescent="0.25">
      <c r="BF348" t="e">
        <f>solver_lhs407=NonLinLarge!$H$75:$H$138</f>
        <v>#NAME?</v>
      </c>
    </row>
    <row r="349" spans="58:58" x14ac:dyDescent="0.25">
      <c r="BF349" t="e">
        <f>solver_lhs408=NonLinLarge!$H$139</f>
        <v>#NAME?</v>
      </c>
    </row>
    <row r="350" spans="58:58" x14ac:dyDescent="0.25">
      <c r="BF350" t="e">
        <f>solver_lhs409=NonLinLarge!$H$7:$H$8</f>
        <v>#NAME?</v>
      </c>
    </row>
    <row r="351" spans="58:58" x14ac:dyDescent="0.25">
      <c r="BF351" t="e">
        <f>solver_lhs41=NonLinLarge!$H$75:$H$138</f>
        <v>#NAME?</v>
      </c>
    </row>
    <row r="352" spans="58:58" x14ac:dyDescent="0.25">
      <c r="BF352" t="e">
        <f>solver_lhs410=NonLinLarge!$H$9:$H$72</f>
        <v>#NAME?</v>
      </c>
    </row>
    <row r="353" spans="58:58" x14ac:dyDescent="0.25">
      <c r="BF353" t="e">
        <f>solver_lhs411=NonLinLarge!$H$73</f>
        <v>#NAME?</v>
      </c>
    </row>
    <row r="354" spans="58:58" x14ac:dyDescent="0.25">
      <c r="BF354" t="e">
        <f>solver_lhs412=NonLinLarge!$H$74</f>
        <v>#NAME?</v>
      </c>
    </row>
    <row r="355" spans="58:58" x14ac:dyDescent="0.25">
      <c r="BF355" t="e">
        <f>solver_lhs413=NonLinLarge!$H$75:$H$138</f>
        <v>#NAME?</v>
      </c>
    </row>
    <row r="356" spans="58:58" x14ac:dyDescent="0.25">
      <c r="BF356" t="e">
        <f>solver_lhs414=NonLinLarge!$H$139</f>
        <v>#NAME?</v>
      </c>
    </row>
    <row r="357" spans="58:58" x14ac:dyDescent="0.25">
      <c r="BF357" t="e">
        <f>solver_lhs415=NonLinLarge!$H$7:$H$8</f>
        <v>#NAME?</v>
      </c>
    </row>
    <row r="358" spans="58:58" x14ac:dyDescent="0.25">
      <c r="BF358" t="e">
        <f>solver_lhs416=NonLinLarge!$H$9:$H$72</f>
        <v>#NAME?</v>
      </c>
    </row>
    <row r="359" spans="58:58" x14ac:dyDescent="0.25">
      <c r="BF359" t="e">
        <f>solver_lhs417=NonLinLarge!$H$73</f>
        <v>#NAME?</v>
      </c>
    </row>
    <row r="360" spans="58:58" x14ac:dyDescent="0.25">
      <c r="BF360" t="e">
        <f>solver_lhs418=NonLinLarge!$H$74</f>
        <v>#NAME?</v>
      </c>
    </row>
    <row r="361" spans="58:58" x14ac:dyDescent="0.25">
      <c r="BF361" t="e">
        <f>solver_lhs419=NonLinLarge!$H$75:$H$138</f>
        <v>#NAME?</v>
      </c>
    </row>
    <row r="362" spans="58:58" x14ac:dyDescent="0.25">
      <c r="BF362" t="e">
        <f>solver_lhs42=NonLinLarge!$H$139</f>
        <v>#NAME?</v>
      </c>
    </row>
    <row r="363" spans="58:58" x14ac:dyDescent="0.25">
      <c r="BF363" t="e">
        <f>solver_lhs420=NonLinLarge!$H$139</f>
        <v>#NAME?</v>
      </c>
    </row>
    <row r="364" spans="58:58" x14ac:dyDescent="0.25">
      <c r="BF364" t="e">
        <f>solver_lhs421=NonLinLarge!$H$7:$H$8</f>
        <v>#NAME?</v>
      </c>
    </row>
    <row r="365" spans="58:58" x14ac:dyDescent="0.25">
      <c r="BF365" t="e">
        <f>solver_lhs422=NonLinLarge!$H$9:$H$72</f>
        <v>#NAME?</v>
      </c>
    </row>
    <row r="366" spans="58:58" x14ac:dyDescent="0.25">
      <c r="BF366" t="e">
        <f>solver_lhs423=NonLinLarge!$H$73</f>
        <v>#NAME?</v>
      </c>
    </row>
    <row r="367" spans="58:58" x14ac:dyDescent="0.25">
      <c r="BF367" t="e">
        <f>solver_lhs424=NonLinLarge!$H$74</f>
        <v>#NAME?</v>
      </c>
    </row>
    <row r="368" spans="58:58" x14ac:dyDescent="0.25">
      <c r="BF368" t="e">
        <f>solver_lhs425=NonLinLarge!$H$75:$H$138</f>
        <v>#NAME?</v>
      </c>
    </row>
    <row r="369" spans="58:58" x14ac:dyDescent="0.25">
      <c r="BF369" t="e">
        <f>solver_lhs426=NonLinLarge!$H$139</f>
        <v>#NAME?</v>
      </c>
    </row>
    <row r="370" spans="58:58" x14ac:dyDescent="0.25">
      <c r="BF370" t="e">
        <f>solver_lhs427=NonLinLarge!$H$7:$H$8</f>
        <v>#NAME?</v>
      </c>
    </row>
    <row r="371" spans="58:58" x14ac:dyDescent="0.25">
      <c r="BF371" t="e">
        <f>solver_lhs428=NonLinLarge!$H$9:$H$72</f>
        <v>#NAME?</v>
      </c>
    </row>
    <row r="372" spans="58:58" x14ac:dyDescent="0.25">
      <c r="BF372" t="e">
        <f>solver_lhs429=NonLinLarge!$H$73</f>
        <v>#NAME?</v>
      </c>
    </row>
    <row r="373" spans="58:58" x14ac:dyDescent="0.25">
      <c r="BF373" t="e">
        <f>solver_lhs43=NonLinLarge!$H$7:$H$8</f>
        <v>#NAME?</v>
      </c>
    </row>
    <row r="374" spans="58:58" x14ac:dyDescent="0.25">
      <c r="BF374" t="e">
        <f>solver_lhs430=NonLinLarge!$H$74</f>
        <v>#NAME?</v>
      </c>
    </row>
    <row r="375" spans="58:58" x14ac:dyDescent="0.25">
      <c r="BF375" t="e">
        <f>solver_lhs431=NonLinLarge!$H$75:$H$138</f>
        <v>#NAME?</v>
      </c>
    </row>
    <row r="376" spans="58:58" x14ac:dyDescent="0.25">
      <c r="BF376" t="e">
        <f>solver_lhs432=NonLinLarge!$H$139</f>
        <v>#NAME?</v>
      </c>
    </row>
    <row r="377" spans="58:58" x14ac:dyDescent="0.25">
      <c r="BF377" t="e">
        <f>solver_lhs433=NonLinLarge!$H$7:$H$8</f>
        <v>#NAME?</v>
      </c>
    </row>
    <row r="378" spans="58:58" x14ac:dyDescent="0.25">
      <c r="BF378" t="e">
        <f>solver_lhs434=NonLinLarge!$H$9:$H$72</f>
        <v>#NAME?</v>
      </c>
    </row>
    <row r="379" spans="58:58" x14ac:dyDescent="0.25">
      <c r="BF379" t="e">
        <f>solver_lhs435=NonLinLarge!$H$73</f>
        <v>#NAME?</v>
      </c>
    </row>
    <row r="380" spans="58:58" x14ac:dyDescent="0.25">
      <c r="BF380" t="e">
        <f>solver_lhs436=NonLinLarge!$H$74</f>
        <v>#NAME?</v>
      </c>
    </row>
    <row r="381" spans="58:58" x14ac:dyDescent="0.25">
      <c r="BF381" t="e">
        <f>solver_lhs437=NonLinLarge!$H$75:$H$138</f>
        <v>#NAME?</v>
      </c>
    </row>
    <row r="382" spans="58:58" x14ac:dyDescent="0.25">
      <c r="BF382" t="e">
        <f>solver_lhs438=NonLinLarge!$H$139</f>
        <v>#NAME?</v>
      </c>
    </row>
    <row r="383" spans="58:58" x14ac:dyDescent="0.25">
      <c r="BF383" t="e">
        <f>solver_lhs439=NonLinLarge!$H$7:$H$8</f>
        <v>#NAME?</v>
      </c>
    </row>
    <row r="384" spans="58:58" x14ac:dyDescent="0.25">
      <c r="BF384" t="e">
        <f>solver_lhs44=NonLinLarge!$H$9:$H$72</f>
        <v>#NAME?</v>
      </c>
    </row>
    <row r="385" spans="58:58" x14ac:dyDescent="0.25">
      <c r="BF385" t="e">
        <f>solver_lhs440=NonLinLarge!$H$9:$H$72</f>
        <v>#NAME?</v>
      </c>
    </row>
    <row r="386" spans="58:58" x14ac:dyDescent="0.25">
      <c r="BF386" t="e">
        <f>solver_lhs441=NonLinLarge!$H$73</f>
        <v>#NAME?</v>
      </c>
    </row>
    <row r="387" spans="58:58" x14ac:dyDescent="0.25">
      <c r="BF387" t="e">
        <f>solver_lhs442=NonLinLarge!$H$74</f>
        <v>#NAME?</v>
      </c>
    </row>
    <row r="388" spans="58:58" x14ac:dyDescent="0.25">
      <c r="BF388" t="e">
        <f>solver_lhs443=NonLinLarge!$H$75:$H$138</f>
        <v>#NAME?</v>
      </c>
    </row>
    <row r="389" spans="58:58" x14ac:dyDescent="0.25">
      <c r="BF389" t="e">
        <f>solver_lhs444=NonLinLarge!$H$139</f>
        <v>#NAME?</v>
      </c>
    </row>
    <row r="390" spans="58:58" x14ac:dyDescent="0.25">
      <c r="BF390" t="e">
        <f>solver_lhs445=NonLinLarge!$H$7:$H$8</f>
        <v>#NAME?</v>
      </c>
    </row>
    <row r="391" spans="58:58" x14ac:dyDescent="0.25">
      <c r="BF391" t="e">
        <f>solver_lhs446=NonLinLarge!$H$9:$H$72</f>
        <v>#NAME?</v>
      </c>
    </row>
    <row r="392" spans="58:58" x14ac:dyDescent="0.25">
      <c r="BF392" t="e">
        <f>solver_lhs447=NonLinLarge!$H$73</f>
        <v>#NAME?</v>
      </c>
    </row>
    <row r="393" spans="58:58" x14ac:dyDescent="0.25">
      <c r="BF393" t="e">
        <f>solver_lhs448=NonLinLarge!$H$74</f>
        <v>#NAME?</v>
      </c>
    </row>
    <row r="394" spans="58:58" x14ac:dyDescent="0.25">
      <c r="BF394" t="e">
        <f>solver_lhs449=NonLinLarge!$H$75:$H$138</f>
        <v>#NAME?</v>
      </c>
    </row>
    <row r="395" spans="58:58" x14ac:dyDescent="0.25">
      <c r="BF395" t="e">
        <f>solver_lhs45=NonLinLarge!$H$73</f>
        <v>#NAME?</v>
      </c>
    </row>
    <row r="396" spans="58:58" x14ac:dyDescent="0.25">
      <c r="BF396" t="e">
        <f>solver_lhs450=NonLinLarge!$H$139</f>
        <v>#NAME?</v>
      </c>
    </row>
    <row r="397" spans="58:58" x14ac:dyDescent="0.25">
      <c r="BF397" t="e">
        <f>solver_lhs451=NonLinLarge!$H$7:$H$8</f>
        <v>#NAME?</v>
      </c>
    </row>
    <row r="398" spans="58:58" x14ac:dyDescent="0.25">
      <c r="BF398" t="e">
        <f>solver_lhs452=NonLinLarge!$H$9:$H$72</f>
        <v>#NAME?</v>
      </c>
    </row>
    <row r="399" spans="58:58" x14ac:dyDescent="0.25">
      <c r="BF399" t="e">
        <f>solver_lhs453=NonLinLarge!$H$73</f>
        <v>#NAME?</v>
      </c>
    </row>
    <row r="400" spans="58:58" x14ac:dyDescent="0.25">
      <c r="BF400" t="e">
        <f>solver_lhs454=NonLinLarge!$H$74</f>
        <v>#NAME?</v>
      </c>
    </row>
    <row r="401" spans="58:58" x14ac:dyDescent="0.25">
      <c r="BF401" t="e">
        <f>solver_lhs455=NonLinLarge!$H$75:$H$138</f>
        <v>#NAME?</v>
      </c>
    </row>
    <row r="402" spans="58:58" x14ac:dyDescent="0.25">
      <c r="BF402" t="e">
        <f>solver_lhs456=NonLinLarge!$H$139</f>
        <v>#NAME?</v>
      </c>
    </row>
    <row r="403" spans="58:58" x14ac:dyDescent="0.25">
      <c r="BF403" t="e">
        <f>solver_lhs457=NonLinLarge!$H$7:$H$8</f>
        <v>#NAME?</v>
      </c>
    </row>
    <row r="404" spans="58:58" x14ac:dyDescent="0.25">
      <c r="BF404" t="e">
        <f>solver_lhs458=NonLinLarge!$H$9:$H$72</f>
        <v>#NAME?</v>
      </c>
    </row>
    <row r="405" spans="58:58" x14ac:dyDescent="0.25">
      <c r="BF405" t="e">
        <f>solver_lhs459=NonLinLarge!$H$73</f>
        <v>#NAME?</v>
      </c>
    </row>
    <row r="406" spans="58:58" x14ac:dyDescent="0.25">
      <c r="BF406" t="e">
        <f>solver_lhs46=NonLinLarge!$H$74</f>
        <v>#NAME?</v>
      </c>
    </row>
    <row r="407" spans="58:58" x14ac:dyDescent="0.25">
      <c r="BF407" t="e">
        <f>solver_lhs460=NonLinLarge!$H$74</f>
        <v>#NAME?</v>
      </c>
    </row>
    <row r="408" spans="58:58" x14ac:dyDescent="0.25">
      <c r="BF408" t="e">
        <f>solver_lhs461=NonLinLarge!$H$75:$H$138</f>
        <v>#NAME?</v>
      </c>
    </row>
    <row r="409" spans="58:58" x14ac:dyDescent="0.25">
      <c r="BF409" t="e">
        <f>solver_lhs462=NonLinLarge!$H$139</f>
        <v>#NAME?</v>
      </c>
    </row>
    <row r="410" spans="58:58" x14ac:dyDescent="0.25">
      <c r="BF410" t="e">
        <f>solver_lhs463=NonLinLarge!$H$7:$H$8</f>
        <v>#NAME?</v>
      </c>
    </row>
    <row r="411" spans="58:58" x14ac:dyDescent="0.25">
      <c r="BF411" t="e">
        <f>solver_lhs464=NonLinLarge!$H$9:$H$72</f>
        <v>#NAME?</v>
      </c>
    </row>
    <row r="412" spans="58:58" x14ac:dyDescent="0.25">
      <c r="BF412" t="e">
        <f>solver_lhs465=NonLinLarge!$H$73</f>
        <v>#NAME?</v>
      </c>
    </row>
    <row r="413" spans="58:58" x14ac:dyDescent="0.25">
      <c r="BF413" t="e">
        <f>solver_lhs466=NonLinLarge!$H$74</f>
        <v>#NAME?</v>
      </c>
    </row>
    <row r="414" spans="58:58" x14ac:dyDescent="0.25">
      <c r="BF414" t="e">
        <f>solver_lhs467=NonLinLarge!$H$75:$H$138</f>
        <v>#NAME?</v>
      </c>
    </row>
    <row r="415" spans="58:58" x14ac:dyDescent="0.25">
      <c r="BF415" t="e">
        <f>solver_lhs468=NonLinLarge!$H$139</f>
        <v>#NAME?</v>
      </c>
    </row>
    <row r="416" spans="58:58" x14ac:dyDescent="0.25">
      <c r="BF416" t="e">
        <f>solver_lhs469=NonLinLarge!$H$7:$H$8</f>
        <v>#NAME?</v>
      </c>
    </row>
    <row r="417" spans="58:58" x14ac:dyDescent="0.25">
      <c r="BF417" t="e">
        <f>solver_lhs47=NonLinLarge!$H$75:$H$138</f>
        <v>#NAME?</v>
      </c>
    </row>
    <row r="418" spans="58:58" x14ac:dyDescent="0.25">
      <c r="BF418" t="e">
        <f>solver_lhs470=NonLinLarge!$H$9:$H$72</f>
        <v>#NAME?</v>
      </c>
    </row>
    <row r="419" spans="58:58" x14ac:dyDescent="0.25">
      <c r="BF419" t="e">
        <f>solver_lhs471=NonLinLarge!$H$73</f>
        <v>#NAME?</v>
      </c>
    </row>
    <row r="420" spans="58:58" x14ac:dyDescent="0.25">
      <c r="BF420" t="e">
        <f>solver_lhs472=NonLinLarge!$H$74</f>
        <v>#NAME?</v>
      </c>
    </row>
    <row r="421" spans="58:58" x14ac:dyDescent="0.25">
      <c r="BF421" t="e">
        <f>solver_lhs473=NonLinLarge!$H$75:$H$138</f>
        <v>#NAME?</v>
      </c>
    </row>
    <row r="422" spans="58:58" x14ac:dyDescent="0.25">
      <c r="BF422" t="e">
        <f>solver_lhs474=NonLinLarge!$H$139</f>
        <v>#NAME?</v>
      </c>
    </row>
    <row r="423" spans="58:58" x14ac:dyDescent="0.25">
      <c r="BF423" t="e">
        <f>solver_lhs475=NonLinLarge!$H$7:$H$8</f>
        <v>#NAME?</v>
      </c>
    </row>
    <row r="424" spans="58:58" x14ac:dyDescent="0.25">
      <c r="BF424" t="e">
        <f>solver_lhs476=NonLinLarge!$H$9:$H$72</f>
        <v>#NAME?</v>
      </c>
    </row>
    <row r="425" spans="58:58" x14ac:dyDescent="0.25">
      <c r="BF425" t="e">
        <f>solver_lhs477=NonLinLarge!$H$73</f>
        <v>#NAME?</v>
      </c>
    </row>
    <row r="426" spans="58:58" x14ac:dyDescent="0.25">
      <c r="BF426" t="e">
        <f>solver_lhs478=NonLinLarge!$H$74</f>
        <v>#NAME?</v>
      </c>
    </row>
    <row r="427" spans="58:58" x14ac:dyDescent="0.25">
      <c r="BF427" t="e">
        <f>solver_lhs479=NonLinLarge!$H$75:$H$138</f>
        <v>#NAME?</v>
      </c>
    </row>
    <row r="428" spans="58:58" x14ac:dyDescent="0.25">
      <c r="BF428" t="e">
        <f>solver_lhs48=NonLinLarge!$H$139</f>
        <v>#NAME?</v>
      </c>
    </row>
    <row r="429" spans="58:58" x14ac:dyDescent="0.25">
      <c r="BF429" t="e">
        <f>solver_lhs480=NonLinLarge!$H$139</f>
        <v>#NAME?</v>
      </c>
    </row>
    <row r="430" spans="58:58" x14ac:dyDescent="0.25">
      <c r="BF430" t="e">
        <f>solver_lhs481=NonLinLarge!$H$7:$H$8</f>
        <v>#NAME?</v>
      </c>
    </row>
    <row r="431" spans="58:58" x14ac:dyDescent="0.25">
      <c r="BF431" t="e">
        <f>solver_lhs482=NonLinLarge!$H$9:$H$72</f>
        <v>#NAME?</v>
      </c>
    </row>
    <row r="432" spans="58:58" x14ac:dyDescent="0.25">
      <c r="BF432" t="e">
        <f>solver_lhs483=NonLinLarge!$H$73</f>
        <v>#NAME?</v>
      </c>
    </row>
    <row r="433" spans="58:58" x14ac:dyDescent="0.25">
      <c r="BF433" t="e">
        <f>solver_lhs484=NonLinLarge!$H$74</f>
        <v>#NAME?</v>
      </c>
    </row>
    <row r="434" spans="58:58" x14ac:dyDescent="0.25">
      <c r="BF434" t="e">
        <f>solver_lhs485=NonLinLarge!$H$75:$H$138</f>
        <v>#NAME?</v>
      </c>
    </row>
    <row r="435" spans="58:58" x14ac:dyDescent="0.25">
      <c r="BF435" t="e">
        <f>solver_lhs486=NonLinLarge!$H$139</f>
        <v>#NAME?</v>
      </c>
    </row>
    <row r="436" spans="58:58" x14ac:dyDescent="0.25">
      <c r="BF436" t="e">
        <f>solver_lhs487=NonLinLarge!$H$7:$H$8</f>
        <v>#NAME?</v>
      </c>
    </row>
    <row r="437" spans="58:58" x14ac:dyDescent="0.25">
      <c r="BF437" t="e">
        <f>solver_lhs488=NonLinLarge!$H$9:$H$72</f>
        <v>#NAME?</v>
      </c>
    </row>
    <row r="438" spans="58:58" x14ac:dyDescent="0.25">
      <c r="BF438" t="e">
        <f>solver_lhs489=NonLinLarge!$H$73</f>
        <v>#NAME?</v>
      </c>
    </row>
    <row r="439" spans="58:58" x14ac:dyDescent="0.25">
      <c r="BF439" t="e">
        <f>solver_lhs49=NonLinLarge!$H$7:$H$8</f>
        <v>#NAME?</v>
      </c>
    </row>
    <row r="440" spans="58:58" x14ac:dyDescent="0.25">
      <c r="BF440" t="e">
        <f>solver_lhs490=NonLinLarge!$H$74</f>
        <v>#NAME?</v>
      </c>
    </row>
    <row r="441" spans="58:58" x14ac:dyDescent="0.25">
      <c r="BF441" t="e">
        <f>solver_lhs491=NonLinLarge!$H$75:$H$138</f>
        <v>#NAME?</v>
      </c>
    </row>
    <row r="442" spans="58:58" x14ac:dyDescent="0.25">
      <c r="BF442" t="e">
        <f>solver_lhs492=NonLinLarge!$H$139</f>
        <v>#NAME?</v>
      </c>
    </row>
    <row r="443" spans="58:58" x14ac:dyDescent="0.25">
      <c r="BF443" t="e">
        <f>solver_lhs493=NonLinLarge!$H$7:$H$8</f>
        <v>#NAME?</v>
      </c>
    </row>
    <row r="444" spans="58:58" x14ac:dyDescent="0.25">
      <c r="BF444" t="e">
        <f>solver_lhs494=NonLinLarge!$H$9:$H$72</f>
        <v>#NAME?</v>
      </c>
    </row>
    <row r="445" spans="58:58" x14ac:dyDescent="0.25">
      <c r="BF445" t="e">
        <f>solver_lhs495=NonLinLarge!$H$73</f>
        <v>#NAME?</v>
      </c>
    </row>
    <row r="446" spans="58:58" x14ac:dyDescent="0.25">
      <c r="BF446" t="e">
        <f>solver_lhs496=NonLinLarge!$H$74</f>
        <v>#NAME?</v>
      </c>
    </row>
    <row r="447" spans="58:58" x14ac:dyDescent="0.25">
      <c r="BF447" t="e">
        <f>solver_lhs497=NonLinLarge!$H$75:$H$138</f>
        <v>#NAME?</v>
      </c>
    </row>
    <row r="448" spans="58:58" x14ac:dyDescent="0.25">
      <c r="BF448" t="e">
        <f>solver_lhs498=NonLinLarge!$H$139</f>
        <v>#NAME?</v>
      </c>
    </row>
    <row r="449" spans="58:58" x14ac:dyDescent="0.25">
      <c r="BF449" t="e">
        <f>solver_lhs499=NonLinLarge!$H$7:$H$8</f>
        <v>#NAME?</v>
      </c>
    </row>
    <row r="450" spans="58:58" x14ac:dyDescent="0.25">
      <c r="BF450" t="e">
        <f>solver_lhs5=NonLinLarge!$H$75:$H$138</f>
        <v>#NAME?</v>
      </c>
    </row>
    <row r="451" spans="58:58" x14ac:dyDescent="0.25">
      <c r="BF451" t="e">
        <f>solver_lhs50=NonLinLarge!$H$9:$H$72</f>
        <v>#NAME?</v>
      </c>
    </row>
    <row r="452" spans="58:58" x14ac:dyDescent="0.25">
      <c r="BF452" t="e">
        <f>solver_lhs500=NonLinLarge!$H$9:$H$72</f>
        <v>#NAME?</v>
      </c>
    </row>
    <row r="453" spans="58:58" x14ac:dyDescent="0.25">
      <c r="BF453" t="e">
        <f>solver_lhs501=NonLinLarge!$H$73</f>
        <v>#NAME?</v>
      </c>
    </row>
    <row r="454" spans="58:58" x14ac:dyDescent="0.25">
      <c r="BF454" t="e">
        <f>solver_lhs502=NonLinLarge!$H$74</f>
        <v>#NAME?</v>
      </c>
    </row>
    <row r="455" spans="58:58" x14ac:dyDescent="0.25">
      <c r="BF455" t="e">
        <f>solver_lhs503=NonLinLarge!$H$75:$H$138</f>
        <v>#NAME?</v>
      </c>
    </row>
    <row r="456" spans="58:58" x14ac:dyDescent="0.25">
      <c r="BF456" t="e">
        <f>solver_lhs504=NonLinLarge!$H$139</f>
        <v>#NAME?</v>
      </c>
    </row>
    <row r="457" spans="58:58" x14ac:dyDescent="0.25">
      <c r="BF457" t="e">
        <f>solver_lhs505=NonLinLarge!$H$7:$H$8</f>
        <v>#NAME?</v>
      </c>
    </row>
    <row r="458" spans="58:58" x14ac:dyDescent="0.25">
      <c r="BF458" t="e">
        <f>solver_lhs506=NonLinLarge!$H$9:$H$72</f>
        <v>#NAME?</v>
      </c>
    </row>
    <row r="459" spans="58:58" x14ac:dyDescent="0.25">
      <c r="BF459" t="e">
        <f>solver_lhs507=NonLinLarge!$H$73</f>
        <v>#NAME?</v>
      </c>
    </row>
    <row r="460" spans="58:58" x14ac:dyDescent="0.25">
      <c r="BF460" t="e">
        <f>solver_lhs508=NonLinLarge!$H$74</f>
        <v>#NAME?</v>
      </c>
    </row>
    <row r="461" spans="58:58" x14ac:dyDescent="0.25">
      <c r="BF461" t="e">
        <f>solver_lhs509=NonLinLarge!$H$75:$H$138</f>
        <v>#NAME?</v>
      </c>
    </row>
    <row r="462" spans="58:58" x14ac:dyDescent="0.25">
      <c r="BF462" t="e">
        <f>solver_lhs51=NonLinLarge!$H$73</f>
        <v>#NAME?</v>
      </c>
    </row>
    <row r="463" spans="58:58" x14ac:dyDescent="0.25">
      <c r="BF463" t="e">
        <f>solver_lhs510=NonLinLarge!$H$139</f>
        <v>#NAME?</v>
      </c>
    </row>
    <row r="464" spans="58:58" x14ac:dyDescent="0.25">
      <c r="BF464" t="e">
        <f>solver_lhs511=NonLinLarge!$H$7:$H$8</f>
        <v>#NAME?</v>
      </c>
    </row>
    <row r="465" spans="58:58" x14ac:dyDescent="0.25">
      <c r="BF465" t="e">
        <f>solver_lhs512=NonLinLarge!$H$9:$H$72</f>
        <v>#NAME?</v>
      </c>
    </row>
    <row r="466" spans="58:58" x14ac:dyDescent="0.25">
      <c r="BF466" t="e">
        <f>solver_lhs513=NonLinLarge!$H$73</f>
        <v>#NAME?</v>
      </c>
    </row>
    <row r="467" spans="58:58" x14ac:dyDescent="0.25">
      <c r="BF467" t="e">
        <f>solver_lhs514=NonLinLarge!$H$74</f>
        <v>#NAME?</v>
      </c>
    </row>
    <row r="468" spans="58:58" x14ac:dyDescent="0.25">
      <c r="BF468" t="e">
        <f>solver_lhs515=NonLinLarge!$H$75:$H$138</f>
        <v>#NAME?</v>
      </c>
    </row>
    <row r="469" spans="58:58" x14ac:dyDescent="0.25">
      <c r="BF469" t="e">
        <f>solver_lhs516=NonLinLarge!$H$139</f>
        <v>#NAME?</v>
      </c>
    </row>
    <row r="470" spans="58:58" x14ac:dyDescent="0.25">
      <c r="BF470" t="e">
        <f>solver_lhs517=NonLinLarge!$H$7:$H$8</f>
        <v>#NAME?</v>
      </c>
    </row>
    <row r="471" spans="58:58" x14ac:dyDescent="0.25">
      <c r="BF471" t="e">
        <f>solver_lhs518=NonLinLarge!$H$9:$H$72</f>
        <v>#NAME?</v>
      </c>
    </row>
    <row r="472" spans="58:58" x14ac:dyDescent="0.25">
      <c r="BF472" t="e">
        <f>solver_lhs519=NonLinLarge!$H$73</f>
        <v>#NAME?</v>
      </c>
    </row>
    <row r="473" spans="58:58" x14ac:dyDescent="0.25">
      <c r="BF473" t="e">
        <f>solver_lhs52=NonLinLarge!$H$74</f>
        <v>#NAME?</v>
      </c>
    </row>
    <row r="474" spans="58:58" x14ac:dyDescent="0.25">
      <c r="BF474" t="e">
        <f>solver_lhs520=NonLinLarge!$H$74</f>
        <v>#NAME?</v>
      </c>
    </row>
    <row r="475" spans="58:58" x14ac:dyDescent="0.25">
      <c r="BF475" t="e">
        <f>solver_lhs521=NonLinLarge!$H$75:$H$138</f>
        <v>#NAME?</v>
      </c>
    </row>
    <row r="476" spans="58:58" x14ac:dyDescent="0.25">
      <c r="BF476" t="e">
        <f>solver_lhs522=NonLinLarge!$H$139</f>
        <v>#NAME?</v>
      </c>
    </row>
    <row r="477" spans="58:58" x14ac:dyDescent="0.25">
      <c r="BF477" t="e">
        <f>solver_lhs523=NonLinLarge!$H$7:$H$8</f>
        <v>#NAME?</v>
      </c>
    </row>
    <row r="478" spans="58:58" x14ac:dyDescent="0.25">
      <c r="BF478" t="e">
        <f>solver_lhs524=NonLinLarge!$H$9:$H$72</f>
        <v>#NAME?</v>
      </c>
    </row>
    <row r="479" spans="58:58" x14ac:dyDescent="0.25">
      <c r="BF479" t="e">
        <f>solver_lhs525=NonLinLarge!$H$73</f>
        <v>#NAME?</v>
      </c>
    </row>
    <row r="480" spans="58:58" x14ac:dyDescent="0.25">
      <c r="BF480" t="e">
        <f>solver_lhs526=NonLinLarge!$H$74</f>
        <v>#NAME?</v>
      </c>
    </row>
    <row r="481" spans="58:58" x14ac:dyDescent="0.25">
      <c r="BF481" t="e">
        <f>solver_lhs527=NonLinLarge!$H$75:$H$138</f>
        <v>#NAME?</v>
      </c>
    </row>
    <row r="482" spans="58:58" x14ac:dyDescent="0.25">
      <c r="BF482" t="e">
        <f>solver_lhs528=NonLinLarge!$H$139</f>
        <v>#NAME?</v>
      </c>
    </row>
    <row r="483" spans="58:58" x14ac:dyDescent="0.25">
      <c r="BF483" t="e">
        <f>solver_lhs529=NonLinLarge!$H$7:$H$8</f>
        <v>#NAME?</v>
      </c>
    </row>
    <row r="484" spans="58:58" x14ac:dyDescent="0.25">
      <c r="BF484" t="e">
        <f>solver_lhs53=NonLinLarge!$H$75:$H$138</f>
        <v>#NAME?</v>
      </c>
    </row>
    <row r="485" spans="58:58" x14ac:dyDescent="0.25">
      <c r="BF485" t="e">
        <f>solver_lhs530=NonLinLarge!$H$9:$H$72</f>
        <v>#NAME?</v>
      </c>
    </row>
    <row r="486" spans="58:58" x14ac:dyDescent="0.25">
      <c r="BF486" t="e">
        <f>solver_lhs531=NonLinLarge!$H$73</f>
        <v>#NAME?</v>
      </c>
    </row>
    <row r="487" spans="58:58" x14ac:dyDescent="0.25">
      <c r="BF487" t="e">
        <f>solver_lhs532=NonLinLarge!$H$74</f>
        <v>#NAME?</v>
      </c>
    </row>
    <row r="488" spans="58:58" x14ac:dyDescent="0.25">
      <c r="BF488" t="e">
        <f>solver_lhs533=NonLinLarge!$H$75:$H$138</f>
        <v>#NAME?</v>
      </c>
    </row>
    <row r="489" spans="58:58" x14ac:dyDescent="0.25">
      <c r="BF489" t="e">
        <f>solver_lhs534=NonLinLarge!$H$139</f>
        <v>#NAME?</v>
      </c>
    </row>
    <row r="490" spans="58:58" x14ac:dyDescent="0.25">
      <c r="BF490" t="e">
        <f>solver_lhs535=NonLinLarge!$H$7:$H$8</f>
        <v>#NAME?</v>
      </c>
    </row>
    <row r="491" spans="58:58" x14ac:dyDescent="0.25">
      <c r="BF491" t="e">
        <f>solver_lhs536=NonLinLarge!$H$9:$H$72</f>
        <v>#NAME?</v>
      </c>
    </row>
    <row r="492" spans="58:58" x14ac:dyDescent="0.25">
      <c r="BF492" t="e">
        <f>solver_lhs537=NonLinLarge!$H$73</f>
        <v>#NAME?</v>
      </c>
    </row>
    <row r="493" spans="58:58" x14ac:dyDescent="0.25">
      <c r="BF493" t="e">
        <f>solver_lhs538=NonLinLarge!$H$74</f>
        <v>#NAME?</v>
      </c>
    </row>
    <row r="494" spans="58:58" x14ac:dyDescent="0.25">
      <c r="BF494" t="e">
        <f>solver_lhs539=NonLinLarge!$H$75:$H$138</f>
        <v>#NAME?</v>
      </c>
    </row>
    <row r="495" spans="58:58" x14ac:dyDescent="0.25">
      <c r="BF495" t="e">
        <f>solver_lhs54=NonLinLarge!$H$139</f>
        <v>#NAME?</v>
      </c>
    </row>
    <row r="496" spans="58:58" x14ac:dyDescent="0.25">
      <c r="BF496" t="e">
        <f>solver_lhs540=NonLinLarge!$H$139</f>
        <v>#NAME?</v>
      </c>
    </row>
    <row r="497" spans="58:58" x14ac:dyDescent="0.25">
      <c r="BF497" t="e">
        <f>solver_lhs541=NonLinLarge!$H$7:$H$8</f>
        <v>#NAME?</v>
      </c>
    </row>
    <row r="498" spans="58:58" x14ac:dyDescent="0.25">
      <c r="BF498" t="e">
        <f>solver_lhs542=NonLinLarge!$H$9:$H$72</f>
        <v>#NAME?</v>
      </c>
    </row>
    <row r="499" spans="58:58" x14ac:dyDescent="0.25">
      <c r="BF499" t="e">
        <f>solver_lhs543=NonLinLarge!$H$73</f>
        <v>#NAME?</v>
      </c>
    </row>
    <row r="500" spans="58:58" x14ac:dyDescent="0.25">
      <c r="BF500" t="e">
        <f>solver_lhs544=NonLinLarge!$H$74</f>
        <v>#NAME?</v>
      </c>
    </row>
    <row r="501" spans="58:58" x14ac:dyDescent="0.25">
      <c r="BF501" t="e">
        <f>solver_lhs545=NonLinLarge!$H$75:$H$138</f>
        <v>#NAME?</v>
      </c>
    </row>
    <row r="502" spans="58:58" x14ac:dyDescent="0.25">
      <c r="BF502" t="e">
        <f>solver_lhs546=NonLinLarge!$H$139</f>
        <v>#NAME?</v>
      </c>
    </row>
    <row r="503" spans="58:58" x14ac:dyDescent="0.25">
      <c r="BF503" t="e">
        <f>solver_lhs547=NonLinLarge!$H$7:$H$8</f>
        <v>#NAME?</v>
      </c>
    </row>
    <row r="504" spans="58:58" x14ac:dyDescent="0.25">
      <c r="BF504" t="e">
        <f>solver_lhs548=NonLinLarge!$H$9:$H$72</f>
        <v>#NAME?</v>
      </c>
    </row>
    <row r="505" spans="58:58" x14ac:dyDescent="0.25">
      <c r="BF505" t="e">
        <f>solver_lhs549=NonLinLarge!$H$73</f>
        <v>#NAME?</v>
      </c>
    </row>
    <row r="506" spans="58:58" x14ac:dyDescent="0.25">
      <c r="BF506" t="e">
        <f>solver_lhs55=NonLinLarge!$H$7:$H$8</f>
        <v>#NAME?</v>
      </c>
    </row>
    <row r="507" spans="58:58" x14ac:dyDescent="0.25">
      <c r="BF507" t="e">
        <f>solver_lhs550=NonLinLarge!$H$74</f>
        <v>#NAME?</v>
      </c>
    </row>
    <row r="508" spans="58:58" x14ac:dyDescent="0.25">
      <c r="BF508" t="e">
        <f>solver_lhs551=NonLinLarge!$H$75:$H$138</f>
        <v>#NAME?</v>
      </c>
    </row>
    <row r="509" spans="58:58" x14ac:dyDescent="0.25">
      <c r="BF509" t="e">
        <f>solver_lhs552=NonLinLarge!$H$139</f>
        <v>#NAME?</v>
      </c>
    </row>
    <row r="510" spans="58:58" x14ac:dyDescent="0.25">
      <c r="BF510" t="e">
        <f>solver_lhs553=NonLinLarge!$H$7:$H$8</f>
        <v>#NAME?</v>
      </c>
    </row>
    <row r="511" spans="58:58" x14ac:dyDescent="0.25">
      <c r="BF511" t="e">
        <f>solver_lhs554=NonLinLarge!$H$9:$H$72</f>
        <v>#NAME?</v>
      </c>
    </row>
    <row r="512" spans="58:58" x14ac:dyDescent="0.25">
      <c r="BF512" t="e">
        <f>solver_lhs555=NonLinLarge!$H$73</f>
        <v>#NAME?</v>
      </c>
    </row>
    <row r="513" spans="58:58" x14ac:dyDescent="0.25">
      <c r="BF513" t="e">
        <f>solver_lhs556=NonLinLarge!$H$74</f>
        <v>#NAME?</v>
      </c>
    </row>
    <row r="514" spans="58:58" x14ac:dyDescent="0.25">
      <c r="BF514" t="e">
        <f>solver_lhs557=NonLinLarge!$H$75:$H$138</f>
        <v>#NAME?</v>
      </c>
    </row>
    <row r="515" spans="58:58" x14ac:dyDescent="0.25">
      <c r="BF515" t="e">
        <f>solver_lhs558=NonLinLarge!$H$139</f>
        <v>#NAME?</v>
      </c>
    </row>
    <row r="516" spans="58:58" x14ac:dyDescent="0.25">
      <c r="BF516" t="e">
        <f>solver_lhs559=NonLinLarge!$H$7:$H$8</f>
        <v>#NAME?</v>
      </c>
    </row>
    <row r="517" spans="58:58" x14ac:dyDescent="0.25">
      <c r="BF517" t="e">
        <f>solver_lhs56=NonLinLarge!$H$9:$H$72</f>
        <v>#NAME?</v>
      </c>
    </row>
    <row r="518" spans="58:58" x14ac:dyDescent="0.25">
      <c r="BF518" t="e">
        <f>solver_lhs560=NonLinLarge!$H$9:$H$72</f>
        <v>#NAME?</v>
      </c>
    </row>
    <row r="519" spans="58:58" x14ac:dyDescent="0.25">
      <c r="BF519" t="e">
        <f>solver_lhs561=NonLinLarge!$H$73</f>
        <v>#NAME?</v>
      </c>
    </row>
    <row r="520" spans="58:58" x14ac:dyDescent="0.25">
      <c r="BF520" t="e">
        <f>solver_lhs562=NonLinLarge!$H$74</f>
        <v>#NAME?</v>
      </c>
    </row>
    <row r="521" spans="58:58" x14ac:dyDescent="0.25">
      <c r="BF521" t="e">
        <f>solver_lhs563=NonLinLarge!$H$75:$H$138</f>
        <v>#NAME?</v>
      </c>
    </row>
    <row r="522" spans="58:58" x14ac:dyDescent="0.25">
      <c r="BF522" t="e">
        <f>solver_lhs564=NonLinLarge!$H$139</f>
        <v>#NAME?</v>
      </c>
    </row>
    <row r="523" spans="58:58" x14ac:dyDescent="0.25">
      <c r="BF523" t="e">
        <f>solver_lhs565=NonLinLarge!$H$7:$H$8</f>
        <v>#NAME?</v>
      </c>
    </row>
    <row r="524" spans="58:58" x14ac:dyDescent="0.25">
      <c r="BF524" t="e">
        <f>solver_lhs566=NonLinLarge!$H$9:$H$72</f>
        <v>#NAME?</v>
      </c>
    </row>
    <row r="525" spans="58:58" x14ac:dyDescent="0.25">
      <c r="BF525" t="e">
        <f>solver_lhs567=NonLinLarge!$H$73</f>
        <v>#NAME?</v>
      </c>
    </row>
    <row r="526" spans="58:58" x14ac:dyDescent="0.25">
      <c r="BF526" t="e">
        <f>solver_lhs568=NonLinLarge!$H$74</f>
        <v>#NAME?</v>
      </c>
    </row>
    <row r="527" spans="58:58" x14ac:dyDescent="0.25">
      <c r="BF527" t="e">
        <f>solver_lhs569=NonLinLarge!$H$75:$H$138</f>
        <v>#NAME?</v>
      </c>
    </row>
    <row r="528" spans="58:58" x14ac:dyDescent="0.25">
      <c r="BF528" t="e">
        <f>solver_lhs57=NonLinLarge!$H$73</f>
        <v>#NAME?</v>
      </c>
    </row>
    <row r="529" spans="58:58" x14ac:dyDescent="0.25">
      <c r="BF529" t="e">
        <f>solver_lhs570=NonLinLarge!$H$139</f>
        <v>#NAME?</v>
      </c>
    </row>
    <row r="530" spans="58:58" x14ac:dyDescent="0.25">
      <c r="BF530" t="e">
        <f>solver_lhs571=NonLinLarge!$H$7:$H$8</f>
        <v>#NAME?</v>
      </c>
    </row>
    <row r="531" spans="58:58" x14ac:dyDescent="0.25">
      <c r="BF531" t="e">
        <f>solver_lhs572=NonLinLarge!$H$9:$H$72</f>
        <v>#NAME?</v>
      </c>
    </row>
    <row r="532" spans="58:58" x14ac:dyDescent="0.25">
      <c r="BF532" t="e">
        <f>solver_lhs573=NonLinLarge!$H$73</f>
        <v>#NAME?</v>
      </c>
    </row>
    <row r="533" spans="58:58" x14ac:dyDescent="0.25">
      <c r="BF533" t="e">
        <f>solver_lhs574=NonLinLarge!$H$74</f>
        <v>#NAME?</v>
      </c>
    </row>
    <row r="534" spans="58:58" x14ac:dyDescent="0.25">
      <c r="BF534" t="e">
        <f>solver_lhs575=NonLinLarge!$H$75:$H$138</f>
        <v>#NAME?</v>
      </c>
    </row>
    <row r="535" spans="58:58" x14ac:dyDescent="0.25">
      <c r="BF535" t="e">
        <f>solver_lhs576=NonLinLarge!$H$139</f>
        <v>#NAME?</v>
      </c>
    </row>
    <row r="536" spans="58:58" x14ac:dyDescent="0.25">
      <c r="BF536" t="e">
        <f>solver_lhs577=NonLinLarge!$H$7:$H$8</f>
        <v>#NAME?</v>
      </c>
    </row>
    <row r="537" spans="58:58" x14ac:dyDescent="0.25">
      <c r="BF537" t="e">
        <f>solver_lhs578=NonLinLarge!$H$9:$H$72</f>
        <v>#NAME?</v>
      </c>
    </row>
    <row r="538" spans="58:58" x14ac:dyDescent="0.25">
      <c r="BF538" t="e">
        <f>solver_lhs579=NonLinLarge!$H$73</f>
        <v>#NAME?</v>
      </c>
    </row>
    <row r="539" spans="58:58" x14ac:dyDescent="0.25">
      <c r="BF539" t="e">
        <f>solver_lhs58=NonLinLarge!$H$74</f>
        <v>#NAME?</v>
      </c>
    </row>
    <row r="540" spans="58:58" x14ac:dyDescent="0.25">
      <c r="BF540" t="e">
        <f>solver_lhs580=NonLinLarge!$H$74</f>
        <v>#NAME?</v>
      </c>
    </row>
    <row r="541" spans="58:58" x14ac:dyDescent="0.25">
      <c r="BF541" t="e">
        <f>solver_lhs581=NonLinLarge!$H$75:$H$138</f>
        <v>#NAME?</v>
      </c>
    </row>
    <row r="542" spans="58:58" x14ac:dyDescent="0.25">
      <c r="BF542" t="e">
        <f>solver_lhs582=NonLinLarge!$H$139</f>
        <v>#NAME?</v>
      </c>
    </row>
    <row r="543" spans="58:58" x14ac:dyDescent="0.25">
      <c r="BF543" t="e">
        <f>solver_lhs583=NonLinLarge!$H$7:$H$8</f>
        <v>#NAME?</v>
      </c>
    </row>
    <row r="544" spans="58:58" x14ac:dyDescent="0.25">
      <c r="BF544" t="e">
        <f>solver_lhs584=NonLinLarge!$H$9:$H$72</f>
        <v>#NAME?</v>
      </c>
    </row>
    <row r="545" spans="58:58" x14ac:dyDescent="0.25">
      <c r="BF545" t="e">
        <f>solver_lhs585=NonLinLarge!$H$73</f>
        <v>#NAME?</v>
      </c>
    </row>
    <row r="546" spans="58:58" x14ac:dyDescent="0.25">
      <c r="BF546" t="e">
        <f>solver_lhs586=NonLinLarge!$H$74</f>
        <v>#NAME?</v>
      </c>
    </row>
    <row r="547" spans="58:58" x14ac:dyDescent="0.25">
      <c r="BF547" t="e">
        <f>solver_lhs587=NonLinLarge!$H$75:$H$138</f>
        <v>#NAME?</v>
      </c>
    </row>
    <row r="548" spans="58:58" x14ac:dyDescent="0.25">
      <c r="BF548" t="e">
        <f>solver_lhs588=NonLinLarge!$H$139</f>
        <v>#NAME?</v>
      </c>
    </row>
    <row r="549" spans="58:58" x14ac:dyDescent="0.25">
      <c r="BF549" t="e">
        <f>solver_lhs589=NonLinLarge!$H$7:$H$8</f>
        <v>#NAME?</v>
      </c>
    </row>
    <row r="550" spans="58:58" x14ac:dyDescent="0.25">
      <c r="BF550" t="e">
        <f>solver_lhs59=NonLinLarge!$H$75:$H$138</f>
        <v>#NAME?</v>
      </c>
    </row>
    <row r="551" spans="58:58" x14ac:dyDescent="0.25">
      <c r="BF551" t="e">
        <f>solver_lhs590=NonLinLarge!$H$9:$H$72</f>
        <v>#NAME?</v>
      </c>
    </row>
    <row r="552" spans="58:58" x14ac:dyDescent="0.25">
      <c r="BF552" t="e">
        <f>solver_lhs591=NonLinLarge!$H$73</f>
        <v>#NAME?</v>
      </c>
    </row>
    <row r="553" spans="58:58" x14ac:dyDescent="0.25">
      <c r="BF553" t="e">
        <f>solver_lhs592=NonLinLarge!$H$74</f>
        <v>#NAME?</v>
      </c>
    </row>
    <row r="554" spans="58:58" x14ac:dyDescent="0.25">
      <c r="BF554" t="e">
        <f>solver_lhs593=NonLinLarge!$H$75:$H$138</f>
        <v>#NAME?</v>
      </c>
    </row>
    <row r="555" spans="58:58" x14ac:dyDescent="0.25">
      <c r="BF555" t="e">
        <f>solver_lhs594=NonLinLarge!$H$139</f>
        <v>#NAME?</v>
      </c>
    </row>
    <row r="556" spans="58:58" x14ac:dyDescent="0.25">
      <c r="BF556" t="e">
        <f>solver_lhs595=NonLinLarge!$H$7:$H$8</f>
        <v>#NAME?</v>
      </c>
    </row>
    <row r="557" spans="58:58" x14ac:dyDescent="0.25">
      <c r="BF557" t="e">
        <f>solver_lhs596=NonLinLarge!$H$9:$H$72</f>
        <v>#NAME?</v>
      </c>
    </row>
    <row r="558" spans="58:58" x14ac:dyDescent="0.25">
      <c r="BF558" t="e">
        <f>solver_lhs597=NonLinLarge!$H$73</f>
        <v>#NAME?</v>
      </c>
    </row>
    <row r="559" spans="58:58" x14ac:dyDescent="0.25">
      <c r="BF559" t="e">
        <f>solver_lhs598=NonLinLarge!$H$74</f>
        <v>#NAME?</v>
      </c>
    </row>
    <row r="560" spans="58:58" x14ac:dyDescent="0.25">
      <c r="BF560" t="e">
        <f>solver_lhs599=NonLinLarge!$H$75:$H$138</f>
        <v>#NAME?</v>
      </c>
    </row>
    <row r="561" spans="58:58" x14ac:dyDescent="0.25">
      <c r="BF561" t="e">
        <f>solver_lhs6=NonLinLarge!$H$139</f>
        <v>#NAME?</v>
      </c>
    </row>
    <row r="562" spans="58:58" x14ac:dyDescent="0.25">
      <c r="BF562" t="e">
        <f>solver_lhs60=NonLinLarge!$H$139</f>
        <v>#NAME?</v>
      </c>
    </row>
    <row r="563" spans="58:58" x14ac:dyDescent="0.25">
      <c r="BF563" t="e">
        <f>solver_lhs600=NonLinLarge!$H$139</f>
        <v>#NAME?</v>
      </c>
    </row>
    <row r="564" spans="58:58" x14ac:dyDescent="0.25">
      <c r="BF564" t="e">
        <f>solver_lhs61=NonLinLarge!$H$7:$H$8</f>
        <v>#NAME?</v>
      </c>
    </row>
    <row r="565" spans="58:58" x14ac:dyDescent="0.25">
      <c r="BF565" t="e">
        <f>solver_lhs62=NonLinLarge!$H$9:$H$72</f>
        <v>#NAME?</v>
      </c>
    </row>
    <row r="566" spans="58:58" x14ac:dyDescent="0.25">
      <c r="BF566" t="e">
        <f>solver_lhs63=NonLinLarge!$H$73</f>
        <v>#NAME?</v>
      </c>
    </row>
    <row r="567" spans="58:58" x14ac:dyDescent="0.25">
      <c r="BF567" t="e">
        <f>solver_lhs64=NonLinLarge!$H$74</f>
        <v>#NAME?</v>
      </c>
    </row>
    <row r="568" spans="58:58" x14ac:dyDescent="0.25">
      <c r="BF568" t="e">
        <f>solver_lhs65=NonLinLarge!$H$75:$H$138</f>
        <v>#NAME?</v>
      </c>
    </row>
    <row r="569" spans="58:58" x14ac:dyDescent="0.25">
      <c r="BF569" t="e">
        <f>solver_lhs66=NonLinLarge!$H$139</f>
        <v>#NAME?</v>
      </c>
    </row>
    <row r="570" spans="58:58" x14ac:dyDescent="0.25">
      <c r="BF570" t="e">
        <f>solver_lhs67=NonLinLarge!$H$7:$H$8</f>
        <v>#NAME?</v>
      </c>
    </row>
    <row r="571" spans="58:58" x14ac:dyDescent="0.25">
      <c r="BF571" t="e">
        <f>solver_lhs68=NonLinLarge!$H$9:$H$72</f>
        <v>#NAME?</v>
      </c>
    </row>
    <row r="572" spans="58:58" x14ac:dyDescent="0.25">
      <c r="BF572" t="e">
        <f>solver_lhs69=NonLinLarge!$H$73</f>
        <v>#NAME?</v>
      </c>
    </row>
    <row r="573" spans="58:58" x14ac:dyDescent="0.25">
      <c r="BF573" t="e">
        <f>solver_lhs7=NonLinLarge!$H$7:$H$8</f>
        <v>#NAME?</v>
      </c>
    </row>
    <row r="574" spans="58:58" x14ac:dyDescent="0.25">
      <c r="BF574" t="e">
        <f>solver_lhs70=NonLinLarge!$H$74</f>
        <v>#NAME?</v>
      </c>
    </row>
    <row r="575" spans="58:58" x14ac:dyDescent="0.25">
      <c r="BF575" t="e">
        <f>solver_lhs71=NonLinLarge!$H$75:$H$138</f>
        <v>#NAME?</v>
      </c>
    </row>
    <row r="576" spans="58:58" x14ac:dyDescent="0.25">
      <c r="BF576" t="e">
        <f>solver_lhs72=NonLinLarge!$H$139</f>
        <v>#NAME?</v>
      </c>
    </row>
    <row r="577" spans="58:58" x14ac:dyDescent="0.25">
      <c r="BF577" t="e">
        <f>solver_lhs73=NonLinLarge!$H$7:$H$8</f>
        <v>#NAME?</v>
      </c>
    </row>
    <row r="578" spans="58:58" x14ac:dyDescent="0.25">
      <c r="BF578" t="e">
        <f>solver_lhs74=NonLinLarge!$H$9:$H$72</f>
        <v>#NAME?</v>
      </c>
    </row>
    <row r="579" spans="58:58" x14ac:dyDescent="0.25">
      <c r="BF579" t="e">
        <f>solver_lhs75=NonLinLarge!$H$73</f>
        <v>#NAME?</v>
      </c>
    </row>
    <row r="580" spans="58:58" x14ac:dyDescent="0.25">
      <c r="BF580" t="e">
        <f>solver_lhs76=NonLinLarge!$H$74</f>
        <v>#NAME?</v>
      </c>
    </row>
    <row r="581" spans="58:58" x14ac:dyDescent="0.25">
      <c r="BF581" t="e">
        <f>solver_lhs77=NonLinLarge!$H$75:$H$138</f>
        <v>#NAME?</v>
      </c>
    </row>
    <row r="582" spans="58:58" x14ac:dyDescent="0.25">
      <c r="BF582" t="e">
        <f>solver_lhs78=NonLinLarge!$H$139</f>
        <v>#NAME?</v>
      </c>
    </row>
    <row r="583" spans="58:58" x14ac:dyDescent="0.25">
      <c r="BF583" t="e">
        <f>solver_lhs79=NonLinLarge!$H$7:$H$8</f>
        <v>#NAME?</v>
      </c>
    </row>
    <row r="584" spans="58:58" x14ac:dyDescent="0.25">
      <c r="BF584" t="e">
        <f>solver_lhs8=NonLinLarge!$H$9:$H$72</f>
        <v>#NAME?</v>
      </c>
    </row>
    <row r="585" spans="58:58" x14ac:dyDescent="0.25">
      <c r="BF585" t="e">
        <f>solver_lhs80=NonLinLarge!$H$9:$H$72</f>
        <v>#NAME?</v>
      </c>
    </row>
    <row r="586" spans="58:58" x14ac:dyDescent="0.25">
      <c r="BF586" t="e">
        <f>solver_lhs81=NonLinLarge!$H$73</f>
        <v>#NAME?</v>
      </c>
    </row>
    <row r="587" spans="58:58" x14ac:dyDescent="0.25">
      <c r="BF587" t="e">
        <f>solver_lhs82=NonLinLarge!$H$74</f>
        <v>#NAME?</v>
      </c>
    </row>
    <row r="588" spans="58:58" x14ac:dyDescent="0.25">
      <c r="BF588" t="e">
        <f>solver_lhs83=NonLinLarge!$H$75:$H$138</f>
        <v>#NAME?</v>
      </c>
    </row>
    <row r="589" spans="58:58" x14ac:dyDescent="0.25">
      <c r="BF589" t="e">
        <f>solver_lhs84=NonLinLarge!$H$139</f>
        <v>#NAME?</v>
      </c>
    </row>
    <row r="590" spans="58:58" x14ac:dyDescent="0.25">
      <c r="BF590" t="e">
        <f>solver_lhs85=NonLinLarge!$H$7:$H$8</f>
        <v>#NAME?</v>
      </c>
    </row>
    <row r="591" spans="58:58" x14ac:dyDescent="0.25">
      <c r="BF591" t="e">
        <f>solver_lhs86=NonLinLarge!$H$9:$H$72</f>
        <v>#NAME?</v>
      </c>
    </row>
    <row r="592" spans="58:58" x14ac:dyDescent="0.25">
      <c r="BF592" t="e">
        <f>solver_lhs87=NonLinLarge!$H$73</f>
        <v>#NAME?</v>
      </c>
    </row>
    <row r="593" spans="58:58" x14ac:dyDescent="0.25">
      <c r="BF593" t="e">
        <f>solver_lhs88=NonLinLarge!$H$74</f>
        <v>#NAME?</v>
      </c>
    </row>
    <row r="594" spans="58:58" x14ac:dyDescent="0.25">
      <c r="BF594" t="e">
        <f>solver_lhs89=NonLinLarge!$H$75:$H$138</f>
        <v>#NAME?</v>
      </c>
    </row>
    <row r="595" spans="58:58" x14ac:dyDescent="0.25">
      <c r="BF595" t="e">
        <f>solver_lhs9=NonLinLarge!$H$73</f>
        <v>#NAME?</v>
      </c>
    </row>
    <row r="596" spans="58:58" x14ac:dyDescent="0.25">
      <c r="BF596" t="e">
        <f>solver_lhs90=NonLinLarge!$H$139</f>
        <v>#NAME?</v>
      </c>
    </row>
    <row r="597" spans="58:58" x14ac:dyDescent="0.25">
      <c r="BF597" t="e">
        <f>solver_lhs91=NonLinLarge!$H$7:$H$8</f>
        <v>#NAME?</v>
      </c>
    </row>
    <row r="598" spans="58:58" x14ac:dyDescent="0.25">
      <c r="BF598" t="e">
        <f>solver_lhs92=NonLinLarge!$H$9:$H$72</f>
        <v>#NAME?</v>
      </c>
    </row>
    <row r="599" spans="58:58" x14ac:dyDescent="0.25">
      <c r="BF599" t="e">
        <f>solver_lhs93=NonLinLarge!$H$73</f>
        <v>#NAME?</v>
      </c>
    </row>
    <row r="600" spans="58:58" x14ac:dyDescent="0.25">
      <c r="BF600" t="e">
        <f>solver_lhs94=NonLinLarge!$H$74</f>
        <v>#NAME?</v>
      </c>
    </row>
    <row r="601" spans="58:58" x14ac:dyDescent="0.25">
      <c r="BF601" t="e">
        <f>solver_lhs95=NonLinLarge!$H$75:$H$138</f>
        <v>#NAME?</v>
      </c>
    </row>
    <row r="602" spans="58:58" x14ac:dyDescent="0.25">
      <c r="BF602" t="e">
        <f>solver_lhs96=NonLinLarge!$H$139</f>
        <v>#NAME?</v>
      </c>
    </row>
    <row r="603" spans="58:58" x14ac:dyDescent="0.25">
      <c r="BF603" t="e">
        <f>solver_lhs97=NonLinLarge!$H$7:$H$8</f>
        <v>#NAME?</v>
      </c>
    </row>
    <row r="604" spans="58:58" x14ac:dyDescent="0.25">
      <c r="BF604" t="e">
        <f>solver_lhs98=NonLinLarge!$H$9:$H$72</f>
        <v>#NAME?</v>
      </c>
    </row>
    <row r="605" spans="58:58" x14ac:dyDescent="0.25">
      <c r="BF605" t="e">
        <f>solver_lhs99=NonLinLarge!$H$73</f>
        <v>#NAME?</v>
      </c>
    </row>
    <row r="606" spans="58:58" x14ac:dyDescent="0.25">
      <c r="BF606" t="e">
        <f>solver_neg=1</f>
        <v>#NAME?</v>
      </c>
    </row>
    <row r="607" spans="58:58" x14ac:dyDescent="0.25">
      <c r="BF607" t="e">
        <f>solver_num=600</f>
        <v>#NAME?</v>
      </c>
    </row>
    <row r="608" spans="58:58" x14ac:dyDescent="0.25">
      <c r="BF608" t="e">
        <f>solver_opt=NonLinLarge!$H$5</f>
        <v>#NAME?</v>
      </c>
    </row>
    <row r="609" spans="58:58" x14ac:dyDescent="0.25">
      <c r="BF609" t="e">
        <f>solver_rel1=1</f>
        <v>#NAME?</v>
      </c>
    </row>
    <row r="610" spans="58:58" x14ac:dyDescent="0.25">
      <c r="BF610" t="e">
        <f>solver_rel10=1</f>
        <v>#NAME?</v>
      </c>
    </row>
    <row r="611" spans="58:58" x14ac:dyDescent="0.25">
      <c r="BF611" t="e">
        <f>solver_rel100=1</f>
        <v>#NAME?</v>
      </c>
    </row>
    <row r="612" spans="58:58" x14ac:dyDescent="0.25">
      <c r="BF612" t="e">
        <f>solver_rel101=3</f>
        <v>#NAME?</v>
      </c>
    </row>
    <row r="613" spans="58:58" x14ac:dyDescent="0.25">
      <c r="BF613" t="e">
        <f>solver_rel102=2</f>
        <v>#NAME?</v>
      </c>
    </row>
    <row r="614" spans="58:58" x14ac:dyDescent="0.25">
      <c r="BF614" t="e">
        <f>solver_rel103=1</f>
        <v>#NAME?</v>
      </c>
    </row>
    <row r="615" spans="58:58" x14ac:dyDescent="0.25">
      <c r="BF615" t="e">
        <f>solver_rel104=3</f>
        <v>#NAME?</v>
      </c>
    </row>
    <row r="616" spans="58:58" x14ac:dyDescent="0.25">
      <c r="BF616" t="e">
        <f>solver_rel105=2</f>
        <v>#NAME?</v>
      </c>
    </row>
    <row r="617" spans="58:58" x14ac:dyDescent="0.25">
      <c r="BF617" t="e">
        <f>solver_rel106=1</f>
        <v>#NAME?</v>
      </c>
    </row>
    <row r="618" spans="58:58" x14ac:dyDescent="0.25">
      <c r="BF618" t="e">
        <f>solver_rel107=3</f>
        <v>#NAME?</v>
      </c>
    </row>
    <row r="619" spans="58:58" x14ac:dyDescent="0.25">
      <c r="BF619" t="e">
        <f>solver_rel108=2</f>
        <v>#NAME?</v>
      </c>
    </row>
    <row r="620" spans="58:58" x14ac:dyDescent="0.25">
      <c r="BF620" t="e">
        <f>solver_rel109=1</f>
        <v>#NAME?</v>
      </c>
    </row>
    <row r="621" spans="58:58" x14ac:dyDescent="0.25">
      <c r="BF621" t="e">
        <f>solver_rel11=3</f>
        <v>#NAME?</v>
      </c>
    </row>
    <row r="622" spans="58:58" x14ac:dyDescent="0.25">
      <c r="BF622" t="e">
        <f>solver_rel110=3</f>
        <v>#NAME?</v>
      </c>
    </row>
    <row r="623" spans="58:58" x14ac:dyDescent="0.25">
      <c r="BF623" t="e">
        <f>solver_rel111=2</f>
        <v>#NAME?</v>
      </c>
    </row>
    <row r="624" spans="58:58" x14ac:dyDescent="0.25">
      <c r="BF624" t="e">
        <f>solver_rel112=1</f>
        <v>#NAME?</v>
      </c>
    </row>
    <row r="625" spans="58:58" x14ac:dyDescent="0.25">
      <c r="BF625" t="e">
        <f>solver_rel113=3</f>
        <v>#NAME?</v>
      </c>
    </row>
    <row r="626" spans="58:58" x14ac:dyDescent="0.25">
      <c r="BF626" t="e">
        <f>solver_rel114=2</f>
        <v>#NAME?</v>
      </c>
    </row>
    <row r="627" spans="58:58" x14ac:dyDescent="0.25">
      <c r="BF627" t="e">
        <f>solver_rel115=1</f>
        <v>#NAME?</v>
      </c>
    </row>
    <row r="628" spans="58:58" x14ac:dyDescent="0.25">
      <c r="BF628" t="e">
        <f>solver_rel116=3</f>
        <v>#NAME?</v>
      </c>
    </row>
    <row r="629" spans="58:58" x14ac:dyDescent="0.25">
      <c r="BF629" t="e">
        <f>solver_rel117=2</f>
        <v>#NAME?</v>
      </c>
    </row>
    <row r="630" spans="58:58" x14ac:dyDescent="0.25">
      <c r="BF630" t="e">
        <f>solver_rel118=1</f>
        <v>#NAME?</v>
      </c>
    </row>
    <row r="631" spans="58:58" x14ac:dyDescent="0.25">
      <c r="BF631" t="e">
        <f>solver_rel119=3</f>
        <v>#NAME?</v>
      </c>
    </row>
    <row r="632" spans="58:58" x14ac:dyDescent="0.25">
      <c r="BF632" t="e">
        <f>solver_rel12=2</f>
        <v>#NAME?</v>
      </c>
    </row>
    <row r="633" spans="58:58" x14ac:dyDescent="0.25">
      <c r="BF633" t="e">
        <f>solver_rel120=2</f>
        <v>#NAME?</v>
      </c>
    </row>
    <row r="634" spans="58:58" x14ac:dyDescent="0.25">
      <c r="BF634" t="e">
        <f>solver_rel121=1</f>
        <v>#NAME?</v>
      </c>
    </row>
    <row r="635" spans="58:58" x14ac:dyDescent="0.25">
      <c r="BF635" t="e">
        <f>solver_rel122=3</f>
        <v>#NAME?</v>
      </c>
    </row>
    <row r="636" spans="58:58" x14ac:dyDescent="0.25">
      <c r="BF636" t="e">
        <f>solver_rel123=2</f>
        <v>#NAME?</v>
      </c>
    </row>
    <row r="637" spans="58:58" x14ac:dyDescent="0.25">
      <c r="BF637" t="e">
        <f>solver_rel124=1</f>
        <v>#NAME?</v>
      </c>
    </row>
    <row r="638" spans="58:58" x14ac:dyDescent="0.25">
      <c r="BF638" t="e">
        <f>solver_rel125=3</f>
        <v>#NAME?</v>
      </c>
    </row>
    <row r="639" spans="58:58" x14ac:dyDescent="0.25">
      <c r="BF639" t="e">
        <f>solver_rel126=2</f>
        <v>#NAME?</v>
      </c>
    </row>
    <row r="640" spans="58:58" x14ac:dyDescent="0.25">
      <c r="BF640" t="e">
        <f>solver_rel127=1</f>
        <v>#NAME?</v>
      </c>
    </row>
    <row r="641" spans="58:58" x14ac:dyDescent="0.25">
      <c r="BF641" t="e">
        <f>solver_rel128=3</f>
        <v>#NAME?</v>
      </c>
    </row>
    <row r="642" spans="58:58" x14ac:dyDescent="0.25">
      <c r="BF642" t="e">
        <f>solver_rel129=2</f>
        <v>#NAME?</v>
      </c>
    </row>
    <row r="643" spans="58:58" x14ac:dyDescent="0.25">
      <c r="BF643" t="e">
        <f>solver_rel13=1</f>
        <v>#NAME?</v>
      </c>
    </row>
    <row r="644" spans="58:58" x14ac:dyDescent="0.25">
      <c r="BF644" t="e">
        <f>solver_rel130=1</f>
        <v>#NAME?</v>
      </c>
    </row>
    <row r="645" spans="58:58" x14ac:dyDescent="0.25">
      <c r="BF645" t="e">
        <f>solver_rel131=3</f>
        <v>#NAME?</v>
      </c>
    </row>
    <row r="646" spans="58:58" x14ac:dyDescent="0.25">
      <c r="BF646" t="e">
        <f>solver_rel132=2</f>
        <v>#NAME?</v>
      </c>
    </row>
    <row r="647" spans="58:58" x14ac:dyDescent="0.25">
      <c r="BF647" t="e">
        <f>solver_rel133=1</f>
        <v>#NAME?</v>
      </c>
    </row>
    <row r="648" spans="58:58" x14ac:dyDescent="0.25">
      <c r="BF648" t="e">
        <f>solver_rel134=3</f>
        <v>#NAME?</v>
      </c>
    </row>
    <row r="649" spans="58:58" x14ac:dyDescent="0.25">
      <c r="BF649" t="e">
        <f>solver_rel135=2</f>
        <v>#NAME?</v>
      </c>
    </row>
    <row r="650" spans="58:58" x14ac:dyDescent="0.25">
      <c r="BF650" t="e">
        <f>solver_rel136=1</f>
        <v>#NAME?</v>
      </c>
    </row>
    <row r="651" spans="58:58" x14ac:dyDescent="0.25">
      <c r="BF651" t="e">
        <f>solver_rel137=3</f>
        <v>#NAME?</v>
      </c>
    </row>
    <row r="652" spans="58:58" x14ac:dyDescent="0.25">
      <c r="BF652" t="e">
        <f>solver_rel138=2</f>
        <v>#NAME?</v>
      </c>
    </row>
    <row r="653" spans="58:58" x14ac:dyDescent="0.25">
      <c r="BF653" t="e">
        <f>solver_rel139=1</f>
        <v>#NAME?</v>
      </c>
    </row>
    <row r="654" spans="58:58" x14ac:dyDescent="0.25">
      <c r="BF654" t="e">
        <f>solver_rel14=3</f>
        <v>#NAME?</v>
      </c>
    </row>
    <row r="655" spans="58:58" x14ac:dyDescent="0.25">
      <c r="BF655" t="e">
        <f>solver_rel140=3</f>
        <v>#NAME?</v>
      </c>
    </row>
    <row r="656" spans="58:58" x14ac:dyDescent="0.25">
      <c r="BF656" t="e">
        <f>solver_rel141=2</f>
        <v>#NAME?</v>
      </c>
    </row>
    <row r="657" spans="58:58" x14ac:dyDescent="0.25">
      <c r="BF657" t="e">
        <f>solver_rel142=1</f>
        <v>#NAME?</v>
      </c>
    </row>
    <row r="658" spans="58:58" x14ac:dyDescent="0.25">
      <c r="BF658" t="e">
        <f>solver_rel143=3</f>
        <v>#NAME?</v>
      </c>
    </row>
    <row r="659" spans="58:58" x14ac:dyDescent="0.25">
      <c r="BF659" t="e">
        <f>solver_rel144=2</f>
        <v>#NAME?</v>
      </c>
    </row>
    <row r="660" spans="58:58" x14ac:dyDescent="0.25">
      <c r="BF660" t="e">
        <f>solver_rel145=1</f>
        <v>#NAME?</v>
      </c>
    </row>
    <row r="661" spans="58:58" x14ac:dyDescent="0.25">
      <c r="BF661" t="e">
        <f>solver_rel146=3</f>
        <v>#NAME?</v>
      </c>
    </row>
    <row r="662" spans="58:58" x14ac:dyDescent="0.25">
      <c r="BF662" t="e">
        <f>solver_rel147=2</f>
        <v>#NAME?</v>
      </c>
    </row>
    <row r="663" spans="58:58" x14ac:dyDescent="0.25">
      <c r="BF663" t="e">
        <f>solver_rel148=1</f>
        <v>#NAME?</v>
      </c>
    </row>
    <row r="664" spans="58:58" x14ac:dyDescent="0.25">
      <c r="BF664" t="e">
        <f>solver_rel149=3</f>
        <v>#NAME?</v>
      </c>
    </row>
    <row r="665" spans="58:58" x14ac:dyDescent="0.25">
      <c r="BF665" t="e">
        <f>solver_rel15=2</f>
        <v>#NAME?</v>
      </c>
    </row>
    <row r="666" spans="58:58" x14ac:dyDescent="0.25">
      <c r="BF666" t="e">
        <f>solver_rel150=2</f>
        <v>#NAME?</v>
      </c>
    </row>
    <row r="667" spans="58:58" x14ac:dyDescent="0.25">
      <c r="BF667" t="e">
        <f>solver_rel151=1</f>
        <v>#NAME?</v>
      </c>
    </row>
    <row r="668" spans="58:58" x14ac:dyDescent="0.25">
      <c r="BF668" t="e">
        <f>solver_rel152=3</f>
        <v>#NAME?</v>
      </c>
    </row>
    <row r="669" spans="58:58" x14ac:dyDescent="0.25">
      <c r="BF669" t="e">
        <f>solver_rel153=2</f>
        <v>#NAME?</v>
      </c>
    </row>
    <row r="670" spans="58:58" x14ac:dyDescent="0.25">
      <c r="BF670" t="e">
        <f>solver_rel154=1</f>
        <v>#NAME?</v>
      </c>
    </row>
    <row r="671" spans="58:58" x14ac:dyDescent="0.25">
      <c r="BF671" t="e">
        <f>solver_rel155=3</f>
        <v>#NAME?</v>
      </c>
    </row>
    <row r="672" spans="58:58" x14ac:dyDescent="0.25">
      <c r="BF672" t="e">
        <f>solver_rel156=2</f>
        <v>#NAME?</v>
      </c>
    </row>
    <row r="673" spans="58:58" x14ac:dyDescent="0.25">
      <c r="BF673" t="e">
        <f>solver_rel157=1</f>
        <v>#NAME?</v>
      </c>
    </row>
    <row r="674" spans="58:58" x14ac:dyDescent="0.25">
      <c r="BF674" t="e">
        <f>solver_rel158=3</f>
        <v>#NAME?</v>
      </c>
    </row>
    <row r="675" spans="58:58" x14ac:dyDescent="0.25">
      <c r="BF675" t="e">
        <f>solver_rel159=2</f>
        <v>#NAME?</v>
      </c>
    </row>
    <row r="676" spans="58:58" x14ac:dyDescent="0.25">
      <c r="BF676" t="e">
        <f>solver_rel16=1</f>
        <v>#NAME?</v>
      </c>
    </row>
    <row r="677" spans="58:58" x14ac:dyDescent="0.25">
      <c r="BF677" t="e">
        <f>solver_rel160=1</f>
        <v>#NAME?</v>
      </c>
    </row>
    <row r="678" spans="58:58" x14ac:dyDescent="0.25">
      <c r="BF678" t="e">
        <f>solver_rel161=3</f>
        <v>#NAME?</v>
      </c>
    </row>
    <row r="679" spans="58:58" x14ac:dyDescent="0.25">
      <c r="BF679" t="e">
        <f>solver_rel162=2</f>
        <v>#NAME?</v>
      </c>
    </row>
    <row r="680" spans="58:58" x14ac:dyDescent="0.25">
      <c r="BF680" t="e">
        <f>solver_rel163=1</f>
        <v>#NAME?</v>
      </c>
    </row>
    <row r="681" spans="58:58" x14ac:dyDescent="0.25">
      <c r="BF681" t="e">
        <f>solver_rel164=3</f>
        <v>#NAME?</v>
      </c>
    </row>
    <row r="682" spans="58:58" x14ac:dyDescent="0.25">
      <c r="BF682" t="e">
        <f>solver_rel165=2</f>
        <v>#NAME?</v>
      </c>
    </row>
    <row r="683" spans="58:58" x14ac:dyDescent="0.25">
      <c r="BF683" t="e">
        <f>solver_rel166=1</f>
        <v>#NAME?</v>
      </c>
    </row>
    <row r="684" spans="58:58" x14ac:dyDescent="0.25">
      <c r="BF684" t="e">
        <f>solver_rel167=3</f>
        <v>#NAME?</v>
      </c>
    </row>
    <row r="685" spans="58:58" x14ac:dyDescent="0.25">
      <c r="BF685" t="e">
        <f>solver_rel168=2</f>
        <v>#NAME?</v>
      </c>
    </row>
    <row r="686" spans="58:58" x14ac:dyDescent="0.25">
      <c r="BF686" t="e">
        <f>solver_rel169=1</f>
        <v>#NAME?</v>
      </c>
    </row>
    <row r="687" spans="58:58" x14ac:dyDescent="0.25">
      <c r="BF687" t="e">
        <f>solver_rel17=3</f>
        <v>#NAME?</v>
      </c>
    </row>
    <row r="688" spans="58:58" x14ac:dyDescent="0.25">
      <c r="BF688" t="e">
        <f>solver_rel170=3</f>
        <v>#NAME?</v>
      </c>
    </row>
    <row r="689" spans="58:58" x14ac:dyDescent="0.25">
      <c r="BF689" t="e">
        <f>solver_rel171=2</f>
        <v>#NAME?</v>
      </c>
    </row>
    <row r="690" spans="58:58" x14ac:dyDescent="0.25">
      <c r="BF690" t="e">
        <f>solver_rel172=1</f>
        <v>#NAME?</v>
      </c>
    </row>
    <row r="691" spans="58:58" x14ac:dyDescent="0.25">
      <c r="BF691" t="e">
        <f>solver_rel173=3</f>
        <v>#NAME?</v>
      </c>
    </row>
    <row r="692" spans="58:58" x14ac:dyDescent="0.25">
      <c r="BF692" t="e">
        <f>solver_rel174=2</f>
        <v>#NAME?</v>
      </c>
    </row>
    <row r="693" spans="58:58" x14ac:dyDescent="0.25">
      <c r="BF693" t="e">
        <f>solver_rel175=1</f>
        <v>#NAME?</v>
      </c>
    </row>
    <row r="694" spans="58:58" x14ac:dyDescent="0.25">
      <c r="BF694" t="e">
        <f>solver_rel176=3</f>
        <v>#NAME?</v>
      </c>
    </row>
    <row r="695" spans="58:58" x14ac:dyDescent="0.25">
      <c r="BF695" t="e">
        <f>solver_rel177=2</f>
        <v>#NAME?</v>
      </c>
    </row>
    <row r="696" spans="58:58" x14ac:dyDescent="0.25">
      <c r="BF696" t="e">
        <f>solver_rel178=1</f>
        <v>#NAME?</v>
      </c>
    </row>
    <row r="697" spans="58:58" x14ac:dyDescent="0.25">
      <c r="BF697" t="e">
        <f>solver_rel179=3</f>
        <v>#NAME?</v>
      </c>
    </row>
    <row r="698" spans="58:58" x14ac:dyDescent="0.25">
      <c r="BF698" t="e">
        <f>solver_rel18=2</f>
        <v>#NAME?</v>
      </c>
    </row>
    <row r="699" spans="58:58" x14ac:dyDescent="0.25">
      <c r="BF699" t="e">
        <f>solver_rel180=2</f>
        <v>#NAME?</v>
      </c>
    </row>
    <row r="700" spans="58:58" x14ac:dyDescent="0.25">
      <c r="BF700" t="e">
        <f>solver_rel181=1</f>
        <v>#NAME?</v>
      </c>
    </row>
    <row r="701" spans="58:58" x14ac:dyDescent="0.25">
      <c r="BF701" t="e">
        <f>solver_rel182=3</f>
        <v>#NAME?</v>
      </c>
    </row>
    <row r="702" spans="58:58" x14ac:dyDescent="0.25">
      <c r="BF702" t="e">
        <f>solver_rel183=2</f>
        <v>#NAME?</v>
      </c>
    </row>
    <row r="703" spans="58:58" x14ac:dyDescent="0.25">
      <c r="BF703" t="e">
        <f>solver_rel184=1</f>
        <v>#NAME?</v>
      </c>
    </row>
    <row r="704" spans="58:58" x14ac:dyDescent="0.25">
      <c r="BF704" t="e">
        <f>solver_rel185=3</f>
        <v>#NAME?</v>
      </c>
    </row>
    <row r="705" spans="58:58" x14ac:dyDescent="0.25">
      <c r="BF705" t="e">
        <f>solver_rel186=2</f>
        <v>#NAME?</v>
      </c>
    </row>
    <row r="706" spans="58:58" x14ac:dyDescent="0.25">
      <c r="BF706" t="e">
        <f>solver_rel187=1</f>
        <v>#NAME?</v>
      </c>
    </row>
    <row r="707" spans="58:58" x14ac:dyDescent="0.25">
      <c r="BF707" t="e">
        <f>solver_rel188=3</f>
        <v>#NAME?</v>
      </c>
    </row>
    <row r="708" spans="58:58" x14ac:dyDescent="0.25">
      <c r="BF708" t="e">
        <f>solver_rel189=2</f>
        <v>#NAME?</v>
      </c>
    </row>
    <row r="709" spans="58:58" x14ac:dyDescent="0.25">
      <c r="BF709" t="e">
        <f>solver_rel19=1</f>
        <v>#NAME?</v>
      </c>
    </row>
    <row r="710" spans="58:58" x14ac:dyDescent="0.25">
      <c r="BF710" t="e">
        <f>solver_rel190=1</f>
        <v>#NAME?</v>
      </c>
    </row>
    <row r="711" spans="58:58" x14ac:dyDescent="0.25">
      <c r="BF711" t="e">
        <f>solver_rel191=3</f>
        <v>#NAME?</v>
      </c>
    </row>
    <row r="712" spans="58:58" x14ac:dyDescent="0.25">
      <c r="BF712" t="e">
        <f>solver_rel192=2</f>
        <v>#NAME?</v>
      </c>
    </row>
    <row r="713" spans="58:58" x14ac:dyDescent="0.25">
      <c r="BF713" t="e">
        <f>solver_rel193=1</f>
        <v>#NAME?</v>
      </c>
    </row>
    <row r="714" spans="58:58" x14ac:dyDescent="0.25">
      <c r="BF714" t="e">
        <f>solver_rel194=3</f>
        <v>#NAME?</v>
      </c>
    </row>
    <row r="715" spans="58:58" x14ac:dyDescent="0.25">
      <c r="BF715" t="e">
        <f>solver_rel195=2</f>
        <v>#NAME?</v>
      </c>
    </row>
    <row r="716" spans="58:58" x14ac:dyDescent="0.25">
      <c r="BF716" t="e">
        <f>solver_rel196=1</f>
        <v>#NAME?</v>
      </c>
    </row>
    <row r="717" spans="58:58" x14ac:dyDescent="0.25">
      <c r="BF717" t="e">
        <f>solver_rel197=3</f>
        <v>#NAME?</v>
      </c>
    </row>
    <row r="718" spans="58:58" x14ac:dyDescent="0.25">
      <c r="BF718" t="e">
        <f>solver_rel198=2</f>
        <v>#NAME?</v>
      </c>
    </row>
    <row r="719" spans="58:58" x14ac:dyDescent="0.25">
      <c r="BF719" t="e">
        <f>solver_rel199=1</f>
        <v>#NAME?</v>
      </c>
    </row>
    <row r="720" spans="58:58" x14ac:dyDescent="0.25">
      <c r="BF720" t="e">
        <f>solver_rel2=3</f>
        <v>#NAME?</v>
      </c>
    </row>
    <row r="721" spans="58:58" x14ac:dyDescent="0.25">
      <c r="BF721" t="e">
        <f>solver_rel20=3</f>
        <v>#NAME?</v>
      </c>
    </row>
    <row r="722" spans="58:58" x14ac:dyDescent="0.25">
      <c r="BF722" t="e">
        <f>solver_rel200=3</f>
        <v>#NAME?</v>
      </c>
    </row>
    <row r="723" spans="58:58" x14ac:dyDescent="0.25">
      <c r="BF723" t="e">
        <f>solver_rel201=2</f>
        <v>#NAME?</v>
      </c>
    </row>
    <row r="724" spans="58:58" x14ac:dyDescent="0.25">
      <c r="BF724" t="e">
        <f>solver_rel202=1</f>
        <v>#NAME?</v>
      </c>
    </row>
    <row r="725" spans="58:58" x14ac:dyDescent="0.25">
      <c r="BF725" t="e">
        <f>solver_rel203=3</f>
        <v>#NAME?</v>
      </c>
    </row>
    <row r="726" spans="58:58" x14ac:dyDescent="0.25">
      <c r="BF726" t="e">
        <f>solver_rel204=2</f>
        <v>#NAME?</v>
      </c>
    </row>
    <row r="727" spans="58:58" x14ac:dyDescent="0.25">
      <c r="BF727" t="e">
        <f>solver_rel205=1</f>
        <v>#NAME?</v>
      </c>
    </row>
    <row r="728" spans="58:58" x14ac:dyDescent="0.25">
      <c r="BF728" t="e">
        <f>solver_rel206=3</f>
        <v>#NAME?</v>
      </c>
    </row>
    <row r="729" spans="58:58" x14ac:dyDescent="0.25">
      <c r="BF729" t="e">
        <f>solver_rel207=2</f>
        <v>#NAME?</v>
      </c>
    </row>
    <row r="730" spans="58:58" x14ac:dyDescent="0.25">
      <c r="BF730" t="e">
        <f>solver_rel208=1</f>
        <v>#NAME?</v>
      </c>
    </row>
    <row r="731" spans="58:58" x14ac:dyDescent="0.25">
      <c r="BF731" t="e">
        <f>solver_rel209=3</f>
        <v>#NAME?</v>
      </c>
    </row>
    <row r="732" spans="58:58" x14ac:dyDescent="0.25">
      <c r="BF732" t="e">
        <f>solver_rel21=2</f>
        <v>#NAME?</v>
      </c>
    </row>
    <row r="733" spans="58:58" x14ac:dyDescent="0.25">
      <c r="BF733" t="e">
        <f>solver_rel210=2</f>
        <v>#NAME?</v>
      </c>
    </row>
    <row r="734" spans="58:58" x14ac:dyDescent="0.25">
      <c r="BF734" t="e">
        <f>solver_rel211=1</f>
        <v>#NAME?</v>
      </c>
    </row>
    <row r="735" spans="58:58" x14ac:dyDescent="0.25">
      <c r="BF735" t="e">
        <f>solver_rel212=3</f>
        <v>#NAME?</v>
      </c>
    </row>
    <row r="736" spans="58:58" x14ac:dyDescent="0.25">
      <c r="BF736" t="e">
        <f>solver_rel213=2</f>
        <v>#NAME?</v>
      </c>
    </row>
    <row r="737" spans="58:58" x14ac:dyDescent="0.25">
      <c r="BF737" t="e">
        <f>solver_rel214=1</f>
        <v>#NAME?</v>
      </c>
    </row>
    <row r="738" spans="58:58" x14ac:dyDescent="0.25">
      <c r="BF738" t="e">
        <f>solver_rel215=3</f>
        <v>#NAME?</v>
      </c>
    </row>
    <row r="739" spans="58:58" x14ac:dyDescent="0.25">
      <c r="BF739" t="e">
        <f>solver_rel216=2</f>
        <v>#NAME?</v>
      </c>
    </row>
    <row r="740" spans="58:58" x14ac:dyDescent="0.25">
      <c r="BF740" t="e">
        <f>solver_rel217=1</f>
        <v>#NAME?</v>
      </c>
    </row>
    <row r="741" spans="58:58" x14ac:dyDescent="0.25">
      <c r="BF741" t="e">
        <f>solver_rel218=3</f>
        <v>#NAME?</v>
      </c>
    </row>
    <row r="742" spans="58:58" x14ac:dyDescent="0.25">
      <c r="BF742" t="e">
        <f>solver_rel219=2</f>
        <v>#NAME?</v>
      </c>
    </row>
    <row r="743" spans="58:58" x14ac:dyDescent="0.25">
      <c r="BF743" t="e">
        <f>solver_rel22=1</f>
        <v>#NAME?</v>
      </c>
    </row>
    <row r="744" spans="58:58" x14ac:dyDescent="0.25">
      <c r="BF744" t="e">
        <f>solver_rel220=1</f>
        <v>#NAME?</v>
      </c>
    </row>
    <row r="745" spans="58:58" x14ac:dyDescent="0.25">
      <c r="BF745" t="e">
        <f>solver_rel221=3</f>
        <v>#NAME?</v>
      </c>
    </row>
    <row r="746" spans="58:58" x14ac:dyDescent="0.25">
      <c r="BF746" t="e">
        <f>solver_rel222=2</f>
        <v>#NAME?</v>
      </c>
    </row>
    <row r="747" spans="58:58" x14ac:dyDescent="0.25">
      <c r="BF747" t="e">
        <f>solver_rel223=1</f>
        <v>#NAME?</v>
      </c>
    </row>
    <row r="748" spans="58:58" x14ac:dyDescent="0.25">
      <c r="BF748" t="e">
        <f>solver_rel224=3</f>
        <v>#NAME?</v>
      </c>
    </row>
    <row r="749" spans="58:58" x14ac:dyDescent="0.25">
      <c r="BF749" t="e">
        <f>solver_rel225=2</f>
        <v>#NAME?</v>
      </c>
    </row>
    <row r="750" spans="58:58" x14ac:dyDescent="0.25">
      <c r="BF750" t="e">
        <f>solver_rel226=1</f>
        <v>#NAME?</v>
      </c>
    </row>
    <row r="751" spans="58:58" x14ac:dyDescent="0.25">
      <c r="BF751" t="e">
        <f>solver_rel227=3</f>
        <v>#NAME?</v>
      </c>
    </row>
    <row r="752" spans="58:58" x14ac:dyDescent="0.25">
      <c r="BF752" t="e">
        <f>solver_rel228=2</f>
        <v>#NAME?</v>
      </c>
    </row>
    <row r="753" spans="58:58" x14ac:dyDescent="0.25">
      <c r="BF753" t="e">
        <f>solver_rel229=1</f>
        <v>#NAME?</v>
      </c>
    </row>
    <row r="754" spans="58:58" x14ac:dyDescent="0.25">
      <c r="BF754" t="e">
        <f>solver_rel23=3</f>
        <v>#NAME?</v>
      </c>
    </row>
    <row r="755" spans="58:58" x14ac:dyDescent="0.25">
      <c r="BF755" t="e">
        <f>solver_rel230=3</f>
        <v>#NAME?</v>
      </c>
    </row>
    <row r="756" spans="58:58" x14ac:dyDescent="0.25">
      <c r="BF756" t="e">
        <f>solver_rel231=2</f>
        <v>#NAME?</v>
      </c>
    </row>
    <row r="757" spans="58:58" x14ac:dyDescent="0.25">
      <c r="BF757" t="e">
        <f>solver_rel232=1</f>
        <v>#NAME?</v>
      </c>
    </row>
    <row r="758" spans="58:58" x14ac:dyDescent="0.25">
      <c r="BF758" t="e">
        <f>solver_rel233=3</f>
        <v>#NAME?</v>
      </c>
    </row>
    <row r="759" spans="58:58" x14ac:dyDescent="0.25">
      <c r="BF759" t="e">
        <f>solver_rel234=2</f>
        <v>#NAME?</v>
      </c>
    </row>
    <row r="760" spans="58:58" x14ac:dyDescent="0.25">
      <c r="BF760" t="e">
        <f>solver_rel235=1</f>
        <v>#NAME?</v>
      </c>
    </row>
    <row r="761" spans="58:58" x14ac:dyDescent="0.25">
      <c r="BF761" t="e">
        <f>solver_rel236=3</f>
        <v>#NAME?</v>
      </c>
    </row>
    <row r="762" spans="58:58" x14ac:dyDescent="0.25">
      <c r="BF762" t="e">
        <f>solver_rel237=2</f>
        <v>#NAME?</v>
      </c>
    </row>
    <row r="763" spans="58:58" x14ac:dyDescent="0.25">
      <c r="BF763" t="e">
        <f>solver_rel238=1</f>
        <v>#NAME?</v>
      </c>
    </row>
    <row r="764" spans="58:58" x14ac:dyDescent="0.25">
      <c r="BF764" t="e">
        <f>solver_rel239=3</f>
        <v>#NAME?</v>
      </c>
    </row>
    <row r="765" spans="58:58" x14ac:dyDescent="0.25">
      <c r="BF765" t="e">
        <f>solver_rel24=2</f>
        <v>#NAME?</v>
      </c>
    </row>
    <row r="766" spans="58:58" x14ac:dyDescent="0.25">
      <c r="BF766" t="e">
        <f>solver_rel240=2</f>
        <v>#NAME?</v>
      </c>
    </row>
    <row r="767" spans="58:58" x14ac:dyDescent="0.25">
      <c r="BF767" t="e">
        <f>solver_rel241=1</f>
        <v>#NAME?</v>
      </c>
    </row>
    <row r="768" spans="58:58" x14ac:dyDescent="0.25">
      <c r="BF768" t="e">
        <f>solver_rel242=3</f>
        <v>#NAME?</v>
      </c>
    </row>
    <row r="769" spans="58:58" x14ac:dyDescent="0.25">
      <c r="BF769" t="e">
        <f>solver_rel243=2</f>
        <v>#NAME?</v>
      </c>
    </row>
    <row r="770" spans="58:58" x14ac:dyDescent="0.25">
      <c r="BF770" t="e">
        <f>solver_rel244=1</f>
        <v>#NAME?</v>
      </c>
    </row>
    <row r="771" spans="58:58" x14ac:dyDescent="0.25">
      <c r="BF771" t="e">
        <f>solver_rel245=3</f>
        <v>#NAME?</v>
      </c>
    </row>
    <row r="772" spans="58:58" x14ac:dyDescent="0.25">
      <c r="BF772" t="e">
        <f>solver_rel246=2</f>
        <v>#NAME?</v>
      </c>
    </row>
    <row r="773" spans="58:58" x14ac:dyDescent="0.25">
      <c r="BF773" t="e">
        <f>solver_rel247=1</f>
        <v>#NAME?</v>
      </c>
    </row>
    <row r="774" spans="58:58" x14ac:dyDescent="0.25">
      <c r="BF774" t="e">
        <f>solver_rel248=3</f>
        <v>#NAME?</v>
      </c>
    </row>
    <row r="775" spans="58:58" x14ac:dyDescent="0.25">
      <c r="BF775" t="e">
        <f>solver_rel249=2</f>
        <v>#NAME?</v>
      </c>
    </row>
    <row r="776" spans="58:58" x14ac:dyDescent="0.25">
      <c r="BF776" t="e">
        <f>solver_rel25=1</f>
        <v>#NAME?</v>
      </c>
    </row>
    <row r="777" spans="58:58" x14ac:dyDescent="0.25">
      <c r="BF777" t="e">
        <f>solver_rel250=1</f>
        <v>#NAME?</v>
      </c>
    </row>
    <row r="778" spans="58:58" x14ac:dyDescent="0.25">
      <c r="BF778" t="e">
        <f>solver_rel251=3</f>
        <v>#NAME?</v>
      </c>
    </row>
    <row r="779" spans="58:58" x14ac:dyDescent="0.25">
      <c r="BF779" t="e">
        <f>solver_rel252=2</f>
        <v>#NAME?</v>
      </c>
    </row>
    <row r="780" spans="58:58" x14ac:dyDescent="0.25">
      <c r="BF780" t="e">
        <f>solver_rel253=1</f>
        <v>#NAME?</v>
      </c>
    </row>
    <row r="781" spans="58:58" x14ac:dyDescent="0.25">
      <c r="BF781" t="e">
        <f>solver_rel254=3</f>
        <v>#NAME?</v>
      </c>
    </row>
    <row r="782" spans="58:58" x14ac:dyDescent="0.25">
      <c r="BF782" t="e">
        <f>solver_rel255=2</f>
        <v>#NAME?</v>
      </c>
    </row>
    <row r="783" spans="58:58" x14ac:dyDescent="0.25">
      <c r="BF783" t="e">
        <f>solver_rel256=1</f>
        <v>#NAME?</v>
      </c>
    </row>
    <row r="784" spans="58:58" x14ac:dyDescent="0.25">
      <c r="BF784" t="e">
        <f>solver_rel257=3</f>
        <v>#NAME?</v>
      </c>
    </row>
    <row r="785" spans="58:58" x14ac:dyDescent="0.25">
      <c r="BF785" t="e">
        <f>solver_rel258=2</f>
        <v>#NAME?</v>
      </c>
    </row>
    <row r="786" spans="58:58" x14ac:dyDescent="0.25">
      <c r="BF786" t="e">
        <f>solver_rel259=1</f>
        <v>#NAME?</v>
      </c>
    </row>
    <row r="787" spans="58:58" x14ac:dyDescent="0.25">
      <c r="BF787" t="e">
        <f>solver_rel26=3</f>
        <v>#NAME?</v>
      </c>
    </row>
    <row r="788" spans="58:58" x14ac:dyDescent="0.25">
      <c r="BF788" t="e">
        <f>solver_rel260=3</f>
        <v>#NAME?</v>
      </c>
    </row>
    <row r="789" spans="58:58" x14ac:dyDescent="0.25">
      <c r="BF789" t="e">
        <f>solver_rel261=2</f>
        <v>#NAME?</v>
      </c>
    </row>
    <row r="790" spans="58:58" x14ac:dyDescent="0.25">
      <c r="BF790" t="e">
        <f>solver_rel262=1</f>
        <v>#NAME?</v>
      </c>
    </row>
    <row r="791" spans="58:58" x14ac:dyDescent="0.25">
      <c r="BF791" t="e">
        <f>solver_rel263=3</f>
        <v>#NAME?</v>
      </c>
    </row>
    <row r="792" spans="58:58" x14ac:dyDescent="0.25">
      <c r="BF792" t="e">
        <f>solver_rel264=2</f>
        <v>#NAME?</v>
      </c>
    </row>
    <row r="793" spans="58:58" x14ac:dyDescent="0.25">
      <c r="BF793" t="e">
        <f>solver_rel265=1</f>
        <v>#NAME?</v>
      </c>
    </row>
    <row r="794" spans="58:58" x14ac:dyDescent="0.25">
      <c r="BF794" t="e">
        <f>solver_rel266=3</f>
        <v>#NAME?</v>
      </c>
    </row>
    <row r="795" spans="58:58" x14ac:dyDescent="0.25">
      <c r="BF795" t="e">
        <f>solver_rel267=2</f>
        <v>#NAME?</v>
      </c>
    </row>
    <row r="796" spans="58:58" x14ac:dyDescent="0.25">
      <c r="BF796" t="e">
        <f>solver_rel268=1</f>
        <v>#NAME?</v>
      </c>
    </row>
    <row r="797" spans="58:58" x14ac:dyDescent="0.25">
      <c r="BF797" t="e">
        <f>solver_rel269=3</f>
        <v>#NAME?</v>
      </c>
    </row>
    <row r="798" spans="58:58" x14ac:dyDescent="0.25">
      <c r="BF798" t="e">
        <f>solver_rel27=2</f>
        <v>#NAME?</v>
      </c>
    </row>
    <row r="799" spans="58:58" x14ac:dyDescent="0.25">
      <c r="BF799" t="e">
        <f>solver_rel270=2</f>
        <v>#NAME?</v>
      </c>
    </row>
    <row r="800" spans="58:58" x14ac:dyDescent="0.25">
      <c r="BF800" t="e">
        <f>solver_rel271=1</f>
        <v>#NAME?</v>
      </c>
    </row>
    <row r="801" spans="58:58" x14ac:dyDescent="0.25">
      <c r="BF801" t="e">
        <f>solver_rel272=3</f>
        <v>#NAME?</v>
      </c>
    </row>
    <row r="802" spans="58:58" x14ac:dyDescent="0.25">
      <c r="BF802" t="e">
        <f>solver_rel273=2</f>
        <v>#NAME?</v>
      </c>
    </row>
    <row r="803" spans="58:58" x14ac:dyDescent="0.25">
      <c r="BF803" t="e">
        <f>solver_rel274=1</f>
        <v>#NAME?</v>
      </c>
    </row>
    <row r="804" spans="58:58" x14ac:dyDescent="0.25">
      <c r="BF804" t="e">
        <f>solver_rel275=3</f>
        <v>#NAME?</v>
      </c>
    </row>
    <row r="805" spans="58:58" x14ac:dyDescent="0.25">
      <c r="BF805" t="e">
        <f>solver_rel276=2</f>
        <v>#NAME?</v>
      </c>
    </row>
    <row r="806" spans="58:58" x14ac:dyDescent="0.25">
      <c r="BF806" t="e">
        <f>solver_rel277=1</f>
        <v>#NAME?</v>
      </c>
    </row>
    <row r="807" spans="58:58" x14ac:dyDescent="0.25">
      <c r="BF807" t="e">
        <f>solver_rel278=3</f>
        <v>#NAME?</v>
      </c>
    </row>
    <row r="808" spans="58:58" x14ac:dyDescent="0.25">
      <c r="BF808" t="e">
        <f>solver_rel279=2</f>
        <v>#NAME?</v>
      </c>
    </row>
    <row r="809" spans="58:58" x14ac:dyDescent="0.25">
      <c r="BF809" t="e">
        <f>solver_rel28=1</f>
        <v>#NAME?</v>
      </c>
    </row>
    <row r="810" spans="58:58" x14ac:dyDescent="0.25">
      <c r="BF810" t="e">
        <f>solver_rel280=1</f>
        <v>#NAME?</v>
      </c>
    </row>
    <row r="811" spans="58:58" x14ac:dyDescent="0.25">
      <c r="BF811" t="e">
        <f>solver_rel281=3</f>
        <v>#NAME?</v>
      </c>
    </row>
    <row r="812" spans="58:58" x14ac:dyDescent="0.25">
      <c r="BF812" t="e">
        <f>solver_rel282=2</f>
        <v>#NAME?</v>
      </c>
    </row>
    <row r="813" spans="58:58" x14ac:dyDescent="0.25">
      <c r="BF813" t="e">
        <f>solver_rel283=1</f>
        <v>#NAME?</v>
      </c>
    </row>
    <row r="814" spans="58:58" x14ac:dyDescent="0.25">
      <c r="BF814" t="e">
        <f>solver_rel284=3</f>
        <v>#NAME?</v>
      </c>
    </row>
    <row r="815" spans="58:58" x14ac:dyDescent="0.25">
      <c r="BF815" t="e">
        <f>solver_rel285=2</f>
        <v>#NAME?</v>
      </c>
    </row>
    <row r="816" spans="58:58" x14ac:dyDescent="0.25">
      <c r="BF816" t="e">
        <f>solver_rel286=1</f>
        <v>#NAME?</v>
      </c>
    </row>
    <row r="817" spans="58:58" x14ac:dyDescent="0.25">
      <c r="BF817" t="e">
        <f>solver_rel287=3</f>
        <v>#NAME?</v>
      </c>
    </row>
    <row r="818" spans="58:58" x14ac:dyDescent="0.25">
      <c r="BF818" t="e">
        <f>solver_rel288=2</f>
        <v>#NAME?</v>
      </c>
    </row>
    <row r="819" spans="58:58" x14ac:dyDescent="0.25">
      <c r="BF819" t="e">
        <f>solver_rel289=1</f>
        <v>#NAME?</v>
      </c>
    </row>
    <row r="820" spans="58:58" x14ac:dyDescent="0.25">
      <c r="BF820" t="e">
        <f>solver_rel29=3</f>
        <v>#NAME?</v>
      </c>
    </row>
    <row r="821" spans="58:58" x14ac:dyDescent="0.25">
      <c r="BF821" t="e">
        <f>solver_rel290=3</f>
        <v>#NAME?</v>
      </c>
    </row>
    <row r="822" spans="58:58" x14ac:dyDescent="0.25">
      <c r="BF822" t="e">
        <f>solver_rel291=2</f>
        <v>#NAME?</v>
      </c>
    </row>
    <row r="823" spans="58:58" x14ac:dyDescent="0.25">
      <c r="BF823" t="e">
        <f>solver_rel292=1</f>
        <v>#NAME?</v>
      </c>
    </row>
    <row r="824" spans="58:58" x14ac:dyDescent="0.25">
      <c r="BF824" t="e">
        <f>solver_rel293=3</f>
        <v>#NAME?</v>
      </c>
    </row>
    <row r="825" spans="58:58" x14ac:dyDescent="0.25">
      <c r="BF825" t="e">
        <f>solver_rel294=2</f>
        <v>#NAME?</v>
      </c>
    </row>
    <row r="826" spans="58:58" x14ac:dyDescent="0.25">
      <c r="BF826" t="e">
        <f>solver_rel295=1</f>
        <v>#NAME?</v>
      </c>
    </row>
    <row r="827" spans="58:58" x14ac:dyDescent="0.25">
      <c r="BF827" t="e">
        <f>solver_rel296=3</f>
        <v>#NAME?</v>
      </c>
    </row>
    <row r="828" spans="58:58" x14ac:dyDescent="0.25">
      <c r="BF828" t="e">
        <f>solver_rel297=2</f>
        <v>#NAME?</v>
      </c>
    </row>
    <row r="829" spans="58:58" x14ac:dyDescent="0.25">
      <c r="BF829" t="e">
        <f>solver_rel298=1</f>
        <v>#NAME?</v>
      </c>
    </row>
    <row r="830" spans="58:58" x14ac:dyDescent="0.25">
      <c r="BF830" t="e">
        <f>solver_rel299=3</f>
        <v>#NAME?</v>
      </c>
    </row>
    <row r="831" spans="58:58" x14ac:dyDescent="0.25">
      <c r="BF831" t="e">
        <f>solver_rel3=2</f>
        <v>#NAME?</v>
      </c>
    </row>
    <row r="832" spans="58:58" x14ac:dyDescent="0.25">
      <c r="BF832" t="e">
        <f>solver_rel30=2</f>
        <v>#NAME?</v>
      </c>
    </row>
    <row r="833" spans="58:58" x14ac:dyDescent="0.25">
      <c r="BF833" t="e">
        <f>solver_rel300=2</f>
        <v>#NAME?</v>
      </c>
    </row>
    <row r="834" spans="58:58" x14ac:dyDescent="0.25">
      <c r="BF834" t="e">
        <f>solver_rel301=1</f>
        <v>#NAME?</v>
      </c>
    </row>
    <row r="835" spans="58:58" x14ac:dyDescent="0.25">
      <c r="BF835" t="e">
        <f>solver_rel302=3</f>
        <v>#NAME?</v>
      </c>
    </row>
    <row r="836" spans="58:58" x14ac:dyDescent="0.25">
      <c r="BF836" t="e">
        <f>solver_rel303=2</f>
        <v>#NAME?</v>
      </c>
    </row>
    <row r="837" spans="58:58" x14ac:dyDescent="0.25">
      <c r="BF837" t="e">
        <f>solver_rel304=1</f>
        <v>#NAME?</v>
      </c>
    </row>
    <row r="838" spans="58:58" x14ac:dyDescent="0.25">
      <c r="BF838" t="e">
        <f>solver_rel305=3</f>
        <v>#NAME?</v>
      </c>
    </row>
    <row r="839" spans="58:58" x14ac:dyDescent="0.25">
      <c r="BF839" t="e">
        <f>solver_rel306=2</f>
        <v>#NAME?</v>
      </c>
    </row>
    <row r="840" spans="58:58" x14ac:dyDescent="0.25">
      <c r="BF840" t="e">
        <f>solver_rel307=1</f>
        <v>#NAME?</v>
      </c>
    </row>
    <row r="841" spans="58:58" x14ac:dyDescent="0.25">
      <c r="BF841" t="e">
        <f>solver_rel308=3</f>
        <v>#NAME?</v>
      </c>
    </row>
    <row r="842" spans="58:58" x14ac:dyDescent="0.25">
      <c r="BF842" t="e">
        <f>solver_rel309=2</f>
        <v>#NAME?</v>
      </c>
    </row>
    <row r="843" spans="58:58" x14ac:dyDescent="0.25">
      <c r="BF843" t="e">
        <f>solver_rel31=1</f>
        <v>#NAME?</v>
      </c>
    </row>
    <row r="844" spans="58:58" x14ac:dyDescent="0.25">
      <c r="BF844" t="e">
        <f>solver_rel310=1</f>
        <v>#NAME?</v>
      </c>
    </row>
    <row r="845" spans="58:58" x14ac:dyDescent="0.25">
      <c r="BF845" t="e">
        <f>solver_rel311=3</f>
        <v>#NAME?</v>
      </c>
    </row>
    <row r="846" spans="58:58" x14ac:dyDescent="0.25">
      <c r="BF846" t="e">
        <f>solver_rel312=2</f>
        <v>#NAME?</v>
      </c>
    </row>
    <row r="847" spans="58:58" x14ac:dyDescent="0.25">
      <c r="BF847" t="e">
        <f>solver_rel313=1</f>
        <v>#NAME?</v>
      </c>
    </row>
    <row r="848" spans="58:58" x14ac:dyDescent="0.25">
      <c r="BF848" t="e">
        <f>solver_rel314=3</f>
        <v>#NAME?</v>
      </c>
    </row>
    <row r="849" spans="58:58" x14ac:dyDescent="0.25">
      <c r="BF849" t="e">
        <f>solver_rel315=2</f>
        <v>#NAME?</v>
      </c>
    </row>
    <row r="850" spans="58:58" x14ac:dyDescent="0.25">
      <c r="BF850" t="e">
        <f>solver_rel316=1</f>
        <v>#NAME?</v>
      </c>
    </row>
    <row r="851" spans="58:58" x14ac:dyDescent="0.25">
      <c r="BF851" t="e">
        <f>solver_rel317=3</f>
        <v>#NAME?</v>
      </c>
    </row>
    <row r="852" spans="58:58" x14ac:dyDescent="0.25">
      <c r="BF852" t="e">
        <f>solver_rel318=2</f>
        <v>#NAME?</v>
      </c>
    </row>
    <row r="853" spans="58:58" x14ac:dyDescent="0.25">
      <c r="BF853" t="e">
        <f>solver_rel319=1</f>
        <v>#NAME?</v>
      </c>
    </row>
    <row r="854" spans="58:58" x14ac:dyDescent="0.25">
      <c r="BF854" t="e">
        <f>solver_rel32=3</f>
        <v>#NAME?</v>
      </c>
    </row>
    <row r="855" spans="58:58" x14ac:dyDescent="0.25">
      <c r="BF855" t="e">
        <f>solver_rel320=3</f>
        <v>#NAME?</v>
      </c>
    </row>
    <row r="856" spans="58:58" x14ac:dyDescent="0.25">
      <c r="BF856" t="e">
        <f>solver_rel321=2</f>
        <v>#NAME?</v>
      </c>
    </row>
    <row r="857" spans="58:58" x14ac:dyDescent="0.25">
      <c r="BF857" t="e">
        <f>solver_rel322=1</f>
        <v>#NAME?</v>
      </c>
    </row>
    <row r="858" spans="58:58" x14ac:dyDescent="0.25">
      <c r="BF858" t="e">
        <f>solver_rel323=3</f>
        <v>#NAME?</v>
      </c>
    </row>
    <row r="859" spans="58:58" x14ac:dyDescent="0.25">
      <c r="BF859" t="e">
        <f>solver_rel324=2</f>
        <v>#NAME?</v>
      </c>
    </row>
    <row r="860" spans="58:58" x14ac:dyDescent="0.25">
      <c r="BF860" t="e">
        <f>solver_rel325=1</f>
        <v>#NAME?</v>
      </c>
    </row>
    <row r="861" spans="58:58" x14ac:dyDescent="0.25">
      <c r="BF861" t="e">
        <f>solver_rel326=3</f>
        <v>#NAME?</v>
      </c>
    </row>
    <row r="862" spans="58:58" x14ac:dyDescent="0.25">
      <c r="BF862" t="e">
        <f>solver_rel327=2</f>
        <v>#NAME?</v>
      </c>
    </row>
    <row r="863" spans="58:58" x14ac:dyDescent="0.25">
      <c r="BF863" t="e">
        <f>solver_rel328=1</f>
        <v>#NAME?</v>
      </c>
    </row>
    <row r="864" spans="58:58" x14ac:dyDescent="0.25">
      <c r="BF864" t="e">
        <f>solver_rel329=3</f>
        <v>#NAME?</v>
      </c>
    </row>
    <row r="865" spans="58:58" x14ac:dyDescent="0.25">
      <c r="BF865" t="e">
        <f>solver_rel33=2</f>
        <v>#NAME?</v>
      </c>
    </row>
    <row r="866" spans="58:58" x14ac:dyDescent="0.25">
      <c r="BF866" t="e">
        <f>solver_rel330=2</f>
        <v>#NAME?</v>
      </c>
    </row>
    <row r="867" spans="58:58" x14ac:dyDescent="0.25">
      <c r="BF867" t="e">
        <f>solver_rel331=1</f>
        <v>#NAME?</v>
      </c>
    </row>
    <row r="868" spans="58:58" x14ac:dyDescent="0.25">
      <c r="BF868" t="e">
        <f>solver_rel332=3</f>
        <v>#NAME?</v>
      </c>
    </row>
    <row r="869" spans="58:58" x14ac:dyDescent="0.25">
      <c r="BF869" t="e">
        <f>solver_rel333=2</f>
        <v>#NAME?</v>
      </c>
    </row>
    <row r="870" spans="58:58" x14ac:dyDescent="0.25">
      <c r="BF870" t="e">
        <f>solver_rel334=1</f>
        <v>#NAME?</v>
      </c>
    </row>
    <row r="871" spans="58:58" x14ac:dyDescent="0.25">
      <c r="BF871" t="e">
        <f>solver_rel335=3</f>
        <v>#NAME?</v>
      </c>
    </row>
    <row r="872" spans="58:58" x14ac:dyDescent="0.25">
      <c r="BF872" t="e">
        <f>solver_rel336=2</f>
        <v>#NAME?</v>
      </c>
    </row>
    <row r="873" spans="58:58" x14ac:dyDescent="0.25">
      <c r="BF873" t="e">
        <f>solver_rel337=1</f>
        <v>#NAME?</v>
      </c>
    </row>
    <row r="874" spans="58:58" x14ac:dyDescent="0.25">
      <c r="BF874" t="e">
        <f>solver_rel338=3</f>
        <v>#NAME?</v>
      </c>
    </row>
    <row r="875" spans="58:58" x14ac:dyDescent="0.25">
      <c r="BF875" t="e">
        <f>solver_rel339=2</f>
        <v>#NAME?</v>
      </c>
    </row>
    <row r="876" spans="58:58" x14ac:dyDescent="0.25">
      <c r="BF876" t="e">
        <f>solver_rel34=1</f>
        <v>#NAME?</v>
      </c>
    </row>
    <row r="877" spans="58:58" x14ac:dyDescent="0.25">
      <c r="BF877" t="e">
        <f>solver_rel340=1</f>
        <v>#NAME?</v>
      </c>
    </row>
    <row r="878" spans="58:58" x14ac:dyDescent="0.25">
      <c r="BF878" t="e">
        <f>solver_rel341=3</f>
        <v>#NAME?</v>
      </c>
    </row>
    <row r="879" spans="58:58" x14ac:dyDescent="0.25">
      <c r="BF879" t="e">
        <f>solver_rel342=2</f>
        <v>#NAME?</v>
      </c>
    </row>
    <row r="880" spans="58:58" x14ac:dyDescent="0.25">
      <c r="BF880" t="e">
        <f>solver_rel343=1</f>
        <v>#NAME?</v>
      </c>
    </row>
    <row r="881" spans="58:58" x14ac:dyDescent="0.25">
      <c r="BF881" t="e">
        <f>solver_rel344=3</f>
        <v>#NAME?</v>
      </c>
    </row>
    <row r="882" spans="58:58" x14ac:dyDescent="0.25">
      <c r="BF882" t="e">
        <f>solver_rel345=2</f>
        <v>#NAME?</v>
      </c>
    </row>
    <row r="883" spans="58:58" x14ac:dyDescent="0.25">
      <c r="BF883" t="e">
        <f>solver_rel346=1</f>
        <v>#NAME?</v>
      </c>
    </row>
    <row r="884" spans="58:58" x14ac:dyDescent="0.25">
      <c r="BF884" t="e">
        <f>solver_rel347=3</f>
        <v>#NAME?</v>
      </c>
    </row>
    <row r="885" spans="58:58" x14ac:dyDescent="0.25">
      <c r="BF885" t="e">
        <f>solver_rel348=2</f>
        <v>#NAME?</v>
      </c>
    </row>
    <row r="886" spans="58:58" x14ac:dyDescent="0.25">
      <c r="BF886" t="e">
        <f>solver_rel349=1</f>
        <v>#NAME?</v>
      </c>
    </row>
    <row r="887" spans="58:58" x14ac:dyDescent="0.25">
      <c r="BF887" t="e">
        <f>solver_rel35=3</f>
        <v>#NAME?</v>
      </c>
    </row>
    <row r="888" spans="58:58" x14ac:dyDescent="0.25">
      <c r="BF888" t="e">
        <f>solver_rel350=3</f>
        <v>#NAME?</v>
      </c>
    </row>
    <row r="889" spans="58:58" x14ac:dyDescent="0.25">
      <c r="BF889" t="e">
        <f>solver_rel351=2</f>
        <v>#NAME?</v>
      </c>
    </row>
    <row r="890" spans="58:58" x14ac:dyDescent="0.25">
      <c r="BF890" t="e">
        <f>solver_rel352=1</f>
        <v>#NAME?</v>
      </c>
    </row>
    <row r="891" spans="58:58" x14ac:dyDescent="0.25">
      <c r="BF891" t="e">
        <f>solver_rel353=3</f>
        <v>#NAME?</v>
      </c>
    </row>
    <row r="892" spans="58:58" x14ac:dyDescent="0.25">
      <c r="BF892" t="e">
        <f>solver_rel354=2</f>
        <v>#NAME?</v>
      </c>
    </row>
    <row r="893" spans="58:58" x14ac:dyDescent="0.25">
      <c r="BF893" t="e">
        <f>solver_rel355=1</f>
        <v>#NAME?</v>
      </c>
    </row>
    <row r="894" spans="58:58" x14ac:dyDescent="0.25">
      <c r="BF894" t="e">
        <f>solver_rel356=3</f>
        <v>#NAME?</v>
      </c>
    </row>
    <row r="895" spans="58:58" x14ac:dyDescent="0.25">
      <c r="BF895" t="e">
        <f>solver_rel357=2</f>
        <v>#NAME?</v>
      </c>
    </row>
    <row r="896" spans="58:58" x14ac:dyDescent="0.25">
      <c r="BF896" t="e">
        <f>solver_rel358=1</f>
        <v>#NAME?</v>
      </c>
    </row>
    <row r="897" spans="58:58" x14ac:dyDescent="0.25">
      <c r="BF897" t="e">
        <f>solver_rel359=3</f>
        <v>#NAME?</v>
      </c>
    </row>
    <row r="898" spans="58:58" x14ac:dyDescent="0.25">
      <c r="BF898" t="e">
        <f>solver_rel36=2</f>
        <v>#NAME?</v>
      </c>
    </row>
    <row r="899" spans="58:58" x14ac:dyDescent="0.25">
      <c r="BF899" t="e">
        <f>solver_rel360=2</f>
        <v>#NAME?</v>
      </c>
    </row>
    <row r="900" spans="58:58" x14ac:dyDescent="0.25">
      <c r="BF900" t="e">
        <f>solver_rel361=1</f>
        <v>#NAME?</v>
      </c>
    </row>
    <row r="901" spans="58:58" x14ac:dyDescent="0.25">
      <c r="BF901" t="e">
        <f>solver_rel362=3</f>
        <v>#NAME?</v>
      </c>
    </row>
    <row r="902" spans="58:58" x14ac:dyDescent="0.25">
      <c r="BF902" t="e">
        <f>solver_rel363=2</f>
        <v>#NAME?</v>
      </c>
    </row>
    <row r="903" spans="58:58" x14ac:dyDescent="0.25">
      <c r="BF903" t="e">
        <f>solver_rel364=1</f>
        <v>#NAME?</v>
      </c>
    </row>
    <row r="904" spans="58:58" x14ac:dyDescent="0.25">
      <c r="BF904" t="e">
        <f>solver_rel365=3</f>
        <v>#NAME?</v>
      </c>
    </row>
    <row r="905" spans="58:58" x14ac:dyDescent="0.25">
      <c r="BF905" t="e">
        <f>solver_rel366=2</f>
        <v>#NAME?</v>
      </c>
    </row>
    <row r="906" spans="58:58" x14ac:dyDescent="0.25">
      <c r="BF906" t="e">
        <f>solver_rel367=1</f>
        <v>#NAME?</v>
      </c>
    </row>
    <row r="907" spans="58:58" x14ac:dyDescent="0.25">
      <c r="BF907" t="e">
        <f>solver_rel368=3</f>
        <v>#NAME?</v>
      </c>
    </row>
    <row r="908" spans="58:58" x14ac:dyDescent="0.25">
      <c r="BF908" t="e">
        <f>solver_rel369=2</f>
        <v>#NAME?</v>
      </c>
    </row>
    <row r="909" spans="58:58" x14ac:dyDescent="0.25">
      <c r="BF909" t="e">
        <f>solver_rel37=1</f>
        <v>#NAME?</v>
      </c>
    </row>
    <row r="910" spans="58:58" x14ac:dyDescent="0.25">
      <c r="BF910" t="e">
        <f>solver_rel370=1</f>
        <v>#NAME?</v>
      </c>
    </row>
    <row r="911" spans="58:58" x14ac:dyDescent="0.25">
      <c r="BF911" t="e">
        <f>solver_rel371=3</f>
        <v>#NAME?</v>
      </c>
    </row>
    <row r="912" spans="58:58" x14ac:dyDescent="0.25">
      <c r="BF912" t="e">
        <f>solver_rel372=2</f>
        <v>#NAME?</v>
      </c>
    </row>
    <row r="913" spans="58:58" x14ac:dyDescent="0.25">
      <c r="BF913" t="e">
        <f>solver_rel373=1</f>
        <v>#NAME?</v>
      </c>
    </row>
    <row r="914" spans="58:58" x14ac:dyDescent="0.25">
      <c r="BF914" t="e">
        <f>solver_rel374=3</f>
        <v>#NAME?</v>
      </c>
    </row>
    <row r="915" spans="58:58" x14ac:dyDescent="0.25">
      <c r="BF915" t="e">
        <f>solver_rel375=2</f>
        <v>#NAME?</v>
      </c>
    </row>
    <row r="916" spans="58:58" x14ac:dyDescent="0.25">
      <c r="BF916" t="e">
        <f>solver_rel376=1</f>
        <v>#NAME?</v>
      </c>
    </row>
    <row r="917" spans="58:58" x14ac:dyDescent="0.25">
      <c r="BF917" t="e">
        <f>solver_rel377=3</f>
        <v>#NAME?</v>
      </c>
    </row>
    <row r="918" spans="58:58" x14ac:dyDescent="0.25">
      <c r="BF918" t="e">
        <f>solver_rel378=2</f>
        <v>#NAME?</v>
      </c>
    </row>
    <row r="919" spans="58:58" x14ac:dyDescent="0.25">
      <c r="BF919" t="e">
        <f>solver_rel379=1</f>
        <v>#NAME?</v>
      </c>
    </row>
    <row r="920" spans="58:58" x14ac:dyDescent="0.25">
      <c r="BF920" t="e">
        <f>solver_rel38=3</f>
        <v>#NAME?</v>
      </c>
    </row>
    <row r="921" spans="58:58" x14ac:dyDescent="0.25">
      <c r="BF921" t="e">
        <f>solver_rel380=3</f>
        <v>#NAME?</v>
      </c>
    </row>
    <row r="922" spans="58:58" x14ac:dyDescent="0.25">
      <c r="BF922" t="e">
        <f>solver_rel381=2</f>
        <v>#NAME?</v>
      </c>
    </row>
    <row r="923" spans="58:58" x14ac:dyDescent="0.25">
      <c r="BF923" t="e">
        <f>solver_rel382=1</f>
        <v>#NAME?</v>
      </c>
    </row>
    <row r="924" spans="58:58" x14ac:dyDescent="0.25">
      <c r="BF924" t="e">
        <f>solver_rel383=3</f>
        <v>#NAME?</v>
      </c>
    </row>
    <row r="925" spans="58:58" x14ac:dyDescent="0.25">
      <c r="BF925" t="e">
        <f>solver_rel384=2</f>
        <v>#NAME?</v>
      </c>
    </row>
    <row r="926" spans="58:58" x14ac:dyDescent="0.25">
      <c r="BF926" t="e">
        <f>solver_rel385=1</f>
        <v>#NAME?</v>
      </c>
    </row>
    <row r="927" spans="58:58" x14ac:dyDescent="0.25">
      <c r="BF927" t="e">
        <f>solver_rel386=3</f>
        <v>#NAME?</v>
      </c>
    </row>
    <row r="928" spans="58:58" x14ac:dyDescent="0.25">
      <c r="BF928" t="e">
        <f>solver_rel387=2</f>
        <v>#NAME?</v>
      </c>
    </row>
    <row r="929" spans="58:58" x14ac:dyDescent="0.25">
      <c r="BF929" t="e">
        <f>solver_rel388=1</f>
        <v>#NAME?</v>
      </c>
    </row>
    <row r="930" spans="58:58" x14ac:dyDescent="0.25">
      <c r="BF930" t="e">
        <f>solver_rel389=3</f>
        <v>#NAME?</v>
      </c>
    </row>
    <row r="931" spans="58:58" x14ac:dyDescent="0.25">
      <c r="BF931" t="e">
        <f>solver_rel39=2</f>
        <v>#NAME?</v>
      </c>
    </row>
    <row r="932" spans="58:58" x14ac:dyDescent="0.25">
      <c r="BF932" t="e">
        <f>solver_rel390=2</f>
        <v>#NAME?</v>
      </c>
    </row>
    <row r="933" spans="58:58" x14ac:dyDescent="0.25">
      <c r="BF933" t="e">
        <f>solver_rel391=1</f>
        <v>#NAME?</v>
      </c>
    </row>
    <row r="934" spans="58:58" x14ac:dyDescent="0.25">
      <c r="BF934" t="e">
        <f>solver_rel392=3</f>
        <v>#NAME?</v>
      </c>
    </row>
    <row r="935" spans="58:58" x14ac:dyDescent="0.25">
      <c r="BF935" t="e">
        <f>solver_rel393=2</f>
        <v>#NAME?</v>
      </c>
    </row>
    <row r="936" spans="58:58" x14ac:dyDescent="0.25">
      <c r="BF936" t="e">
        <f>solver_rel394=1</f>
        <v>#NAME?</v>
      </c>
    </row>
    <row r="937" spans="58:58" x14ac:dyDescent="0.25">
      <c r="BF937" t="e">
        <f>solver_rel395=3</f>
        <v>#NAME?</v>
      </c>
    </row>
    <row r="938" spans="58:58" x14ac:dyDescent="0.25">
      <c r="BF938" t="e">
        <f>solver_rel396=2</f>
        <v>#NAME?</v>
      </c>
    </row>
    <row r="939" spans="58:58" x14ac:dyDescent="0.25">
      <c r="BF939" t="e">
        <f>solver_rel397=1</f>
        <v>#NAME?</v>
      </c>
    </row>
    <row r="940" spans="58:58" x14ac:dyDescent="0.25">
      <c r="BF940" t="e">
        <f>solver_rel398=3</f>
        <v>#NAME?</v>
      </c>
    </row>
    <row r="941" spans="58:58" x14ac:dyDescent="0.25">
      <c r="BF941" t="e">
        <f>solver_rel399=2</f>
        <v>#NAME?</v>
      </c>
    </row>
    <row r="942" spans="58:58" x14ac:dyDescent="0.25">
      <c r="BF942" t="e">
        <f>solver_rel4=1</f>
        <v>#NAME?</v>
      </c>
    </row>
    <row r="943" spans="58:58" x14ac:dyDescent="0.25">
      <c r="BF943" t="e">
        <f>solver_rel40=1</f>
        <v>#NAME?</v>
      </c>
    </row>
    <row r="944" spans="58:58" x14ac:dyDescent="0.25">
      <c r="BF944" t="e">
        <f>solver_rel400=1</f>
        <v>#NAME?</v>
      </c>
    </row>
    <row r="945" spans="58:58" x14ac:dyDescent="0.25">
      <c r="BF945" t="e">
        <f>solver_rel401=3</f>
        <v>#NAME?</v>
      </c>
    </row>
    <row r="946" spans="58:58" x14ac:dyDescent="0.25">
      <c r="BF946" t="e">
        <f>solver_rel402=2</f>
        <v>#NAME?</v>
      </c>
    </row>
    <row r="947" spans="58:58" x14ac:dyDescent="0.25">
      <c r="BF947" t="e">
        <f>solver_rel403=1</f>
        <v>#NAME?</v>
      </c>
    </row>
    <row r="948" spans="58:58" x14ac:dyDescent="0.25">
      <c r="BF948" t="e">
        <f>solver_rel404=3</f>
        <v>#NAME?</v>
      </c>
    </row>
    <row r="949" spans="58:58" x14ac:dyDescent="0.25">
      <c r="BF949" t="e">
        <f>solver_rel405=2</f>
        <v>#NAME?</v>
      </c>
    </row>
    <row r="950" spans="58:58" x14ac:dyDescent="0.25">
      <c r="BF950" t="e">
        <f>solver_rel406=1</f>
        <v>#NAME?</v>
      </c>
    </row>
    <row r="951" spans="58:58" x14ac:dyDescent="0.25">
      <c r="BF951" t="e">
        <f>solver_rel407=3</f>
        <v>#NAME?</v>
      </c>
    </row>
    <row r="952" spans="58:58" x14ac:dyDescent="0.25">
      <c r="BF952" t="e">
        <f>solver_rel408=2</f>
        <v>#NAME?</v>
      </c>
    </row>
    <row r="953" spans="58:58" x14ac:dyDescent="0.25">
      <c r="BF953" t="e">
        <f>solver_rel409=1</f>
        <v>#NAME?</v>
      </c>
    </row>
    <row r="954" spans="58:58" x14ac:dyDescent="0.25">
      <c r="BF954" t="e">
        <f>solver_rel41=3</f>
        <v>#NAME?</v>
      </c>
    </row>
    <row r="955" spans="58:58" x14ac:dyDescent="0.25">
      <c r="BF955" t="e">
        <f>solver_rel410=3</f>
        <v>#NAME?</v>
      </c>
    </row>
    <row r="956" spans="58:58" x14ac:dyDescent="0.25">
      <c r="BF956" t="e">
        <f>solver_rel411=2</f>
        <v>#NAME?</v>
      </c>
    </row>
    <row r="957" spans="58:58" x14ac:dyDescent="0.25">
      <c r="BF957" t="e">
        <f>solver_rel412=1</f>
        <v>#NAME?</v>
      </c>
    </row>
    <row r="958" spans="58:58" x14ac:dyDescent="0.25">
      <c r="BF958" t="e">
        <f>solver_rel413=3</f>
        <v>#NAME?</v>
      </c>
    </row>
    <row r="959" spans="58:58" x14ac:dyDescent="0.25">
      <c r="BF959" t="e">
        <f>solver_rel414=2</f>
        <v>#NAME?</v>
      </c>
    </row>
    <row r="960" spans="58:58" x14ac:dyDescent="0.25">
      <c r="BF960" t="e">
        <f>solver_rel415=1</f>
        <v>#NAME?</v>
      </c>
    </row>
    <row r="961" spans="58:58" x14ac:dyDescent="0.25">
      <c r="BF961" t="e">
        <f>solver_rel416=3</f>
        <v>#NAME?</v>
      </c>
    </row>
    <row r="962" spans="58:58" x14ac:dyDescent="0.25">
      <c r="BF962" t="e">
        <f>solver_rel417=2</f>
        <v>#NAME?</v>
      </c>
    </row>
    <row r="963" spans="58:58" x14ac:dyDescent="0.25">
      <c r="BF963" t="e">
        <f>solver_rel418=1</f>
        <v>#NAME?</v>
      </c>
    </row>
    <row r="964" spans="58:58" x14ac:dyDescent="0.25">
      <c r="BF964" t="e">
        <f>solver_rel419=3</f>
        <v>#NAME?</v>
      </c>
    </row>
    <row r="965" spans="58:58" x14ac:dyDescent="0.25">
      <c r="BF965" t="e">
        <f>solver_rel42=2</f>
        <v>#NAME?</v>
      </c>
    </row>
    <row r="966" spans="58:58" x14ac:dyDescent="0.25">
      <c r="BF966" t="e">
        <f>solver_rel420=2</f>
        <v>#NAME?</v>
      </c>
    </row>
    <row r="967" spans="58:58" x14ac:dyDescent="0.25">
      <c r="BF967" t="e">
        <f>solver_rel421=1</f>
        <v>#NAME?</v>
      </c>
    </row>
    <row r="968" spans="58:58" x14ac:dyDescent="0.25">
      <c r="BF968" t="e">
        <f>solver_rel422=3</f>
        <v>#NAME?</v>
      </c>
    </row>
    <row r="969" spans="58:58" x14ac:dyDescent="0.25">
      <c r="BF969" t="e">
        <f>solver_rel423=2</f>
        <v>#NAME?</v>
      </c>
    </row>
    <row r="970" spans="58:58" x14ac:dyDescent="0.25">
      <c r="BF970" t="e">
        <f>solver_rel424=1</f>
        <v>#NAME?</v>
      </c>
    </row>
    <row r="971" spans="58:58" x14ac:dyDescent="0.25">
      <c r="BF971" t="e">
        <f>solver_rel425=3</f>
        <v>#NAME?</v>
      </c>
    </row>
    <row r="972" spans="58:58" x14ac:dyDescent="0.25">
      <c r="BF972" t="e">
        <f>solver_rel426=2</f>
        <v>#NAME?</v>
      </c>
    </row>
    <row r="973" spans="58:58" x14ac:dyDescent="0.25">
      <c r="BF973" t="e">
        <f>solver_rel427=1</f>
        <v>#NAME?</v>
      </c>
    </row>
    <row r="974" spans="58:58" x14ac:dyDescent="0.25">
      <c r="BF974" t="e">
        <f>solver_rel428=3</f>
        <v>#NAME?</v>
      </c>
    </row>
    <row r="975" spans="58:58" x14ac:dyDescent="0.25">
      <c r="BF975" t="e">
        <f>solver_rel429=2</f>
        <v>#NAME?</v>
      </c>
    </row>
    <row r="976" spans="58:58" x14ac:dyDescent="0.25">
      <c r="BF976" t="e">
        <f>solver_rel43=1</f>
        <v>#NAME?</v>
      </c>
    </row>
    <row r="977" spans="58:58" x14ac:dyDescent="0.25">
      <c r="BF977" t="e">
        <f>solver_rel430=1</f>
        <v>#NAME?</v>
      </c>
    </row>
    <row r="978" spans="58:58" x14ac:dyDescent="0.25">
      <c r="BF978" t="e">
        <f>solver_rel431=3</f>
        <v>#NAME?</v>
      </c>
    </row>
    <row r="979" spans="58:58" x14ac:dyDescent="0.25">
      <c r="BF979" t="e">
        <f>solver_rel432=2</f>
        <v>#NAME?</v>
      </c>
    </row>
    <row r="980" spans="58:58" x14ac:dyDescent="0.25">
      <c r="BF980" t="e">
        <f>solver_rel433=1</f>
        <v>#NAME?</v>
      </c>
    </row>
    <row r="981" spans="58:58" x14ac:dyDescent="0.25">
      <c r="BF981" t="e">
        <f>solver_rel434=3</f>
        <v>#NAME?</v>
      </c>
    </row>
    <row r="982" spans="58:58" x14ac:dyDescent="0.25">
      <c r="BF982" t="e">
        <f>solver_rel435=2</f>
        <v>#NAME?</v>
      </c>
    </row>
    <row r="983" spans="58:58" x14ac:dyDescent="0.25">
      <c r="BF983" t="e">
        <f>solver_rel436=1</f>
        <v>#NAME?</v>
      </c>
    </row>
    <row r="984" spans="58:58" x14ac:dyDescent="0.25">
      <c r="BF984" t="e">
        <f>solver_rel437=3</f>
        <v>#NAME?</v>
      </c>
    </row>
    <row r="985" spans="58:58" x14ac:dyDescent="0.25">
      <c r="BF985" t="e">
        <f>solver_rel438=2</f>
        <v>#NAME?</v>
      </c>
    </row>
    <row r="986" spans="58:58" x14ac:dyDescent="0.25">
      <c r="BF986" t="e">
        <f>solver_rel439=1</f>
        <v>#NAME?</v>
      </c>
    </row>
    <row r="987" spans="58:58" x14ac:dyDescent="0.25">
      <c r="BF987" t="e">
        <f>solver_rel44=3</f>
        <v>#NAME?</v>
      </c>
    </row>
    <row r="988" spans="58:58" x14ac:dyDescent="0.25">
      <c r="BF988" t="e">
        <f>solver_rel440=3</f>
        <v>#NAME?</v>
      </c>
    </row>
    <row r="989" spans="58:58" x14ac:dyDescent="0.25">
      <c r="BF989" t="e">
        <f>solver_rel441=2</f>
        <v>#NAME?</v>
      </c>
    </row>
    <row r="990" spans="58:58" x14ac:dyDescent="0.25">
      <c r="BF990" t="e">
        <f>solver_rel442=1</f>
        <v>#NAME?</v>
      </c>
    </row>
    <row r="991" spans="58:58" x14ac:dyDescent="0.25">
      <c r="BF991" t="e">
        <f>solver_rel443=3</f>
        <v>#NAME?</v>
      </c>
    </row>
    <row r="992" spans="58:58" x14ac:dyDescent="0.25">
      <c r="BF992" t="e">
        <f>solver_rel444=2</f>
        <v>#NAME?</v>
      </c>
    </row>
    <row r="993" spans="58:58" x14ac:dyDescent="0.25">
      <c r="BF993" t="e">
        <f>solver_rel445=1</f>
        <v>#NAME?</v>
      </c>
    </row>
    <row r="994" spans="58:58" x14ac:dyDescent="0.25">
      <c r="BF994" t="e">
        <f>solver_rel446=3</f>
        <v>#NAME?</v>
      </c>
    </row>
    <row r="995" spans="58:58" x14ac:dyDescent="0.25">
      <c r="BF995" t="e">
        <f>solver_rel447=2</f>
        <v>#NAME?</v>
      </c>
    </row>
    <row r="996" spans="58:58" x14ac:dyDescent="0.25">
      <c r="BF996" t="e">
        <f>solver_rel448=1</f>
        <v>#NAME?</v>
      </c>
    </row>
    <row r="997" spans="58:58" x14ac:dyDescent="0.25">
      <c r="BF997" t="e">
        <f>solver_rel449=3</f>
        <v>#NAME?</v>
      </c>
    </row>
    <row r="998" spans="58:58" x14ac:dyDescent="0.25">
      <c r="BF998" t="e">
        <f>solver_rel45=2</f>
        <v>#NAME?</v>
      </c>
    </row>
    <row r="999" spans="58:58" x14ac:dyDescent="0.25">
      <c r="BF999" t="e">
        <f>solver_rel450=2</f>
        <v>#NAME?</v>
      </c>
    </row>
    <row r="1000" spans="58:58" x14ac:dyDescent="0.25">
      <c r="BF1000" t="e">
        <f>solver_rel451=1</f>
        <v>#NAME?</v>
      </c>
    </row>
    <row r="1001" spans="58:58" x14ac:dyDescent="0.25">
      <c r="BF1001" t="e">
        <f>solver_rel452=3</f>
        <v>#NAME?</v>
      </c>
    </row>
    <row r="1002" spans="58:58" x14ac:dyDescent="0.25">
      <c r="BF1002" t="e">
        <f>solver_rel453=2</f>
        <v>#NAME?</v>
      </c>
    </row>
    <row r="1003" spans="58:58" x14ac:dyDescent="0.25">
      <c r="BF1003" t="e">
        <f>solver_rel454=1</f>
        <v>#NAME?</v>
      </c>
    </row>
    <row r="1004" spans="58:58" x14ac:dyDescent="0.25">
      <c r="BF1004" t="e">
        <f>solver_rel455=3</f>
        <v>#NAME?</v>
      </c>
    </row>
    <row r="1005" spans="58:58" x14ac:dyDescent="0.25">
      <c r="BF1005" t="e">
        <f>solver_rel456=2</f>
        <v>#NAME?</v>
      </c>
    </row>
    <row r="1006" spans="58:58" x14ac:dyDescent="0.25">
      <c r="BF1006" t="e">
        <f>solver_rel457=1</f>
        <v>#NAME?</v>
      </c>
    </row>
    <row r="1007" spans="58:58" x14ac:dyDescent="0.25">
      <c r="BF1007" t="e">
        <f>solver_rel458=3</f>
        <v>#NAME?</v>
      </c>
    </row>
    <row r="1008" spans="58:58" x14ac:dyDescent="0.25">
      <c r="BF1008" t="e">
        <f>solver_rel459=2</f>
        <v>#NAME?</v>
      </c>
    </row>
    <row r="1009" spans="58:58" x14ac:dyDescent="0.25">
      <c r="BF1009" t="e">
        <f>solver_rel46=1</f>
        <v>#NAME?</v>
      </c>
    </row>
    <row r="1010" spans="58:58" x14ac:dyDescent="0.25">
      <c r="BF1010" t="e">
        <f>solver_rel460=1</f>
        <v>#NAME?</v>
      </c>
    </row>
    <row r="1011" spans="58:58" x14ac:dyDescent="0.25">
      <c r="BF1011" t="e">
        <f>solver_rel461=3</f>
        <v>#NAME?</v>
      </c>
    </row>
    <row r="1012" spans="58:58" x14ac:dyDescent="0.25">
      <c r="BF1012" t="e">
        <f>solver_rel462=2</f>
        <v>#NAME?</v>
      </c>
    </row>
    <row r="1013" spans="58:58" x14ac:dyDescent="0.25">
      <c r="BF1013" t="e">
        <f>solver_rel463=1</f>
        <v>#NAME?</v>
      </c>
    </row>
    <row r="1014" spans="58:58" x14ac:dyDescent="0.25">
      <c r="BF1014" t="e">
        <f>solver_rel464=3</f>
        <v>#NAME?</v>
      </c>
    </row>
    <row r="1015" spans="58:58" x14ac:dyDescent="0.25">
      <c r="BF1015" t="e">
        <f>solver_rel465=2</f>
        <v>#NAME?</v>
      </c>
    </row>
    <row r="1016" spans="58:58" x14ac:dyDescent="0.25">
      <c r="BF1016" t="e">
        <f>solver_rel466=1</f>
        <v>#NAME?</v>
      </c>
    </row>
    <row r="1017" spans="58:58" x14ac:dyDescent="0.25">
      <c r="BF1017" t="e">
        <f>solver_rel467=3</f>
        <v>#NAME?</v>
      </c>
    </row>
    <row r="1018" spans="58:58" x14ac:dyDescent="0.25">
      <c r="BF1018" t="e">
        <f>solver_rel468=2</f>
        <v>#NAME?</v>
      </c>
    </row>
    <row r="1019" spans="58:58" x14ac:dyDescent="0.25">
      <c r="BF1019" t="e">
        <f>solver_rel469=1</f>
        <v>#NAME?</v>
      </c>
    </row>
    <row r="1020" spans="58:58" x14ac:dyDescent="0.25">
      <c r="BF1020" t="e">
        <f>solver_rel47=3</f>
        <v>#NAME?</v>
      </c>
    </row>
    <row r="1021" spans="58:58" x14ac:dyDescent="0.25">
      <c r="BF1021" t="e">
        <f>solver_rel470=3</f>
        <v>#NAME?</v>
      </c>
    </row>
    <row r="1022" spans="58:58" x14ac:dyDescent="0.25">
      <c r="BF1022" t="e">
        <f>solver_rel471=2</f>
        <v>#NAME?</v>
      </c>
    </row>
    <row r="1023" spans="58:58" x14ac:dyDescent="0.25">
      <c r="BF1023" t="e">
        <f>solver_rel472=1</f>
        <v>#NAME?</v>
      </c>
    </row>
    <row r="1024" spans="58:58" x14ac:dyDescent="0.25">
      <c r="BF1024" t="e">
        <f>solver_rel473=3</f>
        <v>#NAME?</v>
      </c>
    </row>
    <row r="1025" spans="58:58" x14ac:dyDescent="0.25">
      <c r="BF1025" t="e">
        <f>solver_rel474=2</f>
        <v>#NAME?</v>
      </c>
    </row>
    <row r="1026" spans="58:58" x14ac:dyDescent="0.25">
      <c r="BF1026" t="e">
        <f>solver_rel475=1</f>
        <v>#NAME?</v>
      </c>
    </row>
    <row r="1027" spans="58:58" x14ac:dyDescent="0.25">
      <c r="BF1027" t="e">
        <f>solver_rel476=3</f>
        <v>#NAME?</v>
      </c>
    </row>
    <row r="1028" spans="58:58" x14ac:dyDescent="0.25">
      <c r="BF1028" t="e">
        <f>solver_rel477=2</f>
        <v>#NAME?</v>
      </c>
    </row>
    <row r="1029" spans="58:58" x14ac:dyDescent="0.25">
      <c r="BF1029" t="e">
        <f>solver_rel478=1</f>
        <v>#NAME?</v>
      </c>
    </row>
    <row r="1030" spans="58:58" x14ac:dyDescent="0.25">
      <c r="BF1030" t="e">
        <f>solver_rel479=3</f>
        <v>#NAME?</v>
      </c>
    </row>
    <row r="1031" spans="58:58" x14ac:dyDescent="0.25">
      <c r="BF1031" t="e">
        <f>solver_rel48=2</f>
        <v>#NAME?</v>
      </c>
    </row>
    <row r="1032" spans="58:58" x14ac:dyDescent="0.25">
      <c r="BF1032" t="e">
        <f>solver_rel480=2</f>
        <v>#NAME?</v>
      </c>
    </row>
    <row r="1033" spans="58:58" x14ac:dyDescent="0.25">
      <c r="BF1033" t="e">
        <f>solver_rel481=1</f>
        <v>#NAME?</v>
      </c>
    </row>
    <row r="1034" spans="58:58" x14ac:dyDescent="0.25">
      <c r="BF1034" t="e">
        <f>solver_rel482=3</f>
        <v>#NAME?</v>
      </c>
    </row>
    <row r="1035" spans="58:58" x14ac:dyDescent="0.25">
      <c r="BF1035" t="e">
        <f>solver_rel483=2</f>
        <v>#NAME?</v>
      </c>
    </row>
    <row r="1036" spans="58:58" x14ac:dyDescent="0.25">
      <c r="BF1036" t="e">
        <f>solver_rel484=1</f>
        <v>#NAME?</v>
      </c>
    </row>
    <row r="1037" spans="58:58" x14ac:dyDescent="0.25">
      <c r="BF1037" t="e">
        <f>solver_rel485=3</f>
        <v>#NAME?</v>
      </c>
    </row>
    <row r="1038" spans="58:58" x14ac:dyDescent="0.25">
      <c r="BF1038" t="e">
        <f>solver_rel486=2</f>
        <v>#NAME?</v>
      </c>
    </row>
    <row r="1039" spans="58:58" x14ac:dyDescent="0.25">
      <c r="BF1039" t="e">
        <f>solver_rel487=1</f>
        <v>#NAME?</v>
      </c>
    </row>
    <row r="1040" spans="58:58" x14ac:dyDescent="0.25">
      <c r="BF1040" t="e">
        <f>solver_rel488=3</f>
        <v>#NAME?</v>
      </c>
    </row>
    <row r="1041" spans="58:58" x14ac:dyDescent="0.25">
      <c r="BF1041" t="e">
        <f>solver_rel489=2</f>
        <v>#NAME?</v>
      </c>
    </row>
    <row r="1042" spans="58:58" x14ac:dyDescent="0.25">
      <c r="BF1042" t="e">
        <f>solver_rel49=1</f>
        <v>#NAME?</v>
      </c>
    </row>
    <row r="1043" spans="58:58" x14ac:dyDescent="0.25">
      <c r="BF1043" t="e">
        <f>solver_rel490=1</f>
        <v>#NAME?</v>
      </c>
    </row>
    <row r="1044" spans="58:58" x14ac:dyDescent="0.25">
      <c r="BF1044" t="e">
        <f>solver_rel491=3</f>
        <v>#NAME?</v>
      </c>
    </row>
    <row r="1045" spans="58:58" x14ac:dyDescent="0.25">
      <c r="BF1045" t="e">
        <f>solver_rel492=2</f>
        <v>#NAME?</v>
      </c>
    </row>
    <row r="1046" spans="58:58" x14ac:dyDescent="0.25">
      <c r="BF1046" t="e">
        <f>solver_rel493=1</f>
        <v>#NAME?</v>
      </c>
    </row>
    <row r="1047" spans="58:58" x14ac:dyDescent="0.25">
      <c r="BF1047" t="e">
        <f>solver_rel494=3</f>
        <v>#NAME?</v>
      </c>
    </row>
    <row r="1048" spans="58:58" x14ac:dyDescent="0.25">
      <c r="BF1048" t="e">
        <f>solver_rel495=2</f>
        <v>#NAME?</v>
      </c>
    </row>
    <row r="1049" spans="58:58" x14ac:dyDescent="0.25">
      <c r="BF1049" t="e">
        <f>solver_rel496=1</f>
        <v>#NAME?</v>
      </c>
    </row>
    <row r="1050" spans="58:58" x14ac:dyDescent="0.25">
      <c r="BF1050" t="e">
        <f>solver_rel497=3</f>
        <v>#NAME?</v>
      </c>
    </row>
    <row r="1051" spans="58:58" x14ac:dyDescent="0.25">
      <c r="BF1051" t="e">
        <f>solver_rel498=2</f>
        <v>#NAME?</v>
      </c>
    </row>
    <row r="1052" spans="58:58" x14ac:dyDescent="0.25">
      <c r="BF1052" t="e">
        <f>solver_rel499=1</f>
        <v>#NAME?</v>
      </c>
    </row>
    <row r="1053" spans="58:58" x14ac:dyDescent="0.25">
      <c r="BF1053" t="e">
        <f>solver_rel5=3</f>
        <v>#NAME?</v>
      </c>
    </row>
    <row r="1054" spans="58:58" x14ac:dyDescent="0.25">
      <c r="BF1054" t="e">
        <f>solver_rel50=3</f>
        <v>#NAME?</v>
      </c>
    </row>
    <row r="1055" spans="58:58" x14ac:dyDescent="0.25">
      <c r="BF1055" t="e">
        <f>solver_rel500=3</f>
        <v>#NAME?</v>
      </c>
    </row>
    <row r="1056" spans="58:58" x14ac:dyDescent="0.25">
      <c r="BF1056" t="e">
        <f>solver_rel501=2</f>
        <v>#NAME?</v>
      </c>
    </row>
    <row r="1057" spans="58:58" x14ac:dyDescent="0.25">
      <c r="BF1057" t="e">
        <f>solver_rel502=1</f>
        <v>#NAME?</v>
      </c>
    </row>
    <row r="1058" spans="58:58" x14ac:dyDescent="0.25">
      <c r="BF1058" t="e">
        <f>solver_rel503=3</f>
        <v>#NAME?</v>
      </c>
    </row>
    <row r="1059" spans="58:58" x14ac:dyDescent="0.25">
      <c r="BF1059" t="e">
        <f>solver_rel504=2</f>
        <v>#NAME?</v>
      </c>
    </row>
    <row r="1060" spans="58:58" x14ac:dyDescent="0.25">
      <c r="BF1060" t="e">
        <f>solver_rel505=1</f>
        <v>#NAME?</v>
      </c>
    </row>
    <row r="1061" spans="58:58" x14ac:dyDescent="0.25">
      <c r="BF1061" t="e">
        <f>solver_rel506=3</f>
        <v>#NAME?</v>
      </c>
    </row>
    <row r="1062" spans="58:58" x14ac:dyDescent="0.25">
      <c r="BF1062" t="e">
        <f>solver_rel507=2</f>
        <v>#NAME?</v>
      </c>
    </row>
    <row r="1063" spans="58:58" x14ac:dyDescent="0.25">
      <c r="BF1063" t="e">
        <f>solver_rel508=1</f>
        <v>#NAME?</v>
      </c>
    </row>
    <row r="1064" spans="58:58" x14ac:dyDescent="0.25">
      <c r="BF1064" t="e">
        <f>solver_rel509=3</f>
        <v>#NAME?</v>
      </c>
    </row>
    <row r="1065" spans="58:58" x14ac:dyDescent="0.25">
      <c r="BF1065" t="e">
        <f>solver_rel51=2</f>
        <v>#NAME?</v>
      </c>
    </row>
    <row r="1066" spans="58:58" x14ac:dyDescent="0.25">
      <c r="BF1066" t="e">
        <f>solver_rel510=2</f>
        <v>#NAME?</v>
      </c>
    </row>
    <row r="1067" spans="58:58" x14ac:dyDescent="0.25">
      <c r="BF1067" t="e">
        <f>solver_rel511=1</f>
        <v>#NAME?</v>
      </c>
    </row>
    <row r="1068" spans="58:58" x14ac:dyDescent="0.25">
      <c r="BF1068" t="e">
        <f>solver_rel512=3</f>
        <v>#NAME?</v>
      </c>
    </row>
    <row r="1069" spans="58:58" x14ac:dyDescent="0.25">
      <c r="BF1069" t="e">
        <f>solver_rel513=2</f>
        <v>#NAME?</v>
      </c>
    </row>
    <row r="1070" spans="58:58" x14ac:dyDescent="0.25">
      <c r="BF1070" t="e">
        <f>solver_rel514=1</f>
        <v>#NAME?</v>
      </c>
    </row>
    <row r="1071" spans="58:58" x14ac:dyDescent="0.25">
      <c r="BF1071" t="e">
        <f>solver_rel515=3</f>
        <v>#NAME?</v>
      </c>
    </row>
    <row r="1072" spans="58:58" x14ac:dyDescent="0.25">
      <c r="BF1072" t="e">
        <f>solver_rel516=2</f>
        <v>#NAME?</v>
      </c>
    </row>
    <row r="1073" spans="58:58" x14ac:dyDescent="0.25">
      <c r="BF1073" t="e">
        <f>solver_rel517=1</f>
        <v>#NAME?</v>
      </c>
    </row>
    <row r="1074" spans="58:58" x14ac:dyDescent="0.25">
      <c r="BF1074" t="e">
        <f>solver_rel518=3</f>
        <v>#NAME?</v>
      </c>
    </row>
    <row r="1075" spans="58:58" x14ac:dyDescent="0.25">
      <c r="BF1075" t="e">
        <f>solver_rel519=2</f>
        <v>#NAME?</v>
      </c>
    </row>
    <row r="1076" spans="58:58" x14ac:dyDescent="0.25">
      <c r="BF1076" t="e">
        <f>solver_rel52=1</f>
        <v>#NAME?</v>
      </c>
    </row>
    <row r="1077" spans="58:58" x14ac:dyDescent="0.25">
      <c r="BF1077" t="e">
        <f>solver_rel520=1</f>
        <v>#NAME?</v>
      </c>
    </row>
    <row r="1078" spans="58:58" x14ac:dyDescent="0.25">
      <c r="BF1078" t="e">
        <f>solver_rel521=3</f>
        <v>#NAME?</v>
      </c>
    </row>
    <row r="1079" spans="58:58" x14ac:dyDescent="0.25">
      <c r="BF1079" t="e">
        <f>solver_rel522=2</f>
        <v>#NAME?</v>
      </c>
    </row>
    <row r="1080" spans="58:58" x14ac:dyDescent="0.25">
      <c r="BF1080" t="e">
        <f>solver_rel523=1</f>
        <v>#NAME?</v>
      </c>
    </row>
    <row r="1081" spans="58:58" x14ac:dyDescent="0.25">
      <c r="BF1081" t="e">
        <f>solver_rel524=3</f>
        <v>#NAME?</v>
      </c>
    </row>
    <row r="1082" spans="58:58" x14ac:dyDescent="0.25">
      <c r="BF1082" t="e">
        <f>solver_rel525=2</f>
        <v>#NAME?</v>
      </c>
    </row>
    <row r="1083" spans="58:58" x14ac:dyDescent="0.25">
      <c r="BF1083" t="e">
        <f>solver_rel526=1</f>
        <v>#NAME?</v>
      </c>
    </row>
    <row r="1084" spans="58:58" x14ac:dyDescent="0.25">
      <c r="BF1084" t="e">
        <f>solver_rel527=3</f>
        <v>#NAME?</v>
      </c>
    </row>
    <row r="1085" spans="58:58" x14ac:dyDescent="0.25">
      <c r="BF1085" t="e">
        <f>solver_rel528=2</f>
        <v>#NAME?</v>
      </c>
    </row>
    <row r="1086" spans="58:58" x14ac:dyDescent="0.25">
      <c r="BF1086" t="e">
        <f>solver_rel529=1</f>
        <v>#NAME?</v>
      </c>
    </row>
    <row r="1087" spans="58:58" x14ac:dyDescent="0.25">
      <c r="BF1087" t="e">
        <f>solver_rel53=3</f>
        <v>#NAME?</v>
      </c>
    </row>
    <row r="1088" spans="58:58" x14ac:dyDescent="0.25">
      <c r="BF1088" t="e">
        <f>solver_rel530=3</f>
        <v>#NAME?</v>
      </c>
    </row>
    <row r="1089" spans="58:58" x14ac:dyDescent="0.25">
      <c r="BF1089" t="e">
        <f>solver_rel531=2</f>
        <v>#NAME?</v>
      </c>
    </row>
    <row r="1090" spans="58:58" x14ac:dyDescent="0.25">
      <c r="BF1090" t="e">
        <f>solver_rel532=1</f>
        <v>#NAME?</v>
      </c>
    </row>
    <row r="1091" spans="58:58" x14ac:dyDescent="0.25">
      <c r="BF1091" t="e">
        <f>solver_rel533=3</f>
        <v>#NAME?</v>
      </c>
    </row>
    <row r="1092" spans="58:58" x14ac:dyDescent="0.25">
      <c r="BF1092" t="e">
        <f>solver_rel534=2</f>
        <v>#NAME?</v>
      </c>
    </row>
    <row r="1093" spans="58:58" x14ac:dyDescent="0.25">
      <c r="BF1093" t="e">
        <f>solver_rel535=1</f>
        <v>#NAME?</v>
      </c>
    </row>
    <row r="1094" spans="58:58" x14ac:dyDescent="0.25">
      <c r="BF1094" t="e">
        <f>solver_rel536=3</f>
        <v>#NAME?</v>
      </c>
    </row>
    <row r="1095" spans="58:58" x14ac:dyDescent="0.25">
      <c r="BF1095" t="e">
        <f>solver_rel537=2</f>
        <v>#NAME?</v>
      </c>
    </row>
    <row r="1096" spans="58:58" x14ac:dyDescent="0.25">
      <c r="BF1096" t="e">
        <f>solver_rel538=1</f>
        <v>#NAME?</v>
      </c>
    </row>
    <row r="1097" spans="58:58" x14ac:dyDescent="0.25">
      <c r="BF1097" t="e">
        <f>solver_rel539=3</f>
        <v>#NAME?</v>
      </c>
    </row>
    <row r="1098" spans="58:58" x14ac:dyDescent="0.25">
      <c r="BF1098" t="e">
        <f>solver_rel54=2</f>
        <v>#NAME?</v>
      </c>
    </row>
    <row r="1099" spans="58:58" x14ac:dyDescent="0.25">
      <c r="BF1099" t="e">
        <f>solver_rel540=2</f>
        <v>#NAME?</v>
      </c>
    </row>
    <row r="1100" spans="58:58" x14ac:dyDescent="0.25">
      <c r="BF1100" t="e">
        <f>solver_rel541=1</f>
        <v>#NAME?</v>
      </c>
    </row>
    <row r="1101" spans="58:58" x14ac:dyDescent="0.25">
      <c r="BF1101" t="e">
        <f>solver_rel542=3</f>
        <v>#NAME?</v>
      </c>
    </row>
    <row r="1102" spans="58:58" x14ac:dyDescent="0.25">
      <c r="BF1102" t="e">
        <f>solver_rel543=2</f>
        <v>#NAME?</v>
      </c>
    </row>
    <row r="1103" spans="58:58" x14ac:dyDescent="0.25">
      <c r="BF1103" t="e">
        <f>solver_rel544=1</f>
        <v>#NAME?</v>
      </c>
    </row>
    <row r="1104" spans="58:58" x14ac:dyDescent="0.25">
      <c r="BF1104" t="e">
        <f>solver_rel545=3</f>
        <v>#NAME?</v>
      </c>
    </row>
    <row r="1105" spans="58:58" x14ac:dyDescent="0.25">
      <c r="BF1105" t="e">
        <f>solver_rel546=2</f>
        <v>#NAME?</v>
      </c>
    </row>
    <row r="1106" spans="58:58" x14ac:dyDescent="0.25">
      <c r="BF1106" t="e">
        <f>solver_rel547=1</f>
        <v>#NAME?</v>
      </c>
    </row>
    <row r="1107" spans="58:58" x14ac:dyDescent="0.25">
      <c r="BF1107" t="e">
        <f>solver_rel548=3</f>
        <v>#NAME?</v>
      </c>
    </row>
    <row r="1108" spans="58:58" x14ac:dyDescent="0.25">
      <c r="BF1108" t="e">
        <f>solver_rel549=2</f>
        <v>#NAME?</v>
      </c>
    </row>
    <row r="1109" spans="58:58" x14ac:dyDescent="0.25">
      <c r="BF1109" t="e">
        <f>solver_rel55=1</f>
        <v>#NAME?</v>
      </c>
    </row>
    <row r="1110" spans="58:58" x14ac:dyDescent="0.25">
      <c r="BF1110" t="e">
        <f>solver_rel550=1</f>
        <v>#NAME?</v>
      </c>
    </row>
    <row r="1111" spans="58:58" x14ac:dyDescent="0.25">
      <c r="BF1111" t="e">
        <f>solver_rel551=3</f>
        <v>#NAME?</v>
      </c>
    </row>
    <row r="1112" spans="58:58" x14ac:dyDescent="0.25">
      <c r="BF1112" t="e">
        <f>solver_rel552=2</f>
        <v>#NAME?</v>
      </c>
    </row>
    <row r="1113" spans="58:58" x14ac:dyDescent="0.25">
      <c r="BF1113" t="e">
        <f>solver_rel553=1</f>
        <v>#NAME?</v>
      </c>
    </row>
    <row r="1114" spans="58:58" x14ac:dyDescent="0.25">
      <c r="BF1114" t="e">
        <f>solver_rel554=3</f>
        <v>#NAME?</v>
      </c>
    </row>
    <row r="1115" spans="58:58" x14ac:dyDescent="0.25">
      <c r="BF1115" t="e">
        <f>solver_rel555=2</f>
        <v>#NAME?</v>
      </c>
    </row>
    <row r="1116" spans="58:58" x14ac:dyDescent="0.25">
      <c r="BF1116" t="e">
        <f>solver_rel556=1</f>
        <v>#NAME?</v>
      </c>
    </row>
    <row r="1117" spans="58:58" x14ac:dyDescent="0.25">
      <c r="BF1117" t="e">
        <f>solver_rel557=3</f>
        <v>#NAME?</v>
      </c>
    </row>
    <row r="1118" spans="58:58" x14ac:dyDescent="0.25">
      <c r="BF1118" t="e">
        <f>solver_rel558=2</f>
        <v>#NAME?</v>
      </c>
    </row>
    <row r="1119" spans="58:58" x14ac:dyDescent="0.25">
      <c r="BF1119" t="e">
        <f>solver_rel559=1</f>
        <v>#NAME?</v>
      </c>
    </row>
    <row r="1120" spans="58:58" x14ac:dyDescent="0.25">
      <c r="BF1120" t="e">
        <f>solver_rel56=3</f>
        <v>#NAME?</v>
      </c>
    </row>
    <row r="1121" spans="58:58" x14ac:dyDescent="0.25">
      <c r="BF1121" t="e">
        <f>solver_rel560=3</f>
        <v>#NAME?</v>
      </c>
    </row>
    <row r="1122" spans="58:58" x14ac:dyDescent="0.25">
      <c r="BF1122" t="e">
        <f>solver_rel561=2</f>
        <v>#NAME?</v>
      </c>
    </row>
    <row r="1123" spans="58:58" x14ac:dyDescent="0.25">
      <c r="BF1123" t="e">
        <f>solver_rel562=1</f>
        <v>#NAME?</v>
      </c>
    </row>
    <row r="1124" spans="58:58" x14ac:dyDescent="0.25">
      <c r="BF1124" t="e">
        <f>solver_rel563=3</f>
        <v>#NAME?</v>
      </c>
    </row>
    <row r="1125" spans="58:58" x14ac:dyDescent="0.25">
      <c r="BF1125" t="e">
        <f>solver_rel564=2</f>
        <v>#NAME?</v>
      </c>
    </row>
    <row r="1126" spans="58:58" x14ac:dyDescent="0.25">
      <c r="BF1126" t="e">
        <f>solver_rel565=1</f>
        <v>#NAME?</v>
      </c>
    </row>
    <row r="1127" spans="58:58" x14ac:dyDescent="0.25">
      <c r="BF1127" t="e">
        <f>solver_rel566=3</f>
        <v>#NAME?</v>
      </c>
    </row>
    <row r="1128" spans="58:58" x14ac:dyDescent="0.25">
      <c r="BF1128" t="e">
        <f>solver_rel567=2</f>
        <v>#NAME?</v>
      </c>
    </row>
    <row r="1129" spans="58:58" x14ac:dyDescent="0.25">
      <c r="BF1129" t="e">
        <f>solver_rel568=1</f>
        <v>#NAME?</v>
      </c>
    </row>
    <row r="1130" spans="58:58" x14ac:dyDescent="0.25">
      <c r="BF1130" t="e">
        <f>solver_rel569=3</f>
        <v>#NAME?</v>
      </c>
    </row>
    <row r="1131" spans="58:58" x14ac:dyDescent="0.25">
      <c r="BF1131" t="e">
        <f>solver_rel57=2</f>
        <v>#NAME?</v>
      </c>
    </row>
    <row r="1132" spans="58:58" x14ac:dyDescent="0.25">
      <c r="BF1132" t="e">
        <f>solver_rel570=2</f>
        <v>#NAME?</v>
      </c>
    </row>
    <row r="1133" spans="58:58" x14ac:dyDescent="0.25">
      <c r="BF1133" t="e">
        <f>solver_rel571=1</f>
        <v>#NAME?</v>
      </c>
    </row>
    <row r="1134" spans="58:58" x14ac:dyDescent="0.25">
      <c r="BF1134" t="e">
        <f>solver_rel572=3</f>
        <v>#NAME?</v>
      </c>
    </row>
    <row r="1135" spans="58:58" x14ac:dyDescent="0.25">
      <c r="BF1135" t="e">
        <f>solver_rel573=2</f>
        <v>#NAME?</v>
      </c>
    </row>
    <row r="1136" spans="58:58" x14ac:dyDescent="0.25">
      <c r="BF1136" t="e">
        <f>solver_rel574=1</f>
        <v>#NAME?</v>
      </c>
    </row>
    <row r="1137" spans="58:58" x14ac:dyDescent="0.25">
      <c r="BF1137" t="e">
        <f>solver_rel575=3</f>
        <v>#NAME?</v>
      </c>
    </row>
    <row r="1138" spans="58:58" x14ac:dyDescent="0.25">
      <c r="BF1138" t="e">
        <f>solver_rel576=2</f>
        <v>#NAME?</v>
      </c>
    </row>
    <row r="1139" spans="58:58" x14ac:dyDescent="0.25">
      <c r="BF1139" t="e">
        <f>solver_rel577=1</f>
        <v>#NAME?</v>
      </c>
    </row>
    <row r="1140" spans="58:58" x14ac:dyDescent="0.25">
      <c r="BF1140" t="e">
        <f>solver_rel578=3</f>
        <v>#NAME?</v>
      </c>
    </row>
    <row r="1141" spans="58:58" x14ac:dyDescent="0.25">
      <c r="BF1141" t="e">
        <f>solver_rel579=2</f>
        <v>#NAME?</v>
      </c>
    </row>
    <row r="1142" spans="58:58" x14ac:dyDescent="0.25">
      <c r="BF1142" t="e">
        <f>solver_rel58=1</f>
        <v>#NAME?</v>
      </c>
    </row>
    <row r="1143" spans="58:58" x14ac:dyDescent="0.25">
      <c r="BF1143" t="e">
        <f>solver_rel580=1</f>
        <v>#NAME?</v>
      </c>
    </row>
    <row r="1144" spans="58:58" x14ac:dyDescent="0.25">
      <c r="BF1144" t="e">
        <f>solver_rel581=3</f>
        <v>#NAME?</v>
      </c>
    </row>
    <row r="1145" spans="58:58" x14ac:dyDescent="0.25">
      <c r="BF1145" t="e">
        <f>solver_rel582=2</f>
        <v>#NAME?</v>
      </c>
    </row>
    <row r="1146" spans="58:58" x14ac:dyDescent="0.25">
      <c r="BF1146" t="e">
        <f>solver_rel583=1</f>
        <v>#NAME?</v>
      </c>
    </row>
    <row r="1147" spans="58:58" x14ac:dyDescent="0.25">
      <c r="BF1147" t="e">
        <f>solver_rel584=3</f>
        <v>#NAME?</v>
      </c>
    </row>
    <row r="1148" spans="58:58" x14ac:dyDescent="0.25">
      <c r="BF1148" t="e">
        <f>solver_rel585=2</f>
        <v>#NAME?</v>
      </c>
    </row>
    <row r="1149" spans="58:58" x14ac:dyDescent="0.25">
      <c r="BF1149" t="e">
        <f>solver_rel586=1</f>
        <v>#NAME?</v>
      </c>
    </row>
    <row r="1150" spans="58:58" x14ac:dyDescent="0.25">
      <c r="BF1150" t="e">
        <f>solver_rel587=3</f>
        <v>#NAME?</v>
      </c>
    </row>
    <row r="1151" spans="58:58" x14ac:dyDescent="0.25">
      <c r="BF1151" t="e">
        <f>solver_rel588=2</f>
        <v>#NAME?</v>
      </c>
    </row>
    <row r="1152" spans="58:58" x14ac:dyDescent="0.25">
      <c r="BF1152" t="e">
        <f>solver_rel589=1</f>
        <v>#NAME?</v>
      </c>
    </row>
    <row r="1153" spans="58:58" x14ac:dyDescent="0.25">
      <c r="BF1153" t="e">
        <f>solver_rel59=3</f>
        <v>#NAME?</v>
      </c>
    </row>
    <row r="1154" spans="58:58" x14ac:dyDescent="0.25">
      <c r="BF1154" t="e">
        <f>solver_rel590=3</f>
        <v>#NAME?</v>
      </c>
    </row>
    <row r="1155" spans="58:58" x14ac:dyDescent="0.25">
      <c r="BF1155" t="e">
        <f>solver_rel591=2</f>
        <v>#NAME?</v>
      </c>
    </row>
    <row r="1156" spans="58:58" x14ac:dyDescent="0.25">
      <c r="BF1156" t="e">
        <f>solver_rel592=1</f>
        <v>#NAME?</v>
      </c>
    </row>
    <row r="1157" spans="58:58" x14ac:dyDescent="0.25">
      <c r="BF1157" t="e">
        <f>solver_rel593=3</f>
        <v>#NAME?</v>
      </c>
    </row>
    <row r="1158" spans="58:58" x14ac:dyDescent="0.25">
      <c r="BF1158" t="e">
        <f>solver_rel594=2</f>
        <v>#NAME?</v>
      </c>
    </row>
    <row r="1159" spans="58:58" x14ac:dyDescent="0.25">
      <c r="BF1159" t="e">
        <f>solver_rel595=1</f>
        <v>#NAME?</v>
      </c>
    </row>
    <row r="1160" spans="58:58" x14ac:dyDescent="0.25">
      <c r="BF1160" t="e">
        <f>solver_rel596=3</f>
        <v>#NAME?</v>
      </c>
    </row>
    <row r="1161" spans="58:58" x14ac:dyDescent="0.25">
      <c r="BF1161" t="e">
        <f>solver_rel597=2</f>
        <v>#NAME?</v>
      </c>
    </row>
    <row r="1162" spans="58:58" x14ac:dyDescent="0.25">
      <c r="BF1162" t="e">
        <f>solver_rel598=1</f>
        <v>#NAME?</v>
      </c>
    </row>
    <row r="1163" spans="58:58" x14ac:dyDescent="0.25">
      <c r="BF1163" t="e">
        <f>solver_rel599=3</f>
        <v>#NAME?</v>
      </c>
    </row>
    <row r="1164" spans="58:58" x14ac:dyDescent="0.25">
      <c r="BF1164" t="e">
        <f>solver_rel6=2</f>
        <v>#NAME?</v>
      </c>
    </row>
    <row r="1165" spans="58:58" x14ac:dyDescent="0.25">
      <c r="BF1165" t="e">
        <f>solver_rel60=2</f>
        <v>#NAME?</v>
      </c>
    </row>
    <row r="1166" spans="58:58" x14ac:dyDescent="0.25">
      <c r="BF1166" t="e">
        <f>solver_rel600=2</f>
        <v>#NAME?</v>
      </c>
    </row>
    <row r="1167" spans="58:58" x14ac:dyDescent="0.25">
      <c r="BF1167" t="e">
        <f>solver_rel61=1</f>
        <v>#NAME?</v>
      </c>
    </row>
    <row r="1168" spans="58:58" x14ac:dyDescent="0.25">
      <c r="BF1168" t="e">
        <f>solver_rel62=3</f>
        <v>#NAME?</v>
      </c>
    </row>
    <row r="1169" spans="58:58" x14ac:dyDescent="0.25">
      <c r="BF1169" t="e">
        <f>solver_rel63=2</f>
        <v>#NAME?</v>
      </c>
    </row>
    <row r="1170" spans="58:58" x14ac:dyDescent="0.25">
      <c r="BF1170" t="e">
        <f>solver_rel64=1</f>
        <v>#NAME?</v>
      </c>
    </row>
    <row r="1171" spans="58:58" x14ac:dyDescent="0.25">
      <c r="BF1171" t="e">
        <f>solver_rel65=3</f>
        <v>#NAME?</v>
      </c>
    </row>
    <row r="1172" spans="58:58" x14ac:dyDescent="0.25">
      <c r="BF1172" t="e">
        <f>solver_rel66=2</f>
        <v>#NAME?</v>
      </c>
    </row>
    <row r="1173" spans="58:58" x14ac:dyDescent="0.25">
      <c r="BF1173" t="e">
        <f>solver_rel67=1</f>
        <v>#NAME?</v>
      </c>
    </row>
    <row r="1174" spans="58:58" x14ac:dyDescent="0.25">
      <c r="BF1174" t="e">
        <f>solver_rel68=3</f>
        <v>#NAME?</v>
      </c>
    </row>
    <row r="1175" spans="58:58" x14ac:dyDescent="0.25">
      <c r="BF1175" t="e">
        <f>solver_rel69=2</f>
        <v>#NAME?</v>
      </c>
    </row>
    <row r="1176" spans="58:58" x14ac:dyDescent="0.25">
      <c r="BF1176" t="e">
        <f>solver_rel7=1</f>
        <v>#NAME?</v>
      </c>
    </row>
    <row r="1177" spans="58:58" x14ac:dyDescent="0.25">
      <c r="BF1177" t="e">
        <f>solver_rel70=1</f>
        <v>#NAME?</v>
      </c>
    </row>
    <row r="1178" spans="58:58" x14ac:dyDescent="0.25">
      <c r="BF1178" t="e">
        <f>solver_rel71=3</f>
        <v>#NAME?</v>
      </c>
    </row>
    <row r="1179" spans="58:58" x14ac:dyDescent="0.25">
      <c r="BF1179" t="e">
        <f>solver_rel72=2</f>
        <v>#NAME?</v>
      </c>
    </row>
    <row r="1180" spans="58:58" x14ac:dyDescent="0.25">
      <c r="BF1180" t="e">
        <f>solver_rel73=1</f>
        <v>#NAME?</v>
      </c>
    </row>
    <row r="1181" spans="58:58" x14ac:dyDescent="0.25">
      <c r="BF1181" t="e">
        <f>solver_rel74=3</f>
        <v>#NAME?</v>
      </c>
    </row>
    <row r="1182" spans="58:58" x14ac:dyDescent="0.25">
      <c r="BF1182" t="e">
        <f>solver_rel75=2</f>
        <v>#NAME?</v>
      </c>
    </row>
    <row r="1183" spans="58:58" x14ac:dyDescent="0.25">
      <c r="BF1183" t="e">
        <f>solver_rel76=1</f>
        <v>#NAME?</v>
      </c>
    </row>
    <row r="1184" spans="58:58" x14ac:dyDescent="0.25">
      <c r="BF1184" t="e">
        <f>solver_rel77=3</f>
        <v>#NAME?</v>
      </c>
    </row>
    <row r="1185" spans="58:58" x14ac:dyDescent="0.25">
      <c r="BF1185" t="e">
        <f>solver_rel78=2</f>
        <v>#NAME?</v>
      </c>
    </row>
    <row r="1186" spans="58:58" x14ac:dyDescent="0.25">
      <c r="BF1186" t="e">
        <f>solver_rel79=1</f>
        <v>#NAME?</v>
      </c>
    </row>
    <row r="1187" spans="58:58" x14ac:dyDescent="0.25">
      <c r="BF1187" t="e">
        <f>solver_rel8=3</f>
        <v>#NAME?</v>
      </c>
    </row>
    <row r="1188" spans="58:58" x14ac:dyDescent="0.25">
      <c r="BF1188" t="e">
        <f>solver_rel80=3</f>
        <v>#NAME?</v>
      </c>
    </row>
    <row r="1189" spans="58:58" x14ac:dyDescent="0.25">
      <c r="BF1189" t="e">
        <f>solver_rel81=2</f>
        <v>#NAME?</v>
      </c>
    </row>
    <row r="1190" spans="58:58" x14ac:dyDescent="0.25">
      <c r="BF1190" t="e">
        <f>solver_rel82=1</f>
        <v>#NAME?</v>
      </c>
    </row>
    <row r="1191" spans="58:58" x14ac:dyDescent="0.25">
      <c r="BF1191" t="e">
        <f>solver_rel83=3</f>
        <v>#NAME?</v>
      </c>
    </row>
    <row r="1192" spans="58:58" x14ac:dyDescent="0.25">
      <c r="BF1192" t="e">
        <f>solver_rel84=2</f>
        <v>#NAME?</v>
      </c>
    </row>
    <row r="1193" spans="58:58" x14ac:dyDescent="0.25">
      <c r="BF1193" t="e">
        <f>solver_rel85=1</f>
        <v>#NAME?</v>
      </c>
    </row>
    <row r="1194" spans="58:58" x14ac:dyDescent="0.25">
      <c r="BF1194" t="e">
        <f>solver_rel86=3</f>
        <v>#NAME?</v>
      </c>
    </row>
    <row r="1195" spans="58:58" x14ac:dyDescent="0.25">
      <c r="BF1195" t="e">
        <f>solver_rel87=2</f>
        <v>#NAME?</v>
      </c>
    </row>
    <row r="1196" spans="58:58" x14ac:dyDescent="0.25">
      <c r="BF1196" t="e">
        <f>solver_rel88=1</f>
        <v>#NAME?</v>
      </c>
    </row>
    <row r="1197" spans="58:58" x14ac:dyDescent="0.25">
      <c r="BF1197" t="e">
        <f>solver_rel89=3</f>
        <v>#NAME?</v>
      </c>
    </row>
    <row r="1198" spans="58:58" x14ac:dyDescent="0.25">
      <c r="BF1198" t="e">
        <f>solver_rel9=2</f>
        <v>#NAME?</v>
      </c>
    </row>
    <row r="1199" spans="58:58" x14ac:dyDescent="0.25">
      <c r="BF1199" t="e">
        <f>solver_rel90=2</f>
        <v>#NAME?</v>
      </c>
    </row>
    <row r="1200" spans="58:58" x14ac:dyDescent="0.25">
      <c r="BF1200" t="e">
        <f>solver_rel91=1</f>
        <v>#NAME?</v>
      </c>
    </row>
    <row r="1201" spans="58:58" x14ac:dyDescent="0.25">
      <c r="BF1201" t="e">
        <f>solver_rel92=3</f>
        <v>#NAME?</v>
      </c>
    </row>
    <row r="1202" spans="58:58" x14ac:dyDescent="0.25">
      <c r="BF1202" t="e">
        <f>solver_rel93=2</f>
        <v>#NAME?</v>
      </c>
    </row>
    <row r="1203" spans="58:58" x14ac:dyDescent="0.25">
      <c r="BF1203" t="e">
        <f>solver_rel94=1</f>
        <v>#NAME?</v>
      </c>
    </row>
    <row r="1204" spans="58:58" x14ac:dyDescent="0.25">
      <c r="BF1204" t="e">
        <f>solver_rel95=3</f>
        <v>#NAME?</v>
      </c>
    </row>
    <row r="1205" spans="58:58" x14ac:dyDescent="0.25">
      <c r="BF1205" t="e">
        <f>solver_rel96=2</f>
        <v>#NAME?</v>
      </c>
    </row>
    <row r="1206" spans="58:58" x14ac:dyDescent="0.25">
      <c r="BF1206" t="e">
        <f>solver_rel97=1</f>
        <v>#NAME?</v>
      </c>
    </row>
    <row r="1207" spans="58:58" x14ac:dyDescent="0.25">
      <c r="BF1207" t="e">
        <f>solver_rel98=3</f>
        <v>#NAME?</v>
      </c>
    </row>
    <row r="1208" spans="58:58" x14ac:dyDescent="0.25">
      <c r="BF1208" t="e">
        <f>solver_rel99=2</f>
        <v>#NAME?</v>
      </c>
    </row>
    <row r="1209" spans="58:58" x14ac:dyDescent="0.25">
      <c r="BF1209" t="e">
        <f>solver_rhs1=NonLinLarge!$J$7:$J$8</f>
        <v>#NAME?</v>
      </c>
    </row>
    <row r="1210" spans="58:58" x14ac:dyDescent="0.25">
      <c r="BF1210" t="e">
        <f>solver_rhs10=NonLinLarge!$J$74</f>
        <v>#NAME?</v>
      </c>
    </row>
    <row r="1211" spans="58:58" x14ac:dyDescent="0.25">
      <c r="BF1211" t="e">
        <f>solver_rhs100=NonLinLarge!$J$74</f>
        <v>#NAME?</v>
      </c>
    </row>
    <row r="1212" spans="58:58" x14ac:dyDescent="0.25">
      <c r="BF1212" t="e">
        <f>solver_rhs101=NonLinLarge!$J$75:$J$138</f>
        <v>#NAME?</v>
      </c>
    </row>
    <row r="1213" spans="58:58" x14ac:dyDescent="0.25">
      <c r="BF1213" t="e">
        <f>solver_rhs102=NonLinLarge!$J$139</f>
        <v>#NAME?</v>
      </c>
    </row>
    <row r="1214" spans="58:58" x14ac:dyDescent="0.25">
      <c r="BF1214" t="e">
        <f>solver_rhs103=NonLinLarge!$J$7:$J$8</f>
        <v>#NAME?</v>
      </c>
    </row>
    <row r="1215" spans="58:58" x14ac:dyDescent="0.25">
      <c r="BF1215" t="e">
        <f>solver_rhs104=NonLinLarge!$J$9:$J$72</f>
        <v>#NAME?</v>
      </c>
    </row>
    <row r="1216" spans="58:58" x14ac:dyDescent="0.25">
      <c r="BF1216" t="e">
        <f>solver_rhs105=NonLinLarge!$J$73</f>
        <v>#NAME?</v>
      </c>
    </row>
    <row r="1217" spans="58:58" x14ac:dyDescent="0.25">
      <c r="BF1217" t="e">
        <f>solver_rhs106=NonLinLarge!$J$74</f>
        <v>#NAME?</v>
      </c>
    </row>
    <row r="1218" spans="58:58" x14ac:dyDescent="0.25">
      <c r="BF1218" t="e">
        <f>solver_rhs107=NonLinLarge!$J$75:$J$138</f>
        <v>#NAME?</v>
      </c>
    </row>
    <row r="1219" spans="58:58" x14ac:dyDescent="0.25">
      <c r="BF1219" t="e">
        <f>solver_rhs108=NonLinLarge!$J$139</f>
        <v>#NAME?</v>
      </c>
    </row>
    <row r="1220" spans="58:58" x14ac:dyDescent="0.25">
      <c r="BF1220" t="e">
        <f>solver_rhs109=NonLinLarge!$J$7:$J$8</f>
        <v>#NAME?</v>
      </c>
    </row>
    <row r="1221" spans="58:58" x14ac:dyDescent="0.25">
      <c r="BF1221" t="e">
        <f>solver_rhs11=NonLinLarge!$J$75:$J$138</f>
        <v>#NAME?</v>
      </c>
    </row>
    <row r="1222" spans="58:58" x14ac:dyDescent="0.25">
      <c r="BF1222" t="e">
        <f>solver_rhs110=NonLinLarge!$J$9:$J$72</f>
        <v>#NAME?</v>
      </c>
    </row>
    <row r="1223" spans="58:58" x14ac:dyDescent="0.25">
      <c r="BF1223" t="e">
        <f>solver_rhs111=NonLinLarge!$J$73</f>
        <v>#NAME?</v>
      </c>
    </row>
    <row r="1224" spans="58:58" x14ac:dyDescent="0.25">
      <c r="BF1224" t="e">
        <f>solver_rhs112=NonLinLarge!$J$74</f>
        <v>#NAME?</v>
      </c>
    </row>
    <row r="1225" spans="58:58" x14ac:dyDescent="0.25">
      <c r="BF1225" t="e">
        <f>solver_rhs113=NonLinLarge!$J$75:$J$138</f>
        <v>#NAME?</v>
      </c>
    </row>
    <row r="1226" spans="58:58" x14ac:dyDescent="0.25">
      <c r="BF1226" t="e">
        <f>solver_rhs114=NonLinLarge!$J$139</f>
        <v>#NAME?</v>
      </c>
    </row>
    <row r="1227" spans="58:58" x14ac:dyDescent="0.25">
      <c r="BF1227" t="e">
        <f>solver_rhs115=NonLinLarge!$J$7:$J$8</f>
        <v>#NAME?</v>
      </c>
    </row>
    <row r="1228" spans="58:58" x14ac:dyDescent="0.25">
      <c r="BF1228" t="e">
        <f>solver_rhs116=NonLinLarge!$J$9:$J$72</f>
        <v>#NAME?</v>
      </c>
    </row>
    <row r="1229" spans="58:58" x14ac:dyDescent="0.25">
      <c r="BF1229" t="e">
        <f>solver_rhs117=NonLinLarge!$J$73</f>
        <v>#NAME?</v>
      </c>
    </row>
    <row r="1230" spans="58:58" x14ac:dyDescent="0.25">
      <c r="BF1230" t="e">
        <f>solver_rhs118=NonLinLarge!$J$74</f>
        <v>#NAME?</v>
      </c>
    </row>
    <row r="1231" spans="58:58" x14ac:dyDescent="0.25">
      <c r="BF1231" t="e">
        <f>solver_rhs119=NonLinLarge!$J$75:$J$138</f>
        <v>#NAME?</v>
      </c>
    </row>
    <row r="1232" spans="58:58" x14ac:dyDescent="0.25">
      <c r="BF1232" t="e">
        <f>solver_rhs12=NonLinLarge!$J$139</f>
        <v>#NAME?</v>
      </c>
    </row>
    <row r="1233" spans="58:58" x14ac:dyDescent="0.25">
      <c r="BF1233" t="e">
        <f>solver_rhs120=NonLinLarge!$J$139</f>
        <v>#NAME?</v>
      </c>
    </row>
    <row r="1234" spans="58:58" x14ac:dyDescent="0.25">
      <c r="BF1234" t="e">
        <f>solver_rhs121=NonLinLarge!$J$7:$J$8</f>
        <v>#NAME?</v>
      </c>
    </row>
    <row r="1235" spans="58:58" x14ac:dyDescent="0.25">
      <c r="BF1235" t="e">
        <f>solver_rhs122=NonLinLarge!$J$9:$J$72</f>
        <v>#NAME?</v>
      </c>
    </row>
    <row r="1236" spans="58:58" x14ac:dyDescent="0.25">
      <c r="BF1236" t="e">
        <f>solver_rhs123=NonLinLarge!$J$73</f>
        <v>#NAME?</v>
      </c>
    </row>
    <row r="1237" spans="58:58" x14ac:dyDescent="0.25">
      <c r="BF1237" t="e">
        <f>solver_rhs124=NonLinLarge!$J$74</f>
        <v>#NAME?</v>
      </c>
    </row>
    <row r="1238" spans="58:58" x14ac:dyDescent="0.25">
      <c r="BF1238" t="e">
        <f>solver_rhs125=NonLinLarge!$J$75:$J$138</f>
        <v>#NAME?</v>
      </c>
    </row>
    <row r="1239" spans="58:58" x14ac:dyDescent="0.25">
      <c r="BF1239" t="e">
        <f>solver_rhs126=NonLinLarge!$J$139</f>
        <v>#NAME?</v>
      </c>
    </row>
    <row r="1240" spans="58:58" x14ac:dyDescent="0.25">
      <c r="BF1240" t="e">
        <f>solver_rhs127=NonLinLarge!$J$7:$J$8</f>
        <v>#NAME?</v>
      </c>
    </row>
    <row r="1241" spans="58:58" x14ac:dyDescent="0.25">
      <c r="BF1241" t="e">
        <f>solver_rhs128=NonLinLarge!$J$9:$J$72</f>
        <v>#NAME?</v>
      </c>
    </row>
    <row r="1242" spans="58:58" x14ac:dyDescent="0.25">
      <c r="BF1242" t="e">
        <f>solver_rhs129=NonLinLarge!$J$73</f>
        <v>#NAME?</v>
      </c>
    </row>
    <row r="1243" spans="58:58" x14ac:dyDescent="0.25">
      <c r="BF1243" t="e">
        <f>solver_rhs13=NonLinLarge!$J$7:$J$8</f>
        <v>#NAME?</v>
      </c>
    </row>
    <row r="1244" spans="58:58" x14ac:dyDescent="0.25">
      <c r="BF1244" t="e">
        <f>solver_rhs130=NonLinLarge!$J$74</f>
        <v>#NAME?</v>
      </c>
    </row>
    <row r="1245" spans="58:58" x14ac:dyDescent="0.25">
      <c r="BF1245" t="e">
        <f>solver_rhs131=NonLinLarge!$J$75:$J$138</f>
        <v>#NAME?</v>
      </c>
    </row>
    <row r="1246" spans="58:58" x14ac:dyDescent="0.25">
      <c r="BF1246" t="e">
        <f>solver_rhs132=NonLinLarge!$J$139</f>
        <v>#NAME?</v>
      </c>
    </row>
    <row r="1247" spans="58:58" x14ac:dyDescent="0.25">
      <c r="BF1247" t="e">
        <f>solver_rhs133=NonLinLarge!$J$7:$J$8</f>
        <v>#NAME?</v>
      </c>
    </row>
    <row r="1248" spans="58:58" x14ac:dyDescent="0.25">
      <c r="BF1248" t="e">
        <f>solver_rhs134=NonLinLarge!$J$9:$J$72</f>
        <v>#NAME?</v>
      </c>
    </row>
    <row r="1249" spans="58:58" x14ac:dyDescent="0.25">
      <c r="BF1249" t="e">
        <f>solver_rhs135=NonLinLarge!$J$73</f>
        <v>#NAME?</v>
      </c>
    </row>
    <row r="1250" spans="58:58" x14ac:dyDescent="0.25">
      <c r="BF1250" t="e">
        <f>solver_rhs136=NonLinLarge!$J$74</f>
        <v>#NAME?</v>
      </c>
    </row>
    <row r="1251" spans="58:58" x14ac:dyDescent="0.25">
      <c r="BF1251" t="e">
        <f>solver_rhs137=NonLinLarge!$J$75:$J$138</f>
        <v>#NAME?</v>
      </c>
    </row>
    <row r="1252" spans="58:58" x14ac:dyDescent="0.25">
      <c r="BF1252" t="e">
        <f>solver_rhs138=NonLinLarge!$J$139</f>
        <v>#NAME?</v>
      </c>
    </row>
    <row r="1253" spans="58:58" x14ac:dyDescent="0.25">
      <c r="BF1253" t="e">
        <f>solver_rhs139=NonLinLarge!$J$7:$J$8</f>
        <v>#NAME?</v>
      </c>
    </row>
    <row r="1254" spans="58:58" x14ac:dyDescent="0.25">
      <c r="BF1254" t="e">
        <f>solver_rhs14=NonLinLarge!$J$9:$J$72</f>
        <v>#NAME?</v>
      </c>
    </row>
    <row r="1255" spans="58:58" x14ac:dyDescent="0.25">
      <c r="BF1255" t="e">
        <f>solver_rhs140=NonLinLarge!$J$9:$J$72</f>
        <v>#NAME?</v>
      </c>
    </row>
    <row r="1256" spans="58:58" x14ac:dyDescent="0.25">
      <c r="BF1256" t="e">
        <f>solver_rhs141=NonLinLarge!$J$73</f>
        <v>#NAME?</v>
      </c>
    </row>
    <row r="1257" spans="58:58" x14ac:dyDescent="0.25">
      <c r="BF1257" t="e">
        <f>solver_rhs142=NonLinLarge!$J$74</f>
        <v>#NAME?</v>
      </c>
    </row>
    <row r="1258" spans="58:58" x14ac:dyDescent="0.25">
      <c r="BF1258" t="e">
        <f>solver_rhs143=NonLinLarge!$J$75:$J$138</f>
        <v>#NAME?</v>
      </c>
    </row>
    <row r="1259" spans="58:58" x14ac:dyDescent="0.25">
      <c r="BF1259" t="e">
        <f>solver_rhs144=NonLinLarge!$J$139</f>
        <v>#NAME?</v>
      </c>
    </row>
    <row r="1260" spans="58:58" x14ac:dyDescent="0.25">
      <c r="BF1260" t="e">
        <f>solver_rhs145=NonLinLarge!$J$7:$J$8</f>
        <v>#NAME?</v>
      </c>
    </row>
    <row r="1261" spans="58:58" x14ac:dyDescent="0.25">
      <c r="BF1261" t="e">
        <f>solver_rhs146=NonLinLarge!$J$9:$J$72</f>
        <v>#NAME?</v>
      </c>
    </row>
    <row r="1262" spans="58:58" x14ac:dyDescent="0.25">
      <c r="BF1262" t="e">
        <f>solver_rhs147=NonLinLarge!$J$73</f>
        <v>#NAME?</v>
      </c>
    </row>
    <row r="1263" spans="58:58" x14ac:dyDescent="0.25">
      <c r="BF1263" t="e">
        <f>solver_rhs148=NonLinLarge!$J$74</f>
        <v>#NAME?</v>
      </c>
    </row>
    <row r="1264" spans="58:58" x14ac:dyDescent="0.25">
      <c r="BF1264" t="e">
        <f>solver_rhs149=NonLinLarge!$J$75:$J$138</f>
        <v>#NAME?</v>
      </c>
    </row>
    <row r="1265" spans="58:58" x14ac:dyDescent="0.25">
      <c r="BF1265" t="e">
        <f>solver_rhs15=NonLinLarge!$J$73</f>
        <v>#NAME?</v>
      </c>
    </row>
    <row r="1266" spans="58:58" x14ac:dyDescent="0.25">
      <c r="BF1266" t="e">
        <f>solver_rhs150=NonLinLarge!$J$139</f>
        <v>#NAME?</v>
      </c>
    </row>
    <row r="1267" spans="58:58" x14ac:dyDescent="0.25">
      <c r="BF1267" t="e">
        <f>solver_rhs151=NonLinLarge!$J$7:$J$8</f>
        <v>#NAME?</v>
      </c>
    </row>
    <row r="1268" spans="58:58" x14ac:dyDescent="0.25">
      <c r="BF1268" t="e">
        <f>solver_rhs152=NonLinLarge!$J$9:$J$72</f>
        <v>#NAME?</v>
      </c>
    </row>
    <row r="1269" spans="58:58" x14ac:dyDescent="0.25">
      <c r="BF1269" t="e">
        <f>solver_rhs153=NonLinLarge!$J$73</f>
        <v>#NAME?</v>
      </c>
    </row>
    <row r="1270" spans="58:58" x14ac:dyDescent="0.25">
      <c r="BF1270" t="e">
        <f>solver_rhs154=NonLinLarge!$J$74</f>
        <v>#NAME?</v>
      </c>
    </row>
    <row r="1271" spans="58:58" x14ac:dyDescent="0.25">
      <c r="BF1271" t="e">
        <f>solver_rhs155=NonLinLarge!$J$75:$J$138</f>
        <v>#NAME?</v>
      </c>
    </row>
    <row r="1272" spans="58:58" x14ac:dyDescent="0.25">
      <c r="BF1272" t="e">
        <f>solver_rhs156=NonLinLarge!$J$139</f>
        <v>#NAME?</v>
      </c>
    </row>
    <row r="1273" spans="58:58" x14ac:dyDescent="0.25">
      <c r="BF1273" t="e">
        <f>solver_rhs157=NonLinLarge!$J$7:$J$8</f>
        <v>#NAME?</v>
      </c>
    </row>
    <row r="1274" spans="58:58" x14ac:dyDescent="0.25">
      <c r="BF1274" t="e">
        <f>solver_rhs158=NonLinLarge!$J$9:$J$72</f>
        <v>#NAME?</v>
      </c>
    </row>
    <row r="1275" spans="58:58" x14ac:dyDescent="0.25">
      <c r="BF1275" t="e">
        <f>solver_rhs159=NonLinLarge!$J$73</f>
        <v>#NAME?</v>
      </c>
    </row>
    <row r="1276" spans="58:58" x14ac:dyDescent="0.25">
      <c r="BF1276" t="e">
        <f>solver_rhs16=NonLinLarge!$J$74</f>
        <v>#NAME?</v>
      </c>
    </row>
    <row r="1277" spans="58:58" x14ac:dyDescent="0.25">
      <c r="BF1277" t="e">
        <f>solver_rhs160=NonLinLarge!$J$74</f>
        <v>#NAME?</v>
      </c>
    </row>
    <row r="1278" spans="58:58" x14ac:dyDescent="0.25">
      <c r="BF1278" t="e">
        <f>solver_rhs161=NonLinLarge!$J$75:$J$138</f>
        <v>#NAME?</v>
      </c>
    </row>
    <row r="1279" spans="58:58" x14ac:dyDescent="0.25">
      <c r="BF1279" t="e">
        <f>solver_rhs162=NonLinLarge!$J$139</f>
        <v>#NAME?</v>
      </c>
    </row>
    <row r="1280" spans="58:58" x14ac:dyDescent="0.25">
      <c r="BF1280" t="e">
        <f>solver_rhs163=NonLinLarge!$J$7:$J$8</f>
        <v>#NAME?</v>
      </c>
    </row>
    <row r="1281" spans="58:58" x14ac:dyDescent="0.25">
      <c r="BF1281" t="e">
        <f>solver_rhs164=NonLinLarge!$J$9:$J$72</f>
        <v>#NAME?</v>
      </c>
    </row>
    <row r="1282" spans="58:58" x14ac:dyDescent="0.25">
      <c r="BF1282" t="e">
        <f>solver_rhs165=NonLinLarge!$J$73</f>
        <v>#NAME?</v>
      </c>
    </row>
    <row r="1283" spans="58:58" x14ac:dyDescent="0.25">
      <c r="BF1283" t="e">
        <f>solver_rhs166=NonLinLarge!$J$74</f>
        <v>#NAME?</v>
      </c>
    </row>
    <row r="1284" spans="58:58" x14ac:dyDescent="0.25">
      <c r="BF1284" t="e">
        <f>solver_rhs167=NonLinLarge!$J$75:$J$138</f>
        <v>#NAME?</v>
      </c>
    </row>
    <row r="1285" spans="58:58" x14ac:dyDescent="0.25">
      <c r="BF1285" t="e">
        <f>solver_rhs168=NonLinLarge!$J$139</f>
        <v>#NAME?</v>
      </c>
    </row>
    <row r="1286" spans="58:58" x14ac:dyDescent="0.25">
      <c r="BF1286" t="e">
        <f>solver_rhs169=NonLinLarge!$J$7:$J$8</f>
        <v>#NAME?</v>
      </c>
    </row>
    <row r="1287" spans="58:58" x14ac:dyDescent="0.25">
      <c r="BF1287" t="e">
        <f>solver_rhs17=NonLinLarge!$J$75:$J$138</f>
        <v>#NAME?</v>
      </c>
    </row>
    <row r="1288" spans="58:58" x14ac:dyDescent="0.25">
      <c r="BF1288" t="e">
        <f>solver_rhs170=NonLinLarge!$J$9:$J$72</f>
        <v>#NAME?</v>
      </c>
    </row>
    <row r="1289" spans="58:58" x14ac:dyDescent="0.25">
      <c r="BF1289" t="e">
        <f>solver_rhs171=NonLinLarge!$J$73</f>
        <v>#NAME?</v>
      </c>
    </row>
    <row r="1290" spans="58:58" x14ac:dyDescent="0.25">
      <c r="BF1290" t="e">
        <f>solver_rhs172=NonLinLarge!$J$74</f>
        <v>#NAME?</v>
      </c>
    </row>
    <row r="1291" spans="58:58" x14ac:dyDescent="0.25">
      <c r="BF1291" t="e">
        <f>solver_rhs173=NonLinLarge!$J$75:$J$138</f>
        <v>#NAME?</v>
      </c>
    </row>
    <row r="1292" spans="58:58" x14ac:dyDescent="0.25">
      <c r="BF1292" t="e">
        <f>solver_rhs174=NonLinLarge!$J$139</f>
        <v>#NAME?</v>
      </c>
    </row>
    <row r="1293" spans="58:58" x14ac:dyDescent="0.25">
      <c r="BF1293" t="e">
        <f>solver_rhs175=NonLinLarge!$J$7:$J$8</f>
        <v>#NAME?</v>
      </c>
    </row>
    <row r="1294" spans="58:58" x14ac:dyDescent="0.25">
      <c r="BF1294" t="e">
        <f>solver_rhs176=NonLinLarge!$J$9:$J$72</f>
        <v>#NAME?</v>
      </c>
    </row>
    <row r="1295" spans="58:58" x14ac:dyDescent="0.25">
      <c r="BF1295" t="e">
        <f>solver_rhs177=NonLinLarge!$J$73</f>
        <v>#NAME?</v>
      </c>
    </row>
    <row r="1296" spans="58:58" x14ac:dyDescent="0.25">
      <c r="BF1296" t="e">
        <f>solver_rhs178=NonLinLarge!$J$74</f>
        <v>#NAME?</v>
      </c>
    </row>
    <row r="1297" spans="58:58" x14ac:dyDescent="0.25">
      <c r="BF1297" t="e">
        <f>solver_rhs179=NonLinLarge!$J$75:$J$138</f>
        <v>#NAME?</v>
      </c>
    </row>
    <row r="1298" spans="58:58" x14ac:dyDescent="0.25">
      <c r="BF1298" t="e">
        <f>solver_rhs18=NonLinLarge!$J$139</f>
        <v>#NAME?</v>
      </c>
    </row>
    <row r="1299" spans="58:58" x14ac:dyDescent="0.25">
      <c r="BF1299" t="e">
        <f>solver_rhs180=NonLinLarge!$J$139</f>
        <v>#NAME?</v>
      </c>
    </row>
    <row r="1300" spans="58:58" x14ac:dyDescent="0.25">
      <c r="BF1300" t="e">
        <f>solver_rhs181=NonLinLarge!$J$7:$J$8</f>
        <v>#NAME?</v>
      </c>
    </row>
    <row r="1301" spans="58:58" x14ac:dyDescent="0.25">
      <c r="BF1301" t="e">
        <f>solver_rhs182=NonLinLarge!$J$9:$J$72</f>
        <v>#NAME?</v>
      </c>
    </row>
    <row r="1302" spans="58:58" x14ac:dyDescent="0.25">
      <c r="BF1302" t="e">
        <f>solver_rhs183=NonLinLarge!$J$73</f>
        <v>#NAME?</v>
      </c>
    </row>
    <row r="1303" spans="58:58" x14ac:dyDescent="0.25">
      <c r="BF1303" t="e">
        <f>solver_rhs184=NonLinLarge!$J$74</f>
        <v>#NAME?</v>
      </c>
    </row>
    <row r="1304" spans="58:58" x14ac:dyDescent="0.25">
      <c r="BF1304" t="e">
        <f>solver_rhs185=NonLinLarge!$J$75:$J$138</f>
        <v>#NAME?</v>
      </c>
    </row>
    <row r="1305" spans="58:58" x14ac:dyDescent="0.25">
      <c r="BF1305" t="e">
        <f>solver_rhs186=NonLinLarge!$J$139</f>
        <v>#NAME?</v>
      </c>
    </row>
    <row r="1306" spans="58:58" x14ac:dyDescent="0.25">
      <c r="BF1306" t="e">
        <f>solver_rhs187=NonLinLarge!$J$7:$J$8</f>
        <v>#NAME?</v>
      </c>
    </row>
    <row r="1307" spans="58:58" x14ac:dyDescent="0.25">
      <c r="BF1307" t="e">
        <f>solver_rhs188=NonLinLarge!$J$9:$J$72</f>
        <v>#NAME?</v>
      </c>
    </row>
    <row r="1308" spans="58:58" x14ac:dyDescent="0.25">
      <c r="BF1308" t="e">
        <f>solver_rhs189=NonLinLarge!$J$73</f>
        <v>#NAME?</v>
      </c>
    </row>
    <row r="1309" spans="58:58" x14ac:dyDescent="0.25">
      <c r="BF1309" t="e">
        <f>solver_rhs19=NonLinLarge!$J$7:$J$8</f>
        <v>#NAME?</v>
      </c>
    </row>
    <row r="1310" spans="58:58" x14ac:dyDescent="0.25">
      <c r="BF1310" t="e">
        <f>solver_rhs190=NonLinLarge!$J$74</f>
        <v>#NAME?</v>
      </c>
    </row>
    <row r="1311" spans="58:58" x14ac:dyDescent="0.25">
      <c r="BF1311" t="e">
        <f>solver_rhs191=NonLinLarge!$J$75:$J$138</f>
        <v>#NAME?</v>
      </c>
    </row>
    <row r="1312" spans="58:58" x14ac:dyDescent="0.25">
      <c r="BF1312" t="e">
        <f>solver_rhs192=NonLinLarge!$J$139</f>
        <v>#NAME?</v>
      </c>
    </row>
    <row r="1313" spans="58:58" x14ac:dyDescent="0.25">
      <c r="BF1313" t="e">
        <f>solver_rhs193=NonLinLarge!$J$7:$J$8</f>
        <v>#NAME?</v>
      </c>
    </row>
    <row r="1314" spans="58:58" x14ac:dyDescent="0.25">
      <c r="BF1314" t="e">
        <f>solver_rhs194=NonLinLarge!$J$9:$J$72</f>
        <v>#NAME?</v>
      </c>
    </row>
    <row r="1315" spans="58:58" x14ac:dyDescent="0.25">
      <c r="BF1315" t="e">
        <f>solver_rhs195=NonLinLarge!$J$73</f>
        <v>#NAME?</v>
      </c>
    </row>
    <row r="1316" spans="58:58" x14ac:dyDescent="0.25">
      <c r="BF1316" t="e">
        <f>solver_rhs196=NonLinLarge!$J$74</f>
        <v>#NAME?</v>
      </c>
    </row>
    <row r="1317" spans="58:58" x14ac:dyDescent="0.25">
      <c r="BF1317" t="e">
        <f>solver_rhs197=NonLinLarge!$J$75:$J$138</f>
        <v>#NAME?</v>
      </c>
    </row>
    <row r="1318" spans="58:58" x14ac:dyDescent="0.25">
      <c r="BF1318" t="e">
        <f>solver_rhs198=NonLinLarge!$J$139</f>
        <v>#NAME?</v>
      </c>
    </row>
    <row r="1319" spans="58:58" x14ac:dyDescent="0.25">
      <c r="BF1319" t="e">
        <f>solver_rhs199=NonLinLarge!$J$7:$J$8</f>
        <v>#NAME?</v>
      </c>
    </row>
    <row r="1320" spans="58:58" x14ac:dyDescent="0.25">
      <c r="BF1320" t="e">
        <f>solver_rhs2=NonLinLarge!$J$9:$J$72</f>
        <v>#NAME?</v>
      </c>
    </row>
    <row r="1321" spans="58:58" x14ac:dyDescent="0.25">
      <c r="BF1321" t="e">
        <f>solver_rhs20=NonLinLarge!$J$9:$J$72</f>
        <v>#NAME?</v>
      </c>
    </row>
    <row r="1322" spans="58:58" x14ac:dyDescent="0.25">
      <c r="BF1322" t="e">
        <f>solver_rhs200=NonLinLarge!$J$9:$J$72</f>
        <v>#NAME?</v>
      </c>
    </row>
    <row r="1323" spans="58:58" x14ac:dyDescent="0.25">
      <c r="BF1323" t="e">
        <f>solver_rhs201=NonLinLarge!$J$73</f>
        <v>#NAME?</v>
      </c>
    </row>
    <row r="1324" spans="58:58" x14ac:dyDescent="0.25">
      <c r="BF1324" t="e">
        <f>solver_rhs202=NonLinLarge!$J$74</f>
        <v>#NAME?</v>
      </c>
    </row>
    <row r="1325" spans="58:58" x14ac:dyDescent="0.25">
      <c r="BF1325" t="e">
        <f>solver_rhs203=NonLinLarge!$J$75:$J$138</f>
        <v>#NAME?</v>
      </c>
    </row>
    <row r="1326" spans="58:58" x14ac:dyDescent="0.25">
      <c r="BF1326" t="e">
        <f>solver_rhs204=NonLinLarge!$J$139</f>
        <v>#NAME?</v>
      </c>
    </row>
    <row r="1327" spans="58:58" x14ac:dyDescent="0.25">
      <c r="BF1327" t="e">
        <f>solver_rhs205=NonLinLarge!$J$7:$J$8</f>
        <v>#NAME?</v>
      </c>
    </row>
    <row r="1328" spans="58:58" x14ac:dyDescent="0.25">
      <c r="BF1328" t="e">
        <f>solver_rhs206=NonLinLarge!$J$9:$J$72</f>
        <v>#NAME?</v>
      </c>
    </row>
    <row r="1329" spans="58:58" x14ac:dyDescent="0.25">
      <c r="BF1329" t="e">
        <f>solver_rhs207=NonLinLarge!$J$73</f>
        <v>#NAME?</v>
      </c>
    </row>
    <row r="1330" spans="58:58" x14ac:dyDescent="0.25">
      <c r="BF1330" t="e">
        <f>solver_rhs208=NonLinLarge!$J$74</f>
        <v>#NAME?</v>
      </c>
    </row>
    <row r="1331" spans="58:58" x14ac:dyDescent="0.25">
      <c r="BF1331" t="e">
        <f>solver_rhs209=NonLinLarge!$J$75:$J$138</f>
        <v>#NAME?</v>
      </c>
    </row>
    <row r="1332" spans="58:58" x14ac:dyDescent="0.25">
      <c r="BF1332" t="e">
        <f>solver_rhs21=NonLinLarge!$J$73</f>
        <v>#NAME?</v>
      </c>
    </row>
    <row r="1333" spans="58:58" x14ac:dyDescent="0.25">
      <c r="BF1333" t="e">
        <f>solver_rhs210=NonLinLarge!$J$139</f>
        <v>#NAME?</v>
      </c>
    </row>
    <row r="1334" spans="58:58" x14ac:dyDescent="0.25">
      <c r="BF1334" t="e">
        <f>solver_rhs211=NonLinLarge!$J$7:$J$8</f>
        <v>#NAME?</v>
      </c>
    </row>
    <row r="1335" spans="58:58" x14ac:dyDescent="0.25">
      <c r="BF1335" t="e">
        <f>solver_rhs212=NonLinLarge!$J$9:$J$72</f>
        <v>#NAME?</v>
      </c>
    </row>
    <row r="1336" spans="58:58" x14ac:dyDescent="0.25">
      <c r="BF1336" t="e">
        <f>solver_rhs213=NonLinLarge!$J$73</f>
        <v>#NAME?</v>
      </c>
    </row>
    <row r="1337" spans="58:58" x14ac:dyDescent="0.25">
      <c r="BF1337" t="e">
        <f>solver_rhs214=NonLinLarge!$J$74</f>
        <v>#NAME?</v>
      </c>
    </row>
    <row r="1338" spans="58:58" x14ac:dyDescent="0.25">
      <c r="BF1338" t="e">
        <f>solver_rhs215=NonLinLarge!$J$75:$J$138</f>
        <v>#NAME?</v>
      </c>
    </row>
    <row r="1339" spans="58:58" x14ac:dyDescent="0.25">
      <c r="BF1339" t="e">
        <f>solver_rhs216=NonLinLarge!$J$139</f>
        <v>#NAME?</v>
      </c>
    </row>
    <row r="1340" spans="58:58" x14ac:dyDescent="0.25">
      <c r="BF1340" t="e">
        <f>solver_rhs217=NonLinLarge!$J$7:$J$8</f>
        <v>#NAME?</v>
      </c>
    </row>
    <row r="1341" spans="58:58" x14ac:dyDescent="0.25">
      <c r="BF1341" t="e">
        <f>solver_rhs218=NonLinLarge!$J$9:$J$72</f>
        <v>#NAME?</v>
      </c>
    </row>
    <row r="1342" spans="58:58" x14ac:dyDescent="0.25">
      <c r="BF1342" t="e">
        <f>solver_rhs219=NonLinLarge!$J$73</f>
        <v>#NAME?</v>
      </c>
    </row>
    <row r="1343" spans="58:58" x14ac:dyDescent="0.25">
      <c r="BF1343" t="e">
        <f>solver_rhs22=NonLinLarge!$J$74</f>
        <v>#NAME?</v>
      </c>
    </row>
    <row r="1344" spans="58:58" x14ac:dyDescent="0.25">
      <c r="BF1344" t="e">
        <f>solver_rhs220=NonLinLarge!$J$74</f>
        <v>#NAME?</v>
      </c>
    </row>
    <row r="1345" spans="58:58" x14ac:dyDescent="0.25">
      <c r="BF1345" t="e">
        <f>solver_rhs221=NonLinLarge!$J$75:$J$138</f>
        <v>#NAME?</v>
      </c>
    </row>
    <row r="1346" spans="58:58" x14ac:dyDescent="0.25">
      <c r="BF1346" t="e">
        <f>solver_rhs222=NonLinLarge!$J$139</f>
        <v>#NAME?</v>
      </c>
    </row>
    <row r="1347" spans="58:58" x14ac:dyDescent="0.25">
      <c r="BF1347" t="e">
        <f>solver_rhs223=NonLinLarge!$J$7:$J$8</f>
        <v>#NAME?</v>
      </c>
    </row>
    <row r="1348" spans="58:58" x14ac:dyDescent="0.25">
      <c r="BF1348" t="e">
        <f>solver_rhs224=NonLinLarge!$J$9:$J$72</f>
        <v>#NAME?</v>
      </c>
    </row>
    <row r="1349" spans="58:58" x14ac:dyDescent="0.25">
      <c r="BF1349" t="e">
        <f>solver_rhs225=NonLinLarge!$J$73</f>
        <v>#NAME?</v>
      </c>
    </row>
    <row r="1350" spans="58:58" x14ac:dyDescent="0.25">
      <c r="BF1350" t="e">
        <f>solver_rhs226=NonLinLarge!$J$74</f>
        <v>#NAME?</v>
      </c>
    </row>
    <row r="1351" spans="58:58" x14ac:dyDescent="0.25">
      <c r="BF1351" t="e">
        <f>solver_rhs227=NonLinLarge!$J$75:$J$138</f>
        <v>#NAME?</v>
      </c>
    </row>
    <row r="1352" spans="58:58" x14ac:dyDescent="0.25">
      <c r="BF1352" t="e">
        <f>solver_rhs228=NonLinLarge!$J$139</f>
        <v>#NAME?</v>
      </c>
    </row>
    <row r="1353" spans="58:58" x14ac:dyDescent="0.25">
      <c r="BF1353" t="e">
        <f>solver_rhs229=NonLinLarge!$J$7:$J$8</f>
        <v>#NAME?</v>
      </c>
    </row>
    <row r="1354" spans="58:58" x14ac:dyDescent="0.25">
      <c r="BF1354" t="e">
        <f>solver_rhs23=NonLinLarge!$J$75:$J$138</f>
        <v>#NAME?</v>
      </c>
    </row>
    <row r="1355" spans="58:58" x14ac:dyDescent="0.25">
      <c r="BF1355" t="e">
        <f>solver_rhs230=NonLinLarge!$J$9:$J$72</f>
        <v>#NAME?</v>
      </c>
    </row>
    <row r="1356" spans="58:58" x14ac:dyDescent="0.25">
      <c r="BF1356" t="e">
        <f>solver_rhs231=NonLinLarge!$J$73</f>
        <v>#NAME?</v>
      </c>
    </row>
    <row r="1357" spans="58:58" x14ac:dyDescent="0.25">
      <c r="BF1357" t="e">
        <f>solver_rhs232=NonLinLarge!$J$74</f>
        <v>#NAME?</v>
      </c>
    </row>
    <row r="1358" spans="58:58" x14ac:dyDescent="0.25">
      <c r="BF1358" t="e">
        <f>solver_rhs233=NonLinLarge!$J$75:$J$138</f>
        <v>#NAME?</v>
      </c>
    </row>
    <row r="1359" spans="58:58" x14ac:dyDescent="0.25">
      <c r="BF1359" t="e">
        <f>solver_rhs234=NonLinLarge!$J$139</f>
        <v>#NAME?</v>
      </c>
    </row>
    <row r="1360" spans="58:58" x14ac:dyDescent="0.25">
      <c r="BF1360" t="e">
        <f>solver_rhs235=NonLinLarge!$J$7:$J$8</f>
        <v>#NAME?</v>
      </c>
    </row>
    <row r="1361" spans="58:58" x14ac:dyDescent="0.25">
      <c r="BF1361" t="e">
        <f>solver_rhs236=NonLinLarge!$J$9:$J$72</f>
        <v>#NAME?</v>
      </c>
    </row>
    <row r="1362" spans="58:58" x14ac:dyDescent="0.25">
      <c r="BF1362" t="e">
        <f>solver_rhs237=NonLinLarge!$J$73</f>
        <v>#NAME?</v>
      </c>
    </row>
    <row r="1363" spans="58:58" x14ac:dyDescent="0.25">
      <c r="BF1363" t="e">
        <f>solver_rhs238=NonLinLarge!$J$74</f>
        <v>#NAME?</v>
      </c>
    </row>
    <row r="1364" spans="58:58" x14ac:dyDescent="0.25">
      <c r="BF1364" t="e">
        <f>solver_rhs239=NonLinLarge!$J$75:$J$138</f>
        <v>#NAME?</v>
      </c>
    </row>
    <row r="1365" spans="58:58" x14ac:dyDescent="0.25">
      <c r="BF1365" t="e">
        <f>solver_rhs24=NonLinLarge!$J$139</f>
        <v>#NAME?</v>
      </c>
    </row>
    <row r="1366" spans="58:58" x14ac:dyDescent="0.25">
      <c r="BF1366" t="e">
        <f>solver_rhs240=NonLinLarge!$J$139</f>
        <v>#NAME?</v>
      </c>
    </row>
    <row r="1367" spans="58:58" x14ac:dyDescent="0.25">
      <c r="BF1367" t="e">
        <f>solver_rhs241=NonLinLarge!$J$7:$J$8</f>
        <v>#NAME?</v>
      </c>
    </row>
    <row r="1368" spans="58:58" x14ac:dyDescent="0.25">
      <c r="BF1368" t="e">
        <f>solver_rhs242=NonLinLarge!$J$9:$J$72</f>
        <v>#NAME?</v>
      </c>
    </row>
    <row r="1369" spans="58:58" x14ac:dyDescent="0.25">
      <c r="BF1369" t="e">
        <f>solver_rhs243=NonLinLarge!$J$73</f>
        <v>#NAME?</v>
      </c>
    </row>
    <row r="1370" spans="58:58" x14ac:dyDescent="0.25">
      <c r="BF1370" t="e">
        <f>solver_rhs244=NonLinLarge!$J$74</f>
        <v>#NAME?</v>
      </c>
    </row>
    <row r="1371" spans="58:58" x14ac:dyDescent="0.25">
      <c r="BF1371" t="e">
        <f>solver_rhs245=NonLinLarge!$J$75:$J$138</f>
        <v>#NAME?</v>
      </c>
    </row>
    <row r="1372" spans="58:58" x14ac:dyDescent="0.25">
      <c r="BF1372" t="e">
        <f>solver_rhs246=NonLinLarge!$J$139</f>
        <v>#NAME?</v>
      </c>
    </row>
    <row r="1373" spans="58:58" x14ac:dyDescent="0.25">
      <c r="BF1373" t="e">
        <f>solver_rhs247=NonLinLarge!$J$7:$J$8</f>
        <v>#NAME?</v>
      </c>
    </row>
    <row r="1374" spans="58:58" x14ac:dyDescent="0.25">
      <c r="BF1374" t="e">
        <f>solver_rhs248=NonLinLarge!$J$9:$J$72</f>
        <v>#NAME?</v>
      </c>
    </row>
    <row r="1375" spans="58:58" x14ac:dyDescent="0.25">
      <c r="BF1375" t="e">
        <f>solver_rhs249=NonLinLarge!$J$73</f>
        <v>#NAME?</v>
      </c>
    </row>
    <row r="1376" spans="58:58" x14ac:dyDescent="0.25">
      <c r="BF1376" t="e">
        <f>solver_rhs25=NonLinLarge!$J$7:$J$8</f>
        <v>#NAME?</v>
      </c>
    </row>
    <row r="1377" spans="58:58" x14ac:dyDescent="0.25">
      <c r="BF1377" t="e">
        <f>solver_rhs250=NonLinLarge!$J$74</f>
        <v>#NAME?</v>
      </c>
    </row>
    <row r="1378" spans="58:58" x14ac:dyDescent="0.25">
      <c r="BF1378" t="e">
        <f>solver_rhs251=NonLinLarge!$J$75:$J$138</f>
        <v>#NAME?</v>
      </c>
    </row>
    <row r="1379" spans="58:58" x14ac:dyDescent="0.25">
      <c r="BF1379" t="e">
        <f>solver_rhs252=NonLinLarge!$J$139</f>
        <v>#NAME?</v>
      </c>
    </row>
    <row r="1380" spans="58:58" x14ac:dyDescent="0.25">
      <c r="BF1380" t="e">
        <f>solver_rhs253=NonLinLarge!$J$7:$J$8</f>
        <v>#NAME?</v>
      </c>
    </row>
    <row r="1381" spans="58:58" x14ac:dyDescent="0.25">
      <c r="BF1381" t="e">
        <f>solver_rhs254=NonLinLarge!$J$9:$J$72</f>
        <v>#NAME?</v>
      </c>
    </row>
    <row r="1382" spans="58:58" x14ac:dyDescent="0.25">
      <c r="BF1382" t="e">
        <f>solver_rhs255=NonLinLarge!$J$73</f>
        <v>#NAME?</v>
      </c>
    </row>
    <row r="1383" spans="58:58" x14ac:dyDescent="0.25">
      <c r="BF1383" t="e">
        <f>solver_rhs256=NonLinLarge!$J$74</f>
        <v>#NAME?</v>
      </c>
    </row>
    <row r="1384" spans="58:58" x14ac:dyDescent="0.25">
      <c r="BF1384" t="e">
        <f>solver_rhs257=NonLinLarge!$J$75:$J$138</f>
        <v>#NAME?</v>
      </c>
    </row>
    <row r="1385" spans="58:58" x14ac:dyDescent="0.25">
      <c r="BF1385" t="e">
        <f>solver_rhs258=NonLinLarge!$J$139</f>
        <v>#NAME?</v>
      </c>
    </row>
    <row r="1386" spans="58:58" x14ac:dyDescent="0.25">
      <c r="BF1386" t="e">
        <f>solver_rhs259=NonLinLarge!$J$7:$J$8</f>
        <v>#NAME?</v>
      </c>
    </row>
    <row r="1387" spans="58:58" x14ac:dyDescent="0.25">
      <c r="BF1387" t="e">
        <f>solver_rhs26=NonLinLarge!$J$9:$J$72</f>
        <v>#NAME?</v>
      </c>
    </row>
    <row r="1388" spans="58:58" x14ac:dyDescent="0.25">
      <c r="BF1388" t="e">
        <f>solver_rhs260=NonLinLarge!$J$9:$J$72</f>
        <v>#NAME?</v>
      </c>
    </row>
    <row r="1389" spans="58:58" x14ac:dyDescent="0.25">
      <c r="BF1389" t="e">
        <f>solver_rhs261=NonLinLarge!$J$73</f>
        <v>#NAME?</v>
      </c>
    </row>
    <row r="1390" spans="58:58" x14ac:dyDescent="0.25">
      <c r="BF1390" t="e">
        <f>solver_rhs262=NonLinLarge!$J$74</f>
        <v>#NAME?</v>
      </c>
    </row>
    <row r="1391" spans="58:58" x14ac:dyDescent="0.25">
      <c r="BF1391" t="e">
        <f>solver_rhs263=NonLinLarge!$J$75:$J$138</f>
        <v>#NAME?</v>
      </c>
    </row>
    <row r="1392" spans="58:58" x14ac:dyDescent="0.25">
      <c r="BF1392" t="e">
        <f>solver_rhs264=NonLinLarge!$J$139</f>
        <v>#NAME?</v>
      </c>
    </row>
    <row r="1393" spans="58:58" x14ac:dyDescent="0.25">
      <c r="BF1393" t="e">
        <f>solver_rhs265=NonLinLarge!$J$7:$J$8</f>
        <v>#NAME?</v>
      </c>
    </row>
    <row r="1394" spans="58:58" x14ac:dyDescent="0.25">
      <c r="BF1394" t="e">
        <f>solver_rhs266=NonLinLarge!$J$9:$J$72</f>
        <v>#NAME?</v>
      </c>
    </row>
    <row r="1395" spans="58:58" x14ac:dyDescent="0.25">
      <c r="BF1395" t="e">
        <f>solver_rhs267=NonLinLarge!$J$73</f>
        <v>#NAME?</v>
      </c>
    </row>
    <row r="1396" spans="58:58" x14ac:dyDescent="0.25">
      <c r="BF1396" t="e">
        <f>solver_rhs268=NonLinLarge!$J$74</f>
        <v>#NAME?</v>
      </c>
    </row>
    <row r="1397" spans="58:58" x14ac:dyDescent="0.25">
      <c r="BF1397" t="e">
        <f>solver_rhs269=NonLinLarge!$J$75:$J$138</f>
        <v>#NAME?</v>
      </c>
    </row>
    <row r="1398" spans="58:58" x14ac:dyDescent="0.25">
      <c r="BF1398" t="e">
        <f>solver_rhs27=NonLinLarge!$J$73</f>
        <v>#NAME?</v>
      </c>
    </row>
    <row r="1399" spans="58:58" x14ac:dyDescent="0.25">
      <c r="BF1399" t="e">
        <f>solver_rhs270=NonLinLarge!$J$139</f>
        <v>#NAME?</v>
      </c>
    </row>
    <row r="1400" spans="58:58" x14ac:dyDescent="0.25">
      <c r="BF1400" t="e">
        <f>solver_rhs271=NonLinLarge!$J$7:$J$8</f>
        <v>#NAME?</v>
      </c>
    </row>
    <row r="1401" spans="58:58" x14ac:dyDescent="0.25">
      <c r="BF1401" t="e">
        <f>solver_rhs272=NonLinLarge!$J$9:$J$72</f>
        <v>#NAME?</v>
      </c>
    </row>
    <row r="1402" spans="58:58" x14ac:dyDescent="0.25">
      <c r="BF1402" t="e">
        <f>solver_rhs273=NonLinLarge!$J$73</f>
        <v>#NAME?</v>
      </c>
    </row>
    <row r="1403" spans="58:58" x14ac:dyDescent="0.25">
      <c r="BF1403" t="e">
        <f>solver_rhs274=NonLinLarge!$J$74</f>
        <v>#NAME?</v>
      </c>
    </row>
    <row r="1404" spans="58:58" x14ac:dyDescent="0.25">
      <c r="BF1404" t="e">
        <f>solver_rhs275=NonLinLarge!$J$75:$J$138</f>
        <v>#NAME?</v>
      </c>
    </row>
    <row r="1405" spans="58:58" x14ac:dyDescent="0.25">
      <c r="BF1405" t="e">
        <f>solver_rhs276=NonLinLarge!$J$139</f>
        <v>#NAME?</v>
      </c>
    </row>
    <row r="1406" spans="58:58" x14ac:dyDescent="0.25">
      <c r="BF1406" t="e">
        <f>solver_rhs277=NonLinLarge!$J$7:$J$8</f>
        <v>#NAME?</v>
      </c>
    </row>
    <row r="1407" spans="58:58" x14ac:dyDescent="0.25">
      <c r="BF1407" t="e">
        <f>solver_rhs278=NonLinLarge!$J$9:$J$72</f>
        <v>#NAME?</v>
      </c>
    </row>
    <row r="1408" spans="58:58" x14ac:dyDescent="0.25">
      <c r="BF1408" t="e">
        <f>solver_rhs279=NonLinLarge!$J$73</f>
        <v>#NAME?</v>
      </c>
    </row>
    <row r="1409" spans="58:58" x14ac:dyDescent="0.25">
      <c r="BF1409" t="e">
        <f>solver_rhs28=NonLinLarge!$J$74</f>
        <v>#NAME?</v>
      </c>
    </row>
    <row r="1410" spans="58:58" x14ac:dyDescent="0.25">
      <c r="BF1410" t="e">
        <f>solver_rhs280=NonLinLarge!$J$74</f>
        <v>#NAME?</v>
      </c>
    </row>
    <row r="1411" spans="58:58" x14ac:dyDescent="0.25">
      <c r="BF1411" t="e">
        <f>solver_rhs281=NonLinLarge!$J$75:$J$138</f>
        <v>#NAME?</v>
      </c>
    </row>
    <row r="1412" spans="58:58" x14ac:dyDescent="0.25">
      <c r="BF1412" t="e">
        <f>solver_rhs282=NonLinLarge!$J$139</f>
        <v>#NAME?</v>
      </c>
    </row>
    <row r="1413" spans="58:58" x14ac:dyDescent="0.25">
      <c r="BF1413" t="e">
        <f>solver_rhs283=NonLinLarge!$J$7:$J$8</f>
        <v>#NAME?</v>
      </c>
    </row>
    <row r="1414" spans="58:58" x14ac:dyDescent="0.25">
      <c r="BF1414" t="e">
        <f>solver_rhs284=NonLinLarge!$J$9:$J$72</f>
        <v>#NAME?</v>
      </c>
    </row>
    <row r="1415" spans="58:58" x14ac:dyDescent="0.25">
      <c r="BF1415" t="e">
        <f>solver_rhs285=NonLinLarge!$J$73</f>
        <v>#NAME?</v>
      </c>
    </row>
    <row r="1416" spans="58:58" x14ac:dyDescent="0.25">
      <c r="BF1416" t="e">
        <f>solver_rhs286=NonLinLarge!$J$74</f>
        <v>#NAME?</v>
      </c>
    </row>
    <row r="1417" spans="58:58" x14ac:dyDescent="0.25">
      <c r="BF1417" t="e">
        <f>solver_rhs287=NonLinLarge!$J$75:$J$138</f>
        <v>#NAME?</v>
      </c>
    </row>
    <row r="1418" spans="58:58" x14ac:dyDescent="0.25">
      <c r="BF1418" t="e">
        <f>solver_rhs288=NonLinLarge!$J$139</f>
        <v>#NAME?</v>
      </c>
    </row>
    <row r="1419" spans="58:58" x14ac:dyDescent="0.25">
      <c r="BF1419" t="e">
        <f>solver_rhs289=NonLinLarge!$J$7:$J$8</f>
        <v>#NAME?</v>
      </c>
    </row>
    <row r="1420" spans="58:58" x14ac:dyDescent="0.25">
      <c r="BF1420" t="e">
        <f>solver_rhs29=NonLinLarge!$J$75:$J$138</f>
        <v>#NAME?</v>
      </c>
    </row>
    <row r="1421" spans="58:58" x14ac:dyDescent="0.25">
      <c r="BF1421" t="e">
        <f>solver_rhs290=NonLinLarge!$J$9:$J$72</f>
        <v>#NAME?</v>
      </c>
    </row>
    <row r="1422" spans="58:58" x14ac:dyDescent="0.25">
      <c r="BF1422" t="e">
        <f>solver_rhs291=NonLinLarge!$J$73</f>
        <v>#NAME?</v>
      </c>
    </row>
    <row r="1423" spans="58:58" x14ac:dyDescent="0.25">
      <c r="BF1423" t="e">
        <f>solver_rhs292=NonLinLarge!$J$74</f>
        <v>#NAME?</v>
      </c>
    </row>
    <row r="1424" spans="58:58" x14ac:dyDescent="0.25">
      <c r="BF1424" t="e">
        <f>solver_rhs293=NonLinLarge!$J$75:$J$138</f>
        <v>#NAME?</v>
      </c>
    </row>
    <row r="1425" spans="58:58" x14ac:dyDescent="0.25">
      <c r="BF1425" t="e">
        <f>solver_rhs294=NonLinLarge!$J$139</f>
        <v>#NAME?</v>
      </c>
    </row>
    <row r="1426" spans="58:58" x14ac:dyDescent="0.25">
      <c r="BF1426" t="e">
        <f>solver_rhs295=NonLinLarge!$J$7:$J$8</f>
        <v>#NAME?</v>
      </c>
    </row>
    <row r="1427" spans="58:58" x14ac:dyDescent="0.25">
      <c r="BF1427" t="e">
        <f>solver_rhs296=NonLinLarge!$J$9:$J$72</f>
        <v>#NAME?</v>
      </c>
    </row>
    <row r="1428" spans="58:58" x14ac:dyDescent="0.25">
      <c r="BF1428" t="e">
        <f>solver_rhs297=NonLinLarge!$J$73</f>
        <v>#NAME?</v>
      </c>
    </row>
    <row r="1429" spans="58:58" x14ac:dyDescent="0.25">
      <c r="BF1429" t="e">
        <f>solver_rhs298=NonLinLarge!$J$74</f>
        <v>#NAME?</v>
      </c>
    </row>
    <row r="1430" spans="58:58" x14ac:dyDescent="0.25">
      <c r="BF1430" t="e">
        <f>solver_rhs299=NonLinLarge!$J$75:$J$138</f>
        <v>#NAME?</v>
      </c>
    </row>
    <row r="1431" spans="58:58" x14ac:dyDescent="0.25">
      <c r="BF1431" t="e">
        <f>solver_rhs3=NonLinLarge!$J$73</f>
        <v>#NAME?</v>
      </c>
    </row>
    <row r="1432" spans="58:58" x14ac:dyDescent="0.25">
      <c r="BF1432" t="e">
        <f>solver_rhs30=NonLinLarge!$J$139</f>
        <v>#NAME?</v>
      </c>
    </row>
    <row r="1433" spans="58:58" x14ac:dyDescent="0.25">
      <c r="BF1433" t="e">
        <f>solver_rhs300=NonLinLarge!$J$139</f>
        <v>#NAME?</v>
      </c>
    </row>
    <row r="1434" spans="58:58" x14ac:dyDescent="0.25">
      <c r="BF1434" t="e">
        <f>solver_rhs301=NonLinLarge!$J$7:$J$8</f>
        <v>#NAME?</v>
      </c>
    </row>
    <row r="1435" spans="58:58" x14ac:dyDescent="0.25">
      <c r="BF1435" t="e">
        <f>solver_rhs302=NonLinLarge!$J$9:$J$72</f>
        <v>#NAME?</v>
      </c>
    </row>
    <row r="1436" spans="58:58" x14ac:dyDescent="0.25">
      <c r="BF1436" t="e">
        <f>solver_rhs303=NonLinLarge!$J$73</f>
        <v>#NAME?</v>
      </c>
    </row>
    <row r="1437" spans="58:58" x14ac:dyDescent="0.25">
      <c r="BF1437" t="e">
        <f>solver_rhs304=NonLinLarge!$J$74</f>
        <v>#NAME?</v>
      </c>
    </row>
    <row r="1438" spans="58:58" x14ac:dyDescent="0.25">
      <c r="BF1438" t="e">
        <f>solver_rhs305=NonLinLarge!$J$75:$J$138</f>
        <v>#NAME?</v>
      </c>
    </row>
    <row r="1439" spans="58:58" x14ac:dyDescent="0.25">
      <c r="BF1439" t="e">
        <f>solver_rhs306=NonLinLarge!$J$139</f>
        <v>#NAME?</v>
      </c>
    </row>
    <row r="1440" spans="58:58" x14ac:dyDescent="0.25">
      <c r="BF1440" t="e">
        <f>solver_rhs307=NonLinLarge!$J$7:$J$8</f>
        <v>#NAME?</v>
      </c>
    </row>
    <row r="1441" spans="58:58" x14ac:dyDescent="0.25">
      <c r="BF1441" t="e">
        <f>solver_rhs308=NonLinLarge!$J$9:$J$72</f>
        <v>#NAME?</v>
      </c>
    </row>
    <row r="1442" spans="58:58" x14ac:dyDescent="0.25">
      <c r="BF1442" t="e">
        <f>solver_rhs309=NonLinLarge!$J$73</f>
        <v>#NAME?</v>
      </c>
    </row>
    <row r="1443" spans="58:58" x14ac:dyDescent="0.25">
      <c r="BF1443" t="e">
        <f>solver_rhs31=NonLinLarge!$J$7:$J$8</f>
        <v>#NAME?</v>
      </c>
    </row>
    <row r="1444" spans="58:58" x14ac:dyDescent="0.25">
      <c r="BF1444" t="e">
        <f>solver_rhs310=NonLinLarge!$J$74</f>
        <v>#NAME?</v>
      </c>
    </row>
    <row r="1445" spans="58:58" x14ac:dyDescent="0.25">
      <c r="BF1445" t="e">
        <f>solver_rhs311=NonLinLarge!$J$75:$J$138</f>
        <v>#NAME?</v>
      </c>
    </row>
    <row r="1446" spans="58:58" x14ac:dyDescent="0.25">
      <c r="BF1446" t="e">
        <f>solver_rhs312=NonLinLarge!$J$139</f>
        <v>#NAME?</v>
      </c>
    </row>
    <row r="1447" spans="58:58" x14ac:dyDescent="0.25">
      <c r="BF1447" t="e">
        <f>solver_rhs313=NonLinLarge!$J$7:$J$8</f>
        <v>#NAME?</v>
      </c>
    </row>
    <row r="1448" spans="58:58" x14ac:dyDescent="0.25">
      <c r="BF1448" t="e">
        <f>solver_rhs314=NonLinLarge!$J$9:$J$72</f>
        <v>#NAME?</v>
      </c>
    </row>
    <row r="1449" spans="58:58" x14ac:dyDescent="0.25">
      <c r="BF1449" t="e">
        <f>solver_rhs315=NonLinLarge!$J$73</f>
        <v>#NAME?</v>
      </c>
    </row>
    <row r="1450" spans="58:58" x14ac:dyDescent="0.25">
      <c r="BF1450" t="e">
        <f>solver_rhs316=NonLinLarge!$J$74</f>
        <v>#NAME?</v>
      </c>
    </row>
    <row r="1451" spans="58:58" x14ac:dyDescent="0.25">
      <c r="BF1451" t="e">
        <f>solver_rhs317=NonLinLarge!$J$75:$J$138</f>
        <v>#NAME?</v>
      </c>
    </row>
    <row r="1452" spans="58:58" x14ac:dyDescent="0.25">
      <c r="BF1452" t="e">
        <f>solver_rhs318=NonLinLarge!$J$139</f>
        <v>#NAME?</v>
      </c>
    </row>
    <row r="1453" spans="58:58" x14ac:dyDescent="0.25">
      <c r="BF1453" t="e">
        <f>solver_rhs319=NonLinLarge!$J$7:$J$8</f>
        <v>#NAME?</v>
      </c>
    </row>
    <row r="1454" spans="58:58" x14ac:dyDescent="0.25">
      <c r="BF1454" t="e">
        <f>solver_rhs32=NonLinLarge!$J$9:$J$72</f>
        <v>#NAME?</v>
      </c>
    </row>
    <row r="1455" spans="58:58" x14ac:dyDescent="0.25">
      <c r="BF1455" t="e">
        <f>solver_rhs320=NonLinLarge!$J$9:$J$72</f>
        <v>#NAME?</v>
      </c>
    </row>
    <row r="1456" spans="58:58" x14ac:dyDescent="0.25">
      <c r="BF1456" t="e">
        <f>solver_rhs321=NonLinLarge!$J$73</f>
        <v>#NAME?</v>
      </c>
    </row>
    <row r="1457" spans="58:58" x14ac:dyDescent="0.25">
      <c r="BF1457" t="e">
        <f>solver_rhs322=NonLinLarge!$J$74</f>
        <v>#NAME?</v>
      </c>
    </row>
    <row r="1458" spans="58:58" x14ac:dyDescent="0.25">
      <c r="BF1458" t="e">
        <f>solver_rhs323=NonLinLarge!$J$75:$J$138</f>
        <v>#NAME?</v>
      </c>
    </row>
    <row r="1459" spans="58:58" x14ac:dyDescent="0.25">
      <c r="BF1459" t="e">
        <f>solver_rhs324=NonLinLarge!$J$139</f>
        <v>#NAME?</v>
      </c>
    </row>
    <row r="1460" spans="58:58" x14ac:dyDescent="0.25">
      <c r="BF1460" t="e">
        <f>solver_rhs325=NonLinLarge!$J$7:$J$8</f>
        <v>#NAME?</v>
      </c>
    </row>
    <row r="1461" spans="58:58" x14ac:dyDescent="0.25">
      <c r="BF1461" t="e">
        <f>solver_rhs326=NonLinLarge!$J$9:$J$72</f>
        <v>#NAME?</v>
      </c>
    </row>
    <row r="1462" spans="58:58" x14ac:dyDescent="0.25">
      <c r="BF1462" t="e">
        <f>solver_rhs327=NonLinLarge!$J$73</f>
        <v>#NAME?</v>
      </c>
    </row>
    <row r="1463" spans="58:58" x14ac:dyDescent="0.25">
      <c r="BF1463" t="e">
        <f>solver_rhs328=NonLinLarge!$J$74</f>
        <v>#NAME?</v>
      </c>
    </row>
    <row r="1464" spans="58:58" x14ac:dyDescent="0.25">
      <c r="BF1464" t="e">
        <f>solver_rhs329=NonLinLarge!$J$75:$J$138</f>
        <v>#NAME?</v>
      </c>
    </row>
    <row r="1465" spans="58:58" x14ac:dyDescent="0.25">
      <c r="BF1465" t="e">
        <f>solver_rhs33=NonLinLarge!$J$73</f>
        <v>#NAME?</v>
      </c>
    </row>
    <row r="1466" spans="58:58" x14ac:dyDescent="0.25">
      <c r="BF1466" t="e">
        <f>solver_rhs330=NonLinLarge!$J$139</f>
        <v>#NAME?</v>
      </c>
    </row>
    <row r="1467" spans="58:58" x14ac:dyDescent="0.25">
      <c r="BF1467" t="e">
        <f>solver_rhs331=NonLinLarge!$J$7:$J$8</f>
        <v>#NAME?</v>
      </c>
    </row>
    <row r="1468" spans="58:58" x14ac:dyDescent="0.25">
      <c r="BF1468" t="e">
        <f>solver_rhs332=NonLinLarge!$J$9:$J$72</f>
        <v>#NAME?</v>
      </c>
    </row>
    <row r="1469" spans="58:58" x14ac:dyDescent="0.25">
      <c r="BF1469" t="e">
        <f>solver_rhs333=NonLinLarge!$J$73</f>
        <v>#NAME?</v>
      </c>
    </row>
    <row r="1470" spans="58:58" x14ac:dyDescent="0.25">
      <c r="BF1470" t="e">
        <f>solver_rhs334=NonLinLarge!$J$74</f>
        <v>#NAME?</v>
      </c>
    </row>
    <row r="1471" spans="58:58" x14ac:dyDescent="0.25">
      <c r="BF1471" t="e">
        <f>solver_rhs335=NonLinLarge!$J$75:$J$138</f>
        <v>#NAME?</v>
      </c>
    </row>
    <row r="1472" spans="58:58" x14ac:dyDescent="0.25">
      <c r="BF1472" t="e">
        <f>solver_rhs336=NonLinLarge!$J$139</f>
        <v>#NAME?</v>
      </c>
    </row>
    <row r="1473" spans="58:58" x14ac:dyDescent="0.25">
      <c r="BF1473" t="e">
        <f>solver_rhs337=NonLinLarge!$J$7:$J$8</f>
        <v>#NAME?</v>
      </c>
    </row>
    <row r="1474" spans="58:58" x14ac:dyDescent="0.25">
      <c r="BF1474" t="e">
        <f>solver_rhs338=NonLinLarge!$J$9:$J$72</f>
        <v>#NAME?</v>
      </c>
    </row>
    <row r="1475" spans="58:58" x14ac:dyDescent="0.25">
      <c r="BF1475" t="e">
        <f>solver_rhs339=NonLinLarge!$J$73</f>
        <v>#NAME?</v>
      </c>
    </row>
    <row r="1476" spans="58:58" x14ac:dyDescent="0.25">
      <c r="BF1476" t="e">
        <f>solver_rhs34=NonLinLarge!$J$74</f>
        <v>#NAME?</v>
      </c>
    </row>
    <row r="1477" spans="58:58" x14ac:dyDescent="0.25">
      <c r="BF1477" t="e">
        <f>solver_rhs340=NonLinLarge!$J$74</f>
        <v>#NAME?</v>
      </c>
    </row>
    <row r="1478" spans="58:58" x14ac:dyDescent="0.25">
      <c r="BF1478" t="e">
        <f>solver_rhs341=NonLinLarge!$J$75:$J$138</f>
        <v>#NAME?</v>
      </c>
    </row>
    <row r="1479" spans="58:58" x14ac:dyDescent="0.25">
      <c r="BF1479" t="e">
        <f>solver_rhs342=NonLinLarge!$J$139</f>
        <v>#NAME?</v>
      </c>
    </row>
    <row r="1480" spans="58:58" x14ac:dyDescent="0.25">
      <c r="BF1480" t="e">
        <f>solver_rhs343=NonLinLarge!$J$7:$J$8</f>
        <v>#NAME?</v>
      </c>
    </row>
    <row r="1481" spans="58:58" x14ac:dyDescent="0.25">
      <c r="BF1481" t="e">
        <f>solver_rhs344=NonLinLarge!$J$9:$J$72</f>
        <v>#NAME?</v>
      </c>
    </row>
    <row r="1482" spans="58:58" x14ac:dyDescent="0.25">
      <c r="BF1482" t="e">
        <f>solver_rhs345=NonLinLarge!$J$73</f>
        <v>#NAME?</v>
      </c>
    </row>
    <row r="1483" spans="58:58" x14ac:dyDescent="0.25">
      <c r="BF1483" t="e">
        <f>solver_rhs346=NonLinLarge!$J$74</f>
        <v>#NAME?</v>
      </c>
    </row>
    <row r="1484" spans="58:58" x14ac:dyDescent="0.25">
      <c r="BF1484" t="e">
        <f>solver_rhs347=NonLinLarge!$J$75:$J$138</f>
        <v>#NAME?</v>
      </c>
    </row>
    <row r="1485" spans="58:58" x14ac:dyDescent="0.25">
      <c r="BF1485" t="e">
        <f>solver_rhs348=NonLinLarge!$J$139</f>
        <v>#NAME?</v>
      </c>
    </row>
    <row r="1486" spans="58:58" x14ac:dyDescent="0.25">
      <c r="BF1486" t="e">
        <f>solver_rhs349=NonLinLarge!$J$7:$J$8</f>
        <v>#NAME?</v>
      </c>
    </row>
    <row r="1487" spans="58:58" x14ac:dyDescent="0.25">
      <c r="BF1487" t="e">
        <f>solver_rhs35=NonLinLarge!$J$75:$J$138</f>
        <v>#NAME?</v>
      </c>
    </row>
    <row r="1488" spans="58:58" x14ac:dyDescent="0.25">
      <c r="BF1488" t="e">
        <f>solver_rhs350=NonLinLarge!$J$9:$J$72</f>
        <v>#NAME?</v>
      </c>
    </row>
    <row r="1489" spans="58:58" x14ac:dyDescent="0.25">
      <c r="BF1489" t="e">
        <f>solver_rhs351=NonLinLarge!$J$73</f>
        <v>#NAME?</v>
      </c>
    </row>
    <row r="1490" spans="58:58" x14ac:dyDescent="0.25">
      <c r="BF1490" t="e">
        <f>solver_rhs352=NonLinLarge!$J$74</f>
        <v>#NAME?</v>
      </c>
    </row>
    <row r="1491" spans="58:58" x14ac:dyDescent="0.25">
      <c r="BF1491" t="e">
        <f>solver_rhs353=NonLinLarge!$J$75:$J$138</f>
        <v>#NAME?</v>
      </c>
    </row>
    <row r="1492" spans="58:58" x14ac:dyDescent="0.25">
      <c r="BF1492" t="e">
        <f>solver_rhs354=NonLinLarge!$J$139</f>
        <v>#NAME?</v>
      </c>
    </row>
    <row r="1493" spans="58:58" x14ac:dyDescent="0.25">
      <c r="BF1493" t="e">
        <f>solver_rhs355=NonLinLarge!$J$7:$J$8</f>
        <v>#NAME?</v>
      </c>
    </row>
    <row r="1494" spans="58:58" x14ac:dyDescent="0.25">
      <c r="BF1494" t="e">
        <f>solver_rhs356=NonLinLarge!$J$9:$J$72</f>
        <v>#NAME?</v>
      </c>
    </row>
    <row r="1495" spans="58:58" x14ac:dyDescent="0.25">
      <c r="BF1495" t="e">
        <f>solver_rhs357=NonLinLarge!$J$73</f>
        <v>#NAME?</v>
      </c>
    </row>
    <row r="1496" spans="58:58" x14ac:dyDescent="0.25">
      <c r="BF1496" t="e">
        <f>solver_rhs358=NonLinLarge!$J$74</f>
        <v>#NAME?</v>
      </c>
    </row>
    <row r="1497" spans="58:58" x14ac:dyDescent="0.25">
      <c r="BF1497" t="e">
        <f>solver_rhs359=NonLinLarge!$J$75:$J$138</f>
        <v>#NAME?</v>
      </c>
    </row>
    <row r="1498" spans="58:58" x14ac:dyDescent="0.25">
      <c r="BF1498" t="e">
        <f>solver_rhs36=NonLinLarge!$J$139</f>
        <v>#NAME?</v>
      </c>
    </row>
    <row r="1499" spans="58:58" x14ac:dyDescent="0.25">
      <c r="BF1499" t="e">
        <f>solver_rhs360=NonLinLarge!$J$139</f>
        <v>#NAME?</v>
      </c>
    </row>
    <row r="1500" spans="58:58" x14ac:dyDescent="0.25">
      <c r="BF1500" t="e">
        <f>solver_rhs361=NonLinLarge!$J$7:$J$8</f>
        <v>#NAME?</v>
      </c>
    </row>
    <row r="1501" spans="58:58" x14ac:dyDescent="0.25">
      <c r="BF1501" t="e">
        <f>solver_rhs362=NonLinLarge!$J$9:$J$72</f>
        <v>#NAME?</v>
      </c>
    </row>
    <row r="1502" spans="58:58" x14ac:dyDescent="0.25">
      <c r="BF1502" t="e">
        <f>solver_rhs363=NonLinLarge!$J$73</f>
        <v>#NAME?</v>
      </c>
    </row>
    <row r="1503" spans="58:58" x14ac:dyDescent="0.25">
      <c r="BF1503" t="e">
        <f>solver_rhs364=NonLinLarge!$J$74</f>
        <v>#NAME?</v>
      </c>
    </row>
    <row r="1504" spans="58:58" x14ac:dyDescent="0.25">
      <c r="BF1504" t="e">
        <f>solver_rhs365=NonLinLarge!$J$75:$J$138</f>
        <v>#NAME?</v>
      </c>
    </row>
    <row r="1505" spans="58:58" x14ac:dyDescent="0.25">
      <c r="BF1505" t="e">
        <f>solver_rhs366=NonLinLarge!$J$139</f>
        <v>#NAME?</v>
      </c>
    </row>
    <row r="1506" spans="58:58" x14ac:dyDescent="0.25">
      <c r="BF1506" t="e">
        <f>solver_rhs367=NonLinLarge!$J$7:$J$8</f>
        <v>#NAME?</v>
      </c>
    </row>
    <row r="1507" spans="58:58" x14ac:dyDescent="0.25">
      <c r="BF1507" t="e">
        <f>solver_rhs368=NonLinLarge!$J$9:$J$72</f>
        <v>#NAME?</v>
      </c>
    </row>
    <row r="1508" spans="58:58" x14ac:dyDescent="0.25">
      <c r="BF1508" t="e">
        <f>solver_rhs369=NonLinLarge!$J$73</f>
        <v>#NAME?</v>
      </c>
    </row>
    <row r="1509" spans="58:58" x14ac:dyDescent="0.25">
      <c r="BF1509" t="e">
        <f>solver_rhs37=NonLinLarge!$J$7:$J$8</f>
        <v>#NAME?</v>
      </c>
    </row>
    <row r="1510" spans="58:58" x14ac:dyDescent="0.25">
      <c r="BF1510" t="e">
        <f>solver_rhs370=NonLinLarge!$J$74</f>
        <v>#NAME?</v>
      </c>
    </row>
    <row r="1511" spans="58:58" x14ac:dyDescent="0.25">
      <c r="BF1511" t="e">
        <f>solver_rhs371=NonLinLarge!$J$75:$J$138</f>
        <v>#NAME?</v>
      </c>
    </row>
    <row r="1512" spans="58:58" x14ac:dyDescent="0.25">
      <c r="BF1512" t="e">
        <f>solver_rhs372=NonLinLarge!$J$139</f>
        <v>#NAME?</v>
      </c>
    </row>
    <row r="1513" spans="58:58" x14ac:dyDescent="0.25">
      <c r="BF1513" t="e">
        <f>solver_rhs373=NonLinLarge!$J$7:$J$8</f>
        <v>#NAME?</v>
      </c>
    </row>
    <row r="1514" spans="58:58" x14ac:dyDescent="0.25">
      <c r="BF1514" t="e">
        <f>solver_rhs374=NonLinLarge!$J$9:$J$72</f>
        <v>#NAME?</v>
      </c>
    </row>
    <row r="1515" spans="58:58" x14ac:dyDescent="0.25">
      <c r="BF1515" t="e">
        <f>solver_rhs375=NonLinLarge!$J$73</f>
        <v>#NAME?</v>
      </c>
    </row>
    <row r="1516" spans="58:58" x14ac:dyDescent="0.25">
      <c r="BF1516" t="e">
        <f>solver_rhs376=NonLinLarge!$J$74</f>
        <v>#NAME?</v>
      </c>
    </row>
    <row r="1517" spans="58:58" x14ac:dyDescent="0.25">
      <c r="BF1517" t="e">
        <f>solver_rhs377=NonLinLarge!$J$75:$J$138</f>
        <v>#NAME?</v>
      </c>
    </row>
    <row r="1518" spans="58:58" x14ac:dyDescent="0.25">
      <c r="BF1518" t="e">
        <f>solver_rhs378=NonLinLarge!$J$139</f>
        <v>#NAME?</v>
      </c>
    </row>
    <row r="1519" spans="58:58" x14ac:dyDescent="0.25">
      <c r="BF1519" t="e">
        <f>solver_rhs379=NonLinLarge!$J$7:$J$8</f>
        <v>#NAME?</v>
      </c>
    </row>
    <row r="1520" spans="58:58" x14ac:dyDescent="0.25">
      <c r="BF1520" t="e">
        <f>solver_rhs38=NonLinLarge!$J$9:$J$72</f>
        <v>#NAME?</v>
      </c>
    </row>
    <row r="1521" spans="58:58" x14ac:dyDescent="0.25">
      <c r="BF1521" t="e">
        <f>solver_rhs380=NonLinLarge!$J$9:$J$72</f>
        <v>#NAME?</v>
      </c>
    </row>
    <row r="1522" spans="58:58" x14ac:dyDescent="0.25">
      <c r="BF1522" t="e">
        <f>solver_rhs381=NonLinLarge!$J$73</f>
        <v>#NAME?</v>
      </c>
    </row>
    <row r="1523" spans="58:58" x14ac:dyDescent="0.25">
      <c r="BF1523" t="e">
        <f>solver_rhs382=NonLinLarge!$J$74</f>
        <v>#NAME?</v>
      </c>
    </row>
    <row r="1524" spans="58:58" x14ac:dyDescent="0.25">
      <c r="BF1524" t="e">
        <f>solver_rhs383=NonLinLarge!$J$75:$J$138</f>
        <v>#NAME?</v>
      </c>
    </row>
    <row r="1525" spans="58:58" x14ac:dyDescent="0.25">
      <c r="BF1525" t="e">
        <f>solver_rhs384=NonLinLarge!$J$139</f>
        <v>#NAME?</v>
      </c>
    </row>
    <row r="1526" spans="58:58" x14ac:dyDescent="0.25">
      <c r="BF1526" t="e">
        <f>solver_rhs385=NonLinLarge!$J$7:$J$8</f>
        <v>#NAME?</v>
      </c>
    </row>
    <row r="1527" spans="58:58" x14ac:dyDescent="0.25">
      <c r="BF1527" t="e">
        <f>solver_rhs386=NonLinLarge!$J$9:$J$72</f>
        <v>#NAME?</v>
      </c>
    </row>
    <row r="1528" spans="58:58" x14ac:dyDescent="0.25">
      <c r="BF1528" t="e">
        <f>solver_rhs387=NonLinLarge!$J$73</f>
        <v>#NAME?</v>
      </c>
    </row>
    <row r="1529" spans="58:58" x14ac:dyDescent="0.25">
      <c r="BF1529" t="e">
        <f>solver_rhs388=NonLinLarge!$J$74</f>
        <v>#NAME?</v>
      </c>
    </row>
    <row r="1530" spans="58:58" x14ac:dyDescent="0.25">
      <c r="BF1530" t="e">
        <f>solver_rhs389=NonLinLarge!$J$75:$J$138</f>
        <v>#NAME?</v>
      </c>
    </row>
    <row r="1531" spans="58:58" x14ac:dyDescent="0.25">
      <c r="BF1531" t="e">
        <f>solver_rhs39=NonLinLarge!$J$73</f>
        <v>#NAME?</v>
      </c>
    </row>
    <row r="1532" spans="58:58" x14ac:dyDescent="0.25">
      <c r="BF1532" t="e">
        <f>solver_rhs390=NonLinLarge!$J$139</f>
        <v>#NAME?</v>
      </c>
    </row>
    <row r="1533" spans="58:58" x14ac:dyDescent="0.25">
      <c r="BF1533" t="e">
        <f>solver_rhs391=NonLinLarge!$J$7:$J$8</f>
        <v>#NAME?</v>
      </c>
    </row>
    <row r="1534" spans="58:58" x14ac:dyDescent="0.25">
      <c r="BF1534" t="e">
        <f>solver_rhs392=NonLinLarge!$J$9:$J$72</f>
        <v>#NAME?</v>
      </c>
    </row>
    <row r="1535" spans="58:58" x14ac:dyDescent="0.25">
      <c r="BF1535" t="e">
        <f>solver_rhs393=NonLinLarge!$J$73</f>
        <v>#NAME?</v>
      </c>
    </row>
    <row r="1536" spans="58:58" x14ac:dyDescent="0.25">
      <c r="BF1536" t="e">
        <f>solver_rhs394=NonLinLarge!$J$74</f>
        <v>#NAME?</v>
      </c>
    </row>
    <row r="1537" spans="58:58" x14ac:dyDescent="0.25">
      <c r="BF1537" t="e">
        <f>solver_rhs395=NonLinLarge!$J$75:$J$138</f>
        <v>#NAME?</v>
      </c>
    </row>
    <row r="1538" spans="58:58" x14ac:dyDescent="0.25">
      <c r="BF1538" t="e">
        <f>solver_rhs396=NonLinLarge!$J$139</f>
        <v>#NAME?</v>
      </c>
    </row>
    <row r="1539" spans="58:58" x14ac:dyDescent="0.25">
      <c r="BF1539" t="e">
        <f>solver_rhs397=NonLinLarge!$J$7:$J$8</f>
        <v>#NAME?</v>
      </c>
    </row>
    <row r="1540" spans="58:58" x14ac:dyDescent="0.25">
      <c r="BF1540" t="e">
        <f>solver_rhs398=NonLinLarge!$J$9:$J$72</f>
        <v>#NAME?</v>
      </c>
    </row>
    <row r="1541" spans="58:58" x14ac:dyDescent="0.25">
      <c r="BF1541" t="e">
        <f>solver_rhs399=NonLinLarge!$J$73</f>
        <v>#NAME?</v>
      </c>
    </row>
    <row r="1542" spans="58:58" x14ac:dyDescent="0.25">
      <c r="BF1542" t="e">
        <f>solver_rhs4=NonLinLarge!$J$74</f>
        <v>#NAME?</v>
      </c>
    </row>
    <row r="1543" spans="58:58" x14ac:dyDescent="0.25">
      <c r="BF1543" t="e">
        <f>solver_rhs40=NonLinLarge!$J$74</f>
        <v>#NAME?</v>
      </c>
    </row>
    <row r="1544" spans="58:58" x14ac:dyDescent="0.25">
      <c r="BF1544" t="e">
        <f>solver_rhs400=NonLinLarge!$J$74</f>
        <v>#NAME?</v>
      </c>
    </row>
    <row r="1545" spans="58:58" x14ac:dyDescent="0.25">
      <c r="BF1545" t="e">
        <f>solver_rhs401=NonLinLarge!$J$75:$J$138</f>
        <v>#NAME?</v>
      </c>
    </row>
    <row r="1546" spans="58:58" x14ac:dyDescent="0.25">
      <c r="BF1546" t="e">
        <f>solver_rhs402=NonLinLarge!$J$139</f>
        <v>#NAME?</v>
      </c>
    </row>
    <row r="1547" spans="58:58" x14ac:dyDescent="0.25">
      <c r="BF1547" t="e">
        <f>solver_rhs403=NonLinLarge!$J$7:$J$8</f>
        <v>#NAME?</v>
      </c>
    </row>
    <row r="1548" spans="58:58" x14ac:dyDescent="0.25">
      <c r="BF1548" t="e">
        <f>solver_rhs404=NonLinLarge!$J$9:$J$72</f>
        <v>#NAME?</v>
      </c>
    </row>
    <row r="1549" spans="58:58" x14ac:dyDescent="0.25">
      <c r="BF1549" t="e">
        <f>solver_rhs405=NonLinLarge!$J$73</f>
        <v>#NAME?</v>
      </c>
    </row>
    <row r="1550" spans="58:58" x14ac:dyDescent="0.25">
      <c r="BF1550" t="e">
        <f>solver_rhs406=NonLinLarge!$J$74</f>
        <v>#NAME?</v>
      </c>
    </row>
    <row r="1551" spans="58:58" x14ac:dyDescent="0.25">
      <c r="BF1551" t="e">
        <f>solver_rhs407=NonLinLarge!$J$75:$J$138</f>
        <v>#NAME?</v>
      </c>
    </row>
    <row r="1552" spans="58:58" x14ac:dyDescent="0.25">
      <c r="BF1552" t="e">
        <f>solver_rhs408=NonLinLarge!$J$139</f>
        <v>#NAME?</v>
      </c>
    </row>
    <row r="1553" spans="58:58" x14ac:dyDescent="0.25">
      <c r="BF1553" t="e">
        <f>solver_rhs409=NonLinLarge!$J$7:$J$8</f>
        <v>#NAME?</v>
      </c>
    </row>
    <row r="1554" spans="58:58" x14ac:dyDescent="0.25">
      <c r="BF1554" t="e">
        <f>solver_rhs41=NonLinLarge!$J$75:$J$138</f>
        <v>#NAME?</v>
      </c>
    </row>
    <row r="1555" spans="58:58" x14ac:dyDescent="0.25">
      <c r="BF1555" t="e">
        <f>solver_rhs410=NonLinLarge!$J$9:$J$72</f>
        <v>#NAME?</v>
      </c>
    </row>
    <row r="1556" spans="58:58" x14ac:dyDescent="0.25">
      <c r="BF1556" t="e">
        <f>solver_rhs411=NonLinLarge!$J$73</f>
        <v>#NAME?</v>
      </c>
    </row>
    <row r="1557" spans="58:58" x14ac:dyDescent="0.25">
      <c r="BF1557" t="e">
        <f>solver_rhs412=NonLinLarge!$J$74</f>
        <v>#NAME?</v>
      </c>
    </row>
    <row r="1558" spans="58:58" x14ac:dyDescent="0.25">
      <c r="BF1558" t="e">
        <f>solver_rhs413=NonLinLarge!$J$75:$J$138</f>
        <v>#NAME?</v>
      </c>
    </row>
    <row r="1559" spans="58:58" x14ac:dyDescent="0.25">
      <c r="BF1559" t="e">
        <f>solver_rhs414=NonLinLarge!$J$139</f>
        <v>#NAME?</v>
      </c>
    </row>
    <row r="1560" spans="58:58" x14ac:dyDescent="0.25">
      <c r="BF1560" t="e">
        <f>solver_rhs415=NonLinLarge!$J$7:$J$8</f>
        <v>#NAME?</v>
      </c>
    </row>
    <row r="1561" spans="58:58" x14ac:dyDescent="0.25">
      <c r="BF1561" t="e">
        <f>solver_rhs416=NonLinLarge!$J$9:$J$72</f>
        <v>#NAME?</v>
      </c>
    </row>
    <row r="1562" spans="58:58" x14ac:dyDescent="0.25">
      <c r="BF1562" t="e">
        <f>solver_rhs417=NonLinLarge!$J$73</f>
        <v>#NAME?</v>
      </c>
    </row>
    <row r="1563" spans="58:58" x14ac:dyDescent="0.25">
      <c r="BF1563" t="e">
        <f>solver_rhs418=NonLinLarge!$J$74</f>
        <v>#NAME?</v>
      </c>
    </row>
    <row r="1564" spans="58:58" x14ac:dyDescent="0.25">
      <c r="BF1564" t="e">
        <f>solver_rhs419=NonLinLarge!$J$75:$J$138</f>
        <v>#NAME?</v>
      </c>
    </row>
    <row r="1565" spans="58:58" x14ac:dyDescent="0.25">
      <c r="BF1565" t="e">
        <f>solver_rhs42=NonLinLarge!$J$139</f>
        <v>#NAME?</v>
      </c>
    </row>
    <row r="1566" spans="58:58" x14ac:dyDescent="0.25">
      <c r="BF1566" t="e">
        <f>solver_rhs420=NonLinLarge!$J$139</f>
        <v>#NAME?</v>
      </c>
    </row>
    <row r="1567" spans="58:58" x14ac:dyDescent="0.25">
      <c r="BF1567" t="e">
        <f>solver_rhs421=NonLinLarge!$J$7:$J$8</f>
        <v>#NAME?</v>
      </c>
    </row>
    <row r="1568" spans="58:58" x14ac:dyDescent="0.25">
      <c r="BF1568" t="e">
        <f>solver_rhs422=NonLinLarge!$J$9:$J$72</f>
        <v>#NAME?</v>
      </c>
    </row>
    <row r="1569" spans="58:58" x14ac:dyDescent="0.25">
      <c r="BF1569" t="e">
        <f>solver_rhs423=NonLinLarge!$J$73</f>
        <v>#NAME?</v>
      </c>
    </row>
    <row r="1570" spans="58:58" x14ac:dyDescent="0.25">
      <c r="BF1570" t="e">
        <f>solver_rhs424=NonLinLarge!$J$74</f>
        <v>#NAME?</v>
      </c>
    </row>
    <row r="1571" spans="58:58" x14ac:dyDescent="0.25">
      <c r="BF1571" t="e">
        <f>solver_rhs425=NonLinLarge!$J$75:$J$138</f>
        <v>#NAME?</v>
      </c>
    </row>
    <row r="1572" spans="58:58" x14ac:dyDescent="0.25">
      <c r="BF1572" t="e">
        <f>solver_rhs426=NonLinLarge!$J$139</f>
        <v>#NAME?</v>
      </c>
    </row>
    <row r="1573" spans="58:58" x14ac:dyDescent="0.25">
      <c r="BF1573" t="e">
        <f>solver_rhs427=NonLinLarge!$J$7:$J$8</f>
        <v>#NAME?</v>
      </c>
    </row>
    <row r="1574" spans="58:58" x14ac:dyDescent="0.25">
      <c r="BF1574" t="e">
        <f>solver_rhs428=NonLinLarge!$J$9:$J$72</f>
        <v>#NAME?</v>
      </c>
    </row>
    <row r="1575" spans="58:58" x14ac:dyDescent="0.25">
      <c r="BF1575" t="e">
        <f>solver_rhs429=NonLinLarge!$J$73</f>
        <v>#NAME?</v>
      </c>
    </row>
    <row r="1576" spans="58:58" x14ac:dyDescent="0.25">
      <c r="BF1576" t="e">
        <f>solver_rhs43=NonLinLarge!$J$7:$J$8</f>
        <v>#NAME?</v>
      </c>
    </row>
    <row r="1577" spans="58:58" x14ac:dyDescent="0.25">
      <c r="BF1577" t="e">
        <f>solver_rhs430=NonLinLarge!$J$74</f>
        <v>#NAME?</v>
      </c>
    </row>
    <row r="1578" spans="58:58" x14ac:dyDescent="0.25">
      <c r="BF1578" t="e">
        <f>solver_rhs431=NonLinLarge!$J$75:$J$138</f>
        <v>#NAME?</v>
      </c>
    </row>
    <row r="1579" spans="58:58" x14ac:dyDescent="0.25">
      <c r="BF1579" t="e">
        <f>solver_rhs432=NonLinLarge!$J$139</f>
        <v>#NAME?</v>
      </c>
    </row>
    <row r="1580" spans="58:58" x14ac:dyDescent="0.25">
      <c r="BF1580" t="e">
        <f>solver_rhs433=NonLinLarge!$J$7:$J$8</f>
        <v>#NAME?</v>
      </c>
    </row>
    <row r="1581" spans="58:58" x14ac:dyDescent="0.25">
      <c r="BF1581" t="e">
        <f>solver_rhs434=NonLinLarge!$J$9:$J$72</f>
        <v>#NAME?</v>
      </c>
    </row>
    <row r="1582" spans="58:58" x14ac:dyDescent="0.25">
      <c r="BF1582" t="e">
        <f>solver_rhs435=NonLinLarge!$J$73</f>
        <v>#NAME?</v>
      </c>
    </row>
    <row r="1583" spans="58:58" x14ac:dyDescent="0.25">
      <c r="BF1583" t="e">
        <f>solver_rhs436=NonLinLarge!$J$74</f>
        <v>#NAME?</v>
      </c>
    </row>
    <row r="1584" spans="58:58" x14ac:dyDescent="0.25">
      <c r="BF1584" t="e">
        <f>solver_rhs437=NonLinLarge!$J$75:$J$138</f>
        <v>#NAME?</v>
      </c>
    </row>
    <row r="1585" spans="58:58" x14ac:dyDescent="0.25">
      <c r="BF1585" t="e">
        <f>solver_rhs438=NonLinLarge!$J$139</f>
        <v>#NAME?</v>
      </c>
    </row>
    <row r="1586" spans="58:58" x14ac:dyDescent="0.25">
      <c r="BF1586" t="e">
        <f>solver_rhs439=NonLinLarge!$J$7:$J$8</f>
        <v>#NAME?</v>
      </c>
    </row>
    <row r="1587" spans="58:58" x14ac:dyDescent="0.25">
      <c r="BF1587" t="e">
        <f>solver_rhs44=NonLinLarge!$J$9:$J$72</f>
        <v>#NAME?</v>
      </c>
    </row>
    <row r="1588" spans="58:58" x14ac:dyDescent="0.25">
      <c r="BF1588" t="e">
        <f>solver_rhs440=NonLinLarge!$J$9:$J$72</f>
        <v>#NAME?</v>
      </c>
    </row>
    <row r="1589" spans="58:58" x14ac:dyDescent="0.25">
      <c r="BF1589" t="e">
        <f>solver_rhs441=NonLinLarge!$J$73</f>
        <v>#NAME?</v>
      </c>
    </row>
    <row r="1590" spans="58:58" x14ac:dyDescent="0.25">
      <c r="BF1590" t="e">
        <f>solver_rhs442=NonLinLarge!$J$74</f>
        <v>#NAME?</v>
      </c>
    </row>
    <row r="1591" spans="58:58" x14ac:dyDescent="0.25">
      <c r="BF1591" t="e">
        <f>solver_rhs443=NonLinLarge!$J$75:$J$138</f>
        <v>#NAME?</v>
      </c>
    </row>
    <row r="1592" spans="58:58" x14ac:dyDescent="0.25">
      <c r="BF1592" t="e">
        <f>solver_rhs444=NonLinLarge!$J$139</f>
        <v>#NAME?</v>
      </c>
    </row>
    <row r="1593" spans="58:58" x14ac:dyDescent="0.25">
      <c r="BF1593" t="e">
        <f>solver_rhs445=NonLinLarge!$J$7:$J$8</f>
        <v>#NAME?</v>
      </c>
    </row>
    <row r="1594" spans="58:58" x14ac:dyDescent="0.25">
      <c r="BF1594" t="e">
        <f>solver_rhs446=NonLinLarge!$J$9:$J$72</f>
        <v>#NAME?</v>
      </c>
    </row>
    <row r="1595" spans="58:58" x14ac:dyDescent="0.25">
      <c r="BF1595" t="e">
        <f>solver_rhs447=NonLinLarge!$J$73</f>
        <v>#NAME?</v>
      </c>
    </row>
    <row r="1596" spans="58:58" x14ac:dyDescent="0.25">
      <c r="BF1596" t="e">
        <f>solver_rhs448=NonLinLarge!$J$74</f>
        <v>#NAME?</v>
      </c>
    </row>
    <row r="1597" spans="58:58" x14ac:dyDescent="0.25">
      <c r="BF1597" t="e">
        <f>solver_rhs449=NonLinLarge!$J$75:$J$138</f>
        <v>#NAME?</v>
      </c>
    </row>
    <row r="1598" spans="58:58" x14ac:dyDescent="0.25">
      <c r="BF1598" t="e">
        <f>solver_rhs45=NonLinLarge!$J$73</f>
        <v>#NAME?</v>
      </c>
    </row>
    <row r="1599" spans="58:58" x14ac:dyDescent="0.25">
      <c r="BF1599" t="e">
        <f>solver_rhs450=NonLinLarge!$J$139</f>
        <v>#NAME?</v>
      </c>
    </row>
    <row r="1600" spans="58:58" x14ac:dyDescent="0.25">
      <c r="BF1600" t="e">
        <f>solver_rhs451=NonLinLarge!$J$7:$J$8</f>
        <v>#NAME?</v>
      </c>
    </row>
    <row r="1601" spans="58:58" x14ac:dyDescent="0.25">
      <c r="BF1601" t="e">
        <f>solver_rhs452=NonLinLarge!$J$9:$J$72</f>
        <v>#NAME?</v>
      </c>
    </row>
    <row r="1602" spans="58:58" x14ac:dyDescent="0.25">
      <c r="BF1602" t="e">
        <f>solver_rhs453=NonLinLarge!$J$73</f>
        <v>#NAME?</v>
      </c>
    </row>
    <row r="1603" spans="58:58" x14ac:dyDescent="0.25">
      <c r="BF1603" t="e">
        <f>solver_rhs454=NonLinLarge!$J$74</f>
        <v>#NAME?</v>
      </c>
    </row>
    <row r="1604" spans="58:58" x14ac:dyDescent="0.25">
      <c r="BF1604" t="e">
        <f>solver_rhs455=NonLinLarge!$J$75:$J$138</f>
        <v>#NAME?</v>
      </c>
    </row>
    <row r="1605" spans="58:58" x14ac:dyDescent="0.25">
      <c r="BF1605" t="e">
        <f>solver_rhs456=NonLinLarge!$J$139</f>
        <v>#NAME?</v>
      </c>
    </row>
    <row r="1606" spans="58:58" x14ac:dyDescent="0.25">
      <c r="BF1606" t="e">
        <f>solver_rhs457=NonLinLarge!$J$7:$J$8</f>
        <v>#NAME?</v>
      </c>
    </row>
    <row r="1607" spans="58:58" x14ac:dyDescent="0.25">
      <c r="BF1607" t="e">
        <f>solver_rhs458=NonLinLarge!$J$9:$J$72</f>
        <v>#NAME?</v>
      </c>
    </row>
    <row r="1608" spans="58:58" x14ac:dyDescent="0.25">
      <c r="BF1608" t="e">
        <f>solver_rhs459=NonLinLarge!$J$73</f>
        <v>#NAME?</v>
      </c>
    </row>
    <row r="1609" spans="58:58" x14ac:dyDescent="0.25">
      <c r="BF1609" t="e">
        <f>solver_rhs46=NonLinLarge!$J$74</f>
        <v>#NAME?</v>
      </c>
    </row>
    <row r="1610" spans="58:58" x14ac:dyDescent="0.25">
      <c r="BF1610" t="e">
        <f>solver_rhs460=NonLinLarge!$J$74</f>
        <v>#NAME?</v>
      </c>
    </row>
    <row r="1611" spans="58:58" x14ac:dyDescent="0.25">
      <c r="BF1611" t="e">
        <f>solver_rhs461=NonLinLarge!$J$75:$J$138</f>
        <v>#NAME?</v>
      </c>
    </row>
    <row r="1612" spans="58:58" x14ac:dyDescent="0.25">
      <c r="BF1612" t="e">
        <f>solver_rhs462=NonLinLarge!$J$139</f>
        <v>#NAME?</v>
      </c>
    </row>
    <row r="1613" spans="58:58" x14ac:dyDescent="0.25">
      <c r="BF1613" t="e">
        <f>solver_rhs463=NonLinLarge!$J$7:$J$8</f>
        <v>#NAME?</v>
      </c>
    </row>
    <row r="1614" spans="58:58" x14ac:dyDescent="0.25">
      <c r="BF1614" t="e">
        <f>solver_rhs464=NonLinLarge!$J$9:$J$72</f>
        <v>#NAME?</v>
      </c>
    </row>
    <row r="1615" spans="58:58" x14ac:dyDescent="0.25">
      <c r="BF1615" t="e">
        <f>solver_rhs465=NonLinLarge!$J$73</f>
        <v>#NAME?</v>
      </c>
    </row>
    <row r="1616" spans="58:58" x14ac:dyDescent="0.25">
      <c r="BF1616" t="e">
        <f>solver_rhs466=NonLinLarge!$J$74</f>
        <v>#NAME?</v>
      </c>
    </row>
    <row r="1617" spans="58:58" x14ac:dyDescent="0.25">
      <c r="BF1617" t="e">
        <f>solver_rhs467=NonLinLarge!$J$75:$J$138</f>
        <v>#NAME?</v>
      </c>
    </row>
    <row r="1618" spans="58:58" x14ac:dyDescent="0.25">
      <c r="BF1618" t="e">
        <f>solver_rhs468=NonLinLarge!$J$139</f>
        <v>#NAME?</v>
      </c>
    </row>
    <row r="1619" spans="58:58" x14ac:dyDescent="0.25">
      <c r="BF1619" t="e">
        <f>solver_rhs469=NonLinLarge!$J$7:$J$8</f>
        <v>#NAME?</v>
      </c>
    </row>
    <row r="1620" spans="58:58" x14ac:dyDescent="0.25">
      <c r="BF1620" t="e">
        <f>solver_rhs47=NonLinLarge!$J$75:$J$138</f>
        <v>#NAME?</v>
      </c>
    </row>
    <row r="1621" spans="58:58" x14ac:dyDescent="0.25">
      <c r="BF1621" t="e">
        <f>solver_rhs470=NonLinLarge!$J$9:$J$72</f>
        <v>#NAME?</v>
      </c>
    </row>
    <row r="1622" spans="58:58" x14ac:dyDescent="0.25">
      <c r="BF1622" t="e">
        <f>solver_rhs471=NonLinLarge!$J$73</f>
        <v>#NAME?</v>
      </c>
    </row>
    <row r="1623" spans="58:58" x14ac:dyDescent="0.25">
      <c r="BF1623" t="e">
        <f>solver_rhs472=NonLinLarge!$J$74</f>
        <v>#NAME?</v>
      </c>
    </row>
    <row r="1624" spans="58:58" x14ac:dyDescent="0.25">
      <c r="BF1624" t="e">
        <f>solver_rhs473=NonLinLarge!$J$75:$J$138</f>
        <v>#NAME?</v>
      </c>
    </row>
    <row r="1625" spans="58:58" x14ac:dyDescent="0.25">
      <c r="BF1625" t="e">
        <f>solver_rhs474=NonLinLarge!$J$139</f>
        <v>#NAME?</v>
      </c>
    </row>
    <row r="1626" spans="58:58" x14ac:dyDescent="0.25">
      <c r="BF1626" t="e">
        <f>solver_rhs475=NonLinLarge!$J$7:$J$8</f>
        <v>#NAME?</v>
      </c>
    </row>
    <row r="1627" spans="58:58" x14ac:dyDescent="0.25">
      <c r="BF1627" t="e">
        <f>solver_rhs476=NonLinLarge!$J$9:$J$72</f>
        <v>#NAME?</v>
      </c>
    </row>
    <row r="1628" spans="58:58" x14ac:dyDescent="0.25">
      <c r="BF1628" t="e">
        <f>solver_rhs477=NonLinLarge!$J$73</f>
        <v>#NAME?</v>
      </c>
    </row>
    <row r="1629" spans="58:58" x14ac:dyDescent="0.25">
      <c r="BF1629" t="e">
        <f>solver_rhs478=NonLinLarge!$J$74</f>
        <v>#NAME?</v>
      </c>
    </row>
    <row r="1630" spans="58:58" x14ac:dyDescent="0.25">
      <c r="BF1630" t="e">
        <f>solver_rhs479=NonLinLarge!$J$75:$J$138</f>
        <v>#NAME?</v>
      </c>
    </row>
    <row r="1631" spans="58:58" x14ac:dyDescent="0.25">
      <c r="BF1631" t="e">
        <f>solver_rhs48=NonLinLarge!$J$139</f>
        <v>#NAME?</v>
      </c>
    </row>
    <row r="1632" spans="58:58" x14ac:dyDescent="0.25">
      <c r="BF1632" t="e">
        <f>solver_rhs480=NonLinLarge!$J$139</f>
        <v>#NAME?</v>
      </c>
    </row>
    <row r="1633" spans="58:58" x14ac:dyDescent="0.25">
      <c r="BF1633" t="e">
        <f>solver_rhs481=NonLinLarge!$J$7:$J$8</f>
        <v>#NAME?</v>
      </c>
    </row>
    <row r="1634" spans="58:58" x14ac:dyDescent="0.25">
      <c r="BF1634" t="e">
        <f>solver_rhs482=NonLinLarge!$J$9:$J$72</f>
        <v>#NAME?</v>
      </c>
    </row>
    <row r="1635" spans="58:58" x14ac:dyDescent="0.25">
      <c r="BF1635" t="e">
        <f>solver_rhs483=NonLinLarge!$J$73</f>
        <v>#NAME?</v>
      </c>
    </row>
    <row r="1636" spans="58:58" x14ac:dyDescent="0.25">
      <c r="BF1636" t="e">
        <f>solver_rhs484=NonLinLarge!$J$74</f>
        <v>#NAME?</v>
      </c>
    </row>
    <row r="1637" spans="58:58" x14ac:dyDescent="0.25">
      <c r="BF1637" t="e">
        <f>solver_rhs485=NonLinLarge!$J$75:$J$138</f>
        <v>#NAME?</v>
      </c>
    </row>
    <row r="1638" spans="58:58" x14ac:dyDescent="0.25">
      <c r="BF1638" t="e">
        <f>solver_rhs486=NonLinLarge!$J$139</f>
        <v>#NAME?</v>
      </c>
    </row>
    <row r="1639" spans="58:58" x14ac:dyDescent="0.25">
      <c r="BF1639" t="e">
        <f>solver_rhs487=NonLinLarge!$J$7:$J$8</f>
        <v>#NAME?</v>
      </c>
    </row>
    <row r="1640" spans="58:58" x14ac:dyDescent="0.25">
      <c r="BF1640" t="e">
        <f>solver_rhs488=NonLinLarge!$J$9:$J$72</f>
        <v>#NAME?</v>
      </c>
    </row>
    <row r="1641" spans="58:58" x14ac:dyDescent="0.25">
      <c r="BF1641" t="e">
        <f>solver_rhs489=NonLinLarge!$J$73</f>
        <v>#NAME?</v>
      </c>
    </row>
    <row r="1642" spans="58:58" x14ac:dyDescent="0.25">
      <c r="BF1642" t="e">
        <f>solver_rhs49=NonLinLarge!$J$7:$J$8</f>
        <v>#NAME?</v>
      </c>
    </row>
    <row r="1643" spans="58:58" x14ac:dyDescent="0.25">
      <c r="BF1643" t="e">
        <f>solver_rhs490=NonLinLarge!$J$74</f>
        <v>#NAME?</v>
      </c>
    </row>
    <row r="1644" spans="58:58" x14ac:dyDescent="0.25">
      <c r="BF1644" t="e">
        <f>solver_rhs491=NonLinLarge!$J$75:$J$138</f>
        <v>#NAME?</v>
      </c>
    </row>
    <row r="1645" spans="58:58" x14ac:dyDescent="0.25">
      <c r="BF1645" t="e">
        <f>solver_rhs492=NonLinLarge!$J$139</f>
        <v>#NAME?</v>
      </c>
    </row>
    <row r="1646" spans="58:58" x14ac:dyDescent="0.25">
      <c r="BF1646" t="e">
        <f>solver_rhs493=NonLinLarge!$J$7:$J$8</f>
        <v>#NAME?</v>
      </c>
    </row>
    <row r="1647" spans="58:58" x14ac:dyDescent="0.25">
      <c r="BF1647" t="e">
        <f>solver_rhs494=NonLinLarge!$J$9:$J$72</f>
        <v>#NAME?</v>
      </c>
    </row>
    <row r="1648" spans="58:58" x14ac:dyDescent="0.25">
      <c r="BF1648" t="e">
        <f>solver_rhs495=NonLinLarge!$J$73</f>
        <v>#NAME?</v>
      </c>
    </row>
    <row r="1649" spans="58:58" x14ac:dyDescent="0.25">
      <c r="BF1649" t="e">
        <f>solver_rhs496=NonLinLarge!$J$74</f>
        <v>#NAME?</v>
      </c>
    </row>
    <row r="1650" spans="58:58" x14ac:dyDescent="0.25">
      <c r="BF1650" t="e">
        <f>solver_rhs497=NonLinLarge!$J$75:$J$138</f>
        <v>#NAME?</v>
      </c>
    </row>
    <row r="1651" spans="58:58" x14ac:dyDescent="0.25">
      <c r="BF1651" t="e">
        <f>solver_rhs498=NonLinLarge!$J$139</f>
        <v>#NAME?</v>
      </c>
    </row>
    <row r="1652" spans="58:58" x14ac:dyDescent="0.25">
      <c r="BF1652" t="e">
        <f>solver_rhs499=NonLinLarge!$J$7:$J$8</f>
        <v>#NAME?</v>
      </c>
    </row>
    <row r="1653" spans="58:58" x14ac:dyDescent="0.25">
      <c r="BF1653" t="e">
        <f>solver_rhs5=NonLinLarge!$J$75:$J$138</f>
        <v>#NAME?</v>
      </c>
    </row>
    <row r="1654" spans="58:58" x14ac:dyDescent="0.25">
      <c r="BF1654" t="e">
        <f>solver_rhs50=NonLinLarge!$J$9:$J$72</f>
        <v>#NAME?</v>
      </c>
    </row>
    <row r="1655" spans="58:58" x14ac:dyDescent="0.25">
      <c r="BF1655" t="e">
        <f>solver_rhs500=NonLinLarge!$J$9:$J$72</f>
        <v>#NAME?</v>
      </c>
    </row>
    <row r="1656" spans="58:58" x14ac:dyDescent="0.25">
      <c r="BF1656" t="e">
        <f>solver_rhs501=NonLinLarge!$J$73</f>
        <v>#NAME?</v>
      </c>
    </row>
    <row r="1657" spans="58:58" x14ac:dyDescent="0.25">
      <c r="BF1657" t="e">
        <f>solver_rhs502=NonLinLarge!$J$74</f>
        <v>#NAME?</v>
      </c>
    </row>
    <row r="1658" spans="58:58" x14ac:dyDescent="0.25">
      <c r="BF1658" t="e">
        <f>solver_rhs503=NonLinLarge!$J$75:$J$138</f>
        <v>#NAME?</v>
      </c>
    </row>
    <row r="1659" spans="58:58" x14ac:dyDescent="0.25">
      <c r="BF1659" t="e">
        <f>solver_rhs504=NonLinLarge!$J$139</f>
        <v>#NAME?</v>
      </c>
    </row>
    <row r="1660" spans="58:58" x14ac:dyDescent="0.25">
      <c r="BF1660" t="e">
        <f>solver_rhs505=NonLinLarge!$J$7:$J$8</f>
        <v>#NAME?</v>
      </c>
    </row>
    <row r="1661" spans="58:58" x14ac:dyDescent="0.25">
      <c r="BF1661" t="e">
        <f>solver_rhs506=NonLinLarge!$J$9:$J$72</f>
        <v>#NAME?</v>
      </c>
    </row>
    <row r="1662" spans="58:58" x14ac:dyDescent="0.25">
      <c r="BF1662" t="e">
        <f>solver_rhs507=NonLinLarge!$J$73</f>
        <v>#NAME?</v>
      </c>
    </row>
    <row r="1663" spans="58:58" x14ac:dyDescent="0.25">
      <c r="BF1663" t="e">
        <f>solver_rhs508=NonLinLarge!$J$74</f>
        <v>#NAME?</v>
      </c>
    </row>
    <row r="1664" spans="58:58" x14ac:dyDescent="0.25">
      <c r="BF1664" t="e">
        <f>solver_rhs509=NonLinLarge!$J$75:$J$138</f>
        <v>#NAME?</v>
      </c>
    </row>
    <row r="1665" spans="58:58" x14ac:dyDescent="0.25">
      <c r="BF1665" t="e">
        <f>solver_rhs51=NonLinLarge!$J$73</f>
        <v>#NAME?</v>
      </c>
    </row>
    <row r="1666" spans="58:58" x14ac:dyDescent="0.25">
      <c r="BF1666" t="e">
        <f>solver_rhs510=NonLinLarge!$J$139</f>
        <v>#NAME?</v>
      </c>
    </row>
    <row r="1667" spans="58:58" x14ac:dyDescent="0.25">
      <c r="BF1667" t="e">
        <f>solver_rhs511=NonLinLarge!$J$7:$J$8</f>
        <v>#NAME?</v>
      </c>
    </row>
    <row r="1668" spans="58:58" x14ac:dyDescent="0.25">
      <c r="BF1668" t="e">
        <f>solver_rhs512=NonLinLarge!$J$9:$J$72</f>
        <v>#NAME?</v>
      </c>
    </row>
    <row r="1669" spans="58:58" x14ac:dyDescent="0.25">
      <c r="BF1669" t="e">
        <f>solver_rhs513=NonLinLarge!$J$73</f>
        <v>#NAME?</v>
      </c>
    </row>
    <row r="1670" spans="58:58" x14ac:dyDescent="0.25">
      <c r="BF1670" t="e">
        <f>solver_rhs514=NonLinLarge!$J$74</f>
        <v>#NAME?</v>
      </c>
    </row>
    <row r="1671" spans="58:58" x14ac:dyDescent="0.25">
      <c r="BF1671" t="e">
        <f>solver_rhs515=NonLinLarge!$J$75:$J$138</f>
        <v>#NAME?</v>
      </c>
    </row>
    <row r="1672" spans="58:58" x14ac:dyDescent="0.25">
      <c r="BF1672" t="e">
        <f>solver_rhs516=NonLinLarge!$J$139</f>
        <v>#NAME?</v>
      </c>
    </row>
    <row r="1673" spans="58:58" x14ac:dyDescent="0.25">
      <c r="BF1673" t="e">
        <f>solver_rhs517=NonLinLarge!$J$7:$J$8</f>
        <v>#NAME?</v>
      </c>
    </row>
    <row r="1674" spans="58:58" x14ac:dyDescent="0.25">
      <c r="BF1674" t="e">
        <f>solver_rhs518=NonLinLarge!$J$9:$J$72</f>
        <v>#NAME?</v>
      </c>
    </row>
    <row r="1675" spans="58:58" x14ac:dyDescent="0.25">
      <c r="BF1675" t="e">
        <f>solver_rhs519=NonLinLarge!$J$73</f>
        <v>#NAME?</v>
      </c>
    </row>
    <row r="1676" spans="58:58" x14ac:dyDescent="0.25">
      <c r="BF1676" t="e">
        <f>solver_rhs52=NonLinLarge!$J$74</f>
        <v>#NAME?</v>
      </c>
    </row>
    <row r="1677" spans="58:58" x14ac:dyDescent="0.25">
      <c r="BF1677" t="e">
        <f>solver_rhs520=NonLinLarge!$J$74</f>
        <v>#NAME?</v>
      </c>
    </row>
    <row r="1678" spans="58:58" x14ac:dyDescent="0.25">
      <c r="BF1678" t="e">
        <f>solver_rhs521=NonLinLarge!$J$75:$J$138</f>
        <v>#NAME?</v>
      </c>
    </row>
    <row r="1679" spans="58:58" x14ac:dyDescent="0.25">
      <c r="BF1679" t="e">
        <f>solver_rhs522=NonLinLarge!$J$139</f>
        <v>#NAME?</v>
      </c>
    </row>
    <row r="1680" spans="58:58" x14ac:dyDescent="0.25">
      <c r="BF1680" t="e">
        <f>solver_rhs523=NonLinLarge!$J$7:$J$8</f>
        <v>#NAME?</v>
      </c>
    </row>
    <row r="1681" spans="58:58" x14ac:dyDescent="0.25">
      <c r="BF1681" t="e">
        <f>solver_rhs524=NonLinLarge!$J$9:$J$72</f>
        <v>#NAME?</v>
      </c>
    </row>
    <row r="1682" spans="58:58" x14ac:dyDescent="0.25">
      <c r="BF1682" t="e">
        <f>solver_rhs525=NonLinLarge!$J$73</f>
        <v>#NAME?</v>
      </c>
    </row>
    <row r="1683" spans="58:58" x14ac:dyDescent="0.25">
      <c r="BF1683" t="e">
        <f>solver_rhs526=NonLinLarge!$J$74</f>
        <v>#NAME?</v>
      </c>
    </row>
    <row r="1684" spans="58:58" x14ac:dyDescent="0.25">
      <c r="BF1684" t="e">
        <f>solver_rhs527=NonLinLarge!$J$75:$J$138</f>
        <v>#NAME?</v>
      </c>
    </row>
    <row r="1685" spans="58:58" x14ac:dyDescent="0.25">
      <c r="BF1685" t="e">
        <f>solver_rhs528=NonLinLarge!$J$139</f>
        <v>#NAME?</v>
      </c>
    </row>
    <row r="1686" spans="58:58" x14ac:dyDescent="0.25">
      <c r="BF1686" t="e">
        <f>solver_rhs529=NonLinLarge!$J$7:$J$8</f>
        <v>#NAME?</v>
      </c>
    </row>
    <row r="1687" spans="58:58" x14ac:dyDescent="0.25">
      <c r="BF1687" t="e">
        <f>solver_rhs53=NonLinLarge!$J$75:$J$138</f>
        <v>#NAME?</v>
      </c>
    </row>
    <row r="1688" spans="58:58" x14ac:dyDescent="0.25">
      <c r="BF1688" t="e">
        <f>solver_rhs530=NonLinLarge!$J$9:$J$72</f>
        <v>#NAME?</v>
      </c>
    </row>
    <row r="1689" spans="58:58" x14ac:dyDescent="0.25">
      <c r="BF1689" t="e">
        <f>solver_rhs531=NonLinLarge!$J$73</f>
        <v>#NAME?</v>
      </c>
    </row>
    <row r="1690" spans="58:58" x14ac:dyDescent="0.25">
      <c r="BF1690" t="e">
        <f>solver_rhs532=NonLinLarge!$J$74</f>
        <v>#NAME?</v>
      </c>
    </row>
    <row r="1691" spans="58:58" x14ac:dyDescent="0.25">
      <c r="BF1691" t="e">
        <f>solver_rhs533=NonLinLarge!$J$75:$J$138</f>
        <v>#NAME?</v>
      </c>
    </row>
    <row r="1692" spans="58:58" x14ac:dyDescent="0.25">
      <c r="BF1692" t="e">
        <f>solver_rhs534=NonLinLarge!$J$139</f>
        <v>#NAME?</v>
      </c>
    </row>
    <row r="1693" spans="58:58" x14ac:dyDescent="0.25">
      <c r="BF1693" t="e">
        <f>solver_rhs535=NonLinLarge!$J$7:$J$8</f>
        <v>#NAME?</v>
      </c>
    </row>
    <row r="1694" spans="58:58" x14ac:dyDescent="0.25">
      <c r="BF1694" t="e">
        <f>solver_rhs536=NonLinLarge!$J$9:$J$72</f>
        <v>#NAME?</v>
      </c>
    </row>
    <row r="1695" spans="58:58" x14ac:dyDescent="0.25">
      <c r="BF1695" t="e">
        <f>solver_rhs537=NonLinLarge!$J$73</f>
        <v>#NAME?</v>
      </c>
    </row>
    <row r="1696" spans="58:58" x14ac:dyDescent="0.25">
      <c r="BF1696" t="e">
        <f>solver_rhs538=NonLinLarge!$J$74</f>
        <v>#NAME?</v>
      </c>
    </row>
    <row r="1697" spans="58:58" x14ac:dyDescent="0.25">
      <c r="BF1697" t="e">
        <f>solver_rhs539=NonLinLarge!$J$75:$J$138</f>
        <v>#NAME?</v>
      </c>
    </row>
    <row r="1698" spans="58:58" x14ac:dyDescent="0.25">
      <c r="BF1698" t="e">
        <f>solver_rhs54=NonLinLarge!$J$139</f>
        <v>#NAME?</v>
      </c>
    </row>
    <row r="1699" spans="58:58" x14ac:dyDescent="0.25">
      <c r="BF1699" t="e">
        <f>solver_rhs540=NonLinLarge!$J$139</f>
        <v>#NAME?</v>
      </c>
    </row>
    <row r="1700" spans="58:58" x14ac:dyDescent="0.25">
      <c r="BF1700" t="e">
        <f>solver_rhs541=NonLinLarge!$J$7:$J$8</f>
        <v>#NAME?</v>
      </c>
    </row>
    <row r="1701" spans="58:58" x14ac:dyDescent="0.25">
      <c r="BF1701" t="e">
        <f>solver_rhs542=NonLinLarge!$J$9:$J$72</f>
        <v>#NAME?</v>
      </c>
    </row>
    <row r="1702" spans="58:58" x14ac:dyDescent="0.25">
      <c r="BF1702" t="e">
        <f>solver_rhs543=NonLinLarge!$J$73</f>
        <v>#NAME?</v>
      </c>
    </row>
    <row r="1703" spans="58:58" x14ac:dyDescent="0.25">
      <c r="BF1703" t="e">
        <f>solver_rhs544=NonLinLarge!$J$74</f>
        <v>#NAME?</v>
      </c>
    </row>
    <row r="1704" spans="58:58" x14ac:dyDescent="0.25">
      <c r="BF1704" t="e">
        <f>solver_rhs545=NonLinLarge!$J$75:$J$138</f>
        <v>#NAME?</v>
      </c>
    </row>
    <row r="1705" spans="58:58" x14ac:dyDescent="0.25">
      <c r="BF1705" t="e">
        <f>solver_rhs546=NonLinLarge!$J$139</f>
        <v>#NAME?</v>
      </c>
    </row>
    <row r="1706" spans="58:58" x14ac:dyDescent="0.25">
      <c r="BF1706" t="e">
        <f>solver_rhs547=NonLinLarge!$J$7:$J$8</f>
        <v>#NAME?</v>
      </c>
    </row>
    <row r="1707" spans="58:58" x14ac:dyDescent="0.25">
      <c r="BF1707" t="e">
        <f>solver_rhs548=NonLinLarge!$J$9:$J$72</f>
        <v>#NAME?</v>
      </c>
    </row>
    <row r="1708" spans="58:58" x14ac:dyDescent="0.25">
      <c r="BF1708" t="e">
        <f>solver_rhs549=NonLinLarge!$J$73</f>
        <v>#NAME?</v>
      </c>
    </row>
    <row r="1709" spans="58:58" x14ac:dyDescent="0.25">
      <c r="BF1709" t="e">
        <f>solver_rhs55=NonLinLarge!$J$7:$J$8</f>
        <v>#NAME?</v>
      </c>
    </row>
    <row r="1710" spans="58:58" x14ac:dyDescent="0.25">
      <c r="BF1710" t="e">
        <f>solver_rhs550=NonLinLarge!$J$74</f>
        <v>#NAME?</v>
      </c>
    </row>
    <row r="1711" spans="58:58" x14ac:dyDescent="0.25">
      <c r="BF1711" t="e">
        <f>solver_rhs551=NonLinLarge!$J$75:$J$138</f>
        <v>#NAME?</v>
      </c>
    </row>
    <row r="1712" spans="58:58" x14ac:dyDescent="0.25">
      <c r="BF1712" t="e">
        <f>solver_rhs552=NonLinLarge!$J$139</f>
        <v>#NAME?</v>
      </c>
    </row>
    <row r="1713" spans="58:58" x14ac:dyDescent="0.25">
      <c r="BF1713" t="e">
        <f>solver_rhs553=NonLinLarge!$J$7:$J$8</f>
        <v>#NAME?</v>
      </c>
    </row>
    <row r="1714" spans="58:58" x14ac:dyDescent="0.25">
      <c r="BF1714" t="e">
        <f>solver_rhs554=NonLinLarge!$J$9:$J$72</f>
        <v>#NAME?</v>
      </c>
    </row>
    <row r="1715" spans="58:58" x14ac:dyDescent="0.25">
      <c r="BF1715" t="e">
        <f>solver_rhs555=NonLinLarge!$J$73</f>
        <v>#NAME?</v>
      </c>
    </row>
    <row r="1716" spans="58:58" x14ac:dyDescent="0.25">
      <c r="BF1716" t="e">
        <f>solver_rhs556=NonLinLarge!$J$74</f>
        <v>#NAME?</v>
      </c>
    </row>
    <row r="1717" spans="58:58" x14ac:dyDescent="0.25">
      <c r="BF1717" t="e">
        <f>solver_rhs557=NonLinLarge!$J$75:$J$138</f>
        <v>#NAME?</v>
      </c>
    </row>
    <row r="1718" spans="58:58" x14ac:dyDescent="0.25">
      <c r="BF1718" t="e">
        <f>solver_rhs558=NonLinLarge!$J$139</f>
        <v>#NAME?</v>
      </c>
    </row>
    <row r="1719" spans="58:58" x14ac:dyDescent="0.25">
      <c r="BF1719" t="e">
        <f>solver_rhs559=NonLinLarge!$J$7:$J$8</f>
        <v>#NAME?</v>
      </c>
    </row>
    <row r="1720" spans="58:58" x14ac:dyDescent="0.25">
      <c r="BF1720" t="e">
        <f>solver_rhs56=NonLinLarge!$J$9:$J$72</f>
        <v>#NAME?</v>
      </c>
    </row>
    <row r="1721" spans="58:58" x14ac:dyDescent="0.25">
      <c r="BF1721" t="e">
        <f>solver_rhs560=NonLinLarge!$J$9:$J$72</f>
        <v>#NAME?</v>
      </c>
    </row>
    <row r="1722" spans="58:58" x14ac:dyDescent="0.25">
      <c r="BF1722" t="e">
        <f>solver_rhs561=NonLinLarge!$J$73</f>
        <v>#NAME?</v>
      </c>
    </row>
    <row r="1723" spans="58:58" x14ac:dyDescent="0.25">
      <c r="BF1723" t="e">
        <f>solver_rhs562=NonLinLarge!$J$74</f>
        <v>#NAME?</v>
      </c>
    </row>
    <row r="1724" spans="58:58" x14ac:dyDescent="0.25">
      <c r="BF1724" t="e">
        <f>solver_rhs563=NonLinLarge!$J$75:$J$138</f>
        <v>#NAME?</v>
      </c>
    </row>
    <row r="1725" spans="58:58" x14ac:dyDescent="0.25">
      <c r="BF1725" t="e">
        <f>solver_rhs564=NonLinLarge!$J$139</f>
        <v>#NAME?</v>
      </c>
    </row>
    <row r="1726" spans="58:58" x14ac:dyDescent="0.25">
      <c r="BF1726" t="e">
        <f>solver_rhs565=NonLinLarge!$J$7:$J$8</f>
        <v>#NAME?</v>
      </c>
    </row>
    <row r="1727" spans="58:58" x14ac:dyDescent="0.25">
      <c r="BF1727" t="e">
        <f>solver_rhs566=NonLinLarge!$J$9:$J$72</f>
        <v>#NAME?</v>
      </c>
    </row>
    <row r="1728" spans="58:58" x14ac:dyDescent="0.25">
      <c r="BF1728" t="e">
        <f>solver_rhs567=NonLinLarge!$J$73</f>
        <v>#NAME?</v>
      </c>
    </row>
    <row r="1729" spans="58:58" x14ac:dyDescent="0.25">
      <c r="BF1729" t="e">
        <f>solver_rhs568=NonLinLarge!$J$74</f>
        <v>#NAME?</v>
      </c>
    </row>
    <row r="1730" spans="58:58" x14ac:dyDescent="0.25">
      <c r="BF1730" t="e">
        <f>solver_rhs569=NonLinLarge!$J$75:$J$138</f>
        <v>#NAME?</v>
      </c>
    </row>
    <row r="1731" spans="58:58" x14ac:dyDescent="0.25">
      <c r="BF1731" t="e">
        <f>solver_rhs57=NonLinLarge!$J$73</f>
        <v>#NAME?</v>
      </c>
    </row>
    <row r="1732" spans="58:58" x14ac:dyDescent="0.25">
      <c r="BF1732" t="e">
        <f>solver_rhs570=NonLinLarge!$J$139</f>
        <v>#NAME?</v>
      </c>
    </row>
    <row r="1733" spans="58:58" x14ac:dyDescent="0.25">
      <c r="BF1733" t="e">
        <f>solver_rhs571=NonLinLarge!$J$7:$J$8</f>
        <v>#NAME?</v>
      </c>
    </row>
    <row r="1734" spans="58:58" x14ac:dyDescent="0.25">
      <c r="BF1734" t="e">
        <f>solver_rhs572=NonLinLarge!$J$9:$J$72</f>
        <v>#NAME?</v>
      </c>
    </row>
    <row r="1735" spans="58:58" x14ac:dyDescent="0.25">
      <c r="BF1735" t="e">
        <f>solver_rhs573=NonLinLarge!$J$73</f>
        <v>#NAME?</v>
      </c>
    </row>
    <row r="1736" spans="58:58" x14ac:dyDescent="0.25">
      <c r="BF1736" t="e">
        <f>solver_rhs574=NonLinLarge!$J$74</f>
        <v>#NAME?</v>
      </c>
    </row>
    <row r="1737" spans="58:58" x14ac:dyDescent="0.25">
      <c r="BF1737" t="e">
        <f>solver_rhs575=NonLinLarge!$J$75:$J$138</f>
        <v>#NAME?</v>
      </c>
    </row>
    <row r="1738" spans="58:58" x14ac:dyDescent="0.25">
      <c r="BF1738" t="e">
        <f>solver_rhs576=NonLinLarge!$J$139</f>
        <v>#NAME?</v>
      </c>
    </row>
    <row r="1739" spans="58:58" x14ac:dyDescent="0.25">
      <c r="BF1739" t="e">
        <f>solver_rhs577=NonLinLarge!$J$7:$J$8</f>
        <v>#NAME?</v>
      </c>
    </row>
    <row r="1740" spans="58:58" x14ac:dyDescent="0.25">
      <c r="BF1740" t="e">
        <f>solver_rhs578=NonLinLarge!$J$9:$J$72</f>
        <v>#NAME?</v>
      </c>
    </row>
    <row r="1741" spans="58:58" x14ac:dyDescent="0.25">
      <c r="BF1741" t="e">
        <f>solver_rhs579=NonLinLarge!$J$73</f>
        <v>#NAME?</v>
      </c>
    </row>
    <row r="1742" spans="58:58" x14ac:dyDescent="0.25">
      <c r="BF1742" t="e">
        <f>solver_rhs58=NonLinLarge!$J$74</f>
        <v>#NAME?</v>
      </c>
    </row>
    <row r="1743" spans="58:58" x14ac:dyDescent="0.25">
      <c r="BF1743" t="e">
        <f>solver_rhs580=NonLinLarge!$J$74</f>
        <v>#NAME?</v>
      </c>
    </row>
    <row r="1744" spans="58:58" x14ac:dyDescent="0.25">
      <c r="BF1744" t="e">
        <f>solver_rhs581=NonLinLarge!$J$75:$J$138</f>
        <v>#NAME?</v>
      </c>
    </row>
    <row r="1745" spans="58:58" x14ac:dyDescent="0.25">
      <c r="BF1745" t="e">
        <f>solver_rhs582=NonLinLarge!$J$139</f>
        <v>#NAME?</v>
      </c>
    </row>
    <row r="1746" spans="58:58" x14ac:dyDescent="0.25">
      <c r="BF1746" t="e">
        <f>solver_rhs583=NonLinLarge!$J$7:$J$8</f>
        <v>#NAME?</v>
      </c>
    </row>
    <row r="1747" spans="58:58" x14ac:dyDescent="0.25">
      <c r="BF1747" t="e">
        <f>solver_rhs584=NonLinLarge!$J$9:$J$72</f>
        <v>#NAME?</v>
      </c>
    </row>
    <row r="1748" spans="58:58" x14ac:dyDescent="0.25">
      <c r="BF1748" t="e">
        <f>solver_rhs585=NonLinLarge!$J$73</f>
        <v>#NAME?</v>
      </c>
    </row>
    <row r="1749" spans="58:58" x14ac:dyDescent="0.25">
      <c r="BF1749" t="e">
        <f>solver_rhs586=NonLinLarge!$J$74</f>
        <v>#NAME?</v>
      </c>
    </row>
    <row r="1750" spans="58:58" x14ac:dyDescent="0.25">
      <c r="BF1750" t="e">
        <f>solver_rhs587=NonLinLarge!$J$75:$J$138</f>
        <v>#NAME?</v>
      </c>
    </row>
    <row r="1751" spans="58:58" x14ac:dyDescent="0.25">
      <c r="BF1751" t="e">
        <f>solver_rhs588=NonLinLarge!$J$139</f>
        <v>#NAME?</v>
      </c>
    </row>
    <row r="1752" spans="58:58" x14ac:dyDescent="0.25">
      <c r="BF1752" t="e">
        <f>solver_rhs589=NonLinLarge!$J$7:$J$8</f>
        <v>#NAME?</v>
      </c>
    </row>
    <row r="1753" spans="58:58" x14ac:dyDescent="0.25">
      <c r="BF1753" t="e">
        <f>solver_rhs59=NonLinLarge!$J$75:$J$138</f>
        <v>#NAME?</v>
      </c>
    </row>
    <row r="1754" spans="58:58" x14ac:dyDescent="0.25">
      <c r="BF1754" t="e">
        <f>solver_rhs590=NonLinLarge!$J$9:$J$72</f>
        <v>#NAME?</v>
      </c>
    </row>
    <row r="1755" spans="58:58" x14ac:dyDescent="0.25">
      <c r="BF1755" t="e">
        <f>solver_rhs591=NonLinLarge!$J$73</f>
        <v>#NAME?</v>
      </c>
    </row>
    <row r="1756" spans="58:58" x14ac:dyDescent="0.25">
      <c r="BF1756" t="e">
        <f>solver_rhs592=NonLinLarge!$J$74</f>
        <v>#NAME?</v>
      </c>
    </row>
    <row r="1757" spans="58:58" x14ac:dyDescent="0.25">
      <c r="BF1757" t="e">
        <f>solver_rhs593=NonLinLarge!$J$75:$J$138</f>
        <v>#NAME?</v>
      </c>
    </row>
    <row r="1758" spans="58:58" x14ac:dyDescent="0.25">
      <c r="BF1758" t="e">
        <f>solver_rhs594=NonLinLarge!$J$139</f>
        <v>#NAME?</v>
      </c>
    </row>
    <row r="1759" spans="58:58" x14ac:dyDescent="0.25">
      <c r="BF1759" t="e">
        <f>solver_rhs595=NonLinLarge!$J$7:$J$8</f>
        <v>#NAME?</v>
      </c>
    </row>
    <row r="1760" spans="58:58" x14ac:dyDescent="0.25">
      <c r="BF1760" t="e">
        <f>solver_rhs596=NonLinLarge!$J$9:$J$72</f>
        <v>#NAME?</v>
      </c>
    </row>
    <row r="1761" spans="58:58" x14ac:dyDescent="0.25">
      <c r="BF1761" t="e">
        <f>solver_rhs597=NonLinLarge!$J$73</f>
        <v>#NAME?</v>
      </c>
    </row>
    <row r="1762" spans="58:58" x14ac:dyDescent="0.25">
      <c r="BF1762" t="e">
        <f>solver_rhs598=NonLinLarge!$J$74</f>
        <v>#NAME?</v>
      </c>
    </row>
    <row r="1763" spans="58:58" x14ac:dyDescent="0.25">
      <c r="BF1763" t="e">
        <f>solver_rhs599=NonLinLarge!$J$75:$J$138</f>
        <v>#NAME?</v>
      </c>
    </row>
    <row r="1764" spans="58:58" x14ac:dyDescent="0.25">
      <c r="BF1764" t="e">
        <f>solver_rhs6=NonLinLarge!$J$139</f>
        <v>#NAME?</v>
      </c>
    </row>
    <row r="1765" spans="58:58" x14ac:dyDescent="0.25">
      <c r="BF1765" t="e">
        <f>solver_rhs60=NonLinLarge!$J$139</f>
        <v>#NAME?</v>
      </c>
    </row>
    <row r="1766" spans="58:58" x14ac:dyDescent="0.25">
      <c r="BF1766" t="e">
        <f>solver_rhs600=NonLinLarge!$J$139</f>
        <v>#NAME?</v>
      </c>
    </row>
    <row r="1767" spans="58:58" x14ac:dyDescent="0.25">
      <c r="BF1767" t="e">
        <f>solver_rhs61=NonLinLarge!$J$7:$J$8</f>
        <v>#NAME?</v>
      </c>
    </row>
    <row r="1768" spans="58:58" x14ac:dyDescent="0.25">
      <c r="BF1768" t="e">
        <f>solver_rhs62=NonLinLarge!$J$9:$J$72</f>
        <v>#NAME?</v>
      </c>
    </row>
    <row r="1769" spans="58:58" x14ac:dyDescent="0.25">
      <c r="BF1769" t="e">
        <f>solver_rhs63=NonLinLarge!$J$73</f>
        <v>#NAME?</v>
      </c>
    </row>
    <row r="1770" spans="58:58" x14ac:dyDescent="0.25">
      <c r="BF1770" t="e">
        <f>solver_rhs64=NonLinLarge!$J$74</f>
        <v>#NAME?</v>
      </c>
    </row>
    <row r="1771" spans="58:58" x14ac:dyDescent="0.25">
      <c r="BF1771" t="e">
        <f>solver_rhs65=NonLinLarge!$J$75:$J$138</f>
        <v>#NAME?</v>
      </c>
    </row>
    <row r="1772" spans="58:58" x14ac:dyDescent="0.25">
      <c r="BF1772" t="e">
        <f>solver_rhs66=NonLinLarge!$J$139</f>
        <v>#NAME?</v>
      </c>
    </row>
    <row r="1773" spans="58:58" x14ac:dyDescent="0.25">
      <c r="BF1773" t="e">
        <f>solver_rhs67=NonLinLarge!$J$7:$J$8</f>
        <v>#NAME?</v>
      </c>
    </row>
    <row r="1774" spans="58:58" x14ac:dyDescent="0.25">
      <c r="BF1774" t="e">
        <f>solver_rhs68=NonLinLarge!$J$9:$J$72</f>
        <v>#NAME?</v>
      </c>
    </row>
    <row r="1775" spans="58:58" x14ac:dyDescent="0.25">
      <c r="BF1775" t="e">
        <f>solver_rhs69=NonLinLarge!$J$73</f>
        <v>#NAME?</v>
      </c>
    </row>
    <row r="1776" spans="58:58" x14ac:dyDescent="0.25">
      <c r="BF1776" t="e">
        <f>solver_rhs7=NonLinLarge!$J$7:$J$8</f>
        <v>#NAME?</v>
      </c>
    </row>
    <row r="1777" spans="58:58" x14ac:dyDescent="0.25">
      <c r="BF1777" t="e">
        <f>solver_rhs70=NonLinLarge!$J$74</f>
        <v>#NAME?</v>
      </c>
    </row>
    <row r="1778" spans="58:58" x14ac:dyDescent="0.25">
      <c r="BF1778" t="e">
        <f>solver_rhs71=NonLinLarge!$J$75:$J$138</f>
        <v>#NAME?</v>
      </c>
    </row>
    <row r="1779" spans="58:58" x14ac:dyDescent="0.25">
      <c r="BF1779" t="e">
        <f>solver_rhs72=NonLinLarge!$J$139</f>
        <v>#NAME?</v>
      </c>
    </row>
    <row r="1780" spans="58:58" x14ac:dyDescent="0.25">
      <c r="BF1780" t="e">
        <f>solver_rhs73=NonLinLarge!$J$7:$J$8</f>
        <v>#NAME?</v>
      </c>
    </row>
    <row r="1781" spans="58:58" x14ac:dyDescent="0.25">
      <c r="BF1781" t="e">
        <f>solver_rhs74=NonLinLarge!$J$9:$J$72</f>
        <v>#NAME?</v>
      </c>
    </row>
    <row r="1782" spans="58:58" x14ac:dyDescent="0.25">
      <c r="BF1782" t="e">
        <f>solver_rhs75=NonLinLarge!$J$73</f>
        <v>#NAME?</v>
      </c>
    </row>
    <row r="1783" spans="58:58" x14ac:dyDescent="0.25">
      <c r="BF1783" t="e">
        <f>solver_rhs76=NonLinLarge!$J$74</f>
        <v>#NAME?</v>
      </c>
    </row>
    <row r="1784" spans="58:58" x14ac:dyDescent="0.25">
      <c r="BF1784" t="e">
        <f>solver_rhs77=NonLinLarge!$J$75:$J$138</f>
        <v>#NAME?</v>
      </c>
    </row>
    <row r="1785" spans="58:58" x14ac:dyDescent="0.25">
      <c r="BF1785" t="e">
        <f>solver_rhs78=NonLinLarge!$J$139</f>
        <v>#NAME?</v>
      </c>
    </row>
    <row r="1786" spans="58:58" x14ac:dyDescent="0.25">
      <c r="BF1786" t="e">
        <f>solver_rhs79=NonLinLarge!$J$7:$J$8</f>
        <v>#NAME?</v>
      </c>
    </row>
    <row r="1787" spans="58:58" x14ac:dyDescent="0.25">
      <c r="BF1787" t="e">
        <f>solver_rhs8=NonLinLarge!$J$9:$J$72</f>
        <v>#NAME?</v>
      </c>
    </row>
    <row r="1788" spans="58:58" x14ac:dyDescent="0.25">
      <c r="BF1788" t="e">
        <f>solver_rhs80=NonLinLarge!$J$9:$J$72</f>
        <v>#NAME?</v>
      </c>
    </row>
    <row r="1789" spans="58:58" x14ac:dyDescent="0.25">
      <c r="BF1789" t="e">
        <f>solver_rhs81=NonLinLarge!$J$73</f>
        <v>#NAME?</v>
      </c>
    </row>
    <row r="1790" spans="58:58" x14ac:dyDescent="0.25">
      <c r="BF1790" t="e">
        <f>solver_rhs82=NonLinLarge!$J$74</f>
        <v>#NAME?</v>
      </c>
    </row>
    <row r="1791" spans="58:58" x14ac:dyDescent="0.25">
      <c r="BF1791" t="e">
        <f>solver_rhs83=NonLinLarge!$J$75:$J$138</f>
        <v>#NAME?</v>
      </c>
    </row>
    <row r="1792" spans="58:58" x14ac:dyDescent="0.25">
      <c r="BF1792" t="e">
        <f>solver_rhs84=NonLinLarge!$J$139</f>
        <v>#NAME?</v>
      </c>
    </row>
    <row r="1793" spans="58:58" x14ac:dyDescent="0.25">
      <c r="BF1793" t="e">
        <f>solver_rhs85=NonLinLarge!$J$7:$J$8</f>
        <v>#NAME?</v>
      </c>
    </row>
    <row r="1794" spans="58:58" x14ac:dyDescent="0.25">
      <c r="BF1794" t="e">
        <f>solver_rhs86=NonLinLarge!$J$9:$J$72</f>
        <v>#NAME?</v>
      </c>
    </row>
    <row r="1795" spans="58:58" x14ac:dyDescent="0.25">
      <c r="BF1795" t="e">
        <f>solver_rhs87=NonLinLarge!$J$73</f>
        <v>#NAME?</v>
      </c>
    </row>
    <row r="1796" spans="58:58" x14ac:dyDescent="0.25">
      <c r="BF1796" t="e">
        <f>solver_rhs88=NonLinLarge!$J$74</f>
        <v>#NAME?</v>
      </c>
    </row>
    <row r="1797" spans="58:58" x14ac:dyDescent="0.25">
      <c r="BF1797" t="e">
        <f>solver_rhs89=NonLinLarge!$J$75:$J$138</f>
        <v>#NAME?</v>
      </c>
    </row>
    <row r="1798" spans="58:58" x14ac:dyDescent="0.25">
      <c r="BF1798" t="e">
        <f>solver_rhs9=NonLinLarge!$J$73</f>
        <v>#NAME?</v>
      </c>
    </row>
    <row r="1799" spans="58:58" x14ac:dyDescent="0.25">
      <c r="BF1799" t="e">
        <f>solver_rhs90=NonLinLarge!$J$139</f>
        <v>#NAME?</v>
      </c>
    </row>
    <row r="1800" spans="58:58" x14ac:dyDescent="0.25">
      <c r="BF1800" t="e">
        <f>solver_rhs91=NonLinLarge!$J$7:$J$8</f>
        <v>#NAME?</v>
      </c>
    </row>
    <row r="1801" spans="58:58" x14ac:dyDescent="0.25">
      <c r="BF1801" t="e">
        <f>solver_rhs92=NonLinLarge!$J$9:$J$72</f>
        <v>#NAME?</v>
      </c>
    </row>
    <row r="1802" spans="58:58" x14ac:dyDescent="0.25">
      <c r="BF1802" t="e">
        <f>solver_rhs93=NonLinLarge!$J$73</f>
        <v>#NAME?</v>
      </c>
    </row>
    <row r="1803" spans="58:58" x14ac:dyDescent="0.25">
      <c r="BF1803" t="e">
        <f>solver_rhs94=NonLinLarge!$J$74</f>
        <v>#NAME?</v>
      </c>
    </row>
    <row r="1804" spans="58:58" x14ac:dyDescent="0.25">
      <c r="BF1804" t="e">
        <f>solver_rhs95=NonLinLarge!$J$75:$J$138</f>
        <v>#NAME?</v>
      </c>
    </row>
    <row r="1805" spans="58:58" x14ac:dyDescent="0.25">
      <c r="BF1805" t="e">
        <f>solver_rhs96=NonLinLarge!$J$139</f>
        <v>#NAME?</v>
      </c>
    </row>
    <row r="1806" spans="58:58" x14ac:dyDescent="0.25">
      <c r="BF1806" t="e">
        <f>solver_rhs97=NonLinLarge!$J$7:$J$8</f>
        <v>#NAME?</v>
      </c>
    </row>
    <row r="1807" spans="58:58" x14ac:dyDescent="0.25">
      <c r="BF1807" t="e">
        <f>solver_rhs98=NonLinLarge!$J$9:$J$72</f>
        <v>#NAME?</v>
      </c>
    </row>
    <row r="1808" spans="58:58" x14ac:dyDescent="0.25">
      <c r="BF1808" t="e">
        <f>solver_rhs99=NonLinLarge!$J$73</f>
        <v>#NAME?</v>
      </c>
    </row>
    <row r="1809" spans="58:58" x14ac:dyDescent="0.25">
      <c r="BF1809" t="e">
        <f>solver_rlx=0</f>
        <v>#NAME?</v>
      </c>
    </row>
    <row r="1810" spans="58:58" x14ac:dyDescent="0.25">
      <c r="BF1810" t="e">
        <f>solver_sho=0</f>
        <v>#NAME?</v>
      </c>
    </row>
    <row r="1811" spans="58:58" x14ac:dyDescent="0.25">
      <c r="BF1811" t="e">
        <f>solver_tim=999999999</f>
        <v>#NAME?</v>
      </c>
    </row>
    <row r="1812" spans="58:58" x14ac:dyDescent="0.25">
      <c r="BF1812" t="e">
        <f>solver_tol=0.05</f>
        <v>#NAME?</v>
      </c>
    </row>
    <row r="1813" spans="58:58" x14ac:dyDescent="0.25">
      <c r="BF1813" t="e">
        <f>solver_typ=2</f>
        <v>#NAME?</v>
      </c>
    </row>
    <row r="1814" spans="58:58" x14ac:dyDescent="0.25">
      <c r="BF1814" t="e">
        <f>solver_val=0</f>
        <v>#NAME?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S72"/>
  <sheetViews>
    <sheetView zoomScale="85" zoomScaleNormal="85" zoomScalePageLayoutView="85" workbookViewId="0">
      <selection activeCell="A3" sqref="A3"/>
    </sheetView>
  </sheetViews>
  <sheetFormatPr defaultColWidth="9.125" defaultRowHeight="15" x14ac:dyDescent="0.25"/>
  <cols>
    <col min="1" max="1" width="26.75" style="154" customWidth="1"/>
    <col min="2" max="16384" width="9.125" style="59"/>
  </cols>
  <sheetData>
    <row r="1" spans="1:19" s="150" customFormat="1" ht="63" customHeight="1" thickBot="1" x14ac:dyDescent="0.3">
      <c r="A1" s="152"/>
      <c r="C1" s="185" t="s">
        <v>318</v>
      </c>
      <c r="D1" s="185"/>
      <c r="E1" s="185"/>
      <c r="F1" s="185"/>
    </row>
    <row r="2" spans="1:1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196</v>
      </c>
      <c r="G2" s="149" t="s">
        <v>232</v>
      </c>
      <c r="H2" s="149" t="s">
        <v>231</v>
      </c>
      <c r="I2" s="149" t="s">
        <v>306</v>
      </c>
    </row>
    <row r="3" spans="1:1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</row>
    <row r="4" spans="1:19" x14ac:dyDescent="0.25">
      <c r="A4" s="155" t="str">
        <f>HYPERLINK("[OpenSolver Tester.xlsm]'SimpleIP'!A1", "SimpleIP")</f>
        <v>SimpleIP</v>
      </c>
      <c r="B4" s="59" t="s">
        <v>332</v>
      </c>
      <c r="C4" s="59" t="s">
        <v>332</v>
      </c>
    </row>
    <row r="5" spans="1:19" x14ac:dyDescent="0.25">
      <c r="A5" s="155" t="str">
        <f>HYPERLINK("[OpenSolver Tester.xlsm]'IP_SUMIF'!A1", "IP_SUMIF")</f>
        <v>IP_SUMIF</v>
      </c>
      <c r="B5" s="59" t="s">
        <v>332</v>
      </c>
      <c r="C5" s="59" t="s">
        <v>332</v>
      </c>
      <c r="H5"/>
    </row>
    <row r="6" spans="1:19" x14ac:dyDescent="0.25">
      <c r="A6" s="155" t="str">
        <f>HYPERLINK("[OpenSolver Tester.xlsm]'OverlappingVars'!A1", "OverlappingVars")</f>
        <v>OverlappingVars</v>
      </c>
      <c r="B6" s="59" t="s">
        <v>332</v>
      </c>
      <c r="C6" s="59" t="s">
        <v>332</v>
      </c>
      <c r="H6"/>
    </row>
    <row r="7" spans="1:19" x14ac:dyDescent="0.25">
      <c r="A7" s="155" t="str">
        <f>HYPERLINK("[OpenSolver Tester.xlsm]'BlankRHS'!A1", "BlankRHS")</f>
        <v>BlankRHS</v>
      </c>
      <c r="B7" s="59" t="s">
        <v>332</v>
      </c>
      <c r="C7" s="59" t="s">
        <v>332</v>
      </c>
      <c r="H7"/>
    </row>
    <row r="8" spans="1:19" x14ac:dyDescent="0.25">
      <c r="A8" s="155" t="str">
        <f>HYPERLINK("[OpenSolver Tester.xlsm]'BlankLHS'!A1", "BlankLHS")</f>
        <v>BlankLHS</v>
      </c>
      <c r="B8" s="59" t="s">
        <v>332</v>
      </c>
      <c r="C8" s="59" t="s">
        <v>332</v>
      </c>
      <c r="H8"/>
    </row>
    <row r="9" spans="1:19" x14ac:dyDescent="0.25">
      <c r="A9" s="155" t="str">
        <f>HYPERLINK("[OpenSolver Tester.xlsm]'TextRHS'!A1", "TextRHS")</f>
        <v>TextRHS</v>
      </c>
      <c r="B9" s="59" t="s">
        <v>332</v>
      </c>
      <c r="C9" s="59" t="s">
        <v>332</v>
      </c>
      <c r="H9"/>
    </row>
    <row r="10" spans="1:19" x14ac:dyDescent="0.25">
      <c r="A10" s="155" t="str">
        <f>HYPERLINK("[OpenSolver Tester.xlsm]'ErrorRHS'!A1", "ErrorRHS")</f>
        <v>ErrorRHS</v>
      </c>
      <c r="B10" s="59" t="s">
        <v>332</v>
      </c>
      <c r="C10" s="59" t="s">
        <v>332</v>
      </c>
    </row>
    <row r="11" spans="1:19" x14ac:dyDescent="0.25">
      <c r="A11" s="155" t="str">
        <f>HYPERLINK("[OpenSolver Tester.xlsm]'ErrorLHS'!A1", "ErrorLHS")</f>
        <v>ErrorLHS</v>
      </c>
      <c r="B11" s="59" t="s">
        <v>332</v>
      </c>
      <c r="C11" s="59" t="s">
        <v>332</v>
      </c>
      <c r="R11" s="177"/>
      <c r="S11" s="177"/>
    </row>
    <row r="12" spans="1:19" x14ac:dyDescent="0.25">
      <c r="A12" s="155" t="str">
        <f>HYPERLINK("[OpenSolver Tester.xlsm]'ErrorObj'!A1", "ErrorObj")</f>
        <v>ErrorObj</v>
      </c>
      <c r="B12" s="59" t="s">
        <v>332</v>
      </c>
      <c r="C12" s="59" t="s">
        <v>332</v>
      </c>
      <c r="R12" s="177"/>
      <c r="S12" s="177"/>
    </row>
    <row r="13" spans="1:19" x14ac:dyDescent="0.25">
      <c r="A13" s="155" t="str">
        <f>HYPERLINK("[OpenSolver Tester.xlsm]'TextObj'!A1", "TextObj")</f>
        <v>TextObj</v>
      </c>
      <c r="B13" s="59" t="s">
        <v>332</v>
      </c>
      <c r="C13" s="59" t="s">
        <v>332</v>
      </c>
      <c r="R13" s="177"/>
      <c r="S13" s="177"/>
    </row>
    <row r="14" spans="1:19" x14ac:dyDescent="0.25">
      <c r="A14" s="155" t="str">
        <f>HYPERLINK("[OpenSolver Tester.xlsm]'MergedVarsSubset'!A1", "MergedVarsSubset")</f>
        <v>MergedVarsSubset</v>
      </c>
      <c r="B14" s="59" t="s">
        <v>332</v>
      </c>
      <c r="C14" s="59" t="s">
        <v>332</v>
      </c>
      <c r="R14" s="177"/>
      <c r="S14" s="177"/>
    </row>
    <row r="15" spans="1:19" x14ac:dyDescent="0.25">
      <c r="A15" s="155" t="str">
        <f>HYPERLINK("[OpenSolver Tester.xlsm]'MergedVarsOK'!A1", "MergedVarsOK")</f>
        <v>MergedVarsOK</v>
      </c>
      <c r="B15" s="59" t="s">
        <v>332</v>
      </c>
      <c r="C15" s="59" t="s">
        <v>332</v>
      </c>
      <c r="R15" s="177"/>
      <c r="S15" s="177"/>
    </row>
    <row r="16" spans="1:19" x14ac:dyDescent="0.25">
      <c r="A16" s="155" t="str">
        <f>HYPERLINK("[OpenSolver Tester.xlsm]'MergedVarsBad'!A1", "MergedVarsBad")</f>
        <v>MergedVarsBad</v>
      </c>
      <c r="B16" s="59" t="s">
        <v>332</v>
      </c>
      <c r="C16" s="59" t="s">
        <v>332</v>
      </c>
    </row>
    <row r="17" spans="1:3" x14ac:dyDescent="0.25">
      <c r="A17" s="155" t="str">
        <f>HYPERLINK("[OpenSolver Tester.xlsm]'MergedRHS_OK'!A1", "MergedRHS_OK")</f>
        <v>MergedRHS_OK</v>
      </c>
      <c r="B17" s="59" t="s">
        <v>332</v>
      </c>
      <c r="C17" s="59" t="s">
        <v>332</v>
      </c>
    </row>
    <row r="18" spans="1:3" x14ac:dyDescent="0.25">
      <c r="A18" s="155" t="str">
        <f>HYPERLINK("[OpenSolver Tester.xlsm]'MergedLHS_OK'!A1", "MergedLHS_OK")</f>
        <v>MergedLHS_OK</v>
      </c>
      <c r="B18" s="59" t="s">
        <v>332</v>
      </c>
      <c r="C18" s="59" t="s">
        <v>332</v>
      </c>
    </row>
    <row r="19" spans="1:3" x14ac:dyDescent="0.25">
      <c r="A19" s="155" t="str">
        <f>HYPERLINK("[OpenSolver Tester.xlsm]'MergedLHSMultiple_OK'!A1", "MergedLHSMultiple_OK")</f>
        <v>MergedLHSMultiple_OK</v>
      </c>
      <c r="B19" s="59" t="s">
        <v>332</v>
      </c>
      <c r="C19" s="59" t="s">
        <v>332</v>
      </c>
    </row>
    <row r="20" spans="1:3" x14ac:dyDescent="0.25">
      <c r="A20" s="155" t="str">
        <f>HYPERLINK("[OpenSolver Tester.xlsm]'BinIntOverlap'!A1", "BinIntOverlap")</f>
        <v>BinIntOverlap</v>
      </c>
      <c r="B20" s="59" t="s">
        <v>332</v>
      </c>
      <c r="C20" s="59" t="s">
        <v>332</v>
      </c>
    </row>
    <row r="21" spans="1:3" x14ac:dyDescent="0.25">
      <c r="A21" s="155" t="str">
        <f>HYPERLINK("[OpenSolver Tester.xlsm]'ConFormula'!A1", "ConFormula")</f>
        <v>ConFormula</v>
      </c>
      <c r="B21" s="59" t="s">
        <v>332</v>
      </c>
      <c r="C21" s="59" t="s">
        <v>332</v>
      </c>
    </row>
    <row r="22" spans="1:3" x14ac:dyDescent="0.25">
      <c r="A22" s="155" t="str">
        <f>HYPERLINK("[OpenSolver Tester.xlsm]'ConFormulaInf'!A1", "ConFormulaInf")</f>
        <v>ConFormulaInf</v>
      </c>
      <c r="B22" s="59" t="s">
        <v>332</v>
      </c>
      <c r="C22" s="59" t="s">
        <v>332</v>
      </c>
    </row>
    <row r="23" spans="1:3" x14ac:dyDescent="0.25">
      <c r="A23" s="155" t="str">
        <f>HYPERLINK("[OpenSolver Tester.xlsm]'BadName!'!A1", "BadName!")</f>
        <v>BadName!</v>
      </c>
      <c r="B23" s="59" t="s">
        <v>332</v>
      </c>
      <c r="C23" s="59" t="s">
        <v>332</v>
      </c>
    </row>
    <row r="24" spans="1:3" x14ac:dyDescent="0.25">
      <c r="A24" s="155" t="str">
        <f>HYPERLINK("[OpenSolver Tester.xlsm]'EscapeSheetName(1)+2-1'!A1", "EscapeSheetName(1)+2-1")</f>
        <v>EscapeSheetName(1)+2-1</v>
      </c>
      <c r="B24" s="59" t="s">
        <v>332</v>
      </c>
      <c r="C24" s="59" t="s">
        <v>332</v>
      </c>
    </row>
    <row r="25" spans="1:3" x14ac:dyDescent="0.25">
      <c r="A25" s="155" t="str">
        <f>HYPERLINK("[OpenSolver Tester.xlsm]'DeletedConRef'!A1", "DeletedConRef")</f>
        <v>DeletedConRef</v>
      </c>
      <c r="B25" s="59" t="s">
        <v>332</v>
      </c>
      <c r="C25" s="59" t="s">
        <v>332</v>
      </c>
    </row>
    <row r="26" spans="1:3" x14ac:dyDescent="0.25">
      <c r="A26" s="155" t="str">
        <f>HYPERLINK("[OpenSolver Tester.xlsm]'DeletedObjRef'!A1", "DeletedObjRef")</f>
        <v>DeletedObjRef</v>
      </c>
      <c r="B26" s="59" t="s">
        <v>332</v>
      </c>
      <c r="C26" s="59" t="s">
        <v>332</v>
      </c>
    </row>
    <row r="27" spans="1:3" x14ac:dyDescent="0.25">
      <c r="A27" s="155" t="str">
        <f>HYPERLINK("[OpenSolver Tester.xlsm]'InfConstConstraint'!A1", "InfConstConstraint")</f>
        <v>InfConstConstraint</v>
      </c>
      <c r="B27" s="59" t="s">
        <v>332</v>
      </c>
      <c r="C27" s="59" t="s">
        <v>332</v>
      </c>
    </row>
    <row r="28" spans="1:3" x14ac:dyDescent="0.25">
      <c r="A28" s="155" t="str">
        <f>HYPERLINK("[OpenSolver Tester.xlsm]'FeasConstConstraint'!A1", "FeasConstConstraint")</f>
        <v>FeasConstConstraint</v>
      </c>
      <c r="B28" s="59" t="s">
        <v>332</v>
      </c>
      <c r="C28" s="59" t="s">
        <v>332</v>
      </c>
    </row>
    <row r="29" spans="1:3" x14ac:dyDescent="0.25">
      <c r="A29" s="155" t="str">
        <f>HYPERLINK("[OpenSolver Tester.xlsm]'Unbounded'!A1", "Unbounded")</f>
        <v>Unbounded</v>
      </c>
      <c r="B29" s="59" t="s">
        <v>332</v>
      </c>
      <c r="C29" s="59" t="s">
        <v>332</v>
      </c>
    </row>
    <row r="30" spans="1:3" x14ac:dyDescent="0.25">
      <c r="A30" s="155" t="str">
        <f>HYPERLINK("[OpenSolver Tester.xlsm]'ProtectedSheet'!A1", "ProtectedSheet")</f>
        <v>ProtectedSheet</v>
      </c>
      <c r="B30" s="59" t="s">
        <v>332</v>
      </c>
      <c r="C30" s="59" t="s">
        <v>332</v>
      </c>
    </row>
    <row r="31" spans="1:3" x14ac:dyDescent="0.25">
      <c r="A31" s="155" t="str">
        <f>HYPERLINK("[OpenSolver Tester.xlsm]'IndirectLBs'!A1", "IndirectLBs")</f>
        <v>IndirectLBs</v>
      </c>
      <c r="B31" s="59" t="s">
        <v>332</v>
      </c>
      <c r="C31" s="59" t="s">
        <v>332</v>
      </c>
    </row>
    <row r="32" spans="1:3" x14ac:dyDescent="0.25">
      <c r="A32" s="155" t="str">
        <f>HYPERLINK("[OpenSolver Tester.xlsm]'DirectLBs'!A1", "DirectLBs")</f>
        <v>DirectLBs</v>
      </c>
      <c r="B32" s="59" t="s">
        <v>332</v>
      </c>
      <c r="C32" s="59" t="s">
        <v>332</v>
      </c>
    </row>
    <row r="33" spans="1:7" x14ac:dyDescent="0.25">
      <c r="A33" s="155" t="str">
        <f>HYPERLINK("[OpenSolver Tester.xlsm]'SingleRangeLB'!A1", "SingleRangeLB")</f>
        <v>SingleRangeLB</v>
      </c>
      <c r="B33" s="59" t="s">
        <v>332</v>
      </c>
      <c r="C33" s="59" t="s">
        <v>332</v>
      </c>
    </row>
    <row r="34" spans="1:7" x14ac:dyDescent="0.25">
      <c r="A34" s="155" t="str">
        <f>HYPERLINK("[OpenSolver Tester.xlsm]'BinLB'!A1", "BinLB")</f>
        <v>BinLB</v>
      </c>
      <c r="B34" s="59" t="s">
        <v>332</v>
      </c>
      <c r="C34" s="59" t="s">
        <v>332</v>
      </c>
    </row>
    <row r="35" spans="1:7" x14ac:dyDescent="0.25">
      <c r="A35" s="155" t="str">
        <f>HYPERLINK("[OpenSolver Tester.xlsm]'BinIntLB'!A1", "BinIntLB")</f>
        <v>BinIntLB</v>
      </c>
      <c r="B35" s="59" t="s">
        <v>332</v>
      </c>
      <c r="C35" s="59" t="s">
        <v>332</v>
      </c>
    </row>
    <row r="36" spans="1:7" x14ac:dyDescent="0.25">
      <c r="A36" s="155" t="str">
        <f>HYPERLINK("[OpenSolver Tester.xlsm]'Relaxation'!A1", "Relaxation")</f>
        <v>Relaxation</v>
      </c>
      <c r="B36" s="59" t="s">
        <v>332</v>
      </c>
      <c r="C36" s="59" t="s">
        <v>332</v>
      </c>
      <c r="G36" s="165"/>
    </row>
    <row r="37" spans="1:7" x14ac:dyDescent="0.25">
      <c r="A37" s="155" t="str">
        <f>HYPERLINK("[OpenSolver Tester.xlsm]'LargeRangeLB'!A1", "LargeRangeLB")</f>
        <v>LargeRangeLB</v>
      </c>
      <c r="B37" s="59" t="s">
        <v>332</v>
      </c>
      <c r="C37" s="59" t="s">
        <v>332</v>
      </c>
      <c r="G37" s="165"/>
    </row>
    <row r="38" spans="1:7" x14ac:dyDescent="0.25">
      <c r="A38" s="155" t="str">
        <f>HYPERLINK("[OpenSolver Tester.xlsm]'OverlapRangeLB'!A1", "OverlapRangeLB")</f>
        <v>OverlapRangeLB</v>
      </c>
      <c r="B38" s="59" t="s">
        <v>332</v>
      </c>
      <c r="C38" s="162" t="s">
        <v>332</v>
      </c>
    </row>
    <row r="39" spans="1:7" x14ac:dyDescent="0.25">
      <c r="A39" s="155" t="str">
        <f>HYPERLINK("[OpenSolver Tester.xlsm]'OverlapRangeLBwithFormula'!A1", "OverlapRangeLBwithFormula")</f>
        <v>OverlapRangeLBwithFormula</v>
      </c>
      <c r="B39" s="59" t="s">
        <v>332</v>
      </c>
      <c r="C39" s="59" t="s">
        <v>332</v>
      </c>
    </row>
    <row r="40" spans="1:7" x14ac:dyDescent="0.25">
      <c r="A40" s="155" t="str">
        <f>HYPERLINK("[OpenSolver Tester.xlsm]'ConstFormulaRangeLB'!A1", "ConstFormulaRangeLB")</f>
        <v>ConstFormulaRangeLB</v>
      </c>
      <c r="B40" s="59" t="s">
        <v>332</v>
      </c>
      <c r="C40" s="59" t="s">
        <v>332</v>
      </c>
    </row>
    <row r="41" spans="1:7" x14ac:dyDescent="0.25">
      <c r="A41" s="155" t="str">
        <f>HYPERLINK("[OpenSolver Tester.xlsm]'VariableFormulaRangeLB'!A1", "VariableFormulaRangeLB")</f>
        <v>VariableFormulaRangeLB</v>
      </c>
      <c r="B41" s="59" t="s">
        <v>332</v>
      </c>
      <c r="C41" s="59" t="s">
        <v>332</v>
      </c>
    </row>
    <row r="42" spans="1:7" x14ac:dyDescent="0.25">
      <c r="A42" s="155" t="str">
        <f>HYPERLINK("[OpenSolver Tester.xlsm]'ConstraintLB'!A1", "ConstraintLB")</f>
        <v>ConstraintLB</v>
      </c>
      <c r="B42" s="59" t="s">
        <v>332</v>
      </c>
      <c r="C42" s="59" t="s">
        <v>332</v>
      </c>
    </row>
    <row r="43" spans="1:7" x14ac:dyDescent="0.25">
      <c r="A43" s="155" t="str">
        <f>HYPERLINK("[OpenSolver Tester.xlsm]'ConstantLB'!A1", "ConstantLB")</f>
        <v>ConstantLB</v>
      </c>
      <c r="B43" s="59" t="s">
        <v>332</v>
      </c>
      <c r="C43" s="59" t="s">
        <v>332</v>
      </c>
    </row>
    <row r="44" spans="1:7" x14ac:dyDescent="0.25">
      <c r="A44" s="155" t="str">
        <f>HYPERLINK("[OpenSolver Tester.xlsm]'FormulaLB'!A1", "FormulaLB")</f>
        <v>FormulaLB</v>
      </c>
      <c r="B44" s="59" t="s">
        <v>332</v>
      </c>
      <c r="C44" s="59" t="s">
        <v>332</v>
      </c>
    </row>
    <row r="45" spans="1:7" x14ac:dyDescent="0.25">
      <c r="A45" s="155" t="str">
        <f>HYPERLINK("[OpenSolver Tester.xlsm]'VarConstraintLB'!A1", "VarConstraintLB")</f>
        <v>VarConstraintLB</v>
      </c>
      <c r="B45" s="59" t="s">
        <v>332</v>
      </c>
      <c r="C45" s="59" t="s">
        <v>332</v>
      </c>
    </row>
    <row r="46" spans="1:7" x14ac:dyDescent="0.25">
      <c r="A46" s="155" t="str">
        <f>HYPERLINK("[OpenSolver Tester.xlsm]'FractionalCoeffs'!A1", "FractionalCoeffs")</f>
        <v>FractionalCoeffs</v>
      </c>
      <c r="B46" s="59" t="s">
        <v>332</v>
      </c>
      <c r="C46" s="59" t="s">
        <v>332</v>
      </c>
    </row>
    <row r="47" spans="1:7" x14ac:dyDescent="0.25">
      <c r="A47" s="155" t="str">
        <f>HYPERLINK("[OpenSolver Tester.xlsm]'ComplexLayout'!A1", "ComplexLayout")</f>
        <v>ComplexLayout</v>
      </c>
      <c r="B47" s="59" t="s">
        <v>332</v>
      </c>
      <c r="C47" s="59" t="s">
        <v>332</v>
      </c>
    </row>
    <row r="48" spans="1:7" x14ac:dyDescent="0.25">
      <c r="A48" s="155" t="str">
        <f>HYPERLINK("[OpenSolver Tester.xlsm]'InfModel'!A1", "InfModel")</f>
        <v>InfModel</v>
      </c>
      <c r="B48" s="59" t="s">
        <v>332</v>
      </c>
      <c r="C48" s="59" t="s">
        <v>332</v>
      </c>
    </row>
    <row r="49" spans="1:3" x14ac:dyDescent="0.25">
      <c r="A49" s="155" t="str">
        <f>HYPERLINK("[OpenSolver Tester.xlsm]'IterativeCalc'!A1", "IterativeCalc")</f>
        <v>IterativeCalc</v>
      </c>
      <c r="B49" s="59" t="s">
        <v>332</v>
      </c>
      <c r="C49" s="59" t="s">
        <v>332</v>
      </c>
    </row>
    <row r="50" spans="1:3" x14ac:dyDescent="0.25">
      <c r="A50" s="155" t="str">
        <f>HYPERLINK("[OpenSolver Tester.xlsm]'NoObj'!A1", "NoObj")</f>
        <v>NoObj</v>
      </c>
      <c r="B50" s="59" t="s">
        <v>332</v>
      </c>
      <c r="C50" s="59" t="s">
        <v>332</v>
      </c>
    </row>
    <row r="51" spans="1:3" x14ac:dyDescent="0.25">
      <c r="A51" s="155" t="str">
        <f>HYPERLINK("[OpenSolver Tester.xlsm]'SeekObj'!A1", "SeekObj")</f>
        <v>SeekObj</v>
      </c>
      <c r="B51" s="59" t="s">
        <v>332</v>
      </c>
      <c r="C51" s="59" t="s">
        <v>332</v>
      </c>
    </row>
    <row r="52" spans="1:3" x14ac:dyDescent="0.25">
      <c r="A52" s="155" t="str">
        <f>HYPERLINK("[OpenSolver Tester.xlsm]'SeekObjInf'!A1", "SeekObjInf")</f>
        <v>SeekObjInf</v>
      </c>
      <c r="B52" s="59" t="s">
        <v>332</v>
      </c>
      <c r="C52" s="59" t="s">
        <v>332</v>
      </c>
    </row>
    <row r="53" spans="1:3" x14ac:dyDescent="0.25">
      <c r="A53" s="155" t="str">
        <f>HYPERLINK("[OpenSolver Tester.xlsm]'DiffSheetObj'!A1", "DiffSheetObj")</f>
        <v>DiffSheetObj</v>
      </c>
      <c r="B53" s="59" t="s">
        <v>332</v>
      </c>
      <c r="C53" s="59" t="s">
        <v>332</v>
      </c>
    </row>
    <row r="54" spans="1:3" x14ac:dyDescent="0.25">
      <c r="A54" s="155" t="str">
        <f>HYPERLINK("[OpenSolver Tester.xlsm]'NamedRanges'!A1", "NamedRanges")</f>
        <v>NamedRanges</v>
      </c>
      <c r="B54" s="59" t="s">
        <v>332</v>
      </c>
      <c r="C54" s="59" t="s">
        <v>332</v>
      </c>
    </row>
    <row r="55" spans="1:3" x14ac:dyDescent="0.25">
      <c r="A55" s="155" t="str">
        <f>HYPERLINK("[OpenSolver Tester.xlsm]'QuickSolve'!A1", "QuickSolve")</f>
        <v>QuickSolve</v>
      </c>
      <c r="B55" s="59" t="s">
        <v>332</v>
      </c>
      <c r="C55" s="59" t="s">
        <v>332</v>
      </c>
    </row>
    <row r="56" spans="1:3" x14ac:dyDescent="0.25">
      <c r="A56" s="155" t="str">
        <f>HYPERLINK("[OpenSolver Tester.xlsm]'SolverParameters'!A1", "SolverParameters")</f>
        <v>SolverParameters</v>
      </c>
      <c r="B56" s="59" t="s">
        <v>332</v>
      </c>
      <c r="C56" s="59" t="s">
        <v>332</v>
      </c>
    </row>
    <row r="57" spans="1:3" x14ac:dyDescent="0.25">
      <c r="A57" s="155" t="str">
        <f>HYPERLINK("[OpenSolver Tester.xlsm]'Warmstart'!A1", "Warmstart")</f>
        <v>Warmstart</v>
      </c>
      <c r="B57" s="59" t="s">
        <v>419</v>
      </c>
      <c r="C57" s="59" t="s">
        <v>332</v>
      </c>
    </row>
    <row r="58" spans="1:3" x14ac:dyDescent="0.25">
      <c r="A58" s="155" t="str">
        <f>HYPERLINK("[OpenSolver Tester.xlsm]'Sensitivity'!A1", "Sensitivity")</f>
        <v>Sensitivity</v>
      </c>
      <c r="B58" s="59" t="s">
        <v>332</v>
      </c>
      <c r="C58" s="59" t="s">
        <v>332</v>
      </c>
    </row>
    <row r="59" spans="1:3" x14ac:dyDescent="0.25">
      <c r="A59" s="155" t="str">
        <f>HYPERLINK("[OpenSolver Tester.xlsm]'SensitivityNames'!A1", "SensitivityNames")</f>
        <v>SensitivityNames</v>
      </c>
      <c r="B59" s="59" t="s">
        <v>332</v>
      </c>
      <c r="C59" s="59" t="s">
        <v>332</v>
      </c>
    </row>
    <row r="60" spans="1:3" x14ac:dyDescent="0.25">
      <c r="A60" s="155" t="str">
        <f>HYPERLINK("[OpenSolver Tester.xlsm]'NonLinSimple'!A1", "NonLinSimple")</f>
        <v>NonLinSimple</v>
      </c>
      <c r="B60" s="59" t="s">
        <v>332</v>
      </c>
      <c r="C60" s="59" t="s">
        <v>332</v>
      </c>
    </row>
    <row r="61" spans="1:3" x14ac:dyDescent="0.25">
      <c r="A61" s="155" t="str">
        <f>HYPERLINK("[OpenSolver Tester.xlsm]'NonLinLarge'!A1", "NonLinLarge")</f>
        <v>NonLinLarge</v>
      </c>
      <c r="B61" s="59" t="s">
        <v>332</v>
      </c>
      <c r="C61" s="59" t="s">
        <v>332</v>
      </c>
    </row>
    <row r="62" spans="1:3" x14ac:dyDescent="0.25">
      <c r="A62" s="155" t="str">
        <f>HYPERLINK("[OpenSolver Tester.xlsm]'NonLinObj'!A1", "NonLinObj")</f>
        <v>NonLinObj</v>
      </c>
      <c r="B62" s="59" t="s">
        <v>332</v>
      </c>
      <c r="C62" s="59" t="s">
        <v>332</v>
      </c>
    </row>
    <row r="63" spans="1:3" x14ac:dyDescent="0.25">
      <c r="A63" s="155" t="str">
        <f>HYPERLINK("[OpenSolver Tester.xlsm]'NonLinPruning'!A1", "NonLinPruning")</f>
        <v>NonLinPruning</v>
      </c>
      <c r="B63" s="59" t="s">
        <v>332</v>
      </c>
      <c r="C63" s="59" t="s">
        <v>332</v>
      </c>
    </row>
    <row r="64" spans="1:3" x14ac:dyDescent="0.25">
      <c r="A64" s="155" t="str">
        <f>HYPERLINK("[OpenSolver Tester.xlsm]'NonLinMinMax'!A1", "NonLinMinMax")</f>
        <v>NonLinMinMax</v>
      </c>
      <c r="B64" s="59" t="s">
        <v>332</v>
      </c>
      <c r="C64" s="59" t="s">
        <v>332</v>
      </c>
    </row>
    <row r="65" spans="1:8" x14ac:dyDescent="0.25">
      <c r="A65" s="155" t="str">
        <f>HYPERLINK("[OpenSolver Tester.xlsm]'NonLinConstraints'!A1", "NonLinConstraints")</f>
        <v>NonLinConstraints</v>
      </c>
      <c r="B65" s="59" t="s">
        <v>332</v>
      </c>
      <c r="C65" s="59" t="s">
        <v>332</v>
      </c>
      <c r="H65" s="165"/>
    </row>
    <row r="66" spans="1:8" x14ac:dyDescent="0.25">
      <c r="A66" s="155" t="str">
        <f>HYPERLINK("[OpenSolver Tester.xlsm]'NonLinBinary'!A1", "NonLinBinary")</f>
        <v>NonLinBinary</v>
      </c>
      <c r="B66" s="59" t="s">
        <v>332</v>
      </c>
      <c r="C66" s="59" t="s">
        <v>332</v>
      </c>
      <c r="G66" s="163"/>
    </row>
    <row r="67" spans="1:8" x14ac:dyDescent="0.25">
      <c r="A67" s="155" t="str">
        <f>HYPERLINK("[OpenSolver Tester.xlsm]'NonLin'!A1", "NonLin")</f>
        <v>NonLin</v>
      </c>
      <c r="B67" s="59" t="s">
        <v>332</v>
      </c>
      <c r="C67" s="59" t="s">
        <v>332</v>
      </c>
    </row>
    <row r="68" spans="1:8" x14ac:dyDescent="0.25">
      <c r="A68" s="155" t="str">
        <f>HYPERLINK("[OpenSolver Tester.xlsm]'NonLin2'!A1", "NonLin2")</f>
        <v>NonLin2</v>
      </c>
      <c r="B68" s="59" t="s">
        <v>332</v>
      </c>
      <c r="C68" s="59" t="s">
        <v>332</v>
      </c>
    </row>
    <row r="69" spans="1:8" x14ac:dyDescent="0.25">
      <c r="A69" s="155" t="str">
        <f>HYPERLINK("[OpenSolver Tester.xlsm]'NonLin3'!A1", "NonLin3")</f>
        <v>NonLin3</v>
      </c>
      <c r="B69" s="59" t="s">
        <v>332</v>
      </c>
      <c r="C69" s="59" t="s">
        <v>332</v>
      </c>
    </row>
    <row r="70" spans="1:8" x14ac:dyDescent="0.25">
      <c r="A70" s="155" t="str">
        <f>HYPERLINK("[OpenSolver Tester.xlsm]'NonLin4'!A1", "NonLin4")</f>
        <v>NonLin4</v>
      </c>
      <c r="B70" s="59" t="s">
        <v>332</v>
      </c>
      <c r="C70" s="59" t="s">
        <v>332</v>
      </c>
    </row>
    <row r="71" spans="1:8" x14ac:dyDescent="0.25">
      <c r="A71" s="155" t="str">
        <f>HYPERLINK("[OpenSolver Tester.xlsm]'NonLin5'!A1", "NonLin5")</f>
        <v>NonLin5</v>
      </c>
      <c r="B71" s="59" t="s">
        <v>332</v>
      </c>
      <c r="C71" s="59" t="s">
        <v>332</v>
      </c>
    </row>
    <row r="72" spans="1:8" x14ac:dyDescent="0.25">
      <c r="A72" s="155" t="str">
        <f>HYPERLINK("[OpenSolver Tester.xlsm]'NonLin6'!A1", "NonLin6")</f>
        <v>NonLin6</v>
      </c>
      <c r="B72" s="59" t="s">
        <v>332</v>
      </c>
      <c r="C72" s="59" t="s">
        <v>332</v>
      </c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tabSelected="1" workbookViewId="0">
      <selection activeCell="S11" sqref="S1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5.2941176470588234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IP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9" customWidth="1"/>
    <col min="4" max="4" width="13.75" style="170" customWidth="1"/>
    <col min="5" max="5" width="13" style="170" customWidth="1"/>
    <col min="6" max="6" width="5.125" style="170" customWidth="1"/>
    <col min="7" max="7" width="3.125" style="170" customWidth="1"/>
    <col min="8" max="8" width="8.375" style="170" customWidth="1"/>
    <col min="9" max="9" width="3" style="170" bestFit="1" customWidth="1"/>
    <col min="10" max="10" width="6" style="170" customWidth="1"/>
    <col min="14" max="14" width="7.75" customWidth="1"/>
  </cols>
  <sheetData>
    <row r="1" spans="1:10" x14ac:dyDescent="0.25">
      <c r="A1" s="62" t="s">
        <v>203</v>
      </c>
      <c r="D1" s="18" t="s">
        <v>350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SUMPRODUCT(C5:C7,E5:E7)</f>
        <v>5</v>
      </c>
      <c r="E10" s="176">
        <f>SUMPRODUCT(D5:D7,E5:E7)</f>
        <v>7</v>
      </c>
    </row>
    <row r="15" spans="1:10" x14ac:dyDescent="0.25">
      <c r="C15" s="17" t="s">
        <v>15</v>
      </c>
    </row>
    <row r="16" spans="1:10" x14ac:dyDescent="0.25">
      <c r="D16" s="170">
        <v>0</v>
      </c>
      <c r="E16" s="170">
        <v>1</v>
      </c>
      <c r="F16" s="170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0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P_SUMIF"/>
  <dimension ref="A1:J21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9" customWidth="1"/>
    <col min="4" max="4" width="13.75" style="178" customWidth="1"/>
    <col min="5" max="5" width="13" style="178" customWidth="1"/>
    <col min="6" max="6" width="5.125" style="178" customWidth="1"/>
    <col min="7" max="7" width="3.125" style="178" customWidth="1"/>
    <col min="8" max="8" width="8.375" style="178" customWidth="1"/>
    <col min="9" max="9" width="3" style="178" bestFit="1" customWidth="1"/>
    <col min="10" max="10" width="6" style="178" customWidth="1"/>
    <col min="14" max="14" width="7.75" customWidth="1"/>
  </cols>
  <sheetData>
    <row r="1" spans="1:10" x14ac:dyDescent="0.25">
      <c r="A1" s="62" t="s">
        <v>203</v>
      </c>
      <c r="D1" s="18" t="s">
        <v>406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SUMIF(E5:E7,"=1",C5:C7)</f>
        <v>5</v>
      </c>
      <c r="E10" s="176">
        <f>SUMIF(E5:E7,"=1",D5:D7)</f>
        <v>7</v>
      </c>
    </row>
    <row r="15" spans="1:10" x14ac:dyDescent="0.25">
      <c r="C15" s="17" t="s">
        <v>15</v>
      </c>
    </row>
    <row r="16" spans="1:10" x14ac:dyDescent="0.25">
      <c r="D16" s="178">
        <v>0</v>
      </c>
      <c r="E16" s="178">
        <v>1</v>
      </c>
      <c r="F16" s="178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8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W13" sqref="W13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86">
        <v>5.2941175999999999</v>
      </c>
      <c r="F5" s="186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86">
        <v>5.2941176470588234</v>
      </c>
      <c r="F5" s="186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86">
        <v>2</v>
      </c>
      <c r="D5" s="186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10.375" style="1" customWidth="1"/>
    <col min="5" max="5" width="5.125" style="1" customWidth="1"/>
    <col min="6" max="6" width="7.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86">
        <v>150</v>
      </c>
      <c r="K10" s="186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2" max="12" width="13.75" bestFit="1" customWidth="1"/>
    <col min="14" max="14" width="7.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86">
        <f>SUMPRODUCT($D$5:$F$5,D10:F10)</f>
        <v>116.47058823529412</v>
      </c>
      <c r="H10" s="186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2" max="12" width="13.75" bestFit="1" customWidth="1"/>
    <col min="14" max="14" width="7.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10.423</v>
      </c>
      <c r="E5" s="1">
        <v>10.423</v>
      </c>
      <c r="F5" s="1">
        <v>10.423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52.114999999999995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218.88300000000001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87">
        <v>5</v>
      </c>
      <c r="H10" s="187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7"/>
      <c r="H11" s="187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552.41899999999998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10.125" style="1" customWidth="1"/>
    <col min="5" max="6" width="5.125" style="1" customWidth="1"/>
    <col min="7" max="7" width="8.375" style="1" customWidth="1"/>
    <col min="8" max="8" width="3.125" style="1" customWidth="1"/>
    <col min="9" max="9" width="8.375" style="1" customWidth="1"/>
    <col min="10" max="10" width="3" style="1" bestFit="1" customWidth="1"/>
    <col min="11" max="11" width="17.875" style="1" customWidth="1"/>
    <col min="15" max="15" width="7.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7" width="5.125" style="1" customWidth="1"/>
    <col min="8" max="8" width="3.125" style="1" customWidth="1"/>
    <col min="9" max="9" width="23.875" style="16" customWidth="1"/>
    <col min="10" max="10" width="3" style="1" bestFit="1" customWidth="1"/>
    <col min="11" max="11" width="6" style="1" customWidth="1"/>
    <col min="13" max="13" width="3.125" bestFit="1" customWidth="1"/>
    <col min="14" max="14" width="7.75" customWidth="1"/>
    <col min="17" max="17" width="6.1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8.3970688204158748</v>
      </c>
      <c r="Q4" s="145">
        <v>0</v>
      </c>
      <c r="R4" s="10">
        <v>11.000000000000011</v>
      </c>
      <c r="S4" s="9">
        <f>SUM(Q4:R4)</f>
        <v>11.000000000000011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0.29565217391304449</v>
      </c>
      <c r="J5"/>
      <c r="K5"/>
      <c r="M5" t="s">
        <v>20</v>
      </c>
      <c r="N5">
        <v>0</v>
      </c>
      <c r="Q5" s="4">
        <v>44</v>
      </c>
      <c r="R5" s="5">
        <v>21.999999999999989</v>
      </c>
      <c r="S5" s="4">
        <f>SUM(Q5:R5)</f>
        <v>65.999999999999986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721.43095279773161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14.547826086956533</v>
      </c>
      <c r="J9" s="1" t="s">
        <v>8</v>
      </c>
      <c r="K9" s="1">
        <f>61.2345678+2.3*N4-S5</f>
        <v>14.547826086956533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28.800000000000022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115.19999999999997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-9.4608695652174237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28.799999999999994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7" width="5.125" style="1" customWidth="1"/>
    <col min="8" max="8" width="3.125" style="1" customWidth="1"/>
    <col min="9" max="9" width="17.375" style="16" customWidth="1"/>
    <col min="10" max="10" width="3" style="1" bestFit="1" customWidth="1"/>
    <col min="11" max="11" width="16.375" style="1" customWidth="1"/>
    <col min="13" max="13" width="3.125" bestFit="1" customWidth="1"/>
    <col min="14" max="14" width="7.75" customWidth="1"/>
    <col min="17" max="17" width="6.1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10.423</v>
      </c>
      <c r="Q4" s="145">
        <v>10.423</v>
      </c>
      <c r="R4" s="10">
        <v>10.423</v>
      </c>
      <c r="S4" s="9">
        <f>SUM(Q4:R4)</f>
        <v>20.846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10.423</v>
      </c>
      <c r="E5" s="1">
        <v>0</v>
      </c>
      <c r="F5" s="1">
        <v>0</v>
      </c>
      <c r="G5" s="1">
        <v>10.423</v>
      </c>
      <c r="J5"/>
      <c r="K5"/>
      <c r="M5" t="s">
        <v>20</v>
      </c>
      <c r="N5">
        <v>10.423</v>
      </c>
      <c r="Q5" s="4">
        <v>10.423</v>
      </c>
      <c r="R5" s="5">
        <v>10.423</v>
      </c>
      <c r="S5" s="4">
        <f>SUM(Q5:R5)</f>
        <v>20.846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20.846</v>
      </c>
      <c r="R6" s="10">
        <f>SUM(R4:R5)</f>
        <v>20.846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605.78476000000001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229.30599999999998</v>
      </c>
      <c r="J9" s="1" t="s">
        <v>8</v>
      </c>
      <c r="K9" s="1">
        <f>61.2345678+2.3*N4-S5</f>
        <v>64.3614678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458.61200000000002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-239.72900000000001</v>
      </c>
      <c r="Q11" t="s">
        <v>22</v>
      </c>
    </row>
    <row r="12" spans="1:21" x14ac:dyDescent="0.25">
      <c r="G12" s="1">
        <v>-32</v>
      </c>
      <c r="I12" s="16">
        <f>SUMPRODUCT($D$5:$G$5,D12:G12)</f>
        <v>-333.536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0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N22"/>
  <sheetViews>
    <sheetView zoomScaleNormal="100"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4" x14ac:dyDescent="0.25">
      <c r="A1" s="62" t="s">
        <v>203</v>
      </c>
      <c r="C1" t="s">
        <v>32</v>
      </c>
    </row>
    <row r="2" spans="1:14" ht="15.75" thickBot="1" x14ac:dyDescent="0.3">
      <c r="A2" s="63" t="s">
        <v>204</v>
      </c>
      <c r="C2" t="s">
        <v>420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4" x14ac:dyDescent="0.25">
      <c r="A5" s="62" t="s">
        <v>209</v>
      </c>
      <c r="D5" s="1">
        <v>5.2380952380952381</v>
      </c>
      <c r="E5" s="1">
        <v>0</v>
      </c>
      <c r="F5" s="1">
        <v>0</v>
      </c>
      <c r="H5"/>
      <c r="I5"/>
      <c r="J5"/>
    </row>
    <row r="6" spans="1:14" ht="15.75" thickBot="1" x14ac:dyDescent="0.3">
      <c r="A6" s="63" t="b">
        <f>AND(D18:F18,D22)</f>
        <v>1</v>
      </c>
    </row>
    <row r="7" spans="1:14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10.476190476190476</v>
      </c>
    </row>
    <row r="8" spans="1:14" x14ac:dyDescent="0.25">
      <c r="A8" s="64" t="str">
        <f ca="1">IF(VALUE(INFO("RELEASE"))&gt;=16,"Optimal", "ErrorOccurred")</f>
        <v>Optimal</v>
      </c>
    </row>
    <row r="9" spans="1:14" ht="15.75" thickBot="1" x14ac:dyDescent="0.3">
      <c r="A9" s="63">
        <f ca="1">VLOOKUP(A8,OpenSolverResultCodes,2,FALSE)</f>
        <v>0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52.38095238095238</v>
      </c>
      <c r="I9" s="1" t="s">
        <v>8</v>
      </c>
      <c r="J9" s="1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110</v>
      </c>
      <c r="I10" s="1" t="s">
        <v>8</v>
      </c>
      <c r="J10" s="1">
        <v>150</v>
      </c>
      <c r="N10" t="str">
        <f ca="1">INFO("RELEASE")</f>
        <v>16.0</v>
      </c>
    </row>
    <row r="11" spans="1:14" x14ac:dyDescent="0.25">
      <c r="D11" s="1">
        <v>21</v>
      </c>
      <c r="E11" s="1">
        <v>22</v>
      </c>
      <c r="F11" s="1">
        <v>-23</v>
      </c>
      <c r="H11" s="1">
        <f>SUMPRODUCT($D$5:$F$5,D11:F11)</f>
        <v>110</v>
      </c>
      <c r="I11" s="1" t="s">
        <v>9</v>
      </c>
      <c r="J11" s="1">
        <v>110</v>
      </c>
    </row>
    <row r="12" spans="1:14" x14ac:dyDescent="0.25">
      <c r="D12" s="1">
        <v>19</v>
      </c>
      <c r="E12" s="1">
        <v>34</v>
      </c>
      <c r="F12" s="1">
        <v>-32</v>
      </c>
      <c r="H12" s="1">
        <f>SUMPRODUCT($D$5:$F$5,D12:F12)</f>
        <v>99.523809523809518</v>
      </c>
      <c r="I12" s="1" t="s">
        <v>8</v>
      </c>
      <c r="J12" s="1">
        <v>180</v>
      </c>
    </row>
    <row r="16" spans="1:14" x14ac:dyDescent="0.25">
      <c r="C16" s="17" t="s">
        <v>15</v>
      </c>
    </row>
    <row r="17" spans="1:9" x14ac:dyDescent="0.25">
      <c r="D17" s="1">
        <v>5.2380952380952372</v>
      </c>
      <c r="E17" s="1">
        <v>0</v>
      </c>
      <c r="F17" s="1">
        <v>0</v>
      </c>
    </row>
    <row r="18" spans="1:9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I18" s="1" t="str">
        <f ca="1">INFO("RELEASE")</f>
        <v>16.0</v>
      </c>
    </row>
    <row r="20" spans="1:9" s="1" customFormat="1" x14ac:dyDescent="0.25">
      <c r="A20" s="60"/>
      <c r="C20" s="17" t="s">
        <v>16</v>
      </c>
    </row>
    <row r="21" spans="1:9" s="1" customFormat="1" x14ac:dyDescent="0.25">
      <c r="A21" s="60"/>
      <c r="C21"/>
      <c r="D21" s="1">
        <v>10.476190476190474</v>
      </c>
    </row>
    <row r="22" spans="1:9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errorStyle="warning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4.875" customWidth="1"/>
    <col min="4" max="4" width="7.75" style="151" customWidth="1"/>
    <col min="5" max="6" width="5.125" style="151" customWidth="1"/>
    <col min="7" max="7" width="3.125" style="151" customWidth="1"/>
    <col min="8" max="8" width="8.375" style="151" customWidth="1"/>
    <col min="9" max="9" width="3" style="151" bestFit="1" customWidth="1"/>
    <col min="10" max="10" width="6" style="151" customWidth="1"/>
    <col min="14" max="14" width="7.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5.2941176470588234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58.235294117647058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116.47058823529412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116.47058823529412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180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16.8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16.8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8" width="5.125" style="1" customWidth="1"/>
    <col min="9" max="9" width="3.125" style="1" customWidth="1"/>
    <col min="10" max="10" width="8.375" style="1" customWidth="1"/>
    <col min="11" max="11" width="3" style="1" bestFit="1" customWidth="1"/>
    <col min="12" max="12" width="6" style="1" customWidth="1"/>
    <col min="16" max="16" width="7.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10.423</v>
      </c>
      <c r="E4" s="1">
        <v>10.423</v>
      </c>
      <c r="F4" s="1">
        <v>10.423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113.80699999999999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403.959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802.91800000000001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708.46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54" customWidth="1"/>
    <col min="5" max="8" width="5.125" style="54" customWidth="1"/>
    <col min="9" max="9" width="3.125" style="54" customWidth="1"/>
    <col min="10" max="10" width="8.375" style="54" customWidth="1"/>
    <col min="11" max="11" width="3" style="54" bestFit="1" customWidth="1"/>
    <col min="12" max="12" width="6" style="54" customWidth="1"/>
    <col min="16" max="16" width="7.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4.875" customWidth="1"/>
    <col min="4" max="4" width="7.75" style="167" customWidth="1"/>
    <col min="5" max="6" width="5.125" style="167" customWidth="1"/>
    <col min="7" max="7" width="3.125" style="167" customWidth="1"/>
    <col min="8" max="8" width="8.375" style="167" customWidth="1"/>
    <col min="9" max="9" width="3" style="167" bestFit="1" customWidth="1"/>
    <col min="10" max="10" width="6" style="167" customWidth="1"/>
    <col min="14" max="14" width="7.75" customWidth="1"/>
  </cols>
  <sheetData>
    <row r="1" spans="1:10" x14ac:dyDescent="0.25">
      <c r="A1" s="62" t="s">
        <v>203</v>
      </c>
      <c r="D1" s="18" t="s">
        <v>347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0</v>
      </c>
      <c r="E4" s="167">
        <v>0</v>
      </c>
      <c r="F4" s="16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0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0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0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J20" sqref="J20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topLeftCell="A3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bestFit="1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7.5294117647058822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14.588235294117645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42.82352941176471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81.64705882352942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10.12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5" width="7.25" style="54" customWidth="1"/>
    <col min="6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161" customWidth="1"/>
    <col min="5" max="5" width="7.25" style="161" customWidth="1"/>
    <col min="6" max="6" width="5.125" style="161" customWidth="1"/>
    <col min="7" max="7" width="3.125" style="161" customWidth="1"/>
    <col min="8" max="8" width="8.375" style="161" customWidth="1"/>
    <col min="9" max="9" width="3" style="161" bestFit="1" customWidth="1"/>
    <col min="10" max="10" width="6" style="161" customWidth="1"/>
    <col min="14" max="14" width="7.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84">
        <v>-1.9</v>
      </c>
      <c r="E5" s="161">
        <v>-1.9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-1.9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5.37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5.37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5.37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10.75" style="54" customWidth="1"/>
    <col min="5" max="5" width="9.125" style="54" customWidth="1"/>
    <col min="6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5" width="9.375" style="54" customWidth="1"/>
    <col min="6" max="6" width="8.37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25.12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1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</v>
      </c>
      <c r="E2">
        <v>100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9.375" style="1" customWidth="1"/>
    <col min="5" max="5" width="5.125" style="1" customWidth="1"/>
    <col min="6" max="6" width="7.375" style="1" customWidth="1"/>
    <col min="7" max="7" width="10.375" style="1" customWidth="1"/>
    <col min="8" max="8" width="3.125" style="1" customWidth="1"/>
    <col min="9" max="9" width="6.875" style="1" customWidth="1"/>
    <col min="10" max="10" width="3" style="1" bestFit="1" customWidth="1"/>
    <col min="11" max="11" width="6" style="1" customWidth="1"/>
    <col min="13" max="13" width="3.125" bestFit="1" customWidth="1"/>
    <col min="14" max="14" width="7.75" customWidth="1"/>
    <col min="17" max="17" width="6.1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6.8545356999999996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712.53567850000002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10.99999991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topLeftCell="A10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topLeftCell="A7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55" customWidth="1"/>
    <col min="5" max="6" width="5.125" style="55" customWidth="1"/>
    <col min="7" max="7" width="3.125" style="55" customWidth="1"/>
    <col min="8" max="8" width="8.375" style="55" customWidth="1"/>
    <col min="9" max="9" width="3" style="55" bestFit="1" customWidth="1"/>
    <col min="10" max="10" width="6" style="55" customWidth="1"/>
    <col min="14" max="14" width="8.37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5.2941176470588234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15.882352941176471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58.235294117647058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116.47058823529412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116.47058823529412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180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58" customWidth="1"/>
    <col min="5" max="6" width="5.125" style="58" customWidth="1"/>
    <col min="7" max="7" width="3.125" style="58" customWidth="1"/>
    <col min="8" max="8" width="8.375" style="58" customWidth="1"/>
    <col min="9" max="9" width="3" style="58" bestFit="1" customWidth="1"/>
    <col min="10" max="10" width="6" style="58" customWidth="1"/>
    <col min="14" max="14" width="8.37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</v>
      </c>
      <c r="E5" s="58">
        <v>5.2941176470588234</v>
      </c>
      <c r="F5" s="13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58.235294117647058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116.47058823529412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116.47058823529412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  <col min="14" max="14" width="10.75" customWidth="1"/>
    <col min="15" max="15" width="11.37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250.0000000000008</v>
      </c>
      <c r="E2">
        <v>100</v>
      </c>
      <c r="F2">
        <v>-7.9580786405131221E-13</v>
      </c>
      <c r="L2" t="s">
        <v>323</v>
      </c>
      <c r="M2">
        <v>0</v>
      </c>
      <c r="N2">
        <v>0</v>
      </c>
      <c r="O2">
        <v>166.66666666699999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100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49.999999999999766</v>
      </c>
      <c r="L4" t="s">
        <v>315</v>
      </c>
      <c r="M4">
        <v>0</v>
      </c>
      <c r="N4">
        <v>1E+100</v>
      </c>
      <c r="O4">
        <v>500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72.000000000000796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-500.00000000000239</v>
      </c>
      <c r="H8" t="s">
        <v>8</v>
      </c>
      <c r="I8">
        <v>0</v>
      </c>
      <c r="L8" t="s">
        <v>328</v>
      </c>
      <c r="M8">
        <v>0</v>
      </c>
      <c r="N8" s="80">
        <v>-0.10000000000000053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-7.9580786405131221E-13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0.25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-0.40000000000000036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349</v>
      </c>
    </row>
    <row r="17" spans="7:7" x14ac:dyDescent="0.25">
      <c r="G17">
        <f>SUMPRODUCT(DiffSheetObj!$D$2:$F$2,DiffSheetObj!D4:F4)</f>
        <v>50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Inf"/>
  <dimension ref="A1:O13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3" style="83" customWidth="1"/>
    <col min="14" max="14" width="10.75" customWidth="1"/>
    <col min="15" max="15" width="11.37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K1" t="s">
        <v>407</v>
      </c>
    </row>
    <row r="2" spans="1:15" ht="15.75" thickBot="1" x14ac:dyDescent="0.3">
      <c r="A2" s="63" t="s">
        <v>204</v>
      </c>
      <c r="D2">
        <v>10.423</v>
      </c>
      <c r="E2">
        <v>10.423</v>
      </c>
      <c r="F2" s="80">
        <v>10.423</v>
      </c>
    </row>
    <row r="3" spans="1:15" x14ac:dyDescent="0.25">
      <c r="A3" s="62" t="s">
        <v>208</v>
      </c>
    </row>
    <row r="4" spans="1:15" ht="15.75" thickBot="1" x14ac:dyDescent="0.3">
      <c r="A4" s="63" t="s">
        <v>206</v>
      </c>
      <c r="C4" t="s">
        <v>0</v>
      </c>
      <c r="D4">
        <v>0</v>
      </c>
      <c r="E4">
        <v>0</v>
      </c>
      <c r="F4">
        <v>0</v>
      </c>
      <c r="G4">
        <f>SUMPRODUCT($D$2:$F$2,D4:F4)</f>
        <v>0</v>
      </c>
    </row>
    <row r="5" spans="1:15" x14ac:dyDescent="0.25">
      <c r="A5" s="62" t="s">
        <v>209</v>
      </c>
      <c r="N5" s="80"/>
    </row>
    <row r="6" spans="1:15" ht="15.75" thickBot="1" x14ac:dyDescent="0.3">
      <c r="A6" s="63" t="b"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31.268999999999998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10.423</v>
      </c>
      <c r="H7" t="s">
        <v>9</v>
      </c>
      <c r="I7">
        <v>100</v>
      </c>
    </row>
    <row r="8" spans="1:15" x14ac:dyDescent="0.25">
      <c r="A8" s="64" t="s">
        <v>27</v>
      </c>
      <c r="D8">
        <v>-2</v>
      </c>
      <c r="F8">
        <v>1</v>
      </c>
      <c r="G8">
        <f>SUMPRODUCT($D$2:$F$2,D8:F8)</f>
        <v>-10.423</v>
      </c>
      <c r="H8" t="s">
        <v>8</v>
      </c>
      <c r="I8">
        <v>0</v>
      </c>
      <c r="N8" s="80"/>
      <c r="O8" s="80"/>
    </row>
    <row r="9" spans="1:15" ht="15.75" thickBot="1" x14ac:dyDescent="0.3">
      <c r="A9" s="63">
        <f>VLOOKUP(A8,OpenSolverResultCodes,2,FALSE)</f>
        <v>5</v>
      </c>
      <c r="F9">
        <v>1</v>
      </c>
      <c r="G9">
        <f>SUMPRODUCT($D$2:$F$2,D9:F9)</f>
        <v>10.423</v>
      </c>
      <c r="H9" t="s">
        <v>8</v>
      </c>
      <c r="I9">
        <v>72</v>
      </c>
      <c r="N9" s="80"/>
      <c r="O9" s="80"/>
    </row>
    <row r="10" spans="1:15" ht="15.75" thickBot="1" x14ac:dyDescent="0.3">
      <c r="A10" s="156" t="str">
        <f>HYPERLINK("[OpenSolver Tester.xlsm]Results!A1", "&lt;- Results")</f>
        <v>&lt;- Results</v>
      </c>
      <c r="N10" s="80"/>
      <c r="O10" s="80"/>
    </row>
    <row r="11" spans="1:15" x14ac:dyDescent="0.25">
      <c r="D11" s="179" t="s">
        <v>1</v>
      </c>
      <c r="E11" s="179" t="s">
        <v>2</v>
      </c>
      <c r="F11" s="179" t="s">
        <v>3</v>
      </c>
      <c r="G11" s="179" t="s">
        <v>230</v>
      </c>
    </row>
    <row r="12" spans="1:15" x14ac:dyDescent="0.25">
      <c r="D12" s="179">
        <v>250</v>
      </c>
      <c r="E12" s="179">
        <v>100</v>
      </c>
      <c r="F12" s="179">
        <v>0</v>
      </c>
      <c r="G12" s="179">
        <v>50</v>
      </c>
    </row>
    <row r="13" spans="1:15" x14ac:dyDescent="0.25">
      <c r="D13" s="8" t="b">
        <f>ABS(D2-D12)/(1+ABS(D12))&lt;=0.000001</f>
        <v>0</v>
      </c>
      <c r="E13" s="8" t="b">
        <f>ABS(E2-E12)/(1+ABS(E12))&lt;=0.000001</f>
        <v>0</v>
      </c>
      <c r="F13" s="8" t="b">
        <f>ABS(F2-F12)/(1+ABS(F12))&lt;=0.000001</f>
        <v>0</v>
      </c>
      <c r="G13" s="8" t="b">
        <f>ABS(G4-G12)/(1+ABS(G12))&lt;=0.000001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  <col min="14" max="14" width="10.75" customWidth="1"/>
    <col min="15" max="15" width="11.37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</v>
      </c>
      <c r="E2">
        <v>100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4.1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2" customWidth="1"/>
    <col min="4" max="4" width="7.3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12.380952380952381</v>
      </c>
      <c r="E4" s="1">
        <v>0</v>
      </c>
      <c r="F4" s="1">
        <v>10.869565217391305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68.240165631469978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4.2443064182194803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P33" sqref="P33"/>
    </sheetView>
  </sheetViews>
  <sheetFormatPr defaultColWidth="8.875" defaultRowHeight="15" x14ac:dyDescent="0.25"/>
  <cols>
    <col min="1" max="1" width="15" style="60" bestFit="1" customWidth="1"/>
    <col min="2" max="2" width="3" customWidth="1"/>
    <col min="3" max="3" width="13.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337</v>
      </c>
      <c r="I4" t="s">
        <v>339</v>
      </c>
      <c r="L4" t="s">
        <v>340</v>
      </c>
      <c r="O4" t="s">
        <v>343</v>
      </c>
      <c r="R4" t="s">
        <v>344</v>
      </c>
      <c r="U4" t="s">
        <v>342</v>
      </c>
      <c r="X4" t="s">
        <v>346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338</v>
      </c>
      <c r="G5">
        <v>9999999</v>
      </c>
      <c r="I5" t="s">
        <v>12</v>
      </c>
      <c r="J5">
        <v>0.21</v>
      </c>
      <c r="L5" t="s">
        <v>341</v>
      </c>
      <c r="M5">
        <v>1</v>
      </c>
      <c r="O5" t="s">
        <v>348</v>
      </c>
      <c r="P5">
        <v>1.0000000000000001E-5</v>
      </c>
      <c r="R5" t="s">
        <v>345</v>
      </c>
      <c r="S5">
        <v>1</v>
      </c>
      <c r="U5" t="s">
        <v>341</v>
      </c>
      <c r="V5">
        <v>1</v>
      </c>
      <c r="X5" t="s">
        <v>348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0</v>
      </c>
      <c r="E13" s="30">
        <v>0</v>
      </c>
      <c r="F13" s="30">
        <v>0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1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armstart"/>
  <dimension ref="A1:UH25"/>
  <sheetViews>
    <sheetView zoomScale="140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customWidth="1"/>
    <col min="3" max="3" width="9.375" style="83" customWidth="1"/>
    <col min="4" max="4" width="2.25" style="83" customWidth="1"/>
    <col min="5" max="550" width="2.125" style="83" customWidth="1"/>
    <col min="551" max="551" width="2.125" style="83" bestFit="1" customWidth="1"/>
    <col min="552" max="552" width="4.25" style="83" bestFit="1" customWidth="1"/>
    <col min="553" max="553" width="3.25" style="83" bestFit="1" customWidth="1"/>
    <col min="554" max="554" width="6.375" style="83" bestFit="1" customWidth="1"/>
    <col min="555" max="16384" width="8.875" style="83"/>
  </cols>
  <sheetData>
    <row r="1" spans="1:554" x14ac:dyDescent="0.25">
      <c r="A1" s="62" t="s">
        <v>203</v>
      </c>
      <c r="C1" s="86" t="s">
        <v>242</v>
      </c>
      <c r="D1" s="180">
        <v>1</v>
      </c>
      <c r="E1" s="180">
        <v>1</v>
      </c>
      <c r="F1" s="180">
        <v>1</v>
      </c>
      <c r="G1" s="180">
        <v>0</v>
      </c>
      <c r="H1" s="180">
        <v>0</v>
      </c>
      <c r="I1" s="180">
        <v>0</v>
      </c>
      <c r="J1" s="180">
        <v>1</v>
      </c>
      <c r="K1" s="180">
        <v>1</v>
      </c>
      <c r="L1" s="180">
        <v>0</v>
      </c>
      <c r="M1" s="180">
        <v>0</v>
      </c>
      <c r="N1" s="180">
        <v>1</v>
      </c>
      <c r="O1" s="180">
        <v>1</v>
      </c>
      <c r="P1" s="180">
        <v>1</v>
      </c>
      <c r="Q1" s="180">
        <v>1</v>
      </c>
      <c r="R1" s="180">
        <v>0</v>
      </c>
      <c r="S1" s="180">
        <v>1</v>
      </c>
      <c r="T1" s="180">
        <v>1</v>
      </c>
      <c r="U1" s="180">
        <v>1</v>
      </c>
      <c r="V1" s="180">
        <v>0</v>
      </c>
      <c r="W1" s="180">
        <v>0</v>
      </c>
      <c r="X1" s="180">
        <v>1</v>
      </c>
      <c r="Y1" s="180">
        <v>0</v>
      </c>
      <c r="Z1" s="180">
        <v>0</v>
      </c>
      <c r="AA1" s="180">
        <v>0</v>
      </c>
      <c r="AB1" s="180">
        <v>1</v>
      </c>
      <c r="AC1" s="180">
        <v>1</v>
      </c>
      <c r="AD1" s="180">
        <v>0</v>
      </c>
      <c r="AE1" s="180">
        <v>1</v>
      </c>
      <c r="AF1" s="180">
        <v>0</v>
      </c>
      <c r="AG1" s="180">
        <v>1</v>
      </c>
      <c r="AH1" s="180">
        <v>0</v>
      </c>
      <c r="AI1" s="180">
        <v>1</v>
      </c>
      <c r="AJ1" s="180">
        <v>1</v>
      </c>
      <c r="AK1" s="180">
        <v>0</v>
      </c>
      <c r="AL1" s="180">
        <v>1</v>
      </c>
      <c r="AM1" s="180">
        <v>1</v>
      </c>
      <c r="AN1" s="180">
        <v>1</v>
      </c>
      <c r="AO1" s="180">
        <v>1</v>
      </c>
      <c r="AP1" s="180">
        <v>0</v>
      </c>
      <c r="AQ1" s="180">
        <v>1</v>
      </c>
      <c r="AR1" s="180">
        <v>1</v>
      </c>
      <c r="AS1" s="180">
        <v>1</v>
      </c>
      <c r="AT1" s="180">
        <v>0</v>
      </c>
      <c r="AU1" s="180">
        <v>0</v>
      </c>
      <c r="AV1" s="180">
        <v>0</v>
      </c>
      <c r="AW1" s="180">
        <v>1</v>
      </c>
      <c r="AX1" s="180">
        <v>1</v>
      </c>
      <c r="AY1" s="180">
        <v>1</v>
      </c>
      <c r="AZ1" s="180">
        <v>0</v>
      </c>
      <c r="BA1" s="180">
        <v>0</v>
      </c>
      <c r="BB1" s="180">
        <v>1</v>
      </c>
      <c r="BC1" s="180">
        <v>1</v>
      </c>
      <c r="BD1" s="180">
        <v>0</v>
      </c>
      <c r="BE1" s="180">
        <v>1</v>
      </c>
      <c r="BF1" s="180">
        <v>1</v>
      </c>
      <c r="BG1" s="180">
        <v>0</v>
      </c>
      <c r="BH1" s="180">
        <v>1</v>
      </c>
      <c r="BI1" s="180">
        <v>1</v>
      </c>
      <c r="BJ1" s="180">
        <v>0</v>
      </c>
      <c r="BK1" s="180">
        <v>0</v>
      </c>
      <c r="BL1" s="180">
        <v>0</v>
      </c>
      <c r="BM1" s="180">
        <v>1</v>
      </c>
      <c r="BN1" s="180">
        <v>0</v>
      </c>
      <c r="BO1" s="180">
        <v>0</v>
      </c>
      <c r="BP1" s="180">
        <v>0</v>
      </c>
      <c r="BQ1" s="180">
        <v>0</v>
      </c>
      <c r="BR1" s="180">
        <v>0</v>
      </c>
      <c r="BS1" s="180">
        <v>0</v>
      </c>
      <c r="BT1" s="180">
        <v>0</v>
      </c>
      <c r="BU1" s="180">
        <v>1</v>
      </c>
      <c r="BV1" s="180">
        <v>0</v>
      </c>
      <c r="BW1" s="180">
        <v>0</v>
      </c>
      <c r="BX1" s="180">
        <v>1</v>
      </c>
      <c r="BY1" s="180">
        <v>0</v>
      </c>
      <c r="BZ1" s="180">
        <v>0</v>
      </c>
      <c r="CA1" s="180">
        <v>0</v>
      </c>
      <c r="CB1" s="180">
        <v>1</v>
      </c>
      <c r="CC1" s="180">
        <v>1</v>
      </c>
      <c r="CD1" s="180">
        <v>0</v>
      </c>
      <c r="CE1" s="180">
        <v>0</v>
      </c>
      <c r="CF1" s="180">
        <v>0</v>
      </c>
      <c r="CG1" s="180">
        <v>0</v>
      </c>
      <c r="CH1" s="180">
        <v>0</v>
      </c>
      <c r="CI1" s="180">
        <v>1</v>
      </c>
      <c r="CJ1" s="180">
        <v>1</v>
      </c>
      <c r="CK1" s="180">
        <v>1</v>
      </c>
      <c r="CL1" s="180">
        <v>1</v>
      </c>
      <c r="CM1" s="180">
        <v>0</v>
      </c>
      <c r="CN1" s="180">
        <v>1</v>
      </c>
      <c r="CO1" s="180">
        <v>0</v>
      </c>
      <c r="CP1" s="180">
        <v>0</v>
      </c>
      <c r="CQ1" s="180">
        <v>1</v>
      </c>
      <c r="CR1" s="180">
        <v>1</v>
      </c>
      <c r="CS1" s="180">
        <v>1</v>
      </c>
      <c r="CT1" s="180">
        <v>0</v>
      </c>
      <c r="CU1" s="180">
        <v>0</v>
      </c>
      <c r="CV1" s="180">
        <v>1</v>
      </c>
      <c r="CW1" s="180">
        <v>1</v>
      </c>
      <c r="CX1" s="180">
        <v>0</v>
      </c>
      <c r="CY1" s="180">
        <v>1</v>
      </c>
      <c r="CZ1" s="180">
        <v>1</v>
      </c>
      <c r="DA1" s="180">
        <v>0</v>
      </c>
      <c r="DB1" s="180">
        <v>0</v>
      </c>
      <c r="DC1" s="180">
        <v>1</v>
      </c>
      <c r="DD1" s="180">
        <v>1</v>
      </c>
      <c r="DE1" s="180">
        <v>1</v>
      </c>
      <c r="DF1" s="180">
        <v>0</v>
      </c>
      <c r="DG1" s="180">
        <v>1</v>
      </c>
      <c r="DH1" s="180">
        <v>1</v>
      </c>
      <c r="DI1" s="180">
        <v>0</v>
      </c>
      <c r="DJ1" s="180">
        <v>0</v>
      </c>
      <c r="DK1" s="180">
        <v>0</v>
      </c>
      <c r="DL1" s="180">
        <v>1</v>
      </c>
      <c r="DM1" s="180">
        <v>0</v>
      </c>
      <c r="DN1" s="180">
        <v>0</v>
      </c>
      <c r="DO1" s="180">
        <v>1</v>
      </c>
      <c r="DP1" s="180">
        <v>0</v>
      </c>
      <c r="DQ1" s="180">
        <v>1</v>
      </c>
      <c r="DR1" s="180">
        <v>1</v>
      </c>
      <c r="DS1" s="180">
        <v>0</v>
      </c>
      <c r="DT1" s="180">
        <v>0</v>
      </c>
      <c r="DU1" s="180">
        <v>0</v>
      </c>
      <c r="DV1" s="180">
        <v>1</v>
      </c>
      <c r="DW1" s="180">
        <v>0</v>
      </c>
      <c r="DX1" s="180">
        <v>1</v>
      </c>
      <c r="DY1" s="180">
        <v>0</v>
      </c>
      <c r="DZ1" s="180">
        <v>0</v>
      </c>
      <c r="EA1" s="180">
        <v>1</v>
      </c>
      <c r="EB1" s="180">
        <v>1</v>
      </c>
      <c r="EC1" s="180">
        <v>1</v>
      </c>
      <c r="ED1" s="180">
        <v>0</v>
      </c>
      <c r="EE1" s="180">
        <v>1</v>
      </c>
      <c r="EF1" s="180">
        <v>1</v>
      </c>
      <c r="EG1" s="180">
        <v>0</v>
      </c>
      <c r="EH1" s="180">
        <v>0</v>
      </c>
      <c r="EI1" s="180">
        <v>1</v>
      </c>
      <c r="EJ1" s="180">
        <v>1</v>
      </c>
      <c r="EK1" s="180">
        <v>1</v>
      </c>
      <c r="EL1" s="180">
        <v>0</v>
      </c>
      <c r="EM1" s="180">
        <v>1</v>
      </c>
      <c r="EN1" s="180">
        <v>1</v>
      </c>
      <c r="EO1" s="180">
        <v>0</v>
      </c>
      <c r="EP1" s="180">
        <v>1</v>
      </c>
      <c r="EQ1" s="180">
        <v>1</v>
      </c>
      <c r="ER1" s="180">
        <v>0</v>
      </c>
      <c r="ES1" s="180">
        <v>1</v>
      </c>
      <c r="ET1" s="180">
        <v>0</v>
      </c>
      <c r="EU1" s="180">
        <v>0</v>
      </c>
      <c r="EV1" s="180">
        <v>0</v>
      </c>
      <c r="EW1" s="180">
        <v>1</v>
      </c>
      <c r="EX1" s="180">
        <v>1</v>
      </c>
      <c r="EY1" s="180">
        <v>0</v>
      </c>
      <c r="EZ1" s="180">
        <v>1</v>
      </c>
      <c r="FA1" s="180">
        <v>1</v>
      </c>
      <c r="FB1" s="180">
        <v>1</v>
      </c>
      <c r="FC1" s="180">
        <v>0</v>
      </c>
      <c r="FD1" s="180">
        <v>1</v>
      </c>
      <c r="FE1" s="180">
        <v>1</v>
      </c>
      <c r="FF1" s="180">
        <v>1</v>
      </c>
      <c r="FG1" s="180">
        <v>1</v>
      </c>
      <c r="FH1" s="180">
        <v>0</v>
      </c>
      <c r="FI1" s="180">
        <v>1</v>
      </c>
      <c r="FJ1" s="180">
        <v>1</v>
      </c>
      <c r="FK1" s="180">
        <v>1</v>
      </c>
      <c r="FL1" s="180">
        <v>0</v>
      </c>
      <c r="FM1" s="180">
        <v>0</v>
      </c>
      <c r="FN1" s="180">
        <v>1</v>
      </c>
      <c r="FO1" s="180">
        <v>1</v>
      </c>
      <c r="FP1" s="180">
        <v>1</v>
      </c>
      <c r="FQ1" s="180">
        <v>1</v>
      </c>
      <c r="FR1" s="180">
        <v>0</v>
      </c>
      <c r="FS1" s="180">
        <v>1</v>
      </c>
      <c r="FT1" s="180">
        <v>0</v>
      </c>
      <c r="FU1" s="180">
        <v>1</v>
      </c>
      <c r="FV1" s="180">
        <v>0</v>
      </c>
      <c r="FW1" s="180">
        <v>1</v>
      </c>
      <c r="FX1" s="180">
        <v>0</v>
      </c>
      <c r="FY1" s="180">
        <v>1</v>
      </c>
      <c r="FZ1" s="180">
        <v>1</v>
      </c>
      <c r="GA1" s="180">
        <v>0</v>
      </c>
      <c r="GB1" s="180">
        <v>1</v>
      </c>
      <c r="GC1" s="180">
        <v>0</v>
      </c>
      <c r="GD1" s="180">
        <v>1</v>
      </c>
      <c r="GE1" s="180">
        <v>1</v>
      </c>
      <c r="GF1" s="180">
        <v>1</v>
      </c>
      <c r="GG1" s="180">
        <v>1</v>
      </c>
      <c r="GH1" s="180">
        <v>1</v>
      </c>
      <c r="GI1" s="180">
        <v>0</v>
      </c>
      <c r="GJ1" s="180">
        <v>0</v>
      </c>
      <c r="GK1" s="180">
        <v>1</v>
      </c>
      <c r="GL1" s="180">
        <v>1</v>
      </c>
      <c r="GM1" s="180">
        <v>1</v>
      </c>
      <c r="GN1" s="180">
        <v>1</v>
      </c>
      <c r="GO1" s="180">
        <v>1</v>
      </c>
      <c r="GP1" s="180">
        <v>1</v>
      </c>
      <c r="GQ1" s="180">
        <v>1</v>
      </c>
      <c r="GR1" s="180">
        <v>0</v>
      </c>
      <c r="GS1" s="180">
        <v>0</v>
      </c>
      <c r="GT1" s="180">
        <v>1</v>
      </c>
      <c r="GU1" s="180">
        <v>1</v>
      </c>
      <c r="GV1" s="180">
        <v>0</v>
      </c>
      <c r="GW1" s="180">
        <v>1</v>
      </c>
      <c r="GX1" s="180">
        <v>0</v>
      </c>
      <c r="GY1" s="180">
        <v>1</v>
      </c>
      <c r="GZ1" s="180">
        <v>0</v>
      </c>
      <c r="HA1" s="180">
        <v>1</v>
      </c>
      <c r="HB1" s="180">
        <v>1</v>
      </c>
      <c r="HC1" s="180">
        <v>0</v>
      </c>
      <c r="HD1" s="180">
        <v>1</v>
      </c>
      <c r="HE1" s="180">
        <v>1</v>
      </c>
      <c r="HF1" s="180">
        <v>1</v>
      </c>
      <c r="HG1" s="180">
        <v>1</v>
      </c>
      <c r="HH1" s="180">
        <v>0</v>
      </c>
      <c r="HI1" s="180">
        <v>1</v>
      </c>
      <c r="HJ1" s="180">
        <v>1</v>
      </c>
      <c r="HK1" s="180">
        <v>1</v>
      </c>
      <c r="HL1" s="180">
        <v>0</v>
      </c>
      <c r="HM1" s="180">
        <v>0</v>
      </c>
      <c r="HN1" s="180">
        <v>0</v>
      </c>
      <c r="HO1" s="180">
        <v>1</v>
      </c>
      <c r="HP1" s="180">
        <v>1</v>
      </c>
      <c r="HQ1" s="180">
        <v>1</v>
      </c>
      <c r="HR1" s="180">
        <v>0</v>
      </c>
      <c r="HS1" s="180">
        <v>0</v>
      </c>
      <c r="HT1" s="180">
        <v>1</v>
      </c>
      <c r="HU1" s="180">
        <v>1</v>
      </c>
      <c r="HV1" s="180">
        <v>0</v>
      </c>
      <c r="HW1" s="180">
        <v>1</v>
      </c>
      <c r="HX1" s="180">
        <v>1</v>
      </c>
      <c r="HY1" s="180">
        <v>0</v>
      </c>
      <c r="HZ1" s="180">
        <v>1</v>
      </c>
      <c r="IA1" s="180">
        <v>1</v>
      </c>
      <c r="IB1" s="180">
        <v>0</v>
      </c>
      <c r="IC1" s="180">
        <v>0</v>
      </c>
      <c r="ID1" s="180">
        <v>0</v>
      </c>
      <c r="IE1" s="180">
        <v>1</v>
      </c>
      <c r="IF1" s="180">
        <v>0</v>
      </c>
      <c r="IG1" s="180">
        <v>0</v>
      </c>
      <c r="IH1" s="180">
        <v>0</v>
      </c>
      <c r="II1" s="180">
        <v>0</v>
      </c>
      <c r="IJ1" s="180">
        <v>0</v>
      </c>
      <c r="IK1" s="180">
        <v>0</v>
      </c>
      <c r="IL1" s="180">
        <v>0</v>
      </c>
      <c r="IM1" s="180">
        <v>1</v>
      </c>
      <c r="IN1" s="180">
        <v>0</v>
      </c>
      <c r="IO1" s="180">
        <v>0</v>
      </c>
      <c r="IP1" s="180">
        <v>1</v>
      </c>
      <c r="IQ1" s="180">
        <v>0</v>
      </c>
      <c r="IR1" s="180">
        <v>0</v>
      </c>
      <c r="IS1" s="180">
        <v>0</v>
      </c>
      <c r="IT1" s="180">
        <v>1</v>
      </c>
      <c r="IU1" s="180">
        <v>1</v>
      </c>
      <c r="IV1" s="180">
        <v>0</v>
      </c>
      <c r="IW1" s="180">
        <v>0</v>
      </c>
      <c r="IX1" s="180">
        <v>0</v>
      </c>
      <c r="IY1" s="180">
        <v>0</v>
      </c>
      <c r="IZ1" s="180">
        <v>0</v>
      </c>
      <c r="JA1" s="180">
        <v>1</v>
      </c>
      <c r="JB1" s="180">
        <v>1</v>
      </c>
      <c r="JC1" s="180">
        <v>1</v>
      </c>
      <c r="JD1" s="180">
        <v>1</v>
      </c>
      <c r="JE1" s="180">
        <v>0</v>
      </c>
      <c r="JF1" s="180">
        <v>1</v>
      </c>
      <c r="JG1" s="180">
        <v>0</v>
      </c>
      <c r="JH1" s="180">
        <v>0</v>
      </c>
      <c r="JI1" s="180">
        <v>1</v>
      </c>
      <c r="JJ1" s="180">
        <v>1</v>
      </c>
      <c r="JK1" s="180">
        <v>1</v>
      </c>
      <c r="JL1" s="180">
        <v>0</v>
      </c>
      <c r="JM1" s="180">
        <v>0</v>
      </c>
      <c r="JN1" s="180">
        <v>1</v>
      </c>
      <c r="JO1" s="180">
        <v>1</v>
      </c>
      <c r="JP1" s="180">
        <v>0</v>
      </c>
      <c r="JQ1" s="180">
        <v>1</v>
      </c>
      <c r="JR1" s="180">
        <v>1</v>
      </c>
      <c r="JS1" s="180">
        <v>0</v>
      </c>
      <c r="JT1" s="180">
        <v>0</v>
      </c>
      <c r="JU1" s="180">
        <v>1</v>
      </c>
      <c r="JV1" s="180">
        <v>1</v>
      </c>
      <c r="JW1" s="180">
        <v>1</v>
      </c>
      <c r="JX1" s="180">
        <v>0</v>
      </c>
      <c r="JY1" s="180">
        <v>1</v>
      </c>
      <c r="JZ1" s="180">
        <v>1</v>
      </c>
      <c r="KA1" s="180">
        <v>0</v>
      </c>
      <c r="KB1" s="180">
        <v>0</v>
      </c>
      <c r="KC1" s="180">
        <v>0</v>
      </c>
      <c r="KD1" s="180">
        <v>1</v>
      </c>
      <c r="KE1" s="180">
        <v>0</v>
      </c>
      <c r="KF1" s="180">
        <v>0</v>
      </c>
      <c r="KG1" s="180">
        <v>1</v>
      </c>
      <c r="KH1" s="180">
        <v>0</v>
      </c>
      <c r="KI1" s="180">
        <v>1</v>
      </c>
      <c r="KJ1" s="180">
        <v>1</v>
      </c>
      <c r="KK1" s="180">
        <v>0</v>
      </c>
      <c r="KL1" s="180">
        <v>0</v>
      </c>
      <c r="KM1" s="180">
        <v>0</v>
      </c>
      <c r="KN1" s="180">
        <v>1</v>
      </c>
      <c r="KO1" s="180">
        <v>0</v>
      </c>
      <c r="KP1" s="180">
        <v>1</v>
      </c>
      <c r="KQ1" s="180">
        <v>0</v>
      </c>
      <c r="KR1" s="180">
        <v>0</v>
      </c>
      <c r="KS1" s="180">
        <v>1</v>
      </c>
      <c r="KT1" s="180">
        <v>1</v>
      </c>
      <c r="KU1" s="180">
        <v>1</v>
      </c>
      <c r="KV1" s="180">
        <v>0</v>
      </c>
      <c r="KW1" s="180">
        <v>1</v>
      </c>
      <c r="KX1" s="180">
        <v>1</v>
      </c>
      <c r="KY1" s="180">
        <v>0</v>
      </c>
      <c r="KZ1" s="180">
        <v>0</v>
      </c>
      <c r="LA1" s="180">
        <v>1</v>
      </c>
      <c r="LB1" s="180">
        <v>1</v>
      </c>
      <c r="LC1" s="180">
        <v>1</v>
      </c>
      <c r="LD1" s="180">
        <v>0</v>
      </c>
      <c r="LE1" s="180">
        <v>1</v>
      </c>
      <c r="LF1" s="180">
        <v>1</v>
      </c>
      <c r="LG1" s="180">
        <v>0</v>
      </c>
      <c r="LH1" s="180">
        <v>1</v>
      </c>
      <c r="LI1" s="180">
        <v>1</v>
      </c>
      <c r="LJ1" s="180">
        <v>0</v>
      </c>
      <c r="LK1" s="180">
        <v>1</v>
      </c>
      <c r="LL1" s="180">
        <v>0</v>
      </c>
      <c r="LM1" s="180">
        <v>0</v>
      </c>
      <c r="LN1" s="180">
        <v>0</v>
      </c>
      <c r="LO1" s="180">
        <v>1</v>
      </c>
      <c r="LP1" s="180">
        <v>1</v>
      </c>
      <c r="LQ1" s="180">
        <v>0</v>
      </c>
      <c r="LR1" s="180">
        <v>1</v>
      </c>
      <c r="LS1" s="180">
        <v>1</v>
      </c>
      <c r="LT1" s="180">
        <v>1</v>
      </c>
      <c r="LU1" s="180">
        <v>0</v>
      </c>
      <c r="LV1" s="180">
        <v>1</v>
      </c>
      <c r="LW1" s="180">
        <v>1</v>
      </c>
      <c r="LX1" s="180">
        <v>1</v>
      </c>
      <c r="LY1" s="180">
        <v>1</v>
      </c>
      <c r="LZ1" s="180">
        <v>0</v>
      </c>
      <c r="MA1" s="180">
        <v>1</v>
      </c>
      <c r="MB1" s="180">
        <v>1</v>
      </c>
      <c r="MC1" s="180">
        <v>1</v>
      </c>
      <c r="MD1" s="180">
        <v>0</v>
      </c>
      <c r="ME1" s="180">
        <v>0</v>
      </c>
      <c r="MF1" s="180">
        <v>1</v>
      </c>
      <c r="MG1" s="180">
        <v>1</v>
      </c>
      <c r="MH1" s="180">
        <v>1</v>
      </c>
      <c r="MI1" s="180">
        <v>1</v>
      </c>
      <c r="MJ1" s="180">
        <v>0</v>
      </c>
      <c r="MK1" s="180">
        <v>1</v>
      </c>
      <c r="ML1" s="180">
        <v>0</v>
      </c>
      <c r="MM1" s="180">
        <v>1</v>
      </c>
      <c r="MN1" s="180">
        <v>0</v>
      </c>
      <c r="MO1" s="180">
        <v>1</v>
      </c>
      <c r="MP1" s="180">
        <v>0</v>
      </c>
      <c r="MQ1" s="180">
        <v>1</v>
      </c>
      <c r="MR1" s="180">
        <v>1</v>
      </c>
      <c r="MS1" s="180">
        <v>0</v>
      </c>
      <c r="MT1" s="180">
        <v>1</v>
      </c>
      <c r="MU1" s="180">
        <v>0</v>
      </c>
      <c r="MV1" s="180">
        <v>1</v>
      </c>
      <c r="MW1" s="180">
        <v>1</v>
      </c>
      <c r="MX1" s="180">
        <v>1</v>
      </c>
      <c r="MY1" s="180">
        <v>1</v>
      </c>
      <c r="MZ1" s="180">
        <v>1</v>
      </c>
      <c r="NA1" s="180">
        <v>0</v>
      </c>
      <c r="NB1" s="180">
        <v>0</v>
      </c>
      <c r="NC1" s="180">
        <v>1</v>
      </c>
      <c r="ND1" s="180">
        <v>1</v>
      </c>
      <c r="NE1" s="180">
        <v>1</v>
      </c>
      <c r="NF1" s="180">
        <v>1</v>
      </c>
      <c r="NG1" s="180">
        <v>1</v>
      </c>
      <c r="NH1" s="180">
        <v>1</v>
      </c>
      <c r="NI1" s="180">
        <v>1</v>
      </c>
      <c r="NJ1" s="180">
        <v>0</v>
      </c>
      <c r="NK1" s="180">
        <v>0</v>
      </c>
      <c r="NL1" s="180">
        <v>1</v>
      </c>
      <c r="NM1" s="180">
        <v>0</v>
      </c>
      <c r="NN1" s="180">
        <v>0</v>
      </c>
      <c r="NO1" s="180">
        <v>1</v>
      </c>
      <c r="NP1" s="180">
        <v>0</v>
      </c>
      <c r="NQ1" s="180">
        <v>1</v>
      </c>
      <c r="NR1" s="180">
        <v>0</v>
      </c>
      <c r="NS1" s="180">
        <v>1</v>
      </c>
      <c r="NT1" s="180">
        <v>1</v>
      </c>
      <c r="NU1" s="180">
        <v>0</v>
      </c>
      <c r="NV1" s="180">
        <v>1</v>
      </c>
      <c r="NW1" s="180">
        <v>1</v>
      </c>
      <c r="NX1" s="180">
        <v>1</v>
      </c>
      <c r="NY1" s="180">
        <v>1</v>
      </c>
      <c r="NZ1" s="180">
        <v>0</v>
      </c>
      <c r="OA1" s="180">
        <v>1</v>
      </c>
      <c r="OB1" s="180">
        <v>1</v>
      </c>
      <c r="OC1" s="180">
        <v>1</v>
      </c>
      <c r="OD1" s="180">
        <v>0</v>
      </c>
      <c r="OE1" s="180">
        <v>0</v>
      </c>
      <c r="OF1" s="180">
        <v>0</v>
      </c>
      <c r="OG1" s="180">
        <v>1</v>
      </c>
      <c r="OH1" s="180">
        <v>1</v>
      </c>
      <c r="OI1" s="180">
        <v>1</v>
      </c>
      <c r="OJ1" s="180">
        <v>0</v>
      </c>
      <c r="OK1" s="180">
        <v>0</v>
      </c>
      <c r="OL1" s="180">
        <v>1</v>
      </c>
      <c r="OM1" s="180">
        <v>1</v>
      </c>
      <c r="ON1" s="180">
        <v>0</v>
      </c>
      <c r="OO1" s="180">
        <v>1</v>
      </c>
      <c r="OP1" s="180">
        <v>1</v>
      </c>
      <c r="OQ1" s="180">
        <v>0</v>
      </c>
      <c r="OR1" s="180">
        <v>1</v>
      </c>
      <c r="OS1" s="180">
        <v>1</v>
      </c>
      <c r="OT1" s="180">
        <v>0</v>
      </c>
      <c r="OU1" s="180">
        <v>0</v>
      </c>
      <c r="OV1" s="180">
        <v>0</v>
      </c>
      <c r="OW1" s="180">
        <v>1</v>
      </c>
      <c r="OX1" s="180">
        <v>0</v>
      </c>
      <c r="OY1" s="180">
        <v>0</v>
      </c>
      <c r="OZ1" s="180">
        <v>0</v>
      </c>
      <c r="PA1" s="180">
        <v>0</v>
      </c>
      <c r="PB1" s="180">
        <v>0</v>
      </c>
      <c r="PC1" s="180">
        <v>0</v>
      </c>
      <c r="PD1" s="180">
        <v>0</v>
      </c>
      <c r="PE1" s="180">
        <v>1</v>
      </c>
      <c r="PF1" s="180">
        <v>0</v>
      </c>
      <c r="PG1" s="180">
        <v>0</v>
      </c>
      <c r="PH1" s="180">
        <v>1</v>
      </c>
      <c r="PI1" s="180">
        <v>0</v>
      </c>
      <c r="PJ1" s="180">
        <v>0</v>
      </c>
      <c r="PK1" s="180">
        <v>0</v>
      </c>
      <c r="PL1" s="180">
        <v>1</v>
      </c>
      <c r="PM1" s="180">
        <v>1</v>
      </c>
      <c r="PN1" s="180">
        <v>0</v>
      </c>
      <c r="PO1" s="180">
        <v>0</v>
      </c>
      <c r="PP1" s="180">
        <v>0</v>
      </c>
      <c r="PQ1" s="180">
        <v>0</v>
      </c>
      <c r="PR1" s="180">
        <v>0</v>
      </c>
      <c r="PS1" s="180">
        <v>1</v>
      </c>
      <c r="PT1" s="180">
        <v>1</v>
      </c>
      <c r="PU1" s="180">
        <v>1</v>
      </c>
      <c r="PV1" s="180">
        <v>1</v>
      </c>
      <c r="PW1" s="180">
        <v>0</v>
      </c>
      <c r="PX1" s="180">
        <v>1</v>
      </c>
      <c r="PY1" s="180">
        <v>0</v>
      </c>
      <c r="PZ1" s="180">
        <v>0</v>
      </c>
      <c r="QA1" s="180">
        <v>1</v>
      </c>
      <c r="QB1" s="180">
        <v>1</v>
      </c>
      <c r="QC1" s="180">
        <v>1</v>
      </c>
      <c r="QD1" s="180">
        <v>0</v>
      </c>
      <c r="QE1" s="180">
        <v>0</v>
      </c>
      <c r="QF1" s="180">
        <v>1</v>
      </c>
      <c r="QG1" s="180">
        <v>1</v>
      </c>
      <c r="QH1" s="180">
        <v>0</v>
      </c>
      <c r="QI1" s="180">
        <v>1</v>
      </c>
      <c r="QJ1" s="180">
        <v>1</v>
      </c>
      <c r="QK1" s="180">
        <v>0</v>
      </c>
      <c r="QL1" s="180">
        <v>0</v>
      </c>
      <c r="QM1" s="180">
        <v>1</v>
      </c>
      <c r="QN1" s="180">
        <v>1</v>
      </c>
      <c r="QO1" s="180">
        <v>1</v>
      </c>
      <c r="QP1" s="180">
        <v>0</v>
      </c>
      <c r="QQ1" s="180">
        <v>1</v>
      </c>
      <c r="QR1" s="180">
        <v>1</v>
      </c>
      <c r="QS1" s="180">
        <v>0</v>
      </c>
      <c r="QT1" s="180">
        <v>0</v>
      </c>
      <c r="QU1" s="180">
        <v>0</v>
      </c>
      <c r="QV1" s="180">
        <v>1</v>
      </c>
      <c r="QW1" s="180">
        <v>0</v>
      </c>
      <c r="QX1" s="180">
        <v>0</v>
      </c>
      <c r="QY1" s="180">
        <v>1</v>
      </c>
      <c r="QZ1" s="180">
        <v>0</v>
      </c>
      <c r="RA1" s="180">
        <v>1</v>
      </c>
      <c r="RB1" s="180">
        <v>1</v>
      </c>
      <c r="RC1" s="180">
        <v>0</v>
      </c>
      <c r="RD1" s="180">
        <v>0</v>
      </c>
      <c r="RE1" s="180">
        <v>0</v>
      </c>
      <c r="RF1" s="180">
        <v>1</v>
      </c>
      <c r="RG1" s="180">
        <v>0</v>
      </c>
      <c r="RH1" s="180">
        <v>1</v>
      </c>
      <c r="RI1" s="180">
        <v>0</v>
      </c>
      <c r="RJ1" s="180">
        <v>0</v>
      </c>
      <c r="RK1" s="180">
        <v>1</v>
      </c>
      <c r="RL1" s="180">
        <v>1</v>
      </c>
      <c r="RM1" s="180">
        <v>1</v>
      </c>
      <c r="RN1" s="180">
        <v>0</v>
      </c>
      <c r="RO1" s="180">
        <v>1</v>
      </c>
      <c r="RP1" s="180">
        <v>1</v>
      </c>
      <c r="RQ1" s="180">
        <v>0</v>
      </c>
      <c r="RR1" s="180">
        <v>0</v>
      </c>
      <c r="RS1" s="180">
        <v>1</v>
      </c>
      <c r="RT1" s="180">
        <v>1</v>
      </c>
      <c r="RU1" s="180">
        <v>1</v>
      </c>
      <c r="RV1" s="180">
        <v>0</v>
      </c>
      <c r="RW1" s="180">
        <v>1</v>
      </c>
      <c r="RX1" s="180">
        <v>1</v>
      </c>
      <c r="RY1" s="180">
        <v>0</v>
      </c>
      <c r="RZ1" s="180">
        <v>1</v>
      </c>
      <c r="SA1" s="180">
        <v>0</v>
      </c>
      <c r="SB1" s="180">
        <v>0</v>
      </c>
      <c r="SC1" s="180">
        <v>1</v>
      </c>
      <c r="SD1" s="180">
        <v>0</v>
      </c>
      <c r="SE1" s="180">
        <v>0</v>
      </c>
      <c r="SF1" s="180">
        <v>0</v>
      </c>
      <c r="SG1" s="180">
        <v>1</v>
      </c>
      <c r="SH1" s="180">
        <v>1</v>
      </c>
      <c r="SI1" s="180">
        <v>0</v>
      </c>
      <c r="SJ1" s="180">
        <v>1</v>
      </c>
      <c r="SK1" s="180">
        <v>1</v>
      </c>
      <c r="SL1" s="180">
        <v>1</v>
      </c>
      <c r="SM1" s="180">
        <v>0</v>
      </c>
      <c r="SN1" s="180">
        <v>1</v>
      </c>
      <c r="SO1" s="180">
        <v>1</v>
      </c>
      <c r="SP1" s="180">
        <v>1</v>
      </c>
      <c r="SQ1" s="180">
        <v>1</v>
      </c>
      <c r="SR1" s="180">
        <v>0</v>
      </c>
      <c r="SS1" s="180">
        <v>1</v>
      </c>
      <c r="ST1" s="180">
        <v>1</v>
      </c>
      <c r="SU1" s="180">
        <v>1</v>
      </c>
      <c r="SV1" s="180">
        <v>0</v>
      </c>
      <c r="SW1" s="180">
        <v>0</v>
      </c>
      <c r="SX1" s="180">
        <v>1</v>
      </c>
      <c r="SY1" s="180">
        <v>1</v>
      </c>
      <c r="SZ1" s="180">
        <v>1</v>
      </c>
      <c r="TA1" s="180">
        <v>1</v>
      </c>
      <c r="TB1" s="180">
        <v>0</v>
      </c>
      <c r="TC1" s="180">
        <v>1</v>
      </c>
      <c r="TD1" s="180">
        <v>0</v>
      </c>
      <c r="TE1" s="180">
        <v>1</v>
      </c>
      <c r="TF1" s="180">
        <v>0</v>
      </c>
      <c r="TG1" s="180">
        <v>1</v>
      </c>
      <c r="TH1" s="180">
        <v>0</v>
      </c>
      <c r="TI1" s="180">
        <v>1</v>
      </c>
      <c r="TJ1" s="180">
        <v>1</v>
      </c>
      <c r="TK1" s="180">
        <v>0</v>
      </c>
      <c r="TL1" s="180">
        <v>1</v>
      </c>
      <c r="TM1" s="180">
        <v>0</v>
      </c>
      <c r="TN1" s="180">
        <v>1</v>
      </c>
      <c r="TO1" s="180">
        <v>1</v>
      </c>
      <c r="TP1" s="180">
        <v>1</v>
      </c>
      <c r="TQ1" s="180">
        <v>1</v>
      </c>
      <c r="TR1" s="180">
        <v>1</v>
      </c>
      <c r="TS1" s="180">
        <v>0</v>
      </c>
      <c r="TT1" s="180">
        <v>0</v>
      </c>
      <c r="TU1" s="180">
        <v>1</v>
      </c>
      <c r="TV1" s="180">
        <v>1</v>
      </c>
      <c r="TW1" s="180">
        <v>1</v>
      </c>
      <c r="TX1" s="180">
        <v>1</v>
      </c>
      <c r="TY1" s="180">
        <v>1</v>
      </c>
      <c r="TZ1" s="180">
        <v>1</v>
      </c>
      <c r="UA1" s="180">
        <v>1</v>
      </c>
      <c r="UB1" s="180">
        <v>0</v>
      </c>
      <c r="UC1" s="180">
        <v>0</v>
      </c>
      <c r="UD1" s="180">
        <v>1</v>
      </c>
      <c r="UE1" s="180">
        <v>0</v>
      </c>
      <c r="UF1" s="106"/>
      <c r="UG1" s="106"/>
      <c r="UH1" s="106"/>
    </row>
    <row r="2" spans="1:554" ht="15.75" thickBot="1" x14ac:dyDescent="0.3">
      <c r="A2" s="63" t="s">
        <v>205</v>
      </c>
      <c r="C2" s="86" t="s">
        <v>408</v>
      </c>
      <c r="D2" s="106">
        <v>0.46812815939529473</v>
      </c>
      <c r="E2" s="106">
        <v>0.46812815939529473</v>
      </c>
      <c r="F2" s="106">
        <v>0.46812815939529473</v>
      </c>
      <c r="G2" s="106">
        <v>0.46812815939529473</v>
      </c>
      <c r="H2" s="106">
        <v>0.46812815939529473</v>
      </c>
      <c r="I2" s="106">
        <v>0.46812815939529473</v>
      </c>
      <c r="J2" s="106">
        <v>0.46812815939529473</v>
      </c>
      <c r="K2" s="106">
        <v>0.46812815939529473</v>
      </c>
      <c r="L2" s="106">
        <v>0.46812815939529473</v>
      </c>
      <c r="M2" s="106">
        <v>0.46812815939529473</v>
      </c>
      <c r="N2" s="106">
        <v>0.46812815939529473</v>
      </c>
      <c r="O2" s="106">
        <v>0.46812815939529473</v>
      </c>
      <c r="P2" s="106">
        <v>0.46812815939529473</v>
      </c>
      <c r="Q2" s="106">
        <v>0.46812815939529473</v>
      </c>
      <c r="R2" s="106">
        <v>0.46812815939529473</v>
      </c>
      <c r="S2" s="106">
        <v>0.46812815939529473</v>
      </c>
      <c r="T2" s="106">
        <v>0.46812815939529473</v>
      </c>
      <c r="U2" s="106">
        <v>0.46812815939529473</v>
      </c>
      <c r="V2" s="106">
        <v>0.46812815939529473</v>
      </c>
      <c r="W2" s="106">
        <v>0.46812815939529473</v>
      </c>
      <c r="X2" s="106">
        <v>0.46812815939529473</v>
      </c>
      <c r="Y2" s="106">
        <v>0.46812815939529473</v>
      </c>
      <c r="Z2" s="106">
        <v>0.46812815939529473</v>
      </c>
      <c r="AA2" s="106">
        <v>0.46812815939529473</v>
      </c>
      <c r="AB2" s="106">
        <v>0.46812815939529473</v>
      </c>
      <c r="AC2" s="106">
        <v>0.46812815939529473</v>
      </c>
      <c r="AD2" s="106">
        <v>0.46812815939529473</v>
      </c>
      <c r="AE2" s="106">
        <v>0.46812815939529473</v>
      </c>
      <c r="AF2" s="106">
        <v>0.46812815939529473</v>
      </c>
      <c r="AG2" s="106">
        <v>0.46812815939529473</v>
      </c>
      <c r="AH2" s="106">
        <v>0.46812815939529473</v>
      </c>
      <c r="AI2" s="106">
        <v>0.46812815939529473</v>
      </c>
      <c r="AJ2" s="106">
        <v>0.46812815939529473</v>
      </c>
      <c r="AK2" s="106">
        <v>0.46812815939529473</v>
      </c>
      <c r="AL2" s="106">
        <v>0.46812815939529473</v>
      </c>
      <c r="AM2" s="106">
        <v>0.46812815939529473</v>
      </c>
      <c r="AN2" s="106">
        <v>0.46812815939529473</v>
      </c>
      <c r="AO2" s="106">
        <v>0.46812815939529473</v>
      </c>
      <c r="AP2" s="106">
        <v>0.46812815939529473</v>
      </c>
      <c r="AQ2" s="106">
        <v>0.46812815939529473</v>
      </c>
      <c r="AR2" s="106">
        <v>0.46812815939529473</v>
      </c>
      <c r="AS2" s="106">
        <v>0.46812815939529473</v>
      </c>
      <c r="AT2" s="106">
        <v>0.46812815939529473</v>
      </c>
      <c r="AU2" s="106">
        <v>0.46812815939529473</v>
      </c>
      <c r="AV2" s="106">
        <v>0.46812815939529473</v>
      </c>
      <c r="AW2" s="106">
        <v>0.46812815939529473</v>
      </c>
      <c r="AX2" s="106">
        <v>0.46812815939529473</v>
      </c>
      <c r="AY2" s="106">
        <v>0.46812815939529473</v>
      </c>
      <c r="AZ2" s="106">
        <v>0.46812815939529473</v>
      </c>
      <c r="BA2" s="106">
        <v>0.46812815939529473</v>
      </c>
      <c r="BB2" s="106">
        <v>0.46812815939529473</v>
      </c>
      <c r="BC2" s="106">
        <v>0.46812815939529473</v>
      </c>
      <c r="BD2" s="106">
        <v>0.46812815939529473</v>
      </c>
      <c r="BE2" s="106">
        <v>0.46812815939529473</v>
      </c>
      <c r="BF2" s="106">
        <v>0.46812815939529473</v>
      </c>
      <c r="BG2" s="106">
        <v>0.46812815939529473</v>
      </c>
      <c r="BH2" s="106">
        <v>0.46812815939529473</v>
      </c>
      <c r="BI2" s="106">
        <v>0.46812815939529473</v>
      </c>
      <c r="BJ2" s="106">
        <v>0.46812815939529473</v>
      </c>
      <c r="BK2" s="106">
        <v>0.46812815939529473</v>
      </c>
      <c r="BL2" s="106">
        <v>0.46812815939529473</v>
      </c>
      <c r="BM2" s="106">
        <v>0.46812815939529473</v>
      </c>
      <c r="BN2" s="106">
        <v>0.46812815939529473</v>
      </c>
      <c r="BO2" s="106">
        <v>0.46812815939529473</v>
      </c>
      <c r="BP2" s="106">
        <v>0.46812815939529473</v>
      </c>
      <c r="BQ2" s="106">
        <v>0.46812815939529473</v>
      </c>
      <c r="BR2" s="106">
        <v>0.46812815939529473</v>
      </c>
      <c r="BS2" s="106">
        <v>0.46812815939529473</v>
      </c>
      <c r="BT2" s="106">
        <v>0.46812815939529473</v>
      </c>
      <c r="BU2" s="106">
        <v>0.46812815939529473</v>
      </c>
      <c r="BV2" s="106">
        <v>0.46812815939529473</v>
      </c>
      <c r="BW2" s="106">
        <v>0.46812815939529473</v>
      </c>
      <c r="BX2" s="106">
        <v>0.46812815939529473</v>
      </c>
      <c r="BY2" s="106">
        <v>0.46812815939529473</v>
      </c>
      <c r="BZ2" s="106">
        <v>0.46812815939529473</v>
      </c>
      <c r="CA2" s="106">
        <v>0.46812815939529473</v>
      </c>
      <c r="CB2" s="106">
        <v>0.46812815939529473</v>
      </c>
      <c r="CC2" s="106">
        <v>0.46812815939529473</v>
      </c>
      <c r="CD2" s="106">
        <v>0.46812815939529473</v>
      </c>
      <c r="CE2" s="106">
        <v>0.46812815939529473</v>
      </c>
      <c r="CF2" s="106">
        <v>0.46812815939529473</v>
      </c>
      <c r="CG2" s="106">
        <v>0.46812815939529473</v>
      </c>
      <c r="CH2" s="106">
        <v>0.46812815939529473</v>
      </c>
      <c r="CI2" s="106">
        <v>0.46812815939529473</v>
      </c>
      <c r="CJ2" s="106">
        <v>0.46812815939529473</v>
      </c>
      <c r="CK2" s="106">
        <v>0.46812815939529473</v>
      </c>
      <c r="CL2" s="106">
        <v>0.46812815939529473</v>
      </c>
      <c r="CM2" s="106">
        <v>0.46812815939529473</v>
      </c>
      <c r="CN2" s="106">
        <v>0.46812815939529473</v>
      </c>
      <c r="CO2" s="106">
        <v>0.46812815939529473</v>
      </c>
      <c r="CP2" s="106">
        <v>0.46812815939529473</v>
      </c>
      <c r="CQ2" s="106">
        <v>0.46812815939529473</v>
      </c>
      <c r="CR2" s="106">
        <v>0.46812815939529473</v>
      </c>
      <c r="CS2" s="106">
        <v>0.46812815939529473</v>
      </c>
      <c r="CT2" s="106">
        <v>0.46812815939529473</v>
      </c>
      <c r="CU2" s="106">
        <v>0.46812815939529473</v>
      </c>
      <c r="CV2" s="106">
        <v>0.46812815939529473</v>
      </c>
      <c r="CW2" s="106">
        <v>0.46812815939529473</v>
      </c>
      <c r="CX2" s="106">
        <v>0.46812815939529473</v>
      </c>
      <c r="CY2" s="106">
        <v>0.46812815939529473</v>
      </c>
      <c r="CZ2" s="106">
        <v>0.46812815939529473</v>
      </c>
      <c r="DA2" s="106">
        <v>0.46812815939529473</v>
      </c>
      <c r="DB2" s="106">
        <v>0.46812815939529473</v>
      </c>
      <c r="DC2" s="106">
        <v>0.46812815939529473</v>
      </c>
      <c r="DD2" s="106">
        <v>0.46812815939529473</v>
      </c>
      <c r="DE2" s="106">
        <v>0.46812815939529473</v>
      </c>
      <c r="DF2" s="106">
        <v>0.46812815939529473</v>
      </c>
      <c r="DG2" s="106">
        <v>0.46812815939529473</v>
      </c>
      <c r="DH2" s="106">
        <v>0.46812815939529473</v>
      </c>
      <c r="DI2" s="106">
        <v>0.46812815939529473</v>
      </c>
      <c r="DJ2" s="106">
        <v>0.46812815939529473</v>
      </c>
      <c r="DK2" s="106">
        <v>0.46812815939529473</v>
      </c>
      <c r="DL2" s="106">
        <v>0.46812815939529473</v>
      </c>
      <c r="DM2" s="106">
        <v>0.46812815939529473</v>
      </c>
      <c r="DN2" s="106">
        <v>0.46812815939529473</v>
      </c>
      <c r="DO2" s="106">
        <v>0.46812815939529473</v>
      </c>
      <c r="DP2" s="106">
        <v>0.46812815939529473</v>
      </c>
      <c r="DQ2" s="106">
        <v>0.46812815939529473</v>
      </c>
      <c r="DR2" s="106">
        <v>0.46812815939529473</v>
      </c>
      <c r="DS2" s="106">
        <v>0.46812815939529473</v>
      </c>
      <c r="DT2" s="106">
        <v>0.46812815939529473</v>
      </c>
      <c r="DU2" s="106">
        <v>0.46812815939529473</v>
      </c>
      <c r="DV2" s="106">
        <v>0.46812815939529473</v>
      </c>
      <c r="DW2" s="106">
        <v>0.46812815939529473</v>
      </c>
      <c r="DX2" s="106">
        <v>0.46812815939529473</v>
      </c>
      <c r="DY2" s="106">
        <v>0.46812815939529473</v>
      </c>
      <c r="DZ2" s="106">
        <v>0.46812815939529473</v>
      </c>
      <c r="EA2" s="106">
        <v>0.46812815939529473</v>
      </c>
      <c r="EB2" s="106">
        <v>0.46812815939529473</v>
      </c>
      <c r="EC2" s="106">
        <v>0.46812815939529473</v>
      </c>
      <c r="ED2" s="106">
        <v>0.46812815939529473</v>
      </c>
      <c r="EE2" s="106">
        <v>0.46812815939529473</v>
      </c>
      <c r="EF2" s="106">
        <v>0.46812815939529473</v>
      </c>
      <c r="EG2" s="106">
        <v>0.46812815939529473</v>
      </c>
      <c r="EH2" s="106">
        <v>0.46812815939529473</v>
      </c>
      <c r="EI2" s="106">
        <v>0.46812815939529473</v>
      </c>
      <c r="EJ2" s="106">
        <v>0.46812815939529473</v>
      </c>
      <c r="EK2" s="106">
        <v>0.46812815939529473</v>
      </c>
      <c r="EL2" s="106">
        <v>0.46812815939529473</v>
      </c>
      <c r="EM2" s="106">
        <v>0.46812815939529473</v>
      </c>
      <c r="EN2" s="106">
        <v>0.46812815939529473</v>
      </c>
      <c r="EO2" s="106">
        <v>0.46812815939529473</v>
      </c>
      <c r="EP2" s="106">
        <v>0.46812815939529473</v>
      </c>
      <c r="EQ2" s="106">
        <v>0.46812815939529473</v>
      </c>
      <c r="ER2" s="106">
        <v>0.46812815939529473</v>
      </c>
      <c r="ES2" s="106">
        <v>0.46812815939529473</v>
      </c>
      <c r="ET2" s="106">
        <v>0.46812815939529473</v>
      </c>
      <c r="EU2" s="106">
        <v>0.46812815939529473</v>
      </c>
      <c r="EV2" s="106">
        <v>0.46812815939529473</v>
      </c>
      <c r="EW2" s="106">
        <v>0.46812815939529473</v>
      </c>
      <c r="EX2" s="106">
        <v>0.46812815939529473</v>
      </c>
      <c r="EY2" s="106">
        <v>0.46812815939529473</v>
      </c>
      <c r="EZ2" s="106">
        <v>0.46812815939529473</v>
      </c>
      <c r="FA2" s="106">
        <v>0.46812815939529473</v>
      </c>
      <c r="FB2" s="106">
        <v>0.46812815939529473</v>
      </c>
      <c r="FC2" s="106">
        <v>0.46812815939529473</v>
      </c>
      <c r="FD2" s="106">
        <v>0.46812815939529473</v>
      </c>
      <c r="FE2" s="106">
        <v>0.46812815939529473</v>
      </c>
      <c r="FF2" s="106">
        <v>0.46812815939529473</v>
      </c>
      <c r="FG2" s="106">
        <v>0.46812815939529473</v>
      </c>
      <c r="FH2" s="106">
        <v>0.46812815939529473</v>
      </c>
      <c r="FI2" s="106">
        <v>0.46812815939529473</v>
      </c>
      <c r="FJ2" s="106">
        <v>0.46812815939529473</v>
      </c>
      <c r="FK2" s="106">
        <v>0.46812815939529473</v>
      </c>
      <c r="FL2" s="106">
        <v>0.46812815939529473</v>
      </c>
      <c r="FM2" s="106">
        <v>0.46812815939529473</v>
      </c>
      <c r="FN2" s="106">
        <v>0.46812815939529473</v>
      </c>
      <c r="FO2" s="106">
        <v>0.46812815939529473</v>
      </c>
      <c r="FP2" s="106">
        <v>0.46812815939529473</v>
      </c>
      <c r="FQ2" s="106">
        <v>0.46812815939529473</v>
      </c>
      <c r="FR2" s="106">
        <v>0.46812815939529473</v>
      </c>
      <c r="FS2" s="106">
        <v>0.46812815939529473</v>
      </c>
      <c r="FT2" s="106">
        <v>0.46812815939529473</v>
      </c>
      <c r="FU2" s="106">
        <v>0.46812815939529473</v>
      </c>
      <c r="FV2" s="106">
        <v>0.46812815939529473</v>
      </c>
      <c r="FW2" s="106">
        <v>0.46812815939529473</v>
      </c>
      <c r="FX2" s="106">
        <v>0.46812815939529473</v>
      </c>
      <c r="FY2" s="106">
        <v>0.46812815939529473</v>
      </c>
      <c r="FZ2" s="106">
        <v>0.46812815939529473</v>
      </c>
      <c r="GA2" s="106">
        <v>0.46812815939529473</v>
      </c>
      <c r="GB2" s="106">
        <v>0.46812815939529473</v>
      </c>
      <c r="GC2" s="106">
        <v>0.46812815939529473</v>
      </c>
      <c r="GD2" s="106">
        <v>0.46812815939529473</v>
      </c>
      <c r="GE2" s="106">
        <v>0.46812815939529473</v>
      </c>
      <c r="GF2" s="106">
        <v>0.46812815939529473</v>
      </c>
      <c r="GG2" s="106">
        <v>0.46812815939529473</v>
      </c>
      <c r="GH2" s="106">
        <v>0.46812815939529473</v>
      </c>
      <c r="GI2" s="106">
        <v>0.46812815939529473</v>
      </c>
      <c r="GJ2" s="106">
        <v>0.46812815939529473</v>
      </c>
      <c r="GK2" s="106">
        <v>0.46812815939529473</v>
      </c>
      <c r="GL2" s="106">
        <v>0.46812815939529473</v>
      </c>
      <c r="GM2" s="106">
        <v>0.46812815939529473</v>
      </c>
      <c r="GN2" s="106">
        <v>0.46812815939529473</v>
      </c>
      <c r="GO2" s="106">
        <v>0.46812815939529473</v>
      </c>
      <c r="GP2" s="106">
        <v>0.46812815939529473</v>
      </c>
      <c r="GQ2" s="106">
        <v>0.46812815939529473</v>
      </c>
      <c r="GR2" s="106">
        <v>0.46812815939529473</v>
      </c>
      <c r="GS2" s="106">
        <v>0.46812815939529473</v>
      </c>
      <c r="GT2" s="106">
        <v>0.46812815939529473</v>
      </c>
      <c r="GU2" s="106">
        <v>0.46812815939529473</v>
      </c>
      <c r="GV2" s="106">
        <v>0.46812815939529473</v>
      </c>
      <c r="GW2" s="106">
        <v>0.46812815939529473</v>
      </c>
      <c r="GX2" s="106">
        <v>0.46812815939529473</v>
      </c>
      <c r="GY2" s="106">
        <v>0.46812815939529473</v>
      </c>
      <c r="GZ2" s="106">
        <v>0.46812815939529473</v>
      </c>
      <c r="HA2" s="106">
        <v>0.46812815939529473</v>
      </c>
      <c r="HB2" s="106">
        <v>0.46812815939529473</v>
      </c>
      <c r="HC2" s="106">
        <v>0.46812815939529473</v>
      </c>
      <c r="HD2" s="106">
        <v>0.46812815939529473</v>
      </c>
      <c r="HE2" s="106">
        <v>0.46812815939529473</v>
      </c>
      <c r="HF2" s="106">
        <v>0.46812815939529473</v>
      </c>
      <c r="HG2" s="106">
        <v>0.46812815939529473</v>
      </c>
      <c r="HH2" s="106">
        <v>0.46812815939529473</v>
      </c>
      <c r="HI2" s="106">
        <v>0.46812815939529473</v>
      </c>
      <c r="HJ2" s="106">
        <v>0.46812815939529473</v>
      </c>
      <c r="HK2" s="106">
        <v>0.46812815939529473</v>
      </c>
      <c r="HL2" s="106">
        <v>0.46812815939529473</v>
      </c>
      <c r="HM2" s="106">
        <v>0.46812815939529473</v>
      </c>
      <c r="HN2" s="106">
        <v>0.46812815939529473</v>
      </c>
      <c r="HO2" s="106">
        <v>0.46812815939529473</v>
      </c>
      <c r="HP2" s="106">
        <v>0.46812815939529473</v>
      </c>
      <c r="HQ2" s="106">
        <v>0.46812815939529473</v>
      </c>
      <c r="HR2" s="106">
        <v>0.46812815939529473</v>
      </c>
      <c r="HS2" s="106">
        <v>0.46812815939529473</v>
      </c>
      <c r="HT2" s="106">
        <v>0.46812815939529473</v>
      </c>
      <c r="HU2" s="106">
        <v>0.46812815939529473</v>
      </c>
      <c r="HV2" s="106">
        <v>0.46812815939529473</v>
      </c>
      <c r="HW2" s="106">
        <v>0.46812815939529473</v>
      </c>
      <c r="HX2" s="106">
        <v>0.46812815939529473</v>
      </c>
      <c r="HY2" s="106">
        <v>0.46812815939529473</v>
      </c>
      <c r="HZ2" s="106">
        <v>0.46812815939529473</v>
      </c>
      <c r="IA2" s="106">
        <v>0.46812815939529473</v>
      </c>
      <c r="IB2" s="106">
        <v>0.46812815939529473</v>
      </c>
      <c r="IC2" s="106">
        <v>0.46812815939529473</v>
      </c>
      <c r="ID2" s="106">
        <v>0.46812815939529473</v>
      </c>
      <c r="IE2" s="106">
        <v>0.46812815939529473</v>
      </c>
      <c r="IF2" s="106">
        <v>0.46812815939529473</v>
      </c>
      <c r="IG2" s="106">
        <v>0.46812815939529473</v>
      </c>
      <c r="IH2" s="106">
        <v>0.46812815939529473</v>
      </c>
      <c r="II2" s="106">
        <v>0.46812815939529473</v>
      </c>
      <c r="IJ2" s="106">
        <v>0.46812815939529473</v>
      </c>
      <c r="IK2" s="106">
        <v>0.46812815939529473</v>
      </c>
      <c r="IL2" s="106">
        <v>0.46812815939529473</v>
      </c>
      <c r="IM2" s="106">
        <v>0.46812815939529473</v>
      </c>
      <c r="IN2" s="106">
        <v>0.46812815939529473</v>
      </c>
      <c r="IO2" s="106">
        <v>0.46812815939529473</v>
      </c>
      <c r="IP2" s="106">
        <v>0.46812815939529473</v>
      </c>
      <c r="IQ2" s="106">
        <v>0.46812815939529473</v>
      </c>
      <c r="IR2" s="106">
        <v>0.46812815939529473</v>
      </c>
      <c r="IS2" s="106">
        <v>0.46812815939529473</v>
      </c>
      <c r="IT2" s="106">
        <v>0.46812815939529473</v>
      </c>
      <c r="IU2" s="106">
        <v>0.46812815939529473</v>
      </c>
      <c r="IV2" s="106">
        <v>0.46812815939529473</v>
      </c>
      <c r="IW2" s="106">
        <v>0.46812815939529473</v>
      </c>
      <c r="IX2" s="106">
        <v>0.46812815939529473</v>
      </c>
      <c r="IY2" s="106">
        <v>0.46812815939529473</v>
      </c>
      <c r="IZ2" s="106">
        <v>0.46812815939529473</v>
      </c>
      <c r="JA2" s="106">
        <v>0.46812815939529473</v>
      </c>
      <c r="JB2" s="106">
        <v>0.46812815939529473</v>
      </c>
      <c r="JC2" s="106">
        <v>0.46812815939529473</v>
      </c>
      <c r="JD2" s="106">
        <v>0.46812815939529473</v>
      </c>
      <c r="JE2" s="106">
        <v>0.46812815939529473</v>
      </c>
      <c r="JF2" s="106">
        <v>0.46812815939529473</v>
      </c>
      <c r="JG2" s="106">
        <v>0.46812815939529473</v>
      </c>
      <c r="JH2" s="106">
        <v>0.46812815939529473</v>
      </c>
      <c r="JI2" s="106">
        <v>0.46812815939529473</v>
      </c>
      <c r="JJ2" s="106">
        <v>0.46812815939529473</v>
      </c>
      <c r="JK2" s="106">
        <v>0.46812815939529473</v>
      </c>
      <c r="JL2" s="106">
        <v>0.46812815939529473</v>
      </c>
      <c r="JM2" s="106">
        <v>0.46812815939529473</v>
      </c>
      <c r="JN2" s="106">
        <v>0.46812815939529473</v>
      </c>
      <c r="JO2" s="106">
        <v>0.46812815939529473</v>
      </c>
      <c r="JP2" s="106">
        <v>0.46812815939529473</v>
      </c>
      <c r="JQ2" s="106">
        <v>0.46812815939529473</v>
      </c>
      <c r="JR2" s="106">
        <v>0.46812815939529473</v>
      </c>
      <c r="JS2" s="106">
        <v>0.46812815939529473</v>
      </c>
      <c r="JT2" s="106">
        <v>0.46812815939529473</v>
      </c>
      <c r="JU2" s="106">
        <v>0.46812815939529473</v>
      </c>
      <c r="JV2" s="106">
        <v>0.46812815939529473</v>
      </c>
      <c r="JW2" s="106">
        <v>0.46812815939529473</v>
      </c>
      <c r="JX2" s="106">
        <v>0.46812815939529473</v>
      </c>
      <c r="JY2" s="106">
        <v>0.46812815939529473</v>
      </c>
      <c r="JZ2" s="106">
        <v>0.46812815939529473</v>
      </c>
      <c r="KA2" s="106">
        <v>0.46812815939529473</v>
      </c>
      <c r="KB2" s="106">
        <v>0.46812815939529473</v>
      </c>
      <c r="KC2" s="106">
        <v>0.46812815939529473</v>
      </c>
      <c r="KD2" s="106">
        <v>0.46812815939529473</v>
      </c>
      <c r="KE2" s="106">
        <v>0.46812815939529473</v>
      </c>
      <c r="KF2" s="106">
        <v>0.46812815939529473</v>
      </c>
      <c r="KG2" s="106">
        <v>0.46812815939529473</v>
      </c>
      <c r="KH2" s="106">
        <v>0.46812815939529473</v>
      </c>
      <c r="KI2" s="106">
        <v>0.46812815939529473</v>
      </c>
      <c r="KJ2" s="106">
        <v>0.46812815939529473</v>
      </c>
      <c r="KK2" s="106">
        <v>0.46812815939529473</v>
      </c>
      <c r="KL2" s="106">
        <v>0.46812815939529473</v>
      </c>
      <c r="KM2" s="106">
        <v>0.46812815939529473</v>
      </c>
      <c r="KN2" s="106">
        <v>0.46812815939529473</v>
      </c>
      <c r="KO2" s="106">
        <v>0.46812815939529473</v>
      </c>
      <c r="KP2" s="106">
        <v>0.46812815939529473</v>
      </c>
      <c r="KQ2" s="106">
        <v>0.46812815939529473</v>
      </c>
      <c r="KR2" s="106">
        <v>0.46812815939529473</v>
      </c>
      <c r="KS2" s="106">
        <v>0.46812815939529473</v>
      </c>
      <c r="KT2" s="106">
        <v>0.46812815939529473</v>
      </c>
      <c r="KU2" s="106">
        <v>0.46812815939529473</v>
      </c>
      <c r="KV2" s="106">
        <v>0.46812815939529473</v>
      </c>
      <c r="KW2" s="106">
        <v>0.46812815939529473</v>
      </c>
      <c r="KX2" s="106">
        <v>0.46812815939529473</v>
      </c>
      <c r="KY2" s="106">
        <v>0.46812815939529473</v>
      </c>
      <c r="KZ2" s="106">
        <v>0.46812815939529473</v>
      </c>
      <c r="LA2" s="106">
        <v>0.46812815939529473</v>
      </c>
      <c r="LB2" s="106">
        <v>0.46812815939529473</v>
      </c>
      <c r="LC2" s="106">
        <v>0.46812815939529473</v>
      </c>
      <c r="LD2" s="106">
        <v>0.46812815939529473</v>
      </c>
      <c r="LE2" s="106">
        <v>0.46812815939529473</v>
      </c>
      <c r="LF2" s="106">
        <v>0.46812815939529473</v>
      </c>
      <c r="LG2" s="106">
        <v>0.46812815939529473</v>
      </c>
      <c r="LH2" s="106">
        <v>0.46812815939529473</v>
      </c>
      <c r="LI2" s="106">
        <v>0.46812815939529473</v>
      </c>
      <c r="LJ2" s="106">
        <v>0.46812815939529473</v>
      </c>
      <c r="LK2" s="106">
        <v>0.46812815939529473</v>
      </c>
      <c r="LL2" s="106">
        <v>0.46812815939529473</v>
      </c>
      <c r="LM2" s="106">
        <v>0.46812815939529473</v>
      </c>
      <c r="LN2" s="106">
        <v>0.46812815939529473</v>
      </c>
      <c r="LO2" s="106">
        <v>0.46812815939529473</v>
      </c>
      <c r="LP2" s="106">
        <v>0.46812815939529473</v>
      </c>
      <c r="LQ2" s="106">
        <v>0.46812815939529473</v>
      </c>
      <c r="LR2" s="106">
        <v>0.46812815939529473</v>
      </c>
      <c r="LS2" s="106">
        <v>0.46812815939529473</v>
      </c>
      <c r="LT2" s="106">
        <v>0.46812815939529473</v>
      </c>
      <c r="LU2" s="106">
        <v>0.46812815939529473</v>
      </c>
      <c r="LV2" s="106">
        <v>0.46812815939529473</v>
      </c>
      <c r="LW2" s="106">
        <v>0.46812815939529473</v>
      </c>
      <c r="LX2" s="106">
        <v>0.46812815939529473</v>
      </c>
      <c r="LY2" s="106">
        <v>0.46812815939529473</v>
      </c>
      <c r="LZ2" s="106">
        <v>0.46812815939529473</v>
      </c>
      <c r="MA2" s="106">
        <v>0.46812815939529473</v>
      </c>
      <c r="MB2" s="106">
        <v>0.46812815939529473</v>
      </c>
      <c r="MC2" s="106">
        <v>0.46812815939529473</v>
      </c>
      <c r="MD2" s="106">
        <v>0.46812815939529473</v>
      </c>
      <c r="ME2" s="106">
        <v>0.46812815939529473</v>
      </c>
      <c r="MF2" s="106">
        <v>0.46812815939529473</v>
      </c>
      <c r="MG2" s="106">
        <v>0.46812815939529473</v>
      </c>
      <c r="MH2" s="106">
        <v>0.46812815939529473</v>
      </c>
      <c r="MI2" s="106">
        <v>0.46812815939529473</v>
      </c>
      <c r="MJ2" s="106">
        <v>0.46812815939529473</v>
      </c>
      <c r="MK2" s="106">
        <v>0.46812815939529473</v>
      </c>
      <c r="ML2" s="106">
        <v>0.46812815939529473</v>
      </c>
      <c r="MM2" s="106">
        <v>0.46812815939529473</v>
      </c>
      <c r="MN2" s="106">
        <v>0.46812815939529473</v>
      </c>
      <c r="MO2" s="106">
        <v>0.46812815939529473</v>
      </c>
      <c r="MP2" s="106">
        <v>0.46812815939529473</v>
      </c>
      <c r="MQ2" s="106">
        <v>0.46812815939529473</v>
      </c>
      <c r="MR2" s="106">
        <v>0.46812815939529473</v>
      </c>
      <c r="MS2" s="106">
        <v>0.46812815939529473</v>
      </c>
      <c r="MT2" s="106">
        <v>0.46812815939529473</v>
      </c>
      <c r="MU2" s="106">
        <v>0.46812815939529473</v>
      </c>
      <c r="MV2" s="106">
        <v>0.46812815939529473</v>
      </c>
      <c r="MW2" s="106">
        <v>0.46812815939529473</v>
      </c>
      <c r="MX2" s="106">
        <v>0.46812815939529473</v>
      </c>
      <c r="MY2" s="106">
        <v>0.46812815939529473</v>
      </c>
      <c r="MZ2" s="106">
        <v>0.46812815939529473</v>
      </c>
      <c r="NA2" s="106">
        <v>0.46812815939529473</v>
      </c>
      <c r="NB2" s="106">
        <v>0.46812815939529473</v>
      </c>
      <c r="NC2" s="106">
        <v>0.46812815939529473</v>
      </c>
      <c r="ND2" s="106">
        <v>0.46812815939529473</v>
      </c>
      <c r="NE2" s="106">
        <v>0.46812815939529473</v>
      </c>
      <c r="NF2" s="106">
        <v>0.46812815939529473</v>
      </c>
      <c r="NG2" s="106">
        <v>0.46812815939529473</v>
      </c>
      <c r="NH2" s="106">
        <v>0.46812815939529473</v>
      </c>
      <c r="NI2" s="106">
        <v>0.46812815939529473</v>
      </c>
      <c r="NJ2" s="106">
        <v>0.46812815939529473</v>
      </c>
      <c r="NK2" s="106">
        <v>0.46812815939529473</v>
      </c>
      <c r="NL2" s="106">
        <v>0.46812815939529473</v>
      </c>
      <c r="NM2" s="106">
        <v>0.46812815939529473</v>
      </c>
      <c r="NN2" s="106">
        <v>0.46812815939529473</v>
      </c>
      <c r="NO2" s="106">
        <v>0.46812815939529473</v>
      </c>
      <c r="NP2" s="106">
        <v>0.46812815939529473</v>
      </c>
      <c r="NQ2" s="106">
        <v>0.46812815939529473</v>
      </c>
      <c r="NR2" s="106">
        <v>0.46812815939529473</v>
      </c>
      <c r="NS2" s="106">
        <v>0.46812815939529473</v>
      </c>
      <c r="NT2" s="106">
        <v>0.46812815939529473</v>
      </c>
      <c r="NU2" s="106">
        <v>0.46812815939529473</v>
      </c>
      <c r="NV2" s="106">
        <v>0.46812815939529473</v>
      </c>
      <c r="NW2" s="106">
        <v>0.46812815939529473</v>
      </c>
      <c r="NX2" s="106">
        <v>0.46812815939529473</v>
      </c>
      <c r="NY2" s="106">
        <v>0.46812815939529473</v>
      </c>
      <c r="NZ2" s="106">
        <v>0.46812815939529473</v>
      </c>
      <c r="OA2" s="106">
        <v>0.46812815939529473</v>
      </c>
      <c r="OB2" s="106">
        <v>0.46812815939529473</v>
      </c>
      <c r="OC2" s="106">
        <v>0.46812815939529473</v>
      </c>
      <c r="OD2" s="106">
        <v>0.46812815939529473</v>
      </c>
      <c r="OE2" s="106">
        <v>0.46812815939529473</v>
      </c>
      <c r="OF2" s="106">
        <v>0.46812815939529473</v>
      </c>
      <c r="OG2" s="106">
        <v>0.46812815939529473</v>
      </c>
      <c r="OH2" s="106">
        <v>0.46812815939529473</v>
      </c>
      <c r="OI2" s="106">
        <v>0.46812815939529473</v>
      </c>
      <c r="OJ2" s="106">
        <v>0.46812815939529473</v>
      </c>
      <c r="OK2" s="106">
        <v>0.46812815939529473</v>
      </c>
      <c r="OL2" s="106">
        <v>0.46812815939529473</v>
      </c>
      <c r="OM2" s="106">
        <v>0.46812815939529473</v>
      </c>
      <c r="ON2" s="106">
        <v>0.46812815939529473</v>
      </c>
      <c r="OO2" s="106">
        <v>0.46812815939529473</v>
      </c>
      <c r="OP2" s="106">
        <v>0.46812815939529473</v>
      </c>
      <c r="OQ2" s="106">
        <v>0.46812815939529473</v>
      </c>
      <c r="OR2" s="106">
        <v>0.46812815939529473</v>
      </c>
      <c r="OS2" s="106">
        <v>0.46812815939529473</v>
      </c>
      <c r="OT2" s="106">
        <v>0.46812815939529473</v>
      </c>
      <c r="OU2" s="106">
        <v>0.46812815939529473</v>
      </c>
      <c r="OV2" s="106">
        <v>0.46812815939529473</v>
      </c>
      <c r="OW2" s="106">
        <v>0.46812815939529473</v>
      </c>
      <c r="OX2" s="106">
        <v>0.46812815939529473</v>
      </c>
      <c r="OY2" s="106">
        <v>0.46812815939529473</v>
      </c>
      <c r="OZ2" s="106">
        <v>0.46812815939529473</v>
      </c>
      <c r="PA2" s="106">
        <v>0.46812815939529473</v>
      </c>
      <c r="PB2" s="106">
        <v>0.46812815939529473</v>
      </c>
      <c r="PC2" s="106">
        <v>0.46812815939529473</v>
      </c>
      <c r="PD2" s="106">
        <v>0.46812815939529473</v>
      </c>
      <c r="PE2" s="106">
        <v>0.46812815939529473</v>
      </c>
      <c r="PF2" s="106">
        <v>0.46812815939529473</v>
      </c>
      <c r="PG2" s="106">
        <v>0.46812815939529473</v>
      </c>
      <c r="PH2" s="106">
        <v>0.46812815939529473</v>
      </c>
      <c r="PI2" s="106">
        <v>0.46812815939529473</v>
      </c>
      <c r="PJ2" s="106">
        <v>0.46812815939529473</v>
      </c>
      <c r="PK2" s="106">
        <v>0.46812815939529473</v>
      </c>
      <c r="PL2" s="106">
        <v>0.46812815939529473</v>
      </c>
      <c r="PM2" s="106">
        <v>0.46812815939529473</v>
      </c>
      <c r="PN2" s="106">
        <v>0.46812815939529473</v>
      </c>
      <c r="PO2" s="106">
        <v>0.46812815939529473</v>
      </c>
      <c r="PP2" s="106">
        <v>0.46812815939529473</v>
      </c>
      <c r="PQ2" s="106">
        <v>0.46812815939529473</v>
      </c>
      <c r="PR2" s="106">
        <v>0.46812815939529473</v>
      </c>
      <c r="PS2" s="106">
        <v>0.46812815939529473</v>
      </c>
      <c r="PT2" s="106">
        <v>0.46812815939529473</v>
      </c>
      <c r="PU2" s="106">
        <v>0.46812815939529473</v>
      </c>
      <c r="PV2" s="106">
        <v>0.46812815939529473</v>
      </c>
      <c r="PW2" s="106">
        <v>0.46812815939529473</v>
      </c>
      <c r="PX2" s="106">
        <v>0.46812815939529473</v>
      </c>
      <c r="PY2" s="106">
        <v>0.46812815939529473</v>
      </c>
      <c r="PZ2" s="106">
        <v>0.46812815939529473</v>
      </c>
      <c r="QA2" s="106">
        <v>0.46812815939529473</v>
      </c>
      <c r="QB2" s="106">
        <v>0.46812815939529473</v>
      </c>
      <c r="QC2" s="106">
        <v>0.46812815939529473</v>
      </c>
      <c r="QD2" s="106">
        <v>0.46812815939529473</v>
      </c>
      <c r="QE2" s="106">
        <v>0.46812815939529473</v>
      </c>
      <c r="QF2" s="106">
        <v>0.46812815939529473</v>
      </c>
      <c r="QG2" s="106">
        <v>0.46812815939529473</v>
      </c>
      <c r="QH2" s="106">
        <v>0.46812815939529473</v>
      </c>
      <c r="QI2" s="106">
        <v>0.46812815939529473</v>
      </c>
      <c r="QJ2" s="106">
        <v>0.46812815939529473</v>
      </c>
      <c r="QK2" s="106">
        <v>0.46812815939529473</v>
      </c>
      <c r="QL2" s="106">
        <v>0.46812815939529473</v>
      </c>
      <c r="QM2" s="106">
        <v>0.46812815939529473</v>
      </c>
      <c r="QN2" s="106">
        <v>0.46812815939529473</v>
      </c>
      <c r="QO2" s="106">
        <v>0.46812815939529473</v>
      </c>
      <c r="QP2" s="106">
        <v>0.46812815939529473</v>
      </c>
      <c r="QQ2" s="106">
        <v>0.46812815939529473</v>
      </c>
      <c r="QR2" s="106">
        <v>0.46812815939529473</v>
      </c>
      <c r="QS2" s="106">
        <v>0.46812815939529473</v>
      </c>
      <c r="QT2" s="106">
        <v>0.46812815939529473</v>
      </c>
      <c r="QU2" s="106">
        <v>0.46812815939529473</v>
      </c>
      <c r="QV2" s="106">
        <v>0.46812815939529473</v>
      </c>
      <c r="QW2" s="106">
        <v>0.46812815939529473</v>
      </c>
      <c r="QX2" s="106">
        <v>0.46812815939529473</v>
      </c>
      <c r="QY2" s="106">
        <v>0.46812815939529473</v>
      </c>
      <c r="QZ2" s="106">
        <v>0.46812815939529473</v>
      </c>
      <c r="RA2" s="106">
        <v>0.46812815939529473</v>
      </c>
      <c r="RB2" s="106">
        <v>0.46812815939529473</v>
      </c>
      <c r="RC2" s="106">
        <v>0.46812815939529473</v>
      </c>
      <c r="RD2" s="106">
        <v>0.46812815939529473</v>
      </c>
      <c r="RE2" s="106">
        <v>0.46812815939529473</v>
      </c>
      <c r="RF2" s="106">
        <v>0.46812815939529473</v>
      </c>
      <c r="RG2" s="106">
        <v>0.46812815939529473</v>
      </c>
      <c r="RH2" s="106">
        <v>0.46812815939529473</v>
      </c>
      <c r="RI2" s="106">
        <v>0.46812815939529473</v>
      </c>
      <c r="RJ2" s="106">
        <v>0.46812815939529473</v>
      </c>
      <c r="RK2" s="106">
        <v>0.46812815939529473</v>
      </c>
      <c r="RL2" s="106">
        <v>0.46812815939529473</v>
      </c>
      <c r="RM2" s="106">
        <v>0.46812815939529473</v>
      </c>
      <c r="RN2" s="106">
        <v>0.46812815939529473</v>
      </c>
      <c r="RO2" s="106">
        <v>0.46812815939529473</v>
      </c>
      <c r="RP2" s="106">
        <v>0.46812815939529473</v>
      </c>
      <c r="RQ2" s="106">
        <v>0.46812815939529473</v>
      </c>
      <c r="RR2" s="106">
        <v>0.46812815939529473</v>
      </c>
      <c r="RS2" s="106">
        <v>0.46812815939529473</v>
      </c>
      <c r="RT2" s="106">
        <v>0.46812815939529473</v>
      </c>
      <c r="RU2" s="106">
        <v>0.46812815939529473</v>
      </c>
      <c r="RV2" s="106">
        <v>0.46812815939529473</v>
      </c>
      <c r="RW2" s="106">
        <v>0.46812815939529473</v>
      </c>
      <c r="RX2" s="106">
        <v>0.46812815939529473</v>
      </c>
      <c r="RY2" s="106">
        <v>0.46812815939529473</v>
      </c>
      <c r="RZ2" s="106">
        <v>0.46812815939529473</v>
      </c>
      <c r="SA2" s="106">
        <v>0.46812815939529473</v>
      </c>
      <c r="SB2" s="106">
        <v>0.46812815939529473</v>
      </c>
      <c r="SC2" s="106">
        <v>0.46812815939529473</v>
      </c>
      <c r="SD2" s="106">
        <v>0.46812815939529473</v>
      </c>
      <c r="SE2" s="106">
        <v>0.46812815939529473</v>
      </c>
      <c r="SF2" s="106">
        <v>0.46812815939529473</v>
      </c>
      <c r="SG2" s="106">
        <v>0.46812815939529473</v>
      </c>
      <c r="SH2" s="106">
        <v>0.46812815939529473</v>
      </c>
      <c r="SI2" s="106">
        <v>0.46812815939529473</v>
      </c>
      <c r="SJ2" s="106">
        <v>0.46812815939529473</v>
      </c>
      <c r="SK2" s="106">
        <v>0.46812815939529473</v>
      </c>
      <c r="SL2" s="106">
        <v>0.46812815939529473</v>
      </c>
      <c r="SM2" s="106">
        <v>0.46812815939529473</v>
      </c>
      <c r="SN2" s="106">
        <v>0.46812815939529473</v>
      </c>
      <c r="SO2" s="106">
        <v>0.46812815939529473</v>
      </c>
      <c r="SP2" s="106">
        <v>0.46812815939529473</v>
      </c>
      <c r="SQ2" s="106">
        <v>0.46812815939529473</v>
      </c>
      <c r="SR2" s="106">
        <v>0.46812815939529473</v>
      </c>
      <c r="SS2" s="106">
        <v>0.46812815939529473</v>
      </c>
      <c r="ST2" s="106">
        <v>0.46812815939529473</v>
      </c>
      <c r="SU2" s="106">
        <v>0.46812815939529473</v>
      </c>
      <c r="SV2" s="106">
        <v>0.46812815939529473</v>
      </c>
      <c r="SW2" s="106">
        <v>0.46812815939529473</v>
      </c>
      <c r="SX2" s="106">
        <v>0.46812815939529473</v>
      </c>
      <c r="SY2" s="106">
        <v>0.46812815939529473</v>
      </c>
      <c r="SZ2" s="106">
        <v>0.46812815939529473</v>
      </c>
      <c r="TA2" s="106">
        <v>0.46812815939529473</v>
      </c>
      <c r="TB2" s="106">
        <v>0.46812815939529473</v>
      </c>
      <c r="TC2" s="106">
        <v>0.46812815939529473</v>
      </c>
      <c r="TD2" s="106">
        <v>0.46812815939529473</v>
      </c>
      <c r="TE2" s="106">
        <v>0.46812815939529473</v>
      </c>
      <c r="TF2" s="106">
        <v>0.46812815939529473</v>
      </c>
      <c r="TG2" s="106">
        <v>0.46812815939529473</v>
      </c>
      <c r="TH2" s="106">
        <v>0.46812815939529473</v>
      </c>
      <c r="TI2" s="106">
        <v>0.46812815939529473</v>
      </c>
      <c r="TJ2" s="106">
        <v>0.46812815939529473</v>
      </c>
      <c r="TK2" s="106">
        <v>0.46812815939529473</v>
      </c>
      <c r="TL2" s="106">
        <v>0.46812815939529473</v>
      </c>
      <c r="TM2" s="106">
        <v>0.46812815939529473</v>
      </c>
      <c r="TN2" s="106">
        <v>0.46812815939529473</v>
      </c>
      <c r="TO2" s="106">
        <v>0.46812815939529473</v>
      </c>
      <c r="TP2" s="106">
        <v>0.46812815939529473</v>
      </c>
      <c r="TQ2" s="106">
        <v>0.46812815939529473</v>
      </c>
      <c r="TR2" s="106">
        <v>0.46812815939529473</v>
      </c>
      <c r="TS2" s="106">
        <v>0.46812815939529473</v>
      </c>
      <c r="TT2" s="106">
        <v>0.46812815939529473</v>
      </c>
      <c r="TU2" s="106">
        <v>0.46812815939529473</v>
      </c>
      <c r="TV2" s="106">
        <v>0.46812815939529473</v>
      </c>
      <c r="TW2" s="106">
        <v>0.46812815939529473</v>
      </c>
      <c r="TX2" s="106">
        <v>0.46812815939529473</v>
      </c>
      <c r="TY2" s="106">
        <v>0.46812815939529473</v>
      </c>
      <c r="TZ2" s="106">
        <v>0.46812815939529473</v>
      </c>
      <c r="UA2" s="106">
        <v>0.46812815939529473</v>
      </c>
      <c r="UB2" s="106">
        <v>0.46812815939529473</v>
      </c>
      <c r="UC2" s="106">
        <v>0.46812815939529473</v>
      </c>
      <c r="UD2" s="106">
        <v>0.46812815939529473</v>
      </c>
      <c r="UE2" s="106">
        <v>0.46812815939529473</v>
      </c>
      <c r="UF2" s="106">
        <f>SUMPRODUCT(D$1:UE$1,D2:UE2)</f>
        <v>141.84283229677362</v>
      </c>
      <c r="UG2" s="106"/>
      <c r="UH2" s="106"/>
    </row>
    <row r="3" spans="1:554" x14ac:dyDescent="0.25">
      <c r="A3" s="62" t="s">
        <v>208</v>
      </c>
      <c r="C3" s="8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  <c r="BF3" s="106"/>
      <c r="BG3" s="106"/>
      <c r="BH3" s="106"/>
      <c r="BI3" s="106"/>
      <c r="BJ3" s="106"/>
      <c r="BK3" s="106"/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6"/>
      <c r="BZ3" s="106"/>
      <c r="CA3" s="106"/>
      <c r="CB3" s="106"/>
      <c r="CC3" s="106"/>
      <c r="CD3" s="106"/>
      <c r="CE3" s="106"/>
      <c r="CF3" s="106"/>
      <c r="CG3" s="106"/>
      <c r="CH3" s="106"/>
      <c r="CI3" s="106"/>
      <c r="CJ3" s="106"/>
      <c r="CK3" s="106"/>
      <c r="CL3" s="106"/>
      <c r="CM3" s="106"/>
      <c r="CN3" s="106"/>
      <c r="CO3" s="106"/>
      <c r="CP3" s="106"/>
      <c r="CQ3" s="106"/>
      <c r="CR3" s="106"/>
      <c r="CS3" s="106"/>
      <c r="CT3" s="106"/>
      <c r="CU3" s="106"/>
      <c r="CV3" s="106"/>
      <c r="CW3" s="106"/>
      <c r="CX3" s="106"/>
      <c r="CY3" s="106"/>
      <c r="CZ3" s="106"/>
      <c r="DA3" s="106"/>
      <c r="DB3" s="106"/>
      <c r="DC3" s="106"/>
      <c r="DD3" s="106"/>
      <c r="DE3" s="106"/>
      <c r="DF3" s="106"/>
      <c r="DG3" s="106"/>
      <c r="DH3" s="106"/>
      <c r="DI3" s="106"/>
      <c r="DJ3" s="106"/>
      <c r="DK3" s="106"/>
      <c r="DL3" s="106"/>
      <c r="DM3" s="106"/>
      <c r="DN3" s="106"/>
      <c r="DO3" s="106"/>
      <c r="DP3" s="106"/>
      <c r="DQ3" s="106"/>
      <c r="DR3" s="106"/>
      <c r="DS3" s="106"/>
      <c r="DT3" s="106"/>
      <c r="DU3" s="106"/>
      <c r="DV3" s="106"/>
      <c r="DW3" s="106"/>
      <c r="DX3" s="106"/>
      <c r="DY3" s="106"/>
      <c r="DZ3" s="106"/>
      <c r="EA3" s="106"/>
      <c r="EB3" s="106"/>
      <c r="EC3" s="106"/>
      <c r="ED3" s="106"/>
      <c r="EE3" s="106"/>
      <c r="EF3" s="106"/>
      <c r="EG3" s="106"/>
      <c r="EH3" s="106"/>
      <c r="EI3" s="106"/>
      <c r="EJ3" s="106"/>
      <c r="EK3" s="106"/>
      <c r="EL3" s="106"/>
      <c r="EM3" s="106"/>
      <c r="EN3" s="106"/>
      <c r="EO3" s="106"/>
      <c r="EP3" s="106"/>
      <c r="EQ3" s="106"/>
      <c r="ER3" s="106"/>
      <c r="ES3" s="106"/>
      <c r="ET3" s="106"/>
      <c r="EU3" s="106"/>
      <c r="EV3" s="106"/>
      <c r="EW3" s="106"/>
      <c r="EX3" s="106"/>
      <c r="EY3" s="106"/>
      <c r="EZ3" s="106"/>
      <c r="FA3" s="106"/>
      <c r="FB3" s="106"/>
      <c r="FC3" s="106"/>
      <c r="FD3" s="106"/>
      <c r="FE3" s="106"/>
      <c r="FF3" s="106"/>
      <c r="FG3" s="106"/>
      <c r="FH3" s="106"/>
      <c r="FI3" s="106"/>
      <c r="FJ3" s="106"/>
      <c r="FK3" s="106"/>
      <c r="FL3" s="106"/>
      <c r="FM3" s="106"/>
      <c r="FN3" s="106"/>
      <c r="FO3" s="106"/>
      <c r="FP3" s="106"/>
      <c r="FQ3" s="106"/>
      <c r="FR3" s="106"/>
      <c r="FS3" s="106"/>
      <c r="FT3" s="106"/>
      <c r="FU3" s="106"/>
      <c r="FV3" s="106"/>
      <c r="FW3" s="106"/>
      <c r="FX3" s="106"/>
      <c r="FY3" s="106"/>
      <c r="FZ3" s="106"/>
      <c r="GA3" s="106"/>
      <c r="GB3" s="106"/>
      <c r="GC3" s="106"/>
      <c r="GD3" s="106"/>
      <c r="GE3" s="106"/>
      <c r="GF3" s="106"/>
      <c r="GG3" s="106"/>
      <c r="GH3" s="106"/>
      <c r="GI3" s="106"/>
      <c r="GJ3" s="106"/>
      <c r="GK3" s="106"/>
      <c r="GL3" s="106"/>
      <c r="GM3" s="106"/>
      <c r="GN3" s="106"/>
      <c r="GO3" s="106"/>
      <c r="GP3" s="106"/>
      <c r="GQ3" s="106"/>
      <c r="GR3" s="106"/>
      <c r="GS3" s="106"/>
      <c r="GT3" s="106"/>
      <c r="GU3" s="106"/>
      <c r="GV3" s="106"/>
      <c r="GW3" s="106"/>
      <c r="GX3" s="106"/>
      <c r="GY3" s="106"/>
      <c r="GZ3" s="106"/>
      <c r="HA3" s="106"/>
      <c r="HB3" s="106"/>
      <c r="HC3" s="106"/>
      <c r="HD3" s="106"/>
      <c r="HE3" s="106"/>
      <c r="HF3" s="106"/>
      <c r="HG3" s="106"/>
      <c r="HH3" s="106"/>
      <c r="HI3" s="106"/>
      <c r="HJ3" s="106"/>
      <c r="HK3" s="106"/>
      <c r="HL3" s="106"/>
      <c r="HM3" s="106"/>
      <c r="HN3" s="106"/>
      <c r="HO3" s="106"/>
      <c r="HP3" s="106"/>
      <c r="HQ3" s="106"/>
      <c r="HR3" s="106"/>
      <c r="HS3" s="106"/>
      <c r="HT3" s="106"/>
      <c r="HU3" s="106"/>
      <c r="HV3" s="106"/>
      <c r="HW3" s="106"/>
      <c r="HX3" s="106"/>
      <c r="HY3" s="106"/>
      <c r="HZ3" s="106"/>
      <c r="IA3" s="106"/>
      <c r="IB3" s="106"/>
      <c r="IC3" s="106"/>
      <c r="ID3" s="106"/>
      <c r="IE3" s="106"/>
      <c r="IF3" s="106"/>
      <c r="IG3" s="106"/>
      <c r="IH3" s="106"/>
      <c r="II3" s="106"/>
      <c r="IJ3" s="106"/>
      <c r="IK3" s="106"/>
      <c r="IL3" s="106"/>
      <c r="IM3" s="106"/>
      <c r="IN3" s="106"/>
      <c r="IO3" s="106"/>
      <c r="IP3" s="106"/>
      <c r="IQ3" s="106"/>
      <c r="IR3" s="106"/>
      <c r="IS3" s="106"/>
      <c r="IT3" s="106"/>
      <c r="IU3" s="106"/>
      <c r="IV3" s="106"/>
      <c r="IW3" s="106"/>
      <c r="IX3" s="106"/>
      <c r="IY3" s="106"/>
      <c r="IZ3" s="106"/>
      <c r="JA3" s="106"/>
      <c r="JB3" s="106"/>
      <c r="JC3" s="106"/>
      <c r="JD3" s="106"/>
      <c r="JE3" s="106"/>
      <c r="JF3" s="106"/>
      <c r="JG3" s="106"/>
      <c r="JH3" s="106"/>
      <c r="JI3" s="106"/>
      <c r="JJ3" s="106"/>
      <c r="JK3" s="106"/>
      <c r="JL3" s="106"/>
      <c r="JM3" s="106"/>
      <c r="JN3" s="106"/>
      <c r="JO3" s="106"/>
      <c r="JP3" s="106"/>
      <c r="JQ3" s="106"/>
      <c r="JR3" s="106"/>
      <c r="JS3" s="106"/>
      <c r="JT3" s="106"/>
      <c r="JU3" s="106"/>
      <c r="JV3" s="106"/>
      <c r="JW3" s="106"/>
      <c r="JX3" s="106"/>
      <c r="JY3" s="106"/>
      <c r="JZ3" s="106"/>
      <c r="KA3" s="106"/>
      <c r="KB3" s="106"/>
      <c r="KC3" s="106"/>
      <c r="KD3" s="106"/>
      <c r="KE3" s="106"/>
      <c r="KF3" s="106"/>
      <c r="KG3" s="106"/>
      <c r="KH3" s="106"/>
      <c r="KI3" s="106"/>
      <c r="KJ3" s="106"/>
      <c r="KK3" s="106"/>
      <c r="KL3" s="106"/>
      <c r="KM3" s="106"/>
      <c r="KN3" s="106"/>
      <c r="KO3" s="106"/>
      <c r="KP3" s="106"/>
      <c r="KQ3" s="106"/>
      <c r="KR3" s="106"/>
      <c r="KS3" s="106"/>
      <c r="KT3" s="106"/>
      <c r="KU3" s="106"/>
      <c r="KV3" s="106"/>
      <c r="KW3" s="106"/>
      <c r="KX3" s="106"/>
      <c r="KY3" s="106"/>
      <c r="KZ3" s="106"/>
      <c r="LA3" s="106"/>
      <c r="LB3" s="106"/>
      <c r="LC3" s="106"/>
      <c r="LD3" s="106"/>
      <c r="LE3" s="106"/>
      <c r="LF3" s="106"/>
      <c r="LG3" s="106"/>
      <c r="LH3" s="106"/>
      <c r="LI3" s="106"/>
      <c r="LJ3" s="106"/>
      <c r="LK3" s="106"/>
      <c r="LL3" s="106"/>
      <c r="LM3" s="106"/>
      <c r="LN3" s="106"/>
      <c r="LO3" s="106"/>
      <c r="LP3" s="106"/>
      <c r="LQ3" s="106"/>
      <c r="LR3" s="106"/>
      <c r="LS3" s="106"/>
      <c r="LT3" s="106"/>
      <c r="LU3" s="106"/>
      <c r="LV3" s="106"/>
      <c r="LW3" s="106"/>
      <c r="LX3" s="106"/>
      <c r="LY3" s="106"/>
      <c r="LZ3" s="106"/>
      <c r="MA3" s="106"/>
      <c r="MB3" s="106"/>
      <c r="MC3" s="106"/>
      <c r="MD3" s="106"/>
      <c r="ME3" s="106"/>
      <c r="MF3" s="106"/>
      <c r="MG3" s="106"/>
      <c r="MH3" s="106"/>
      <c r="MI3" s="106"/>
      <c r="MJ3" s="106"/>
      <c r="MK3" s="106"/>
      <c r="ML3" s="106"/>
      <c r="MM3" s="106"/>
      <c r="MN3" s="106"/>
      <c r="MO3" s="106"/>
      <c r="MP3" s="106"/>
      <c r="MQ3" s="106"/>
      <c r="MR3" s="106"/>
      <c r="MS3" s="106"/>
      <c r="MT3" s="106"/>
      <c r="MU3" s="106"/>
      <c r="MV3" s="106"/>
      <c r="MW3" s="106"/>
      <c r="MX3" s="106"/>
      <c r="MY3" s="106"/>
      <c r="MZ3" s="106"/>
      <c r="NA3" s="106"/>
      <c r="NB3" s="106"/>
      <c r="NC3" s="106"/>
      <c r="ND3" s="106"/>
      <c r="NE3" s="106"/>
      <c r="NF3" s="106"/>
      <c r="NG3" s="106"/>
      <c r="NH3" s="106"/>
      <c r="NI3" s="106"/>
      <c r="NJ3" s="106"/>
      <c r="NK3" s="106"/>
      <c r="NL3" s="106"/>
      <c r="NM3" s="106"/>
      <c r="NN3" s="106"/>
      <c r="NO3" s="106"/>
      <c r="NP3" s="106"/>
      <c r="NQ3" s="106"/>
      <c r="NR3" s="106"/>
      <c r="NS3" s="106"/>
      <c r="NT3" s="106"/>
      <c r="NU3" s="106"/>
      <c r="NV3" s="106"/>
      <c r="NW3" s="106"/>
      <c r="NX3" s="106"/>
      <c r="NY3" s="106"/>
      <c r="NZ3" s="106"/>
      <c r="OA3" s="106"/>
      <c r="OB3" s="106"/>
      <c r="OC3" s="106"/>
      <c r="OD3" s="106"/>
      <c r="OE3" s="106"/>
      <c r="OF3" s="106"/>
      <c r="OG3" s="106"/>
      <c r="OH3" s="106"/>
      <c r="OI3" s="106"/>
      <c r="OJ3" s="106"/>
      <c r="OK3" s="106"/>
      <c r="OL3" s="106"/>
      <c r="OM3" s="106"/>
      <c r="ON3" s="106"/>
      <c r="OO3" s="106"/>
      <c r="OP3" s="106"/>
      <c r="OQ3" s="106"/>
      <c r="OR3" s="106"/>
      <c r="OS3" s="106"/>
      <c r="OT3" s="106"/>
      <c r="OU3" s="106"/>
      <c r="OV3" s="106"/>
      <c r="OW3" s="106"/>
      <c r="OX3" s="106"/>
      <c r="OY3" s="106"/>
      <c r="OZ3" s="106"/>
      <c r="PA3" s="106"/>
      <c r="PB3" s="106"/>
      <c r="PC3" s="106"/>
      <c r="PD3" s="106"/>
      <c r="PE3" s="106"/>
      <c r="PF3" s="106"/>
      <c r="PG3" s="106"/>
      <c r="PH3" s="106"/>
      <c r="PI3" s="106"/>
      <c r="PJ3" s="106"/>
      <c r="PK3" s="106"/>
      <c r="PL3" s="106"/>
      <c r="PM3" s="106"/>
      <c r="PN3" s="106"/>
      <c r="PO3" s="106"/>
      <c r="PP3" s="106"/>
      <c r="PQ3" s="106"/>
      <c r="PR3" s="106"/>
      <c r="PS3" s="106"/>
      <c r="PT3" s="106"/>
      <c r="PU3" s="106"/>
      <c r="PV3" s="106"/>
      <c r="PW3" s="106"/>
      <c r="PX3" s="106"/>
      <c r="PY3" s="106"/>
      <c r="PZ3" s="106"/>
      <c r="QA3" s="106"/>
      <c r="QB3" s="106"/>
      <c r="QC3" s="106"/>
      <c r="QD3" s="106"/>
      <c r="QE3" s="106"/>
      <c r="QF3" s="106"/>
      <c r="QG3" s="106"/>
      <c r="QH3" s="106"/>
      <c r="QI3" s="106"/>
      <c r="QJ3" s="106"/>
      <c r="QK3" s="106"/>
      <c r="QL3" s="106"/>
      <c r="QM3" s="106"/>
      <c r="QN3" s="106"/>
      <c r="QO3" s="106"/>
      <c r="QP3" s="106"/>
      <c r="QQ3" s="106"/>
      <c r="QR3" s="106"/>
      <c r="QS3" s="106"/>
      <c r="QT3" s="106"/>
      <c r="QU3" s="106"/>
      <c r="QV3" s="106"/>
      <c r="QW3" s="106"/>
      <c r="QX3" s="106"/>
      <c r="QY3" s="106"/>
      <c r="QZ3" s="106"/>
      <c r="RA3" s="106"/>
      <c r="RB3" s="106"/>
      <c r="RC3" s="106"/>
      <c r="RD3" s="106"/>
      <c r="RE3" s="106"/>
      <c r="RF3" s="106"/>
      <c r="RG3" s="106"/>
      <c r="RH3" s="106"/>
      <c r="RI3" s="106"/>
      <c r="RJ3" s="106"/>
      <c r="RK3" s="106"/>
      <c r="RL3" s="106"/>
      <c r="RM3" s="106"/>
      <c r="RN3" s="106"/>
      <c r="RO3" s="106"/>
      <c r="RP3" s="106"/>
      <c r="RQ3" s="106"/>
      <c r="RR3" s="106"/>
      <c r="RS3" s="106"/>
      <c r="RT3" s="106"/>
      <c r="RU3" s="106"/>
      <c r="RV3" s="106"/>
      <c r="RW3" s="106"/>
      <c r="RX3" s="106"/>
      <c r="RY3" s="106"/>
      <c r="RZ3" s="106"/>
      <c r="SA3" s="106"/>
      <c r="SB3" s="106"/>
      <c r="SC3" s="106"/>
      <c r="SD3" s="106"/>
      <c r="SE3" s="106"/>
      <c r="SF3" s="106"/>
      <c r="SG3" s="106"/>
      <c r="SH3" s="106"/>
      <c r="SI3" s="106"/>
      <c r="SJ3" s="106"/>
      <c r="SK3" s="106"/>
      <c r="SL3" s="106"/>
      <c r="SM3" s="106"/>
      <c r="SN3" s="106"/>
      <c r="SO3" s="106"/>
      <c r="SP3" s="106"/>
      <c r="SQ3" s="106"/>
      <c r="SR3" s="106"/>
      <c r="SS3" s="106"/>
      <c r="ST3" s="106"/>
      <c r="SU3" s="106"/>
      <c r="SV3" s="106"/>
      <c r="SW3" s="106"/>
      <c r="SX3" s="106"/>
      <c r="SY3" s="106"/>
      <c r="SZ3" s="106"/>
      <c r="TA3" s="106"/>
      <c r="TB3" s="106"/>
      <c r="TC3" s="106"/>
      <c r="TD3" s="106"/>
      <c r="TE3" s="106"/>
      <c r="TF3" s="106"/>
      <c r="TG3" s="106"/>
      <c r="TH3" s="106"/>
      <c r="TI3" s="106"/>
      <c r="TJ3" s="106"/>
      <c r="TK3" s="106"/>
      <c r="TL3" s="106"/>
      <c r="TM3" s="106"/>
      <c r="TN3" s="106"/>
      <c r="TO3" s="106"/>
      <c r="TP3" s="106"/>
      <c r="TQ3" s="106"/>
      <c r="TR3" s="106"/>
      <c r="TS3" s="106"/>
      <c r="TT3" s="106"/>
      <c r="TU3" s="106"/>
      <c r="TV3" s="106"/>
      <c r="TW3" s="106"/>
      <c r="TX3" s="106"/>
      <c r="TY3" s="106"/>
      <c r="TZ3" s="106"/>
      <c r="UA3" s="106"/>
      <c r="UB3" s="106"/>
      <c r="UC3" s="106"/>
      <c r="UD3" s="106"/>
      <c r="UE3" s="106"/>
      <c r="UF3" s="106"/>
      <c r="UG3" s="106"/>
      <c r="UH3" s="106"/>
    </row>
    <row r="4" spans="1:554" ht="15.75" thickBot="1" x14ac:dyDescent="0.3">
      <c r="A4" s="63" t="s">
        <v>206</v>
      </c>
      <c r="C4" s="86" t="s">
        <v>409</v>
      </c>
      <c r="D4" s="106">
        <v>0.36268763461100084</v>
      </c>
      <c r="E4" s="106">
        <v>0.5864624006611896</v>
      </c>
      <c r="F4" s="106">
        <v>0.35079565270094237</v>
      </c>
      <c r="G4" s="106">
        <v>0.87305122079894504</v>
      </c>
      <c r="H4" s="106">
        <v>0.76069959910936036</v>
      </c>
      <c r="I4" s="106">
        <v>0.63007419749249971</v>
      </c>
      <c r="J4" s="106">
        <v>2.4915221950138067E-3</v>
      </c>
      <c r="K4" s="106">
        <v>0.45020956492027242</v>
      </c>
      <c r="L4" s="106">
        <v>0.72501378135993189</v>
      </c>
      <c r="M4" s="106">
        <v>0.98003797684554461</v>
      </c>
      <c r="N4" s="106">
        <v>0.19930464465505904</v>
      </c>
      <c r="O4" s="106">
        <v>0.32036654339432447</v>
      </c>
      <c r="P4" s="106">
        <v>0.29711511593305961</v>
      </c>
      <c r="Q4" s="106">
        <v>0.24254675473367204</v>
      </c>
      <c r="R4" s="106">
        <v>0.76027119027181633</v>
      </c>
      <c r="S4" s="106">
        <v>0.3217769666091016</v>
      </c>
      <c r="T4" s="106">
        <v>0.37466884992844451</v>
      </c>
      <c r="U4" s="106">
        <v>0.23152782758938284</v>
      </c>
      <c r="V4" s="106">
        <v>0.97599170443113537</v>
      </c>
      <c r="W4" s="106">
        <v>0.98839822607902195</v>
      </c>
      <c r="X4" s="106">
        <v>0.40077934749017008</v>
      </c>
      <c r="Y4" s="106">
        <v>0.79533953380419686</v>
      </c>
      <c r="Z4" s="106">
        <v>0.98653205054300219</v>
      </c>
      <c r="AA4" s="106">
        <v>0.71899377238330542</v>
      </c>
      <c r="AB4" s="106">
        <v>0.55658563064192768</v>
      </c>
      <c r="AC4" s="106">
        <v>0.3652549392279717</v>
      </c>
      <c r="AD4" s="106">
        <v>0.64432114862407208</v>
      </c>
      <c r="AE4" s="106">
        <v>0.34915718775687909</v>
      </c>
      <c r="AF4" s="106">
        <v>0.83936942932910386</v>
      </c>
      <c r="AG4" s="106">
        <v>0.39494132858052822</v>
      </c>
      <c r="AH4" s="106">
        <v>0.70473106393831708</v>
      </c>
      <c r="AI4" s="106">
        <v>0.57760306759864377</v>
      </c>
      <c r="AJ4" s="106">
        <v>0.21757013886508547</v>
      </c>
      <c r="AK4" s="106">
        <v>0.63587746946014745</v>
      </c>
      <c r="AL4" s="106">
        <v>0.62210416904742172</v>
      </c>
      <c r="AM4" s="106">
        <v>0.38669066318503442</v>
      </c>
      <c r="AN4" s="106">
        <v>0.23732938023808614</v>
      </c>
      <c r="AO4" s="106">
        <v>5.1511017395952985E-2</v>
      </c>
      <c r="AP4" s="106">
        <v>0.82264434561301647</v>
      </c>
      <c r="AQ4" s="106">
        <v>0.37076777067504263</v>
      </c>
      <c r="AR4" s="106">
        <v>0.5170288961305225</v>
      </c>
      <c r="AS4" s="106">
        <v>0.28857525016765018</v>
      </c>
      <c r="AT4" s="106">
        <v>0.82941632687176658</v>
      </c>
      <c r="AU4" s="106">
        <v>0.71167776891316326</v>
      </c>
      <c r="AV4" s="106">
        <v>0.84068623902535911</v>
      </c>
      <c r="AW4" s="106">
        <v>0.26620450457901723</v>
      </c>
      <c r="AX4" s="106">
        <v>6.1577416896073878E-2</v>
      </c>
      <c r="AY4" s="106">
        <v>0.53114537509400006</v>
      </c>
      <c r="AZ4" s="106">
        <v>0.88730025687185676</v>
      </c>
      <c r="BA4" s="106">
        <v>0.67389841137003392</v>
      </c>
      <c r="BB4" s="106">
        <v>6.5878701364750269E-2</v>
      </c>
      <c r="BC4" s="106">
        <v>0.47454051709084721</v>
      </c>
      <c r="BD4" s="106">
        <v>0.8465979649098303</v>
      </c>
      <c r="BE4" s="106">
        <v>0.37403950518833584</v>
      </c>
      <c r="BF4" s="106">
        <v>0.6036775856305967</v>
      </c>
      <c r="BG4" s="106">
        <v>0.706723082791333</v>
      </c>
      <c r="BH4" s="106">
        <v>1.5970472463822105E-3</v>
      </c>
      <c r="BI4" s="106">
        <v>0.47325570531237249</v>
      </c>
      <c r="BJ4" s="106">
        <v>0.75579773684108176</v>
      </c>
      <c r="BK4" s="106">
        <v>0.63521670986262291</v>
      </c>
      <c r="BL4" s="106">
        <v>0.70517695260356728</v>
      </c>
      <c r="BM4" s="106">
        <v>0.28311315409917293</v>
      </c>
      <c r="BN4" s="106">
        <v>0.97336384560277256</v>
      </c>
      <c r="BO4" s="106">
        <v>0.65970427274109944</v>
      </c>
      <c r="BP4" s="106">
        <v>0.98416053319178443</v>
      </c>
      <c r="BQ4" s="106">
        <v>0.67549215118050399</v>
      </c>
      <c r="BR4" s="106">
        <v>0.96243620340249891</v>
      </c>
      <c r="BS4" s="106">
        <v>0.86646399233184457</v>
      </c>
      <c r="BT4" s="106">
        <v>0.67231567712728746</v>
      </c>
      <c r="BU4" s="106">
        <v>0.47264341439624813</v>
      </c>
      <c r="BV4" s="106">
        <v>0.95854703839362887</v>
      </c>
      <c r="BW4" s="106">
        <v>0.64181358064613458</v>
      </c>
      <c r="BX4" s="106">
        <v>0.31090511011516453</v>
      </c>
      <c r="BY4" s="106">
        <v>0.96305629283392136</v>
      </c>
      <c r="BZ4" s="106">
        <v>0.92362137993428295</v>
      </c>
      <c r="CA4" s="106">
        <v>0.98874858448077207</v>
      </c>
      <c r="CB4" s="106">
        <v>0.60998699493781106</v>
      </c>
      <c r="CC4" s="106">
        <v>0.16399287937382789</v>
      </c>
      <c r="CD4" s="106">
        <v>0.71104491196860942</v>
      </c>
      <c r="CE4" s="106">
        <v>0.97082108886584439</v>
      </c>
      <c r="CF4" s="106">
        <v>0.7005577566049509</v>
      </c>
      <c r="CG4" s="106">
        <v>0.63525274080153926</v>
      </c>
      <c r="CH4" s="106">
        <v>0.6310067933037764</v>
      </c>
      <c r="CI4" s="106">
        <v>0.61688402283329113</v>
      </c>
      <c r="CJ4" s="106">
        <v>0.47776405660674059</v>
      </c>
      <c r="CK4" s="106">
        <v>0.34192029533473367</v>
      </c>
      <c r="CL4" s="106">
        <v>0.48927855160532585</v>
      </c>
      <c r="CM4" s="106">
        <v>0.96492363598510411</v>
      </c>
      <c r="CN4" s="106">
        <v>0.32826709577994273</v>
      </c>
      <c r="CO4" s="106">
        <v>0.6844849163729736</v>
      </c>
      <c r="CP4" s="106">
        <v>0.683619530646984</v>
      </c>
      <c r="CQ4" s="106">
        <v>0.59880076510801683</v>
      </c>
      <c r="CR4" s="106">
        <v>0.27374946138858403</v>
      </c>
      <c r="CS4" s="106">
        <v>0.33968701170270088</v>
      </c>
      <c r="CT4" s="106">
        <v>0.90215297621836821</v>
      </c>
      <c r="CU4" s="106">
        <v>0.89550891581584013</v>
      </c>
      <c r="CV4" s="106">
        <v>0.11075244037448118</v>
      </c>
      <c r="CW4" s="106">
        <v>0.21452827072184399</v>
      </c>
      <c r="CX4" s="106">
        <v>0.78178194048810312</v>
      </c>
      <c r="CY4" s="106">
        <v>0.41665072572140194</v>
      </c>
      <c r="CZ4" s="106">
        <v>0.38170521378575195</v>
      </c>
      <c r="DA4" s="106">
        <v>0.8726129689375236</v>
      </c>
      <c r="DB4" s="106">
        <v>0.84565780618202357</v>
      </c>
      <c r="DC4" s="106">
        <v>2.5120023577870576E-2</v>
      </c>
      <c r="DD4" s="106">
        <v>0.2905001412536472</v>
      </c>
      <c r="DE4" s="106">
        <v>0.20382158457848698</v>
      </c>
      <c r="DF4" s="106">
        <v>0.95323684897368011</v>
      </c>
      <c r="DG4" s="106">
        <v>0.12414231147667532</v>
      </c>
      <c r="DH4" s="106">
        <v>0.60965946540652827</v>
      </c>
      <c r="DI4" s="106">
        <v>0.67519335675807335</v>
      </c>
      <c r="DJ4" s="106">
        <v>0.75789636901194768</v>
      </c>
      <c r="DK4" s="106">
        <v>0.8739473642511526</v>
      </c>
      <c r="DL4" s="106">
        <v>0.34764338119576899</v>
      </c>
      <c r="DM4" s="106">
        <v>0.84295860253103116</v>
      </c>
      <c r="DN4" s="106">
        <v>0.63644776377083456</v>
      </c>
      <c r="DO4" s="106">
        <v>0.30853173652320387</v>
      </c>
      <c r="DP4" s="106">
        <v>0.93284862676345537</v>
      </c>
      <c r="DQ4" s="106">
        <v>0.22759779612124409</v>
      </c>
      <c r="DR4" s="106">
        <v>2.8232047694137785E-3</v>
      </c>
      <c r="DS4" s="106">
        <v>0.85227700391458672</v>
      </c>
      <c r="DT4" s="106">
        <v>0.64128725787818597</v>
      </c>
      <c r="DU4" s="106">
        <v>0.67744607976077809</v>
      </c>
      <c r="DV4" s="106">
        <v>0.48013498813040922</v>
      </c>
      <c r="DW4" s="106">
        <v>0.73659757940632287</v>
      </c>
      <c r="DX4" s="106">
        <v>0.1492290911074301</v>
      </c>
      <c r="DY4" s="106">
        <v>0.8828469655789879</v>
      </c>
      <c r="DZ4" s="106">
        <v>0.68333864397225375</v>
      </c>
      <c r="EA4" s="106">
        <v>0.5842179169713122</v>
      </c>
      <c r="EB4" s="106">
        <v>3.0738526801639687E-2</v>
      </c>
      <c r="EC4" s="106">
        <v>0.21874667916266211</v>
      </c>
      <c r="ED4" s="106">
        <v>0.77319079164984539</v>
      </c>
      <c r="EE4" s="106">
        <v>0.49788429872323503</v>
      </c>
      <c r="EF4" s="106">
        <v>8.415597596669433E-2</v>
      </c>
      <c r="EG4" s="106">
        <v>0.93391996400559096</v>
      </c>
      <c r="EH4" s="106">
        <v>0.75052163846398678</v>
      </c>
      <c r="EI4" s="106">
        <v>0.3568950508710772</v>
      </c>
      <c r="EJ4" s="106">
        <v>0.25704151534683706</v>
      </c>
      <c r="EK4" s="106">
        <v>0.20519525291800855</v>
      </c>
      <c r="EL4" s="106">
        <v>0.87933392816255052</v>
      </c>
      <c r="EM4" s="106">
        <v>0.37037086793536067</v>
      </c>
      <c r="EN4" s="106">
        <v>6.5448340424291263E-2</v>
      </c>
      <c r="EO4" s="106">
        <v>0.85708792796978139</v>
      </c>
      <c r="EP4" s="106">
        <v>0.236226855013564</v>
      </c>
      <c r="EQ4" s="106">
        <v>0.62874355580411356</v>
      </c>
      <c r="ER4" s="106">
        <v>0.98623632110840687</v>
      </c>
      <c r="ES4" s="106">
        <v>8.3472899883023977E-2</v>
      </c>
      <c r="ET4" s="106">
        <v>0.82196032021821785</v>
      </c>
      <c r="EU4" s="106">
        <v>0.84555402955466696</v>
      </c>
      <c r="EV4" s="106">
        <v>0.86316817808413715</v>
      </c>
      <c r="EW4" s="106">
        <v>0.34070414419304562</v>
      </c>
      <c r="EX4" s="106">
        <v>0.42286456465969002</v>
      </c>
      <c r="EY4" s="106">
        <v>0.67893741950540321</v>
      </c>
      <c r="EZ4" s="106">
        <v>0.31384678433646285</v>
      </c>
      <c r="FA4" s="106">
        <v>0.5363398358379019</v>
      </c>
      <c r="FB4" s="106">
        <v>0.33833946444474139</v>
      </c>
      <c r="FC4" s="106">
        <v>0.68063105361534226</v>
      </c>
      <c r="FD4" s="106">
        <v>0.44251482036525513</v>
      </c>
      <c r="FE4" s="106">
        <v>0.53774143634911142</v>
      </c>
      <c r="FF4" s="106">
        <v>0.47340575182323874</v>
      </c>
      <c r="FG4" s="106">
        <v>0.41559212239275967</v>
      </c>
      <c r="FH4" s="106">
        <v>0.6303512769744658</v>
      </c>
      <c r="FI4" s="106">
        <v>0.21373589849938834</v>
      </c>
      <c r="FJ4" s="106">
        <v>0.43127874142167832</v>
      </c>
      <c r="FK4" s="106">
        <v>0.39198788249886507</v>
      </c>
      <c r="FL4" s="106">
        <v>0.77678248251531379</v>
      </c>
      <c r="FM4" s="106">
        <v>0.73335113572055699</v>
      </c>
      <c r="FN4" s="106">
        <v>0.42253882859003544</v>
      </c>
      <c r="FO4" s="106">
        <v>0.21169752392622809</v>
      </c>
      <c r="FP4" s="106">
        <v>0.56450069301580708</v>
      </c>
      <c r="FQ4" s="106">
        <v>0.20647144159407571</v>
      </c>
      <c r="FR4" s="106">
        <v>0.64723495124792274</v>
      </c>
      <c r="FS4" s="106">
        <v>0.49976006901347347</v>
      </c>
      <c r="FT4" s="106">
        <v>0.64820919432742885</v>
      </c>
      <c r="FU4" s="106">
        <v>2.2462557085990542E-2</v>
      </c>
      <c r="FV4" s="106">
        <v>0.65839477889083686</v>
      </c>
      <c r="FW4" s="106">
        <v>0.27471230995100504</v>
      </c>
      <c r="FX4" s="106">
        <v>0.91424009430984976</v>
      </c>
      <c r="FY4" s="106">
        <v>0.57108548645121304</v>
      </c>
      <c r="FZ4" s="106">
        <v>0.55450631951048612</v>
      </c>
      <c r="GA4" s="106">
        <v>0.87540853858081857</v>
      </c>
      <c r="GB4" s="106">
        <v>0.115847015933077</v>
      </c>
      <c r="GC4" s="106">
        <v>0.88765337226858265</v>
      </c>
      <c r="GD4" s="106">
        <v>0.21134492283456596</v>
      </c>
      <c r="GE4" s="106">
        <v>1.4561763384998927E-2</v>
      </c>
      <c r="GF4" s="106">
        <v>8.8306803137093492E-2</v>
      </c>
      <c r="GG4" s="106">
        <v>0.24654078317988226</v>
      </c>
      <c r="GH4" s="106">
        <v>0.40989888257611273</v>
      </c>
      <c r="GI4" s="106">
        <v>0.877723542121157</v>
      </c>
      <c r="GJ4" s="106">
        <v>0.95257862647206448</v>
      </c>
      <c r="GK4" s="106">
        <v>0.52324566439605891</v>
      </c>
      <c r="GL4" s="106">
        <v>0.49154555420813639</v>
      </c>
      <c r="GM4" s="106">
        <v>0.28231600052825567</v>
      </c>
      <c r="GN4" s="106">
        <v>0.4796329843475563</v>
      </c>
      <c r="GO4" s="106">
        <v>0.25986253766474643</v>
      </c>
      <c r="GP4" s="106">
        <v>0.41784673108683246</v>
      </c>
      <c r="GQ4" s="106">
        <v>0.21475965849792145</v>
      </c>
      <c r="GR4" s="106">
        <v>0.65792946911704508</v>
      </c>
      <c r="GS4" s="106">
        <v>0.67592869867521799</v>
      </c>
      <c r="GT4" s="106">
        <v>2.9570344008664318E-2</v>
      </c>
      <c r="GU4" s="106">
        <v>0.3652549392279717</v>
      </c>
      <c r="GV4" s="106">
        <v>0.64432114862407208</v>
      </c>
      <c r="GW4" s="106">
        <v>0.34915718775687909</v>
      </c>
      <c r="GX4" s="106">
        <v>0.83936942932910386</v>
      </c>
      <c r="GY4" s="106">
        <v>0.39494132858052822</v>
      </c>
      <c r="GZ4" s="106">
        <v>0.70473106393831708</v>
      </c>
      <c r="HA4" s="106">
        <v>0.57760306759864377</v>
      </c>
      <c r="HB4" s="106">
        <v>0.21757013886508547</v>
      </c>
      <c r="HC4" s="106">
        <v>0.63587746946014745</v>
      </c>
      <c r="HD4" s="106">
        <v>0.62210416904742172</v>
      </c>
      <c r="HE4" s="106">
        <v>0.38669066318503442</v>
      </c>
      <c r="HF4" s="106">
        <v>0.23732938023808614</v>
      </c>
      <c r="HG4" s="106">
        <v>5.1511017395952985E-2</v>
      </c>
      <c r="HH4" s="106">
        <v>0.82264434561301647</v>
      </c>
      <c r="HI4" s="106">
        <v>0.37076777067504263</v>
      </c>
      <c r="HJ4" s="106">
        <v>0.5170288961305225</v>
      </c>
      <c r="HK4" s="106">
        <v>0.28857525016765018</v>
      </c>
      <c r="HL4" s="106">
        <v>0.82941632687176658</v>
      </c>
      <c r="HM4" s="106">
        <v>0.71167776891316326</v>
      </c>
      <c r="HN4" s="106">
        <v>0.84068623902535911</v>
      </c>
      <c r="HO4" s="106">
        <v>0.26620450457901723</v>
      </c>
      <c r="HP4" s="106">
        <v>6.1577416896073878E-2</v>
      </c>
      <c r="HQ4" s="106">
        <v>0.53114537509400006</v>
      </c>
      <c r="HR4" s="106">
        <v>0.88730025687185676</v>
      </c>
      <c r="HS4" s="106">
        <v>0.67389841137003392</v>
      </c>
      <c r="HT4" s="106">
        <v>6.5878701364750269E-2</v>
      </c>
      <c r="HU4" s="106">
        <v>0.47454051709084721</v>
      </c>
      <c r="HV4" s="106">
        <v>0.8465979649098303</v>
      </c>
      <c r="HW4" s="106">
        <v>0.37403950518833584</v>
      </c>
      <c r="HX4" s="106">
        <v>0.6036775856305967</v>
      </c>
      <c r="HY4" s="106">
        <v>0.706723082791333</v>
      </c>
      <c r="HZ4" s="106">
        <v>1.5970472463822105E-3</v>
      </c>
      <c r="IA4" s="106">
        <v>0.47325570531237249</v>
      </c>
      <c r="IB4" s="106">
        <v>0.75579773684108176</v>
      </c>
      <c r="IC4" s="106">
        <v>0.63521670986262291</v>
      </c>
      <c r="ID4" s="106">
        <v>0.70517695260356728</v>
      </c>
      <c r="IE4" s="106">
        <v>0.28311315409917293</v>
      </c>
      <c r="IF4" s="106">
        <v>0.97336384560277256</v>
      </c>
      <c r="IG4" s="106">
        <v>0.65970427274109944</v>
      </c>
      <c r="IH4" s="106">
        <v>0.98416053319178443</v>
      </c>
      <c r="II4" s="106">
        <v>0.67549215118050399</v>
      </c>
      <c r="IJ4" s="106">
        <v>0.96243620340249891</v>
      </c>
      <c r="IK4" s="106">
        <v>0.86646399233184457</v>
      </c>
      <c r="IL4" s="106">
        <v>0.67231567712728746</v>
      </c>
      <c r="IM4" s="106">
        <v>0.47264341439624813</v>
      </c>
      <c r="IN4" s="106">
        <v>0.95854703839362887</v>
      </c>
      <c r="IO4" s="106">
        <v>0.64181358064613458</v>
      </c>
      <c r="IP4" s="106">
        <v>0.31090511011516453</v>
      </c>
      <c r="IQ4" s="106">
        <v>0.96305629283392136</v>
      </c>
      <c r="IR4" s="106">
        <v>0.92362137993428295</v>
      </c>
      <c r="IS4" s="106">
        <v>0.98874858448077207</v>
      </c>
      <c r="IT4" s="106">
        <v>0.60998699493781106</v>
      </c>
      <c r="IU4" s="106">
        <v>0.16399287937382789</v>
      </c>
      <c r="IV4" s="106">
        <v>0.71104491196860942</v>
      </c>
      <c r="IW4" s="106">
        <v>0.97082108886584439</v>
      </c>
      <c r="IX4" s="106">
        <v>0.7005577566049509</v>
      </c>
      <c r="IY4" s="106">
        <v>0.63525274080153926</v>
      </c>
      <c r="IZ4" s="106">
        <v>0.6310067933037764</v>
      </c>
      <c r="JA4" s="106">
        <v>0.61688402283329113</v>
      </c>
      <c r="JB4" s="106">
        <v>0.47776405660674059</v>
      </c>
      <c r="JC4" s="106">
        <v>0.34192029533473367</v>
      </c>
      <c r="JD4" s="106">
        <v>0.48927855160532585</v>
      </c>
      <c r="JE4" s="106">
        <v>0.96492363598510411</v>
      </c>
      <c r="JF4" s="106">
        <v>0.32826709577994273</v>
      </c>
      <c r="JG4" s="106">
        <v>0.6844849163729736</v>
      </c>
      <c r="JH4" s="106">
        <v>0.683619530646984</v>
      </c>
      <c r="JI4" s="106">
        <v>0.59880076510801683</v>
      </c>
      <c r="JJ4" s="106">
        <v>0.27374946138858403</v>
      </c>
      <c r="JK4" s="106">
        <v>0.33968701170270088</v>
      </c>
      <c r="JL4" s="106">
        <v>0.90215297621836821</v>
      </c>
      <c r="JM4" s="106">
        <v>0.89550891581584013</v>
      </c>
      <c r="JN4" s="106">
        <v>0.11075244037448118</v>
      </c>
      <c r="JO4" s="106">
        <v>0.21452827072184399</v>
      </c>
      <c r="JP4" s="106">
        <v>0.78178194048810312</v>
      </c>
      <c r="JQ4" s="106">
        <v>0.41665072572140194</v>
      </c>
      <c r="JR4" s="106">
        <v>0.38170521378575195</v>
      </c>
      <c r="JS4" s="106">
        <v>0.8726129689375236</v>
      </c>
      <c r="JT4" s="106">
        <v>0.84565780618202357</v>
      </c>
      <c r="JU4" s="106">
        <v>2.5120023577870576E-2</v>
      </c>
      <c r="JV4" s="106">
        <v>0.2905001412536472</v>
      </c>
      <c r="JW4" s="106">
        <v>0.20382158457848698</v>
      </c>
      <c r="JX4" s="106">
        <v>0.95323684897368011</v>
      </c>
      <c r="JY4" s="106">
        <v>0.12414231147667532</v>
      </c>
      <c r="JZ4" s="106">
        <v>0.60965946540652827</v>
      </c>
      <c r="KA4" s="106">
        <v>0.67519335675807335</v>
      </c>
      <c r="KB4" s="106">
        <v>0.75789636901194768</v>
      </c>
      <c r="KC4" s="106">
        <v>0.8739473642511526</v>
      </c>
      <c r="KD4" s="106">
        <v>0.34764338119576899</v>
      </c>
      <c r="KE4" s="106">
        <v>0.84295860253103116</v>
      </c>
      <c r="KF4" s="106">
        <v>0.63644776377083456</v>
      </c>
      <c r="KG4" s="106">
        <v>0.30853173652320387</v>
      </c>
      <c r="KH4" s="106">
        <v>0.93284862676345537</v>
      </c>
      <c r="KI4" s="106">
        <v>0.22759779612124409</v>
      </c>
      <c r="KJ4" s="106">
        <v>2.8232047694137785E-3</v>
      </c>
      <c r="KK4" s="106">
        <v>0.85227700391458672</v>
      </c>
      <c r="KL4" s="106">
        <v>0.64128725787818597</v>
      </c>
      <c r="KM4" s="106">
        <v>0.67744607976077809</v>
      </c>
      <c r="KN4" s="106">
        <v>0.48013498813040922</v>
      </c>
      <c r="KO4" s="106">
        <v>0.73659757940632287</v>
      </c>
      <c r="KP4" s="106">
        <v>0.1492290911074301</v>
      </c>
      <c r="KQ4" s="106">
        <v>0.8828469655789879</v>
      </c>
      <c r="KR4" s="106">
        <v>0.68333864397225375</v>
      </c>
      <c r="KS4" s="106">
        <v>0.5842179169713122</v>
      </c>
      <c r="KT4" s="106">
        <v>3.0738526801639687E-2</v>
      </c>
      <c r="KU4" s="106">
        <v>0.21874667916266211</v>
      </c>
      <c r="KV4" s="106">
        <v>0.77319079164984539</v>
      </c>
      <c r="KW4" s="106">
        <v>0.49788429872323503</v>
      </c>
      <c r="KX4" s="106">
        <v>8.415597596669433E-2</v>
      </c>
      <c r="KY4" s="106">
        <v>0.93391996400559096</v>
      </c>
      <c r="KZ4" s="106">
        <v>0.75052163846398678</v>
      </c>
      <c r="LA4" s="106">
        <v>0.3568950508710772</v>
      </c>
      <c r="LB4" s="106">
        <v>0.25704151534683706</v>
      </c>
      <c r="LC4" s="106">
        <v>0.20519525291800855</v>
      </c>
      <c r="LD4" s="106">
        <v>0.87933392816255052</v>
      </c>
      <c r="LE4" s="106">
        <v>0.37037086793536067</v>
      </c>
      <c r="LF4" s="106">
        <v>6.5448340424291263E-2</v>
      </c>
      <c r="LG4" s="106">
        <v>0.85708792796978139</v>
      </c>
      <c r="LH4" s="106">
        <v>0.236226855013564</v>
      </c>
      <c r="LI4" s="106">
        <v>0.62874355580411356</v>
      </c>
      <c r="LJ4" s="106">
        <v>0.98623632110840687</v>
      </c>
      <c r="LK4" s="106">
        <v>8.3472899883023977E-2</v>
      </c>
      <c r="LL4" s="106">
        <v>0.82196032021821785</v>
      </c>
      <c r="LM4" s="106">
        <v>0.84555402955466696</v>
      </c>
      <c r="LN4" s="106">
        <v>0.86316817808413715</v>
      </c>
      <c r="LO4" s="106">
        <v>0.34070414419304562</v>
      </c>
      <c r="LP4" s="106">
        <v>0.42286456465969002</v>
      </c>
      <c r="LQ4" s="106">
        <v>0.67893741950540321</v>
      </c>
      <c r="LR4" s="106">
        <v>0.31384678433646285</v>
      </c>
      <c r="LS4" s="106">
        <v>0.5363398358379019</v>
      </c>
      <c r="LT4" s="106">
        <v>0.33833946444474139</v>
      </c>
      <c r="LU4" s="106">
        <v>0.68063105361534226</v>
      </c>
      <c r="LV4" s="106">
        <v>0.44251482036525513</v>
      </c>
      <c r="LW4" s="106">
        <v>0.53774143634911142</v>
      </c>
      <c r="LX4" s="106">
        <v>0.47340575182323874</v>
      </c>
      <c r="LY4" s="106">
        <v>0.41559212239275967</v>
      </c>
      <c r="LZ4" s="106">
        <v>0.6303512769744658</v>
      </c>
      <c r="MA4" s="106">
        <v>0.21373589849938834</v>
      </c>
      <c r="MB4" s="106">
        <v>0.43127874142167832</v>
      </c>
      <c r="MC4" s="106">
        <v>0.39198788249886507</v>
      </c>
      <c r="MD4" s="106">
        <v>0.77678248251531379</v>
      </c>
      <c r="ME4" s="106">
        <v>0.73335113572055699</v>
      </c>
      <c r="MF4" s="106">
        <v>0.42253882859003544</v>
      </c>
      <c r="MG4" s="106">
        <v>0.21169752392622809</v>
      </c>
      <c r="MH4" s="106">
        <v>0.56450069301580708</v>
      </c>
      <c r="MI4" s="106">
        <v>0.20647144159407571</v>
      </c>
      <c r="MJ4" s="106">
        <v>0.64723495124792274</v>
      </c>
      <c r="MK4" s="106">
        <v>0.49976006901347347</v>
      </c>
      <c r="ML4" s="106">
        <v>0.64820919432742885</v>
      </c>
      <c r="MM4" s="106">
        <v>2.2462557085990542E-2</v>
      </c>
      <c r="MN4" s="106">
        <v>0.65839477889083686</v>
      </c>
      <c r="MO4" s="106">
        <v>0.27471230995100504</v>
      </c>
      <c r="MP4" s="106">
        <v>0.91424009430984976</v>
      </c>
      <c r="MQ4" s="106">
        <v>0.57108548645121304</v>
      </c>
      <c r="MR4" s="106">
        <v>0.55450631951048612</v>
      </c>
      <c r="MS4" s="106">
        <v>0.87540853858081857</v>
      </c>
      <c r="MT4" s="106">
        <v>0.115847015933077</v>
      </c>
      <c r="MU4" s="106">
        <v>0.88765337226858265</v>
      </c>
      <c r="MV4" s="106">
        <v>0.21134492283456596</v>
      </c>
      <c r="MW4" s="106">
        <v>1.4561763384998927E-2</v>
      </c>
      <c r="MX4" s="106">
        <v>8.8306803137093492E-2</v>
      </c>
      <c r="MY4" s="106">
        <v>0.24654078317988226</v>
      </c>
      <c r="MZ4" s="106">
        <v>0.40989888257611273</v>
      </c>
      <c r="NA4" s="106">
        <v>0.877723542121157</v>
      </c>
      <c r="NB4" s="106">
        <v>0.95257862647206448</v>
      </c>
      <c r="NC4" s="106">
        <v>0.52324566439605891</v>
      </c>
      <c r="ND4" s="106">
        <v>0.49154555420813639</v>
      </c>
      <c r="NE4" s="106">
        <v>0.28231600052825567</v>
      </c>
      <c r="NF4" s="106">
        <v>0.4796329843475563</v>
      </c>
      <c r="NG4" s="106">
        <v>0.25986253766474643</v>
      </c>
      <c r="NH4" s="106">
        <v>0.41784673108683246</v>
      </c>
      <c r="NI4" s="106">
        <v>0.21475965849792145</v>
      </c>
      <c r="NJ4" s="106">
        <v>0.65792946911704508</v>
      </c>
      <c r="NK4" s="106">
        <v>0.67592869867521799</v>
      </c>
      <c r="NL4" s="106">
        <v>2.9570344008664318E-2</v>
      </c>
      <c r="NM4" s="106">
        <v>0.92567477864506853</v>
      </c>
      <c r="NN4" s="106">
        <v>0.64432114862407208</v>
      </c>
      <c r="NO4" s="106">
        <v>0.34915718775687909</v>
      </c>
      <c r="NP4" s="106">
        <v>0.83936942932910386</v>
      </c>
      <c r="NQ4" s="106">
        <v>0.39494132858052822</v>
      </c>
      <c r="NR4" s="106">
        <v>0.70473106393831708</v>
      </c>
      <c r="NS4" s="106">
        <v>0.57760306759864377</v>
      </c>
      <c r="NT4" s="106">
        <v>0.21757013886508547</v>
      </c>
      <c r="NU4" s="106">
        <v>0.63587746946014745</v>
      </c>
      <c r="NV4" s="106">
        <v>0.62210416904742172</v>
      </c>
      <c r="NW4" s="106">
        <v>0.38669066318503442</v>
      </c>
      <c r="NX4" s="106">
        <v>0.23732938023808614</v>
      </c>
      <c r="NY4" s="106">
        <v>5.1511017395952985E-2</v>
      </c>
      <c r="NZ4" s="106">
        <v>0.82264434561301647</v>
      </c>
      <c r="OA4" s="106">
        <v>0.37076777067504263</v>
      </c>
      <c r="OB4" s="106">
        <v>0.5170288961305225</v>
      </c>
      <c r="OC4" s="106">
        <v>0.28857525016765018</v>
      </c>
      <c r="OD4" s="106">
        <v>0.82941632687176658</v>
      </c>
      <c r="OE4" s="106">
        <v>0.71167776891316326</v>
      </c>
      <c r="OF4" s="106">
        <v>0.84068623902535911</v>
      </c>
      <c r="OG4" s="106">
        <v>0.26620450457901723</v>
      </c>
      <c r="OH4" s="106">
        <v>6.1577416896073878E-2</v>
      </c>
      <c r="OI4" s="106">
        <v>0.53114537509400006</v>
      </c>
      <c r="OJ4" s="106">
        <v>0.88730025687185676</v>
      </c>
      <c r="OK4" s="106">
        <v>0.67389841137003392</v>
      </c>
      <c r="OL4" s="106">
        <v>6.5878701364750269E-2</v>
      </c>
      <c r="OM4" s="106">
        <v>0.47454051709084721</v>
      </c>
      <c r="ON4" s="106">
        <v>0.8465979649098303</v>
      </c>
      <c r="OO4" s="106">
        <v>0.37403950518833584</v>
      </c>
      <c r="OP4" s="106">
        <v>0.6036775856305967</v>
      </c>
      <c r="OQ4" s="106">
        <v>0.706723082791333</v>
      </c>
      <c r="OR4" s="106">
        <v>1.5970472463822105E-3</v>
      </c>
      <c r="OS4" s="106">
        <v>0.47325570531237249</v>
      </c>
      <c r="OT4" s="106">
        <v>0.75579773684108176</v>
      </c>
      <c r="OU4" s="106">
        <v>0.63521670986262291</v>
      </c>
      <c r="OV4" s="106">
        <v>0.70517695260356728</v>
      </c>
      <c r="OW4" s="106">
        <v>0.28311315409917293</v>
      </c>
      <c r="OX4" s="106">
        <v>0.97336384560277256</v>
      </c>
      <c r="OY4" s="106">
        <v>0.65970427274109944</v>
      </c>
      <c r="OZ4" s="106">
        <v>0.98416053319178443</v>
      </c>
      <c r="PA4" s="106">
        <v>0.67549215118050399</v>
      </c>
      <c r="PB4" s="106">
        <v>0.96243620340249891</v>
      </c>
      <c r="PC4" s="106">
        <v>0.86646399233184457</v>
      </c>
      <c r="PD4" s="106">
        <v>0.67231567712728746</v>
      </c>
      <c r="PE4" s="106">
        <v>0.47264341439624813</v>
      </c>
      <c r="PF4" s="106">
        <v>0.95854703839362887</v>
      </c>
      <c r="PG4" s="106">
        <v>0.64181358064613458</v>
      </c>
      <c r="PH4" s="106">
        <v>0.31090511011516453</v>
      </c>
      <c r="PI4" s="106">
        <v>0.96305629283392136</v>
      </c>
      <c r="PJ4" s="106">
        <v>0.92362137993428295</v>
      </c>
      <c r="PK4" s="106">
        <v>0.98874858448077207</v>
      </c>
      <c r="PL4" s="106">
        <v>0.60998699493781106</v>
      </c>
      <c r="PM4" s="106">
        <v>0.16399287937382789</v>
      </c>
      <c r="PN4" s="106">
        <v>0.71104491196860942</v>
      </c>
      <c r="PO4" s="106">
        <v>0.97082108886584439</v>
      </c>
      <c r="PP4" s="106">
        <v>0.7005577566049509</v>
      </c>
      <c r="PQ4" s="106">
        <v>0.63525274080153926</v>
      </c>
      <c r="PR4" s="106">
        <v>0.6310067933037764</v>
      </c>
      <c r="PS4" s="106">
        <v>0.61688402283329113</v>
      </c>
      <c r="PT4" s="106">
        <v>0.47776405660674059</v>
      </c>
      <c r="PU4" s="106">
        <v>0.34192029533473367</v>
      </c>
      <c r="PV4" s="106">
        <v>0.48927855160532585</v>
      </c>
      <c r="PW4" s="106">
        <v>0.96492363598510411</v>
      </c>
      <c r="PX4" s="106">
        <v>0.32826709577994273</v>
      </c>
      <c r="PY4" s="106">
        <v>0.6844849163729736</v>
      </c>
      <c r="PZ4" s="106">
        <v>0.683619530646984</v>
      </c>
      <c r="QA4" s="106">
        <v>0.59880076510801683</v>
      </c>
      <c r="QB4" s="106">
        <v>0.27374946138858403</v>
      </c>
      <c r="QC4" s="106">
        <v>0.33968701170270088</v>
      </c>
      <c r="QD4" s="106">
        <v>0.90215297621836821</v>
      </c>
      <c r="QE4" s="106">
        <v>0.89550891581584013</v>
      </c>
      <c r="QF4" s="106">
        <v>0.11075244037448118</v>
      </c>
      <c r="QG4" s="106">
        <v>0.21452827072184399</v>
      </c>
      <c r="QH4" s="106">
        <v>0.78178194048810312</v>
      </c>
      <c r="QI4" s="106">
        <v>0.41665072572140194</v>
      </c>
      <c r="QJ4" s="106">
        <v>0.38170521378575195</v>
      </c>
      <c r="QK4" s="106">
        <v>0.8726129689375236</v>
      </c>
      <c r="QL4" s="106">
        <v>0.84565780618202357</v>
      </c>
      <c r="QM4" s="106">
        <v>2.5120023577870576E-2</v>
      </c>
      <c r="QN4" s="106">
        <v>0.2905001412536472</v>
      </c>
      <c r="QO4" s="106">
        <v>0.20382158457848698</v>
      </c>
      <c r="QP4" s="106">
        <v>0.95323684897368011</v>
      </c>
      <c r="QQ4" s="106">
        <v>0.12414231147667532</v>
      </c>
      <c r="QR4" s="106">
        <v>0.60965946540652827</v>
      </c>
      <c r="QS4" s="106">
        <v>0.67519335675807335</v>
      </c>
      <c r="QT4" s="106">
        <v>0.75789636901194768</v>
      </c>
      <c r="QU4" s="106">
        <v>0.8739473642511526</v>
      </c>
      <c r="QV4" s="106">
        <v>0.34764338119576899</v>
      </c>
      <c r="QW4" s="106">
        <v>0.84295860253103116</v>
      </c>
      <c r="QX4" s="106">
        <v>0.63644776377083456</v>
      </c>
      <c r="QY4" s="106">
        <v>0.30853173652320387</v>
      </c>
      <c r="QZ4" s="106">
        <v>0.93284862676345537</v>
      </c>
      <c r="RA4" s="106">
        <v>0.22759779612124409</v>
      </c>
      <c r="RB4" s="106">
        <v>2.8232047694137785E-3</v>
      </c>
      <c r="RC4" s="106">
        <v>0.85227700391458672</v>
      </c>
      <c r="RD4" s="106">
        <v>0.64128725787818597</v>
      </c>
      <c r="RE4" s="106">
        <v>0.67744607976077809</v>
      </c>
      <c r="RF4" s="106">
        <v>0.48013498813040922</v>
      </c>
      <c r="RG4" s="106">
        <v>0.73659757940632287</v>
      </c>
      <c r="RH4" s="106">
        <v>0.1492290911074301</v>
      </c>
      <c r="RI4" s="106">
        <v>0.8828469655789879</v>
      </c>
      <c r="RJ4" s="106">
        <v>0.68333864397225375</v>
      </c>
      <c r="RK4" s="106">
        <v>0.5842179169713122</v>
      </c>
      <c r="RL4" s="106">
        <v>3.0738526801639687E-2</v>
      </c>
      <c r="RM4" s="106">
        <v>0.21874667916266211</v>
      </c>
      <c r="RN4" s="106">
        <v>0.77319079164984539</v>
      </c>
      <c r="RO4" s="106">
        <v>0.49788429872323503</v>
      </c>
      <c r="RP4" s="106">
        <v>8.415597596669433E-2</v>
      </c>
      <c r="RQ4" s="106">
        <v>0.93391996400559096</v>
      </c>
      <c r="RR4" s="106">
        <v>0.75052163846398678</v>
      </c>
      <c r="RS4" s="106">
        <v>0.3568950508710772</v>
      </c>
      <c r="RT4" s="106">
        <v>0.25704151534683706</v>
      </c>
      <c r="RU4" s="106">
        <v>0.20519525291800855</v>
      </c>
      <c r="RV4" s="106">
        <v>0.87933392816255052</v>
      </c>
      <c r="RW4" s="106">
        <v>0.37037086793536067</v>
      </c>
      <c r="RX4" s="106">
        <v>6.5448340424291263E-2</v>
      </c>
      <c r="RY4" s="106">
        <v>0.85708792796978139</v>
      </c>
      <c r="RZ4" s="106">
        <v>0.236226855013564</v>
      </c>
      <c r="SA4" s="106">
        <v>0.62874355580411356</v>
      </c>
      <c r="SB4" s="106">
        <v>0.98623632110840687</v>
      </c>
      <c r="SC4" s="106">
        <v>8.3472899883023977E-2</v>
      </c>
      <c r="SD4" s="106">
        <v>0.82196032021821785</v>
      </c>
      <c r="SE4" s="106">
        <v>0.84555402955466696</v>
      </c>
      <c r="SF4" s="106">
        <v>0.86316817808413715</v>
      </c>
      <c r="SG4" s="106">
        <v>0.34070414419304562</v>
      </c>
      <c r="SH4" s="106">
        <v>0.42286456465969002</v>
      </c>
      <c r="SI4" s="106">
        <v>0.67893741950540321</v>
      </c>
      <c r="SJ4" s="106">
        <v>0.31384678433646285</v>
      </c>
      <c r="SK4" s="106">
        <v>0.5363398358379019</v>
      </c>
      <c r="SL4" s="106">
        <v>0.33833946444474139</v>
      </c>
      <c r="SM4" s="106">
        <v>0.68063105361534226</v>
      </c>
      <c r="SN4" s="106">
        <v>0.44251482036525513</v>
      </c>
      <c r="SO4" s="106">
        <v>0.53774143634911142</v>
      </c>
      <c r="SP4" s="106">
        <v>0.47340575182323874</v>
      </c>
      <c r="SQ4" s="106">
        <v>0.41559212239275967</v>
      </c>
      <c r="SR4" s="106">
        <v>0.6303512769744658</v>
      </c>
      <c r="SS4" s="106">
        <v>0.21373589849938834</v>
      </c>
      <c r="ST4" s="106">
        <v>0.43127874142167832</v>
      </c>
      <c r="SU4" s="106">
        <v>0.39198788249886507</v>
      </c>
      <c r="SV4" s="106">
        <v>0.77678248251531379</v>
      </c>
      <c r="SW4" s="106">
        <v>0.73335113572055699</v>
      </c>
      <c r="SX4" s="106">
        <v>0.42253882859003544</v>
      </c>
      <c r="SY4" s="106">
        <v>0.21169752392622809</v>
      </c>
      <c r="SZ4" s="106">
        <v>0.56450069301580708</v>
      </c>
      <c r="TA4" s="106">
        <v>0.20647144159407571</v>
      </c>
      <c r="TB4" s="106">
        <v>0.64723495124792274</v>
      </c>
      <c r="TC4" s="106">
        <v>0.49976006901347347</v>
      </c>
      <c r="TD4" s="106">
        <v>0.64820919432742885</v>
      </c>
      <c r="TE4" s="106">
        <v>2.2462557085990542E-2</v>
      </c>
      <c r="TF4" s="106">
        <v>0.65839477889083686</v>
      </c>
      <c r="TG4" s="106">
        <v>0.27471230995100504</v>
      </c>
      <c r="TH4" s="106">
        <v>0.91424009430984976</v>
      </c>
      <c r="TI4" s="106">
        <v>0.57108548645121304</v>
      </c>
      <c r="TJ4" s="106">
        <v>0.55450631951048612</v>
      </c>
      <c r="TK4" s="106">
        <v>0.87540853858081857</v>
      </c>
      <c r="TL4" s="106">
        <v>0.115847015933077</v>
      </c>
      <c r="TM4" s="106">
        <v>0.88765337226858265</v>
      </c>
      <c r="TN4" s="106">
        <v>0.21134492283456596</v>
      </c>
      <c r="TO4" s="106">
        <v>1.4561763384998927E-2</v>
      </c>
      <c r="TP4" s="106">
        <v>8.8306803137093492E-2</v>
      </c>
      <c r="TQ4" s="106">
        <v>0.24654078317988226</v>
      </c>
      <c r="TR4" s="106">
        <v>0.40989888257611273</v>
      </c>
      <c r="TS4" s="106">
        <v>0.877723542121157</v>
      </c>
      <c r="TT4" s="106">
        <v>0.95257862647206448</v>
      </c>
      <c r="TU4" s="106">
        <v>0.52324566439605891</v>
      </c>
      <c r="TV4" s="106">
        <v>0.49154555420813639</v>
      </c>
      <c r="TW4" s="106">
        <v>0.28231600052825567</v>
      </c>
      <c r="TX4" s="106">
        <v>0.4796329843475563</v>
      </c>
      <c r="TY4" s="106">
        <v>0.25986253766474643</v>
      </c>
      <c r="TZ4" s="106">
        <v>0.41784673108683246</v>
      </c>
      <c r="UA4" s="106">
        <v>0.21475965849792145</v>
      </c>
      <c r="UB4" s="106">
        <v>0.65792946911704508</v>
      </c>
      <c r="UC4" s="106">
        <v>0.67592869867521799</v>
      </c>
      <c r="UD4" s="106">
        <v>2.9570344008664318E-2</v>
      </c>
      <c r="UE4" s="106">
        <v>0.92567477864506853</v>
      </c>
      <c r="UF4" s="106">
        <f>SUMPRODUCT(D$1:UE$1,D4:UE4)</f>
        <v>99.76568219962067</v>
      </c>
      <c r="UG4" s="106" t="s">
        <v>8</v>
      </c>
      <c r="UH4" s="106">
        <v>100</v>
      </c>
    </row>
    <row r="5" spans="1:554" x14ac:dyDescent="0.25">
      <c r="A5" s="62" t="s">
        <v>209</v>
      </c>
    </row>
    <row r="6" spans="1:554" ht="15.75" thickBot="1" x14ac:dyDescent="0.3">
      <c r="A6" s="63" t="b">
        <f>C13</f>
        <v>1</v>
      </c>
    </row>
    <row r="7" spans="1:554" x14ac:dyDescent="0.25">
      <c r="A7" s="62" t="s">
        <v>210</v>
      </c>
    </row>
    <row r="8" spans="1:554" x14ac:dyDescent="0.25">
      <c r="A8" s="64"/>
    </row>
    <row r="9" spans="1:554" ht="15.75" thickBot="1" x14ac:dyDescent="0.3">
      <c r="A9" s="63" t="e">
        <f>VLOOKUP(A8,OpenSolverResultCodes,2,FALSE)</f>
        <v>#N/A</v>
      </c>
      <c r="D9" s="83" t="s">
        <v>410</v>
      </c>
    </row>
    <row r="10" spans="1:554" ht="15.75" thickBot="1" x14ac:dyDescent="0.3">
      <c r="A10" s="156" t="str">
        <f>HYPERLINK("[OpenSolver Tester.xlsm]Results!A1", "&lt;- Results")</f>
        <v>&lt;- Results</v>
      </c>
      <c r="C10" s="124" t="s">
        <v>257</v>
      </c>
    </row>
    <row r="11" spans="1:554" x14ac:dyDescent="0.25">
      <c r="C11" s="183">
        <f>UF2</f>
        <v>141.84283229677362</v>
      </c>
      <c r="D11" s="83" t="s">
        <v>411</v>
      </c>
    </row>
    <row r="12" spans="1:554" x14ac:dyDescent="0.25">
      <c r="C12" s="183">
        <v>141.84283229677362</v>
      </c>
      <c r="D12" s="83" t="s">
        <v>412</v>
      </c>
    </row>
    <row r="13" spans="1:554" x14ac:dyDescent="0.25">
      <c r="C13" s="181" t="b">
        <f>ABS(C12-C11)&lt;0.000001</f>
        <v>1</v>
      </c>
    </row>
    <row r="15" spans="1:554" x14ac:dyDescent="0.25">
      <c r="D15" s="83" t="s">
        <v>413</v>
      </c>
    </row>
    <row r="16" spans="1:554" x14ac:dyDescent="0.25">
      <c r="D16" s="83" t="s">
        <v>414</v>
      </c>
    </row>
    <row r="17" spans="3:4" x14ac:dyDescent="0.25">
      <c r="D17" s="83" t="s">
        <v>415</v>
      </c>
    </row>
    <row r="20" spans="3:4" x14ac:dyDescent="0.25">
      <c r="C20" s="83" t="s">
        <v>417</v>
      </c>
      <c r="D20" s="83">
        <v>0</v>
      </c>
    </row>
    <row r="21" spans="3:4" x14ac:dyDescent="0.25">
      <c r="C21"/>
    </row>
    <row r="22" spans="3:4" ht="15.75" thickBot="1" x14ac:dyDescent="0.3">
      <c r="C22"/>
    </row>
    <row r="23" spans="3:4" ht="15.75" thickBot="1" x14ac:dyDescent="0.3">
      <c r="C23" s="182">
        <v>2</v>
      </c>
      <c r="D23" s="83" t="s">
        <v>416</v>
      </c>
    </row>
    <row r="24" spans="3:4" ht="15.75" thickBot="1" x14ac:dyDescent="0.3">
      <c r="C24" s="182">
        <v>0</v>
      </c>
      <c r="D24" s="83" t="s">
        <v>418</v>
      </c>
    </row>
    <row r="25" spans="3:4" x14ac:dyDescent="0.25">
      <c r="C25" s="83">
        <f>SUM(C23:C24)</f>
        <v>2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375" customWidth="1"/>
  </cols>
  <sheetData>
    <row r="1" spans="1:16" x14ac:dyDescent="0.25">
      <c r="A1" s="62" t="s">
        <v>203</v>
      </c>
      <c r="K1" t="s">
        <v>319</v>
      </c>
      <c r="L1" t="s">
        <v>320</v>
      </c>
      <c r="M1" t="s">
        <v>321</v>
      </c>
      <c r="N1" t="s">
        <v>322</v>
      </c>
    </row>
    <row r="2" spans="1:16" ht="15.75" thickBot="1" x14ac:dyDescent="0.3">
      <c r="A2" s="63" t="s">
        <v>204</v>
      </c>
      <c r="K2" t="s">
        <v>315</v>
      </c>
      <c r="L2">
        <v>0</v>
      </c>
      <c r="M2">
        <v>1E+100</v>
      </c>
      <c r="N2">
        <v>5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K3" t="s">
        <v>358</v>
      </c>
      <c r="L3">
        <v>-1</v>
      </c>
      <c r="M3">
        <v>3</v>
      </c>
      <c r="N3">
        <v>2</v>
      </c>
      <c r="O3" s="80"/>
    </row>
    <row r="4" spans="1:16" ht="15.75" thickBot="1" x14ac:dyDescent="0.3">
      <c r="A4" s="63" t="s">
        <v>206</v>
      </c>
      <c r="D4">
        <v>0</v>
      </c>
      <c r="E4">
        <v>4</v>
      </c>
      <c r="F4">
        <v>3</v>
      </c>
      <c r="K4" t="s">
        <v>359</v>
      </c>
      <c r="L4">
        <v>0</v>
      </c>
      <c r="M4">
        <v>1E+100</v>
      </c>
      <c r="N4">
        <v>2</v>
      </c>
      <c r="O4" s="80"/>
    </row>
    <row r="5" spans="1:16" x14ac:dyDescent="0.25">
      <c r="A5" s="62" t="s">
        <v>209</v>
      </c>
      <c r="K5" t="s">
        <v>360</v>
      </c>
      <c r="L5">
        <v>2</v>
      </c>
      <c r="M5">
        <v>2</v>
      </c>
      <c r="N5">
        <v>3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</v>
      </c>
      <c r="K6" t="s">
        <v>400</v>
      </c>
      <c r="L6">
        <v>0</v>
      </c>
      <c r="M6">
        <v>0</v>
      </c>
      <c r="N6">
        <v>0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K8" t="s">
        <v>326</v>
      </c>
      <c r="L8" t="s">
        <v>327</v>
      </c>
      <c r="M8" t="s">
        <v>321</v>
      </c>
      <c r="N8" t="s">
        <v>322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K9" t="s">
        <v>355</v>
      </c>
      <c r="L9">
        <v>-1</v>
      </c>
      <c r="M9">
        <v>1</v>
      </c>
      <c r="N9">
        <v>1E+100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K10" t="s">
        <v>356</v>
      </c>
      <c r="L10">
        <v>0</v>
      </c>
      <c r="M10">
        <v>1</v>
      </c>
      <c r="N10">
        <v>1E+100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  <c r="K11" t="s">
        <v>357</v>
      </c>
      <c r="L11">
        <v>0</v>
      </c>
      <c r="M11">
        <v>1E+100</v>
      </c>
      <c r="N11">
        <v>1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W44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</cols>
  <sheetData>
    <row r="1" spans="1:23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23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  <c r="T2" t="s">
        <v>319</v>
      </c>
      <c r="U2" t="s">
        <v>320</v>
      </c>
      <c r="V2" t="s">
        <v>321</v>
      </c>
      <c r="W2" t="s">
        <v>322</v>
      </c>
    </row>
    <row r="3" spans="1:23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  <c r="T3" t="s">
        <v>385</v>
      </c>
      <c r="U3">
        <v>0</v>
      </c>
      <c r="V3">
        <v>100</v>
      </c>
      <c r="W3">
        <v>1E+100</v>
      </c>
    </row>
    <row r="4" spans="1:23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  <c r="T4" t="s">
        <v>386</v>
      </c>
      <c r="U4">
        <v>0</v>
      </c>
      <c r="V4">
        <v>100</v>
      </c>
      <c r="W4">
        <v>1E+100</v>
      </c>
    </row>
    <row r="5" spans="1:23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  <c r="T5" t="s">
        <v>387</v>
      </c>
      <c r="U5">
        <v>15</v>
      </c>
      <c r="V5">
        <v>100</v>
      </c>
      <c r="W5">
        <v>0</v>
      </c>
    </row>
    <row r="6" spans="1:23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  <c r="T6" t="s">
        <v>388</v>
      </c>
      <c r="U6">
        <v>10</v>
      </c>
      <c r="V6">
        <v>100</v>
      </c>
      <c r="W6">
        <v>0</v>
      </c>
    </row>
    <row r="7" spans="1:23" x14ac:dyDescent="0.25">
      <c r="A7" s="62" t="s">
        <v>210</v>
      </c>
      <c r="T7" t="s">
        <v>389</v>
      </c>
      <c r="U7">
        <v>25</v>
      </c>
      <c r="V7">
        <v>100</v>
      </c>
      <c r="W7">
        <v>200</v>
      </c>
    </row>
    <row r="8" spans="1:23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  <c r="T8" t="s">
        <v>390</v>
      </c>
      <c r="U8">
        <v>35</v>
      </c>
      <c r="V8">
        <v>0</v>
      </c>
      <c r="W8">
        <v>100</v>
      </c>
    </row>
    <row r="9" spans="1:23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  <c r="T9" t="s">
        <v>391</v>
      </c>
      <c r="U9">
        <v>0</v>
      </c>
      <c r="V9">
        <v>0</v>
      </c>
      <c r="W9">
        <v>1E+100</v>
      </c>
    </row>
    <row r="10" spans="1:23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  <c r="T10" t="s">
        <v>392</v>
      </c>
      <c r="U10">
        <v>0</v>
      </c>
      <c r="V10">
        <v>200</v>
      </c>
      <c r="W10">
        <v>1E+100</v>
      </c>
    </row>
    <row r="11" spans="1:23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  <c r="T11" t="s">
        <v>393</v>
      </c>
      <c r="U11">
        <v>0</v>
      </c>
      <c r="V11">
        <v>100</v>
      </c>
      <c r="W11">
        <v>1E+100</v>
      </c>
    </row>
    <row r="12" spans="1:23" x14ac:dyDescent="0.25">
      <c r="T12" t="s">
        <v>394</v>
      </c>
      <c r="U12">
        <v>5</v>
      </c>
      <c r="V12">
        <v>0</v>
      </c>
      <c r="W12">
        <v>200</v>
      </c>
    </row>
    <row r="13" spans="1:23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  <c r="T13" t="s">
        <v>395</v>
      </c>
      <c r="U13">
        <v>55</v>
      </c>
      <c r="V13">
        <v>100</v>
      </c>
      <c r="W13">
        <v>100</v>
      </c>
    </row>
    <row r="14" spans="1:23" x14ac:dyDescent="0.25">
      <c r="C14" t="s">
        <v>249</v>
      </c>
      <c r="D14" s="160">
        <v>100</v>
      </c>
      <c r="E14" s="160">
        <v>100</v>
      </c>
      <c r="F14" s="160">
        <v>0</v>
      </c>
      <c r="G14" s="160">
        <v>0</v>
      </c>
      <c r="H14" s="160">
        <v>0</v>
      </c>
      <c r="I14">
        <f>SUM(D14:H14)</f>
        <v>200</v>
      </c>
      <c r="J14">
        <v>200</v>
      </c>
      <c r="T14" t="s">
        <v>396</v>
      </c>
      <c r="U14">
        <v>0</v>
      </c>
      <c r="V14">
        <v>200</v>
      </c>
      <c r="W14">
        <v>1E+100</v>
      </c>
    </row>
    <row r="15" spans="1:23" x14ac:dyDescent="0.25">
      <c r="C15" t="s">
        <v>250</v>
      </c>
      <c r="D15" s="160">
        <v>0</v>
      </c>
      <c r="E15" s="160">
        <v>0</v>
      </c>
      <c r="F15" s="160">
        <v>200</v>
      </c>
      <c r="G15" s="160">
        <v>100</v>
      </c>
      <c r="H15" s="160">
        <v>0</v>
      </c>
      <c r="I15">
        <f>SUM(D15:H15)</f>
        <v>300</v>
      </c>
      <c r="J15">
        <v>300</v>
      </c>
      <c r="T15" t="s">
        <v>397</v>
      </c>
      <c r="U15">
        <v>5</v>
      </c>
      <c r="V15">
        <v>200</v>
      </c>
      <c r="W15">
        <v>0</v>
      </c>
    </row>
    <row r="16" spans="1:23" x14ac:dyDescent="0.25">
      <c r="C16" t="s">
        <v>251</v>
      </c>
      <c r="D16" s="160">
        <v>0</v>
      </c>
      <c r="E16" s="160">
        <v>200</v>
      </c>
      <c r="F16" s="160">
        <v>0</v>
      </c>
      <c r="G16" s="160">
        <v>0</v>
      </c>
      <c r="H16" s="160">
        <v>150</v>
      </c>
      <c r="I16">
        <f>SUM(D16:H16)</f>
        <v>350</v>
      </c>
      <c r="J16">
        <v>350</v>
      </c>
      <c r="T16" t="s">
        <v>398</v>
      </c>
      <c r="U16">
        <v>5</v>
      </c>
      <c r="V16">
        <v>100</v>
      </c>
      <c r="W16">
        <v>0</v>
      </c>
    </row>
    <row r="17" spans="3:23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  <c r="T17" t="s">
        <v>399</v>
      </c>
      <c r="U17">
        <v>0</v>
      </c>
      <c r="V17">
        <v>150</v>
      </c>
      <c r="W17">
        <v>1E+100</v>
      </c>
    </row>
    <row r="18" spans="3:23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  <c r="T18" t="s">
        <v>377</v>
      </c>
      <c r="U18">
        <v>0</v>
      </c>
      <c r="V18">
        <v>1E+100</v>
      </c>
      <c r="W18">
        <v>0</v>
      </c>
    </row>
    <row r="19" spans="3:23" x14ac:dyDescent="0.25">
      <c r="J19" t="s">
        <v>335</v>
      </c>
      <c r="T19" t="s">
        <v>378</v>
      </c>
      <c r="U19">
        <v>-10</v>
      </c>
      <c r="V19">
        <v>100</v>
      </c>
      <c r="W19">
        <v>0</v>
      </c>
    </row>
    <row r="20" spans="3:23" x14ac:dyDescent="0.25">
      <c r="C20" t="s">
        <v>0</v>
      </c>
      <c r="D20">
        <f>SUMPRODUCT(D9:H11,D14:H16)</f>
        <v>13250</v>
      </c>
      <c r="J20" t="s">
        <v>336</v>
      </c>
      <c r="T20" t="s">
        <v>379</v>
      </c>
      <c r="U20">
        <v>-20</v>
      </c>
      <c r="V20">
        <v>100</v>
      </c>
      <c r="W20">
        <v>0</v>
      </c>
    </row>
    <row r="21" spans="3:23" x14ac:dyDescent="0.25">
      <c r="J21">
        <v>0</v>
      </c>
      <c r="T21" t="s">
        <v>380</v>
      </c>
      <c r="U21">
        <v>10</v>
      </c>
      <c r="V21">
        <v>0</v>
      </c>
      <c r="W21">
        <v>100</v>
      </c>
    </row>
    <row r="22" spans="3:23" x14ac:dyDescent="0.25">
      <c r="D22" t="s">
        <v>257</v>
      </c>
      <c r="T22" t="s">
        <v>381</v>
      </c>
      <c r="U22">
        <v>30</v>
      </c>
      <c r="V22">
        <v>0</v>
      </c>
      <c r="W22">
        <v>100</v>
      </c>
    </row>
    <row r="23" spans="3:23" x14ac:dyDescent="0.25">
      <c r="D23">
        <v>13250</v>
      </c>
      <c r="J23" t="s">
        <v>402</v>
      </c>
      <c r="T23" t="s">
        <v>382</v>
      </c>
      <c r="U23">
        <v>25</v>
      </c>
      <c r="V23">
        <v>0</v>
      </c>
      <c r="W23">
        <v>100</v>
      </c>
    </row>
    <row r="24" spans="3:23" x14ac:dyDescent="0.25">
      <c r="D24" s="8" t="b">
        <f>ABS(D20-D23)/(1+ABS(D23))&lt;=0.000001</f>
        <v>1</v>
      </c>
      <c r="I24" t="s">
        <v>401</v>
      </c>
      <c r="J24">
        <v>0</v>
      </c>
      <c r="T24" t="s">
        <v>383</v>
      </c>
      <c r="U24">
        <v>30</v>
      </c>
      <c r="V24">
        <v>0</v>
      </c>
      <c r="W24">
        <v>100</v>
      </c>
    </row>
    <row r="25" spans="3:23" x14ac:dyDescent="0.25">
      <c r="J25" t="s">
        <v>403</v>
      </c>
      <c r="T25" t="s">
        <v>384</v>
      </c>
      <c r="U25">
        <v>35</v>
      </c>
      <c r="V25">
        <v>0</v>
      </c>
      <c r="W25">
        <v>100</v>
      </c>
    </row>
    <row r="26" spans="3:23" x14ac:dyDescent="0.25">
      <c r="J26" t="s">
        <v>404</v>
      </c>
      <c r="T26" t="s">
        <v>405</v>
      </c>
      <c r="U26">
        <v>0</v>
      </c>
      <c r="V26">
        <v>0</v>
      </c>
      <c r="W26">
        <v>0</v>
      </c>
    </row>
    <row r="28" spans="3:23" x14ac:dyDescent="0.25">
      <c r="T28" t="s">
        <v>326</v>
      </c>
      <c r="U28" t="s">
        <v>327</v>
      </c>
      <c r="V28" t="s">
        <v>321</v>
      </c>
      <c r="W28" t="s">
        <v>322</v>
      </c>
    </row>
    <row r="29" spans="3:23" x14ac:dyDescent="0.25">
      <c r="T29" t="s">
        <v>361</v>
      </c>
      <c r="U29">
        <v>0</v>
      </c>
      <c r="V29">
        <v>0</v>
      </c>
      <c r="W29">
        <v>0</v>
      </c>
    </row>
    <row r="30" spans="3:23" x14ac:dyDescent="0.25">
      <c r="T30" t="s">
        <v>362</v>
      </c>
      <c r="U30">
        <v>0</v>
      </c>
      <c r="V30">
        <v>35.000000100000001</v>
      </c>
      <c r="W30">
        <v>1E+100</v>
      </c>
    </row>
    <row r="31" spans="3:23" x14ac:dyDescent="0.25">
      <c r="T31" t="s">
        <v>363</v>
      </c>
      <c r="U31">
        <v>0</v>
      </c>
      <c r="V31">
        <v>10.000000099999999</v>
      </c>
      <c r="W31">
        <v>10.000000099999999</v>
      </c>
    </row>
    <row r="32" spans="3:23" x14ac:dyDescent="0.25">
      <c r="T32" t="s">
        <v>364</v>
      </c>
      <c r="U32">
        <v>0</v>
      </c>
      <c r="V32">
        <v>1E+100</v>
      </c>
      <c r="W32">
        <v>15.000000099999999</v>
      </c>
    </row>
    <row r="33" spans="20:23" x14ac:dyDescent="0.25">
      <c r="T33" t="s">
        <v>365</v>
      </c>
      <c r="U33">
        <v>0</v>
      </c>
      <c r="V33">
        <v>1E+100</v>
      </c>
      <c r="W33">
        <v>10.000000099999999</v>
      </c>
    </row>
    <row r="34" spans="20:23" x14ac:dyDescent="0.25">
      <c r="T34" t="s">
        <v>366</v>
      </c>
      <c r="U34">
        <v>0</v>
      </c>
      <c r="V34">
        <v>1E+100</v>
      </c>
      <c r="W34">
        <v>25.000000100000001</v>
      </c>
    </row>
    <row r="35" spans="20:23" x14ac:dyDescent="0.25">
      <c r="T35" t="s">
        <v>367</v>
      </c>
      <c r="U35">
        <v>0</v>
      </c>
      <c r="V35">
        <v>1E+100</v>
      </c>
      <c r="W35">
        <v>35.000000100000001</v>
      </c>
    </row>
    <row r="36" spans="20:23" x14ac:dyDescent="0.25">
      <c r="T36" t="s">
        <v>368</v>
      </c>
      <c r="U36">
        <v>0</v>
      </c>
      <c r="V36">
        <v>5.0000001000000003</v>
      </c>
      <c r="W36">
        <v>5.0000001000000003</v>
      </c>
    </row>
    <row r="37" spans="20:23" x14ac:dyDescent="0.25">
      <c r="T37" t="s">
        <v>369</v>
      </c>
      <c r="U37">
        <v>0</v>
      </c>
      <c r="V37">
        <v>5.0000001000000003</v>
      </c>
      <c r="W37">
        <v>1E+100</v>
      </c>
    </row>
    <row r="38" spans="20:23" x14ac:dyDescent="0.25">
      <c r="T38" t="s">
        <v>370</v>
      </c>
      <c r="U38">
        <v>0</v>
      </c>
      <c r="V38">
        <v>5.0000001000000003</v>
      </c>
      <c r="W38">
        <v>1E+100</v>
      </c>
    </row>
    <row r="39" spans="20:23" x14ac:dyDescent="0.25">
      <c r="T39" t="s">
        <v>371</v>
      </c>
      <c r="U39">
        <v>0</v>
      </c>
      <c r="V39">
        <v>1E+100</v>
      </c>
      <c r="W39">
        <v>5.0000001000000003</v>
      </c>
    </row>
    <row r="40" spans="20:23" x14ac:dyDescent="0.25">
      <c r="T40" t="s">
        <v>372</v>
      </c>
      <c r="U40">
        <v>0</v>
      </c>
      <c r="V40">
        <v>1E+100</v>
      </c>
      <c r="W40">
        <v>55.000000100000001</v>
      </c>
    </row>
    <row r="41" spans="20:23" x14ac:dyDescent="0.25">
      <c r="T41" t="s">
        <v>373</v>
      </c>
      <c r="U41">
        <v>0</v>
      </c>
      <c r="V41">
        <v>5.0000001000000003</v>
      </c>
      <c r="W41">
        <v>5.0000001000000003</v>
      </c>
    </row>
    <row r="42" spans="20:23" x14ac:dyDescent="0.25">
      <c r="T42" t="s">
        <v>374</v>
      </c>
      <c r="U42">
        <v>0</v>
      </c>
      <c r="V42">
        <v>1E+100</v>
      </c>
      <c r="W42">
        <v>5.0000001000000003</v>
      </c>
    </row>
    <row r="43" spans="20:23" x14ac:dyDescent="0.25">
      <c r="T43" t="s">
        <v>375</v>
      </c>
      <c r="U43">
        <v>0</v>
      </c>
      <c r="V43">
        <v>1E+100</v>
      </c>
      <c r="W43">
        <v>5.0000001000000003</v>
      </c>
    </row>
    <row r="44" spans="20:23" x14ac:dyDescent="0.25">
      <c r="T44" t="s">
        <v>376</v>
      </c>
      <c r="U44">
        <v>0</v>
      </c>
      <c r="V44">
        <v>5.0000001000000003</v>
      </c>
      <c r="W44">
        <v>1E+100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0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2" ht="15.75" thickBot="1" x14ac:dyDescent="0.3">
      <c r="A6" s="63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37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0</v>
      </c>
      <c r="E3" s="31">
        <v>0</v>
      </c>
      <c r="F3" s="31">
        <v>0</v>
      </c>
      <c r="G3" s="31"/>
      <c r="I3" s="142" t="b">
        <f>ABS(D3-I2)/(1+ABS(I2))&lt;=0.000001</f>
        <v>0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0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0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0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0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0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0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0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0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0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0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0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0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0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0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0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0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0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0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0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0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0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0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0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0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0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0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0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0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0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0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0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0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0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0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0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0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0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0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0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0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0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0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0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0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0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0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0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0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0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0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0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0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0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0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0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0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0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0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0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0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0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0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0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0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0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0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0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0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0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0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0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0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0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0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0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0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0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0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0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0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0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0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0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0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0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0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0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0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0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0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0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0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0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0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0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0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0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0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0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0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0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0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0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0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0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0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0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0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0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0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0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0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0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0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0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0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0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0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0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0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0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0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0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0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0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0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0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0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0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0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0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0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0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0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37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0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0" ht="15.75" thickBot="1" x14ac:dyDescent="0.3">
      <c r="A6" s="63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0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875" customWidth="1"/>
    <col min="15" max="15" width="9.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0</v>
      </c>
      <c r="E5">
        <v>0</v>
      </c>
    </row>
    <row r="6" spans="1:15" ht="15.75" thickBot="1" x14ac:dyDescent="0.3">
      <c r="A6" s="63" t="b">
        <f>AND(F22)</f>
        <v>0</v>
      </c>
      <c r="F6">
        <f>D5^2*E5^2</f>
        <v>0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0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0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0</v>
      </c>
      <c r="G10" t="s">
        <v>9</v>
      </c>
      <c r="H10">
        <v>0</v>
      </c>
    </row>
    <row r="11" spans="1:15" x14ac:dyDescent="0.25">
      <c r="F11">
        <f>E5</f>
        <v>0</v>
      </c>
      <c r="H11">
        <v>0</v>
      </c>
    </row>
    <row r="12" spans="1:15" x14ac:dyDescent="0.25">
      <c r="F12">
        <f>E5*D5+E5+D5</f>
        <v>0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0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0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0</v>
      </c>
      <c r="G15" t="s">
        <v>8</v>
      </c>
      <c r="H15">
        <v>0</v>
      </c>
      <c r="O15" s="81"/>
    </row>
    <row r="16" spans="1:15" x14ac:dyDescent="0.25">
      <c r="F16">
        <f>E5-D5*E5+D5</f>
        <v>0</v>
      </c>
      <c r="G16" t="s">
        <v>8</v>
      </c>
      <c r="H16">
        <v>60</v>
      </c>
      <c r="O16" s="81"/>
    </row>
    <row r="17" spans="6:15" x14ac:dyDescent="0.25">
      <c r="F17">
        <f>E5-D5+E5*D5</f>
        <v>0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0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0</v>
      </c>
      <c r="E4">
        <v>0</v>
      </c>
      <c r="F4">
        <v>0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0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0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0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0</v>
      </c>
      <c r="E12" s="8" t="b">
        <f>ABS(E4-E11)/(1+ABS(E11))&lt;=0.0001</f>
        <v>1</v>
      </c>
      <c r="F12" s="8"/>
      <c r="G12" s="8" t="b">
        <f>ABS(G6-G11)/(1+ABS(G11))&lt;=0.000001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0</v>
      </c>
      <c r="E5">
        <v>0</v>
      </c>
      <c r="F5">
        <v>0</v>
      </c>
      <c r="G5">
        <v>0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-20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20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20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4" width="9.25" customWidth="1"/>
    <col min="5" max="5" width="5.375" customWidth="1"/>
    <col min="6" max="6" width="3.75" customWidth="1"/>
    <col min="7" max="7" width="2.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topLeftCell="A10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875" customWidth="1"/>
    <col min="3" max="3" width="26.125" customWidth="1"/>
  </cols>
  <sheetData>
    <row r="1" spans="1:15" x14ac:dyDescent="0.25">
      <c r="A1" s="62" t="s">
        <v>203</v>
      </c>
      <c r="C1" t="s">
        <v>37</v>
      </c>
    </row>
    <row r="2" spans="1:15" ht="43.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3" t="b">
        <f>AND(K37)</f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0</v>
      </c>
      <c r="E18" s="28">
        <f>46*D18</f>
        <v>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0</v>
      </c>
      <c r="F39">
        <f>SUMPRODUCT($D$3:$D$35,F3:F35)</f>
        <v>0</v>
      </c>
      <c r="G39">
        <f>SUMPRODUCT($D$3:$D$35,G3:G35)</f>
        <v>0</v>
      </c>
      <c r="H39">
        <f>SUMPRODUCT($D$3:$D$35,H3:H35)</f>
        <v>0</v>
      </c>
      <c r="I39">
        <f>SUMPRODUCT($D$3:$D$35,I3:I35)</f>
        <v>0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0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topLeftCell="A4"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3.37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0</v>
      </c>
      <c r="D4" s="80">
        <v>0</v>
      </c>
      <c r="F4">
        <f>100*(D4-C4^2)^2+(1-C4)^2</f>
        <v>1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0</v>
      </c>
      <c r="C6">
        <v>1</v>
      </c>
      <c r="D6">
        <v>0</v>
      </c>
      <c r="E6">
        <f>SUMPRODUCT(C6:D6,$C$4:$D$4)</f>
        <v>0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topLeftCell="A13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8.875" style="83"/>
    <col min="3" max="3" width="3.75" style="83" customWidth="1"/>
    <col min="4" max="4" width="4.25" style="83" customWidth="1"/>
    <col min="5" max="5" width="1.375" style="83" customWidth="1"/>
    <col min="6" max="7" width="12.125" style="83" customWidth="1"/>
    <col min="8" max="8" width="1.25" style="83" customWidth="1"/>
    <col min="9" max="13" width="8.875" style="83"/>
    <col min="14" max="15" width="5.875" style="83" customWidth="1"/>
    <col min="16" max="16" width="6.375" style="83" customWidth="1"/>
    <col min="17" max="258" width="8.875" style="83"/>
    <col min="259" max="259" width="3.75" style="83" customWidth="1"/>
    <col min="260" max="260" width="4.25" style="83" customWidth="1"/>
    <col min="261" max="261" width="1.375" style="83" customWidth="1"/>
    <col min="262" max="263" width="12.125" style="83" customWidth="1"/>
    <col min="264" max="264" width="1.25" style="83" customWidth="1"/>
    <col min="265" max="269" width="8.875" style="83"/>
    <col min="270" max="271" width="5.875" style="83" customWidth="1"/>
    <col min="272" max="272" width="6.375" style="83" customWidth="1"/>
    <col min="273" max="514" width="8.875" style="83"/>
    <col min="515" max="515" width="3.75" style="83" customWidth="1"/>
    <col min="516" max="516" width="4.25" style="83" customWidth="1"/>
    <col min="517" max="517" width="1.375" style="83" customWidth="1"/>
    <col min="518" max="519" width="12.125" style="83" customWidth="1"/>
    <col min="520" max="520" width="1.25" style="83" customWidth="1"/>
    <col min="521" max="525" width="8.875" style="83"/>
    <col min="526" max="527" width="5.875" style="83" customWidth="1"/>
    <col min="528" max="528" width="6.375" style="83" customWidth="1"/>
    <col min="529" max="770" width="8.875" style="83"/>
    <col min="771" max="771" width="3.75" style="83" customWidth="1"/>
    <col min="772" max="772" width="4.25" style="83" customWidth="1"/>
    <col min="773" max="773" width="1.375" style="83" customWidth="1"/>
    <col min="774" max="775" width="12.125" style="83" customWidth="1"/>
    <col min="776" max="776" width="1.25" style="83" customWidth="1"/>
    <col min="777" max="781" width="8.875" style="83"/>
    <col min="782" max="783" width="5.875" style="83" customWidth="1"/>
    <col min="784" max="784" width="6.375" style="83" customWidth="1"/>
    <col min="785" max="1026" width="8.875" style="83"/>
    <col min="1027" max="1027" width="3.75" style="83" customWidth="1"/>
    <col min="1028" max="1028" width="4.25" style="83" customWidth="1"/>
    <col min="1029" max="1029" width="1.375" style="83" customWidth="1"/>
    <col min="1030" max="1031" width="12.125" style="83" customWidth="1"/>
    <col min="1032" max="1032" width="1.25" style="83" customWidth="1"/>
    <col min="1033" max="1037" width="8.875" style="83"/>
    <col min="1038" max="1039" width="5.875" style="83" customWidth="1"/>
    <col min="1040" max="1040" width="6.375" style="83" customWidth="1"/>
    <col min="1041" max="1282" width="8.875" style="83"/>
    <col min="1283" max="1283" width="3.75" style="83" customWidth="1"/>
    <col min="1284" max="1284" width="4.25" style="83" customWidth="1"/>
    <col min="1285" max="1285" width="1.375" style="83" customWidth="1"/>
    <col min="1286" max="1287" width="12.125" style="83" customWidth="1"/>
    <col min="1288" max="1288" width="1.25" style="83" customWidth="1"/>
    <col min="1289" max="1293" width="8.875" style="83"/>
    <col min="1294" max="1295" width="5.875" style="83" customWidth="1"/>
    <col min="1296" max="1296" width="6.375" style="83" customWidth="1"/>
    <col min="1297" max="1538" width="8.875" style="83"/>
    <col min="1539" max="1539" width="3.75" style="83" customWidth="1"/>
    <col min="1540" max="1540" width="4.25" style="83" customWidth="1"/>
    <col min="1541" max="1541" width="1.375" style="83" customWidth="1"/>
    <col min="1542" max="1543" width="12.125" style="83" customWidth="1"/>
    <col min="1544" max="1544" width="1.25" style="83" customWidth="1"/>
    <col min="1545" max="1549" width="8.875" style="83"/>
    <col min="1550" max="1551" width="5.875" style="83" customWidth="1"/>
    <col min="1552" max="1552" width="6.375" style="83" customWidth="1"/>
    <col min="1553" max="1794" width="8.875" style="83"/>
    <col min="1795" max="1795" width="3.75" style="83" customWidth="1"/>
    <col min="1796" max="1796" width="4.25" style="83" customWidth="1"/>
    <col min="1797" max="1797" width="1.375" style="83" customWidth="1"/>
    <col min="1798" max="1799" width="12.125" style="83" customWidth="1"/>
    <col min="1800" max="1800" width="1.25" style="83" customWidth="1"/>
    <col min="1801" max="1805" width="8.875" style="83"/>
    <col min="1806" max="1807" width="5.875" style="83" customWidth="1"/>
    <col min="1808" max="1808" width="6.375" style="83" customWidth="1"/>
    <col min="1809" max="2050" width="8.875" style="83"/>
    <col min="2051" max="2051" width="3.75" style="83" customWidth="1"/>
    <col min="2052" max="2052" width="4.25" style="83" customWidth="1"/>
    <col min="2053" max="2053" width="1.375" style="83" customWidth="1"/>
    <col min="2054" max="2055" width="12.125" style="83" customWidth="1"/>
    <col min="2056" max="2056" width="1.25" style="83" customWidth="1"/>
    <col min="2057" max="2061" width="8.875" style="83"/>
    <col min="2062" max="2063" width="5.875" style="83" customWidth="1"/>
    <col min="2064" max="2064" width="6.375" style="83" customWidth="1"/>
    <col min="2065" max="2306" width="8.875" style="83"/>
    <col min="2307" max="2307" width="3.75" style="83" customWidth="1"/>
    <col min="2308" max="2308" width="4.25" style="83" customWidth="1"/>
    <col min="2309" max="2309" width="1.375" style="83" customWidth="1"/>
    <col min="2310" max="2311" width="12.125" style="83" customWidth="1"/>
    <col min="2312" max="2312" width="1.25" style="83" customWidth="1"/>
    <col min="2313" max="2317" width="8.875" style="83"/>
    <col min="2318" max="2319" width="5.875" style="83" customWidth="1"/>
    <col min="2320" max="2320" width="6.375" style="83" customWidth="1"/>
    <col min="2321" max="2562" width="8.875" style="83"/>
    <col min="2563" max="2563" width="3.75" style="83" customWidth="1"/>
    <col min="2564" max="2564" width="4.25" style="83" customWidth="1"/>
    <col min="2565" max="2565" width="1.375" style="83" customWidth="1"/>
    <col min="2566" max="2567" width="12.125" style="83" customWidth="1"/>
    <col min="2568" max="2568" width="1.25" style="83" customWidth="1"/>
    <col min="2569" max="2573" width="8.875" style="83"/>
    <col min="2574" max="2575" width="5.875" style="83" customWidth="1"/>
    <col min="2576" max="2576" width="6.375" style="83" customWidth="1"/>
    <col min="2577" max="2818" width="8.875" style="83"/>
    <col min="2819" max="2819" width="3.75" style="83" customWidth="1"/>
    <col min="2820" max="2820" width="4.25" style="83" customWidth="1"/>
    <col min="2821" max="2821" width="1.375" style="83" customWidth="1"/>
    <col min="2822" max="2823" width="12.125" style="83" customWidth="1"/>
    <col min="2824" max="2824" width="1.25" style="83" customWidth="1"/>
    <col min="2825" max="2829" width="8.875" style="83"/>
    <col min="2830" max="2831" width="5.875" style="83" customWidth="1"/>
    <col min="2832" max="2832" width="6.375" style="83" customWidth="1"/>
    <col min="2833" max="3074" width="8.875" style="83"/>
    <col min="3075" max="3075" width="3.75" style="83" customWidth="1"/>
    <col min="3076" max="3076" width="4.25" style="83" customWidth="1"/>
    <col min="3077" max="3077" width="1.375" style="83" customWidth="1"/>
    <col min="3078" max="3079" width="12.125" style="83" customWidth="1"/>
    <col min="3080" max="3080" width="1.25" style="83" customWidth="1"/>
    <col min="3081" max="3085" width="8.875" style="83"/>
    <col min="3086" max="3087" width="5.875" style="83" customWidth="1"/>
    <col min="3088" max="3088" width="6.375" style="83" customWidth="1"/>
    <col min="3089" max="3330" width="8.875" style="83"/>
    <col min="3331" max="3331" width="3.75" style="83" customWidth="1"/>
    <col min="3332" max="3332" width="4.25" style="83" customWidth="1"/>
    <col min="3333" max="3333" width="1.375" style="83" customWidth="1"/>
    <col min="3334" max="3335" width="12.125" style="83" customWidth="1"/>
    <col min="3336" max="3336" width="1.25" style="83" customWidth="1"/>
    <col min="3337" max="3341" width="8.875" style="83"/>
    <col min="3342" max="3343" width="5.875" style="83" customWidth="1"/>
    <col min="3344" max="3344" width="6.375" style="83" customWidth="1"/>
    <col min="3345" max="3586" width="8.875" style="83"/>
    <col min="3587" max="3587" width="3.75" style="83" customWidth="1"/>
    <col min="3588" max="3588" width="4.25" style="83" customWidth="1"/>
    <col min="3589" max="3589" width="1.375" style="83" customWidth="1"/>
    <col min="3590" max="3591" width="12.125" style="83" customWidth="1"/>
    <col min="3592" max="3592" width="1.25" style="83" customWidth="1"/>
    <col min="3593" max="3597" width="8.875" style="83"/>
    <col min="3598" max="3599" width="5.875" style="83" customWidth="1"/>
    <col min="3600" max="3600" width="6.375" style="83" customWidth="1"/>
    <col min="3601" max="3842" width="8.875" style="83"/>
    <col min="3843" max="3843" width="3.75" style="83" customWidth="1"/>
    <col min="3844" max="3844" width="4.25" style="83" customWidth="1"/>
    <col min="3845" max="3845" width="1.375" style="83" customWidth="1"/>
    <col min="3846" max="3847" width="12.125" style="83" customWidth="1"/>
    <col min="3848" max="3848" width="1.25" style="83" customWidth="1"/>
    <col min="3849" max="3853" width="8.875" style="83"/>
    <col min="3854" max="3855" width="5.875" style="83" customWidth="1"/>
    <col min="3856" max="3856" width="6.375" style="83" customWidth="1"/>
    <col min="3857" max="4098" width="8.875" style="83"/>
    <col min="4099" max="4099" width="3.75" style="83" customWidth="1"/>
    <col min="4100" max="4100" width="4.25" style="83" customWidth="1"/>
    <col min="4101" max="4101" width="1.375" style="83" customWidth="1"/>
    <col min="4102" max="4103" width="12.125" style="83" customWidth="1"/>
    <col min="4104" max="4104" width="1.25" style="83" customWidth="1"/>
    <col min="4105" max="4109" width="8.875" style="83"/>
    <col min="4110" max="4111" width="5.875" style="83" customWidth="1"/>
    <col min="4112" max="4112" width="6.375" style="83" customWidth="1"/>
    <col min="4113" max="4354" width="8.875" style="83"/>
    <col min="4355" max="4355" width="3.75" style="83" customWidth="1"/>
    <col min="4356" max="4356" width="4.25" style="83" customWidth="1"/>
    <col min="4357" max="4357" width="1.375" style="83" customWidth="1"/>
    <col min="4358" max="4359" width="12.125" style="83" customWidth="1"/>
    <col min="4360" max="4360" width="1.25" style="83" customWidth="1"/>
    <col min="4361" max="4365" width="8.875" style="83"/>
    <col min="4366" max="4367" width="5.875" style="83" customWidth="1"/>
    <col min="4368" max="4368" width="6.375" style="83" customWidth="1"/>
    <col min="4369" max="4610" width="8.875" style="83"/>
    <col min="4611" max="4611" width="3.75" style="83" customWidth="1"/>
    <col min="4612" max="4612" width="4.25" style="83" customWidth="1"/>
    <col min="4613" max="4613" width="1.375" style="83" customWidth="1"/>
    <col min="4614" max="4615" width="12.125" style="83" customWidth="1"/>
    <col min="4616" max="4616" width="1.25" style="83" customWidth="1"/>
    <col min="4617" max="4621" width="8.875" style="83"/>
    <col min="4622" max="4623" width="5.875" style="83" customWidth="1"/>
    <col min="4624" max="4624" width="6.375" style="83" customWidth="1"/>
    <col min="4625" max="4866" width="8.875" style="83"/>
    <col min="4867" max="4867" width="3.75" style="83" customWidth="1"/>
    <col min="4868" max="4868" width="4.25" style="83" customWidth="1"/>
    <col min="4869" max="4869" width="1.375" style="83" customWidth="1"/>
    <col min="4870" max="4871" width="12.125" style="83" customWidth="1"/>
    <col min="4872" max="4872" width="1.25" style="83" customWidth="1"/>
    <col min="4873" max="4877" width="8.875" style="83"/>
    <col min="4878" max="4879" width="5.875" style="83" customWidth="1"/>
    <col min="4880" max="4880" width="6.375" style="83" customWidth="1"/>
    <col min="4881" max="5122" width="8.875" style="83"/>
    <col min="5123" max="5123" width="3.75" style="83" customWidth="1"/>
    <col min="5124" max="5124" width="4.25" style="83" customWidth="1"/>
    <col min="5125" max="5125" width="1.375" style="83" customWidth="1"/>
    <col min="5126" max="5127" width="12.125" style="83" customWidth="1"/>
    <col min="5128" max="5128" width="1.25" style="83" customWidth="1"/>
    <col min="5129" max="5133" width="8.875" style="83"/>
    <col min="5134" max="5135" width="5.875" style="83" customWidth="1"/>
    <col min="5136" max="5136" width="6.375" style="83" customWidth="1"/>
    <col min="5137" max="5378" width="8.875" style="83"/>
    <col min="5379" max="5379" width="3.75" style="83" customWidth="1"/>
    <col min="5380" max="5380" width="4.25" style="83" customWidth="1"/>
    <col min="5381" max="5381" width="1.375" style="83" customWidth="1"/>
    <col min="5382" max="5383" width="12.125" style="83" customWidth="1"/>
    <col min="5384" max="5384" width="1.25" style="83" customWidth="1"/>
    <col min="5385" max="5389" width="8.875" style="83"/>
    <col min="5390" max="5391" width="5.875" style="83" customWidth="1"/>
    <col min="5392" max="5392" width="6.375" style="83" customWidth="1"/>
    <col min="5393" max="5634" width="8.875" style="83"/>
    <col min="5635" max="5635" width="3.75" style="83" customWidth="1"/>
    <col min="5636" max="5636" width="4.25" style="83" customWidth="1"/>
    <col min="5637" max="5637" width="1.375" style="83" customWidth="1"/>
    <col min="5638" max="5639" width="12.125" style="83" customWidth="1"/>
    <col min="5640" max="5640" width="1.25" style="83" customWidth="1"/>
    <col min="5641" max="5645" width="8.875" style="83"/>
    <col min="5646" max="5647" width="5.875" style="83" customWidth="1"/>
    <col min="5648" max="5648" width="6.375" style="83" customWidth="1"/>
    <col min="5649" max="5890" width="8.875" style="83"/>
    <col min="5891" max="5891" width="3.75" style="83" customWidth="1"/>
    <col min="5892" max="5892" width="4.25" style="83" customWidth="1"/>
    <col min="5893" max="5893" width="1.375" style="83" customWidth="1"/>
    <col min="5894" max="5895" width="12.125" style="83" customWidth="1"/>
    <col min="5896" max="5896" width="1.25" style="83" customWidth="1"/>
    <col min="5897" max="5901" width="8.875" style="83"/>
    <col min="5902" max="5903" width="5.875" style="83" customWidth="1"/>
    <col min="5904" max="5904" width="6.375" style="83" customWidth="1"/>
    <col min="5905" max="6146" width="8.875" style="83"/>
    <col min="6147" max="6147" width="3.75" style="83" customWidth="1"/>
    <col min="6148" max="6148" width="4.25" style="83" customWidth="1"/>
    <col min="6149" max="6149" width="1.375" style="83" customWidth="1"/>
    <col min="6150" max="6151" width="12.125" style="83" customWidth="1"/>
    <col min="6152" max="6152" width="1.25" style="83" customWidth="1"/>
    <col min="6153" max="6157" width="8.875" style="83"/>
    <col min="6158" max="6159" width="5.875" style="83" customWidth="1"/>
    <col min="6160" max="6160" width="6.375" style="83" customWidth="1"/>
    <col min="6161" max="6402" width="8.875" style="83"/>
    <col min="6403" max="6403" width="3.75" style="83" customWidth="1"/>
    <col min="6404" max="6404" width="4.25" style="83" customWidth="1"/>
    <col min="6405" max="6405" width="1.375" style="83" customWidth="1"/>
    <col min="6406" max="6407" width="12.125" style="83" customWidth="1"/>
    <col min="6408" max="6408" width="1.25" style="83" customWidth="1"/>
    <col min="6409" max="6413" width="8.875" style="83"/>
    <col min="6414" max="6415" width="5.875" style="83" customWidth="1"/>
    <col min="6416" max="6416" width="6.375" style="83" customWidth="1"/>
    <col min="6417" max="6658" width="8.875" style="83"/>
    <col min="6659" max="6659" width="3.75" style="83" customWidth="1"/>
    <col min="6660" max="6660" width="4.25" style="83" customWidth="1"/>
    <col min="6661" max="6661" width="1.375" style="83" customWidth="1"/>
    <col min="6662" max="6663" width="12.125" style="83" customWidth="1"/>
    <col min="6664" max="6664" width="1.25" style="83" customWidth="1"/>
    <col min="6665" max="6669" width="8.875" style="83"/>
    <col min="6670" max="6671" width="5.875" style="83" customWidth="1"/>
    <col min="6672" max="6672" width="6.375" style="83" customWidth="1"/>
    <col min="6673" max="6914" width="8.875" style="83"/>
    <col min="6915" max="6915" width="3.75" style="83" customWidth="1"/>
    <col min="6916" max="6916" width="4.25" style="83" customWidth="1"/>
    <col min="6917" max="6917" width="1.375" style="83" customWidth="1"/>
    <col min="6918" max="6919" width="12.125" style="83" customWidth="1"/>
    <col min="6920" max="6920" width="1.25" style="83" customWidth="1"/>
    <col min="6921" max="6925" width="8.875" style="83"/>
    <col min="6926" max="6927" width="5.875" style="83" customWidth="1"/>
    <col min="6928" max="6928" width="6.375" style="83" customWidth="1"/>
    <col min="6929" max="7170" width="8.875" style="83"/>
    <col min="7171" max="7171" width="3.75" style="83" customWidth="1"/>
    <col min="7172" max="7172" width="4.25" style="83" customWidth="1"/>
    <col min="7173" max="7173" width="1.375" style="83" customWidth="1"/>
    <col min="7174" max="7175" width="12.125" style="83" customWidth="1"/>
    <col min="7176" max="7176" width="1.25" style="83" customWidth="1"/>
    <col min="7177" max="7181" width="8.875" style="83"/>
    <col min="7182" max="7183" width="5.875" style="83" customWidth="1"/>
    <col min="7184" max="7184" width="6.375" style="83" customWidth="1"/>
    <col min="7185" max="7426" width="8.875" style="83"/>
    <col min="7427" max="7427" width="3.75" style="83" customWidth="1"/>
    <col min="7428" max="7428" width="4.25" style="83" customWidth="1"/>
    <col min="7429" max="7429" width="1.375" style="83" customWidth="1"/>
    <col min="7430" max="7431" width="12.125" style="83" customWidth="1"/>
    <col min="7432" max="7432" width="1.25" style="83" customWidth="1"/>
    <col min="7433" max="7437" width="8.875" style="83"/>
    <col min="7438" max="7439" width="5.875" style="83" customWidth="1"/>
    <col min="7440" max="7440" width="6.375" style="83" customWidth="1"/>
    <col min="7441" max="7682" width="8.875" style="83"/>
    <col min="7683" max="7683" width="3.75" style="83" customWidth="1"/>
    <col min="7684" max="7684" width="4.25" style="83" customWidth="1"/>
    <col min="7685" max="7685" width="1.375" style="83" customWidth="1"/>
    <col min="7686" max="7687" width="12.125" style="83" customWidth="1"/>
    <col min="7688" max="7688" width="1.25" style="83" customWidth="1"/>
    <col min="7689" max="7693" width="8.875" style="83"/>
    <col min="7694" max="7695" width="5.875" style="83" customWidth="1"/>
    <col min="7696" max="7696" width="6.375" style="83" customWidth="1"/>
    <col min="7697" max="7938" width="8.875" style="83"/>
    <col min="7939" max="7939" width="3.75" style="83" customWidth="1"/>
    <col min="7940" max="7940" width="4.25" style="83" customWidth="1"/>
    <col min="7941" max="7941" width="1.375" style="83" customWidth="1"/>
    <col min="7942" max="7943" width="12.125" style="83" customWidth="1"/>
    <col min="7944" max="7944" width="1.25" style="83" customWidth="1"/>
    <col min="7945" max="7949" width="8.875" style="83"/>
    <col min="7950" max="7951" width="5.875" style="83" customWidth="1"/>
    <col min="7952" max="7952" width="6.375" style="83" customWidth="1"/>
    <col min="7953" max="8194" width="8.875" style="83"/>
    <col min="8195" max="8195" width="3.75" style="83" customWidth="1"/>
    <col min="8196" max="8196" width="4.25" style="83" customWidth="1"/>
    <col min="8197" max="8197" width="1.375" style="83" customWidth="1"/>
    <col min="8198" max="8199" width="12.125" style="83" customWidth="1"/>
    <col min="8200" max="8200" width="1.25" style="83" customWidth="1"/>
    <col min="8201" max="8205" width="8.875" style="83"/>
    <col min="8206" max="8207" width="5.875" style="83" customWidth="1"/>
    <col min="8208" max="8208" width="6.375" style="83" customWidth="1"/>
    <col min="8209" max="8450" width="8.875" style="83"/>
    <col min="8451" max="8451" width="3.75" style="83" customWidth="1"/>
    <col min="8452" max="8452" width="4.25" style="83" customWidth="1"/>
    <col min="8453" max="8453" width="1.375" style="83" customWidth="1"/>
    <col min="8454" max="8455" width="12.125" style="83" customWidth="1"/>
    <col min="8456" max="8456" width="1.25" style="83" customWidth="1"/>
    <col min="8457" max="8461" width="8.875" style="83"/>
    <col min="8462" max="8463" width="5.875" style="83" customWidth="1"/>
    <col min="8464" max="8464" width="6.375" style="83" customWidth="1"/>
    <col min="8465" max="8706" width="8.875" style="83"/>
    <col min="8707" max="8707" width="3.75" style="83" customWidth="1"/>
    <col min="8708" max="8708" width="4.25" style="83" customWidth="1"/>
    <col min="8709" max="8709" width="1.375" style="83" customWidth="1"/>
    <col min="8710" max="8711" width="12.125" style="83" customWidth="1"/>
    <col min="8712" max="8712" width="1.25" style="83" customWidth="1"/>
    <col min="8713" max="8717" width="8.875" style="83"/>
    <col min="8718" max="8719" width="5.875" style="83" customWidth="1"/>
    <col min="8720" max="8720" width="6.375" style="83" customWidth="1"/>
    <col min="8721" max="8962" width="8.875" style="83"/>
    <col min="8963" max="8963" width="3.75" style="83" customWidth="1"/>
    <col min="8964" max="8964" width="4.25" style="83" customWidth="1"/>
    <col min="8965" max="8965" width="1.375" style="83" customWidth="1"/>
    <col min="8966" max="8967" width="12.125" style="83" customWidth="1"/>
    <col min="8968" max="8968" width="1.25" style="83" customWidth="1"/>
    <col min="8969" max="8973" width="8.875" style="83"/>
    <col min="8974" max="8975" width="5.875" style="83" customWidth="1"/>
    <col min="8976" max="8976" width="6.375" style="83" customWidth="1"/>
    <col min="8977" max="9218" width="8.875" style="83"/>
    <col min="9219" max="9219" width="3.75" style="83" customWidth="1"/>
    <col min="9220" max="9220" width="4.25" style="83" customWidth="1"/>
    <col min="9221" max="9221" width="1.375" style="83" customWidth="1"/>
    <col min="9222" max="9223" width="12.125" style="83" customWidth="1"/>
    <col min="9224" max="9224" width="1.25" style="83" customWidth="1"/>
    <col min="9225" max="9229" width="8.875" style="83"/>
    <col min="9230" max="9231" width="5.875" style="83" customWidth="1"/>
    <col min="9232" max="9232" width="6.375" style="83" customWidth="1"/>
    <col min="9233" max="9474" width="8.875" style="83"/>
    <col min="9475" max="9475" width="3.75" style="83" customWidth="1"/>
    <col min="9476" max="9476" width="4.25" style="83" customWidth="1"/>
    <col min="9477" max="9477" width="1.375" style="83" customWidth="1"/>
    <col min="9478" max="9479" width="12.125" style="83" customWidth="1"/>
    <col min="9480" max="9480" width="1.25" style="83" customWidth="1"/>
    <col min="9481" max="9485" width="8.875" style="83"/>
    <col min="9486" max="9487" width="5.875" style="83" customWidth="1"/>
    <col min="9488" max="9488" width="6.375" style="83" customWidth="1"/>
    <col min="9489" max="9730" width="8.875" style="83"/>
    <col min="9731" max="9731" width="3.75" style="83" customWidth="1"/>
    <col min="9732" max="9732" width="4.25" style="83" customWidth="1"/>
    <col min="9733" max="9733" width="1.375" style="83" customWidth="1"/>
    <col min="9734" max="9735" width="12.125" style="83" customWidth="1"/>
    <col min="9736" max="9736" width="1.25" style="83" customWidth="1"/>
    <col min="9737" max="9741" width="8.875" style="83"/>
    <col min="9742" max="9743" width="5.875" style="83" customWidth="1"/>
    <col min="9744" max="9744" width="6.375" style="83" customWidth="1"/>
    <col min="9745" max="9986" width="8.875" style="83"/>
    <col min="9987" max="9987" width="3.75" style="83" customWidth="1"/>
    <col min="9988" max="9988" width="4.25" style="83" customWidth="1"/>
    <col min="9989" max="9989" width="1.375" style="83" customWidth="1"/>
    <col min="9990" max="9991" width="12.125" style="83" customWidth="1"/>
    <col min="9992" max="9992" width="1.25" style="83" customWidth="1"/>
    <col min="9993" max="9997" width="8.875" style="83"/>
    <col min="9998" max="9999" width="5.875" style="83" customWidth="1"/>
    <col min="10000" max="10000" width="6.375" style="83" customWidth="1"/>
    <col min="10001" max="10242" width="8.875" style="83"/>
    <col min="10243" max="10243" width="3.75" style="83" customWidth="1"/>
    <col min="10244" max="10244" width="4.25" style="83" customWidth="1"/>
    <col min="10245" max="10245" width="1.375" style="83" customWidth="1"/>
    <col min="10246" max="10247" width="12.125" style="83" customWidth="1"/>
    <col min="10248" max="10248" width="1.25" style="83" customWidth="1"/>
    <col min="10249" max="10253" width="8.875" style="83"/>
    <col min="10254" max="10255" width="5.875" style="83" customWidth="1"/>
    <col min="10256" max="10256" width="6.375" style="83" customWidth="1"/>
    <col min="10257" max="10498" width="8.875" style="83"/>
    <col min="10499" max="10499" width="3.75" style="83" customWidth="1"/>
    <col min="10500" max="10500" width="4.25" style="83" customWidth="1"/>
    <col min="10501" max="10501" width="1.375" style="83" customWidth="1"/>
    <col min="10502" max="10503" width="12.125" style="83" customWidth="1"/>
    <col min="10504" max="10504" width="1.25" style="83" customWidth="1"/>
    <col min="10505" max="10509" width="8.875" style="83"/>
    <col min="10510" max="10511" width="5.875" style="83" customWidth="1"/>
    <col min="10512" max="10512" width="6.375" style="83" customWidth="1"/>
    <col min="10513" max="10754" width="8.875" style="83"/>
    <col min="10755" max="10755" width="3.75" style="83" customWidth="1"/>
    <col min="10756" max="10756" width="4.25" style="83" customWidth="1"/>
    <col min="10757" max="10757" width="1.375" style="83" customWidth="1"/>
    <col min="10758" max="10759" width="12.125" style="83" customWidth="1"/>
    <col min="10760" max="10760" width="1.25" style="83" customWidth="1"/>
    <col min="10761" max="10765" width="8.875" style="83"/>
    <col min="10766" max="10767" width="5.875" style="83" customWidth="1"/>
    <col min="10768" max="10768" width="6.375" style="83" customWidth="1"/>
    <col min="10769" max="11010" width="8.875" style="83"/>
    <col min="11011" max="11011" width="3.75" style="83" customWidth="1"/>
    <col min="11012" max="11012" width="4.25" style="83" customWidth="1"/>
    <col min="11013" max="11013" width="1.375" style="83" customWidth="1"/>
    <col min="11014" max="11015" width="12.125" style="83" customWidth="1"/>
    <col min="11016" max="11016" width="1.25" style="83" customWidth="1"/>
    <col min="11017" max="11021" width="8.875" style="83"/>
    <col min="11022" max="11023" width="5.875" style="83" customWidth="1"/>
    <col min="11024" max="11024" width="6.375" style="83" customWidth="1"/>
    <col min="11025" max="11266" width="8.875" style="83"/>
    <col min="11267" max="11267" width="3.75" style="83" customWidth="1"/>
    <col min="11268" max="11268" width="4.25" style="83" customWidth="1"/>
    <col min="11269" max="11269" width="1.375" style="83" customWidth="1"/>
    <col min="11270" max="11271" width="12.125" style="83" customWidth="1"/>
    <col min="11272" max="11272" width="1.25" style="83" customWidth="1"/>
    <col min="11273" max="11277" width="8.875" style="83"/>
    <col min="11278" max="11279" width="5.875" style="83" customWidth="1"/>
    <col min="11280" max="11280" width="6.375" style="83" customWidth="1"/>
    <col min="11281" max="11522" width="8.875" style="83"/>
    <col min="11523" max="11523" width="3.75" style="83" customWidth="1"/>
    <col min="11524" max="11524" width="4.25" style="83" customWidth="1"/>
    <col min="11525" max="11525" width="1.375" style="83" customWidth="1"/>
    <col min="11526" max="11527" width="12.125" style="83" customWidth="1"/>
    <col min="11528" max="11528" width="1.25" style="83" customWidth="1"/>
    <col min="11529" max="11533" width="8.875" style="83"/>
    <col min="11534" max="11535" width="5.875" style="83" customWidth="1"/>
    <col min="11536" max="11536" width="6.375" style="83" customWidth="1"/>
    <col min="11537" max="11778" width="8.875" style="83"/>
    <col min="11779" max="11779" width="3.75" style="83" customWidth="1"/>
    <col min="11780" max="11780" width="4.25" style="83" customWidth="1"/>
    <col min="11781" max="11781" width="1.375" style="83" customWidth="1"/>
    <col min="11782" max="11783" width="12.125" style="83" customWidth="1"/>
    <col min="11784" max="11784" width="1.25" style="83" customWidth="1"/>
    <col min="11785" max="11789" width="8.875" style="83"/>
    <col min="11790" max="11791" width="5.875" style="83" customWidth="1"/>
    <col min="11792" max="11792" width="6.375" style="83" customWidth="1"/>
    <col min="11793" max="12034" width="8.875" style="83"/>
    <col min="12035" max="12035" width="3.75" style="83" customWidth="1"/>
    <col min="12036" max="12036" width="4.25" style="83" customWidth="1"/>
    <col min="12037" max="12037" width="1.375" style="83" customWidth="1"/>
    <col min="12038" max="12039" width="12.125" style="83" customWidth="1"/>
    <col min="12040" max="12040" width="1.25" style="83" customWidth="1"/>
    <col min="12041" max="12045" width="8.875" style="83"/>
    <col min="12046" max="12047" width="5.875" style="83" customWidth="1"/>
    <col min="12048" max="12048" width="6.375" style="83" customWidth="1"/>
    <col min="12049" max="12290" width="8.875" style="83"/>
    <col min="12291" max="12291" width="3.75" style="83" customWidth="1"/>
    <col min="12292" max="12292" width="4.25" style="83" customWidth="1"/>
    <col min="12293" max="12293" width="1.375" style="83" customWidth="1"/>
    <col min="12294" max="12295" width="12.125" style="83" customWidth="1"/>
    <col min="12296" max="12296" width="1.25" style="83" customWidth="1"/>
    <col min="12297" max="12301" width="8.875" style="83"/>
    <col min="12302" max="12303" width="5.875" style="83" customWidth="1"/>
    <col min="12304" max="12304" width="6.375" style="83" customWidth="1"/>
    <col min="12305" max="12546" width="8.875" style="83"/>
    <col min="12547" max="12547" width="3.75" style="83" customWidth="1"/>
    <col min="12548" max="12548" width="4.25" style="83" customWidth="1"/>
    <col min="12549" max="12549" width="1.375" style="83" customWidth="1"/>
    <col min="12550" max="12551" width="12.125" style="83" customWidth="1"/>
    <col min="12552" max="12552" width="1.25" style="83" customWidth="1"/>
    <col min="12553" max="12557" width="8.875" style="83"/>
    <col min="12558" max="12559" width="5.875" style="83" customWidth="1"/>
    <col min="12560" max="12560" width="6.375" style="83" customWidth="1"/>
    <col min="12561" max="12802" width="8.875" style="83"/>
    <col min="12803" max="12803" width="3.75" style="83" customWidth="1"/>
    <col min="12804" max="12804" width="4.25" style="83" customWidth="1"/>
    <col min="12805" max="12805" width="1.375" style="83" customWidth="1"/>
    <col min="12806" max="12807" width="12.125" style="83" customWidth="1"/>
    <col min="12808" max="12808" width="1.25" style="83" customWidth="1"/>
    <col min="12809" max="12813" width="8.875" style="83"/>
    <col min="12814" max="12815" width="5.875" style="83" customWidth="1"/>
    <col min="12816" max="12816" width="6.375" style="83" customWidth="1"/>
    <col min="12817" max="13058" width="8.875" style="83"/>
    <col min="13059" max="13059" width="3.75" style="83" customWidth="1"/>
    <col min="13060" max="13060" width="4.25" style="83" customWidth="1"/>
    <col min="13061" max="13061" width="1.375" style="83" customWidth="1"/>
    <col min="13062" max="13063" width="12.125" style="83" customWidth="1"/>
    <col min="13064" max="13064" width="1.25" style="83" customWidth="1"/>
    <col min="13065" max="13069" width="8.875" style="83"/>
    <col min="13070" max="13071" width="5.875" style="83" customWidth="1"/>
    <col min="13072" max="13072" width="6.375" style="83" customWidth="1"/>
    <col min="13073" max="13314" width="8.875" style="83"/>
    <col min="13315" max="13315" width="3.75" style="83" customWidth="1"/>
    <col min="13316" max="13316" width="4.25" style="83" customWidth="1"/>
    <col min="13317" max="13317" width="1.375" style="83" customWidth="1"/>
    <col min="13318" max="13319" width="12.125" style="83" customWidth="1"/>
    <col min="13320" max="13320" width="1.25" style="83" customWidth="1"/>
    <col min="13321" max="13325" width="8.875" style="83"/>
    <col min="13326" max="13327" width="5.875" style="83" customWidth="1"/>
    <col min="13328" max="13328" width="6.375" style="83" customWidth="1"/>
    <col min="13329" max="13570" width="8.875" style="83"/>
    <col min="13571" max="13571" width="3.75" style="83" customWidth="1"/>
    <col min="13572" max="13572" width="4.25" style="83" customWidth="1"/>
    <col min="13573" max="13573" width="1.375" style="83" customWidth="1"/>
    <col min="13574" max="13575" width="12.125" style="83" customWidth="1"/>
    <col min="13576" max="13576" width="1.25" style="83" customWidth="1"/>
    <col min="13577" max="13581" width="8.875" style="83"/>
    <col min="13582" max="13583" width="5.875" style="83" customWidth="1"/>
    <col min="13584" max="13584" width="6.375" style="83" customWidth="1"/>
    <col min="13585" max="13826" width="8.875" style="83"/>
    <col min="13827" max="13827" width="3.75" style="83" customWidth="1"/>
    <col min="13828" max="13828" width="4.25" style="83" customWidth="1"/>
    <col min="13829" max="13829" width="1.375" style="83" customWidth="1"/>
    <col min="13830" max="13831" width="12.125" style="83" customWidth="1"/>
    <col min="13832" max="13832" width="1.25" style="83" customWidth="1"/>
    <col min="13833" max="13837" width="8.875" style="83"/>
    <col min="13838" max="13839" width="5.875" style="83" customWidth="1"/>
    <col min="13840" max="13840" width="6.375" style="83" customWidth="1"/>
    <col min="13841" max="14082" width="8.875" style="83"/>
    <col min="14083" max="14083" width="3.75" style="83" customWidth="1"/>
    <col min="14084" max="14084" width="4.25" style="83" customWidth="1"/>
    <col min="14085" max="14085" width="1.375" style="83" customWidth="1"/>
    <col min="14086" max="14087" width="12.125" style="83" customWidth="1"/>
    <col min="14088" max="14088" width="1.25" style="83" customWidth="1"/>
    <col min="14089" max="14093" width="8.875" style="83"/>
    <col min="14094" max="14095" width="5.875" style="83" customWidth="1"/>
    <col min="14096" max="14096" width="6.375" style="83" customWidth="1"/>
    <col min="14097" max="14338" width="8.875" style="83"/>
    <col min="14339" max="14339" width="3.75" style="83" customWidth="1"/>
    <col min="14340" max="14340" width="4.25" style="83" customWidth="1"/>
    <col min="14341" max="14341" width="1.375" style="83" customWidth="1"/>
    <col min="14342" max="14343" width="12.125" style="83" customWidth="1"/>
    <col min="14344" max="14344" width="1.25" style="83" customWidth="1"/>
    <col min="14345" max="14349" width="8.875" style="83"/>
    <col min="14350" max="14351" width="5.875" style="83" customWidth="1"/>
    <col min="14352" max="14352" width="6.375" style="83" customWidth="1"/>
    <col min="14353" max="14594" width="8.875" style="83"/>
    <col min="14595" max="14595" width="3.75" style="83" customWidth="1"/>
    <col min="14596" max="14596" width="4.25" style="83" customWidth="1"/>
    <col min="14597" max="14597" width="1.375" style="83" customWidth="1"/>
    <col min="14598" max="14599" width="12.125" style="83" customWidth="1"/>
    <col min="14600" max="14600" width="1.25" style="83" customWidth="1"/>
    <col min="14601" max="14605" width="8.875" style="83"/>
    <col min="14606" max="14607" width="5.875" style="83" customWidth="1"/>
    <col min="14608" max="14608" width="6.375" style="83" customWidth="1"/>
    <col min="14609" max="14850" width="8.875" style="83"/>
    <col min="14851" max="14851" width="3.75" style="83" customWidth="1"/>
    <col min="14852" max="14852" width="4.25" style="83" customWidth="1"/>
    <col min="14853" max="14853" width="1.375" style="83" customWidth="1"/>
    <col min="14854" max="14855" width="12.125" style="83" customWidth="1"/>
    <col min="14856" max="14856" width="1.25" style="83" customWidth="1"/>
    <col min="14857" max="14861" width="8.875" style="83"/>
    <col min="14862" max="14863" width="5.875" style="83" customWidth="1"/>
    <col min="14864" max="14864" width="6.375" style="83" customWidth="1"/>
    <col min="14865" max="15106" width="8.875" style="83"/>
    <col min="15107" max="15107" width="3.75" style="83" customWidth="1"/>
    <col min="15108" max="15108" width="4.25" style="83" customWidth="1"/>
    <col min="15109" max="15109" width="1.375" style="83" customWidth="1"/>
    <col min="15110" max="15111" width="12.125" style="83" customWidth="1"/>
    <col min="15112" max="15112" width="1.25" style="83" customWidth="1"/>
    <col min="15113" max="15117" width="8.875" style="83"/>
    <col min="15118" max="15119" width="5.875" style="83" customWidth="1"/>
    <col min="15120" max="15120" width="6.375" style="83" customWidth="1"/>
    <col min="15121" max="15362" width="8.875" style="83"/>
    <col min="15363" max="15363" width="3.75" style="83" customWidth="1"/>
    <col min="15364" max="15364" width="4.25" style="83" customWidth="1"/>
    <col min="15365" max="15365" width="1.375" style="83" customWidth="1"/>
    <col min="15366" max="15367" width="12.125" style="83" customWidth="1"/>
    <col min="15368" max="15368" width="1.25" style="83" customWidth="1"/>
    <col min="15369" max="15373" width="8.875" style="83"/>
    <col min="15374" max="15375" width="5.875" style="83" customWidth="1"/>
    <col min="15376" max="15376" width="6.375" style="83" customWidth="1"/>
    <col min="15377" max="15618" width="8.875" style="83"/>
    <col min="15619" max="15619" width="3.75" style="83" customWidth="1"/>
    <col min="15620" max="15620" width="4.25" style="83" customWidth="1"/>
    <col min="15621" max="15621" width="1.375" style="83" customWidth="1"/>
    <col min="15622" max="15623" width="12.125" style="83" customWidth="1"/>
    <col min="15624" max="15624" width="1.25" style="83" customWidth="1"/>
    <col min="15625" max="15629" width="8.875" style="83"/>
    <col min="15630" max="15631" width="5.875" style="83" customWidth="1"/>
    <col min="15632" max="15632" width="6.375" style="83" customWidth="1"/>
    <col min="15633" max="15874" width="8.875" style="83"/>
    <col min="15875" max="15875" width="3.75" style="83" customWidth="1"/>
    <col min="15876" max="15876" width="4.25" style="83" customWidth="1"/>
    <col min="15877" max="15877" width="1.375" style="83" customWidth="1"/>
    <col min="15878" max="15879" width="12.125" style="83" customWidth="1"/>
    <col min="15880" max="15880" width="1.25" style="83" customWidth="1"/>
    <col min="15881" max="15885" width="8.875" style="83"/>
    <col min="15886" max="15887" width="5.875" style="83" customWidth="1"/>
    <col min="15888" max="15888" width="6.375" style="83" customWidth="1"/>
    <col min="15889" max="16130" width="8.875" style="83"/>
    <col min="16131" max="16131" width="3.75" style="83" customWidth="1"/>
    <col min="16132" max="16132" width="4.25" style="83" customWidth="1"/>
    <col min="16133" max="16133" width="1.375" style="83" customWidth="1"/>
    <col min="16134" max="16135" width="12.125" style="83" customWidth="1"/>
    <col min="16136" max="16136" width="1.25" style="83" customWidth="1"/>
    <col min="16137" max="16141" width="8.875" style="83"/>
    <col min="16142" max="16143" width="5.875" style="83" customWidth="1"/>
    <col min="16144" max="16144" width="6.375" style="83" customWidth="1"/>
    <col min="16145" max="16384" width="8.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0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0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0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5.8360679774997894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  <col min="3" max="3" width="25.25" style="83" bestFit="1" customWidth="1"/>
    <col min="4" max="4" width="12" style="83" bestFit="1" customWidth="1"/>
    <col min="5" max="16384" width="8.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0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</v>
      </c>
      <c r="E11" s="108"/>
    </row>
    <row r="12" spans="1:5" x14ac:dyDescent="0.25">
      <c r="C12" s="106" t="s">
        <v>266</v>
      </c>
      <c r="D12" s="107">
        <f>D11/D4</f>
        <v>0.2</v>
      </c>
      <c r="E12" s="108"/>
    </row>
    <row r="13" spans="1:5" x14ac:dyDescent="0.25">
      <c r="C13" s="106" t="s">
        <v>267</v>
      </c>
      <c r="D13" s="109">
        <f>D8*D11/2</f>
        <v>2.7397260273972603E-3</v>
      </c>
      <c r="E13" s="108"/>
    </row>
    <row r="14" spans="1:5" x14ac:dyDescent="0.25">
      <c r="C14" s="106" t="s">
        <v>268</v>
      </c>
      <c r="D14" s="110">
        <f>D5/D12</f>
        <v>50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50.0027397260274</v>
      </c>
      <c r="E16" s="108"/>
    </row>
    <row r="17" spans="3:4" x14ac:dyDescent="0.25">
      <c r="D17" s="83" t="b">
        <f>D16&lt;0.75</f>
        <v>0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  <col min="3" max="3" width="9.875" style="83" customWidth="1"/>
    <col min="4" max="4" width="2.375" style="86" bestFit="1" customWidth="1"/>
    <col min="5" max="5" width="2.375" style="83" bestFit="1" customWidth="1"/>
    <col min="6" max="9" width="5.875" style="83" customWidth="1"/>
    <col min="10" max="10" width="15.125" style="124" bestFit="1" customWidth="1"/>
    <col min="11" max="11" width="3.375" style="83" bestFit="1" customWidth="1"/>
    <col min="12" max="13" width="8.875" style="83"/>
    <col min="14" max="14" width="10.875" style="86" customWidth="1"/>
    <col min="15" max="16" width="8.875" style="86"/>
    <col min="17" max="16384" width="8.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</v>
      </c>
      <c r="G2" s="114">
        <v>0</v>
      </c>
      <c r="H2" s="114">
        <v>0</v>
      </c>
      <c r="I2" s="114">
        <v>0</v>
      </c>
      <c r="J2" s="112">
        <f>SQRT(($F$2-D2)^2+($G$2-E2)^2)</f>
        <v>0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1</v>
      </c>
      <c r="K3" s="96"/>
      <c r="N3" s="86" t="s">
        <v>281</v>
      </c>
      <c r="O3" s="86">
        <f>$F$2</f>
        <v>0</v>
      </c>
      <c r="P3" s="86">
        <f>$G$2</f>
        <v>0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2.2360679774997898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2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0</v>
      </c>
      <c r="K6" s="96"/>
      <c r="N6" s="86" t="s">
        <v>281</v>
      </c>
      <c r="O6" s="86">
        <f>$F$2</f>
        <v>0</v>
      </c>
      <c r="P6" s="86">
        <f>$G$2</f>
        <v>0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5.2360679774997898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0</v>
      </c>
      <c r="P9" s="86">
        <f>$I$2</f>
        <v>0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0</v>
      </c>
      <c r="P12" s="86">
        <f>$I$2</f>
        <v>0</v>
      </c>
    </row>
    <row r="14" spans="1:16" x14ac:dyDescent="0.25">
      <c r="N14" s="86" t="s">
        <v>281</v>
      </c>
      <c r="O14" s="86">
        <f>$F$2</f>
        <v>0</v>
      </c>
      <c r="P14" s="86">
        <f>$G$2</f>
        <v>0</v>
      </c>
    </row>
    <row r="15" spans="1:16" x14ac:dyDescent="0.25">
      <c r="N15" s="86" t="s">
        <v>283</v>
      </c>
      <c r="O15" s="86">
        <f>$H$2</f>
        <v>0</v>
      </c>
      <c r="P15" s="86">
        <f>$I$2</f>
        <v>0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workbookViewId="0">
      <selection activeCell="E31" sqref="E31"/>
    </sheetView>
  </sheetViews>
  <sheetFormatPr defaultColWidth="10.25" defaultRowHeight="15" x14ac:dyDescent="0.25"/>
  <cols>
    <col min="1" max="1" width="15" style="60" bestFit="1" customWidth="1"/>
    <col min="2" max="2" width="3" style="83" customWidth="1"/>
    <col min="3" max="3" width="10.25" style="125" customWidth="1"/>
    <col min="4" max="4" width="7" style="125" customWidth="1"/>
    <col min="5" max="16384" width="10.25" style="125"/>
  </cols>
  <sheetData>
    <row r="1" spans="1:9" x14ac:dyDescent="0.25">
      <c r="A1" s="62" t="s">
        <v>302</v>
      </c>
      <c r="C1" s="188" t="s">
        <v>285</v>
      </c>
      <c r="D1" s="188"/>
      <c r="E1" s="188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3</v>
      </c>
      <c r="I4" s="125">
        <f>SIN(RADIANS(D7))*D2</f>
        <v>0</v>
      </c>
    </row>
    <row r="5" spans="1:9" x14ac:dyDescent="0.25">
      <c r="A5" s="62" t="s">
        <v>209</v>
      </c>
      <c r="H5" s="125">
        <f>H4+COS(RADIANS(D8))*D3</f>
        <v>8</v>
      </c>
      <c r="I5" s="125">
        <f>I4+SIN(RADIANS(D8))*D3</f>
        <v>0</v>
      </c>
    </row>
    <row r="6" spans="1:9" ht="15.75" thickBot="1" x14ac:dyDescent="0.3">
      <c r="A6" s="63" t="b">
        <f>AND(F16)</f>
        <v>0</v>
      </c>
      <c r="C6" s="188" t="s">
        <v>224</v>
      </c>
      <c r="D6" s="188"/>
      <c r="E6" s="188"/>
    </row>
    <row r="7" spans="1:9" x14ac:dyDescent="0.25">
      <c r="A7" s="62" t="s">
        <v>210</v>
      </c>
      <c r="C7" s="127" t="s">
        <v>290</v>
      </c>
      <c r="D7" s="168">
        <v>0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0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88" t="s">
        <v>293</v>
      </c>
      <c r="D10" s="188"/>
      <c r="E10" s="188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8</v>
      </c>
      <c r="D12" s="130">
        <f>D4</f>
        <v>7</v>
      </c>
      <c r="E12" s="130">
        <f>D12-C12</f>
        <v>-1</v>
      </c>
      <c r="F12" s="130">
        <f>E12^2</f>
        <v>1</v>
      </c>
    </row>
    <row r="13" spans="1:9" x14ac:dyDescent="0.25">
      <c r="C13" s="130">
        <f>D2*SIN(RADIANS(D7))+D3*SIN(RADIANS(D8))</f>
        <v>0</v>
      </c>
      <c r="D13" s="130">
        <v>0</v>
      </c>
      <c r="E13" s="130">
        <f>C13-D13</f>
        <v>0</v>
      </c>
      <c r="F13" s="130">
        <f>E13^2</f>
        <v>0</v>
      </c>
    </row>
    <row r="15" spans="1:9" x14ac:dyDescent="0.25">
      <c r="C15" s="188" t="s">
        <v>298</v>
      </c>
      <c r="D15" s="188"/>
      <c r="E15" s="188"/>
      <c r="F15" s="131">
        <f>SUM(F12:F13)</f>
        <v>1</v>
      </c>
    </row>
    <row r="16" spans="1:9" x14ac:dyDescent="0.25">
      <c r="C16" s="132"/>
      <c r="F16" s="125" t="b">
        <f>ABS(F15)&lt;=0.000001</f>
        <v>0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E31" sqref="E31"/>
    </sheetView>
  </sheetViews>
  <sheetFormatPr defaultColWidth="8.875" defaultRowHeight="15" x14ac:dyDescent="0.25"/>
  <cols>
    <col min="1" max="1" width="2.375" customWidth="1"/>
    <col min="2" max="2" width="4.875" customWidth="1"/>
    <col min="3" max="5" width="5.125" style="1" customWidth="1"/>
    <col min="6" max="6" width="3.125" style="1" customWidth="1"/>
    <col min="7" max="7" width="8.375" style="1" customWidth="1"/>
    <col min="8" max="8" width="3" style="1" customWidth="1"/>
    <col min="9" max="10" width="6" style="1" customWidth="1"/>
    <col min="11" max="11" width="1.75" style="1" customWidth="1"/>
    <col min="12" max="14" width="7" customWidth="1"/>
    <col min="15" max="15" width="1.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E31" sqref="E31"/>
    </sheetView>
  </sheetViews>
  <sheetFormatPr defaultColWidth="9.125" defaultRowHeight="15" x14ac:dyDescent="0.25"/>
  <cols>
    <col min="1" max="1" width="3.375" style="42" customWidth="1"/>
    <col min="2" max="3" width="9.125" style="42"/>
    <col min="4" max="4" width="9.125" style="42" customWidth="1"/>
    <col min="5" max="5" width="18.25" style="42" customWidth="1"/>
    <col min="6" max="6" width="4.75" style="42" customWidth="1"/>
    <col min="7" max="7" width="3.375" style="43" customWidth="1"/>
    <col min="8" max="8" width="23.125" style="42" bestFit="1" customWidth="1"/>
    <col min="9" max="16384" width="9.1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9" t="s">
        <v>157</v>
      </c>
      <c r="C33" s="190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75</vt:i4>
      </vt:variant>
      <vt:variant>
        <vt:lpstr>Named Ranges</vt:lpstr>
      </vt:variant>
      <vt:variant>
        <vt:i4>123</vt:i4>
      </vt:variant>
    </vt:vector>
  </HeadingPairs>
  <TitlesOfParts>
    <vt:vector size="198" baseType="lpstr">
      <vt:lpstr>Data</vt:lpstr>
      <vt:lpstr>__OpenSolver__</vt:lpstr>
      <vt:lpstr>Results</vt:lpstr>
      <vt:lpstr>SimpleLP</vt:lpstr>
      <vt:lpstr>SimpleIP</vt:lpstr>
      <vt:lpstr>IP_SUMIF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SeekObjInf</vt:lpstr>
      <vt:lpstr>DiffSheetObj</vt:lpstr>
      <vt:lpstr>NamedRanges</vt:lpstr>
      <vt:lpstr>QuickSolve</vt:lpstr>
      <vt:lpstr>SolverParameters</vt:lpstr>
      <vt:lpstr>Warmstart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IP_SUMIF!Scale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IP_SUMIF!Sheet1OpenSolverModelParameters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2016-10-03T20:38:25Z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