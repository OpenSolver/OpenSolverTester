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Couenne</definedName>
    <definedName name="OpenSolver_ChosenSolver" localSheetId="2" hidden="1">Couenne</definedName>
    <definedName name="OpenSolver_ChosenSolver" localSheetId="27" hidden="1">Couenne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Couenne</definedName>
    <definedName name="OpenSolver_ChosenSolver" localSheetId="31" hidden="1">Couenne</definedName>
    <definedName name="OpenSolver_ChosenSolver" localSheetId="32" hidden="1">Couenne</definedName>
    <definedName name="OpenSolver_ChosenSolver" localSheetId="33" hidden="1">Couenne</definedName>
    <definedName name="OpenSolver_ChosenSolver" localSheetId="34" hidden="1">Couenne</definedName>
    <definedName name="OpenSolver_ChosenSolver" localSheetId="35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40" hidden="1">Couenne</definedName>
    <definedName name="OpenSolver_ChosenSolver" localSheetId="41" hidden="1">Couenne</definedName>
    <definedName name="OpenSolver_ChosenSolver" localSheetId="3" hidden="1">Couenne</definedName>
    <definedName name="OpenSolver_ChosenSolver" localSheetId="4" hidden="1">Couenne</definedName>
    <definedName name="OpenSolver_ChosenSolver" localSheetId="5" hidden="1">Couenne</definedName>
    <definedName name="OpenSolver_ChosenSolver" localSheetId="6" hidden="1">Couenne</definedName>
    <definedName name="OpenSolver_ChosenSolver" localSheetId="7" hidden="1">Couenne</definedName>
    <definedName name="OpenSolver_ChosenSolver" localSheetId="8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11" hidden="1">Couenne</definedName>
    <definedName name="OpenSolver_ChosenSolver" localSheetId="12" hidden="1">Couenne</definedName>
    <definedName name="OpenSolver_ChosenSolver" localSheetId="13" hidden="1">Couenne</definedName>
    <definedName name="OpenSolver_ChosenSolver" localSheetId="14" hidden="1">Couenne</definedName>
    <definedName name="OpenSolver_ChosenSolver" localSheetId="1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42" hidden="1">Couenne</definedName>
    <definedName name="OpenSolver_ChosenSolver" localSheetId="43" hidden="1">Couenne</definedName>
    <definedName name="OpenSolver_ChosenSolver" localSheetId="44" hidden="1">Couenne</definedName>
    <definedName name="OpenSolver_ChosenSolver" localSheetId="4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48" hidden="1">Couenne</definedName>
    <definedName name="OpenSolver_ChosenSolver" localSheetId="49" hidden="1">Couenne</definedName>
    <definedName name="OpenSolver_ChosenSolver" localSheetId="50" hidden="1">Couenne</definedName>
    <definedName name="OpenSolver_ChosenSolver" localSheetId="51" hidden="1">Couenne</definedName>
    <definedName name="OpenSolver_ChosenSolver" localSheetId="18" hidden="1">Couenne</definedName>
    <definedName name="OpenSolver_ChosenSolver" localSheetId="52" hidden="1">Couenne</definedName>
    <definedName name="OpenSolver_ChosenSolver" localSheetId="54" hidden="1">Couenne</definedName>
    <definedName name="OpenSolver_ChosenSolver" localSheetId="53" hidden="1">CBC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70" hidden="1">Couenne</definedName>
    <definedName name="OpenSolver_ChosenSolver" localSheetId="71" hidden="1">Couenne</definedName>
    <definedName name="OpenSolver_ChosenSolver" localSheetId="20" hidden="1">Couenne</definedName>
    <definedName name="OpenSolver_ChosenSolver" localSheetId="22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94" l="1"/>
  <c r="A68" i="60"/>
  <c r="G4" i="92"/>
  <c r="A67" i="60"/>
  <c r="G4" i="90"/>
  <c r="A66" i="60"/>
  <c r="A65" i="60"/>
  <c r="J7" i="87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4"/>
  <c r="A10" i="94" l="1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 l="1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I7" i="9" s="1"/>
  <c r="S4" i="8"/>
  <c r="I7" i="8" s="1"/>
  <c r="S3" i="7"/>
  <c r="I6" i="7" s="1"/>
  <c r="D22" i="35"/>
  <c r="D22" i="33"/>
  <c r="D12" i="88"/>
  <c r="P3" i="75"/>
  <c r="P4" i="75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C4" i="76"/>
  <c r="D4" i="76" s="1"/>
  <c r="G8" i="70"/>
  <c r="I7" i="71"/>
  <c r="F9" i="69"/>
  <c r="F22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D16" i="85" l="1"/>
  <c r="J24" i="87"/>
  <c r="D17" i="85"/>
  <c r="A6" i="85" s="1"/>
  <c r="E12" i="88"/>
  <c r="F12" i="88" s="1"/>
  <c r="F15" i="88" s="1"/>
  <c r="C6" i="76"/>
  <c r="A7" i="76"/>
  <c r="B7" i="76" s="1"/>
  <c r="D6" i="76"/>
  <c r="A6" i="90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C7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D22" i="9"/>
  <c r="F16" i="9"/>
  <c r="D22" i="8"/>
  <c r="A6" i="8" s="1"/>
  <c r="F16" i="8"/>
  <c r="D21" i="7"/>
  <c r="A6" i="7" s="1"/>
  <c r="F15" i="7"/>
  <c r="A6" i="6"/>
  <c r="A6" i="34"/>
  <c r="A6" i="33"/>
  <c r="A6" i="31"/>
  <c r="A6" i="22"/>
  <c r="A8" i="76" l="1"/>
  <c r="E8" i="76" s="1"/>
  <c r="F16" i="88"/>
  <c r="A6" i="88" s="1"/>
  <c r="D7" i="76"/>
  <c r="E6" i="76"/>
  <c r="F4" i="76"/>
  <c r="G4" i="76" s="1"/>
  <c r="E7" i="76"/>
  <c r="B8" i="76" l="1"/>
  <c r="D8" i="76"/>
  <c r="A9" i="76"/>
  <c r="E9" i="76" s="1"/>
  <c r="C8" i="76"/>
  <c r="F8" i="76"/>
  <c r="F5" i="76"/>
  <c r="F6" i="76"/>
  <c r="F7" i="76"/>
  <c r="G5" i="76"/>
  <c r="G8" i="76"/>
  <c r="G9" i="76"/>
  <c r="G7" i="76"/>
  <c r="G6" i="76"/>
  <c r="H4" i="76"/>
  <c r="C9" i="76"/>
  <c r="D9" i="76"/>
  <c r="F9" i="76"/>
  <c r="B9" i="76" l="1"/>
  <c r="A10" i="76"/>
  <c r="A11" i="76" s="1"/>
  <c r="H11" i="76" s="1"/>
  <c r="F10" i="76"/>
  <c r="H9" i="76"/>
  <c r="I4" i="76"/>
  <c r="H7" i="76"/>
  <c r="H8" i="76"/>
  <c r="H6" i="76"/>
  <c r="H5" i="76"/>
  <c r="G10" i="76"/>
  <c r="E10" i="76" l="1"/>
  <c r="C10" i="76"/>
  <c r="B10" i="76"/>
  <c r="H10" i="76"/>
  <c r="D10" i="76"/>
  <c r="I11" i="76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AH37" i="76" s="1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AG48" i="76" l="1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<sst xmlns="http://schemas.openxmlformats.org/spreadsheetml/2006/main" count="1989" uniqueCount="417">
  <si>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</si>
  <si>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</si>
  <si>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</si>
  <si>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</si>
  <si>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</si>
  <si>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</si>
  <si>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</si>
  <si>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</si>
  <si>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</si>
  <si>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</si>
  <si>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</si>
  <si>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</si>
  <si>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</si>
  <si>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</si>
  <si>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</si>
  <si>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</si>
  <si>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</si>
  <si>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</si>
  <si>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</si>
  <si>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</si>
  <si>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</si>
  <si>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</si>
  <si>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</si>
  <si>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</si>
  <si>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</si>
  <si>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</si>
  <si>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</si>
  <si>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</si>
  <si>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</si>
  <si>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</si>
  <si>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</si>
  <si>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</si>
  <si>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</si>
  <si>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</si>
  <si>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</si>
  <si>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</si>
  <si>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</si>
  <si>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</si>
  <si>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</si>
  <si>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</si>
  <si>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</si>
  <si>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</si>
  <si>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</si>
  <si>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</si>
  <si>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</si>
  <si>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</si>
  <si>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</si>
  <si>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</si>
  <si>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</si>
  <si>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</si>
  <si>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</si>
  <si>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</si>
  <si>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</si>
  <si>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</si>
  <si>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</si>
  <si>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</si>
  <si>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</si>
  <si>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</si>
  <si>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</si>
  <si>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</si>
  <si>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</si>
  <si>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</si>
  <si>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</si>
  <si>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</si>
  <si>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</si>
  <si>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</si>
  <si>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</si>
  <si>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</si>
  <si>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</si>
  <si>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</si>
  <si>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</si>
  <si>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</si>
  <si>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</si>
  <si>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</si>
  <si>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</si>
  <si>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</si>
  <si>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</si>
  <si>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</si>
  <si>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</si>
  <si>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</si>
  <si>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</si>
  <si>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</si>
  <si>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</si>
  <si>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</si>
  <si>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</si>
  <si>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</si>
  <si>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</si>
  <si>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</si>
  <si>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</si>
  <si>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</si>
  <si>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</si>
  <si>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</si>
  <si>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</si>
  <si>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</si>
  <si>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</si>
  <si>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</si>
  <si>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</si>
  <si>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</si>
  <si>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</si>
  <si>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</si>
  <si>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</si>
  <si>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</si>
  <si>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</si>
  <si>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</si>
  <si>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</si>
  <si>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</si>
  <si>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</si>
  <si>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</si>
  <si>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</si>
  <si>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</si>
  <si>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</si>
  <si>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</si>
  <si>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</si>
  <si>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</si>
  <si>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</si>
  <si>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</si>
  <si>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</si>
  <si>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</si>
  <si>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</si>
  <si>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</si>
  <si>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</si>
  <si>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</si>
  <si>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</si>
  <si>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</si>
  <si>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</si>
  <si>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</si>
  <si>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</si>
  <si>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</si>
  <si>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</si>
  <si>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</si>
  <si>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</si>
  <si>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</si>
  <si>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</si>
  <si>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</si>
  <si>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</si>
  <si>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</si>
  <si>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</si>
  <si>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</si>
  <si>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</si>
  <si>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</si>
  <si>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</si>
  <si>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</si>
  <si>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</si>
  <si>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</si>
  <si>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</si>
  <si>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</si>
  <si>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</si>
  <si>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</si>
  <si>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</si>
  <si>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</si>
  <si>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</si>
  <si>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</si>
  <si>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</si>
  <si>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</si>
  <si>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</si>
  <si>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</si>
  <si>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</si>
  <si>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</si>
  <si>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</si>
  <si>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</si>
  <si>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</si>
  <si>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</si>
  <si>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</si>
  <si>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</si>
  <si>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</si>
  <si>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</si>
  <si>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</si>
  <si>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</si>
  <si>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</si>
  <si>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</si>
  <si>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</si>
  <si>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</si>
  <si>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</si>
  <si>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</si>
  <si>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</si>
  <si>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</si>
  <si>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</si>
  <si>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</si>
  <si>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</si>
  <si>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</si>
  <si>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</si>
  <si>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</si>
  <si>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</si>
  <si>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</si>
  <si>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</si>
  <si>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</si>
  <si>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</si>
  <si>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</si>
  <si>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</si>
  <si>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</si>
  <si>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</si>
  <si>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</si>
  <si>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</si>
  <si>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</si>
  <si>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</si>
  <si>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</si>
  <si>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</si>
  <si>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</si>
  <si>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</si>
  <si>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</si>
  <si>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</si>
  <si>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</si>
  <si>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</si>
  <si>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</si>
  <si>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</si>
  <si>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</si>
  <si>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</si>
  <si>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</si>
  <si>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</si>
  <si>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</si>
  <si>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</si>
  <si>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</si>
  <si>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</si>
  <si>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</si>
  <si>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</si>
  <si>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</si>
  <si>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</si>
  <si>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</si>
  <si>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</si>
  <si>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</si>
  <si>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</si>
  <si>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</si>
  <si>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</si>
  <si>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</si>
  <si>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</si>
  <si>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</si>
  <si>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</si>
  <si>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</si>
  <si>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</si>
  <si>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</si>
  <si>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</si>
  <si>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</si>
  <si>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</si>
  <si>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</si>
  <si>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</si>
  <si>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</si>
  <si>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</si>
  <si>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</si>
  <si>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</si>
  <si>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</si>
  <si>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</si>
  <si>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</si>
  <si>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</si>
  <si>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</si>
  <si>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</si>
  <si>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</si>
  <si>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</si>
  <si>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</si>
  <si>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</si>
  <si>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</si>
  <si>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</si>
  <si>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</si>
  <si>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</si>
  <si>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</si>
  <si>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</si>
  <si>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</si>
  <si>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</si>
  <si>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</si>
  <si>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</si>
  <si>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</si>
  <si>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</si>
  <si>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</si>
  <si>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</si>
  <si>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</si>
  <si>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</si>
  <si>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</si>
  <si>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</si>
  <si>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</si>
  <si>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</si>
  <si>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</si>
  <si>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</si>
  <si>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</si>
  <si>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</si>
  <si>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</si>
  <si>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</si>
  <si>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</si>
  <si>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</si>
  <si>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</si>
  <si>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</si>
  <si>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</si>
  <si>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</si>
  <si>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</si>
  <si>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</si>
  <si>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</si>
  <si>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</si>
  <si>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</si>
  <si>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</si>
  <si>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</si>
  <si>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</si>
  <si>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</si>
  <si>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</si>
  <si>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</si>
  <si>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</si>
  <si>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</si>
  <si>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</si>
  <si>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</si>
  <si>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</si>
  <si>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</si>
  <si>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</si>
  <si>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</si>
  <si>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</si>
  <si>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</si>
  <si>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</si>
  <si>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</si>
  <si>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</si>
  <si>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</si>
  <si>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</si>
  <si>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</si>
  <si>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</si>
  <si>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</si>
  <si>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</si>
  <si>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</si>
  <si>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</si>
  <si>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</si>
  <si>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</si>
  <si>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</si>
  <si>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</si>
  <si>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</si>
  <si>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</si>
  <si>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</si>
  <si>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</si>
  <si>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</si>
  <si>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</si>
  <si>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</si>
  <si>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</si>
  <si>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</si>
  <si>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</si>
  <si>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</si>
  <si>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</si>
  <si>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</si>
  <si>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</si>
  <si>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</si>
  <si>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</si>
  <si>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</si>
  <si>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</si>
  <si>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</si>
  <si>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</si>
  <si>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</si>
  <si>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</si>
  <si>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</si>
  <si>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</si>
  <si>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</si>
  <si>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</si>
  <si>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</si>
  <si>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</si>
  <si>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</si>
  <si>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</si>
  <si>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</si>
  <si>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</si>
  <si>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</si>
  <si>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</si>
  <si>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</si>
  <si>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</si>
  <si>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</si>
  <si>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</si>
  <si>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</si>
  <si>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</si>
  <si>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</si>
  <si>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</si>
  <si>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</si>
  <si>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</si>
  <si>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</si>
  <si>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</si>
  <si>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</si>
  <si>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</si>
  <si>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</si>
  <si>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</si>
  <si>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</si>
  <si>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</si>
  <si>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</si>
  <si>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</si>
  <si>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</si>
  <si>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</si>
  <si>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</si>
  <si>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</si>
  <si>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</si>
  <si>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</si>
  <si>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</si>
  <si>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</si>
  <si>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</si>
  <si>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</si>
  <si>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</si>
  <si>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</si>
  <si>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</si>
  <si>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</si>
  <si>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</si>
  <si>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</si>
  <si>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</si>
  <si>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</si>
  <si>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</si>
  <si>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</si>
  <si>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</si>
  <si>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</si>
  <si>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</si>
  <si>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</si>
  <si>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</si>
  <si>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</si>
  <si>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</si>
  <si>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</si>
  <si>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</si>
  <si>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</si>
  <si>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</si>
  <si>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</si>
  <si>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</si>
  <si>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</si>
  <si>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</si>
  <si>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</si>
  <si>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</si>
  <si>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</si>
  <si>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</si>
  <si>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OpenSolver Sensitivity Report - Gurobi</t>
  </si>
  <si>
    <t>N/A</t>
  </si>
  <si>
    <t>PASS*</t>
  </si>
  <si>
    <t>FAIL*</t>
  </si>
  <si>
    <t>Report Created: 30/01/2015 11:51:44 a.m.</t>
  </si>
  <si>
    <t>Report Created: 30/01/2015 11:52:12 a.m.</t>
  </si>
  <si>
    <t>Report Created: 30/01/2015 11:52:30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</si>
</sst>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31839280"/>
        <c:axId val="331836536"/>
        <c:axId val="428932144"/>
      </c:surface3DChart>
      <c:catAx>
        <c:axId val="33183928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53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3183653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9280"/>
        <c:crosses val="min"/>
        <c:crossBetween val="between"/>
        <c:majorUnit val="0.1"/>
      </c:valAx>
      <c:serAx>
        <c:axId val="42893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53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34576"/>
        <c:axId val="331840848"/>
      </c:scatterChart>
      <c:valAx>
        <c:axId val="3318345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40848"/>
        <c:crosses val="autoZero"/>
        <c:crossBetween val="midCat"/>
        <c:majorUnit val="0.5"/>
      </c:valAx>
      <c:valAx>
        <c:axId val="3318408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45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2.3571428571428603</c:v>
                </c:pt>
                <c:pt idx="2">
                  <c:v>7.0000000000000036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1.8557687223952219</c:v>
                </c:pt>
                <c:pt idx="2">
                  <c:v>-2.886579864025407E-15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37712"/>
        <c:axId val="331836144"/>
      </c:scatterChart>
      <c:valAx>
        <c:axId val="33183771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144"/>
        <c:crosses val="autoZero"/>
        <c:crossBetween val="midCat"/>
        <c:majorUnit val="1"/>
      </c:valAx>
      <c:valAx>
        <c:axId val="33183614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77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68"/>
  <sheetViews>
    <sheetView tabSelected="1" zoomScale="85" zoomScaleNormal="85" zoomScalePageLayoutView="85" workbookViewId="0"/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6" s="167" customFormat="1" ht="63" customHeight="1" thickBot="1" x14ac:dyDescent="0.3">
      <c r="A1" s="169"/>
      <c r="C1" s="175" t="s">
        <v>391</v>
      </c>
      <c r="D1" s="175"/>
      <c r="E1" s="175"/>
      <c r="F1" s="175"/>
    </row>
    <row r="2" spans="1:6" s="166" customFormat="1" ht="15.75" thickBot="1" x14ac:dyDescent="0.3">
      <c r="A2" s="170" t="s">
        <v>194</v>
      </c>
      <c r="B2" s="165" t="s">
        <v>368</v>
      </c>
    </row>
    <row r="3" spans="1:6" x14ac:dyDescent="0.25">
      <c r="A3" s="172" t="str">
        <f>HYPERLINK("[OpenSolver Tester.xlsm]Test1!A1", "Test1")</f>
        <v>Test1</v>
      </c>
      <c r="B3" s="60" t="s">
        <v>390</v>
      </c>
    </row>
    <row r="4" spans="1:6" x14ac:dyDescent="0.25">
      <c r="A4" s="172" t="str">
        <f>HYPERLINK("[OpenSolver Tester.xlsm]Test1b!A1", "Test1b")</f>
        <v>Test1b</v>
      </c>
      <c r="B4" s="60" t="s">
        <v>390</v>
      </c>
    </row>
    <row r="5" spans="1:6" x14ac:dyDescent="0.25">
      <c r="A5" s="172" t="str">
        <f>HYPERLINK("[OpenSolver Tester.xlsm]Test1c!A1", "Test1c")</f>
        <v>Test1c</v>
      </c>
      <c r="B5" s="60" t="s">
        <v>390</v>
      </c>
    </row>
    <row r="6" spans="1:6" x14ac:dyDescent="0.25">
      <c r="A6" s="172" t="str">
        <f>HYPERLINK("[OpenSolver Tester.xlsm]Test1c2!A1", "Test1c2")</f>
        <v>Test1c2</v>
      </c>
      <c r="B6" s="60" t="s">
        <v>390</v>
      </c>
    </row>
    <row r="7" spans="1:6" x14ac:dyDescent="0.25">
      <c r="A7" s="172" t="str">
        <f>HYPERLINK("[OpenSolver Tester.xlsm]Test1d!A1", "Test1d")</f>
        <v>Test1d</v>
      </c>
      <c r="B7" s="60" t="s">
        <v>390</v>
      </c>
    </row>
    <row r="8" spans="1:6" x14ac:dyDescent="0.25">
      <c r="A8" s="172" t="str">
        <f>HYPERLINK("[OpenSolver Tester.xlsm]Test1e!A1", "Test1e")</f>
        <v>Test1e</v>
      </c>
      <c r="B8" s="60" t="s">
        <v>390</v>
      </c>
    </row>
    <row r="9" spans="1:6" x14ac:dyDescent="0.25">
      <c r="A9" s="172" t="str">
        <f>HYPERLINK("[OpenSolver Tester.xlsm]Test1f!A1", "Test1f")</f>
        <v>Test1f</v>
      </c>
      <c r="B9" s="60" t="s">
        <v>390</v>
      </c>
    </row>
    <row r="10" spans="1:6" x14ac:dyDescent="0.25">
      <c r="A10" s="172" t="str">
        <f>HYPERLINK("[OpenSolver Tester.xlsm]Test1g!A1", "Test1g")</f>
        <v>Test1g</v>
      </c>
      <c r="B10" s="60" t="s">
        <v>390</v>
      </c>
    </row>
    <row r="11" spans="1:6" x14ac:dyDescent="0.25">
      <c r="A11" s="172" t="str">
        <f>HYPERLINK("[OpenSolver Tester.xlsm]Test1h!A1", "Test1h")</f>
        <v>Test1h</v>
      </c>
      <c r="B11" s="60" t="s">
        <v>390</v>
      </c>
    </row>
    <row r="12" spans="1:6" x14ac:dyDescent="0.25">
      <c r="A12" s="172" t="str">
        <f>HYPERLINK("[OpenSolver Tester.xlsm]Test1i!A1", "Test1i")</f>
        <v>Test1i</v>
      </c>
      <c r="B12" s="60" t="s">
        <v>390</v>
      </c>
    </row>
    <row r="13" spans="1:6" x14ac:dyDescent="0.25">
      <c r="A13" s="172" t="str">
        <f>HYPERLINK("[OpenSolver Tester.xlsm]Test1j!A1", "Test1j")</f>
        <v>Test1j</v>
      </c>
      <c r="B13" s="60" t="s">
        <v>390</v>
      </c>
    </row>
    <row r="14" spans="1:6" x14ac:dyDescent="0.25">
      <c r="A14" s="172" t="str">
        <f>HYPERLINK("[OpenSolver Tester.xlsm]Test1j2!A1", "Test1j2")</f>
        <v>Test1j2</v>
      </c>
      <c r="B14" s="60" t="s">
        <v>390</v>
      </c>
    </row>
    <row r="15" spans="1:6" x14ac:dyDescent="0.25">
      <c r="A15" s="172" t="str">
        <f>HYPERLINK("[OpenSolver Tester.xlsm]Test1k!A1", "Test1k")</f>
        <v>Test1k</v>
      </c>
      <c r="B15" s="60" t="s">
        <v>390</v>
      </c>
    </row>
    <row r="16" spans="1:6" x14ac:dyDescent="0.25">
      <c r="A16" s="172" t="str">
        <f>HYPERLINK("[OpenSolver Tester.xlsm]Test1l!A1", "Test1l")</f>
        <v>Test1l</v>
      </c>
      <c r="B16" s="60" t="s">
        <v>390</v>
      </c>
    </row>
    <row r="17" spans="1:2" x14ac:dyDescent="0.25">
      <c r="A17" s="172" t="str">
        <f>HYPERLINK("[OpenSolver Tester.xlsm]Test1m!A1", "Test1m")</f>
        <v>Test1m</v>
      </c>
      <c r="B17" s="60" t="s">
        <v>390</v>
      </c>
    </row>
    <row r="18" spans="1:2" x14ac:dyDescent="0.25">
      <c r="A18" s="172" t="str">
        <f>HYPERLINK("[OpenSolver Tester.xlsm]Test2!A1", "Test2")</f>
        <v>Test2</v>
      </c>
      <c r="B18" s="60" t="s">
        <v>390</v>
      </c>
    </row>
    <row r="19" spans="1:2" x14ac:dyDescent="0.25">
      <c r="A19" s="172" t="str">
        <f>HYPERLINK("[OpenSolver Tester.xlsm]Test3!A1", "Test3")</f>
        <v>Test3</v>
      </c>
      <c r="B19" s="60" t="s">
        <v>413</v>
      </c>
    </row>
    <row r="20" spans="1:2" x14ac:dyDescent="0.25">
      <c r="A20" s="172" t="str">
        <f>HYPERLINK("[OpenSolver Tester.xlsm]Test4!A1", "Test4")</f>
        <v>Test4</v>
      </c>
      <c r="B20" s="60" t="s">
        <v>413</v>
      </c>
    </row>
    <row r="21" spans="1:2" x14ac:dyDescent="0.25">
      <c r="A21" s="172" t="str">
        <f>HYPERLINK("[OpenSolver Tester.xlsm]Test5!A1", "Test5")</f>
        <v>Test5</v>
      </c>
      <c r="B21" s="60" t="s">
        <v>390</v>
      </c>
    </row>
    <row r="22" spans="1:2" x14ac:dyDescent="0.25">
      <c r="A22" s="172" t="str">
        <f>HYPERLINK("[OpenSolver Tester.xlsm]Test!6!A1", "Test!6")</f>
        <v>Test!6</v>
      </c>
      <c r="B22" s="60" t="s">
        <v>390</v>
      </c>
    </row>
    <row r="23" spans="1:2" x14ac:dyDescent="0.25">
      <c r="A23" s="172" t="str">
        <f>HYPERLINK("[OpenSolver Tester.xlsm]Test7!A1", "Test7")</f>
        <v>Test7</v>
      </c>
      <c r="B23" s="60" t="s">
        <v>390</v>
      </c>
    </row>
    <row r="24" spans="1:2" x14ac:dyDescent="0.25">
      <c r="A24" s="172" t="str">
        <f>HYPERLINK("[OpenSolver Tester.xlsm]Test8!A1", "Test8")</f>
        <v>Test8</v>
      </c>
      <c r="B24" s="60" t="s">
        <v>390</v>
      </c>
    </row>
    <row r="25" spans="1:2" x14ac:dyDescent="0.25">
      <c r="A25" s="172" t="str">
        <f>HYPERLINK("[OpenSolver Tester.xlsm]Test8B!A1", "Test8B")</f>
        <v>Test8B</v>
      </c>
      <c r="B25" s="60" t="s">
        <v>390</v>
      </c>
    </row>
    <row r="26" spans="1:2" x14ac:dyDescent="0.25">
      <c r="A26" s="172" t="str">
        <f>HYPERLINK("[OpenSolver Tester.xlsm]Test9A!A1", "Test9A")</f>
        <v>Test9A</v>
      </c>
      <c r="B26" s="60" t="s">
        <v>413</v>
      </c>
    </row>
    <row r="27" spans="1:2" x14ac:dyDescent="0.25">
      <c r="A27" s="172" t="str">
        <f>HYPERLINK("[OpenSolver Tester.xlsm]Test9B!A1", "Test9B")</f>
        <v>Test9B</v>
      </c>
      <c r="B27" s="60" t="s">
        <v>390</v>
      </c>
    </row>
    <row r="28" spans="1:2" x14ac:dyDescent="0.25">
      <c r="A28" s="172" t="str">
        <f>HYPERLINK("[OpenSolver Tester.xlsm]Test10!A1", "Test10")</f>
        <v>Test10</v>
      </c>
      <c r="B28" s="60" t="s">
        <v>390</v>
      </c>
    </row>
    <row r="29" spans="1:2" x14ac:dyDescent="0.25">
      <c r="A29" s="172" t="str">
        <f>HYPERLINK("[OpenSolver Tester.xlsm]Test11!A1", "Test11")</f>
        <v>Test11</v>
      </c>
      <c r="B29" s="60" t="s">
        <v>390</v>
      </c>
    </row>
    <row r="30" spans="1:2" x14ac:dyDescent="0.25">
      <c r="A30" s="172" t="str">
        <f>HYPERLINK("[OpenSolver Tester.xlsm]Test12!A1", "Test12")</f>
        <v>Test12</v>
      </c>
      <c r="B30" s="60" t="s">
        <v>390</v>
      </c>
    </row>
    <row r="31" spans="1:2" x14ac:dyDescent="0.25">
      <c r="A31" s="172" t="str">
        <f>HYPERLINK("[OpenSolver Tester.xlsm]Test13!A1", "Test13")</f>
        <v>Test13</v>
      </c>
      <c r="B31" s="60" t="s">
        <v>390</v>
      </c>
    </row>
    <row r="32" spans="1:2" x14ac:dyDescent="0.25">
      <c r="A32" s="172" t="str">
        <f>HYPERLINK("[OpenSolver Tester.xlsm]Test13b!A1", "Test13b")</f>
        <v>Test13b</v>
      </c>
      <c r="B32" s="60" t="s">
        <v>390</v>
      </c>
    </row>
    <row r="33" spans="1:2" x14ac:dyDescent="0.25">
      <c r="A33" s="172" t="str">
        <f>HYPERLINK("[OpenSolver Tester.xlsm]Test14!A1", "Test14")</f>
        <v>Test14</v>
      </c>
      <c r="B33" s="60" t="s">
        <v>390</v>
      </c>
    </row>
    <row r="34" spans="1:2" x14ac:dyDescent="0.25">
      <c r="A34" s="172" t="str">
        <f>HYPERLINK("[OpenSolver Tester.xlsm]Test15!A1", "Test15")</f>
        <v>Test15</v>
      </c>
      <c r="B34" s="60" t="s">
        <v>390</v>
      </c>
    </row>
    <row r="35" spans="1:2" x14ac:dyDescent="0.25">
      <c r="A35" s="172" t="str">
        <f>HYPERLINK("[OpenSolver Tester.xlsm]Test15b!A1", "Test15b")</f>
        <v>Test15b</v>
      </c>
      <c r="B35" s="60" t="s">
        <v>390</v>
      </c>
    </row>
    <row r="36" spans="1:2" x14ac:dyDescent="0.25">
      <c r="A36" s="172" t="str">
        <f>HYPERLINK("[OpenSolver Tester.xlsm]Test15c!A1", "Test15c")</f>
        <v>Test15c</v>
      </c>
      <c r="B36" s="60" t="s">
        <v>413</v>
      </c>
    </row>
    <row r="37" spans="1:2" x14ac:dyDescent="0.25">
      <c r="A37" s="172" t="str">
        <f>HYPERLINK("[OpenSolver Tester.xlsm]Test15d!A1", "Test15d")</f>
        <v>Test15d</v>
      </c>
      <c r="B37" s="60" t="s">
        <v>412</v>
      </c>
    </row>
    <row r="38" spans="1:2" x14ac:dyDescent="0.25">
      <c r="A38" s="172" t="str">
        <f>HYPERLINK("[OpenSolver Tester.xlsm]Test16!A1", "Test16")</f>
        <v>Test16</v>
      </c>
      <c r="B38" s="60" t="s">
        <v>390</v>
      </c>
    </row>
    <row r="39" spans="1:2" x14ac:dyDescent="0.25">
      <c r="A39" s="172" t="str">
        <f>HYPERLINK("[OpenSolver Tester.xlsm]Test16b!A1", "Test16b")</f>
        <v>Test16b</v>
      </c>
      <c r="B39" s="60" t="s">
        <v>390</v>
      </c>
    </row>
    <row r="40" spans="1:2" x14ac:dyDescent="0.25">
      <c r="A40" s="172" t="str">
        <f>HYPERLINK("[OpenSolver Tester.xlsm]Test17!A1", "Test17")</f>
        <v>Test17</v>
      </c>
      <c r="B40" s="60" t="s">
        <v>390</v>
      </c>
    </row>
    <row r="41" spans="1:2" x14ac:dyDescent="0.25">
      <c r="A41" s="172" t="str">
        <f>HYPERLINK("[OpenSolver Tester.xlsm]Test18!A1", "Test18")</f>
        <v>Test18</v>
      </c>
      <c r="B41" s="60" t="s">
        <v>390</v>
      </c>
    </row>
    <row r="42" spans="1:2" x14ac:dyDescent="0.25">
      <c r="A42" s="172" t="str">
        <f>HYPERLINK("[OpenSolver Tester.xlsm]Test19!A1", "Test19")</f>
        <v>Test19</v>
      </c>
      <c r="B42" s="60" t="s">
        <v>390</v>
      </c>
    </row>
    <row r="43" spans="1:2" x14ac:dyDescent="0.25">
      <c r="A43" s="172" t="str">
        <f>HYPERLINK("[OpenSolver Tester.xlsm]Test20!A1", "Test20")</f>
        <v>Test20</v>
      </c>
      <c r="B43" s="60" t="s">
        <v>390</v>
      </c>
    </row>
    <row r="44" spans="1:2" x14ac:dyDescent="0.25">
      <c r="A44" s="172" t="str">
        <f>HYPERLINK("[OpenSolver Tester.xlsm]Test21!A1", "Test21")</f>
        <v>Test21</v>
      </c>
      <c r="B44" s="60" t="s">
        <v>390</v>
      </c>
    </row>
    <row r="45" spans="1:2" x14ac:dyDescent="0.25">
      <c r="A45" s="172" t="str">
        <f>HYPERLINK("[OpenSolver Tester.xlsm]Test22!A1", "Test22")</f>
        <v>Test22</v>
      </c>
      <c r="B45" s="60" t="s">
        <v>413</v>
      </c>
    </row>
    <row r="46" spans="1:2" x14ac:dyDescent="0.25">
      <c r="A46" s="172" t="str">
        <f>HYPERLINK("[OpenSolver Tester.xlsm]Test23!A1", "Test23")</f>
        <v>Test23</v>
      </c>
      <c r="B46" s="60" t="s">
        <v>413</v>
      </c>
    </row>
    <row r="47" spans="1:2" x14ac:dyDescent="0.25">
      <c r="A47" s="172" t="str">
        <f>HYPERLINK("[OpenSolver Tester.xlsm]Test24_IterativeCalc!A1", "Test24_IterativeCalc")</f>
        <v>Test24_IterativeCalc</v>
      </c>
      <c r="B47" s="60" t="s">
        <v>390</v>
      </c>
    </row>
    <row r="48" spans="1:2" x14ac:dyDescent="0.25">
      <c r="A48" s="172" t="str">
        <f>HYPERLINK("[OpenSolver Tester.xlsm]Test25!A1", "Test25")</f>
        <v>Test25</v>
      </c>
      <c r="B48" s="60" t="s">
        <v>390</v>
      </c>
    </row>
    <row r="49" spans="1:2" x14ac:dyDescent="0.25">
      <c r="A49" s="172" t="str">
        <f>HYPERLINK("[OpenSolver Tester.xlsm]Test26!A1", "Test26")</f>
        <v>Test26</v>
      </c>
      <c r="B49" s="60" t="s">
        <v>390</v>
      </c>
    </row>
    <row r="50" spans="1:2" x14ac:dyDescent="0.25">
      <c r="A50" s="172" t="str">
        <f>HYPERLINK("[OpenSolver Tester.xlsm]Test27_Parameters!A1", "Test27_Parameters")</f>
        <v>Test27_Parameters</v>
      </c>
      <c r="B50" s="60" t="s">
        <v>411</v>
      </c>
    </row>
    <row r="51" spans="1:2" x14ac:dyDescent="0.25">
      <c r="A51" s="172" t="str">
        <f>HYPERLINK("[OpenSolver Tester.xlsm]Test28_CBCOptions!A1", "Test28_CBCOptions")</f>
        <v>Test28_CBCOptions</v>
      </c>
      <c r="B51" s="60" t="s">
        <v>413</v>
      </c>
    </row>
    <row r="52" spans="1:2" x14ac:dyDescent="0.25">
      <c r="A52" s="172" t="str">
        <f>HYPERLINK("[OpenSolver Tester.xlsm]Test29!A1", "Test29")</f>
        <v>Test29</v>
      </c>
      <c r="B52" s="60" t="s">
        <v>390</v>
      </c>
    </row>
    <row r="53" spans="1:2" x14ac:dyDescent="0.25">
      <c r="A53" s="172" t="str">
        <f>HYPERLINK("[OpenSolver Tester.xlsm]Test30!A1", "Test30")</f>
        <v>Test30</v>
      </c>
      <c r="B53" s="60" t="s">
        <v>390</v>
      </c>
    </row>
    <row r="54" spans="1:2" x14ac:dyDescent="0.25">
      <c r="A54" s="172" t="str">
        <f>HYPERLINK("[OpenSolver Tester.xlsm]Test31!A1", "Test31")</f>
        <v>Test31</v>
      </c>
      <c r="B54" s="60" t="s">
        <v>390</v>
      </c>
    </row>
    <row r="55" spans="1:2" x14ac:dyDescent="0.25">
      <c r="A55" s="172" t="str">
        <f>HYPERLINK("[OpenSolver Tester.xlsm]Test32!A1", "Test32")</f>
        <v>Test32</v>
      </c>
      <c r="B55" s="60" t="s">
        <v>390</v>
      </c>
    </row>
    <row r="56" spans="1:2" x14ac:dyDescent="0.25">
      <c r="A56" s="172" t="str">
        <f>HYPERLINK("[OpenSolver Tester.xlsm]Test33!A1", "Test33")</f>
        <v>Test33</v>
      </c>
      <c r="B56" s="60" t="s">
        <v>390</v>
      </c>
    </row>
    <row r="57" spans="1:2" x14ac:dyDescent="0.25">
      <c r="A57" s="172" t="str">
        <f>HYPERLINK("[OpenSolver Tester.xlsm]Test34!A1", "Test34")</f>
        <v>Test34</v>
      </c>
      <c r="B57" s="60" t="s">
        <v>390</v>
      </c>
    </row>
    <row r="58" spans="1:2" x14ac:dyDescent="0.25">
      <c r="A58" s="172" t="str">
        <f>HYPERLINK("[OpenSolver Tester.xlsm]Test35!A1", "Test35")</f>
        <v>Test35</v>
      </c>
      <c r="B58" s="60" t="s">
        <v>413</v>
      </c>
    </row>
    <row r="59" spans="1:2" x14ac:dyDescent="0.25">
      <c r="A59" s="172" t="str">
        <f>HYPERLINK("[OpenSolver Tester.xlsm]Test36!A1", "Test36")</f>
        <v>Test36</v>
      </c>
      <c r="B59" s="60" t="s">
        <v>413</v>
      </c>
    </row>
    <row r="60" spans="1:2" x14ac:dyDescent="0.25">
      <c r="A60" s="172" t="str">
        <f>HYPERLINK("[OpenSolver Tester.xlsm]Test37!A1", "Test37")</f>
        <v>Test37</v>
      </c>
      <c r="B60" s="60" t="s">
        <v>390</v>
      </c>
    </row>
    <row r="61" spans="1:2" x14ac:dyDescent="0.25">
      <c r="A61" s="172" t="str">
        <f>HYPERLINK("[OpenSolver Tester.xlsm]Test38!A1", "Test38")</f>
        <v>Test38</v>
      </c>
      <c r="B61" s="60" t="s">
        <v>413</v>
      </c>
    </row>
    <row r="62" spans="1:2" x14ac:dyDescent="0.25">
      <c r="A62" s="172" t="str">
        <f>HYPERLINK("[OpenSolver Tester.xlsm]Test39_SensNames!A1", "Test39_SensNames")</f>
        <v>Test39_SensNames</v>
      </c>
      <c r="B62" s="60" t="s">
        <v>390</v>
      </c>
    </row>
    <row r="63" spans="1:2" x14ac:dyDescent="0.25">
      <c r="A63" s="172" t="str">
        <f>HYPERLINK("[OpenSolver Tester.xlsm]Test40!A1", "Test40")</f>
        <v>Test40</v>
      </c>
      <c r="B63" s="60" t="s">
        <v>390</v>
      </c>
    </row>
    <row r="64" spans="1:2" x14ac:dyDescent="0.25">
      <c r="A64" s="172" t="str">
        <f>HYPERLINK("[OpenSolver Tester.xlsm]Test41!A1", "Test41")</f>
        <v>Test41</v>
      </c>
      <c r="B64" s="60" t="s">
        <v>413</v>
      </c>
    </row>
    <row r="65" spans="1:2" x14ac:dyDescent="0.25">
      <c r="A65" s="172" t="str">
        <f>HYPERLINK("[OpenSolver Tester.xlsm]Test42!A1", "Test42")</f>
        <v>Test42</v>
      </c>
      <c r="B65" s="60" t="s">
        <v>390</v>
      </c>
    </row>
    <row r="66" spans="1:2" x14ac:dyDescent="0.25">
      <c r="A66" s="172" t="str">
        <f>HYPERLINK("[OpenSolver Tester.xlsm]Test43!A1", "Test43")</f>
        <v>Test43</v>
      </c>
      <c r="B66" s="60" t="s">
        <v>390</v>
      </c>
    </row>
    <row r="67" spans="1:2" x14ac:dyDescent="0.25">
      <c r="A67" s="172" t="str">
        <f>HYPERLINK("[OpenSolver Tester.xlsm]Test44_Seek!A1", "Test44_Seek")</f>
        <v>Test44_Seek</v>
      </c>
      <c r="B67" s="60" t="s">
        <v>390</v>
      </c>
    </row>
    <row r="68" spans="1:2" x14ac:dyDescent="0.25">
      <c r="A68" s="172" t="str">
        <f>HYPERLINK("[OpenSolver Tester.xlsm]Test45_SheetName(1)+2-1!A1", "Test45_SheetName(1)+2-1")</f>
        <v>Test45_SheetName(1)+2-1</v>
      </c>
      <c r="B68" s="60" t="s">
        <v>390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P4" sqref="P4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5.2941176432194004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5.2941176432194004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5.2941176432197103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15.882352929659131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58.235294075416817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116.47058815083363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116.47058815083363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179.99999986947014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6">
        <v>5.2941175999999999</v>
      </c>
      <c r="F5" s="176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6">
        <v>5.2941176470588198</v>
      </c>
      <c r="F5" s="176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6">
        <v>2</v>
      </c>
      <c r="D5" s="176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6">
        <v>150</v>
      </c>
      <c r="K10" s="17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3.6637359812630197E-15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15.882352941176467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58.235294117647051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6">
        <f>SUMPRODUCT($D$5:$F$5,D10:F10)</f>
        <v>116.4705882352941</v>
      </c>
      <c r="H10" s="176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179.99999999999994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7">
        <v>5</v>
      </c>
      <c r="H10" s="17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7"/>
      <c r="H11" s="17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-4.4408920985006301E-16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712.53566661174648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0.29565217356554901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32.999999670000498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721.43093843475344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14.547826082786589</v>
      </c>
      <c r="J9" s="1" t="s">
        <v>8</v>
      </c>
      <c r="K9" s="1">
        <f>61.2345678+2.3*N4-S5</f>
        <v>14.547826072791324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28.799999992007628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-9.4608695540975685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28.800000001998093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5.2941176432347703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252.24913458368709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58.235294075582473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116.47058815116495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116.47058815116495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179.99999986998219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2.6182822537944301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27.421607842139363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198.94736850091468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198.94736850091468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198.94736850091468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198.94736850091468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198.94736850091468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198.94736850091468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198.94736850091468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198.94736850091468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198.94736850091468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198.94736850091468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198.94736850091468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198.94736850091468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198.94736850091468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198.94736850091468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198.94736850091468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198.94736850091468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198.94736850091468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198.94736850091468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198.94736850091468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198.94736850091468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198.94736850091468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198.94736850091468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198.94736850091468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198.94736850091468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198.94736850091468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198.94736850091468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198.94736850091468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198.94736850091468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198.94736850091468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198.94736850091468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198.94736850091468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198.94736850091468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198.94736850091468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198.94736850091468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198.94736850091468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198.94736850091468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198.94736850091468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198.94736850091468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198.94736850091468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198.94736850091468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198.94736850091468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198.94736850091468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198.94736850091468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198.94736850091468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198.94736850091468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198.94736850091468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198.94736850091468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198.94736850091468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198.94736850091468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198.94736850091468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198.94736850091468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198.94736850091468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198.94736850091468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198.94736850091468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198.94736850091468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198.94736850091468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198.94736850091468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198.94736850091468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198.94736850091468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198.94736850091468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198.94736850091468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198.94736850091468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198.94736850091468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198.94736850091468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180.00000007225614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-1264.6303285827098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198.94736850091468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198.94736850091468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198.94736850091468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198.94736850091468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198.94736850091468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198.94736850091468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198.94736850091468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198.94736850091468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198.94736850091468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198.94736850091468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198.94736850091468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198.94736850091468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198.94736850091468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198.94736850091468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198.94736850091468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198.94736850091468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198.94736850091468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198.94736850091468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198.94736850091468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198.94736850091468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198.94736850091468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198.94736850091468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198.94736850091468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198.94736850091468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198.94736850091468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198.94736850091468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198.94736850091468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198.94736850091468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198.94736850091468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198.94736850091468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198.94736850091468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198.94736850091468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198.94736850091468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198.94736850091468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198.94736850091468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198.94736850091468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198.94736850091468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198.94736850091468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198.94736850091468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198.94736850091468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198.94736850091468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198.94736850091468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198.94736850091468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198.94736850091468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198.94736850091468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198.94736850091468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198.94736850091468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198.94736850091468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198.94736850091468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198.94736850091468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198.94736850091468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198.94736850091468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198.94736850091468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198.94736850091468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198.94736850091468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198.94736850091468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198.94736850091468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198.94736850091468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198.94736850091468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198.94736850091468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198.94736850091468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198.94736850091468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198.94736850091468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198.94736850091468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180.00000007225614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-2.00000000992214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-2.00000000992214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-4.00000001984428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-2.00000000992214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272399</v>
      </c>
      <c r="N9" s="58">
        <f ca="1">M9+1</f>
        <v>272400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0.290935654141533</v>
      </c>
      <c r="E5" s="59">
        <v>5.1459719014068197</v>
      </c>
      <c r="F5" s="59">
        <v>1.5338189891284E-2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59.699105735585754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119.67380893542176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118.96825220042268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4.9999999500099896</v>
      </c>
      <c r="F4">
        <v>3.99999996000999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19.000000369969982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4.9999999500099896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14.000000139994981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243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414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409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3.9999999602482301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8.9999999602482301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3.9999999602482301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3.9999999602482301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1.00000000004004</v>
      </c>
      <c r="F4">
        <f>100*(D4-C4^2)^2+(1-C4)^2</f>
        <v>4.0015981052560679E-22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D6" sqref="D6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29.733919068266399</v>
      </c>
      <c r="E5">
        <v>0.67263282170420202</v>
      </c>
    </row>
    <row r="6" spans="1:15" ht="15.75" thickBot="1" x14ac:dyDescent="0.3">
      <c r="A6" s="64" t="b">
        <f>AND(F22)</f>
        <v>1</v>
      </c>
      <c r="F6">
        <f>D5^2*E5^2</f>
        <v>400.00039532859387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20.000009883212407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30.406551889970601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29.733919068266399</v>
      </c>
      <c r="G10" t="s">
        <v>9</v>
      </c>
      <c r="H10">
        <v>0</v>
      </c>
    </row>
    <row r="11" spans="1:15" x14ac:dyDescent="0.25">
      <c r="F11">
        <f>E5</f>
        <v>0.67263282170420202</v>
      </c>
      <c r="H11">
        <v>0</v>
      </c>
    </row>
    <row r="12" spans="1:15" x14ac:dyDescent="0.25">
      <c r="F12">
        <f>E5*D5+E5+D5</f>
        <v>50.406561773183007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50.406561773183007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50.406561773183007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-10.406542006758194</v>
      </c>
      <c r="G15" t="s">
        <v>8</v>
      </c>
      <c r="H15">
        <v>0</v>
      </c>
      <c r="O15" s="83"/>
    </row>
    <row r="16" spans="1:15" x14ac:dyDescent="0.25">
      <c r="F16">
        <f>E5-D5*E5+D5</f>
        <v>10.406542006758194</v>
      </c>
      <c r="G16" t="s">
        <v>8</v>
      </c>
      <c r="H16">
        <v>60</v>
      </c>
      <c r="O16" s="83"/>
    </row>
    <row r="17" spans="6:15" x14ac:dyDescent="0.25">
      <c r="F17">
        <f>E5-D5+E5*D5</f>
        <v>-9.0612763633497906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408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1.84552171749754</v>
      </c>
      <c r="E5">
        <v>1.84552171749754</v>
      </c>
      <c r="F5">
        <v>1.84552171749754</v>
      </c>
      <c r="G5">
        <v>1.84552171749754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-21.14037210096004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-8.3879753790006077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-1.0058885090104477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/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0.94240514092647998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0.41277404754628999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284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415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4"/>
      <c r="C22" s="174"/>
      <c r="D22" s="174"/>
      <c r="E22" s="174"/>
      <c r="F22" s="174"/>
      <c r="G22" s="174"/>
      <c r="H22" s="174"/>
    </row>
    <row r="23" spans="1:8" ht="15.75" thickBot="1" x14ac:dyDescent="0.3">
      <c r="A23" s="17" t="s">
        <v>134</v>
      </c>
      <c r="B23" s="174"/>
      <c r="C23" s="174"/>
      <c r="D23" s="174"/>
      <c r="E23" s="174"/>
      <c r="F23" s="174"/>
      <c r="G23" s="174"/>
      <c r="H23" s="174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4"/>
      <c r="C33" s="174"/>
      <c r="D33" s="174"/>
      <c r="E33" s="174"/>
      <c r="F33" s="174"/>
      <c r="G33" s="174"/>
      <c r="H33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263</v>
      </c>
      <c r="D15">
        <v>0</v>
      </c>
      <c r="E15" s="81">
        <v>2.9805244926395802E-6</v>
      </c>
      <c r="F15">
        <v>200</v>
      </c>
      <c r="G15" s="81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264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13249.999900017418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135.09259044966899</v>
      </c>
      <c r="E11" s="123"/>
    </row>
    <row r="12" spans="1:5" x14ac:dyDescent="0.25">
      <c r="C12" s="121" t="s">
        <v>328</v>
      </c>
      <c r="D12" s="122">
        <f>D11/D4</f>
        <v>27.018518089933799</v>
      </c>
      <c r="E12" s="123"/>
    </row>
    <row r="13" spans="1:5" x14ac:dyDescent="0.25">
      <c r="C13" s="121" t="s">
        <v>329</v>
      </c>
      <c r="D13" s="124">
        <f>D8*D11/2</f>
        <v>0.3701166861634767</v>
      </c>
      <c r="E13" s="123"/>
    </row>
    <row r="14" spans="1:5" x14ac:dyDescent="0.25">
      <c r="C14" s="121" t="s">
        <v>330</v>
      </c>
      <c r="D14" s="126">
        <f>D5/D12</f>
        <v>0.3701165240341463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0.740233210197623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8" t="s">
        <v>347</v>
      </c>
      <c r="D1" s="178"/>
      <c r="E1" s="178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2.3571428571428603</v>
      </c>
      <c r="I4" s="141">
        <f>SIN(RADIANS(D7))*D2</f>
        <v>1.8557687223952219</v>
      </c>
    </row>
    <row r="5" spans="1:9" x14ac:dyDescent="0.25">
      <c r="A5" s="63" t="s">
        <v>210</v>
      </c>
      <c r="H5" s="141">
        <f>H4+COS(RADIANS(D8))*D3</f>
        <v>7.0000000000000036</v>
      </c>
      <c r="I5" s="141">
        <f>I4+SIN(RADIANS(D8))*D3</f>
        <v>-2.886579864025407E-15</v>
      </c>
    </row>
    <row r="6" spans="1:9" ht="15.75" thickBot="1" x14ac:dyDescent="0.3">
      <c r="A6" s="64" t="b">
        <f>AND(F16)</f>
        <v>1</v>
      </c>
      <c r="C6" s="178" t="s">
        <v>228</v>
      </c>
      <c r="D6" s="178"/>
      <c r="E6" s="178"/>
    </row>
    <row r="7" spans="1:9" x14ac:dyDescent="0.25">
      <c r="A7" s="63" t="s">
        <v>211</v>
      </c>
      <c r="C7" s="143" t="s">
        <v>352</v>
      </c>
      <c r="D7" s="144">
        <v>38.213210701738099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-21.786789298261802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78" t="s">
        <v>355</v>
      </c>
      <c r="D10" s="178"/>
      <c r="E10" s="178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7.0000000000000036</v>
      </c>
      <c r="D12" s="146">
        <f>D4</f>
        <v>7</v>
      </c>
      <c r="E12" s="146">
        <f>D12-C12</f>
        <v>0</v>
      </c>
      <c r="F12" s="146">
        <f>E12^2</f>
        <v>0</v>
      </c>
    </row>
    <row r="13" spans="1:9" x14ac:dyDescent="0.25">
      <c r="C13" s="146">
        <f>D2*SIN(RADIANS(D7))+D3*SIN(RADIANS(D8))</f>
        <v>-2.886579864025407E-15</v>
      </c>
      <c r="D13" s="146">
        <v>0</v>
      </c>
      <c r="E13" s="146">
        <f>C13-D13</f>
        <v>-2.886579864025407E-15</v>
      </c>
      <c r="F13" s="146">
        <f>E13^2</f>
        <v>8.3323433113969372E-30</v>
      </c>
    </row>
    <row r="15" spans="1:9" x14ac:dyDescent="0.25">
      <c r="C15" s="178" t="s">
        <v>360</v>
      </c>
      <c r="D15" s="178"/>
      <c r="E15" s="178"/>
      <c r="F15" s="147">
        <f>SUM(F12:F13)</f>
        <v>8.3323433113969372E-30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250.00000100758501</v>
      </c>
      <c r="E2">
        <v>99.999999000305607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49.999999850834904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350.00000000789061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99.999999000305607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-500.00000201517003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404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416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401</v>
      </c>
      <c r="C7" s="75" t="s">
        <v>405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402</v>
      </c>
      <c r="C8" s="75" t="s">
        <v>406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403</v>
      </c>
      <c r="C9" s="111" t="s">
        <v>407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250.000000245</v>
      </c>
      <c r="E2">
        <v>99.999999509999995</v>
      </c>
      <c r="F2" s="81">
        <v>2.4499999668359299E-7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99.999999509999995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-500.00000024499997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2.4499999668359299E-7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403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5.2941176432194004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15.8823529296582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58.235294075413407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116.47058815082681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116.47058815082681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179.9999998694596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9" t="s">
        <v>157</v>
      </c>
      <c r="C33" s="18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2015-01-30T18:10:18Z</dcterms:modified>
</cp:coreProperties>
</file>