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.xml" ContentType="application/vnd.openxmlformats-officedocument.drawingml.chart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2.xml" ContentType="application/vnd.openxmlformats-officedocument.drawingml.chart+xml"/>
  <Override PartName="/xl/drawings/drawing41.xml" ContentType="application/vnd.openxmlformats-officedocument.drawing+xml"/>
  <Override PartName="/xl/charts/chart3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9185" windowHeight="14835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DiffSheetObj" sheetId="112" r:id="rId50"/>
    <sheet name="NamedRanges" sheetId="66" r:id="rId51"/>
    <sheet name="QuickSolve" sheetId="4" r:id="rId52"/>
    <sheet name="SolverParameters" sheetId="2" r:id="rId53"/>
    <sheet name="Sensitivity" sheetId="65" r:id="rId54"/>
    <sheet name="SensitivityNames" sheetId="77" r:id="rId55"/>
    <sheet name="NonLinSimple" sheetId="20" r:id="rId56"/>
    <sheet name="NonLinLarge" sheetId="38" r:id="rId57"/>
    <sheet name="NonLinObj" sheetId="19" r:id="rId58"/>
    <sheet name="NonLinPruning" sheetId="69" r:id="rId59"/>
    <sheet name="NonLinMinMax" sheetId="70" r:id="rId60"/>
    <sheet name="NonLinConstraints" sheetId="71" r:id="rId61"/>
    <sheet name="NonLinBinary" sheetId="95" r:id="rId62"/>
    <sheet name="NonLin" sheetId="3" r:id="rId63"/>
    <sheet name="NonLin2" sheetId="68" r:id="rId64"/>
    <sheet name="NonLin3" sheetId="75" r:id="rId65"/>
    <sheet name="NonLin4" sheetId="85" r:id="rId66"/>
    <sheet name="NonLin5" sheetId="87" r:id="rId67"/>
    <sheet name="NonLin6" sheetId="88" r:id="rId68"/>
    <sheet name="Highlighting" sheetId="5" r:id="rId69"/>
    <sheet name="AutoModel" sheetId="40" r:id="rId70"/>
  </sheets>
  <functionGroups builtInGroupCount="18"/>
  <externalReferences>
    <externalReference r:id="rId71"/>
  </externalReferences>
  <definedNames>
    <definedName name="anscount" hidden="1">1</definedName>
    <definedName name="asdsad" localSheetId="49">#REF!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49">#REF!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49" hidden="1">CBC (default)</definedName>
    <definedName name="feasibilitySolve" localSheetId="21" hidden="1">CBC (default)</definedName>
    <definedName name="feasibilitySolve" localSheetId="61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49">#REF!</definedName>
    <definedName name="Hey" localSheetId="21">#REF!</definedName>
    <definedName name="Hey" localSheetId="61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49">#REF!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49">#REF!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4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2" hidden="1">SolverParameters!$L$5:$M$5</definedName>
    <definedName name="OpenSolver_CBCParameters" localSheetId="52" hidden="1">SolverParameters!$C$5:$D$7</definedName>
    <definedName name="OpenSolver_ChosenSolver" localSheetId="20" hidden="1">CBC</definedName>
    <definedName name="OpenSolver_ChosenSolver" localSheetId="32" hidden="1">NeosCou</definedName>
    <definedName name="OpenSolver_ChosenSolver" localSheetId="17" hidden="1">NeosCou</definedName>
    <definedName name="OpenSolver_ChosenSolver" localSheetId="31" hidden="1">NeosCou</definedName>
    <definedName name="OpenSolver_ChosenSolver" localSheetId="5" hidden="1">NeosCou</definedName>
    <definedName name="OpenSolver_ChosenSolver" localSheetId="4" hidden="1">NeosCou</definedName>
    <definedName name="OpenSolver_ChosenSolver" localSheetId="44" hidden="1">NeosCou</definedName>
    <definedName name="OpenSolver_ChosenSolver" localSheetId="18" hidden="1">NeosCou</definedName>
    <definedName name="OpenSolver_ChosenSolver" localSheetId="19" hidden="1">NeosCou</definedName>
    <definedName name="OpenSolver_ChosenSolver" localSheetId="40" hidden="1">NeosCou</definedName>
    <definedName name="OpenSolver_ChosenSolver" localSheetId="37" hidden="1">NeosCou</definedName>
    <definedName name="OpenSolver_ChosenSolver" localSheetId="39" hidden="1">NeosCou</definedName>
    <definedName name="OpenSolver_ChosenSolver" localSheetId="22" hidden="1">NeosCou</definedName>
    <definedName name="OpenSolver_ChosenSolver" localSheetId="23" hidden="1">NeosCou</definedName>
    <definedName name="OpenSolver_ChosenSolver" localSheetId="49" hidden="1">NeosCou</definedName>
    <definedName name="OpenSolver_ChosenSolver" localSheetId="29" hidden="1">NeosCou</definedName>
    <definedName name="OpenSolver_ChosenSolver" localSheetId="8" hidden="1">NeosCou</definedName>
    <definedName name="OpenSolver_ChosenSolver" localSheetId="9" hidden="1">NeosCou</definedName>
    <definedName name="OpenSolver_ChosenSolver" localSheetId="7" hidden="1">NeosCou</definedName>
    <definedName name="OpenSolver_ChosenSolver" localSheetId="21" hidden="1">NeosCou</definedName>
    <definedName name="OpenSolver_ChosenSolver" localSheetId="25" hidden="1">NeosCou</definedName>
    <definedName name="OpenSolver_ChosenSolver" localSheetId="41" hidden="1">NeosCou</definedName>
    <definedName name="OpenSolver_ChosenSolver" localSheetId="43" hidden="1">NeosCou</definedName>
    <definedName name="OpenSolver_ChosenSolver" localSheetId="28" hidden="1">NeosCou</definedName>
    <definedName name="OpenSolver_ChosenSolver" localSheetId="24" hidden="1">NeosCou</definedName>
    <definedName name="OpenSolver_ChosenSolver" localSheetId="45" hidden="1">NeosCou</definedName>
    <definedName name="OpenSolver_ChosenSolver" localSheetId="46" hidden="1">NeosCou</definedName>
    <definedName name="OpenSolver_ChosenSolver" localSheetId="34" hidden="1">NeosCou</definedName>
    <definedName name="OpenSolver_ChosenSolver" localSheetId="15" hidden="1">NeosCou</definedName>
    <definedName name="OpenSolver_ChosenSolver" localSheetId="16" hidden="1">NeosCou</definedName>
    <definedName name="OpenSolver_ChosenSolver" localSheetId="14" hidden="1">NeosCou</definedName>
    <definedName name="OpenSolver_ChosenSolver" localSheetId="13" hidden="1">NeosCou</definedName>
    <definedName name="OpenSolver_ChosenSolver" localSheetId="12" hidden="1">NeosCou</definedName>
    <definedName name="OpenSolver_ChosenSolver" localSheetId="11" hidden="1">NeosCou</definedName>
    <definedName name="OpenSolver_ChosenSolver" localSheetId="50" hidden="1">NeosCou</definedName>
    <definedName name="OpenSolver_ChosenSolver" localSheetId="62" hidden="1">NeosCou</definedName>
    <definedName name="OpenSolver_ChosenSolver" localSheetId="63" hidden="1">NeosCou</definedName>
    <definedName name="OpenSolver_ChosenSolver" localSheetId="64" hidden="1">NeosCou</definedName>
    <definedName name="OpenSolver_ChosenSolver" localSheetId="65" hidden="1">NeosCou</definedName>
    <definedName name="OpenSolver_ChosenSolver" localSheetId="66" hidden="1">NeosCou</definedName>
    <definedName name="OpenSolver_ChosenSolver" localSheetId="67" hidden="1">NeosCou</definedName>
    <definedName name="OpenSolver_ChosenSolver" localSheetId="61" hidden="1">NeosCou</definedName>
    <definedName name="OpenSolver_ChosenSolver" localSheetId="60" hidden="1">NeosCou</definedName>
    <definedName name="OpenSolver_ChosenSolver" localSheetId="56" hidden="1">NeosCou</definedName>
    <definedName name="OpenSolver_ChosenSolver" localSheetId="59" hidden="1">NeosCou</definedName>
    <definedName name="OpenSolver_ChosenSolver" localSheetId="57" hidden="1">NeosCou</definedName>
    <definedName name="OpenSolver_ChosenSolver" localSheetId="58" hidden="1">NeosCou</definedName>
    <definedName name="OpenSolver_ChosenSolver" localSheetId="55" hidden="1">NeosCou</definedName>
    <definedName name="OpenSolver_ChosenSolver" localSheetId="47" hidden="1">NeosCou</definedName>
    <definedName name="OpenSolver_ChosenSolver" localSheetId="3" hidden="1">NeosCou</definedName>
    <definedName name="OpenSolver_ChosenSolver" localSheetId="35" hidden="1">NeosCou</definedName>
    <definedName name="OpenSolver_ChosenSolver" localSheetId="36" hidden="1">NeosCou</definedName>
    <definedName name="OpenSolver_ChosenSolver" localSheetId="27" hidden="1">NeosCou</definedName>
    <definedName name="OpenSolver_ChosenSolver" localSheetId="51" hidden="1">NeosCou</definedName>
    <definedName name="OpenSolver_ChosenSolver" localSheetId="33" hidden="1">NeosCou</definedName>
    <definedName name="OpenSolver_ChosenSolver" localSheetId="1" hidden="1">CBC</definedName>
    <definedName name="OpenSolver_ChosenSolver" localSheetId="48" hidden="1">NeosCou</definedName>
    <definedName name="OpenSolver_ChosenSolver" localSheetId="53" hidden="1">NeosCou</definedName>
    <definedName name="OpenSolver_ChosenSolver" localSheetId="54" hidden="1">NeosCou</definedName>
    <definedName name="OpenSolver_ChosenSolver" localSheetId="2" hidden="1">NeosCou</definedName>
    <definedName name="OpenSolver_ChosenSolver" localSheetId="30" hidden="1">NeosCou</definedName>
    <definedName name="OpenSolver_ChosenSolver" localSheetId="52" hidden="1">NeosCou</definedName>
    <definedName name="OpenSolver_ChosenSolver" localSheetId="10" hidden="1">NeosCou</definedName>
    <definedName name="OpenSolver_ChosenSolver" localSheetId="6" hidden="1">NeosCou</definedName>
    <definedName name="OpenSolver_ChosenSolver" localSheetId="26" hidden="1">NeosCou</definedName>
    <definedName name="OpenSolver_ChosenSolver" localSheetId="42" hidden="1">NeosCou</definedName>
    <definedName name="OpenSolver_ChosenSolver" localSheetId="38" hidden="1">NeosCou</definedName>
    <definedName name="OpenSolver_ConstraintList" localSheetId="49">#REF!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2" hidden="1">SolverParameters!$O$5:$P$5</definedName>
    <definedName name="OpenSolver_DualsNewSheet" localSheetId="20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3" hidden="1">TRUE</definedName>
    <definedName name="OpenSolver_DualsNewSheet" localSheetId="54" hidden="1">TRUE</definedName>
    <definedName name="OpenSolver_GurobiParameters" localSheetId="52" hidden="1">SolverParameters!$F$5:$G$5</definedName>
    <definedName name="OpenSolver_LinearityCheck" localSheetId="1" hidden="1">1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8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1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1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2" hidden="1">SolverParameters!$U$5:$V$5</definedName>
    <definedName name="OpenSolver_NeosCBCParameters" localSheetId="52" hidden="1">SolverParameters!$I$5:$J$7</definedName>
    <definedName name="OpenSolver_NeosCouParameters" localSheetId="52" hidden="1">SolverParameters!$X$5:$Y$5</definedName>
    <definedName name="OpenSolver_NOMADParameters" localSheetId="52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3" hidden="1">TRUE</definedName>
    <definedName name="OpenSolver_UpdateSensitivity" localSheetId="54" hidden="1">TRUE</definedName>
    <definedName name="OpenSolverModelParameters" localSheetId="51" hidden="1">QuickSolve!$O$7:$P$7</definedName>
    <definedName name="OpenSolverResult">Data!$A$1:$A$7</definedName>
    <definedName name="OpenSolverResultCodes">Data!$A$1:$B$7</definedName>
    <definedName name="p" localSheetId="49">#REF!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49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49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8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1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1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49">#REF!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8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1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1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49" hidden="1">CBC (default)</definedName>
    <definedName name="Solver" localSheetId="21" hidden="1">CBC (default)</definedName>
    <definedName name="Solver" localSheetId="61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9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49" hidden="1">DiffSheetObj!$D$2:$F$2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8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50" hidden="1">NamedRanges!$D$4:$H$4</definedName>
    <definedName name="solver_adj" localSheetId="62" hidden="1">NonLin!$D$3:$D$35</definedName>
    <definedName name="solver_adj" localSheetId="63" hidden="1">NonLin2!$C$4:$D$4</definedName>
    <definedName name="solver_adj" localSheetId="64" hidden="1">NonLin3!$S$10:$S$11</definedName>
    <definedName name="solver_adj" localSheetId="65" hidden="1">NonLin4!$D$11</definedName>
    <definedName name="solver_adj" localSheetId="66" hidden="1">NonLin5!$F$2:$I$2</definedName>
    <definedName name="solver_adj" localSheetId="67" hidden="1">NonLin6!$D$7:$D$8</definedName>
    <definedName name="solver_adj" localSheetId="61" hidden="1">NonLinBinary!$C$4:$D$4</definedName>
    <definedName name="solver_adj" localSheetId="60" hidden="1">NonLinConstraints!$D$5:$H$5</definedName>
    <definedName name="solver_adj" localSheetId="56" hidden="1">NonLinLarge!$D$3:$F$3</definedName>
    <definedName name="solver_adj" localSheetId="59" hidden="1">NonLinMinMax!$D$4:$F$4</definedName>
    <definedName name="solver_adj" localSheetId="57" hidden="1">NonLinObj!$D$3:$F$3</definedName>
    <definedName name="solver_adj" localSheetId="58" hidden="1">NonLinPruning!$D$5:$E$5</definedName>
    <definedName name="solver_adj" localSheetId="55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1" hidden="1">QuickSolve!$D$4:$F$4</definedName>
    <definedName name="solver_adj" localSheetId="33" hidden="1">Relaxation!$D$5:$F$5</definedName>
    <definedName name="solver_adj" localSheetId="1" hidden="1">OverlappingVars!$D$4:$E$4,OverlappingVars!$E$4:$F$4</definedName>
    <definedName name="solver_adj" localSheetId="48" hidden="1">SeekObj!$D$2:$F$2</definedName>
    <definedName name="solver_adj" localSheetId="53" hidden="1">Sensitivity!$D$4:$F$4</definedName>
    <definedName name="solver_adj" localSheetId="54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2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9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49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8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50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1" hidden="1">0.0001</definedName>
    <definedName name="solver_cvg" localSheetId="60" hidden="1">0.0001</definedName>
    <definedName name="solver_cvg" localSheetId="56" hidden="1">0.0001</definedName>
    <definedName name="solver_cvg" localSheetId="59" hidden="1">0.0001</definedName>
    <definedName name="solver_cvg" localSheetId="57" hidden="1">0.0001</definedName>
    <definedName name="solver_cvg" localSheetId="58" hidden="1">0.0001</definedName>
    <definedName name="solver_cvg" localSheetId="55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1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3" hidden="1">0.0001</definedName>
    <definedName name="solver_cvg" localSheetId="54" hidden="1">0.0001</definedName>
    <definedName name="solver_cvg" localSheetId="2" hidden="1">0.0001</definedName>
    <definedName name="solver_cvg" localSheetId="30" hidden="1">0.0001</definedName>
    <definedName name="solver_cvg" localSheetId="52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9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49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8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50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1" hidden="1">1</definedName>
    <definedName name="solver_drv" localSheetId="60" hidden="1">1</definedName>
    <definedName name="solver_drv" localSheetId="56" hidden="1">1</definedName>
    <definedName name="solver_drv" localSheetId="59" hidden="1">1</definedName>
    <definedName name="solver_drv" localSheetId="57" hidden="1">1</definedName>
    <definedName name="solver_drv" localSheetId="58" hidden="1">1</definedName>
    <definedName name="solver_drv" localSheetId="55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1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3" hidden="1">1</definedName>
    <definedName name="solver_drv" localSheetId="54" hidden="1">1</definedName>
    <definedName name="solver_drv" localSheetId="2" hidden="1">1</definedName>
    <definedName name="solver_drv" localSheetId="30" hidden="1">1</definedName>
    <definedName name="solver_drv" localSheetId="52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9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50" hidden="1">2</definedName>
    <definedName name="solver_eng" localSheetId="62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60" hidden="1">2</definedName>
    <definedName name="solver_eng" localSheetId="56">2</definedName>
    <definedName name="solver_eng" localSheetId="59" hidden="1">2</definedName>
    <definedName name="solver_eng" localSheetId="57">2</definedName>
    <definedName name="solver_eng" localSheetId="58" hidden="1">2</definedName>
    <definedName name="solver_eng" localSheetId="55">2</definedName>
    <definedName name="solver_eng" localSheetId="47" hidden="1">2</definedName>
    <definedName name="solver_eng" localSheetId="3" hidden="1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9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49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8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50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1" hidden="1">1</definedName>
    <definedName name="solver_est" localSheetId="60" hidden="1">1</definedName>
    <definedName name="solver_est" localSheetId="56" hidden="1">1</definedName>
    <definedName name="solver_est" localSheetId="59" hidden="1">1</definedName>
    <definedName name="solver_est" localSheetId="57" hidden="1">1</definedName>
    <definedName name="solver_est" localSheetId="58" hidden="1">1</definedName>
    <definedName name="solver_est" localSheetId="55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1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3" hidden="1">1</definedName>
    <definedName name="solver_est" localSheetId="54" hidden="1">1</definedName>
    <definedName name="solver_est" localSheetId="2" hidden="1">1</definedName>
    <definedName name="solver_est" localSheetId="30" hidden="1">1</definedName>
    <definedName name="solver_est" localSheetId="52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49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8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50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1" hidden="1">999999999</definedName>
    <definedName name="solver_itr" localSheetId="60" hidden="1">999999999</definedName>
    <definedName name="solver_itr" localSheetId="56" hidden="1">999999999</definedName>
    <definedName name="solver_itr" localSheetId="59" hidden="1">999999999</definedName>
    <definedName name="solver_itr" localSheetId="57" hidden="1">999999999</definedName>
    <definedName name="solver_itr" localSheetId="58" hidden="1">999999999</definedName>
    <definedName name="solver_itr" localSheetId="55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33" hidden="1">999999999</definedName>
    <definedName name="solver_itr" localSheetId="48" hidden="1">999999999</definedName>
    <definedName name="solver_itr" localSheetId="53" hidden="1">999999999</definedName>
    <definedName name="solver_itr" localSheetId="54" hidden="1">999999999</definedName>
    <definedName name="solver_itr" localSheetId="2" hidden="1">999999999</definedName>
    <definedName name="solver_itr" localSheetId="30" hidden="1">999999999</definedName>
    <definedName name="solver_itr" localSheetId="52" hidden="1">999999999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9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49" hidden="1">DiffSheetObj!$G$6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8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50" hidden="1">NamedRanges!$I$8</definedName>
    <definedName name="solver_lhs1" localSheetId="62" hidden="1">NonLin!$J$40</definedName>
    <definedName name="solver_lhs1" localSheetId="63" hidden="1">NonLin2!$E$6:$E$7</definedName>
    <definedName name="solver_lhs1" localSheetId="64" hidden="1">NonLin3!$S$10:$S$11</definedName>
    <definedName name="solver_lhs1" localSheetId="61" hidden="1">NonLinBinary!$E$8:$E$9</definedName>
    <definedName name="solver_lhs1" localSheetId="60" hidden="1">NonLinConstraints!$I$7:$I$9</definedName>
    <definedName name="solver_lhs1" localSheetId="56" hidden="1">NonLinLarge!$H$7:$H$8</definedName>
    <definedName name="solver_lhs1" localSheetId="59" hidden="1">NonLinMinMax!$G$8</definedName>
    <definedName name="solver_lhs1" localSheetId="57" hidden="1">NonLinObj!$H$7:$H$8</definedName>
    <definedName name="solver_lhs1" localSheetId="58" hidden="1">NonLinPruning!$F$8:$F$9</definedName>
    <definedName name="solver_lhs1" localSheetId="55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1" hidden="1">QuickSolve!$H$8</definedName>
    <definedName name="solver_lhs1" localSheetId="33" hidden="1">Relaxation!$H$11:$H$13</definedName>
    <definedName name="solver_lhs1" localSheetId="1" hidden="1">OverlappingVars!$H$8:$H$9</definedName>
    <definedName name="solver_lhs1" localSheetId="48" hidden="1">SeekObj!$G$6</definedName>
    <definedName name="solver_lhs1" localSheetId="53" hidden="1">Sensitivity!$G$8</definedName>
    <definedName name="solver_lhs1" localSheetId="54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2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6" hidden="1">NonLinLarge!$H$16</definedName>
    <definedName name="solver_lhs100" localSheetId="56" hidden="1">NonLinLarge!$H$106</definedName>
    <definedName name="solver_lhs101" localSheetId="56" hidden="1">NonLinLarge!$H$107</definedName>
    <definedName name="solver_lhs102" localSheetId="56" hidden="1">NonLinLarge!$H$108</definedName>
    <definedName name="solver_lhs103" localSheetId="56" hidden="1">NonLinLarge!$H$109</definedName>
    <definedName name="solver_lhs104" localSheetId="56" hidden="1">NonLinLarge!$H$110</definedName>
    <definedName name="solver_lhs105" localSheetId="56" hidden="1">NonLinLarge!$H$111</definedName>
    <definedName name="solver_lhs106" localSheetId="56" hidden="1">NonLinLarge!$H$112</definedName>
    <definedName name="solver_lhs107" localSheetId="56" hidden="1">NonLinLarge!$H$113</definedName>
    <definedName name="solver_lhs108" localSheetId="56" hidden="1">NonLinLarge!$H$114</definedName>
    <definedName name="solver_lhs109" localSheetId="56" hidden="1">NonLinLarge!$H$115</definedName>
    <definedName name="solver_lhs11" localSheetId="56" hidden="1">NonLinLarge!$H$17</definedName>
    <definedName name="solver_lhs110" localSheetId="56" hidden="1">NonLinLarge!$H$116</definedName>
    <definedName name="solver_lhs111" localSheetId="56" hidden="1">NonLinLarge!$H$117</definedName>
    <definedName name="solver_lhs112" localSheetId="56" hidden="1">NonLinLarge!$H$118</definedName>
    <definedName name="solver_lhs113" localSheetId="56" hidden="1">NonLinLarge!$H$119</definedName>
    <definedName name="solver_lhs114" localSheetId="56" hidden="1">NonLinLarge!$H$120</definedName>
    <definedName name="solver_lhs115" localSheetId="56" hidden="1">NonLinLarge!$H$121</definedName>
    <definedName name="solver_lhs116" localSheetId="56" hidden="1">NonLinLarge!$H$122</definedName>
    <definedName name="solver_lhs117" localSheetId="56" hidden="1">NonLinLarge!$H$123</definedName>
    <definedName name="solver_lhs118" localSheetId="56" hidden="1">NonLinLarge!$H$124</definedName>
    <definedName name="solver_lhs119" localSheetId="56" hidden="1">NonLinLarge!$H$125</definedName>
    <definedName name="solver_lhs12" localSheetId="56" hidden="1">NonLinLarge!$H$18</definedName>
    <definedName name="solver_lhs120" localSheetId="56" hidden="1">NonLinLarge!$H$126</definedName>
    <definedName name="solver_lhs121" localSheetId="56" hidden="1">NonLinLarge!$H$127</definedName>
    <definedName name="solver_lhs122" localSheetId="56" hidden="1">NonLinLarge!$H$128</definedName>
    <definedName name="solver_lhs123" localSheetId="56" hidden="1">NonLinLarge!$H$129</definedName>
    <definedName name="solver_lhs124" localSheetId="56" hidden="1">NonLinLarge!$H$130</definedName>
    <definedName name="solver_lhs125" localSheetId="56" hidden="1">NonLinLarge!$H$131</definedName>
    <definedName name="solver_lhs126" localSheetId="56" hidden="1">NonLinLarge!$H$132</definedName>
    <definedName name="solver_lhs127" localSheetId="56" hidden="1">NonLinLarge!$H$133</definedName>
    <definedName name="solver_lhs128" localSheetId="56" hidden="1">NonLinLarge!$H$134</definedName>
    <definedName name="solver_lhs129" localSheetId="56" hidden="1">NonLinLarge!$H$135</definedName>
    <definedName name="solver_lhs13" localSheetId="56" hidden="1">NonLinLarge!$H$19</definedName>
    <definedName name="solver_lhs130" localSheetId="56" hidden="1">NonLinLarge!$H$136</definedName>
    <definedName name="solver_lhs131" localSheetId="56" hidden="1">NonLinLarge!$H$137</definedName>
    <definedName name="solver_lhs132" localSheetId="56" hidden="1">NonLinLarge!$H$138</definedName>
    <definedName name="solver_lhs133" localSheetId="56" hidden="1">NonLinLarge!$H$139</definedName>
    <definedName name="solver_lhs14" localSheetId="56" hidden="1">NonLinLarge!$H$20</definedName>
    <definedName name="solver_lhs15" localSheetId="56" hidden="1">NonLinLarge!$H$21</definedName>
    <definedName name="solver_lhs16" localSheetId="56" hidden="1">NonLinLarge!$H$22</definedName>
    <definedName name="solver_lhs17" localSheetId="56" hidden="1">NonLinLarge!$H$23</definedName>
    <definedName name="solver_lhs18" localSheetId="56" hidden="1">NonLinLarge!$H$24</definedName>
    <definedName name="solver_lhs19" localSheetId="56" hidden="1">NonLinLarge!$H$25</definedName>
    <definedName name="solver_lhs2" localSheetId="69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49" hidden="1">DiffSheetObj!$G$7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8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50" hidden="1">NamedRanges!$I$9</definedName>
    <definedName name="solver_lhs2" localSheetId="62" hidden="1">NonLin!$J$41:$J$42</definedName>
    <definedName name="solver_lhs2" localSheetId="63" hidden="1">NonLin2!$C$4:$D$4</definedName>
    <definedName name="solver_lhs2" localSheetId="64" hidden="1">NonLin3!$S$10:$S$11</definedName>
    <definedName name="solver_lhs2" localSheetId="61" hidden="1">NonLinBinary!$C$4:$D$4</definedName>
    <definedName name="solver_lhs2" localSheetId="60" hidden="1">NonLinConstraints!$D$5:$H$5</definedName>
    <definedName name="solver_lhs2" localSheetId="56" hidden="1">NonLinLarge!$H$9:$H$72</definedName>
    <definedName name="solver_lhs2" localSheetId="59" hidden="1">NonLinMinMax!$D$4:$F$4</definedName>
    <definedName name="solver_lhs2" localSheetId="57" hidden="1">NonLinObj!$H$9</definedName>
    <definedName name="solver_lhs2" localSheetId="58" hidden="1">NonLinPruning!$F$10:$F$11</definedName>
    <definedName name="solver_lhs2" localSheetId="55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1" hidden="1">QuickSolve!$H$9:$H$10</definedName>
    <definedName name="solver_lhs2" localSheetId="33" hidden="1">Relaxation!$D$5:$F$5</definedName>
    <definedName name="solver_lhs2" localSheetId="1" hidden="1">OverlappingVars!$H$10</definedName>
    <definedName name="solver_lhs2" localSheetId="48" hidden="1">SeekObj!$G$7</definedName>
    <definedName name="solver_lhs2" localSheetId="53" hidden="1">Sensitivity!$G$9</definedName>
    <definedName name="solver_lhs2" localSheetId="54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2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6" hidden="1">NonLinLarge!$H$26</definedName>
    <definedName name="solver_lhs21" localSheetId="56" hidden="1">NonLinLarge!$H$27</definedName>
    <definedName name="solver_lhs22" localSheetId="56" hidden="1">NonLinLarge!$H$28</definedName>
    <definedName name="solver_lhs23" localSheetId="56" hidden="1">NonLinLarge!$H$29</definedName>
    <definedName name="solver_lhs24" localSheetId="56" hidden="1">NonLinLarge!$H$30</definedName>
    <definedName name="solver_lhs25" localSheetId="56" hidden="1">NonLinLarge!$H$31</definedName>
    <definedName name="solver_lhs26" localSheetId="56" hidden="1">NonLinLarge!$H$32</definedName>
    <definedName name="solver_lhs27" localSheetId="56" hidden="1">NonLinLarge!$H$33</definedName>
    <definedName name="solver_lhs28" localSheetId="56" hidden="1">NonLinLarge!$H$34</definedName>
    <definedName name="solver_lhs29" localSheetId="56" hidden="1">NonLinLarge!$H$35</definedName>
    <definedName name="solver_lhs3" localSheetId="69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49" hidden="1">DiffSheetObj!$G$8:$G$9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8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50" hidden="1">NamedRanges!$I$10:$I$11</definedName>
    <definedName name="solver_lhs3" localSheetId="62" hidden="1">NonLin!$J$43</definedName>
    <definedName name="solver_lhs3" localSheetId="56" hidden="1">NonLinLarge!$H$73</definedName>
    <definedName name="solver_lhs3" localSheetId="57" hidden="1">NonLinObj!$H$10</definedName>
    <definedName name="solver_lhs3" localSheetId="58" hidden="1">NonLinPruning!$F$12:$F$18</definedName>
    <definedName name="solver_lhs3" localSheetId="55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1" hidden="1">QuickSolve!$H$10</definedName>
    <definedName name="solver_lhs3" localSheetId="33" hidden="1">Relaxation!$F$5</definedName>
    <definedName name="solver_lhs3" localSheetId="1" hidden="1">OverlappingVars!$H$11</definedName>
    <definedName name="solver_lhs3" localSheetId="48" hidden="1">SeekObj!$G$8:$G$9</definedName>
    <definedName name="solver_lhs3" localSheetId="53" hidden="1">Sensitivity!$G$10:$G$11</definedName>
    <definedName name="solver_lhs3" localSheetId="54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2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6" hidden="1">NonLinLarge!$H$36</definedName>
    <definedName name="solver_lhs31" localSheetId="56" hidden="1">NonLinLarge!$H$37</definedName>
    <definedName name="solver_lhs32" localSheetId="56" hidden="1">NonLinLarge!$H$38</definedName>
    <definedName name="solver_lhs33" localSheetId="56" hidden="1">NonLinLarge!$H$39</definedName>
    <definedName name="solver_lhs34" localSheetId="56" hidden="1">NonLinLarge!$H$40</definedName>
    <definedName name="solver_lhs35" localSheetId="56" hidden="1">NonLinLarge!$H$41</definedName>
    <definedName name="solver_lhs36" localSheetId="56" hidden="1">NonLinLarge!$H$42</definedName>
    <definedName name="solver_lhs37" localSheetId="56" hidden="1">NonLinLarge!$H$43</definedName>
    <definedName name="solver_lhs38" localSheetId="56" hidden="1">NonLinLarge!$H$44</definedName>
    <definedName name="solver_lhs39" localSheetId="56" hidden="1">NonLinLarge!$H$45</definedName>
    <definedName name="solver_lhs4" localSheetId="69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49" hidden="1">DiffSheetObj!$G$9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8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50" hidden="1">NamedRanges!$I$12</definedName>
    <definedName name="solver_lhs4" localSheetId="62" hidden="1">NonLin!$J$44</definedName>
    <definedName name="solver_lhs4" localSheetId="56" hidden="1">NonLinLarge!$H$74</definedName>
    <definedName name="solver_lhs4" localSheetId="58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1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3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2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6" hidden="1">NonLinLarge!$H$46</definedName>
    <definedName name="solver_lhs41" localSheetId="56" hidden="1">NonLinLarge!$H$47</definedName>
    <definedName name="solver_lhs42" localSheetId="56" hidden="1">NonLinLarge!$H$48</definedName>
    <definedName name="solver_lhs43" localSheetId="56" hidden="1">NonLinLarge!$H$49</definedName>
    <definedName name="solver_lhs44" localSheetId="56" hidden="1">NonLinLarge!$H$50</definedName>
    <definedName name="solver_lhs45" localSheetId="56" hidden="1">NonLinLarge!$H$51</definedName>
    <definedName name="solver_lhs46" localSheetId="56" hidden="1">NonLinLarge!$H$52</definedName>
    <definedName name="solver_lhs47" localSheetId="56" hidden="1">NonLinLarge!$H$53</definedName>
    <definedName name="solver_lhs48" localSheetId="56" hidden="1">NonLinLarge!$H$54</definedName>
    <definedName name="solver_lhs49" localSheetId="56" hidden="1">NonLinLarge!$H$55</definedName>
    <definedName name="solver_lhs5" localSheetId="69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8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2" hidden="1">NonLin!$D$3:$D$35</definedName>
    <definedName name="solver_lhs5" localSheetId="56" hidden="1">NonLinLarge!$H$75:$H$138</definedName>
    <definedName name="solver_lhs5" localSheetId="58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1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6" hidden="1">NonLinLarge!$H$56</definedName>
    <definedName name="solver_lhs51" localSheetId="56" hidden="1">NonLinLarge!$H$57</definedName>
    <definedName name="solver_lhs52" localSheetId="56" hidden="1">NonLinLarge!$H$58</definedName>
    <definedName name="solver_lhs53" localSheetId="56" hidden="1">NonLinLarge!$H$59</definedName>
    <definedName name="solver_lhs54" localSheetId="56" hidden="1">NonLinLarge!$H$60</definedName>
    <definedName name="solver_lhs55" localSheetId="56" hidden="1">NonLinLarge!$H$61</definedName>
    <definedName name="solver_lhs56" localSheetId="56" hidden="1">NonLinLarge!$H$62</definedName>
    <definedName name="solver_lhs57" localSheetId="56" hidden="1">NonLinLarge!$H$63</definedName>
    <definedName name="solver_lhs58" localSheetId="56" hidden="1">NonLinLarge!$H$64</definedName>
    <definedName name="solver_lhs59" localSheetId="56" hidden="1">NonLinLarge!$H$65</definedName>
    <definedName name="solver_lhs6" localSheetId="69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8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6" hidden="1">NonLinLarge!$H$139</definedName>
    <definedName name="solver_lhs6" localSheetId="58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1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6" hidden="1">NonLinLarge!$H$66</definedName>
    <definedName name="solver_lhs61" localSheetId="56" hidden="1">NonLinLarge!$H$67</definedName>
    <definedName name="solver_lhs62" localSheetId="56" hidden="1">NonLinLarge!$H$68</definedName>
    <definedName name="solver_lhs63" localSheetId="56" hidden="1">NonLinLarge!$H$69</definedName>
    <definedName name="solver_lhs64" localSheetId="56" hidden="1">NonLinLarge!$H$70</definedName>
    <definedName name="solver_lhs65" localSheetId="56" hidden="1">NonLinLarge!$H$71</definedName>
    <definedName name="solver_lhs66" localSheetId="56" hidden="1">NonLinLarge!$H$72</definedName>
    <definedName name="solver_lhs67" localSheetId="56" hidden="1">NonLinLarge!$H$73</definedName>
    <definedName name="solver_lhs68" localSheetId="56" hidden="1">NonLinLarge!$H$74</definedName>
    <definedName name="solver_lhs69" localSheetId="56" hidden="1">NonLinLarge!$H$75</definedName>
    <definedName name="solver_lhs7" localSheetId="69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8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6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1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6" hidden="1">NonLinLarge!$H$76</definedName>
    <definedName name="solver_lhs71" localSheetId="56" hidden="1">NonLinLarge!$H$77</definedName>
    <definedName name="solver_lhs72" localSheetId="56" hidden="1">NonLinLarge!$H$78</definedName>
    <definedName name="solver_lhs73" localSheetId="56" hidden="1">NonLinLarge!$H$79</definedName>
    <definedName name="solver_lhs74" localSheetId="56" hidden="1">NonLinLarge!$H$80</definedName>
    <definedName name="solver_lhs75" localSheetId="56" hidden="1">NonLinLarge!$H$81</definedName>
    <definedName name="solver_lhs76" localSheetId="56" hidden="1">NonLinLarge!$H$82</definedName>
    <definedName name="solver_lhs77" localSheetId="56" hidden="1">NonLinLarge!$H$83</definedName>
    <definedName name="solver_lhs78" localSheetId="56" hidden="1">NonLinLarge!$H$84</definedName>
    <definedName name="solver_lhs79" localSheetId="56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8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6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1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6" hidden="1">NonLinLarge!$H$86</definedName>
    <definedName name="solver_lhs81" localSheetId="56" hidden="1">NonLinLarge!$H$87</definedName>
    <definedName name="solver_lhs82" localSheetId="56" hidden="1">NonLinLarge!$H$88</definedName>
    <definedName name="solver_lhs83" localSheetId="56" hidden="1">NonLinLarge!$H$89</definedName>
    <definedName name="solver_lhs84" localSheetId="56" hidden="1">NonLinLarge!$H$90</definedName>
    <definedName name="solver_lhs85" localSheetId="56" hidden="1">NonLinLarge!$H$91</definedName>
    <definedName name="solver_lhs86" localSheetId="56" hidden="1">NonLinLarge!$H$92</definedName>
    <definedName name="solver_lhs87" localSheetId="56" hidden="1">NonLinLarge!$H$93</definedName>
    <definedName name="solver_lhs88" localSheetId="56" hidden="1">NonLinLarge!$H$94</definedName>
    <definedName name="solver_lhs89" localSheetId="56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8" hidden="1">Highlighting!$L$9:$N$9</definedName>
    <definedName name="solver_lhs9" localSheetId="56" hidden="1">NonLinLarge!$H$15</definedName>
    <definedName name="solver_lhs9" localSheetId="3" hidden="1">OverlappingVars!$H$11</definedName>
    <definedName name="solver_lhs90" localSheetId="56" hidden="1">NonLinLarge!$H$96</definedName>
    <definedName name="solver_lhs91" localSheetId="56" hidden="1">NonLinLarge!$H$97</definedName>
    <definedName name="solver_lhs92" localSheetId="56" hidden="1">NonLinLarge!$H$98</definedName>
    <definedName name="solver_lhs93" localSheetId="56" hidden="1">NonLinLarge!$H$99</definedName>
    <definedName name="solver_lhs94" localSheetId="56" hidden="1">NonLinLarge!$H$100</definedName>
    <definedName name="solver_lhs95" localSheetId="56" hidden="1">NonLinLarge!$H$101</definedName>
    <definedName name="solver_lhs96" localSheetId="56" hidden="1">NonLinLarge!$H$102</definedName>
    <definedName name="solver_lhs97" localSheetId="56" hidden="1">NonLinLarge!$H$103</definedName>
    <definedName name="solver_lhs98" localSheetId="56" hidden="1">NonLinLarge!$H$104</definedName>
    <definedName name="solver_lhs99" localSheetId="56" hidden="1">NonLinLarge!$H$105</definedName>
    <definedName name="solver_lin" localSheetId="69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49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8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50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1" hidden="1">1</definedName>
    <definedName name="solver_lin" localSheetId="60" hidden="1">1</definedName>
    <definedName name="solver_lin" localSheetId="56" hidden="1">1</definedName>
    <definedName name="solver_lin" localSheetId="59" hidden="1">1</definedName>
    <definedName name="solver_lin" localSheetId="57" hidden="1">1</definedName>
    <definedName name="solver_lin" localSheetId="58" hidden="1">1</definedName>
    <definedName name="solver_lin" localSheetId="55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1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3" hidden="1">1</definedName>
    <definedName name="solver_lin" localSheetId="54" hidden="1">1</definedName>
    <definedName name="solver_lin" localSheetId="2" hidden="1">1</definedName>
    <definedName name="solver_lin" localSheetId="30" hidden="1">1</definedName>
    <definedName name="solver_lin" localSheetId="52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5" hidden="1">2147483647</definedName>
    <definedName name="solver_mip" localSheetId="66" hidden="1">2147483647</definedName>
    <definedName name="solver_mip" localSheetId="58" hidden="1">2147483647</definedName>
    <definedName name="solver_mip" localSheetId="3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5" hidden="1">30</definedName>
    <definedName name="solver_mni" localSheetId="66" hidden="1">30</definedName>
    <definedName name="solver_mni" localSheetId="58" hidden="1">30</definedName>
    <definedName name="solver_mni" localSheetId="3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5" hidden="1">0.075</definedName>
    <definedName name="solver_mrt" localSheetId="66" hidden="1">0.075</definedName>
    <definedName name="solver_mrt" localSheetId="58" hidden="1">0.075</definedName>
    <definedName name="solver_mrt" localSheetId="3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5" hidden="1">2</definedName>
    <definedName name="solver_msl" localSheetId="66" hidden="1">2</definedName>
    <definedName name="solver_msl" localSheetId="58" hidden="1">2</definedName>
    <definedName name="solver_msl" localSheetId="3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9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49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8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50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1" hidden="1">1</definedName>
    <definedName name="solver_neg" localSheetId="60" hidden="1">1</definedName>
    <definedName name="solver_neg" localSheetId="56" hidden="1">1</definedName>
    <definedName name="solver_neg" localSheetId="59" hidden="1">1</definedName>
    <definedName name="solver_neg" localSheetId="57" hidden="1">1</definedName>
    <definedName name="solver_neg" localSheetId="58" hidden="1">1</definedName>
    <definedName name="solver_neg" localSheetId="55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3" hidden="1">1</definedName>
    <definedName name="solver_neg" localSheetId="54" hidden="1">2</definedName>
    <definedName name="solver_neg" localSheetId="2" hidden="1">1</definedName>
    <definedName name="solver_neg" localSheetId="30" hidden="1">1</definedName>
    <definedName name="solver_neg" localSheetId="52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5" hidden="1">2147483647</definedName>
    <definedName name="solver_nod" localSheetId="66" hidden="1">2147483647</definedName>
    <definedName name="solver_nod" localSheetId="58" hidden="1">2147483647</definedName>
    <definedName name="solver_nod" localSheetId="3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9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49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8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50" hidden="1">4</definedName>
    <definedName name="solver_num" localSheetId="62" hidden="1">5</definedName>
    <definedName name="solver_num" localSheetId="63" hidden="1">1</definedName>
    <definedName name="solver_num" localSheetId="64" hidden="1">2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1" hidden="1">2</definedName>
    <definedName name="solver_num" localSheetId="60" hidden="1">1</definedName>
    <definedName name="solver_num" localSheetId="56" hidden="1">6</definedName>
    <definedName name="solver_num" localSheetId="59" hidden="1">2</definedName>
    <definedName name="solver_num" localSheetId="57" hidden="1">3</definedName>
    <definedName name="solver_num" localSheetId="58" hidden="1">3</definedName>
    <definedName name="solver_num" localSheetId="55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1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3" hidden="1">3</definedName>
    <definedName name="solver_num" localSheetId="54" hidden="1">3</definedName>
    <definedName name="solver_num" localSheetId="2" hidden="1">3</definedName>
    <definedName name="solver_num" localSheetId="30" hidden="1">2</definedName>
    <definedName name="solver_num" localSheetId="52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9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49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8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50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1" hidden="1">1</definedName>
    <definedName name="solver_nwt" localSheetId="60" hidden="1">1</definedName>
    <definedName name="solver_nwt" localSheetId="56" hidden="1">1</definedName>
    <definedName name="solver_nwt" localSheetId="59" hidden="1">1</definedName>
    <definedName name="solver_nwt" localSheetId="57" hidden="1">1</definedName>
    <definedName name="solver_nwt" localSheetId="58" hidden="1">1</definedName>
    <definedName name="solver_nwt" localSheetId="55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1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3" hidden="1">1</definedName>
    <definedName name="solver_nwt" localSheetId="54" hidden="1">1</definedName>
    <definedName name="solver_nwt" localSheetId="2" hidden="1">1</definedName>
    <definedName name="solver_nwt" localSheetId="30" hidden="1">1</definedName>
    <definedName name="solver_nwt" localSheetId="52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9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49" hidden="1">SeekObj!$G$17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8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50" hidden="1">NamedRanges!$I$6</definedName>
    <definedName name="solver_opt" localSheetId="62" hidden="1">NonLin!$I$39</definedName>
    <definedName name="solver_opt" localSheetId="63" hidden="1">NonLin2!$F$4</definedName>
    <definedName name="solver_opt" localSheetId="64" hidden="1">NonLin3!$S$13</definedName>
    <definedName name="solver_opt" localSheetId="65" hidden="1">NonLin4!$D$16</definedName>
    <definedName name="solver_opt" localSheetId="66" hidden="1">NonLin5!$J$7</definedName>
    <definedName name="solver_opt" localSheetId="67" hidden="1">NonLin6!$F$15</definedName>
    <definedName name="solver_opt" localSheetId="61" hidden="1">NonLinBinary!$C$6</definedName>
    <definedName name="solver_opt" localSheetId="60" hidden="1">NonLinConstraints!$I$6</definedName>
    <definedName name="solver_opt" localSheetId="56" hidden="1">NonLinLarge!$H$5</definedName>
    <definedName name="solver_opt" localSheetId="59" hidden="1">NonLinMinMax!$G$6</definedName>
    <definedName name="solver_opt" localSheetId="57" hidden="1">NonLinObj!$H$5</definedName>
    <definedName name="solver_opt" localSheetId="58" hidden="1">NonLinPruning!$F$6</definedName>
    <definedName name="solver_opt" localSheetId="55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1" hidden="1">QuickSolve!$H$6</definedName>
    <definedName name="solver_opt" localSheetId="33" hidden="1">Relaxation!$H$9</definedName>
    <definedName name="solver_opt" localSheetId="48" hidden="1">SeekObj!$G$4</definedName>
    <definedName name="solver_opt" localSheetId="53" hidden="1">Sensitivity!$G$6</definedName>
    <definedName name="solver_opt" localSheetId="54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2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49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8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50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1" hidden="1">0.000001</definedName>
    <definedName name="solver_pre" localSheetId="60" hidden="1">0.000001</definedName>
    <definedName name="solver_pre" localSheetId="56" hidden="1">0.000001</definedName>
    <definedName name="solver_pre" localSheetId="59" hidden="1">0.000001</definedName>
    <definedName name="solver_pre" localSheetId="57" hidden="1">0.000001</definedName>
    <definedName name="solver_pre" localSheetId="58" hidden="1">0.001</definedName>
    <definedName name="solver_pre" localSheetId="55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33" hidden="1">0.000001</definedName>
    <definedName name="solver_pre" localSheetId="48" hidden="1">0.000001</definedName>
    <definedName name="solver_pre" localSheetId="53" hidden="1">0.000001</definedName>
    <definedName name="solver_pre" localSheetId="54" hidden="1">0.0001</definedName>
    <definedName name="solver_pre" localSheetId="2" hidden="1">0.000001</definedName>
    <definedName name="solver_pre" localSheetId="30" hidden="1">0.000001</definedName>
    <definedName name="solver_pre" localSheetId="52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5" hidden="1">1</definedName>
    <definedName name="solver_rbv" localSheetId="66" hidden="1">1</definedName>
    <definedName name="solver_rbv" localSheetId="58" hidden="1">1</definedName>
    <definedName name="solver_rbv" localSheetId="3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9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49" hidden="1">2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8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50" hidden="1">1</definedName>
    <definedName name="solver_rel1" localSheetId="62" hidden="1">3</definedName>
    <definedName name="solver_rel1" localSheetId="63" hidden="1">3</definedName>
    <definedName name="solver_rel1" localSheetId="64" hidden="1">3</definedName>
    <definedName name="solver_rel1" localSheetId="61" hidden="1">3</definedName>
    <definedName name="solver_rel1" localSheetId="60" hidden="1">1</definedName>
    <definedName name="solver_rel1" localSheetId="56" hidden="1">1</definedName>
    <definedName name="solver_rel1" localSheetId="59" hidden="1">1</definedName>
    <definedName name="solver_rel1" localSheetId="57" hidden="1">1</definedName>
    <definedName name="solver_rel1" localSheetId="58" hidden="1">1</definedName>
    <definedName name="solver_rel1" localSheetId="55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1" hidden="1">1</definedName>
    <definedName name="solver_rel1" localSheetId="33" hidden="1">3</definedName>
    <definedName name="solver_rel1" localSheetId="1" hidden="1">1</definedName>
    <definedName name="solver_rel1" localSheetId="48" hidden="1">2</definedName>
    <definedName name="solver_rel1" localSheetId="53" hidden="1">1</definedName>
    <definedName name="solver_rel1" localSheetId="54" hidden="1">1</definedName>
    <definedName name="solver_rel1" localSheetId="2" hidden="1">1</definedName>
    <definedName name="solver_rel1" localSheetId="30" hidden="1">3</definedName>
    <definedName name="solver_rel1" localSheetId="52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6" hidden="1">3</definedName>
    <definedName name="solver_rel100" localSheetId="56" hidden="1">3</definedName>
    <definedName name="solver_rel101" localSheetId="56" hidden="1">3</definedName>
    <definedName name="solver_rel102" localSheetId="56" hidden="1">3</definedName>
    <definedName name="solver_rel103" localSheetId="56" hidden="1">3</definedName>
    <definedName name="solver_rel104" localSheetId="56" hidden="1">3</definedName>
    <definedName name="solver_rel105" localSheetId="56" hidden="1">3</definedName>
    <definedName name="solver_rel106" localSheetId="56" hidden="1">3</definedName>
    <definedName name="solver_rel107" localSheetId="56" hidden="1">3</definedName>
    <definedName name="solver_rel108" localSheetId="56" hidden="1">3</definedName>
    <definedName name="solver_rel109" localSheetId="56" hidden="1">3</definedName>
    <definedName name="solver_rel11" localSheetId="56" hidden="1">3</definedName>
    <definedName name="solver_rel110" localSheetId="56" hidden="1">3</definedName>
    <definedName name="solver_rel111" localSheetId="56" hidden="1">3</definedName>
    <definedName name="solver_rel112" localSheetId="56" hidden="1">3</definedName>
    <definedName name="solver_rel113" localSheetId="56" hidden="1">3</definedName>
    <definedName name="solver_rel114" localSheetId="56" hidden="1">3</definedName>
    <definedName name="solver_rel115" localSheetId="56" hidden="1">3</definedName>
    <definedName name="solver_rel116" localSheetId="56" hidden="1">3</definedName>
    <definedName name="solver_rel117" localSheetId="56" hidden="1">3</definedName>
    <definedName name="solver_rel118" localSheetId="56" hidden="1">3</definedName>
    <definedName name="solver_rel119" localSheetId="56" hidden="1">3</definedName>
    <definedName name="solver_rel12" localSheetId="56" hidden="1">3</definedName>
    <definedName name="solver_rel120" localSheetId="56" hidden="1">3</definedName>
    <definedName name="solver_rel121" localSheetId="56" hidden="1">3</definedName>
    <definedName name="solver_rel122" localSheetId="56" hidden="1">3</definedName>
    <definedName name="solver_rel123" localSheetId="56" hidden="1">3</definedName>
    <definedName name="solver_rel124" localSheetId="56" hidden="1">3</definedName>
    <definedName name="solver_rel125" localSheetId="56" hidden="1">3</definedName>
    <definedName name="solver_rel126" localSheetId="56" hidden="1">3</definedName>
    <definedName name="solver_rel127" localSheetId="56" hidden="1">3</definedName>
    <definedName name="solver_rel128" localSheetId="56" hidden="1">3</definedName>
    <definedName name="solver_rel129" localSheetId="56" hidden="1">3</definedName>
    <definedName name="solver_rel13" localSheetId="56" hidden="1">3</definedName>
    <definedName name="solver_rel130" localSheetId="56" hidden="1">3</definedName>
    <definedName name="solver_rel131" localSheetId="56" hidden="1">3</definedName>
    <definedName name="solver_rel132" localSheetId="56" hidden="1">3</definedName>
    <definedName name="solver_rel133" localSheetId="56" hidden="1">2</definedName>
    <definedName name="solver_rel14" localSheetId="56" hidden="1">3</definedName>
    <definedName name="solver_rel15" localSheetId="56" hidden="1">3</definedName>
    <definedName name="solver_rel16" localSheetId="56" hidden="1">3</definedName>
    <definedName name="solver_rel17" localSheetId="56" hidden="1">3</definedName>
    <definedName name="solver_rel18" localSheetId="56" hidden="1">3</definedName>
    <definedName name="solver_rel19" localSheetId="56" hidden="1">3</definedName>
    <definedName name="solver_rel2" localSheetId="69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49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8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50" hidden="1">3</definedName>
    <definedName name="solver_rel2" localSheetId="62" hidden="1">1</definedName>
    <definedName name="solver_rel2" localSheetId="63" hidden="1">5</definedName>
    <definedName name="solver_rel2" localSheetId="64" hidden="1">1</definedName>
    <definedName name="solver_rel2" localSheetId="61" hidden="1">5</definedName>
    <definedName name="solver_rel2" localSheetId="60" hidden="1">3</definedName>
    <definedName name="solver_rel2" localSheetId="56" hidden="1">3</definedName>
    <definedName name="solver_rel2" localSheetId="59" hidden="1">4</definedName>
    <definedName name="solver_rel2" localSheetId="57" hidden="1">3</definedName>
    <definedName name="solver_rel2" localSheetId="58" hidden="1">3</definedName>
    <definedName name="solver_rel2" localSheetId="55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1" hidden="1">3</definedName>
    <definedName name="solver_rel2" localSheetId="33" hidden="1">3</definedName>
    <definedName name="solver_rel2" localSheetId="1" hidden="1">3</definedName>
    <definedName name="solver_rel2" localSheetId="48" hidden="1">3</definedName>
    <definedName name="solver_rel2" localSheetId="53" hidden="1">3</definedName>
    <definedName name="solver_rel2" localSheetId="54" hidden="1">2</definedName>
    <definedName name="solver_rel2" localSheetId="2" hidden="1">3</definedName>
    <definedName name="solver_rel2" localSheetId="30" hidden="1">3</definedName>
    <definedName name="solver_rel2" localSheetId="52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6" hidden="1">3</definedName>
    <definedName name="solver_rel21" localSheetId="56" hidden="1">3</definedName>
    <definedName name="solver_rel22" localSheetId="56" hidden="1">3</definedName>
    <definedName name="solver_rel23" localSheetId="56" hidden="1">3</definedName>
    <definedName name="solver_rel24" localSheetId="56" hidden="1">3</definedName>
    <definedName name="solver_rel25" localSheetId="56" hidden="1">3</definedName>
    <definedName name="solver_rel26" localSheetId="56" hidden="1">3</definedName>
    <definedName name="solver_rel27" localSheetId="56" hidden="1">3</definedName>
    <definedName name="solver_rel28" localSheetId="56" hidden="1">3</definedName>
    <definedName name="solver_rel29" localSheetId="56" hidden="1">3</definedName>
    <definedName name="solver_rel3" localSheetId="69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49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8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50" hidden="1">1</definedName>
    <definedName name="solver_rel3" localSheetId="62" hidden="1">3</definedName>
    <definedName name="solver_rel3" localSheetId="56" hidden="1">2</definedName>
    <definedName name="solver_rel3" localSheetId="57" hidden="1">2</definedName>
    <definedName name="solver_rel3" localSheetId="58" hidden="1">1</definedName>
    <definedName name="solver_rel3" localSheetId="55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1" hidden="1">3</definedName>
    <definedName name="solver_rel3" localSheetId="33" hidden="1">5</definedName>
    <definedName name="solver_rel3" localSheetId="1" hidden="1">2</definedName>
    <definedName name="solver_rel3" localSheetId="48" hidden="1">1</definedName>
    <definedName name="solver_rel3" localSheetId="53" hidden="1">1</definedName>
    <definedName name="solver_rel3" localSheetId="54" hidden="1">3</definedName>
    <definedName name="solver_rel3" localSheetId="2" hidden="1">2</definedName>
    <definedName name="solver_rel3" localSheetId="30" hidden="1">3</definedName>
    <definedName name="solver_rel3" localSheetId="52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6" hidden="1">3</definedName>
    <definedName name="solver_rel31" localSheetId="56" hidden="1">3</definedName>
    <definedName name="solver_rel32" localSheetId="56" hidden="1">3</definedName>
    <definedName name="solver_rel33" localSheetId="56" hidden="1">3</definedName>
    <definedName name="solver_rel34" localSheetId="56" hidden="1">3</definedName>
    <definedName name="solver_rel35" localSheetId="56" hidden="1">3</definedName>
    <definedName name="solver_rel36" localSheetId="56" hidden="1">3</definedName>
    <definedName name="solver_rel37" localSheetId="56" hidden="1">3</definedName>
    <definedName name="solver_rel38" localSheetId="56" hidden="1">3</definedName>
    <definedName name="solver_rel39" localSheetId="56" hidden="1">3</definedName>
    <definedName name="solver_rel4" localSheetId="69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49" hidden="1">1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8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50" hidden="1">2</definedName>
    <definedName name="solver_rel4" localSheetId="62" hidden="1">1</definedName>
    <definedName name="solver_rel4" localSheetId="56" hidden="1">1</definedName>
    <definedName name="solver_rel4" localSheetId="58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1" hidden="1">4</definedName>
    <definedName name="solver_rel4" localSheetId="33" hidden="1">4</definedName>
    <definedName name="solver_rel4" localSheetId="48" hidden="1">1</definedName>
    <definedName name="solver_rel4" localSheetId="53" hidden="1">4</definedName>
    <definedName name="solver_rel4" localSheetId="2" hidden="1">1</definedName>
    <definedName name="solver_rel4" localSheetId="30" hidden="1">3</definedName>
    <definedName name="solver_rel4" localSheetId="52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6" hidden="1">3</definedName>
    <definedName name="solver_rel41" localSheetId="56" hidden="1">3</definedName>
    <definedName name="solver_rel42" localSheetId="56" hidden="1">3</definedName>
    <definedName name="solver_rel43" localSheetId="56" hidden="1">3</definedName>
    <definedName name="solver_rel44" localSheetId="56" hidden="1">3</definedName>
    <definedName name="solver_rel45" localSheetId="56" hidden="1">3</definedName>
    <definedName name="solver_rel46" localSheetId="56" hidden="1">3</definedName>
    <definedName name="solver_rel47" localSheetId="56" hidden="1">3</definedName>
    <definedName name="solver_rel48" localSheetId="56" hidden="1">3</definedName>
    <definedName name="solver_rel49" localSheetId="56" hidden="1">3</definedName>
    <definedName name="solver_rel5" localSheetId="69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8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2" hidden="1">4</definedName>
    <definedName name="solver_rel5" localSheetId="56" hidden="1">3</definedName>
    <definedName name="solver_rel5" localSheetId="58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1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6" hidden="1">3</definedName>
    <definedName name="solver_rel51" localSheetId="56" hidden="1">3</definedName>
    <definedName name="solver_rel52" localSheetId="56" hidden="1">3</definedName>
    <definedName name="solver_rel53" localSheetId="56" hidden="1">3</definedName>
    <definedName name="solver_rel54" localSheetId="56" hidden="1">3</definedName>
    <definedName name="solver_rel55" localSheetId="56" hidden="1">3</definedName>
    <definedName name="solver_rel56" localSheetId="56" hidden="1">3</definedName>
    <definedName name="solver_rel57" localSheetId="56" hidden="1">3</definedName>
    <definedName name="solver_rel58" localSheetId="56" hidden="1">3</definedName>
    <definedName name="solver_rel59" localSheetId="56" hidden="1">3</definedName>
    <definedName name="solver_rel6" localSheetId="69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8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6" hidden="1">2</definedName>
    <definedName name="solver_rel6" localSheetId="58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1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6" hidden="1">3</definedName>
    <definedName name="solver_rel61" localSheetId="56" hidden="1">3</definedName>
    <definedName name="solver_rel62" localSheetId="56" hidden="1">3</definedName>
    <definedName name="solver_rel63" localSheetId="56" hidden="1">3</definedName>
    <definedName name="solver_rel64" localSheetId="56" hidden="1">3</definedName>
    <definedName name="solver_rel65" localSheetId="56" hidden="1">3</definedName>
    <definedName name="solver_rel66" localSheetId="56" hidden="1">3</definedName>
    <definedName name="solver_rel67" localSheetId="56" hidden="1">2</definedName>
    <definedName name="solver_rel68" localSheetId="56" hidden="1">1</definedName>
    <definedName name="solver_rel69" localSheetId="56" hidden="1">3</definedName>
    <definedName name="solver_rel7" localSheetId="69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8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6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1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6" hidden="1">3</definedName>
    <definedName name="solver_rel71" localSheetId="56" hidden="1">3</definedName>
    <definedName name="solver_rel72" localSheetId="56" hidden="1">3</definedName>
    <definedName name="solver_rel73" localSheetId="56" hidden="1">3</definedName>
    <definedName name="solver_rel74" localSheetId="56" hidden="1">3</definedName>
    <definedName name="solver_rel75" localSheetId="56" hidden="1">3</definedName>
    <definedName name="solver_rel76" localSheetId="56" hidden="1">3</definedName>
    <definedName name="solver_rel77" localSheetId="56" hidden="1">3</definedName>
    <definedName name="solver_rel78" localSheetId="56" hidden="1">3</definedName>
    <definedName name="solver_rel79" localSheetId="56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8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6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1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6" hidden="1">3</definedName>
    <definedName name="solver_rel81" localSheetId="56" hidden="1">3</definedName>
    <definedName name="solver_rel82" localSheetId="56" hidden="1">3</definedName>
    <definedName name="solver_rel83" localSheetId="56" hidden="1">3</definedName>
    <definedName name="solver_rel84" localSheetId="56" hidden="1">3</definedName>
    <definedName name="solver_rel85" localSheetId="56" hidden="1">3</definedName>
    <definedName name="solver_rel86" localSheetId="56" hidden="1">3</definedName>
    <definedName name="solver_rel87" localSheetId="56" hidden="1">3</definedName>
    <definedName name="solver_rel88" localSheetId="56" hidden="1">3</definedName>
    <definedName name="solver_rel89" localSheetId="56" hidden="1">3</definedName>
    <definedName name="solver_rel9" localSheetId="18" hidden="1">3</definedName>
    <definedName name="solver_rel9" localSheetId="19" hidden="1">1</definedName>
    <definedName name="solver_rel9" localSheetId="68" hidden="1">3</definedName>
    <definedName name="solver_rel9" localSheetId="56" hidden="1">3</definedName>
    <definedName name="solver_rel9" localSheetId="3" hidden="1">2</definedName>
    <definedName name="solver_rel90" localSheetId="56" hidden="1">3</definedName>
    <definedName name="solver_rel91" localSheetId="56" hidden="1">3</definedName>
    <definedName name="solver_rel92" localSheetId="56" hidden="1">3</definedName>
    <definedName name="solver_rel93" localSheetId="56" hidden="1">3</definedName>
    <definedName name="solver_rel94" localSheetId="56" hidden="1">3</definedName>
    <definedName name="solver_rel95" localSheetId="56" hidden="1">3</definedName>
    <definedName name="solver_rel96" localSheetId="56" hidden="1">3</definedName>
    <definedName name="solver_rel97" localSheetId="56" hidden="1">3</definedName>
    <definedName name="solver_rel98" localSheetId="56" hidden="1">3</definedName>
    <definedName name="solver_rel99" localSheetId="56" hidden="1">3</definedName>
    <definedName name="solver_rhs1" localSheetId="69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49" hidden="1">DiffSheetObj!$I$6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8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50" hidden="1">NamedRanges!$K$8</definedName>
    <definedName name="solver_rhs1" localSheetId="62" hidden="1">NonLin!$L$40</definedName>
    <definedName name="solver_rhs1" localSheetId="63" hidden="1">NonLin2!$G$6:$G$7</definedName>
    <definedName name="solver_rhs1" localSheetId="64" hidden="1">NonLin3!$Q$10:$Q$11</definedName>
    <definedName name="solver_rhs1" localSheetId="61" hidden="1">NonLinBinary!$G$8:$G$9</definedName>
    <definedName name="solver_rhs1" localSheetId="60" hidden="1">NonLinConstraints!$K$7:$K$9</definedName>
    <definedName name="solver_rhs1" localSheetId="56" hidden="1">NonLinLarge!$J$7:$J$8</definedName>
    <definedName name="solver_rhs1" localSheetId="59" hidden="1">NonLinMinMax!$I$8</definedName>
    <definedName name="solver_rhs1" localSheetId="57" hidden="1">NonLinObj!$J$7:$J$8</definedName>
    <definedName name="solver_rhs1" localSheetId="58" hidden="1">NonLinPruning!$H$8:$H$9</definedName>
    <definedName name="solver_rhs1" localSheetId="55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1" hidden="1">QuickSolve!$J$8</definedName>
    <definedName name="solver_rhs1" localSheetId="33" hidden="1">Relaxation!$J$11:$J$13</definedName>
    <definedName name="solver_rhs1" localSheetId="1" hidden="1">OverlappingVars!$J$8:$J$9</definedName>
    <definedName name="solver_rhs1" localSheetId="48" hidden="1">SeekObj!$I$6</definedName>
    <definedName name="solver_rhs1" localSheetId="53" hidden="1">Sensitivity!$I$8</definedName>
    <definedName name="solver_rhs1" localSheetId="54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2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6" hidden="1">NonLinLarge!$J$16</definedName>
    <definedName name="solver_rhs100" localSheetId="56" hidden="1">NonLinLarge!$J$106</definedName>
    <definedName name="solver_rhs101" localSheetId="56" hidden="1">NonLinLarge!$J$107</definedName>
    <definedName name="solver_rhs102" localSheetId="56" hidden="1">NonLinLarge!$J$108</definedName>
    <definedName name="solver_rhs103" localSheetId="56" hidden="1">NonLinLarge!$J$109</definedName>
    <definedName name="solver_rhs104" localSheetId="56" hidden="1">NonLinLarge!$J$110</definedName>
    <definedName name="solver_rhs105" localSheetId="56" hidden="1">NonLinLarge!$J$111</definedName>
    <definedName name="solver_rhs106" localSheetId="56" hidden="1">NonLinLarge!$J$112</definedName>
    <definedName name="solver_rhs107" localSheetId="56" hidden="1">NonLinLarge!$J$113</definedName>
    <definedName name="solver_rhs108" localSheetId="56" hidden="1">NonLinLarge!$J$114</definedName>
    <definedName name="solver_rhs109" localSheetId="56" hidden="1">NonLinLarge!$J$115</definedName>
    <definedName name="solver_rhs11" localSheetId="56" hidden="1">NonLinLarge!$J$17</definedName>
    <definedName name="solver_rhs110" localSheetId="56" hidden="1">NonLinLarge!$J$116</definedName>
    <definedName name="solver_rhs111" localSheetId="56" hidden="1">NonLinLarge!$J$117</definedName>
    <definedName name="solver_rhs112" localSheetId="56" hidden="1">NonLinLarge!$J$118</definedName>
    <definedName name="solver_rhs113" localSheetId="56" hidden="1">NonLinLarge!$J$119</definedName>
    <definedName name="solver_rhs114" localSheetId="56" hidden="1">NonLinLarge!$J$120</definedName>
    <definedName name="solver_rhs115" localSheetId="56" hidden="1">NonLinLarge!$J$121</definedName>
    <definedName name="solver_rhs116" localSheetId="56" hidden="1">NonLinLarge!$J$122</definedName>
    <definedName name="solver_rhs117" localSheetId="56" hidden="1">NonLinLarge!$J$123</definedName>
    <definedName name="solver_rhs118" localSheetId="56" hidden="1">NonLinLarge!$J$124</definedName>
    <definedName name="solver_rhs119" localSheetId="56" hidden="1">NonLinLarge!$J$125</definedName>
    <definedName name="solver_rhs12" localSheetId="56" hidden="1">NonLinLarge!$J$18</definedName>
    <definedName name="solver_rhs120" localSheetId="56" hidden="1">NonLinLarge!$J$126</definedName>
    <definedName name="solver_rhs121" localSheetId="56" hidden="1">NonLinLarge!$J$127</definedName>
    <definedName name="solver_rhs122" localSheetId="56" hidden="1">NonLinLarge!$J$128</definedName>
    <definedName name="solver_rhs123" localSheetId="56" hidden="1">NonLinLarge!$J$129</definedName>
    <definedName name="solver_rhs124" localSheetId="56" hidden="1">NonLinLarge!$J$130</definedName>
    <definedName name="solver_rhs125" localSheetId="56" hidden="1">NonLinLarge!$J$131</definedName>
    <definedName name="solver_rhs126" localSheetId="56" hidden="1">NonLinLarge!$J$132</definedName>
    <definedName name="solver_rhs127" localSheetId="56" hidden="1">NonLinLarge!$J$133</definedName>
    <definedName name="solver_rhs128" localSheetId="56" hidden="1">NonLinLarge!$J$134</definedName>
    <definedName name="solver_rhs129" localSheetId="56" hidden="1">NonLinLarge!$J$135</definedName>
    <definedName name="solver_rhs13" localSheetId="56" hidden="1">NonLinLarge!$J$19</definedName>
    <definedName name="solver_rhs130" localSheetId="56" hidden="1">NonLinLarge!$J$136</definedName>
    <definedName name="solver_rhs131" localSheetId="56" hidden="1">NonLinLarge!$J$137</definedName>
    <definedName name="solver_rhs132" localSheetId="56" hidden="1">NonLinLarge!$J$138</definedName>
    <definedName name="solver_rhs133" localSheetId="56" hidden="1">NonLinLarge!$J$139</definedName>
    <definedName name="solver_rhs14" localSheetId="56" hidden="1">NonLinLarge!$J$20</definedName>
    <definedName name="solver_rhs15" localSheetId="56" hidden="1">NonLinLarge!$J$21</definedName>
    <definedName name="solver_rhs16" localSheetId="56" hidden="1">NonLinLarge!$J$22</definedName>
    <definedName name="solver_rhs17" localSheetId="56" hidden="1">NonLinLarge!$J$23</definedName>
    <definedName name="solver_rhs18" localSheetId="56" hidden="1">NonLinLarge!$J$24</definedName>
    <definedName name="solver_rhs19" localSheetId="56" hidden="1">NonLinLarge!$J$25</definedName>
    <definedName name="solver_rhs2" localSheetId="69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49" hidden="1">DiffSheetObj!$I$7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8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50" hidden="1">NamedRanges!$K$9</definedName>
    <definedName name="solver_rhs2" localSheetId="62" hidden="1">NonLin!$L$41:$L$42</definedName>
    <definedName name="solver_rhs2" localSheetId="63" hidden="1">binary</definedName>
    <definedName name="solver_rhs2" localSheetId="64" hidden="1">NonLin3!$U$10:$U$11</definedName>
    <definedName name="solver_rhs2" localSheetId="61" hidden="1">binary</definedName>
    <definedName name="solver_rhs2" localSheetId="60" hidden="1">-6</definedName>
    <definedName name="solver_rhs2" localSheetId="56" hidden="1">NonLinLarge!$J$9:$J$72</definedName>
    <definedName name="solver_rhs2" localSheetId="59" hidden="1">integer</definedName>
    <definedName name="solver_rhs2" localSheetId="57" hidden="1">NonLinObj!$J$9</definedName>
    <definedName name="solver_rhs2" localSheetId="58" hidden="1">NonLinPruning!$H$10:$H$11</definedName>
    <definedName name="solver_rhs2" localSheetId="55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1" hidden="1">QuickSolve!$J$9:$J$10</definedName>
    <definedName name="solver_rhs2" localSheetId="33" hidden="1">Relaxation!$E$7</definedName>
    <definedName name="solver_rhs2" localSheetId="1" hidden="1">OverlappingVars!$J$10</definedName>
    <definedName name="solver_rhs2" localSheetId="48" hidden="1">SeekObj!$I$7</definedName>
    <definedName name="solver_rhs2" localSheetId="53" hidden="1">Sensitivity!$I$9</definedName>
    <definedName name="solver_rhs2" localSheetId="54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2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6" hidden="1">NonLinLarge!$J$26</definedName>
    <definedName name="solver_rhs21" localSheetId="56" hidden="1">NonLinLarge!$J$27</definedName>
    <definedName name="solver_rhs22" localSheetId="56" hidden="1">NonLinLarge!$J$28</definedName>
    <definedName name="solver_rhs23" localSheetId="56" hidden="1">NonLinLarge!$J$29</definedName>
    <definedName name="solver_rhs24" localSheetId="56" hidden="1">NonLinLarge!$J$30</definedName>
    <definedName name="solver_rhs25" localSheetId="56" hidden="1">NonLinLarge!$J$31</definedName>
    <definedName name="solver_rhs26" localSheetId="56" hidden="1">NonLinLarge!$J$32</definedName>
    <definedName name="solver_rhs27" localSheetId="56" hidden="1">NonLinLarge!$J$33</definedName>
    <definedName name="solver_rhs28" localSheetId="56" hidden="1">NonLinLarge!$J$34</definedName>
    <definedName name="solver_rhs29" localSheetId="56" hidden="1">NonLinLarge!$J$35</definedName>
    <definedName name="solver_rhs3" localSheetId="69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49" hidden="1">DiffSheetObj!$I$8:$I$9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8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50" hidden="1">NamedRanges!$K$10:$K$11</definedName>
    <definedName name="solver_rhs3" localSheetId="62" hidden="1">NonLin!$L$43</definedName>
    <definedName name="solver_rhs3" localSheetId="56" hidden="1">NonLinLarge!$J$73</definedName>
    <definedName name="solver_rhs3" localSheetId="57" hidden="1">NonLinObj!$J$10</definedName>
    <definedName name="solver_rhs3" localSheetId="58" hidden="1">NonLinPruning!$H$12:$H$18</definedName>
    <definedName name="solver_rhs3" localSheetId="55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1" hidden="1">QuickSolve!$J$10</definedName>
    <definedName name="solver_rhs3" localSheetId="33" hidden="1">binary</definedName>
    <definedName name="solver_rhs3" localSheetId="1" hidden="1">OverlappingVars!$J$11</definedName>
    <definedName name="solver_rhs3" localSheetId="48" hidden="1">SeekObj!$I$8:$I$9</definedName>
    <definedName name="solver_rhs3" localSheetId="53" hidden="1">Sensitivity!$I$10:$I$11</definedName>
    <definedName name="solver_rhs3" localSheetId="54" hidden="1">0</definedName>
    <definedName name="solver_rhs3" localSheetId="2" hidden="1">SimpleLP!$J$11</definedName>
    <definedName name="solver_rhs3" localSheetId="30" hidden="1">SingleRangeLB!$J$11</definedName>
    <definedName name="solver_rhs3" localSheetId="52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6" hidden="1">NonLinLarge!$J$36</definedName>
    <definedName name="solver_rhs31" localSheetId="56" hidden="1">NonLinLarge!$J$37</definedName>
    <definedName name="solver_rhs32" localSheetId="56" hidden="1">NonLinLarge!$J$38</definedName>
    <definedName name="solver_rhs33" localSheetId="56" hidden="1">NonLinLarge!$J$39</definedName>
    <definedName name="solver_rhs34" localSheetId="56" hidden="1">NonLinLarge!$J$40</definedName>
    <definedName name="solver_rhs35" localSheetId="56" hidden="1">NonLinLarge!$J$41</definedName>
    <definedName name="solver_rhs36" localSheetId="56" hidden="1">NonLinLarge!$J$42</definedName>
    <definedName name="solver_rhs37" localSheetId="56" hidden="1">NonLinLarge!$J$43</definedName>
    <definedName name="solver_rhs38" localSheetId="56" hidden="1">NonLinLarge!$J$44</definedName>
    <definedName name="solver_rhs39" localSheetId="56" hidden="1">NonLinLarge!$J$45</definedName>
    <definedName name="solver_rhs4" localSheetId="69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49" hidden="1">DiffSheetObj!$I$9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8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50" hidden="1">NamedRanges!$K$12</definedName>
    <definedName name="solver_rhs4" localSheetId="62" hidden="1">NonLin!$L$44</definedName>
    <definedName name="solver_rhs4" localSheetId="56" hidden="1">NonLinLarge!$J$74</definedName>
    <definedName name="solver_rhs4" localSheetId="58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1" hidden="1">integer</definedName>
    <definedName name="solver_rhs4" localSheetId="33" hidden="1">integer</definedName>
    <definedName name="solver_rhs4" localSheetId="48" hidden="1">SeekObj!$I$9</definedName>
    <definedName name="solver_rhs4" localSheetId="53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2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6" hidden="1">NonLinLarge!$J$46</definedName>
    <definedName name="solver_rhs41" localSheetId="56" hidden="1">NonLinLarge!$J$47</definedName>
    <definedName name="solver_rhs42" localSheetId="56" hidden="1">NonLinLarge!$J$48</definedName>
    <definedName name="solver_rhs43" localSheetId="56" hidden="1">NonLinLarge!$J$49</definedName>
    <definedName name="solver_rhs44" localSheetId="56" hidden="1">NonLinLarge!$J$50</definedName>
    <definedName name="solver_rhs45" localSheetId="56" hidden="1">NonLinLarge!$J$51</definedName>
    <definedName name="solver_rhs46" localSheetId="56" hidden="1">NonLinLarge!$J$52</definedName>
    <definedName name="solver_rhs47" localSheetId="56" hidden="1">NonLinLarge!$J$53</definedName>
    <definedName name="solver_rhs48" localSheetId="56" hidden="1">NonLinLarge!$J$54</definedName>
    <definedName name="solver_rhs49" localSheetId="56" hidden="1">NonLinLarge!$J$55</definedName>
    <definedName name="solver_rhs5" localSheetId="69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8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2" hidden="1">integer</definedName>
    <definedName name="solver_rhs5" localSheetId="56" hidden="1">NonLinLarge!$J$75:$J$138</definedName>
    <definedName name="solver_rhs5" localSheetId="58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1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6" hidden="1">NonLinLarge!$J$56</definedName>
    <definedName name="solver_rhs51" localSheetId="56" hidden="1">NonLinLarge!$J$57</definedName>
    <definedName name="solver_rhs52" localSheetId="56" hidden="1">NonLinLarge!$J$58</definedName>
    <definedName name="solver_rhs53" localSheetId="56" hidden="1">NonLinLarge!$J$59</definedName>
    <definedName name="solver_rhs54" localSheetId="56" hidden="1">NonLinLarge!$J$60</definedName>
    <definedName name="solver_rhs55" localSheetId="56" hidden="1">NonLinLarge!$J$61</definedName>
    <definedName name="solver_rhs56" localSheetId="56" hidden="1">NonLinLarge!$J$62</definedName>
    <definedName name="solver_rhs57" localSheetId="56" hidden="1">NonLinLarge!$J$63</definedName>
    <definedName name="solver_rhs58" localSheetId="56" hidden="1">NonLinLarge!$J$64</definedName>
    <definedName name="solver_rhs59" localSheetId="56" hidden="1">NonLinLarge!$J$65</definedName>
    <definedName name="solver_rhs6" localSheetId="69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8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6" hidden="1">NonLinLarge!$J$139</definedName>
    <definedName name="solver_rhs6" localSheetId="58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1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6" hidden="1">NonLinLarge!$J$66</definedName>
    <definedName name="solver_rhs61" localSheetId="56" hidden="1">NonLinLarge!$J$67</definedName>
    <definedName name="solver_rhs62" localSheetId="56" hidden="1">NonLinLarge!$J$68</definedName>
    <definedName name="solver_rhs63" localSheetId="56" hidden="1">NonLinLarge!$J$69</definedName>
    <definedName name="solver_rhs64" localSheetId="56" hidden="1">NonLinLarge!$J$70</definedName>
    <definedName name="solver_rhs65" localSheetId="56" hidden="1">NonLinLarge!$J$71</definedName>
    <definedName name="solver_rhs66" localSheetId="56" hidden="1">NonLinLarge!$J$72</definedName>
    <definedName name="solver_rhs67" localSheetId="56" hidden="1">NonLinLarge!$J$73</definedName>
    <definedName name="solver_rhs68" localSheetId="56" hidden="1">NonLinLarge!$J$74</definedName>
    <definedName name="solver_rhs69" localSheetId="56" hidden="1">NonLinLarge!$J$75</definedName>
    <definedName name="solver_rhs7" localSheetId="69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8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6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1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6" hidden="1">NonLinLarge!$J$76</definedName>
    <definedName name="solver_rhs71" localSheetId="56" hidden="1">NonLinLarge!$J$77</definedName>
    <definedName name="solver_rhs72" localSheetId="56" hidden="1">NonLinLarge!$J$78</definedName>
    <definedName name="solver_rhs73" localSheetId="56" hidden="1">NonLinLarge!$J$79</definedName>
    <definedName name="solver_rhs74" localSheetId="56" hidden="1">NonLinLarge!$J$80</definedName>
    <definedName name="solver_rhs75" localSheetId="56" hidden="1">NonLinLarge!$J$81</definedName>
    <definedName name="solver_rhs76" localSheetId="56" hidden="1">NonLinLarge!$J$82</definedName>
    <definedName name="solver_rhs77" localSheetId="56" hidden="1">NonLinLarge!$J$83</definedName>
    <definedName name="solver_rhs78" localSheetId="56" hidden="1">NonLinLarge!$J$84</definedName>
    <definedName name="solver_rhs79" localSheetId="56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8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6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1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6" hidden="1">NonLinLarge!$J$86</definedName>
    <definedName name="solver_rhs81" localSheetId="56" hidden="1">NonLinLarge!$J$87</definedName>
    <definedName name="solver_rhs82" localSheetId="56" hidden="1">NonLinLarge!$J$88</definedName>
    <definedName name="solver_rhs83" localSheetId="56" hidden="1">NonLinLarge!$J$89</definedName>
    <definedName name="solver_rhs84" localSheetId="56" hidden="1">NonLinLarge!$J$90</definedName>
    <definedName name="solver_rhs85" localSheetId="56" hidden="1">NonLinLarge!$J$91</definedName>
    <definedName name="solver_rhs86" localSheetId="56" hidden="1">NonLinLarge!$J$92</definedName>
    <definedName name="solver_rhs87" localSheetId="56" hidden="1">NonLinLarge!$J$93</definedName>
    <definedName name="solver_rhs88" localSheetId="56" hidden="1">NonLinLarge!$J$94</definedName>
    <definedName name="solver_rhs89" localSheetId="56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8" hidden="1">Highlighting!#REF!</definedName>
    <definedName name="solver_rhs9" localSheetId="56" hidden="1">NonLinLarge!$J$15</definedName>
    <definedName name="solver_rhs9" localSheetId="3" hidden="1">OverlappingVars!$J$11</definedName>
    <definedName name="solver_rhs90" localSheetId="56" hidden="1">NonLinLarge!$J$96</definedName>
    <definedName name="solver_rhs91" localSheetId="56" hidden="1">NonLinLarge!$J$97</definedName>
    <definedName name="solver_rhs92" localSheetId="56" hidden="1">NonLinLarge!$J$98</definedName>
    <definedName name="solver_rhs93" localSheetId="56" hidden="1">NonLinLarge!$J$99</definedName>
    <definedName name="solver_rhs94" localSheetId="56" hidden="1">NonLinLarge!$J$100</definedName>
    <definedName name="solver_rhs95" localSheetId="56" hidden="1">NonLinLarge!$J$101</definedName>
    <definedName name="solver_rhs96" localSheetId="56" hidden="1">NonLinLarge!$J$102</definedName>
    <definedName name="solver_rhs97" localSheetId="56" hidden="1">NonLinLarge!$J$103</definedName>
    <definedName name="solver_rhs98" localSheetId="56" hidden="1">NonLinLarge!$J$104</definedName>
    <definedName name="solver_rhs99" localSheetId="56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49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50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1" hidden="1">2</definedName>
    <definedName name="solver_rlx" localSheetId="60" hidden="1">2</definedName>
    <definedName name="solver_rlx" localSheetId="56" hidden="1">2</definedName>
    <definedName name="solver_rlx" localSheetId="59" hidden="1">2</definedName>
    <definedName name="solver_rlx" localSheetId="57" hidden="1">2</definedName>
    <definedName name="solver_rlx" localSheetId="58" hidden="1">2</definedName>
    <definedName name="solver_rlx" localSheetId="55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3" hidden="1">2</definedName>
    <definedName name="solver_rlx" localSheetId="54" hidden="1">2</definedName>
    <definedName name="solver_rlx" localSheetId="2" hidden="1">2</definedName>
    <definedName name="solver_rlx" localSheetId="30" hidden="1">2</definedName>
    <definedName name="solver_rlx" localSheetId="52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5" hidden="1">0</definedName>
    <definedName name="solver_rsd" localSheetId="66" hidden="1">0</definedName>
    <definedName name="solver_rsd" localSheetId="58" hidden="1">0</definedName>
    <definedName name="solver_rsd" localSheetId="3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9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49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8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50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1" hidden="1">2</definedName>
    <definedName name="solver_scl" localSheetId="60" hidden="1">2</definedName>
    <definedName name="solver_scl" localSheetId="56" hidden="1">2</definedName>
    <definedName name="solver_scl" localSheetId="59" hidden="1">2</definedName>
    <definedName name="solver_scl" localSheetId="57" hidden="1">2</definedName>
    <definedName name="solver_scl" localSheetId="58" hidden="1">1</definedName>
    <definedName name="solver_scl" localSheetId="55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1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3" hidden="1">2</definedName>
    <definedName name="solver_scl" localSheetId="54" hidden="1">2</definedName>
    <definedName name="solver_scl" localSheetId="2" hidden="1">2</definedName>
    <definedName name="solver_scl" localSheetId="30" hidden="1">2</definedName>
    <definedName name="solver_scl" localSheetId="52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49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8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50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1" hidden="1">2</definedName>
    <definedName name="solver_sho" localSheetId="60" hidden="1">2</definedName>
    <definedName name="solver_sho" localSheetId="56" hidden="1">2</definedName>
    <definedName name="solver_sho" localSheetId="59" hidden="1">2</definedName>
    <definedName name="solver_sho" localSheetId="57" hidden="1">2</definedName>
    <definedName name="solver_sho" localSheetId="58" hidden="1">2</definedName>
    <definedName name="solver_sho" localSheetId="55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3" hidden="1">2</definedName>
    <definedName name="solver_sho" localSheetId="54" hidden="1">2</definedName>
    <definedName name="solver_sho" localSheetId="2" hidden="1">2</definedName>
    <definedName name="solver_sho" localSheetId="30" hidden="1">2</definedName>
    <definedName name="solver_sho" localSheetId="52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5" hidden="1">100</definedName>
    <definedName name="solver_ssz" localSheetId="66" hidden="1">100</definedName>
    <definedName name="solver_ssz" localSheetId="58" hidden="1">100</definedName>
    <definedName name="solver_ssz" localSheetId="3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49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8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50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1" hidden="1">999999999</definedName>
    <definedName name="solver_tim" localSheetId="60" hidden="1">999999999</definedName>
    <definedName name="solver_tim" localSheetId="56" hidden="1">999999999</definedName>
    <definedName name="solver_tim" localSheetId="59" hidden="1">999999999</definedName>
    <definedName name="solver_tim" localSheetId="57" hidden="1">999999999</definedName>
    <definedName name="solver_tim" localSheetId="58" hidden="1">999999999</definedName>
    <definedName name="solver_tim" localSheetId="55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33" hidden="1">999999999</definedName>
    <definedName name="solver_tim" localSheetId="48" hidden="1">999999999</definedName>
    <definedName name="solver_tim" localSheetId="53" hidden="1">999999999</definedName>
    <definedName name="solver_tim" localSheetId="54" hidden="1">999999999</definedName>
    <definedName name="solver_tim" localSheetId="2" hidden="1">999999999</definedName>
    <definedName name="solver_tim" localSheetId="30" hidden="1">999999999</definedName>
    <definedName name="solver_tim" localSheetId="52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49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8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50" hidden="1">0.05</definedName>
    <definedName name="solver_tol" localSheetId="62" hidden="1">0.01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1" hidden="1">0.05</definedName>
    <definedName name="solver_tol" localSheetId="60" hidden="1">0.05</definedName>
    <definedName name="solver_tol" localSheetId="56" hidden="1">0.05</definedName>
    <definedName name="solver_tol" localSheetId="59" hidden="1">0.05</definedName>
    <definedName name="solver_tol" localSheetId="57" hidden="1">0.05</definedName>
    <definedName name="solver_tol" localSheetId="58" hidden="1">0.05</definedName>
    <definedName name="solver_tol" localSheetId="55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33" hidden="1">0.05</definedName>
    <definedName name="solver_tol" localSheetId="48" hidden="1">0.05</definedName>
    <definedName name="solver_tol" localSheetId="53" hidden="1">0.05</definedName>
    <definedName name="solver_tol" localSheetId="54" hidden="1">0.05</definedName>
    <definedName name="solver_tol" localSheetId="2" hidden="1">0.05</definedName>
    <definedName name="solver_tol" localSheetId="30" hidden="1">0.05</definedName>
    <definedName name="solver_tol" localSheetId="52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9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49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8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50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1" hidden="1">2</definedName>
    <definedName name="solver_typ" localSheetId="60" hidden="1">2</definedName>
    <definedName name="solver_typ" localSheetId="56" hidden="1">2</definedName>
    <definedName name="solver_typ" localSheetId="59" hidden="1">1</definedName>
    <definedName name="solver_typ" localSheetId="57" hidden="1">2</definedName>
    <definedName name="solver_typ" localSheetId="58" hidden="1">1</definedName>
    <definedName name="solver_typ" localSheetId="55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33" hidden="1">2</definedName>
    <definedName name="solver_typ" localSheetId="1" hidden="1">2</definedName>
    <definedName name="solver_typ" localSheetId="48" hidden="1">3</definedName>
    <definedName name="solver_typ" localSheetId="53" hidden="1">1</definedName>
    <definedName name="solver_typ" localSheetId="54" hidden="1">2</definedName>
    <definedName name="solver_typ" localSheetId="2" hidden="1">2</definedName>
    <definedName name="solver_typ" localSheetId="30" hidden="1">2</definedName>
    <definedName name="solver_typ" localSheetId="52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49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8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50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1" hidden="1">0</definedName>
    <definedName name="solver_val" localSheetId="60" hidden="1">0</definedName>
    <definedName name="solver_val" localSheetId="56" hidden="1">0</definedName>
    <definedName name="solver_val" localSheetId="59" hidden="1">0</definedName>
    <definedName name="solver_val" localSheetId="57" hidden="1">0</definedName>
    <definedName name="solver_val" localSheetId="58" hidden="1">0</definedName>
    <definedName name="solver_val" localSheetId="55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3" hidden="1">0</definedName>
    <definedName name="solver_val" localSheetId="54" hidden="1">0</definedName>
    <definedName name="solver_val" localSheetId="2" hidden="1">0</definedName>
    <definedName name="solver_val" localSheetId="30" hidden="1">0</definedName>
    <definedName name="solver_val" localSheetId="52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5" hidden="1">3</definedName>
    <definedName name="solver_ver" localSheetId="66" hidden="1">3</definedName>
    <definedName name="solver_ver" localSheetId="60" hidden="1">3</definedName>
    <definedName name="solver_ver" localSheetId="58" hidden="1">3</definedName>
    <definedName name="solver_ver" localSheetId="47" hidden="1">3</definedName>
    <definedName name="solver_ver" localSheetId="3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5">#REF!</definedName>
    <definedName name="wa" localSheetId="66">#REF!</definedName>
    <definedName name="wa" localSheetId="67">#REF!</definedName>
    <definedName name="wa">NonLin3!$P$3</definedName>
    <definedName name="wb" localSheetId="65">#REF!</definedName>
    <definedName name="wb" localSheetId="66">#REF!</definedName>
    <definedName name="wb" localSheetId="67">#REF!</definedName>
    <definedName name="wb">NonLin3!$P$4</definedName>
    <definedName name="wc" localSheetId="65">#REF!</definedName>
    <definedName name="wc" localSheetId="66">#REF!</definedName>
    <definedName name="wc" localSheetId="67">#REF!</definedName>
    <definedName name="wc">NonLin3!$P$5</definedName>
    <definedName name="wd" localSheetId="65">#REF!</definedName>
    <definedName name="wd" localSheetId="66">#REF!</definedName>
    <definedName name="wd" localSheetId="67">#REF!</definedName>
    <definedName name="wd">NonLin3!$P$6</definedName>
    <definedName name="x" localSheetId="49">#REF!</definedName>
    <definedName name="x" localSheetId="21">#REF!</definedName>
    <definedName name="x" localSheetId="64">NonLin3!$C$34:$AQ$34</definedName>
    <definedName name="x" localSheetId="67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NonLin3!$N$3</definedName>
    <definedName name="xb" localSheetId="65">#REF!</definedName>
    <definedName name="xb" localSheetId="66">#REF!</definedName>
    <definedName name="xb" localSheetId="67">#REF!</definedName>
    <definedName name="xb">NonLin3!$N$4</definedName>
    <definedName name="xc" localSheetId="65">#REF!</definedName>
    <definedName name="xc" localSheetId="66">#REF!</definedName>
    <definedName name="xc" localSheetId="67">#REF!</definedName>
    <definedName name="xc">NonLin3!$N$5</definedName>
    <definedName name="xd" localSheetId="65">#REF!</definedName>
    <definedName name="xd" localSheetId="66">#REF!</definedName>
    <definedName name="xd" localSheetId="67">#REF!</definedName>
    <definedName name="xd">NonLin3!$N$6</definedName>
    <definedName name="xstep" localSheetId="49">#REF!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49">#REF!</definedName>
    <definedName name="y" localSheetId="21">#REF!</definedName>
    <definedName name="y" localSheetId="64">NonLin3!$B$35:$B$75</definedName>
    <definedName name="y" localSheetId="67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NonLin3!$O$3</definedName>
    <definedName name="yb" localSheetId="65">#REF!</definedName>
    <definedName name="yb" localSheetId="66">#REF!</definedName>
    <definedName name="yb" localSheetId="67">#REF!</definedName>
    <definedName name="yb">NonLin3!$O$4</definedName>
    <definedName name="yc" localSheetId="65">#REF!</definedName>
    <definedName name="yc" localSheetId="66">#REF!</definedName>
    <definedName name="yc" localSheetId="67">#REF!</definedName>
    <definedName name="yc">NonLin3!$O$5</definedName>
    <definedName name="yd" localSheetId="65">#REF!</definedName>
    <definedName name="yd" localSheetId="66">#REF!</definedName>
    <definedName name="yd" localSheetId="67">#REF!</definedName>
    <definedName name="yd">NonLin3!$O$6</definedName>
    <definedName name="ystep" localSheetId="49">#REF!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88" l="1"/>
  <c r="E12" i="88"/>
  <c r="F12" i="88"/>
  <c r="C13" i="88"/>
  <c r="E13" i="88"/>
  <c r="F13" i="88"/>
  <c r="F15" i="88"/>
  <c r="A68" i="60"/>
  <c r="J2" i="87"/>
  <c r="J3" i="87"/>
  <c r="J4" i="87"/>
  <c r="J5" i="87"/>
  <c r="J6" i="87"/>
  <c r="J7" i="87"/>
  <c r="A67" i="60"/>
  <c r="D13" i="85"/>
  <c r="D12" i="85"/>
  <c r="D14" i="85"/>
  <c r="D16" i="85"/>
  <c r="A66" i="60"/>
  <c r="S13" i="75"/>
  <c r="A65" i="60"/>
  <c r="F4" i="68"/>
  <c r="A64" i="60"/>
  <c r="I39" i="3"/>
  <c r="A63" i="60"/>
  <c r="C6" i="95"/>
  <c r="A62" i="60"/>
  <c r="I6" i="71"/>
  <c r="A61" i="60"/>
  <c r="G6" i="70"/>
  <c r="A60" i="60"/>
  <c r="F6" i="69"/>
  <c r="A59" i="60"/>
  <c r="H5" i="19"/>
  <c r="A58" i="60"/>
  <c r="H5" i="38"/>
  <c r="A57" i="60"/>
  <c r="H5" i="20"/>
  <c r="A56" i="60"/>
  <c r="D20" i="77"/>
  <c r="A55" i="60"/>
  <c r="G6" i="65"/>
  <c r="A54" i="60"/>
  <c r="H15" i="2"/>
  <c r="A53" i="60"/>
  <c r="H6" i="4"/>
  <c r="A52" i="60"/>
  <c r="I6" i="66"/>
  <c r="A51" i="60"/>
  <c r="G17" i="92"/>
  <c r="A50" i="60"/>
  <c r="G4" i="92"/>
  <c r="A49" i="60"/>
  <c r="A48" i="60"/>
  <c r="H7" i="57"/>
  <c r="A47" i="60"/>
  <c r="H7" i="11"/>
  <c r="A46" i="60"/>
  <c r="S3" i="7"/>
  <c r="I6" i="7"/>
  <c r="A45" i="60"/>
  <c r="G4" i="90"/>
  <c r="A44" i="60"/>
  <c r="H9" i="54"/>
  <c r="A43" i="60"/>
  <c r="H9" i="53"/>
  <c r="A42" i="60"/>
  <c r="H9" i="52"/>
  <c r="A41" i="60"/>
  <c r="H9" i="51"/>
  <c r="A40" i="60"/>
  <c r="H9" i="50"/>
  <c r="A39" i="60"/>
  <c r="H8" i="49"/>
  <c r="A38" i="60"/>
  <c r="H10" i="48"/>
  <c r="A37" i="60"/>
  <c r="H10" i="47"/>
  <c r="A36" i="60"/>
  <c r="H10" i="46"/>
  <c r="A35" i="60"/>
  <c r="H9" i="98"/>
  <c r="A34" i="60"/>
  <c r="H9" i="45"/>
  <c r="A33" i="60"/>
  <c r="H9" i="44"/>
  <c r="A32" i="60"/>
  <c r="H8" i="43"/>
  <c r="A31" i="60"/>
  <c r="H8" i="42"/>
  <c r="A30" i="60"/>
  <c r="H8" i="23"/>
  <c r="A29" i="60"/>
  <c r="A28" i="60"/>
  <c r="H6" i="111"/>
  <c r="A27" i="60"/>
  <c r="J6" i="41"/>
  <c r="A26" i="60"/>
  <c r="J6" i="14"/>
  <c r="A25" i="60"/>
  <c r="A24" i="60"/>
  <c r="H7" i="12"/>
  <c r="A23" i="60"/>
  <c r="H6" i="94"/>
  <c r="A22" i="60"/>
  <c r="A21" i="60"/>
  <c r="I7" i="9"/>
  <c r="S4" i="9"/>
  <c r="A20" i="60"/>
  <c r="S4" i="8"/>
  <c r="I7" i="8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D8" i="85"/>
  <c r="P3" i="75"/>
  <c r="P4" i="75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D12" i="88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<sst xmlns="http://schemas.openxmlformats.org/spreadsheetml/2006/main" count="2345" uniqueCount="354">
  <si>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</si>
  <si>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</si>
  <si>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</si>
  <si>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</si>
  <si>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</si>
  <si>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</si>
  <si>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</si>
  <si>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</si>
  <si>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</si>
  <si>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</si>
  <si>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</si>
  <si>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</si>
  <si>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</si>
  <si>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</si>
  <si>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</si>
  <si>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</si>
  <si>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</si>
  <si>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</si>
  <si>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</si>
  <si>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</si>
  <si>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</si>
  <si>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</si>
  <si>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</si>
  <si>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</si>
  <si>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</si>
  <si>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</si>
  <si>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</si>
  <si>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</si>
  <si>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</si>
  <si>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</si>
  <si>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</si>
  <si>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</si>
  <si>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</si>
  <si>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</si>
  <si>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</si>
  <si>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</si>
  <si>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</si>
  <si>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</si>
  <si>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</si>
  <si>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</si>
  <si>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</si>
  <si>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</si>
  <si>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</si>
  <si>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</si>
  <si>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</si>
  <si>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</si>
  <si>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</si>
  <si>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</si>
  <si>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</si>
  <si>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</si>
  <si>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</si>
  <si>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</si>
  <si>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</si>
  <si>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</si>
  <si>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</si>
  <si>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</si>
  <si>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</si>
  <si>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</si>
  <si>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</si>
  <si>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</si>
  <si>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</si>
  <si>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</si>
  <si>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</si>
  <si>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</si>
  <si>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</si>
  <si>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</si>
  <si>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</si>
  <si>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</si>
  <si>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</si>
  <si>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</si>
  <si>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</si>
  <si>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</si>
  <si>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</si>
  <si>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</si>
  <si>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</si>
  <si>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</si>
  <si>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</si>
  <si>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</si>
  <si>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</si>
  <si>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</si>
  <si>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</si>
  <si>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</si>
  <si>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</si>
  <si>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</si>
  <si>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</si>
  <si>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</si>
  <si>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</si>
  <si>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</si>
  <si>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</si>
  <si>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</si>
  <si>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</si>
  <si>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</si>
  <si>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</si>
  <si>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</si>
  <si>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</si>
  <si>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</si>
  <si>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</si>
  <si>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</si>
  <si>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</si>
  <si>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</si>
  <si>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</si>
  <si>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</si>
  <si>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</si>
  <si>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</si>
  <si>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</si>
  <si>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</si>
  <si>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</si>
  <si>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</si>
  <si>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</si>
  <si>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</si>
  <si>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</si>
  <si>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</si>
  <si>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</si>
  <si>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</si>
  <si>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</si>
  <si>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</si>
  <si>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</si>
  <si>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</si>
  <si>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</si>
  <si>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</si>
  <si>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</si>
  <si>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</si>
  <si>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</si>
  <si>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</si>
  <si>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</si>
  <si>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</si>
  <si>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</si>
  <si>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</si>
  <si>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</si>
  <si>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</si>
  <si>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</si>
  <si>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</si>
  <si>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</si>
  <si>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</si>
  <si>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</si>
  <si>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</si>
  <si>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</si>
  <si>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</si>
  <si>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</si>
  <si>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</si>
  <si>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</si>
  <si>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</si>
  <si>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</si>
  <si>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</si>
  <si>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</si>
  <si>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</si>
  <si>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</si>
  <si>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</si>
  <si>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</si>
  <si>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</si>
  <si>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</si>
  <si>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</si>
  <si>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</si>
  <si>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</si>
  <si>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</si>
  <si>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</si>
  <si>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</si>
  <si>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</si>
  <si>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</si>
  <si>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</si>
  <si>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</si>
  <si>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</si>
  <si>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</si>
  <si>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</si>
  <si>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</si>
  <si>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</si>
  <si>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</si>
  <si>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</si>
  <si>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</si>
  <si>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</si>
  <si>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</si>
  <si>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</si>
  <si>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</si>
  <si>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</si>
  <si>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</si>
  <si>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</si>
  <si>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</si>
  <si>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</si>
  <si>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</si>
  <si>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</si>
  <si>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</si>
  <si>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</si>
  <si>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</si>
  <si>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</si>
  <si>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</si>
  <si>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</si>
  <si>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</si>
  <si>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</si>
  <si>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</si>
  <si>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</si>
  <si>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</si>
  <si>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</si>
  <si>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</si>
  <si>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</si>
  <si>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</si>
  <si>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</si>
  <si>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</si>
  <si>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</si>
  <si>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</si>
  <si>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</si>
  <si>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</si>
  <si>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</si>
  <si>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</si>
  <si>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</si>
  <si>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</si>
  <si>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</si>
  <si>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</si>
  <si>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</si>
  <si>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</si>
  <si>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</si>
  <si>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</si>
  <si>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</si>
  <si>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</si>
  <si>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</si>
  <si>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</si>
  <si>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</si>
  <si>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</si>
  <si>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</si>
  <si>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</si>
  <si>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</si>
  <si>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</si>
  <si>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</si>
  <si>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</si>
  <si>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</si>
  <si>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</si>
  <si>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</si>
  <si>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</si>
  <si>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</si>
  <si>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</si>
  <si>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</si>
  <si>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</si>
  <si>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</si>
  <si>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</si>
  <si>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</si>
  <si>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</si>
  <si>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</si>
  <si>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</si>
  <si>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</si>
  <si>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</si>
  <si>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</si>
  <si>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</si>
  <si>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</si>
  <si>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</si>
  <si>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</si>
  <si>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</si>
  <si>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</si>
  <si>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</si>
  <si>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</si>
  <si>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</si>
  <si>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</si>
  <si>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</si>
  <si>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</si>
  <si>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</si>
  <si>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</si>
  <si>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</si>
  <si>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</si>
  <si>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</si>
  <si>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</si>
  <si>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</si>
  <si>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</si>
  <si>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</si>
  <si>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</si>
  <si>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</si>
  <si>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</si>
  <si>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</si>
  <si>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</si>
  <si>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</si>
  <si>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</si>
  <si>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</si>
  <si>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</si>
  <si>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</si>
  <si>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</si>
  <si>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</si>
  <si>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</si>
  <si>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</si>
  <si>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</si>
  <si>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</si>
  <si>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</si>
  <si>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</si>
  <si>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</si>
  <si>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</si>
  <si>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</si>
  <si>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</si>
  <si>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</si>
  <si>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</si>
  <si>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</si>
  <si>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</si>
  <si>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</si>
  <si>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</si>
  <si>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</si>
  <si>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</si>
  <si>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</si>
  <si>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</si>
  <si>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</si>
  <si>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</si>
  <si>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</si>
  <si>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</si>
  <si>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</si>
  <si>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</si>
  <si>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</si>
  <si>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</si>
  <si>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</si>
  <si>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</si>
  <si>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</si>
  <si>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</si>
  <si>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</si>
  <si>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</si>
  <si>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</si>
  <si>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</si>
  <si>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</si>
  <si>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</si>
  <si>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</si>
  <si>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</si>
  <si>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</si>
  <si>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</si>
  <si>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</si>
  <si>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</si>
  <si>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</si>
  <si>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</si>
  <si>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</si>
  <si>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</si>
  <si>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</si>
  <si>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</si>
  <si>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</si>
  <si>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</si>
  <si>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</si>
  <si>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</si>
  <si>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</si>
  <si>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</si>
  <si>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</si>
  <si>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</si>
  <si>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</si>
  <si>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</si>
  <si>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</si>
  <si>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</si>
  <si>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</si>
  <si>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</si>
  <si>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</si>
  <si>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</si>
  <si>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</si>
  <si>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</si>
  <si>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</si>
  <si>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</si>
  <si>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</si>
  <si>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</si>
  <si>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</si>
  <si>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</si>
  <si>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</si>
  <si>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</si>
  <si>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</si>
  <si>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</si>
  <si>
    <t>FAIL</t>
  </si>
  <si>
    <t>t_limit</t>
  </si>
  <si>
    <t>Objective For DiffSheetObj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</si>
</sst>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32539920"/>
        <c:axId val="432536392"/>
        <c:axId val="485785312"/>
      </c:surface3DChart>
      <c:catAx>
        <c:axId val="43253992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53639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3253639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539920"/>
        <c:crosses val="min"/>
        <c:crossBetween val="between"/>
        <c:majorUnit val="0.1"/>
      </c:valAx>
      <c:serAx>
        <c:axId val="485785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53639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0.28867513456330329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0.4999999999448444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1.7113248654040574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0.4999999999750428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0.28867513456330329</c:v>
                </c:pt>
                <c:pt idx="3">
                  <c:v>0</c:v>
                </c:pt>
                <c:pt idx="4">
                  <c:v>0.28867513456330329</c:v>
                </c:pt>
                <c:pt idx="6">
                  <c:v>2</c:v>
                </c:pt>
                <c:pt idx="7">
                  <c:v>1.7113248654040574</c:v>
                </c:pt>
                <c:pt idx="9">
                  <c:v>2</c:v>
                </c:pt>
                <c:pt idx="10">
                  <c:v>1.7113248654040574</c:v>
                </c:pt>
                <c:pt idx="12">
                  <c:v>0.28867513456330329</c:v>
                </c:pt>
                <c:pt idx="13">
                  <c:v>1.7113248654040574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0.4999999999448444</c:v>
                </c:pt>
                <c:pt idx="3">
                  <c:v>1</c:v>
                </c:pt>
                <c:pt idx="4">
                  <c:v>0.4999999999448444</c:v>
                </c:pt>
                <c:pt idx="6">
                  <c:v>1</c:v>
                </c:pt>
                <c:pt idx="7">
                  <c:v>0.4999999999750428</c:v>
                </c:pt>
                <c:pt idx="9">
                  <c:v>0</c:v>
                </c:pt>
                <c:pt idx="10">
                  <c:v>0.4999999999750428</c:v>
                </c:pt>
                <c:pt idx="12">
                  <c:v>0.4999999999448444</c:v>
                </c:pt>
                <c:pt idx="13">
                  <c:v>0.4999999999750428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532864"/>
        <c:axId val="432541880"/>
      </c:scatterChart>
      <c:valAx>
        <c:axId val="43253286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541880"/>
        <c:crosses val="autoZero"/>
        <c:crossBetween val="midCat"/>
        <c:majorUnit val="0.5"/>
      </c:valAx>
      <c:valAx>
        <c:axId val="43254188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53286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2.3571428571579287</c:v>
                </c:pt>
                <c:pt idx="2">
                  <c:v>7.0000000000237517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1.8557687223760824</c:v>
                </c:pt>
                <c:pt idx="2">
                  <c:v>2.5717206142417126E-12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538352"/>
        <c:axId val="432541096"/>
      </c:scatterChart>
      <c:valAx>
        <c:axId val="43253835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541096"/>
        <c:crosses val="autoZero"/>
        <c:crossBetween val="midCat"/>
        <c:majorUnit val="1"/>
      </c:valAx>
      <c:valAx>
        <c:axId val="43254109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53835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3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27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topLeftCell="A31" zoomScale="85" zoomScaleNormal="85" zoomScalePageLayoutView="85" workbookViewId="0">
      <selection activeCell="D52" sqref="D52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0" t="s">
        <v>318</v>
      </c>
      <c r="D1" s="170"/>
      <c r="E1" s="170"/>
      <c r="F1" s="170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337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337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337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337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337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Tester.xlsm]'DiffSheetObj'!A1", "DiffSheetObj")</f>
        <v>DiffSheetObj</v>
      </c>
      <c r="B50" s="59" t="s">
        <v>332</v>
      </c>
      <c r="C50" s="59" t="s">
        <v>332</v>
      </c>
      <c r="D50" s="59" t="s">
        <v>332</v>
      </c>
      <c r="E50" s="59" t="s">
        <v>332</v>
      </c>
      <c r="F50" s="59" t="s">
        <v>332</v>
      </c>
      <c r="G50" s="59" t="s">
        <v>332</v>
      </c>
      <c r="H50" s="59" t="s">
        <v>332</v>
      </c>
      <c r="I50" s="59" t="s">
        <v>332</v>
      </c>
    </row>
    <row r="51" spans="1:9" x14ac:dyDescent="0.25">
      <c r="A51" s="155" t="str">
        <f>HYPERLINK("[OpenSolver Tester.xlsm]'NamedRanges'!A1", "NamedRanges")</f>
        <v>NamedRanges</v>
      </c>
      <c r="B51" s="59" t="s">
        <v>332</v>
      </c>
      <c r="C51" s="59" t="s">
        <v>332</v>
      </c>
      <c r="D51" s="59" t="s">
        <v>332</v>
      </c>
      <c r="E51" s="59" t="s">
        <v>332</v>
      </c>
      <c r="F51" s="59" t="s">
        <v>332</v>
      </c>
      <c r="G51" s="59" t="s">
        <v>332</v>
      </c>
      <c r="H51" s="59" t="s">
        <v>332</v>
      </c>
      <c r="I51" s="59" t="s">
        <v>332</v>
      </c>
    </row>
    <row r="52" spans="1:9" x14ac:dyDescent="0.25">
      <c r="A52" s="155" t="str">
        <f>HYPERLINK("[OpenSolver Tester.xlsm]'QuickSolve'!A1", "QuickSolve")</f>
        <v>QuickSolve</v>
      </c>
      <c r="B52" s="59" t="s">
        <v>332</v>
      </c>
      <c r="C52" s="59" t="s">
        <v>332</v>
      </c>
      <c r="D52" s="59" t="s">
        <v>332</v>
      </c>
      <c r="E52" s="59" t="s">
        <v>350</v>
      </c>
      <c r="F52" s="59" t="s">
        <v>350</v>
      </c>
      <c r="G52" s="59" t="s">
        <v>350</v>
      </c>
      <c r="H52" s="59" t="s">
        <v>350</v>
      </c>
      <c r="I52" s="59" t="s">
        <v>350</v>
      </c>
    </row>
    <row r="53" spans="1:9" x14ac:dyDescent="0.25">
      <c r="A53" s="155" t="str">
        <f>HYPERLINK("[OpenSolver Tester.xlsm]'SolverParameters'!A1", "SolverParameters")</f>
        <v>SolverParameters</v>
      </c>
      <c r="B53" s="59" t="s">
        <v>332</v>
      </c>
      <c r="C53" s="59" t="s">
        <v>332</v>
      </c>
      <c r="D53" s="59" t="s">
        <v>332</v>
      </c>
      <c r="E53" s="59" t="s">
        <v>332</v>
      </c>
      <c r="F53" s="59" t="s">
        <v>337</v>
      </c>
      <c r="G53" s="59" t="s">
        <v>332</v>
      </c>
      <c r="H53" s="59" t="s">
        <v>332</v>
      </c>
      <c r="I53" s="59" t="s">
        <v>332</v>
      </c>
    </row>
    <row r="54" spans="1:9" x14ac:dyDescent="0.25">
      <c r="A54" s="155" t="str">
        <f>HYPERLINK("[OpenSolver Tester.xlsm]'Sensitivity'!A1", "Sensitivity")</f>
        <v>Sensitivity</v>
      </c>
      <c r="B54" s="59" t="s">
        <v>332</v>
      </c>
      <c r="C54" s="59" t="s">
        <v>332</v>
      </c>
      <c r="D54" s="59" t="s">
        <v>332</v>
      </c>
      <c r="E54" s="59" t="s">
        <v>332</v>
      </c>
      <c r="F54" s="59" t="s">
        <v>332</v>
      </c>
      <c r="G54" s="59" t="s">
        <v>332</v>
      </c>
      <c r="H54" s="59" t="s">
        <v>332</v>
      </c>
      <c r="I54" s="59" t="s">
        <v>332</v>
      </c>
    </row>
    <row r="55" spans="1:9" x14ac:dyDescent="0.25">
      <c r="A55" s="155" t="str">
        <f>HYPERLINK("[OpenSolver Tester.xlsm]'SensitivityNames'!A1", "SensitivityNames")</f>
        <v>SensitivityNames</v>
      </c>
      <c r="B55" s="59" t="s">
        <v>332</v>
      </c>
      <c r="C55" s="59" t="s">
        <v>332</v>
      </c>
      <c r="D55" s="59" t="s">
        <v>332</v>
      </c>
      <c r="E55" s="59" t="s">
        <v>332</v>
      </c>
      <c r="F55" s="59" t="s">
        <v>332</v>
      </c>
      <c r="G55" s="59" t="s">
        <v>332</v>
      </c>
      <c r="H55" s="59" t="s">
        <v>332</v>
      </c>
      <c r="I55" s="59" t="s">
        <v>332</v>
      </c>
    </row>
    <row r="56" spans="1:9" x14ac:dyDescent="0.25">
      <c r="A56" s="155" t="str">
        <f>HYPERLINK("[OpenSolver Tester.xlsm]'NonLinSimple'!A1", "NonLinSimple")</f>
        <v>NonLinSimple</v>
      </c>
      <c r="B56" s="59" t="s">
        <v>332</v>
      </c>
      <c r="C56" s="59" t="s">
        <v>332</v>
      </c>
      <c r="D56" s="59" t="s">
        <v>332</v>
      </c>
      <c r="E56" s="59" t="s">
        <v>332</v>
      </c>
      <c r="F56" s="59" t="s">
        <v>332</v>
      </c>
      <c r="G56" s="59" t="s">
        <v>332</v>
      </c>
      <c r="H56" s="59" t="s">
        <v>332</v>
      </c>
      <c r="I56" s="59" t="s">
        <v>332</v>
      </c>
    </row>
    <row r="57" spans="1:9" x14ac:dyDescent="0.25">
      <c r="A57" s="155" t="str">
        <f>HYPERLINK("[OpenSolver Tester.xlsm]'NonLinLarge'!A1", "NonLinLarge")</f>
        <v>NonLinLarge</v>
      </c>
      <c r="B57" s="59" t="s">
        <v>332</v>
      </c>
      <c r="C57" s="59" t="s">
        <v>332</v>
      </c>
      <c r="D57" s="59" t="s">
        <v>332</v>
      </c>
      <c r="E57" s="59" t="s">
        <v>332</v>
      </c>
      <c r="F57" s="59" t="s">
        <v>332</v>
      </c>
      <c r="G57" s="59" t="s">
        <v>332</v>
      </c>
      <c r="H57" s="59" t="s">
        <v>332</v>
      </c>
      <c r="I57" s="59" t="s">
        <v>332</v>
      </c>
    </row>
    <row r="58" spans="1:9" x14ac:dyDescent="0.25">
      <c r="A58" s="155" t="str">
        <f>HYPERLINK("[OpenSolver Tester.xlsm]'NonLinObj'!A1", "NonLinObj")</f>
        <v>NonLinObj</v>
      </c>
      <c r="B58" s="59" t="s">
        <v>332</v>
      </c>
      <c r="C58" s="59" t="s">
        <v>332</v>
      </c>
      <c r="D58" s="59" t="s">
        <v>332</v>
      </c>
      <c r="E58" s="59" t="s">
        <v>332</v>
      </c>
      <c r="F58" s="59" t="s">
        <v>332</v>
      </c>
      <c r="G58" s="59" t="s">
        <v>332</v>
      </c>
      <c r="H58" s="59" t="s">
        <v>332</v>
      </c>
      <c r="I58" s="59" t="s">
        <v>332</v>
      </c>
    </row>
    <row r="59" spans="1:9" x14ac:dyDescent="0.25">
      <c r="A59" s="155" t="str">
        <f>HYPERLINK("[OpenSolver Tester.xlsm]'NonLinPruning'!A1", "NonLinPruning")</f>
        <v>NonLinPruning</v>
      </c>
      <c r="B59" s="59" t="s">
        <v>332</v>
      </c>
      <c r="C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Tester.xlsm]'NonLinMinMax'!A1", "NonLinMinMax")</f>
        <v>NonLinMinMax</v>
      </c>
      <c r="B60" s="59" t="s">
        <v>332</v>
      </c>
      <c r="C60" s="59" t="s">
        <v>332</v>
      </c>
      <c r="D60" s="59" t="s">
        <v>332</v>
      </c>
      <c r="E60" s="59" t="s">
        <v>332</v>
      </c>
      <c r="F60" s="59" t="s">
        <v>337</v>
      </c>
      <c r="G60" s="59" t="s">
        <v>332</v>
      </c>
      <c r="H60" s="59" t="s">
        <v>332</v>
      </c>
      <c r="I60" s="59" t="s">
        <v>337</v>
      </c>
    </row>
    <row r="61" spans="1:9" x14ac:dyDescent="0.25">
      <c r="A61" s="155" t="str">
        <f>HYPERLINK("[OpenSolver Tester.xlsm]'NonLinConstraints'!A1", "NonLinConstraints")</f>
        <v>NonLinConstraints</v>
      </c>
      <c r="B61" s="59" t="s">
        <v>332</v>
      </c>
      <c r="C61" s="59" t="s">
        <v>332</v>
      </c>
      <c r="D61" s="59" t="s">
        <v>332</v>
      </c>
      <c r="E61" s="59" t="s">
        <v>332</v>
      </c>
      <c r="F61" s="59" t="s">
        <v>332</v>
      </c>
      <c r="G61" s="59" t="s">
        <v>332</v>
      </c>
      <c r="H61" s="59" t="s">
        <v>332</v>
      </c>
      <c r="I61" s="59" t="s">
        <v>332</v>
      </c>
    </row>
    <row r="62" spans="1:9" x14ac:dyDescent="0.25">
      <c r="A62" s="155" t="str">
        <f>HYPERLINK("[OpenSolver Tester.xlsm]'NonLinBinary'!A1", "NonLinBinary")</f>
        <v>NonLinBinary</v>
      </c>
      <c r="B62" s="59" t="s">
        <v>332</v>
      </c>
      <c r="C62" s="59" t="s">
        <v>332</v>
      </c>
      <c r="D62" s="59" t="s">
        <v>332</v>
      </c>
      <c r="E62" s="59" t="s">
        <v>332</v>
      </c>
      <c r="F62" s="59" t="s">
        <v>332</v>
      </c>
      <c r="G62" s="59" t="s">
        <v>332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Tester.xlsm]'NonLin'!A1", "NonLin")</f>
        <v>NonLin</v>
      </c>
      <c r="B63" s="59" t="s">
        <v>332</v>
      </c>
      <c r="C63" s="59" t="s">
        <v>332</v>
      </c>
      <c r="D63" s="59" t="s">
        <v>332</v>
      </c>
      <c r="E63" s="59" t="s">
        <v>332</v>
      </c>
      <c r="F63" s="59" t="s">
        <v>332</v>
      </c>
      <c r="G63" s="59" t="s">
        <v>332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Tester.xlsm]'NonLin2'!A1", "NonLin2")</f>
        <v>NonLin2</v>
      </c>
      <c r="B64" s="59" t="s">
        <v>332</v>
      </c>
      <c r="C64" s="59" t="s">
        <v>332</v>
      </c>
      <c r="D64" s="59" t="s">
        <v>332</v>
      </c>
      <c r="E64" s="59" t="s">
        <v>332</v>
      </c>
      <c r="F64" s="59" t="s">
        <v>332</v>
      </c>
      <c r="G64" s="59" t="s">
        <v>332</v>
      </c>
      <c r="H64" s="59" t="s">
        <v>332</v>
      </c>
      <c r="I64" s="59" t="s">
        <v>332</v>
      </c>
    </row>
    <row r="65" spans="1:9" x14ac:dyDescent="0.25">
      <c r="A65" s="155" t="str">
        <f>HYPERLINK("[OpenSolver Tester.xlsm]'NonLin3'!A1", "NonLin3")</f>
        <v>NonLin3</v>
      </c>
      <c r="B65" s="59" t="s">
        <v>332</v>
      </c>
      <c r="C65" s="59" t="s">
        <v>332</v>
      </c>
      <c r="D65" s="59" t="s">
        <v>332</v>
      </c>
      <c r="E65" s="59" t="s">
        <v>332</v>
      </c>
      <c r="F65" s="59" t="s">
        <v>332</v>
      </c>
      <c r="G65" s="59" t="s">
        <v>332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Tester.xlsm]'NonLin4'!A1", "NonLin4")</f>
        <v>NonLin4</v>
      </c>
      <c r="B66" s="59" t="s">
        <v>332</v>
      </c>
      <c r="C66" s="59" t="s">
        <v>332</v>
      </c>
      <c r="D66" s="59" t="s">
        <v>332</v>
      </c>
      <c r="E66" s="59" t="s">
        <v>332</v>
      </c>
      <c r="F66" s="59" t="s">
        <v>332</v>
      </c>
      <c r="G66" s="163" t="s">
        <v>351</v>
      </c>
      <c r="H66" s="59" t="s">
        <v>332</v>
      </c>
      <c r="I66" s="59" t="s">
        <v>332</v>
      </c>
    </row>
    <row r="67" spans="1:9" x14ac:dyDescent="0.25">
      <c r="A67" s="155" t="str">
        <f>HYPERLINK("[OpenSolver Tester.xlsm]'NonLin5'!A1", "NonLin5")</f>
        <v>NonLin5</v>
      </c>
      <c r="B67" s="59" t="s">
        <v>332</v>
      </c>
      <c r="C67" s="59" t="s">
        <v>332</v>
      </c>
      <c r="D67" s="59" t="s">
        <v>332</v>
      </c>
      <c r="E67" s="59" t="s">
        <v>332</v>
      </c>
      <c r="F67" s="59" t="s">
        <v>332</v>
      </c>
      <c r="G67" s="59" t="s">
        <v>332</v>
      </c>
      <c r="H67" s="59" t="s">
        <v>332</v>
      </c>
      <c r="I67" s="59" t="s">
        <v>332</v>
      </c>
    </row>
    <row r="68" spans="1:9" x14ac:dyDescent="0.25">
      <c r="A68" s="155" t="str">
        <f>HYPERLINK("[OpenSolver Tester.xlsm]'NonLin6'!A1", "NonLin6")</f>
        <v>NonLin6</v>
      </c>
      <c r="B68" s="59" t="s">
        <v>332</v>
      </c>
      <c r="C68" s="59" t="s">
        <v>332</v>
      </c>
      <c r="D68" s="59" t="s">
        <v>332</v>
      </c>
      <c r="E68" s="59" t="s">
        <v>337</v>
      </c>
      <c r="F68" s="59" t="s">
        <v>332</v>
      </c>
      <c r="G68" s="59" t="s">
        <v>337</v>
      </c>
      <c r="H68" s="59" t="s">
        <v>337</v>
      </c>
      <c r="I68" s="59" t="s">
        <v>332</v>
      </c>
    </row>
    <row r="69" spans="1:9" x14ac:dyDescent="0.25">
      <c r="A69" s="155"/>
    </row>
    <row r="70" spans="1:9" x14ac:dyDescent="0.25">
      <c r="A70" s="155"/>
    </row>
    <row r="71" spans="1:9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71">
        <v>5.2941176470588225</v>
      </c>
      <c r="F5" s="171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1">
        <f>SUMPRODUCT($D$5:$F$5,D10:F10)</f>
        <v>116.47058823529413</v>
      </c>
      <c r="H10" s="171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5.274805938580519E+286</v>
      </c>
      <c r="E5" s="1">
        <v>5.274805938580519E+286</v>
      </c>
      <c r="F5" s="1">
        <v>5.274805938580519E+286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2.6374029692902598E+287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1.107709247101909E+288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2.7956471474476749E+288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8.3970690958470851</v>
      </c>
      <c r="Q4" s="145">
        <v>0</v>
      </c>
      <c r="R4" s="10">
        <v>10.999998579972191</v>
      </c>
      <c r="S4" s="9">
        <f>SUM(Q4:R4)</f>
        <v>10.999998579972191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-8.1281484654027736E-8</v>
      </c>
      <c r="E5" s="1">
        <v>1</v>
      </c>
      <c r="F5" s="1">
        <v>1</v>
      </c>
      <c r="G5" s="1">
        <v>0.2956521808657534</v>
      </c>
      <c r="J5"/>
      <c r="K5"/>
      <c r="M5" t="s">
        <v>20</v>
      </c>
      <c r="N5">
        <v>0</v>
      </c>
      <c r="Q5" s="4">
        <v>43.999999569969518</v>
      </c>
      <c r="R5" s="5">
        <v>22.000001090028398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43.999999569969518</v>
      </c>
      <c r="R6" s="10">
        <f>SUM(R4:R5)</f>
        <v>32.999999670000591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721.43093827456437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14.547825357574194</v>
      </c>
      <c r="J9" s="1" t="s">
        <v>8</v>
      </c>
      <c r="K9" s="1">
        <f>61.2345678+2.3*N4-S5</f>
        <v>14.54782606045039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28.799998453001152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-9.4608697877041088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0.99999999999999989</v>
      </c>
      <c r="F5" s="1">
        <v>0.99999999999999989</v>
      </c>
      <c r="G5" s="1">
        <v>0</v>
      </c>
      <c r="J5"/>
      <c r="K5"/>
      <c r="M5" t="s">
        <v>20</v>
      </c>
      <c r="N5">
        <v>2.2739219360852646E+307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2.2739219360852646E+307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10.999999999999998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21.999999999999996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121.99999999999999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5.274805938580519E+286</v>
      </c>
      <c r="E4" s="1">
        <v>5.274805938580519E+286</v>
      </c>
      <c r="F4" s="1">
        <v>5.274805938580519E+286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4.7473253447224677E+287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1.7406859597315713E+288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3.4813719194631425E+288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1.0549611877161038E+288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1.0468647412442853E+19</v>
      </c>
      <c r="E4" s="167">
        <v>-1.0206733504054292E+19</v>
      </c>
      <c r="F4" s="167">
        <v>-4.6288949469197435E+18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-2.8198485474956145E+19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-6.3134333783205593E+19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-1.1117112520704862E+20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1.0175804235125958E+20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65536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-9.9666834785239189E-9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49.999999847020007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6.8545359809222965</v>
      </c>
      <c r="Q3" s="9">
        <v>3.04227537270482E-9</v>
      </c>
      <c r="R3" s="10">
        <v>10.999998568394606</v>
      </c>
      <c r="S3" s="9">
        <f>SUM(Q3:R3)</f>
        <v>10.999998571436882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-1.2504088431342097E-8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43.99999955727926</v>
      </c>
      <c r="R4" s="5">
        <v>22.000001101852352</v>
      </c>
      <c r="S4" s="4">
        <f>SUM(Q4:R4)</f>
        <v>66.000000659131615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43.999999560321534</v>
      </c>
      <c r="R5" s="10">
        <f>SUM(R3:R4)</f>
        <v>32.999999670246957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712.5356639999851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10.999999874959116</v>
      </c>
      <c r="J8" s="1" t="s">
        <v>8</v>
      </c>
      <c r="K8" s="1">
        <f>61.2345678+2.3*N3-S4</f>
        <v>10.999999896989664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21.999999737414143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1.9999999999996376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3.9999999999992752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19.999999999996376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41.99999999999239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41.99999999999239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37.999999999993115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0.16372744251913701</v>
      </c>
      <c r="E5" s="58">
        <v>5.2263884541552397</v>
      </c>
      <c r="F5" s="134">
        <v>2.525090153567966E-2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59.430558239327162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118.99959301963777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117.83805154899652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-9.859618899099587E-9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50.000000000000007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350.0000000000004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-499.99999999014159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-9.859618899099587E-9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353</v>
      </c>
    </row>
    <row r="17" spans="7:7" x14ac:dyDescent="0.25">
      <c r="G17">
        <f>SUMPRODUCT(DiffSheetObj!$D$2:$F$2,DiffSheetObj!D4:F4)</f>
        <v>49.999999847020007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-9.9666834785239189E-9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12.380952380952383</v>
      </c>
      <c r="E4" s="1">
        <v>0</v>
      </c>
      <c r="F4" s="1">
        <v>10.869565217391306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4.2443064182195087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250.00000000000006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352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9645964912301.0937</v>
      </c>
      <c r="E13" s="30">
        <v>-7198771929833.7637</v>
      </c>
      <c r="F13" s="30">
        <v>-1921403508775.2239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-9989999999999.9961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-5783684210463.1562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150.0078125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88384561403810.312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179.9765625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D13" sqref="D13:G15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100.00000000000001</v>
      </c>
      <c r="E14" s="160">
        <v>99.999999999999957</v>
      </c>
      <c r="F14" s="160">
        <v>0</v>
      </c>
      <c r="G14" s="160">
        <v>0</v>
      </c>
      <c r="H14" s="160">
        <v>0</v>
      </c>
      <c r="I14">
        <f>SUM(D14:H14)</f>
        <v>199.99999999999997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200.00000000000006</v>
      </c>
      <c r="F16" s="160">
        <v>0</v>
      </c>
      <c r="G16" s="160">
        <v>0</v>
      </c>
      <c r="H16" s="160">
        <v>149.99999999999997</v>
      </c>
      <c r="I16">
        <f>SUM(D16:H16)</f>
        <v>350</v>
      </c>
      <c r="J16">
        <v>350</v>
      </c>
    </row>
    <row r="17" spans="3:10" x14ac:dyDescent="0.25">
      <c r="C17" t="s">
        <v>71</v>
      </c>
      <c r="D17">
        <f>SUM(D14:D16)</f>
        <v>100.00000000000001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149.99999999999997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13249.999999999998</v>
      </c>
      <c r="J20" t="s">
        <v>336</v>
      </c>
    </row>
    <row r="21" spans="3:10" x14ac:dyDescent="0.25">
      <c r="J21">
        <v>10000000000000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-4.7322420733340912E-7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27.421607784623983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26.182822510485757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198.94736814129598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198.94736814129598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198.94736814129598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198.94736814129598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198.94736814129598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198.94736814129598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198.94736814129598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198.94736814129598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198.94736814129598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198.94736814129598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198.94736814129598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198.94736814129598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198.94736814129598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198.94736814129598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198.94736814129598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198.94736814129598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198.94736814129598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198.94736814129598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198.94736814129598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198.94736814129598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198.94736814129598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198.94736814129598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198.94736814129598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198.94736814129598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198.94736814129598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198.94736814129598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198.94736814129598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198.94736814129598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198.94736814129598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198.94736814129598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198.94736814129598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198.94736814129598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198.94736814129598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198.94736814129598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198.94736814129598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198.94736814129598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198.94736814129598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198.94736814129598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198.94736814129598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198.94736814129598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198.94736814129598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198.94736814129598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198.94736814129598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198.94736814129598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198.94736814129598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198.94736814129598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198.94736814129598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198.94736814129598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198.94736814129598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198.94736814129598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198.94736814129598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198.94736814129598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198.94736814129598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198.94736814129598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198.94736814129598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198.94736814129598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198.94736814129598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198.94736814129598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198.94736814129598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198.94736814129598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198.94736814129598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198.94736814129598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198.94736814129598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198.94736814129598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179.99999974688686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-1264.6303272564619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198.94736814129598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198.94736814129598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198.94736814129598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198.94736814129598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198.94736814129598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198.94736814129598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198.94736814129598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198.94736814129598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198.94736814129598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198.94736814129598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198.94736814129598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198.94736814129598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198.94736814129598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198.94736814129598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198.94736814129598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198.94736814129598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198.94736814129598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198.94736814129598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198.94736814129598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198.94736814129598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198.94736814129598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198.94736814129598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198.94736814129598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198.94736814129598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198.94736814129598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198.94736814129598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198.94736814129598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198.94736814129598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198.94736814129598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198.94736814129598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198.94736814129598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198.94736814129598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198.94736814129598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198.94736814129598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198.94736814129598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198.94736814129598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198.94736814129598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198.94736814129598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198.94736814129598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198.94736814129598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198.94736814129598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198.94736814129598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198.94736814129598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198.94736814129598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198.94736814129598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198.94736814129598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198.94736814129598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198.94736814129598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198.94736814129598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198.94736814129598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198.94736814129598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198.94736814129598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198.94736814129598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198.94736814129598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198.94736814129598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198.94736814129598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198.94736814129598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198.94736814129598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198.94736814129598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198.94736814129598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198.94736814129598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198.94736814129598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198.94736814129598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198.94736814129598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179.99999974688686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29.749907149426253</v>
      </c>
      <c r="E5">
        <v>0.67227126922213454</v>
      </c>
    </row>
    <row r="6" spans="1:15" ht="15.75" thickBot="1" x14ac:dyDescent="0.3">
      <c r="A6" s="63" t="b">
        <f>AND(F22)</f>
        <v>1</v>
      </c>
      <c r="F6">
        <f>D5^2*E5^2</f>
        <v>400.00031354347914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20.000007838585443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30.422178418648386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29.749907149426253</v>
      </c>
      <c r="G10" t="s">
        <v>9</v>
      </c>
      <c r="H10">
        <v>0</v>
      </c>
    </row>
    <row r="11" spans="1:15" x14ac:dyDescent="0.25">
      <c r="F11">
        <f>E5</f>
        <v>0.67227126922213454</v>
      </c>
      <c r="H11">
        <v>0</v>
      </c>
    </row>
    <row r="12" spans="1:15" x14ac:dyDescent="0.25">
      <c r="F12">
        <f>E5*D5+E5+D5</f>
        <v>50.422186257233832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50.422186257233832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50.422186257233832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-10.422170580062943</v>
      </c>
      <c r="G15" t="s">
        <v>8</v>
      </c>
      <c r="H15">
        <v>0</v>
      </c>
      <c r="O15" s="81"/>
    </row>
    <row r="16" spans="1:15" x14ac:dyDescent="0.25">
      <c r="F16">
        <f>E5-D5*E5+D5</f>
        <v>10.422170580062943</v>
      </c>
      <c r="G16" t="s">
        <v>8</v>
      </c>
      <c r="H16">
        <v>60</v>
      </c>
      <c r="O16" s="81"/>
    </row>
    <row r="17" spans="6:15" x14ac:dyDescent="0.25">
      <c r="F17">
        <f>E5-D5+E5*D5</f>
        <v>-9.0776280416186772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3.1382147071219202</v>
      </c>
      <c r="E5">
        <v>3.1382147071219202</v>
      </c>
      <c r="F5">
        <v>3.1382147071219202</v>
      </c>
      <c r="G5">
        <v>3.1382147071219202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-5.712151464990086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-44.49928384896063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-31.946425020472951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C40" sqref="C4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1.0000000000045366</v>
      </c>
      <c r="D4" s="80">
        <v>1.0000000000090956</v>
      </c>
      <c r="F4">
        <f>100*(D4-C4^2)^2+(1-C4)^2</f>
        <v>2.0630973793402855E-23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1.0000000000045366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0.94240514097964156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0.41277404754722202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135.09257326766291</v>
      </c>
      <c r="E11" s="108"/>
    </row>
    <row r="12" spans="1:5" x14ac:dyDescent="0.25">
      <c r="C12" s="106" t="s">
        <v>266</v>
      </c>
      <c r="D12" s="107">
        <f>D11/D4</f>
        <v>27.018514653532584</v>
      </c>
      <c r="E12" s="108"/>
    </row>
    <row r="13" spans="1:5" x14ac:dyDescent="0.25">
      <c r="C13" s="106" t="s">
        <v>267</v>
      </c>
      <c r="D13" s="109">
        <f>D8*D11/2</f>
        <v>0.37011663908948744</v>
      </c>
      <c r="E13" s="108"/>
    </row>
    <row r="14" spans="1:5" x14ac:dyDescent="0.25">
      <c r="C14" s="106" t="s">
        <v>268</v>
      </c>
      <c r="D14" s="110">
        <f>D5/D12</f>
        <v>0.37011657110812091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0.74023321019760835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0.28867513456330329</v>
      </c>
      <c r="G2" s="114">
        <v>0.4999999999448444</v>
      </c>
      <c r="H2" s="114">
        <v>1.7113248654040574</v>
      </c>
      <c r="I2" s="114">
        <v>0.4999999999750428</v>
      </c>
      <c r="J2" s="112">
        <f>SQRT(($F$2-D2)^2+($G$2-E2)^2)</f>
        <v>0.57735026912610476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0.57735026922163712</v>
      </c>
      <c r="K3" s="96"/>
      <c r="N3" s="86" t="s">
        <v>281</v>
      </c>
      <c r="O3" s="86">
        <f>$F$2</f>
        <v>0.28867513456330329</v>
      </c>
      <c r="P3" s="86">
        <f>$G$2</f>
        <v>0.4999999999448444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0.57735026921180421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0.57735026916857701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1.422649730840754</v>
      </c>
      <c r="K6" s="96"/>
      <c r="N6" s="86" t="s">
        <v>281</v>
      </c>
      <c r="O6" s="86">
        <f>$F$2</f>
        <v>0.28867513456330329</v>
      </c>
      <c r="P6" s="86">
        <f>$G$2</f>
        <v>0.4999999999448444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1.7113248654040574</v>
      </c>
      <c r="P9" s="86">
        <f>$I$2</f>
        <v>0.4999999999750428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1.7113248654040574</v>
      </c>
      <c r="P12" s="86">
        <f>$I$2</f>
        <v>0.4999999999750428</v>
      </c>
    </row>
    <row r="14" spans="1:16" x14ac:dyDescent="0.25">
      <c r="N14" s="86" t="s">
        <v>281</v>
      </c>
      <c r="O14" s="86">
        <f>$F$2</f>
        <v>0.28867513456330329</v>
      </c>
      <c r="P14" s="86">
        <f>$G$2</f>
        <v>0.4999999999448444</v>
      </c>
    </row>
    <row r="15" spans="1:16" x14ac:dyDescent="0.25">
      <c r="N15" s="86" t="s">
        <v>283</v>
      </c>
      <c r="O15" s="86">
        <f>$H$2</f>
        <v>1.7113248654040574</v>
      </c>
      <c r="P15" s="86">
        <f>$I$2</f>
        <v>0.4999999999750428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3" t="s">
        <v>285</v>
      </c>
      <c r="D1" s="173"/>
      <c r="E1" s="173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2.3571428571579287</v>
      </c>
      <c r="I4" s="125">
        <f>SIN(RADIANS(D7))*D2</f>
        <v>1.8557687223760824</v>
      </c>
    </row>
    <row r="5" spans="1:9" x14ac:dyDescent="0.25">
      <c r="A5" s="62" t="s">
        <v>209</v>
      </c>
      <c r="H5" s="125">
        <f>H4+COS(RADIANS(D8))*D3</f>
        <v>7.0000000000237517</v>
      </c>
      <c r="I5" s="125">
        <f>I4+SIN(RADIANS(D8))*D3</f>
        <v>2.5717206142417126E-12</v>
      </c>
    </row>
    <row r="6" spans="1:9" ht="15.75" thickBot="1" x14ac:dyDescent="0.3">
      <c r="A6" s="63" t="b">
        <f>AND(F16)</f>
        <v>1</v>
      </c>
      <c r="C6" s="173" t="s">
        <v>224</v>
      </c>
      <c r="D6" s="173"/>
      <c r="E6" s="173"/>
    </row>
    <row r="7" spans="1:9" x14ac:dyDescent="0.25">
      <c r="A7" s="62" t="s">
        <v>210</v>
      </c>
      <c r="C7" s="127" t="s">
        <v>290</v>
      </c>
      <c r="D7" s="168">
        <v>38.213210701272864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338.21321070200617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3" t="s">
        <v>293</v>
      </c>
      <c r="D10" s="173"/>
      <c r="E10" s="173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7.0000000000237517</v>
      </c>
      <c r="D12" s="130">
        <f>D4</f>
        <v>7</v>
      </c>
      <c r="E12" s="130">
        <f>D12-C12</f>
        <v>-2.3751667299620749E-11</v>
      </c>
      <c r="F12" s="130">
        <f>E12^2</f>
        <v>5.641416995118736E-22</v>
      </c>
    </row>
    <row r="13" spans="1:9" x14ac:dyDescent="0.25">
      <c r="C13" s="130">
        <f>D2*SIN(RADIANS(D7))+D3*SIN(RADIANS(D8))</f>
        <v>2.5717206142417126E-12</v>
      </c>
      <c r="D13" s="130">
        <v>0</v>
      </c>
      <c r="E13" s="130">
        <f>C13-D13</f>
        <v>2.5717206142417126E-12</v>
      </c>
      <c r="F13" s="130">
        <f>E13^2</f>
        <v>6.6137469177157716E-24</v>
      </c>
    </row>
    <row r="15" spans="1:9" x14ac:dyDescent="0.25">
      <c r="C15" s="173" t="s">
        <v>298</v>
      </c>
      <c r="D15" s="173"/>
      <c r="E15" s="173"/>
      <c r="F15" s="131">
        <f>SUM(F12:F13)</f>
        <v>5.7075544642958937E-22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164</vt:i4>
      </vt:variant>
    </vt:vector>
  </HeadingPairs>
  <TitlesOfParts>
    <vt:vector size="234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2015-06-15T20:26:32Z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